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7520" tabRatio="500" firstSheet="0" activeTab="4" autoFilterDateGrouping="1"/>
  </bookViews>
  <sheets>
    <sheet name="📑 Executive PDF" sheetId="1" state="visible" r:id="rId1"/>
    <sheet name="📄 Report" sheetId="2" state="visible" r:id="rId2"/>
    <sheet name="CEO Report" sheetId="3" state="visible" r:id="rId3"/>
    <sheet name="Dashboard" sheetId="4" state="visible" r:id="rId4"/>
    <sheet name="📊 Diagramme" sheetId="5" state="visible" r:id="rId5"/>
    <sheet name="MiT Strom Pipeline" sheetId="6" state="visible" r:id="rId6"/>
  </sheets>
  <definedNames>
    <definedName name="_xlnm.Print_Area" localSheetId="0">'📑 Executive PDF'!$A$1:$H$35</definedName>
    <definedName name="_xlnm.Print_Area" localSheetId="1">'📄 Report'!$A$1:$H$50</definedName>
    <definedName name="_xlnm._FilterDatabase" localSheetId="2" hidden="1">'CEO Report'!$A$13:$K$206</definedName>
    <definedName name="_xlnm.Print_Titles" localSheetId="2">'CEO Report'!$1:$13</definedName>
    <definedName name="_xlnm.Print_Area" localSheetId="2">'CEO Report'!$A$1:$R$206</definedName>
    <definedName name="_xlnm._FilterDatabase" localSheetId="3" hidden="1">'Dashboard'!$A$13:$J$206</definedName>
    <definedName name="_xlnm.Print_Titles" localSheetId="3">'Dashboard'!$1:$13</definedName>
    <definedName name="_xlnm.Print_Area" localSheetId="3">'Dashboard'!$A$1:$J$206</definedName>
    <definedName name="_xlnm.Print_Area" localSheetId="4">'📊 Diagramme'!$A$1:$R$75</definedName>
    <definedName name="_xlnm._FilterDatabase" localSheetId="5" hidden="1">'MiT Strom Pipeline'!$A$5:$X$47</definedName>
    <definedName name="_xlnm.Print_Titles" localSheetId="5">'MiT Strom Pipeline'!$1:$5</definedName>
    <definedName name="_xlnm.Print_Area" localSheetId="5">'MiT Strom Pipeline'!$A$1:$X$47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0&quot; Deals&quot;"/>
    <numFmt numFmtId="165" formatCode="#,##0&quot; CHF&quot;"/>
    <numFmt numFmtId="166" formatCode="0.0%"/>
    <numFmt numFmtId="167" formatCode="dd\.mm\.yyyy"/>
    <numFmt numFmtId="168" formatCode="0&quot; Positionen&quot;"/>
    <numFmt numFmtId="169" formatCode="#,##0 &quot;CHF&quot;"/>
  </numFmts>
  <fonts count="48">
    <font>
      <name val="Calibri"/>
      <charset val="1"/>
      <family val="2"/>
      <color theme="1"/>
      <sz val="11"/>
    </font>
    <font>
      <name val="Arial"/>
      <charset val="1"/>
      <b val="1"/>
      <color rgb="FFFFFFFF"/>
      <sz val="15"/>
    </font>
    <font>
      <name val="Arial"/>
      <charset val="1"/>
      <i val="1"/>
      <color rgb="FFAAAAAA"/>
      <sz val="9"/>
    </font>
    <font>
      <name val="Arial"/>
      <charset val="1"/>
      <b val="1"/>
      <color rgb="FFFFFFFF"/>
      <sz val="11"/>
    </font>
    <font>
      <name val="Arial"/>
      <charset val="1"/>
      <b val="1"/>
      <color rgb="FFFFFFFF"/>
      <sz val="22"/>
    </font>
    <font>
      <name val="Arial"/>
      <charset val="1"/>
      <b val="1"/>
      <color rgb="FFBBFFCC"/>
      <sz val="11"/>
    </font>
    <font>
      <name val="Arial"/>
      <charset val="1"/>
      <b val="1"/>
      <color rgb="FFBBDDFF"/>
      <sz val="11"/>
    </font>
    <font>
      <name val="Arial"/>
      <charset val="1"/>
      <b val="1"/>
      <color rgb="FFFFDDAA"/>
      <sz val="11"/>
    </font>
    <font>
      <name val="Arial"/>
      <charset val="1"/>
      <b val="1"/>
      <color rgb="FFFFFFFF"/>
      <sz val="9"/>
    </font>
    <font>
      <name val="Arial"/>
      <charset val="1"/>
      <color rgb="FF111111"/>
      <sz val="10"/>
    </font>
    <font>
      <name val="Arial"/>
      <charset val="1"/>
      <b val="1"/>
      <color rgb="FFD4A017"/>
      <sz val="12"/>
    </font>
    <font>
      <name val="Arial"/>
      <charset val="1"/>
      <b val="1"/>
      <color rgb="FFD4A017"/>
      <sz val="15"/>
    </font>
    <font>
      <name val="Arial"/>
      <charset val="1"/>
      <color rgb="FF333333"/>
      <sz val="10"/>
    </font>
    <font>
      <name val="Arial"/>
      <charset val="1"/>
      <b val="1"/>
      <color rgb="FF166534"/>
      <sz val="11"/>
    </font>
    <font>
      <name val="Arial"/>
      <charset val="1"/>
      <b val="1"/>
      <color rgb="FF1E3A5F"/>
      <sz val="11"/>
    </font>
    <font>
      <name val="Arial"/>
      <charset val="1"/>
      <b val="1"/>
      <color rgb="FF7C2D12"/>
      <sz val="11"/>
    </font>
    <font>
      <name val="Arial"/>
      <charset val="1"/>
      <i val="1"/>
      <color rgb="FF888888"/>
      <sz val="8"/>
    </font>
    <font>
      <name val="Arial"/>
      <charset val="1"/>
      <b val="1"/>
      <color rgb="FFFFFFFF"/>
      <sz val="16"/>
    </font>
    <font>
      <name val="Arial"/>
      <charset val="1"/>
      <b val="1"/>
      <color rgb="FFFFFFFF"/>
      <sz val="10"/>
    </font>
    <font>
      <name val="Arial"/>
      <charset val="1"/>
      <b val="1"/>
      <color rgb="FFFFFFFF"/>
      <sz val="20"/>
    </font>
    <font>
      <name val="Arial"/>
      <charset val="1"/>
      <b val="1"/>
      <color rgb="FFDDBBFF"/>
      <sz val="11"/>
    </font>
    <font>
      <name val="Calibri"/>
      <charset val="1"/>
      <b val="1"/>
      <color rgb="FFFFFFFF"/>
      <sz val="18"/>
    </font>
    <font>
      <name val="Calibri"/>
      <charset val="1"/>
      <i val="1"/>
      <color rgb="FF555555"/>
      <sz val="11"/>
    </font>
    <font>
      <name val="Cambria"/>
      <charset val="1"/>
      <b val="1"/>
      <color rgb="FF1F3864"/>
      <sz val="12"/>
    </font>
    <font>
      <name val="Cambria"/>
      <charset val="1"/>
      <b val="1"/>
      <color rgb="FFFFFFFF"/>
      <sz val="11"/>
    </font>
    <font>
      <name val="Calibri"/>
      <charset val="1"/>
      <b val="1"/>
      <color rgb="FF1F3864"/>
      <sz val="22"/>
    </font>
    <font>
      <name val="Calibri"/>
      <charset val="1"/>
      <color rgb="FF888888"/>
      <sz val="10"/>
    </font>
    <font>
      <name val="Calibri"/>
      <charset val="1"/>
      <b val="1"/>
      <color rgb="FF1F3864"/>
      <sz val="14"/>
    </font>
    <font>
      <name val="Cambria"/>
      <charset val="1"/>
      <b val="1"/>
      <sz val="11"/>
    </font>
    <font>
      <name val="Cambria"/>
      <charset val="1"/>
      <i val="1"/>
      <color rgb="FF888888"/>
      <sz val="10"/>
    </font>
    <font>
      <name val="Cambria"/>
      <charset val="1"/>
      <b val="1"/>
      <i val="1"/>
      <color rgb="FF888888"/>
      <sz val="11"/>
    </font>
    <font>
      <name val="Arial"/>
      <charset val="1"/>
      <b val="1"/>
      <color rgb="FFFFFFFF"/>
      <sz val="12"/>
    </font>
    <font>
      <name val="Cambria"/>
      <charset val="1"/>
      <color rgb="FFFFFFFF"/>
      <sz val="8"/>
    </font>
    <font>
      <name val="Arial"/>
      <family val="2"/>
      <color rgb="FF111111"/>
      <sz val="10"/>
    </font>
    <font>
      <b val="1"/>
      <color rgb="001F3864"/>
      <sz val="12"/>
    </font>
    <font>
      <b val="1"/>
      <color rgb="00FFFFFF"/>
    </font>
    <font>
      <name val="Calibri"/>
      <b val="1"/>
      <color rgb="00FFFFFF"/>
      <sz val="20"/>
    </font>
    <font>
      <name val="Calibri"/>
      <i val="1"/>
      <color rgb="00555555"/>
      <sz val="11"/>
    </font>
    <font>
      <name val="Calibri"/>
      <color rgb="00888888"/>
      <sz val="10"/>
    </font>
    <font>
      <name val="Calibri"/>
      <b val="1"/>
      <color rgb="00FFFFFF"/>
      <sz val="12"/>
    </font>
    <font>
      <name val="Calibri"/>
      <b val="1"/>
      <color rgb="001F3864"/>
      <sz val="16"/>
    </font>
    <font>
      <name val="Calibri"/>
      <i val="1"/>
      <color rgb="00666666"/>
      <sz val="10"/>
    </font>
    <font>
      <name val="Calibri"/>
      <b val="1"/>
      <color rgb="00FFFFFF"/>
      <sz val="14"/>
    </font>
    <font>
      <name val="Calibri"/>
      <b val="1"/>
      <color rgb="001F3864"/>
      <sz val="13"/>
    </font>
    <font>
      <b val="1"/>
      <color rgb="00FFFFFF"/>
      <sz val="10"/>
    </font>
    <font>
      <sz val="10"/>
    </font>
    <font>
      <b val="1"/>
      <sz val="10"/>
    </font>
    <font>
      <i val="1"/>
      <color rgb="00888888"/>
      <sz val="10"/>
    </font>
  </fonts>
  <fills count="41">
    <fill>
      <patternFill/>
    </fill>
    <fill>
      <patternFill patternType="gray125"/>
    </fill>
    <fill>
      <patternFill patternType="solid">
        <fgColor rgb="FF0D1117"/>
        <bgColor rgb="FF111111"/>
      </patternFill>
    </fill>
    <fill>
      <patternFill patternType="solid">
        <fgColor rgb="FFC8102E"/>
        <bgColor rgb="FFC00000"/>
      </patternFill>
    </fill>
    <fill>
      <patternFill patternType="solid">
        <fgColor rgb="FF166534"/>
        <bgColor rgb="FF1B5E20"/>
      </patternFill>
    </fill>
    <fill>
      <patternFill patternType="solid">
        <fgColor rgb="FF1E3A5F"/>
        <bgColor rgb="FF1F3864"/>
      </patternFill>
    </fill>
    <fill>
      <patternFill patternType="solid">
        <fgColor rgb="FF7C2D12"/>
        <bgColor rgb="FF94410F"/>
      </patternFill>
    </fill>
    <fill>
      <patternFill patternType="solid">
        <fgColor rgb="FFFFFFFF"/>
        <bgColor rgb="FFF8FAFC"/>
      </patternFill>
    </fill>
    <fill>
      <patternFill patternType="solid">
        <fgColor rgb="FF1E293B"/>
        <bgColor rgb="FF333333"/>
      </patternFill>
    </fill>
    <fill>
      <patternFill patternType="solid">
        <fgColor rgb="FFDCFCE7"/>
        <bgColor rgb="FFF0FDF4"/>
      </patternFill>
    </fill>
    <fill>
      <patternFill patternType="solid">
        <fgColor rgb="FFDBEAFE"/>
        <bgColor rgb="FFE8EEF7"/>
      </patternFill>
    </fill>
    <fill>
      <patternFill patternType="solid">
        <fgColor rgb="FFFEF3C7"/>
        <bgColor rgb="FFFEF2F2"/>
      </patternFill>
    </fill>
    <fill>
      <patternFill patternType="solid">
        <fgColor rgb="FFF8FAFC"/>
        <bgColor rgb="FFF5F5F5"/>
      </patternFill>
    </fill>
    <fill>
      <patternFill patternType="solid">
        <fgColor rgb="FF4C1D95"/>
        <bgColor rgb="FF6A1B9A"/>
      </patternFill>
    </fill>
    <fill>
      <patternFill patternType="solid">
        <fgColor rgb="FF1F3864"/>
        <bgColor rgb="FF1E3A5F"/>
      </patternFill>
    </fill>
    <fill>
      <patternFill patternType="solid">
        <fgColor rgb="FF2E5496"/>
        <bgColor rgb="FF0D47A1"/>
      </patternFill>
    </fill>
    <fill>
      <patternFill patternType="solid">
        <fgColor rgb="FFE8EEF7"/>
        <bgColor rgb="FFDBEAFE"/>
      </patternFill>
    </fill>
    <fill>
      <patternFill patternType="solid">
        <fgColor rgb="FFF0FDF4"/>
        <bgColor rgb="FFF8FAFC"/>
      </patternFill>
    </fill>
    <fill>
      <patternFill patternType="solid">
        <fgColor rgb="FF16A34A"/>
        <bgColor rgb="FF1A7A4A"/>
      </patternFill>
    </fill>
    <fill>
      <patternFill patternType="solid">
        <fgColor rgb="FF2563EB"/>
        <bgColor rgb="FF1565C0"/>
      </patternFill>
    </fill>
    <fill>
      <patternFill patternType="solid">
        <fgColor rgb="FFD97706"/>
        <bgColor rgb="FFF57C00"/>
      </patternFill>
    </fill>
    <fill>
      <patternFill patternType="solid">
        <fgColor rgb="FFFEF2F2"/>
        <bgColor rgb="FFF5F5F5"/>
      </patternFill>
    </fill>
    <fill>
      <patternFill patternType="solid">
        <fgColor rgb="FFDC2626"/>
        <bgColor rgb="FFC8102E"/>
      </patternFill>
    </fill>
    <fill>
      <patternFill patternType="solid">
        <fgColor rgb="FF7C3AED"/>
        <bgColor rgb="FF6A1B9A"/>
      </patternFill>
    </fill>
    <fill>
      <patternFill patternType="solid">
        <fgColor rgb="FF0891B2"/>
        <bgColor rgb="FF1565C0"/>
      </patternFill>
    </fill>
    <fill>
      <patternFill patternType="solid">
        <fgColor rgb="FF6C7081"/>
        <bgColor rgb="FF888985"/>
      </patternFill>
    </fill>
    <fill>
      <patternFill patternType="solid">
        <fgColor rgb="FFC00000"/>
        <bgColor rgb="FF888985"/>
      </patternFill>
    </fill>
    <fill>
      <patternFill patternType="solid">
        <fgColor rgb="002E5496"/>
      </patternFill>
    </fill>
    <fill>
      <patternFill patternType="solid">
        <fgColor rgb="001F3864"/>
      </patternFill>
    </fill>
    <fill>
      <patternFill patternType="solid">
        <fgColor rgb="002E7D32"/>
      </patternFill>
    </fill>
    <fill>
      <patternFill patternType="solid">
        <fgColor rgb="00F5F5F5"/>
      </patternFill>
    </fill>
    <fill>
      <patternFill patternType="solid">
        <fgColor rgb="001565C0"/>
      </patternFill>
    </fill>
    <fill>
      <patternFill patternType="solid">
        <fgColor rgb="00F57C00"/>
      </patternFill>
    </fill>
    <fill>
      <patternFill patternType="solid">
        <fgColor rgb="2E7D3230"/>
      </patternFill>
    </fill>
    <fill>
      <patternFill patternType="solid">
        <fgColor rgb="1565C030"/>
      </patternFill>
    </fill>
    <fill>
      <patternFill patternType="solid">
        <fgColor rgb="F57C0030"/>
      </patternFill>
    </fill>
    <fill>
      <patternFill patternType="solid">
        <fgColor rgb="FFD60030"/>
      </patternFill>
    </fill>
    <fill>
      <patternFill patternType="solid">
        <fgColor rgb="9E9E9E30"/>
      </patternFill>
    </fill>
    <fill>
      <patternFill patternType="solid">
        <fgColor rgb="BDBDBD30"/>
      </patternFill>
    </fill>
    <fill>
      <patternFill patternType="solid">
        <fgColor rgb="C6282830"/>
      </patternFill>
    </fill>
    <fill>
      <patternFill patternType="solid">
        <fgColor rgb="B71C1C30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rgb="FF1F3864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rgb="00BDBDBD"/>
      </left>
      <right style="thin">
        <color rgb="00BDBDBD"/>
      </right>
      <top style="thin">
        <color rgb="00BDBDBD"/>
      </top>
      <bottom style="thin">
        <color rgb="00BDBDBD"/>
      </bottom>
    </border>
    <border>
      <bottom style="medium">
        <color rgb="001F3864"/>
      </bottom>
    </border>
    <border>
      <left/>
      <right/>
      <top style="thin">
        <color rgb="00BDBDBD"/>
      </top>
      <bottom/>
      <diagonal/>
    </border>
    <border>
      <left/>
      <right style="thin">
        <color rgb="00BDBDBD"/>
      </right>
      <top style="thin">
        <color rgb="00BDBDBD"/>
      </top>
      <bottom/>
      <diagonal/>
    </border>
    <border>
      <left/>
      <right style="thin">
        <color rgb="00BDBDBD"/>
      </right>
      <top style="thin">
        <color rgb="00BDBDBD"/>
      </top>
      <bottom style="thin">
        <color rgb="00BDBDBD"/>
      </bottom>
      <diagonal/>
    </border>
    <border>
      <left style="thin">
        <color rgb="00BDBDBD"/>
      </left>
      <right/>
      <top/>
      <bottom/>
      <diagonal/>
    </border>
    <border>
      <left/>
      <right style="thin">
        <color rgb="00BDBDBD"/>
      </right>
      <top/>
      <bottom/>
      <diagonal/>
    </border>
    <border>
      <left style="thin">
        <color rgb="00BDBDBD"/>
      </left>
      <right/>
      <top/>
      <bottom style="thin">
        <color rgb="00BDBDBD"/>
      </bottom>
      <diagonal/>
    </border>
    <border>
      <left/>
      <right style="thin">
        <color rgb="00BDBDBD"/>
      </right>
      <top/>
      <bottom style="thin">
        <color rgb="00BDBDBD"/>
      </bottom>
      <diagonal/>
    </border>
    <border>
      <left/>
      <right/>
      <top/>
      <bottom style="medium">
        <color rgb="001F3864"/>
      </bottom>
      <diagonal/>
    </border>
    <border>
      <right/>
      <bottom style="medium">
        <color rgb="001F3864"/>
      </bottom>
    </border>
  </borders>
  <cellStyleXfs count="1">
    <xf numFmtId="0" fontId="0" fillId="0" borderId="0"/>
  </cellStyleXfs>
  <cellXfs count="223">
    <xf numFmtId="0" fontId="0" fillId="0" borderId="0" pivotButton="0" quotePrefix="0" xfId="0"/>
    <xf numFmtId="164" fontId="7" fillId="6" borderId="0" applyAlignment="1" pivotButton="0" quotePrefix="0" xfId="0">
      <alignment horizontal="center" vertical="center"/>
    </xf>
    <xf numFmtId="164" fontId="6" fillId="5" borderId="0" applyAlignment="1" pivotButton="0" quotePrefix="0" xfId="0">
      <alignment horizontal="center" vertical="center"/>
    </xf>
    <xf numFmtId="164" fontId="5" fillId="4" borderId="0" applyAlignment="1" pivotButton="0" quotePrefix="0" xfId="0">
      <alignment horizontal="center" vertical="center"/>
    </xf>
    <xf numFmtId="3" fontId="19" fillId="13" borderId="0" applyAlignment="1" pivotButton="0" quotePrefix="0" xfId="0">
      <alignment horizontal="center" vertical="center"/>
    </xf>
    <xf numFmtId="3" fontId="19" fillId="6" borderId="0" applyAlignment="1" pivotButton="0" quotePrefix="0" xfId="0">
      <alignment horizontal="center" vertical="center"/>
    </xf>
    <xf numFmtId="3" fontId="19" fillId="5" borderId="0" applyAlignment="1" pivotButton="0" quotePrefix="0" xfId="0">
      <alignment horizontal="center" vertical="center"/>
    </xf>
    <xf numFmtId="3" fontId="19" fillId="4" borderId="0" applyAlignment="1" pivotButton="0" quotePrefix="0" xfId="0">
      <alignment horizontal="center" vertical="center"/>
    </xf>
    <xf numFmtId="0" fontId="18" fillId="13" borderId="0" applyAlignment="1" pivotButton="0" quotePrefix="0" xfId="0">
      <alignment horizontal="center" vertical="center"/>
    </xf>
    <xf numFmtId="0" fontId="18" fillId="6" borderId="0" applyAlignment="1" pivotButton="0" quotePrefix="0" xfId="0">
      <alignment horizontal="center" vertical="center"/>
    </xf>
    <xf numFmtId="0" fontId="18" fillId="5" borderId="0" applyAlignment="1" pivotButton="0" quotePrefix="0" xfId="0">
      <alignment horizontal="center" vertical="center"/>
    </xf>
    <xf numFmtId="0" fontId="18" fillId="4" borderId="0" applyAlignment="1" pivotButton="0" quotePrefix="0" xfId="0">
      <alignment horizontal="center" vertical="center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  <xf numFmtId="0" fontId="17" fillId="2" borderId="0" applyAlignment="1" pivotButton="0" quotePrefix="0" xfId="0">
      <alignment horizontal="center" vertical="center"/>
    </xf>
    <xf numFmtId="0" fontId="0" fillId="7" borderId="0" pivotButton="0" quotePrefix="0" xfId="0"/>
    <xf numFmtId="0" fontId="8" fillId="8" borderId="1" applyAlignment="1" pivotButton="0" quotePrefix="0" xfId="0">
      <alignment horizontal="center" vertical="center"/>
    </xf>
    <xf numFmtId="0" fontId="8" fillId="8" borderId="1" applyAlignment="1" pivotButton="0" quotePrefix="0" xfId="0">
      <alignment horizontal="left" vertical="center"/>
    </xf>
    <xf numFmtId="0" fontId="8" fillId="8" borderId="1" applyAlignment="1" pivotButton="0" quotePrefix="0" xfId="0">
      <alignment horizontal="right" vertical="center"/>
    </xf>
    <xf numFmtId="0" fontId="9" fillId="9" borderId="1" applyAlignment="1" pivotButton="0" quotePrefix="0" xfId="0">
      <alignment horizontal="center" vertical="center"/>
    </xf>
    <xf numFmtId="0" fontId="9" fillId="9" borderId="1" applyAlignment="1" pivotButton="0" quotePrefix="0" xfId="0">
      <alignment horizontal="left" vertical="center"/>
    </xf>
    <xf numFmtId="3" fontId="9" fillId="9" borderId="1" applyAlignment="1" pivotButton="0" quotePrefix="0" xfId="0">
      <alignment horizontal="right" vertical="center"/>
    </xf>
    <xf numFmtId="0" fontId="9" fillId="7" borderId="1" applyAlignment="1" pivotButton="0" quotePrefix="0" xfId="0">
      <alignment horizontal="center" vertical="center"/>
    </xf>
    <xf numFmtId="0" fontId="9" fillId="7" borderId="1" applyAlignment="1" pivotButton="0" quotePrefix="0" xfId="0">
      <alignment horizontal="left" vertical="center"/>
    </xf>
    <xf numFmtId="3" fontId="9" fillId="7" borderId="1" applyAlignment="1" pivotButton="0" quotePrefix="0" xfId="0">
      <alignment horizontal="right" vertical="center"/>
    </xf>
    <xf numFmtId="0" fontId="9" fillId="7" borderId="1" applyAlignment="1" pivotButton="0" quotePrefix="0" xfId="0">
      <alignment horizontal="left" vertical="center" wrapText="1"/>
    </xf>
    <xf numFmtId="0" fontId="0" fillId="4" borderId="1" pivotButton="0" quotePrefix="0" xfId="0"/>
    <xf numFmtId="3" fontId="10" fillId="4" borderId="1" applyAlignment="1" pivotButton="0" quotePrefix="0" xfId="0">
      <alignment horizontal="right" vertical="center"/>
    </xf>
    <xf numFmtId="0" fontId="9" fillId="10" borderId="1" applyAlignment="1" pivotButton="0" quotePrefix="0" xfId="0">
      <alignment horizontal="center" vertical="center"/>
    </xf>
    <xf numFmtId="0" fontId="9" fillId="10" borderId="1" applyAlignment="1" pivotButton="0" quotePrefix="0" xfId="0">
      <alignment horizontal="left" vertical="center"/>
    </xf>
    <xf numFmtId="3" fontId="9" fillId="10" borderId="1" applyAlignment="1" pivotButton="0" quotePrefix="0" xfId="0">
      <alignment horizontal="right" vertical="center"/>
    </xf>
    <xf numFmtId="0" fontId="9" fillId="10" borderId="1" applyAlignment="1" pivotButton="0" quotePrefix="0" xfId="0">
      <alignment horizontal="left" vertical="center" wrapText="1"/>
    </xf>
    <xf numFmtId="0" fontId="0" fillId="5" borderId="1" pivotButton="0" quotePrefix="0" xfId="0"/>
    <xf numFmtId="3" fontId="10" fillId="5" borderId="1" applyAlignment="1" pivotButton="0" quotePrefix="0" xfId="0">
      <alignment horizontal="right" vertical="center"/>
    </xf>
    <xf numFmtId="0" fontId="9" fillId="11" borderId="1" applyAlignment="1" pivotButton="0" quotePrefix="0" xfId="0">
      <alignment horizontal="center" vertical="center"/>
    </xf>
    <xf numFmtId="0" fontId="9" fillId="11" borderId="1" applyAlignment="1" pivotButton="0" quotePrefix="0" xfId="0">
      <alignment horizontal="left" vertical="center"/>
    </xf>
    <xf numFmtId="3" fontId="9" fillId="11" borderId="1" applyAlignment="1" pivotButton="0" quotePrefix="0" xfId="0">
      <alignment horizontal="right" vertical="center"/>
    </xf>
    <xf numFmtId="0" fontId="0" fillId="6" borderId="1" pivotButton="0" quotePrefix="0" xfId="0"/>
    <xf numFmtId="3" fontId="10" fillId="6" borderId="1" applyAlignment="1" pivotButton="0" quotePrefix="0" xfId="0">
      <alignment horizontal="right" vertical="center"/>
    </xf>
    <xf numFmtId="3" fontId="11" fillId="2" borderId="1" applyAlignment="1" pivotButton="0" quotePrefix="0" xfId="0">
      <alignment horizontal="right" vertical="center"/>
    </xf>
    <xf numFmtId="0" fontId="0" fillId="2" borderId="1" pivotButton="0" quotePrefix="0" xfId="0"/>
    <xf numFmtId="3" fontId="13" fillId="12" borderId="0" applyAlignment="1" pivotButton="0" quotePrefix="0" xfId="0">
      <alignment horizontal="right" vertical="center"/>
    </xf>
    <xf numFmtId="0" fontId="0" fillId="12" borderId="0" pivotButton="0" quotePrefix="0" xfId="0"/>
    <xf numFmtId="3" fontId="14" fillId="12" borderId="0" applyAlignment="1" pivotButton="0" quotePrefix="0" xfId="0">
      <alignment horizontal="right" vertical="center"/>
    </xf>
    <xf numFmtId="3" fontId="15" fillId="12" borderId="0" applyAlignment="1" pivotButton="0" quotePrefix="0" xfId="0">
      <alignment horizontal="right" vertical="center"/>
    </xf>
    <xf numFmtId="2" fontId="0" fillId="0" borderId="0" pivotButton="0" quotePrefix="0" xfId="0"/>
    <xf numFmtId="2" fontId="0" fillId="7" borderId="0" pivotButton="0" quotePrefix="0" xfId="0"/>
    <xf numFmtId="2" fontId="8" fillId="8" borderId="1" applyAlignment="1" pivotButton="0" quotePrefix="0" xfId="0">
      <alignment horizontal="right" vertical="center"/>
    </xf>
    <xf numFmtId="2" fontId="9" fillId="9" borderId="1" applyAlignment="1" pivotButton="0" quotePrefix="0" xfId="0">
      <alignment horizontal="right" vertical="center"/>
    </xf>
    <xf numFmtId="2" fontId="9" fillId="7" borderId="1" applyAlignment="1" pivotButton="0" quotePrefix="0" xfId="0">
      <alignment horizontal="right" vertical="center"/>
    </xf>
    <xf numFmtId="2" fontId="10" fillId="4" borderId="1" applyAlignment="1" pivotButton="0" quotePrefix="0" xfId="0">
      <alignment horizontal="right" vertical="center"/>
    </xf>
    <xf numFmtId="2" fontId="0" fillId="4" borderId="1" pivotButton="0" quotePrefix="0" xfId="0"/>
    <xf numFmtId="2" fontId="9" fillId="10" borderId="1" applyAlignment="1" pivotButton="0" quotePrefix="0" xfId="0">
      <alignment horizontal="right" vertical="center"/>
    </xf>
    <xf numFmtId="2" fontId="10" fillId="5" borderId="1" applyAlignment="1" pivotButton="0" quotePrefix="0" xfId="0">
      <alignment horizontal="right" vertical="center"/>
    </xf>
    <xf numFmtId="2" fontId="0" fillId="5" borderId="1" pivotButton="0" quotePrefix="0" xfId="0"/>
    <xf numFmtId="2" fontId="9" fillId="11" borderId="1" applyAlignment="1" pivotButton="0" quotePrefix="0" xfId="0">
      <alignment horizontal="right" vertical="center"/>
    </xf>
    <xf numFmtId="2" fontId="10" fillId="6" borderId="1" applyAlignment="1" pivotButton="0" quotePrefix="0" xfId="0">
      <alignment horizontal="right" vertical="center"/>
    </xf>
    <xf numFmtId="2" fontId="0" fillId="6" borderId="1" pivotButton="0" quotePrefix="0" xfId="0"/>
    <xf numFmtId="2" fontId="11" fillId="2" borderId="1" applyAlignment="1" pivotButton="0" quotePrefix="0" xfId="0">
      <alignment horizontal="right" vertical="center"/>
    </xf>
    <xf numFmtId="2" fontId="0" fillId="2" borderId="1" pivotButton="0" quotePrefix="0" xfId="0"/>
    <xf numFmtId="2" fontId="13" fillId="12" borderId="0" applyAlignment="1" pivotButton="0" quotePrefix="0" xfId="0">
      <alignment horizontal="right" vertical="center"/>
    </xf>
    <xf numFmtId="2" fontId="0" fillId="12" borderId="0" pivotButton="0" quotePrefix="0" xfId="0"/>
    <xf numFmtId="2" fontId="14" fillId="12" borderId="0" applyAlignment="1" pivotButton="0" quotePrefix="0" xfId="0">
      <alignment horizontal="right" vertical="center"/>
    </xf>
    <xf numFmtId="2" fontId="15" fillId="12" borderId="0" applyAlignment="1" pivotButton="0" quotePrefix="0" xfId="0">
      <alignment horizontal="right" vertical="center"/>
    </xf>
    <xf numFmtId="0" fontId="23" fillId="0" borderId="0" pivotButton="0" quotePrefix="0" xfId="0"/>
    <xf numFmtId="0" fontId="24" fillId="15" borderId="0" applyAlignment="1" pivotButton="0" quotePrefix="0" xfId="0">
      <alignment horizontal="center"/>
    </xf>
    <xf numFmtId="165" fontId="0" fillId="0" borderId="0" pivotButton="0" quotePrefix="0" xfId="0"/>
    <xf numFmtId="0" fontId="24" fillId="14" borderId="3" applyAlignment="1" pivotButton="0" quotePrefix="0" xfId="0">
      <alignment horizontal="center"/>
    </xf>
    <xf numFmtId="0" fontId="28" fillId="0" borderId="3" applyAlignment="1" pivotButton="0" quotePrefix="0" xfId="0">
      <alignment horizontal="left" vertical="center"/>
    </xf>
    <xf numFmtId="165" fontId="0" fillId="0" borderId="3" applyAlignment="1" pivotButton="0" quotePrefix="0" xfId="0">
      <alignment horizontal="center" vertical="center"/>
    </xf>
    <xf numFmtId="164" fontId="0" fillId="0" borderId="3" applyAlignment="1" pivotButton="0" quotePrefix="0" xfId="0">
      <alignment horizontal="center" vertical="center"/>
    </xf>
    <xf numFmtId="166" fontId="0" fillId="0" borderId="3" applyAlignment="1" pivotButton="0" quotePrefix="0" xfId="0">
      <alignment horizontal="center" vertical="center"/>
    </xf>
    <xf numFmtId="0" fontId="23" fillId="16" borderId="3" applyAlignment="1" pivotButton="0" quotePrefix="0" xfId="0">
      <alignment horizontal="left" vertical="center"/>
    </xf>
    <xf numFmtId="165" fontId="23" fillId="16" borderId="3" applyAlignment="1" pivotButton="0" quotePrefix="0" xfId="0">
      <alignment horizontal="center" vertical="center"/>
    </xf>
    <xf numFmtId="164" fontId="23" fillId="16" borderId="3" applyAlignment="1" pivotButton="0" quotePrefix="0" xfId="0">
      <alignment horizontal="center" vertical="center"/>
    </xf>
    <xf numFmtId="166" fontId="23" fillId="16" borderId="3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0" fillId="0" borderId="3" pivotButton="0" quotePrefix="0" xfId="0"/>
    <xf numFmtId="165" fontId="0" fillId="0" borderId="3" pivotButton="0" quotePrefix="0" xfId="0"/>
    <xf numFmtId="1" fontId="0" fillId="0" borderId="3" applyAlignment="1" pivotButton="0" quotePrefix="0" xfId="0">
      <alignment horizontal="center"/>
    </xf>
    <xf numFmtId="0" fontId="8" fillId="8" borderId="1" applyAlignment="1" pivotButton="0" quotePrefix="0" xfId="0">
      <alignment horizontal="center" vertical="center" wrapText="1"/>
    </xf>
    <xf numFmtId="2" fontId="8" fillId="8" borderId="1" applyAlignment="1" pivotButton="0" quotePrefix="0" xfId="0">
      <alignment horizontal="center" vertical="center" wrapText="1"/>
    </xf>
    <xf numFmtId="0" fontId="32" fillId="0" borderId="0" pivotButton="0" quotePrefix="0" xfId="0"/>
    <xf numFmtId="0" fontId="9" fillId="17" borderId="1" applyAlignment="1" pivotButton="0" quotePrefix="0" xfId="0">
      <alignment horizontal="center" vertical="center"/>
    </xf>
    <xf numFmtId="0" fontId="9" fillId="17" borderId="1" applyAlignment="1" pivotButton="0" quotePrefix="0" xfId="0">
      <alignment horizontal="left" vertical="center"/>
    </xf>
    <xf numFmtId="3" fontId="9" fillId="17" borderId="1" applyAlignment="1" pivotButton="0" quotePrefix="0" xfId="0">
      <alignment horizontal="right" vertical="center"/>
    </xf>
    <xf numFmtId="167" fontId="9" fillId="17" borderId="1" applyAlignment="1" pivotButton="0" quotePrefix="0" xfId="0">
      <alignment horizontal="center" vertical="center"/>
    </xf>
    <xf numFmtId="0" fontId="9" fillId="17" borderId="1" applyAlignment="1" pivotButton="0" quotePrefix="0" xfId="0">
      <alignment horizontal="right" vertical="center"/>
    </xf>
    <xf numFmtId="0" fontId="8" fillId="18" borderId="1" applyAlignment="1" pivotButton="0" quotePrefix="0" xfId="0">
      <alignment horizontal="center" vertical="center"/>
    </xf>
    <xf numFmtId="0" fontId="9" fillId="7" borderId="1" applyAlignment="1" pivotButton="0" quotePrefix="0" xfId="0">
      <alignment horizontal="right" vertical="center"/>
    </xf>
    <xf numFmtId="0" fontId="8" fillId="19" borderId="1" applyAlignment="1" pivotButton="0" quotePrefix="0" xfId="0">
      <alignment horizontal="center" vertical="center"/>
    </xf>
    <xf numFmtId="0" fontId="9" fillId="12" borderId="1" applyAlignment="1" pivotButton="0" quotePrefix="0" xfId="0">
      <alignment horizontal="center" vertical="center"/>
    </xf>
    <xf numFmtId="0" fontId="9" fillId="12" borderId="1" applyAlignment="1" pivotButton="0" quotePrefix="0" xfId="0">
      <alignment horizontal="left" vertical="center"/>
    </xf>
    <xf numFmtId="3" fontId="9" fillId="12" borderId="1" applyAlignment="1" pivotButton="0" quotePrefix="0" xfId="0">
      <alignment horizontal="right" vertical="center"/>
    </xf>
    <xf numFmtId="167" fontId="9" fillId="12" borderId="1" applyAlignment="1" pivotButton="0" quotePrefix="0" xfId="0">
      <alignment horizontal="center" vertical="center"/>
    </xf>
    <xf numFmtId="2" fontId="9" fillId="12" borderId="1" applyAlignment="1" pivotButton="0" quotePrefix="0" xfId="0">
      <alignment horizontal="right" vertical="center"/>
    </xf>
    <xf numFmtId="0" fontId="9" fillId="12" borderId="1" applyAlignment="1" pivotButton="0" quotePrefix="0" xfId="0">
      <alignment horizontal="right" vertical="center"/>
    </xf>
    <xf numFmtId="0" fontId="8" fillId="20" borderId="1" applyAlignment="1" pivotButton="0" quotePrefix="0" xfId="0">
      <alignment horizontal="center" vertical="center"/>
    </xf>
    <xf numFmtId="0" fontId="9" fillId="21" borderId="1" applyAlignment="1" pivotButton="0" quotePrefix="0" xfId="0">
      <alignment horizontal="center" vertical="center"/>
    </xf>
    <xf numFmtId="0" fontId="9" fillId="21" borderId="1" applyAlignment="1" pivotButton="0" quotePrefix="0" xfId="0">
      <alignment horizontal="left" vertical="center"/>
    </xf>
    <xf numFmtId="3" fontId="9" fillId="21" borderId="1" applyAlignment="1" pivotButton="0" quotePrefix="0" xfId="0">
      <alignment horizontal="right" vertical="center"/>
    </xf>
    <xf numFmtId="167" fontId="9" fillId="21" borderId="1" applyAlignment="1" pivotButton="0" quotePrefix="0" xfId="0">
      <alignment horizontal="center" vertical="center"/>
    </xf>
    <xf numFmtId="0" fontId="9" fillId="21" borderId="1" applyAlignment="1" pivotButton="0" quotePrefix="0" xfId="0">
      <alignment horizontal="right" vertical="center"/>
    </xf>
    <xf numFmtId="0" fontId="8" fillId="22" borderId="1" applyAlignment="1" pivotButton="0" quotePrefix="0" xfId="0">
      <alignment horizontal="center" vertical="center"/>
    </xf>
    <xf numFmtId="0" fontId="8" fillId="23" borderId="1" applyAlignment="1" pivotButton="0" quotePrefix="0" xfId="0">
      <alignment horizontal="center" vertical="center"/>
    </xf>
    <xf numFmtId="167" fontId="9" fillId="7" borderId="1" applyAlignment="1" pivotButton="0" quotePrefix="0" xfId="0">
      <alignment horizontal="center" vertical="center"/>
    </xf>
    <xf numFmtId="0" fontId="8" fillId="24" borderId="1" applyAlignment="1" pivotButton="0" quotePrefix="0" xfId="0">
      <alignment horizontal="center" vertical="center"/>
    </xf>
    <xf numFmtId="0" fontId="8" fillId="25" borderId="1" applyAlignment="1" pivotButton="0" quotePrefix="0" xfId="0">
      <alignment horizontal="center" vertical="center"/>
    </xf>
    <xf numFmtId="0" fontId="9" fillId="17" borderId="1" applyAlignment="1" pivotButton="0" quotePrefix="0" xfId="0">
      <alignment horizontal="left" vertical="center" wrapText="1"/>
    </xf>
    <xf numFmtId="0" fontId="9" fillId="12" borderId="1" applyAlignment="1" pivotButton="0" quotePrefix="0" xfId="0">
      <alignment horizontal="left" vertical="center" wrapText="1"/>
    </xf>
    <xf numFmtId="164" fontId="20" fillId="13" borderId="0" applyAlignment="1" pivotButton="0" quotePrefix="0" xfId="0">
      <alignment horizontal="center" vertical="center"/>
    </xf>
    <xf numFmtId="0" fontId="3" fillId="4" borderId="1" applyAlignment="1" pivotButton="0" quotePrefix="0" xfId="0">
      <alignment horizontal="left" vertical="center" indent="1"/>
    </xf>
    <xf numFmtId="0" fontId="3" fillId="4" borderId="1" applyAlignment="1" pivotButton="0" quotePrefix="0" xfId="0">
      <alignment horizontal="right" vertical="center"/>
    </xf>
    <xf numFmtId="0" fontId="3" fillId="5" borderId="1" applyAlignment="1" pivotButton="0" quotePrefix="0" xfId="0">
      <alignment horizontal="left" vertical="center" indent="1"/>
    </xf>
    <xf numFmtId="0" fontId="3" fillId="5" borderId="1" applyAlignment="1" pivotButton="0" quotePrefix="0" xfId="0">
      <alignment horizontal="right" vertical="center"/>
    </xf>
    <xf numFmtId="0" fontId="3" fillId="6" borderId="1" applyAlignment="1" pivotButton="0" quotePrefix="0" xfId="0">
      <alignment horizontal="left" vertical="center" indent="1"/>
    </xf>
    <xf numFmtId="0" fontId="3" fillId="6" borderId="1" applyAlignment="1" pivotButton="0" quotePrefix="0" xfId="0">
      <alignment horizontal="right" vertical="center"/>
    </xf>
    <xf numFmtId="0" fontId="3" fillId="2" borderId="1" applyAlignment="1" pivotButton="0" quotePrefix="0" xfId="0">
      <alignment horizontal="left" vertical="center" indent="1"/>
    </xf>
    <xf numFmtId="0" fontId="12" fillId="12" borderId="0" applyAlignment="1" pivotButton="0" quotePrefix="0" xfId="0">
      <alignment horizontal="left" vertical="center" indent="2"/>
    </xf>
    <xf numFmtId="0" fontId="16" fillId="0" borderId="0" applyAlignment="1" pivotButton="0" quotePrefix="0" xfId="0">
      <alignment horizontal="center" vertical="center"/>
    </xf>
    <xf numFmtId="0" fontId="1" fillId="2" borderId="0" applyAlignment="1" pivotButton="0" quotePrefix="0" xfId="0">
      <alignment horizontal="center" vertical="center"/>
    </xf>
    <xf numFmtId="0" fontId="3" fillId="4" borderId="0" applyAlignment="1" pivotButton="0" quotePrefix="0" xfId="0">
      <alignment horizontal="center" vertical="center"/>
    </xf>
    <xf numFmtId="0" fontId="3" fillId="5" borderId="0" applyAlignment="1" pivotButton="0" quotePrefix="0" xfId="0">
      <alignment horizontal="center" vertical="center"/>
    </xf>
    <xf numFmtId="0" fontId="3" fillId="6" borderId="0" applyAlignment="1" pivotButton="0" quotePrefix="0" xfId="0">
      <alignment horizontal="center" vertical="center"/>
    </xf>
    <xf numFmtId="3" fontId="4" fillId="4" borderId="0" applyAlignment="1" pivotButton="0" quotePrefix="0" xfId="0">
      <alignment horizontal="center" vertical="center"/>
    </xf>
    <xf numFmtId="3" fontId="4" fillId="5" borderId="0" applyAlignment="1" pivotButton="0" quotePrefix="0" xfId="0">
      <alignment horizontal="center" vertical="center"/>
    </xf>
    <xf numFmtId="3" fontId="4" fillId="6" borderId="0" applyAlignment="1" pivotButton="0" quotePrefix="0" xfId="0">
      <alignment horizontal="center" vertical="center"/>
    </xf>
    <xf numFmtId="168" fontId="5" fillId="4" borderId="0" applyAlignment="1" pivotButton="0" quotePrefix="0" xfId="0">
      <alignment horizontal="center" vertical="center"/>
    </xf>
    <xf numFmtId="168" fontId="6" fillId="5" borderId="0" applyAlignment="1" pivotButton="0" quotePrefix="0" xfId="0">
      <alignment horizontal="center" vertical="center"/>
    </xf>
    <xf numFmtId="168" fontId="7" fillId="6" borderId="0" applyAlignment="1" pivotButton="0" quotePrefix="0" xfId="0">
      <alignment horizontal="center" vertical="center"/>
    </xf>
    <xf numFmtId="0" fontId="21" fillId="14" borderId="0" applyAlignment="1" pivotButton="0" quotePrefix="0" xfId="0">
      <alignment horizontal="center" vertical="center"/>
    </xf>
    <xf numFmtId="0" fontId="22" fillId="0" borderId="0" pivotButton="0" quotePrefix="0" xfId="0"/>
    <xf numFmtId="0" fontId="25" fillId="0" borderId="0" pivotButton="0" quotePrefix="0" xfId="0"/>
    <xf numFmtId="0" fontId="26" fillId="0" borderId="0" pivotButton="0" quotePrefix="0" xfId="0"/>
    <xf numFmtId="0" fontId="27" fillId="0" borderId="2" pivotButton="0" quotePrefix="0" xfId="0"/>
    <xf numFmtId="0" fontId="29" fillId="0" borderId="0" pivotButton="0" quotePrefix="0" xfId="0"/>
    <xf numFmtId="0" fontId="30" fillId="0" borderId="0" pivotButton="0" quotePrefix="0" xfId="0"/>
    <xf numFmtId="0" fontId="31" fillId="2" borderId="0" applyAlignment="1" pivotButton="0" quotePrefix="0" xfId="0">
      <alignment horizontal="center" vertical="center"/>
    </xf>
    <xf numFmtId="0" fontId="2" fillId="2" borderId="0" applyAlignment="1" pivotButton="0" quotePrefix="0" xfId="0">
      <alignment horizontal="left" vertical="center"/>
    </xf>
    <xf numFmtId="0" fontId="8" fillId="4" borderId="0" applyAlignment="1" pivotButton="0" quotePrefix="0" xfId="0">
      <alignment horizontal="left" vertical="center" indent="1"/>
    </xf>
    <xf numFmtId="2" fontId="10" fillId="4" borderId="0" applyAlignment="1" pivotButton="0" quotePrefix="0" xfId="0">
      <alignment horizontal="right" vertical="center"/>
    </xf>
    <xf numFmtId="0" fontId="8" fillId="5" borderId="0" applyAlignment="1" pivotButton="0" quotePrefix="0" xfId="0">
      <alignment horizontal="left" vertical="center" indent="1"/>
    </xf>
    <xf numFmtId="2" fontId="10" fillId="5" borderId="0" applyAlignment="1" pivotButton="0" quotePrefix="0" xfId="0">
      <alignment horizontal="right" vertical="center"/>
    </xf>
    <xf numFmtId="2" fontId="8" fillId="5" borderId="0" applyAlignment="1" pivotButton="0" quotePrefix="0" xfId="0">
      <alignment horizontal="left" vertical="center" indent="1"/>
    </xf>
    <xf numFmtId="0" fontId="8" fillId="6" borderId="0" applyAlignment="1" pivotButton="0" quotePrefix="0" xfId="0">
      <alignment horizontal="left" vertical="center" indent="1"/>
    </xf>
    <xf numFmtId="3" fontId="10" fillId="6" borderId="0" applyAlignment="1" pivotButton="0" quotePrefix="0" xfId="0">
      <alignment horizontal="right" vertical="center"/>
    </xf>
    <xf numFmtId="14" fontId="9" fillId="7" borderId="1" applyAlignment="1" pivotButton="0" quotePrefix="0" xfId="0">
      <alignment horizontal="center" vertical="center"/>
    </xf>
    <xf numFmtId="0" fontId="3" fillId="5" borderId="4" applyAlignment="1" pivotButton="0" quotePrefix="0" xfId="0">
      <alignment horizontal="left" vertical="center" indent="1"/>
    </xf>
    <xf numFmtId="0" fontId="3" fillId="5" borderId="5" applyAlignment="1" pivotButton="0" quotePrefix="0" xfId="0">
      <alignment horizontal="left" vertical="center" indent="1"/>
    </xf>
    <xf numFmtId="0" fontId="3" fillId="5" borderId="6" applyAlignment="1" pivotButton="0" quotePrefix="0" xfId="0">
      <alignment horizontal="left" vertical="center" indent="1"/>
    </xf>
    <xf numFmtId="0" fontId="3" fillId="4" borderId="4" applyAlignment="1" pivotButton="0" quotePrefix="0" xfId="0">
      <alignment horizontal="right" vertical="center"/>
    </xf>
    <xf numFmtId="0" fontId="3" fillId="4" borderId="5" applyAlignment="1" pivotButton="0" quotePrefix="0" xfId="0">
      <alignment horizontal="right" vertical="center"/>
    </xf>
    <xf numFmtId="0" fontId="3" fillId="4" borderId="6" applyAlignment="1" pivotButton="0" quotePrefix="0" xfId="0">
      <alignment horizontal="right" vertical="center"/>
    </xf>
    <xf numFmtId="9" fontId="9" fillId="7" borderId="1" applyAlignment="1" pivotButton="0" quotePrefix="0" xfId="0">
      <alignment horizontal="center" vertical="center"/>
    </xf>
    <xf numFmtId="9" fontId="9" fillId="12" borderId="1" applyAlignment="1" pivotButton="0" quotePrefix="0" xfId="0">
      <alignment horizontal="center" vertical="center"/>
    </xf>
    <xf numFmtId="14" fontId="9" fillId="12" borderId="1" applyAlignment="1" pivotButton="0" quotePrefix="0" xfId="0">
      <alignment horizontal="center" vertical="center"/>
    </xf>
    <xf numFmtId="0" fontId="33" fillId="12" borderId="1" applyAlignment="1" pivotButton="0" quotePrefix="0" xfId="0">
      <alignment horizontal="left" vertical="center"/>
    </xf>
    <xf numFmtId="0" fontId="33" fillId="12" borderId="1" applyAlignment="1" pivotButton="0" quotePrefix="0" xfId="0">
      <alignment horizontal="center" vertical="center"/>
    </xf>
    <xf numFmtId="3" fontId="33" fillId="12" borderId="1" applyAlignment="1" pivotButton="0" quotePrefix="0" xfId="0">
      <alignment horizontal="right" vertical="center"/>
    </xf>
    <xf numFmtId="167" fontId="33" fillId="12" borderId="1" applyAlignment="1" pivotButton="0" quotePrefix="0" xfId="0">
      <alignment horizontal="center" vertical="center"/>
    </xf>
    <xf numFmtId="0" fontId="8" fillId="26" borderId="1" applyAlignment="1" pivotButton="0" quotePrefix="0" xfId="0">
      <alignment horizontal="center" vertical="center"/>
    </xf>
    <xf numFmtId="0" fontId="33" fillId="7" borderId="1" applyAlignment="1" pivotButton="0" quotePrefix="0" xfId="0">
      <alignment horizontal="left" vertical="center"/>
    </xf>
    <xf numFmtId="0" fontId="33" fillId="7" borderId="1" applyAlignment="1" pivotButton="0" quotePrefix="0" xfId="0">
      <alignment horizontal="center" vertical="center"/>
    </xf>
    <xf numFmtId="168" fontId="5" fillId="4" borderId="0" applyAlignment="1" pivotButton="0" quotePrefix="0" xfId="0">
      <alignment horizontal="center" vertical="center"/>
    </xf>
    <xf numFmtId="168" fontId="6" fillId="5" borderId="0" applyAlignment="1" pivotButton="0" quotePrefix="0" xfId="0">
      <alignment horizontal="center" vertical="center"/>
    </xf>
    <xf numFmtId="168" fontId="7" fillId="6" borderId="0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164" fontId="5" fillId="4" borderId="0" applyAlignment="1" pivotButton="0" quotePrefix="0" xfId="0">
      <alignment horizontal="center" vertical="center"/>
    </xf>
    <xf numFmtId="164" fontId="6" fillId="5" borderId="0" applyAlignment="1" pivotButton="0" quotePrefix="0" xfId="0">
      <alignment horizontal="center" vertical="center"/>
    </xf>
    <xf numFmtId="164" fontId="7" fillId="6" borderId="0" applyAlignment="1" pivotButton="0" quotePrefix="0" xfId="0">
      <alignment horizontal="center" vertical="center"/>
    </xf>
    <xf numFmtId="164" fontId="20" fillId="1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0" borderId="2" pivotButton="0" quotePrefix="0" xfId="0"/>
    <xf numFmtId="165" fontId="0" fillId="0" borderId="3" applyAlignment="1" pivotButton="0" quotePrefix="0" xfId="0">
      <alignment horizontal="center" vertical="center"/>
    </xf>
    <xf numFmtId="164" fontId="0" fillId="0" borderId="3" applyAlignment="1" pivotButton="0" quotePrefix="0" xfId="0">
      <alignment horizontal="center" vertical="center"/>
    </xf>
    <xf numFmtId="166" fontId="0" fillId="0" borderId="3" applyAlignment="1" pivotButton="0" quotePrefix="0" xfId="0">
      <alignment horizontal="center" vertical="center"/>
    </xf>
    <xf numFmtId="165" fontId="23" fillId="16" borderId="3" applyAlignment="1" pivotButton="0" quotePrefix="0" xfId="0">
      <alignment horizontal="center" vertical="center"/>
    </xf>
    <xf numFmtId="164" fontId="23" fillId="16" borderId="3" applyAlignment="1" pivotButton="0" quotePrefix="0" xfId="0">
      <alignment horizontal="center" vertical="center"/>
    </xf>
    <xf numFmtId="166" fontId="23" fillId="16" borderId="3" applyAlignment="1" pivotButton="0" quotePrefix="0" xfId="0">
      <alignment horizontal="center" vertical="center"/>
    </xf>
    <xf numFmtId="165" fontId="0" fillId="0" borderId="3" pivotButton="0" quotePrefix="0" xfId="0"/>
    <xf numFmtId="167" fontId="9" fillId="17" borderId="1" applyAlignment="1" pivotButton="0" quotePrefix="0" xfId="0">
      <alignment horizontal="center" vertical="center"/>
    </xf>
    <xf numFmtId="167" fontId="9" fillId="12" borderId="1" applyAlignment="1" pivotButton="0" quotePrefix="0" xfId="0">
      <alignment horizontal="center" vertical="center"/>
    </xf>
    <xf numFmtId="167" fontId="9" fillId="21" borderId="1" applyAlignment="1" pivotButton="0" quotePrefix="0" xfId="0">
      <alignment horizontal="center" vertical="center"/>
    </xf>
    <xf numFmtId="167" fontId="9" fillId="7" borderId="1" applyAlignment="1" pivotButton="0" quotePrefix="0" xfId="0">
      <alignment horizontal="center" vertical="center"/>
    </xf>
    <xf numFmtId="167" fontId="33" fillId="12" borderId="1" applyAlignment="1" pivotButton="0" quotePrefix="0" xfId="0">
      <alignment horizontal="center" vertical="center"/>
    </xf>
    <xf numFmtId="0" fontId="34" fillId="0" borderId="0" pivotButton="0" quotePrefix="0" xfId="0"/>
    <xf numFmtId="169" fontId="0" fillId="0" borderId="0" pivotButton="0" quotePrefix="0" xfId="0"/>
    <xf numFmtId="0" fontId="35" fillId="27" borderId="0" applyAlignment="1" pivotButton="0" quotePrefix="0" xfId="0">
      <alignment horizontal="center"/>
    </xf>
    <xf numFmtId="0" fontId="36" fillId="28" borderId="0" applyAlignment="1" pivotButton="0" quotePrefix="0" xfId="0">
      <alignment horizontal="center" vertical="center"/>
    </xf>
    <xf numFmtId="0" fontId="37" fillId="0" borderId="0" applyAlignment="1" pivotButton="0" quotePrefix="0" xfId="0">
      <alignment horizontal="center"/>
    </xf>
    <xf numFmtId="0" fontId="38" fillId="0" borderId="0" applyAlignment="1" pivotButton="0" quotePrefix="0" xfId="0">
      <alignment horizontal="center"/>
    </xf>
    <xf numFmtId="0" fontId="39" fillId="29" borderId="9" applyAlignment="1" pivotButton="0" quotePrefix="0" xfId="0">
      <alignment horizontal="center" vertical="center"/>
    </xf>
    <xf numFmtId="0" fontId="0" fillId="0" borderId="9" pivotButton="0" quotePrefix="0" xfId="0"/>
    <xf numFmtId="0" fontId="39" fillId="31" borderId="9" applyAlignment="1" pivotButton="0" quotePrefix="0" xfId="0">
      <alignment horizontal="center" vertical="center"/>
    </xf>
    <xf numFmtId="0" fontId="39" fillId="32" borderId="9" applyAlignment="1" pivotButton="0" quotePrefix="0" xfId="0">
      <alignment horizontal="center" vertical="center"/>
    </xf>
    <xf numFmtId="165" fontId="40" fillId="30" borderId="9" applyAlignment="1" pivotButton="0" quotePrefix="0" xfId="0">
      <alignment horizontal="center" vertical="center"/>
    </xf>
    <xf numFmtId="0" fontId="41" fillId="30" borderId="9" applyAlignment="1" pivotButton="0" quotePrefix="0" xfId="0">
      <alignment horizontal="center"/>
    </xf>
    <xf numFmtId="0" fontId="42" fillId="28" borderId="0" applyAlignment="1" pivotButton="0" quotePrefix="0" xfId="0">
      <alignment horizontal="center" vertical="center"/>
    </xf>
    <xf numFmtId="0" fontId="43" fillId="0" borderId="10" pivotButton="0" quotePrefix="0" xfId="0"/>
    <xf numFmtId="0" fontId="44" fillId="28" borderId="9" applyAlignment="1" pivotButton="0" quotePrefix="0" xfId="0">
      <alignment horizontal="center"/>
    </xf>
    <xf numFmtId="0" fontId="45" fillId="0" borderId="9" applyAlignment="1" pivotButton="0" quotePrefix="0" xfId="0">
      <alignment horizontal="center"/>
    </xf>
    <xf numFmtId="0" fontId="45" fillId="0" borderId="9" pivotButton="0" quotePrefix="0" xfId="0"/>
    <xf numFmtId="169" fontId="45" fillId="0" borderId="9" pivotButton="0" quotePrefix="0" xfId="0"/>
    <xf numFmtId="0" fontId="44" fillId="28" borderId="0" applyAlignment="1" pivotButton="0" quotePrefix="0" xfId="0">
      <alignment horizontal="center"/>
    </xf>
    <xf numFmtId="0" fontId="46" fillId="33" borderId="9" pivotButton="0" quotePrefix="0" xfId="0"/>
    <xf numFmtId="0" fontId="0" fillId="0" borderId="9" applyAlignment="1" pivotButton="0" quotePrefix="0" xfId="0">
      <alignment horizontal="center"/>
    </xf>
    <xf numFmtId="169" fontId="0" fillId="0" borderId="9" applyAlignment="1" pivotButton="0" quotePrefix="0" xfId="0">
      <alignment horizontal="right"/>
    </xf>
    <xf numFmtId="166" fontId="0" fillId="0" borderId="9" applyAlignment="1" pivotButton="0" quotePrefix="0" xfId="0">
      <alignment horizontal="center"/>
    </xf>
    <xf numFmtId="0" fontId="46" fillId="34" borderId="9" pivotButton="0" quotePrefix="0" xfId="0"/>
    <xf numFmtId="0" fontId="46" fillId="35" borderId="9" pivotButton="0" quotePrefix="0" xfId="0"/>
    <xf numFmtId="0" fontId="46" fillId="36" borderId="9" pivotButton="0" quotePrefix="0" xfId="0"/>
    <xf numFmtId="0" fontId="46" fillId="37" borderId="9" pivotButton="0" quotePrefix="0" xfId="0"/>
    <xf numFmtId="0" fontId="46" fillId="38" borderId="9" pivotButton="0" quotePrefix="0" xfId="0"/>
    <xf numFmtId="0" fontId="46" fillId="39" borderId="9" pivotButton="0" quotePrefix="0" xfId="0"/>
    <xf numFmtId="0" fontId="46" fillId="40" borderId="9" pivotButton="0" quotePrefix="0" xfId="0"/>
    <xf numFmtId="0" fontId="47" fillId="0" borderId="0" applyAlignment="1" pivotButton="0" quotePrefix="0" xfId="0">
      <alignment horizontal="center"/>
    </xf>
    <xf numFmtId="0" fontId="0" fillId="0" borderId="13" pivotButton="0" quotePrefix="0" xfId="0"/>
    <xf numFmtId="0" fontId="0" fillId="0" borderId="12" pivotButton="0" quotePrefix="0" xfId="0"/>
    <xf numFmtId="0" fontId="0" fillId="0" borderId="16" pivotButton="0" quotePrefix="0" xfId="0"/>
    <xf numFmtId="0" fontId="0" fillId="0" borderId="17" pivotButton="0" quotePrefix="0" xfId="0"/>
    <xf numFmtId="0" fontId="0" fillId="0" borderId="18" pivotButton="0" quotePrefix="0" xfId="0"/>
    <xf numFmtId="0" fontId="43" fillId="0" borderId="19" pivotButton="0" quotePrefix="0" xfId="0"/>
  </cellXfs>
  <cellStyles count="1">
    <cellStyle name="Standard" xfId="0" builtinId="0"/>
  </cellStyles>
  <dxfs count="9">
    <dxf>
      <font>
        <b val="1"/>
        <color rgb="00FFFFFF"/>
      </font>
      <fill>
        <patternFill patternType="solid">
          <fgColor rgb="002E7D32"/>
        </patternFill>
      </fill>
    </dxf>
    <dxf>
      <font>
        <b val="1"/>
        <color rgb="00FFFFFF"/>
      </font>
      <fill>
        <patternFill patternType="solid">
          <fgColor rgb="001565C0"/>
        </patternFill>
      </fill>
    </dxf>
    <dxf>
      <font>
        <b val="1"/>
        <color rgb="00FFFFFF"/>
      </font>
      <fill>
        <patternFill patternType="solid">
          <fgColor rgb="001976D2"/>
        </patternFill>
      </fill>
    </dxf>
    <dxf>
      <font>
        <b val="1"/>
        <color rgb="00FFFFFF"/>
      </font>
      <fill>
        <patternFill patternType="solid">
          <fgColor rgb="00F57C00"/>
        </patternFill>
      </fill>
    </dxf>
    <dxf>
      <font>
        <b val="1"/>
        <color rgb="00000000"/>
      </font>
      <fill>
        <patternFill patternType="solid">
          <fgColor rgb="00FFD600"/>
        </patternFill>
      </fill>
    </dxf>
    <dxf>
      <font>
        <b val="1"/>
        <color rgb="00FFFFFF"/>
      </font>
      <fill>
        <patternFill patternType="solid">
          <fgColor rgb="009E9E9E"/>
        </patternFill>
      </fill>
    </dxf>
    <dxf>
      <font>
        <b val="1"/>
        <color rgb="00FFFFFF"/>
      </font>
      <fill>
        <patternFill patternType="solid">
          <fgColor rgb="00BDBDBD"/>
        </patternFill>
      </fill>
    </dxf>
    <dxf>
      <font>
        <b val="1"/>
        <color rgb="00FFFFFF"/>
      </font>
      <fill>
        <patternFill patternType="solid">
          <fgColor rgb="00C62828"/>
        </patternFill>
      </fill>
    </dxf>
    <dxf>
      <font>
        <b val="1"/>
        <color rgb="00FFFFFF"/>
      </font>
      <fill>
        <patternFill patternType="solid">
          <fgColor rgb="00B71C1C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F3E5F5"/>
      <rgbColor rgb="FF0D47A1"/>
      <rgbColor rgb="FFD9D9D9"/>
      <rgbColor rgb="FFE65100"/>
      <rgbColor rgb="FFE8EEF7"/>
      <rgbColor rgb="FF991B1B"/>
      <rgbColor rgb="FF166534"/>
      <rgbColor rgb="FF111111"/>
      <rgbColor rgb="FF2E7D32"/>
      <rgbColor rgb="FF6A1B9A"/>
      <rgbColor rgb="FF0891B2"/>
      <rgbColor rgb="FFB3B3B3"/>
      <rgbColor rgb="FF888985"/>
      <rgbColor rgb="FF9EA2C8"/>
      <rgbColor rgb="FF7C2D12"/>
      <rgbColor rgb="FFFEF3C7"/>
      <rgbColor rgb="FFDCFCE7"/>
      <rgbColor rgb="FF555555"/>
      <rgbColor rgb="FFDC853E"/>
      <rgbColor rgb="FF1565C0"/>
      <rgbColor rgb="FFBBDDFF"/>
      <rgbColor rgb="FF1E3A5F"/>
      <rgbColor rgb="FFF8FAFC"/>
      <rgbColor rgb="FFF0FDF4"/>
      <rgbColor rgb="FFF5F5F5"/>
      <rgbColor rgb="FF7C3AED"/>
      <rgbColor rgb="FFDC2626"/>
      <rgbColor rgb="FF1A7A4A"/>
      <rgbColor rgb="FF2E5496"/>
      <rgbColor rgb="FF1B5E20"/>
      <rgbColor rgb="FFDBEAFE"/>
      <rgbColor rgb="FFBBFFCC"/>
      <rgbColor rgb="FFFEF2F2"/>
      <rgbColor rgb="FFB8CD97"/>
      <rgbColor rgb="FFD09493"/>
      <rgbColor rgb="FFDDBBFF"/>
      <rgbColor rgb="FFFFDDAA"/>
      <rgbColor rgb="FF2563EB"/>
      <rgbColor rgb="FF4B83B7"/>
      <rgbColor rgb="FFAAAAAA"/>
      <rgbColor rgb="FFD97706"/>
      <rgbColor rgb="FFD4A017"/>
      <rgbColor rgb="FFF57C00"/>
      <rgbColor rgb="FF6C7081"/>
      <rgbColor rgb="FFA9A9A9"/>
      <rgbColor rgb="FF1F3864"/>
      <rgbColor rgb="FF16A34A"/>
      <rgbColor rgb="FF0D1117"/>
      <rgbColor rgb="FF1E293B"/>
      <rgbColor rgb="FF94410F"/>
      <rgbColor rgb="FFC8102E"/>
      <rgbColor rgb="FF4C1D95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Top 5 WON-Deals</a:t>
            </a:r>
          </a:p>
        </rich>
      </tx>
    </title>
    <plotArea>
      <barChart>
        <barDir val="bar"/>
        <grouping val="clustered"/>
        <ser>
          <idx val="0"/>
          <order val="0"/>
          <spPr>
            <a:ln>
              <a:prstDash val="solid"/>
            </a:ln>
          </spPr>
          <cat>
            <numRef>
              <f>'CEO Report'!$N$5:$N$9</f>
            </numRef>
          </cat>
          <val>
            <numRef>
              <f>'CEO Report'!$M$5:$M$9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Pipeline — Status nach Anzahl</a:t>
            </a:r>
          </a:p>
        </rich>
      </tx>
    </title>
    <plotArea>
      <doughnutChart>
        <varyColors val="1"/>
        <ser>
          <idx val="0"/>
          <order val="0"/>
          <tx>
            <strRef>
              <f>'Dashboard'!M5</f>
            </strRef>
          </tx>
          <spPr>
            <a:ln>
              <a:prstDash val="solid"/>
            </a:ln>
          </spPr>
          <cat>
            <numRef>
              <f>'Dashboard'!$L$6:$L$15</f>
            </numRef>
          </cat>
          <val>
            <numRef>
              <f>'Dashboard'!$M$6:$M$15</f>
            </numRef>
          </val>
        </ser>
        <dLbls>
          <showVal val="0"/>
          <showPercent val="1"/>
        </dLbls>
        <firstSliceAng val="0"/>
        <holeSize val="10"/>
      </doughnutChart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Pipeline — Status nach Volumen CHF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'Dashboard'!N5</f>
            </strRef>
          </tx>
          <spPr>
            <a:ln>
              <a:prstDash val="solid"/>
            </a:ln>
          </spPr>
          <cat>
            <numRef>
              <f>'Dashboard'!$L$6:$L$15</f>
            </numRef>
          </cat>
          <val>
            <numRef>
              <f>'Dashboard'!$N$6:$N$15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de-CH" sz="1800" b="1" strike="noStrike" spc="-1">
                <a:solidFill>
                  <a:srgbClr val="000000"/>
                </a:solidFill>
                <a:latin typeface="Calibri"/>
              </a:rPr>
              <a:t>Pipeline-Verteilung nach Status (Anzahl)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doughnutChart>
        <varyColors val="1"/>
        <ser>
          <idx val="0"/>
          <order val="0"/>
          <tx>
            <strRef>
              <f>'📊 Diagramme'!$B$21</f>
              <strCache>
                <ptCount val="1"/>
                <pt idx="0">
                  <v>Anzahl</v>
                </pt>
              </strCache>
            </strRef>
          </tx>
          <spPr>
            <a:solidFill>
              <a:srgbClr val="4F81BD"/>
            </a:solidFill>
            <a:ln w="0">
              <a:noFill/>
              <a:prstDash val="solid"/>
            </a:ln>
          </spPr>
          <dPt>
            <idx val="0"/>
            <bubble3D val="0"/>
            <spPr>
              <a:solidFill>
                <a:srgbClr val="4672A8"/>
              </a:solidFill>
              <a:ln w="0">
                <a:noFill/>
                <a:prstDash val="solid"/>
              </a:ln>
            </spPr>
          </dPt>
          <dPt>
            <idx val="1"/>
            <bubble3D val="0"/>
            <spPr>
              <a:solidFill>
                <a:srgbClr val="AB4744"/>
              </a:solidFill>
              <a:ln w="0">
                <a:noFill/>
                <a:prstDash val="solid"/>
              </a:ln>
            </spPr>
          </dPt>
          <dPt>
            <idx val="2"/>
            <bubble3D val="0"/>
            <spPr>
              <a:solidFill>
                <a:srgbClr val="8AA64F"/>
              </a:solidFill>
              <a:ln w="0">
                <a:noFill/>
                <a:prstDash val="solid"/>
              </a:ln>
            </spPr>
          </dPt>
          <dPt>
            <idx val="3"/>
            <bubble3D val="0"/>
            <spPr>
              <a:solidFill>
                <a:srgbClr val="725990"/>
              </a:solidFill>
              <a:ln w="0">
                <a:noFill/>
                <a:prstDash val="solid"/>
              </a:ln>
            </spPr>
          </dPt>
          <dPt>
            <idx val="4"/>
            <bubble3D val="0"/>
            <spPr>
              <a:solidFill>
                <a:srgbClr val="4299B0"/>
              </a:solidFill>
              <a:ln w="0">
                <a:noFill/>
                <a:prstDash val="solid"/>
              </a:ln>
            </spPr>
          </dPt>
          <dPt>
            <idx val="5"/>
            <bubble3D val="0"/>
            <spPr>
              <a:solidFill>
                <a:srgbClr val="DC853E"/>
              </a:solidFill>
              <a:ln w="0">
                <a:noFill/>
                <a:prstDash val="solid"/>
              </a:ln>
            </spPr>
          </dPt>
          <dPt>
            <idx val="6"/>
            <bubble3D val="0"/>
            <spPr>
              <a:solidFill>
                <a:srgbClr val="93A9CE"/>
              </a:solidFill>
              <a:ln w="0">
                <a:noFill/>
                <a:prstDash val="solid"/>
              </a:ln>
            </spPr>
          </dPt>
          <dPt>
            <idx val="7"/>
            <bubble3D val="0"/>
            <spPr>
              <a:solidFill>
                <a:srgbClr val="D09493"/>
              </a:solidFill>
              <a:ln w="0">
                <a:noFill/>
                <a:prstDash val="solid"/>
              </a:ln>
            </spPr>
          </dPt>
          <dPt>
            <idx val="8"/>
            <bubble3D val="0"/>
            <spPr>
              <a:solidFill>
                <a:srgbClr val="B8CD97"/>
              </a:solidFill>
              <a:ln w="0">
                <a:noFill/>
                <a:prstDash val="solid"/>
              </a:ln>
            </spPr>
          </dPt>
          <dPt>
            <idx val="9"/>
            <bubble3D val="0"/>
            <spPr>
              <a:solidFill>
                <a:srgbClr val="A99BBD"/>
              </a:solidFill>
              <a:ln w="0">
                <a:noFill/>
                <a:prstDash val="solid"/>
              </a:ln>
            </spPr>
          </dPt>
          <dLbls>
            <dLbl>
              <idx val="0"/>
              <spPr>
                <a:ln>
                  <a:prstDash val="solid"/>
                </a:ln>
              </spPr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  <a:endParaRPr lang="de-DE"/>
                </a:p>
              </txPr>
              <showLegendKey val="1"/>
              <showVal val="1"/>
              <showCatName val="0"/>
              <showSerName val="1"/>
              <showPercent val="1"/>
              <showBubbleSize val="1"/>
            </dLbl>
            <dLbl>
              <idx val="1"/>
              <spPr>
                <a:ln>
                  <a:prstDash val="solid"/>
                </a:ln>
              </spPr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  <a:endParaRPr lang="de-DE"/>
                </a:p>
              </txPr>
              <showLegendKey val="1"/>
              <showVal val="1"/>
              <showCatName val="0"/>
              <showSerName val="1"/>
              <showPercent val="1"/>
              <showBubbleSize val="1"/>
            </dLbl>
            <dLbl>
              <idx val="2"/>
              <spPr>
                <a:ln>
                  <a:prstDash val="solid"/>
                </a:ln>
              </spPr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  <a:endParaRPr lang="de-DE"/>
                </a:p>
              </txPr>
              <showLegendKey val="1"/>
              <showVal val="1"/>
              <showCatName val="0"/>
              <showSerName val="1"/>
              <showPercent val="1"/>
              <showBubbleSize val="1"/>
            </dLbl>
            <dLbl>
              <idx val="3"/>
              <spPr>
                <a:ln>
                  <a:prstDash val="solid"/>
                </a:ln>
              </spPr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  <a:endParaRPr lang="de-DE"/>
                </a:p>
              </txPr>
              <showLegendKey val="1"/>
              <showVal val="1"/>
              <showCatName val="0"/>
              <showSerName val="1"/>
              <showPercent val="1"/>
              <showBubbleSize val="1"/>
            </dLbl>
            <dLbl>
              <idx val="4"/>
              <spPr>
                <a:ln>
                  <a:prstDash val="solid"/>
                </a:ln>
              </spPr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  <a:endParaRPr lang="de-DE"/>
                </a:p>
              </txPr>
              <showLegendKey val="1"/>
              <showVal val="1"/>
              <showCatName val="0"/>
              <showSerName val="1"/>
              <showPercent val="1"/>
              <showBubbleSize val="1"/>
            </dLbl>
            <dLbl>
              <idx val="5"/>
              <spPr>
                <a:ln>
                  <a:prstDash val="solid"/>
                </a:ln>
              </spPr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  <a:endParaRPr lang="de-DE"/>
                </a:p>
              </txPr>
              <showLegendKey val="1"/>
              <showVal val="1"/>
              <showCatName val="0"/>
              <showSerName val="1"/>
              <showPercent val="1"/>
              <showBubbleSize val="1"/>
            </dLbl>
            <dLbl>
              <idx val="6"/>
              <spPr>
                <a:ln>
                  <a:prstDash val="solid"/>
                </a:ln>
              </spPr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  <a:endParaRPr lang="de-DE"/>
                </a:p>
              </txPr>
              <showLegendKey val="1"/>
              <showVal val="1"/>
              <showCatName val="0"/>
              <showSerName val="1"/>
              <showPercent val="1"/>
              <showBubbleSize val="1"/>
            </dLbl>
            <dLbl>
              <idx val="7"/>
              <spPr>
                <a:ln>
                  <a:prstDash val="solid"/>
                </a:ln>
              </spPr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  <a:endParaRPr lang="de-DE"/>
                </a:p>
              </txPr>
              <showLegendKey val="1"/>
              <showVal val="1"/>
              <showCatName val="0"/>
              <showSerName val="1"/>
              <showPercent val="1"/>
              <showBubbleSize val="1"/>
            </dLbl>
            <dLbl>
              <idx val="8"/>
              <spPr>
                <a:ln>
                  <a:prstDash val="solid"/>
                </a:ln>
              </spPr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  <a:endParaRPr lang="de-DE"/>
                </a:p>
              </txPr>
              <showLegendKey val="1"/>
              <showVal val="1"/>
              <showCatName val="0"/>
              <showSerName val="1"/>
              <showPercent val="1"/>
              <showBubbleSize val="1"/>
            </dLbl>
            <dLbl>
              <idx val="9"/>
              <spPr>
                <a:ln>
                  <a:prstDash val="solid"/>
                </a:ln>
              </spPr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  <a:endParaRPr lang="de-DE"/>
                </a:p>
              </txPr>
              <showLegendKey val="1"/>
              <showVal val="1"/>
              <showCatName val="0"/>
              <showSerName val="1"/>
              <showPercent val="1"/>
              <showBubbleSize val="1"/>
            </dLbl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t>None</a:t>
                </a:r>
                <a:endParaRPr lang="de-DE"/>
              </a:p>
            </txPr>
            <showLegendKey val="1"/>
            <showVal val="1"/>
            <showCatName val="0"/>
            <showSerName val="1"/>
            <showPercent val="1"/>
            <showBubbleSize val="1"/>
            <showLeaderLines val="1"/>
          </dLbls>
          <cat>
            <strRef>
              <f>'📊 Diagramme'!$A$22:$A$31</f>
              <strCache>
                <ptCount val="10"/>
                <pt idx="0">
                  <v>✅ WON</v>
                </pt>
                <pt idx="1">
                  <v>📄 Offerte</v>
                </pt>
                <pt idx="2">
                  <v>📝 To Offer</v>
                </pt>
                <pt idx="3">
                  <v>🎯 Follow-Up</v>
                </pt>
                <pt idx="4">
                  <v>🔍 Evaluation (gesamt)</v>
                </pt>
                <pt idx="5">
                  <v>🔍 In Eval.</v>
                </pt>
                <pt idx="6">
                  <v>⏸ On Hold</v>
                </pt>
                <pt idx="7">
                  <v>❓ TBD</v>
                </pt>
                <pt idx="8">
                  <v>❌ LOST</v>
                </pt>
                <pt idx="9">
                  <v>🚫 Declined</v>
                </pt>
              </strCache>
            </strRef>
          </cat>
          <val>
            <numRef>
              <f>'📊 Diagramme'!$B$22:$B$31</f>
              <numCache>
                <formatCode>General</formatCode>
                <ptCount val="10"/>
                <pt idx="0">
                  <v>6</v>
                </pt>
                <pt idx="1">
                  <v>15</v>
                </pt>
                <pt idx="2">
                  <v>0</v>
                </pt>
                <pt idx="3">
                  <v>2</v>
                </pt>
                <pt idx="4">
                  <v>4</v>
                </pt>
                <pt idx="5">
                  <v>2</v>
                </pt>
                <pt idx="6">
                  <v>3</v>
                </pt>
                <pt idx="7">
                  <v>14</v>
                </pt>
                <pt idx="8">
                  <v>3</v>
                </pt>
                <pt idx="9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  <showLeaderLines val="1"/>
        </dLbls>
        <firstSliceAng val="0"/>
        <holeSize val="50"/>
      </doughnutChart>
    </plotArea>
    <legend>
      <legendPos val="r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r>
            <a:t>None</a:t>
          </a:r>
          <a:endParaRPr lang="de-DE"/>
        </a:p>
      </txPr>
    </legend>
    <plotVisOnly val="1"/>
    <dispBlanksAs val="gap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de-CH" sz="1800" b="1" strike="noStrike" spc="-1">
                <a:solidFill>
                  <a:srgbClr val="000000"/>
                </a:solidFill>
                <a:latin typeface="Calibri"/>
              </a:rPr>
              <a:t>Volumen nach Kanton (CHF)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bar"/>
        <grouping val="clustered"/>
        <varyColors val="0"/>
        <ser>
          <idx val="0"/>
          <order val="0"/>
          <tx>
            <strRef>
              <f>'📊 Diagramme'!$F$21</f>
              <strCache>
                <ptCount val="1"/>
                <pt idx="0">
                  <v>Volumen CHF</v>
                </pt>
              </strCache>
            </strRef>
          </tx>
          <spPr>
            <a:solidFill>
              <a:srgbClr val="4F81BD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r>
                  <a:t>None</a:t>
                </a:r>
                <a:endParaRPr lang="de-DE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'📊 Diagramme'!$E$22:$E$36</f>
              <strCache>
                <ptCount val="15"/>
                <pt idx="0">
                  <v>AG</v>
                </pt>
                <pt idx="1">
                  <v>BE</v>
                </pt>
                <pt idx="2">
                  <v>BS</v>
                </pt>
                <pt idx="3">
                  <v>GE</v>
                </pt>
                <pt idx="4">
                  <v>GR</v>
                </pt>
                <pt idx="5">
                  <v>LU</v>
                </pt>
                <pt idx="6">
                  <v>SG</v>
                </pt>
                <pt idx="7">
                  <v>SH</v>
                </pt>
                <pt idx="8">
                  <v>SO</v>
                </pt>
                <pt idx="9">
                  <v>TG</v>
                </pt>
                <pt idx="10">
                  <v>UR</v>
                </pt>
                <pt idx="11">
                  <v>VD</v>
                </pt>
                <pt idx="12">
                  <v>VS</v>
                </pt>
                <pt idx="13">
                  <v>ZG</v>
                </pt>
                <pt idx="14">
                  <v>ZH</v>
                </pt>
              </strCache>
            </strRef>
          </cat>
          <val>
            <numRef>
              <f>'📊 Diagramme'!$F$22:$F$36</f>
              <numCache>
                <formatCode>#,##0" CHF"</formatCode>
                <ptCount val="15"/>
                <pt idx="0">
                  <v>476308.12</v>
                </pt>
                <pt idx="1">
                  <v>58012.12</v>
                </pt>
                <pt idx="2">
                  <v>0</v>
                </pt>
                <pt idx="3">
                  <v>38885</v>
                </pt>
                <pt idx="4">
                  <v>77325.62</v>
                </pt>
                <pt idx="5">
                  <v>3686.2</v>
                </pt>
                <pt idx="6">
                  <v>96658.69</v>
                </pt>
                <pt idx="7">
                  <v>2624715</v>
                </pt>
                <pt idx="8">
                  <v>390000</v>
                </pt>
                <pt idx="9">
                  <v>150000</v>
                </pt>
                <pt idx="10">
                  <v>0</v>
                </pt>
                <pt idx="11">
                  <v>0</v>
                </pt>
                <pt idx="12">
                  <v>115045</v>
                </pt>
                <pt idx="13">
                  <v>0</v>
                </pt>
                <pt idx="14">
                  <v>1308137.35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858962"/>
        <axId val="41069836"/>
      </barChart>
      <catAx>
        <axId val="9858962"/>
        <scaling>
          <orientation val="minMax"/>
        </scaling>
        <delete val="0"/>
        <axPos val="l"/>
        <title>
          <tx>
            <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CH" sz="1000" b="1" strike="noStrike" spc="-1">
                    <a:solidFill>
                      <a:srgbClr val="000000"/>
                    </a:solidFill>
                    <a:latin typeface="Calibri"/>
                  </a:rPr>
                  <a:t>Volumen CHF</a:t>
                </a:r>
              </a:p>
            </rich>
          </tx>
          <overlay val="0"/>
          <spPr>
            <a:noFill/>
            <a:ln w="0">
              <a:noFill/>
              <a:prstDash val="solid"/>
            </a:ln>
          </spPr>
        </title>
        <numFmt formatCode="General" sourceLinked="0"/>
        <majorTickMark val="none"/>
        <minorTickMark val="none"/>
        <tickLblPos val="nextTo"/>
        <spPr>
          <a:ln w="0">
            <a:solidFill>
              <a:srgbClr val="B3B3B3"/>
            </a:solidFill>
            <a:prstDash val="solid"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r>
              <a:t>None</a:t>
            </a:r>
            <a:endParaRPr lang="de-DE"/>
          </a:p>
        </txPr>
        <crossAx val="41069836"/>
        <crosses val="autoZero"/>
        <auto val="1"/>
        <lblAlgn val="ctr"/>
        <lblOffset val="100"/>
        <noMultiLvlLbl val="0"/>
      </catAx>
      <valAx>
        <axId val="41069836"/>
        <scaling>
          <orientation val="minMax"/>
        </scaling>
        <delete val="0"/>
        <axPos val="b"/>
        <majorGridlines>
          <spPr>
            <a:ln w="0">
              <a:solidFill>
                <a:srgbClr val="B3B3B3"/>
              </a:solidFill>
              <a:prstDash val="solid"/>
            </a:ln>
          </spPr>
        </majorGridlines>
        <title>
          <tx>
            <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CH" sz="1000" b="1" strike="noStrike" spc="-1">
                    <a:solidFill>
                      <a:srgbClr val="000000"/>
                    </a:solidFill>
                    <a:latin typeface="Calibri"/>
                  </a:rPr>
                  <a:t>Kanton</a:t>
                </a:r>
              </a:p>
            </rich>
          </tx>
          <overlay val="0"/>
          <spPr>
            <a:noFill/>
            <a:ln w="0">
              <a:noFill/>
              <a:prstDash val="solid"/>
            </a:ln>
          </spPr>
        </title>
        <numFmt formatCode="#,##0&quot; CHF&quot;" sourceLinked="0"/>
        <majorTickMark val="none"/>
        <minorTickMark val="none"/>
        <tickLblPos val="nextTo"/>
        <spPr>
          <a:ln w="0">
            <a:solidFill>
              <a:srgbClr val="B3B3B3"/>
            </a:solidFill>
            <a:prstDash val="solid"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r>
              <a:t>None</a:t>
            </a:r>
            <a:endParaRPr lang="de-DE"/>
          </a:p>
        </txPr>
        <crossAx val="9858962"/>
        <crosses val="autoZero"/>
        <crossBetween val="between"/>
      </valAx>
    </plotArea>
    <legend>
      <legendPos val="r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r>
            <a:t>None</a:t>
          </a:r>
          <a:endParaRPr lang="de-DE"/>
        </a:p>
      </txPr>
    </legend>
    <plotVisOnly val="1"/>
    <dispBlanksAs val="gap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de-CH" sz="1800" b="1" strike="noStrike" spc="-1">
                <a:solidFill>
                  <a:srgbClr val="000000"/>
                </a:solidFill>
                <a:latin typeface="Calibri"/>
              </a:rPr>
              <a:t>Anzahl Deals pro Status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'📊 Diagramme'!$B$21</f>
              <strCache>
                <ptCount val="1"/>
                <pt idx="0">
                  <v>Anzahl</v>
                </pt>
              </strCache>
            </strRef>
          </tx>
          <spPr>
            <a:solidFill>
              <a:srgbClr val="4F81BD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r>
                  <a:t>None</a:t>
                </a:r>
                <a:endParaRPr lang="de-DE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'📊 Diagramme'!$A$22:$A$31</f>
              <strCache>
                <ptCount val="10"/>
                <pt idx="0">
                  <v>✅ WON</v>
                </pt>
                <pt idx="1">
                  <v>📄 Offerte</v>
                </pt>
                <pt idx="2">
                  <v>📝 To Offer</v>
                </pt>
                <pt idx="3">
                  <v>🎯 Follow-Up</v>
                </pt>
                <pt idx="4">
                  <v>🔍 Evaluation (gesamt)</v>
                </pt>
                <pt idx="5">
                  <v>🔍 In Eval.</v>
                </pt>
                <pt idx="6">
                  <v>⏸ On Hold</v>
                </pt>
                <pt idx="7">
                  <v>❓ TBD</v>
                </pt>
                <pt idx="8">
                  <v>❌ LOST</v>
                </pt>
                <pt idx="9">
                  <v>🚫 Declined</v>
                </pt>
              </strCache>
            </strRef>
          </cat>
          <val>
            <numRef>
              <f>'📊 Diagramme'!$B$22:$B$31</f>
              <numCache>
                <formatCode>General</formatCode>
                <ptCount val="10"/>
                <pt idx="0">
                  <v>6</v>
                </pt>
                <pt idx="1">
                  <v>15</v>
                </pt>
                <pt idx="2">
                  <v>0</v>
                </pt>
                <pt idx="3">
                  <v>2</v>
                </pt>
                <pt idx="4">
                  <v>4</v>
                </pt>
                <pt idx="5">
                  <v>2</v>
                </pt>
                <pt idx="6">
                  <v>3</v>
                </pt>
                <pt idx="7">
                  <v>14</v>
                </pt>
                <pt idx="8">
                  <v>3</v>
                </pt>
                <pt idx="9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65854591"/>
        <axId val="36668872"/>
      </barChart>
      <catAx>
        <axId val="65854591"/>
        <scaling>
          <orientation val="minMax"/>
        </scaling>
        <delete val="0"/>
        <axPos val="b"/>
        <numFmt formatCode="General" sourceLinked="0"/>
        <majorTickMark val="none"/>
        <minorTickMark val="none"/>
        <tickLblPos val="nextTo"/>
        <spPr>
          <a:ln w="0">
            <a:solidFill>
              <a:srgbClr val="B3B3B3"/>
            </a:solidFill>
            <a:prstDash val="solid"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r>
              <a:t>None</a:t>
            </a:r>
            <a:endParaRPr lang="de-DE"/>
          </a:p>
        </txPr>
        <crossAx val="36668872"/>
        <crosses val="autoZero"/>
        <auto val="1"/>
        <lblAlgn val="ctr"/>
        <lblOffset val="100"/>
        <noMultiLvlLbl val="0"/>
      </catAx>
      <valAx>
        <axId val="36668872"/>
        <scaling>
          <orientation val="minMax"/>
        </scaling>
        <delete val="0"/>
        <axPos val="l"/>
        <majorGridlines>
          <spPr>
            <a:ln w="0">
              <a:solidFill>
                <a:srgbClr val="B3B3B3"/>
              </a:solidFill>
              <a:prstDash val="solid"/>
            </a:ln>
          </spPr>
        </majorGridlines>
        <numFmt formatCode="General" sourceLinked="0"/>
        <majorTickMark val="none"/>
        <minorTickMark val="none"/>
        <tickLblPos val="nextTo"/>
        <spPr>
          <a:ln w="0">
            <a:solidFill>
              <a:srgbClr val="B3B3B3"/>
            </a:solidFill>
            <a:prstDash val="solid"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r>
              <a:t>None</a:t>
            </a:r>
            <a:endParaRPr lang="de-DE"/>
          </a:p>
        </txPr>
        <crossAx val="65854591"/>
        <crosses val="autoZero"/>
        <crossBetween val="between"/>
      </valAx>
    </plotArea>
    <legend>
      <legendPos val="r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r>
            <a:t>None</a:t>
          </a:r>
          <a:endParaRPr lang="de-DE"/>
        </a:p>
      </txPr>
    </legend>
    <plotVisOnly val="1"/>
    <dispBlanksAs val="gap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de-CH" sz="1800" b="1" strike="noStrike" spc="-1">
                <a:solidFill>
                  <a:srgbClr val="000000"/>
                </a:solidFill>
                <a:latin typeface="Calibri"/>
              </a:rPr>
              <a:t>Volumen nach Segment (CHF)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bar"/>
        <grouping val="clustered"/>
        <varyColors val="0"/>
        <ser>
          <idx val="0"/>
          <order val="0"/>
          <tx>
            <strRef>
              <f>'📊 Diagramme'!$J$21</f>
              <strCache>
                <ptCount val="1"/>
                <pt idx="0">
                  <v>Volumen CHF</v>
                </pt>
              </strCache>
            </strRef>
          </tx>
          <spPr>
            <a:solidFill>
              <a:srgbClr val="4F81BD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r>
                  <a:t>None</a:t>
                </a:r>
                <a:endParaRPr lang="de-DE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'📊 Diagramme'!$I$22:$I$45</f>
              <strCache>
                <ptCount val="24"/>
                <pt idx="0">
                  <v>Events &amp; Kultur</v>
                </pt>
                <pt idx="1">
                  <v>Events &amp; Kongress</v>
                </pt>
                <pt idx="2">
                  <v>Events / Medien</v>
                </pt>
                <pt idx="3">
                  <v>EVU / Energie</v>
                </pt>
                <pt idx="4">
                  <v>Industrie / Elektro</v>
                </pt>
                <pt idx="5">
                  <v>Industrie / Messtechnik</v>
                </pt>
                <pt idx="6">
                  <v>Industrie / Metall</v>
                </pt>
                <pt idx="7">
                  <v>Industrie / Oberfläche</v>
                </pt>
                <pt idx="8">
                  <v>Industrie</v>
                </pt>
                <pt idx="9">
                  <v>Infrastruktur / Bau</v>
                </pt>
                <pt idx="10">
                  <v>Infrastruktur / Bahn</v>
                </pt>
                <pt idx="11">
                  <v>Forschung / Hightech</v>
                </pt>
                <pt idx="12">
                  <v>Elektroinstallation</v>
                </pt>
                <pt idx="13">
                  <v>Hochschule</v>
                </pt>
                <pt idx="14">
                  <v>Kühlung / Konkurrenz</v>
                </pt>
                <pt idx="15">
                  <v>Immobilien / FM</v>
                </pt>
                <pt idx="16">
                  <v>Gemeinde</v>
                </pt>
                <pt idx="17">
                  <v>Bildung / Forschung</v>
                </pt>
                <pt idx="18">
                  <v>Events &amp; Sport</v>
                </pt>
                <pt idx="19">
                  <v>Industrie / Allgemein</v>
                </pt>
                <pt idx="20">
                  <v>Industrie / Generatoren</v>
                </pt>
                <pt idx="21">
                  <v>Ingenieure / Planung</v>
                </pt>
                <pt idx="22">
                  <v>Event</v>
                </pt>
                <pt idx="23">
                  <v>tbd</v>
                </pt>
              </strCache>
            </strRef>
          </cat>
          <val>
            <numRef>
              <f>'📊 Diagramme'!$J$22:$J$45</f>
              <numCache>
                <formatCode>#,##0" CHF"</formatCode>
                <ptCount val="24"/>
                <pt idx="0">
                  <v>150000</v>
                </pt>
                <pt idx="1">
                  <v>0</v>
                </pt>
                <pt idx="2">
                  <v>0</v>
                </pt>
                <pt idx="3">
                  <v>137658.69</v>
                </pt>
                <pt idx="4">
                  <v>10000</v>
                </pt>
                <pt idx="5">
                  <v>75769</v>
                </pt>
                <pt idx="6">
                  <v>500000</v>
                </pt>
                <pt idx="7">
                  <v>13100</v>
                </pt>
                <pt idx="8">
                  <v>2821999.32</v>
                </pt>
                <pt idx="9">
                  <v>57897.12</v>
                </pt>
                <pt idx="10">
                  <v>0</v>
                </pt>
                <pt idx="11">
                  <v>365003</v>
                </pt>
                <pt idx="12">
                  <v>227025.35</v>
                </pt>
                <pt idx="13">
                  <v>0</v>
                </pt>
                <pt idx="14">
                  <v>0</v>
                </pt>
                <pt idx="15">
                  <v>390000</v>
                </pt>
                <pt idx="16">
                  <v>0</v>
                </pt>
                <pt idx="17">
                  <v>0</v>
                </pt>
                <pt idx="18">
                  <v>310000</v>
                </pt>
                <pt idx="19">
                  <v>0</v>
                </pt>
                <pt idx="20">
                  <v>48950</v>
                </pt>
                <pt idx="21">
                  <v>39000</v>
                </pt>
                <pt idx="22">
                  <v>192370.62</v>
                </pt>
                <pt idx="23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52893941"/>
        <axId val="34874107"/>
      </barChart>
      <catAx>
        <axId val="52893941"/>
        <scaling>
          <orientation val="minMax"/>
        </scaling>
        <delete val="0"/>
        <axPos val="l"/>
        <title>
          <tx>
            <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CH" sz="1000" b="1" strike="noStrike" spc="-1">
                    <a:solidFill>
                      <a:srgbClr val="000000"/>
                    </a:solidFill>
                    <a:latin typeface="Calibri"/>
                  </a:rPr>
                  <a:t>Volumen CHF</a:t>
                </a:r>
              </a:p>
            </rich>
          </tx>
          <overlay val="0"/>
          <spPr>
            <a:noFill/>
            <a:ln w="0">
              <a:noFill/>
              <a:prstDash val="solid"/>
            </a:ln>
          </spPr>
        </title>
        <numFmt formatCode="General" sourceLinked="0"/>
        <majorTickMark val="none"/>
        <minorTickMark val="none"/>
        <tickLblPos val="nextTo"/>
        <spPr>
          <a:ln w="0">
            <a:solidFill>
              <a:srgbClr val="B3B3B3"/>
            </a:solidFill>
            <a:prstDash val="solid"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r>
              <a:t>None</a:t>
            </a:r>
            <a:endParaRPr lang="de-DE"/>
          </a:p>
        </txPr>
        <crossAx val="34874107"/>
        <crosses val="autoZero"/>
        <auto val="1"/>
        <lblAlgn val="ctr"/>
        <lblOffset val="100"/>
        <noMultiLvlLbl val="0"/>
      </catAx>
      <valAx>
        <axId val="34874107"/>
        <scaling>
          <orientation val="minMax"/>
        </scaling>
        <delete val="0"/>
        <axPos val="b"/>
        <majorGridlines>
          <spPr>
            <a:ln w="0">
              <a:solidFill>
                <a:srgbClr val="B3B3B3"/>
              </a:solidFill>
              <a:prstDash val="solid"/>
            </a:ln>
          </spPr>
        </majorGridlines>
        <title>
          <tx>
            <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CH" sz="1000" b="1" strike="noStrike" spc="-1">
                    <a:solidFill>
                      <a:srgbClr val="000000"/>
                    </a:solidFill>
                    <a:latin typeface="Calibri"/>
                  </a:rPr>
                  <a:t>Segment</a:t>
                </a:r>
              </a:p>
            </rich>
          </tx>
          <overlay val="0"/>
          <spPr>
            <a:noFill/>
            <a:ln w="0">
              <a:noFill/>
              <a:prstDash val="solid"/>
            </a:ln>
          </spPr>
        </title>
        <numFmt formatCode="#,##0&quot; CHF&quot;" sourceLinked="0"/>
        <majorTickMark val="none"/>
        <minorTickMark val="none"/>
        <tickLblPos val="nextTo"/>
        <spPr>
          <a:ln w="0">
            <a:solidFill>
              <a:srgbClr val="B3B3B3"/>
            </a:solidFill>
            <a:prstDash val="solid"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r>
              <a:t>None</a:t>
            </a:r>
            <a:endParaRPr lang="de-DE"/>
          </a:p>
        </txPr>
        <crossAx val="52893941"/>
        <crosses val="autoZero"/>
        <crossBetween val="between"/>
      </valAx>
    </plotArea>
    <legend>
      <legendPos val="r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r>
            <a:t>None</a:t>
          </a:r>
          <a:endParaRPr lang="de-DE"/>
        </a:p>
      </txPr>
    </legend>
    <plotVisOnly val="1"/>
    <dispBlanksAs val="gap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Relationship Type="http://schemas.openxmlformats.org/officeDocument/2006/relationships/chart" Target="/xl/charts/chart3.xml" Id="rId2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4.xml" Id="rId1" /><Relationship Type="http://schemas.openxmlformats.org/officeDocument/2006/relationships/chart" Target="/xl/charts/chart5.xml" Id="rId2" /><Relationship Type="http://schemas.openxmlformats.org/officeDocument/2006/relationships/chart" Target="/xl/charts/chart6.xml" Id="rId3" /><Relationship Type="http://schemas.openxmlformats.org/officeDocument/2006/relationships/chart" Target="/xl/charts/chart7.xml" Id="rId4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12</col>
      <colOff>0</colOff>
      <row>10</row>
      <rowOff>0</rowOff>
    </from>
    <ext cx="5040000" cy="25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11</col>
      <colOff>0</colOff>
      <row>17</row>
      <rowOff>0</rowOff>
    </from>
    <ext cx="5040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39</row>
      <rowOff>0</rowOff>
    </from>
    <ext cx="5040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11</col>
      <colOff>134471</colOff>
      <row>30</row>
      <rowOff>134470</rowOff>
    </from>
    <to>
      <col>25</col>
      <colOff>67236</colOff>
      <row>57</row>
      <rowOff>145675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 editAs="oneCell">
    <from>
      <col>11</col>
      <colOff>123265</colOff>
      <row>2</row>
      <rowOff>22412</rowOff>
    </from>
    <to>
      <col>25</col>
      <colOff>179295</colOff>
      <row>29</row>
      <rowOff>168088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 editAs="oneCell">
    <from>
      <col>9</col>
      <colOff>885264</colOff>
      <row>59</row>
      <rowOff>33618</rowOff>
    </from>
    <to>
      <col>21</col>
      <colOff>302559</colOff>
      <row>88</row>
      <rowOff>11206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 editAs="oneCell">
    <from>
      <col>0</col>
      <colOff>0</colOff>
      <row>49</row>
      <rowOff>0</rowOff>
    </from>
    <to>
      <col>9</col>
      <colOff>470646</colOff>
      <row>83</row>
      <rowOff>156882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>
    <tabColor rgb="00C00000"/>
    <outlinePr summaryBelow="1" summaryRight="1"/>
    <pageSetUpPr fitToPage="1"/>
  </sheetPr>
  <dimension ref="A1:H35"/>
  <sheetViews>
    <sheetView showGridLines="0" workbookViewId="0">
      <selection activeCell="A1" sqref="A1"/>
    </sheetView>
  </sheetViews>
  <sheetFormatPr baseColWidth="8" defaultRowHeight="15"/>
  <cols>
    <col width="4" customWidth="1" min="1" max="1"/>
    <col width="22" customWidth="1" min="2" max="2"/>
    <col width="8" customWidth="1" min="3" max="3"/>
    <col width="22" customWidth="1" min="4" max="4"/>
    <col width="14" customWidth="1" min="5" max="5"/>
    <col width="14" customWidth="1" min="6" max="6"/>
    <col width="8" customWidth="1" min="7" max="7"/>
    <col width="4" customWidth="1" min="8" max="8"/>
  </cols>
  <sheetData>
    <row r="1" ht="38" customHeight="1">
      <c r="A1" s="189" t="inlineStr">
        <is>
          <t>⚡  MiT Strom Schweiz — Executive Sales Summary</t>
        </is>
      </c>
    </row>
    <row r="2">
      <c r="A2" s="190" t="inlineStr">
        <is>
          <t>Mobil in Time AG  ·  An Aggreko Company  ·  Burak Ücöz</t>
        </is>
      </c>
    </row>
    <row r="3">
      <c r="A3" s="191">
        <f>"Stand: "&amp;TEXT(TODAY(),"DD.MM.YYYY")&amp;"  ·  Live aus Pipeline"</f>
        <v/>
      </c>
    </row>
    <row r="5" ht="22" customHeight="1">
      <c r="B5" s="192" t="inlineStr">
        <is>
          <t>✅ WON</t>
        </is>
      </c>
      <c r="C5" s="217" t="n"/>
      <c r="D5" s="194" t="inlineStr">
        <is>
          <t>📄 OFFERTE</t>
        </is>
      </c>
      <c r="E5" s="217" t="n"/>
      <c r="F5" s="195" t="inlineStr">
        <is>
          <t>🎯 OPPORTUNITÄT</t>
        </is>
      </c>
      <c r="G5" s="217" t="n"/>
    </row>
    <row r="6" ht="18" customHeight="1">
      <c r="B6" s="196">
        <f>Dashboard!A6</f>
        <v/>
      </c>
      <c r="C6" s="218" t="n"/>
      <c r="D6" s="196">
        <f>Dashboard!D6</f>
        <v/>
      </c>
      <c r="E6" s="218" t="n"/>
      <c r="F6" s="196">
        <f>Dashboard!G6</f>
        <v/>
      </c>
      <c r="G6" s="218" t="n"/>
    </row>
    <row r="7" ht="18" customHeight="1">
      <c r="B7" s="219" t="n"/>
      <c r="C7" s="220" t="n"/>
      <c r="D7" s="219" t="n"/>
      <c r="E7" s="220" t="n"/>
      <c r="F7" s="219" t="n"/>
      <c r="G7" s="220" t="n"/>
    </row>
    <row r="8" ht="18" customHeight="1">
      <c r="B8" s="197">
        <f>Dashboard!A7&amp;" Deals"</f>
        <v/>
      </c>
      <c r="C8" s="217" t="n"/>
      <c r="D8" s="197">
        <f>Dashboard!D7&amp;" Deals"</f>
        <v/>
      </c>
      <c r="E8" s="217" t="n"/>
      <c r="F8" s="197">
        <f>Dashboard!G7&amp;" Deals"</f>
        <v/>
      </c>
      <c r="G8" s="217" t="n"/>
    </row>
    <row r="10" ht="28" customHeight="1">
      <c r="B10" s="198">
        <f>"📊  GESAMT-PIPELINE: "&amp;TEXT(Dashboard!I6,"#,##0")&amp;" CHF  ·  "&amp;Dashboard!I7&amp;" aktive Deals"</f>
        <v/>
      </c>
    </row>
    <row r="12">
      <c r="B12" s="222" t="inlineStr">
        <is>
          <t>🏆  Top 5 WON-Deals (nach Volumen)</t>
        </is>
      </c>
      <c r="C12" s="221" t="n"/>
      <c r="D12" s="221" t="n"/>
      <c r="E12" s="221" t="n"/>
      <c r="F12" s="221" t="n"/>
      <c r="G12" s="221" t="n"/>
    </row>
    <row r="13">
      <c r="B13" s="200" t="inlineStr">
        <is>
          <t>#</t>
        </is>
      </c>
      <c r="C13" s="200" t="inlineStr">
        <is>
          <t>Kunde</t>
        </is>
      </c>
      <c r="D13" s="200" t="inlineStr">
        <is>
          <t>Kt.</t>
        </is>
      </c>
      <c r="E13" s="200" t="inlineStr">
        <is>
          <t>Segment</t>
        </is>
      </c>
      <c r="F13" s="200" t="inlineStr">
        <is>
          <t>Volumen</t>
        </is>
      </c>
      <c r="G13" s="200" t="inlineStr">
        <is>
          <t>Marge</t>
        </is>
      </c>
    </row>
    <row r="14">
      <c r="B14" s="201" t="n">
        <v>1</v>
      </c>
      <c r="C14" s="202">
        <f>IFERROR(INDEX('MiT Strom Pipeline'!B6:B904,MATCH(LARGE('MiT Strom Pipeline'!Z6:Z904,1),'MiT Strom Pipeline'!Z6:Z904,0)),"")</f>
        <v/>
      </c>
      <c r="D14" s="201">
        <f>IFERROR(INDEX('MiT Strom Pipeline'!C6:C904,MATCH(LARGE('MiT Strom Pipeline'!Z6:Z904,1),'MiT Strom Pipeline'!Z6:Z904,0)),"")</f>
        <v/>
      </c>
      <c r="E14" s="202">
        <f>IFERROR(INDEX('MiT Strom Pipeline'!D6:D904,MATCH(LARGE('MiT Strom Pipeline'!Z6:Z904,1),'MiT Strom Pipeline'!Z6:Z904,0)),"")</f>
        <v/>
      </c>
      <c r="F14" s="203">
        <f>IFERROR(LARGE('MiT Strom Pipeline'!Z6:Z904,1),"")</f>
        <v/>
      </c>
      <c r="G14" s="203">
        <f>IFERROR(INDEX('MiT Strom Pipeline'!O6:O904,MATCH(LARGE('MiT Strom Pipeline'!Z6:Z904,1),'MiT Strom Pipeline'!Z6:Z904,0)),"")</f>
        <v/>
      </c>
    </row>
    <row r="15">
      <c r="B15" s="201" t="n">
        <v>2</v>
      </c>
      <c r="C15" s="202">
        <f>IFERROR(INDEX('MiT Strom Pipeline'!B6:B904,MATCH(LARGE('MiT Strom Pipeline'!Z6:Z904,2),'MiT Strom Pipeline'!Z6:Z904,0)),"")</f>
        <v/>
      </c>
      <c r="D15" s="201">
        <f>IFERROR(INDEX('MiT Strom Pipeline'!C6:C904,MATCH(LARGE('MiT Strom Pipeline'!Z6:Z904,2),'MiT Strom Pipeline'!Z6:Z904,0)),"")</f>
        <v/>
      </c>
      <c r="E15" s="202">
        <f>IFERROR(INDEX('MiT Strom Pipeline'!D6:D904,MATCH(LARGE('MiT Strom Pipeline'!Z6:Z904,2),'MiT Strom Pipeline'!Z6:Z904,0)),"")</f>
        <v/>
      </c>
      <c r="F15" s="203">
        <f>IFERROR(LARGE('MiT Strom Pipeline'!Z6:Z904,2),"")</f>
        <v/>
      </c>
      <c r="G15" s="203">
        <f>IFERROR(INDEX('MiT Strom Pipeline'!O6:O904,MATCH(LARGE('MiT Strom Pipeline'!Z6:Z904,2),'MiT Strom Pipeline'!Z6:Z904,0)),"")</f>
        <v/>
      </c>
    </row>
    <row r="16">
      <c r="B16" s="201" t="n">
        <v>3</v>
      </c>
      <c r="C16" s="202">
        <f>IFERROR(INDEX('MiT Strom Pipeline'!B6:B904,MATCH(LARGE('MiT Strom Pipeline'!Z6:Z904,3),'MiT Strom Pipeline'!Z6:Z904,0)),"")</f>
        <v/>
      </c>
      <c r="D16" s="201">
        <f>IFERROR(INDEX('MiT Strom Pipeline'!C6:C904,MATCH(LARGE('MiT Strom Pipeline'!Z6:Z904,3),'MiT Strom Pipeline'!Z6:Z904,0)),"")</f>
        <v/>
      </c>
      <c r="E16" s="202">
        <f>IFERROR(INDEX('MiT Strom Pipeline'!D6:D904,MATCH(LARGE('MiT Strom Pipeline'!Z6:Z904,3),'MiT Strom Pipeline'!Z6:Z904,0)),"")</f>
        <v/>
      </c>
      <c r="F16" s="203">
        <f>IFERROR(LARGE('MiT Strom Pipeline'!Z6:Z904,3),"")</f>
        <v/>
      </c>
      <c r="G16" s="203">
        <f>IFERROR(INDEX('MiT Strom Pipeline'!O6:O904,MATCH(LARGE('MiT Strom Pipeline'!Z6:Z904,3),'MiT Strom Pipeline'!Z6:Z904,0)),"")</f>
        <v/>
      </c>
    </row>
    <row r="17">
      <c r="B17" s="201" t="n">
        <v>4</v>
      </c>
      <c r="C17" s="202">
        <f>IFERROR(INDEX('MiT Strom Pipeline'!B6:B904,MATCH(LARGE('MiT Strom Pipeline'!Z6:Z904,4),'MiT Strom Pipeline'!Z6:Z904,0)),"")</f>
        <v/>
      </c>
      <c r="D17" s="201">
        <f>IFERROR(INDEX('MiT Strom Pipeline'!C6:C904,MATCH(LARGE('MiT Strom Pipeline'!Z6:Z904,4),'MiT Strom Pipeline'!Z6:Z904,0)),"")</f>
        <v/>
      </c>
      <c r="E17" s="202">
        <f>IFERROR(INDEX('MiT Strom Pipeline'!D6:D904,MATCH(LARGE('MiT Strom Pipeline'!Z6:Z904,4),'MiT Strom Pipeline'!Z6:Z904,0)),"")</f>
        <v/>
      </c>
      <c r="F17" s="203">
        <f>IFERROR(LARGE('MiT Strom Pipeline'!Z6:Z904,4),"")</f>
        <v/>
      </c>
      <c r="G17" s="203">
        <f>IFERROR(INDEX('MiT Strom Pipeline'!O6:O904,MATCH(LARGE('MiT Strom Pipeline'!Z6:Z904,4),'MiT Strom Pipeline'!Z6:Z904,0)),"")</f>
        <v/>
      </c>
    </row>
    <row r="18">
      <c r="B18" s="201" t="n">
        <v>5</v>
      </c>
      <c r="C18" s="202">
        <f>IFERROR(INDEX('MiT Strom Pipeline'!B6:B904,MATCH(LARGE('MiT Strom Pipeline'!Z6:Z904,5),'MiT Strom Pipeline'!Z6:Z904,0)),"")</f>
        <v/>
      </c>
      <c r="D18" s="201">
        <f>IFERROR(INDEX('MiT Strom Pipeline'!C6:C904,MATCH(LARGE('MiT Strom Pipeline'!Z6:Z904,5),'MiT Strom Pipeline'!Z6:Z904,0)),"")</f>
        <v/>
      </c>
      <c r="E18" s="202">
        <f>IFERROR(INDEX('MiT Strom Pipeline'!D6:D904,MATCH(LARGE('MiT Strom Pipeline'!Z6:Z904,5),'MiT Strom Pipeline'!Z6:Z904,0)),"")</f>
        <v/>
      </c>
      <c r="F18" s="203">
        <f>IFERROR(LARGE('MiT Strom Pipeline'!Z6:Z904,5),"")</f>
        <v/>
      </c>
      <c r="G18" s="203">
        <f>IFERROR(INDEX('MiT Strom Pipeline'!O6:O904,MATCH(LARGE('MiT Strom Pipeline'!Z6:Z904,5),'MiT Strom Pipeline'!Z6:Z904,0)),"")</f>
        <v/>
      </c>
    </row>
    <row r="21">
      <c r="B21" s="222" t="inlineStr">
        <is>
          <t>📊  Status-Verteilung Pipeline</t>
        </is>
      </c>
      <c r="C21" s="221" t="n"/>
      <c r="D21" s="221" t="n"/>
      <c r="E21" s="221" t="n"/>
      <c r="F21" s="221" t="n"/>
      <c r="G21" s="221" t="n"/>
    </row>
    <row r="22">
      <c r="B22" s="204" t="inlineStr">
        <is>
          <t>Status</t>
        </is>
      </c>
      <c r="D22" s="204" t="inlineStr">
        <is>
          <t>Anzahl</t>
        </is>
      </c>
      <c r="E22" s="204" t="inlineStr">
        <is>
          <t>Volumen CHF</t>
        </is>
      </c>
      <c r="G22" s="204" t="inlineStr">
        <is>
          <t>Anteil %</t>
        </is>
      </c>
    </row>
    <row r="23">
      <c r="B23" s="205" t="inlineStr">
        <is>
          <t>✅ WON</t>
        </is>
      </c>
      <c r="C23" s="217" t="n"/>
      <c r="D23" s="206">
        <f>COUNTIF('MiT Strom Pipeline'!R6:R904,"WON")</f>
        <v/>
      </c>
      <c r="E23" s="207">
        <f>SUMIFS('MiT Strom Pipeline'!I6:I904,'MiT Strom Pipeline'!R6:R904,"WON")</f>
        <v/>
      </c>
      <c r="F23" s="217" t="n"/>
      <c r="G23" s="208">
        <f>IFERROR(E23/Dashboard!I6,0)</f>
        <v/>
      </c>
    </row>
    <row r="24">
      <c r="B24" s="209" t="inlineStr">
        <is>
          <t>📄 Offerte</t>
        </is>
      </c>
      <c r="C24" s="217" t="n"/>
      <c r="D24" s="206">
        <f>COUNTIF('MiT Strom Pipeline'!R6:R904,"offered")</f>
        <v/>
      </c>
      <c r="E24" s="207">
        <f>SUMIFS('MiT Strom Pipeline'!I6:I904,'MiT Strom Pipeline'!R6:R904,"offered")</f>
        <v/>
      </c>
      <c r="F24" s="217" t="n"/>
      <c r="G24" s="208">
        <f>IFERROR(E24/Dashboard!I6,0)</f>
        <v/>
      </c>
    </row>
    <row r="25">
      <c r="B25" s="210" t="inlineStr">
        <is>
          <t>🎯 Follow-Up</t>
        </is>
      </c>
      <c r="C25" s="217" t="n"/>
      <c r="D25" s="206">
        <f>COUNTIF('MiT Strom Pipeline'!R6:R904,"follow-up")</f>
        <v/>
      </c>
      <c r="E25" s="207">
        <f>SUMIFS('MiT Strom Pipeline'!I6:I904,'MiT Strom Pipeline'!R6:R904,"follow-up")</f>
        <v/>
      </c>
      <c r="F25" s="217" t="n"/>
      <c r="G25" s="208">
        <f>IFERROR(E25/Dashboard!I6,0)</f>
        <v/>
      </c>
    </row>
    <row r="26">
      <c r="B26" s="211" t="inlineStr">
        <is>
          <t>🔍 Evaluation</t>
        </is>
      </c>
      <c r="C26" s="217" t="n"/>
      <c r="D26" s="206">
        <f>COUNTIF('MiT Strom Pipeline'!R6:R904,"Evaluation")</f>
        <v/>
      </c>
      <c r="E26" s="207">
        <f>SUMIFS('MiT Strom Pipeline'!I6:I904,'MiT Strom Pipeline'!R6:R904,"Evaluation")</f>
        <v/>
      </c>
      <c r="F26" s="217" t="n"/>
      <c r="G26" s="208">
        <f>IFERROR(E26/Dashboard!I6,0)</f>
        <v/>
      </c>
    </row>
    <row r="27">
      <c r="B27" s="212" t="inlineStr">
        <is>
          <t>⏸ On Hold</t>
        </is>
      </c>
      <c r="C27" s="217" t="n"/>
      <c r="D27" s="206">
        <f>COUNTIF('MiT Strom Pipeline'!R6:R904,"on hold")</f>
        <v/>
      </c>
      <c r="E27" s="207">
        <f>SUMIFS('MiT Strom Pipeline'!I6:I904,'MiT Strom Pipeline'!R6:R904,"on hold")</f>
        <v/>
      </c>
      <c r="F27" s="217" t="n"/>
      <c r="G27" s="208">
        <f>IFERROR(E27/Dashboard!I6,0)</f>
        <v/>
      </c>
    </row>
    <row r="28">
      <c r="B28" s="213" t="inlineStr">
        <is>
          <t>❓ TBD</t>
        </is>
      </c>
      <c r="C28" s="217" t="n"/>
      <c r="D28" s="206">
        <f>COUNTIF('MiT Strom Pipeline'!R6:R904,"tbd")</f>
        <v/>
      </c>
      <c r="E28" s="207">
        <f>SUMIFS('MiT Strom Pipeline'!I6:I904,'MiT Strom Pipeline'!R6:R904,"tbd")</f>
        <v/>
      </c>
      <c r="F28" s="217" t="n"/>
      <c r="G28" s="208">
        <f>IFERROR(E28/Dashboard!I6,0)</f>
        <v/>
      </c>
    </row>
    <row r="29">
      <c r="B29" s="214" t="inlineStr">
        <is>
          <t>❌ LOST</t>
        </is>
      </c>
      <c r="C29" s="217" t="n"/>
      <c r="D29" s="206">
        <f>COUNTIF('MiT Strom Pipeline'!R6:R904,"LOST")</f>
        <v/>
      </c>
      <c r="E29" s="207">
        <f>SUMIFS('MiT Strom Pipeline'!I6:I904,'MiT Strom Pipeline'!R6:R904,"LOST")</f>
        <v/>
      </c>
      <c r="F29" s="217" t="n"/>
      <c r="G29" s="208">
        <f>IFERROR(E29/Dashboard!I6,0)</f>
        <v/>
      </c>
    </row>
    <row r="30">
      <c r="B30" s="215" t="inlineStr">
        <is>
          <t>🚫 Declined</t>
        </is>
      </c>
      <c r="C30" s="217" t="n"/>
      <c r="D30" s="206">
        <f>COUNTIF('MiT Strom Pipeline'!R6:R904,"Declined")</f>
        <v/>
      </c>
      <c r="E30" s="207">
        <f>SUMIFS('MiT Strom Pipeline'!I6:I904,'MiT Strom Pipeline'!R6:R904,"Declined")</f>
        <v/>
      </c>
      <c r="F30" s="217" t="n"/>
      <c r="G30" s="208">
        <f>IFERROR(E30/Dashboard!I6,0)</f>
        <v/>
      </c>
    </row>
    <row r="35">
      <c r="A35" s="216" t="inlineStr">
        <is>
          <t>🖨  Strg+P → Als PDF speichern  ·  Druckbereich ist bereits gesetzt (A4 Hochformat)</t>
        </is>
      </c>
    </row>
  </sheetData>
  <mergeCells count="34">
    <mergeCell ref="B25:C25"/>
    <mergeCell ref="E24:F24"/>
    <mergeCell ref="B22:C22"/>
    <mergeCell ref="B6:C7"/>
    <mergeCell ref="E23:F23"/>
    <mergeCell ref="A1:H1"/>
    <mergeCell ref="B27:C27"/>
    <mergeCell ref="B10:G10"/>
    <mergeCell ref="E29:F29"/>
    <mergeCell ref="F5:G5"/>
    <mergeCell ref="B23:C23"/>
    <mergeCell ref="E28:F28"/>
    <mergeCell ref="B8:C8"/>
    <mergeCell ref="F8:G8"/>
    <mergeCell ref="A3:H3"/>
    <mergeCell ref="E30:F30"/>
    <mergeCell ref="B29:C29"/>
    <mergeCell ref="A2:H2"/>
    <mergeCell ref="B28:C28"/>
    <mergeCell ref="E27:F27"/>
    <mergeCell ref="D6:E7"/>
    <mergeCell ref="F6:G7"/>
    <mergeCell ref="E26:F26"/>
    <mergeCell ref="D8:E8"/>
    <mergeCell ref="B24:C24"/>
    <mergeCell ref="B30:C30"/>
    <mergeCell ref="A35:H35"/>
    <mergeCell ref="E25:F25"/>
    <mergeCell ref="B5:C5"/>
    <mergeCell ref="D5:E5"/>
    <mergeCell ref="E22:F22"/>
    <mergeCell ref="B12:G12"/>
    <mergeCell ref="B26:C26"/>
    <mergeCell ref="B21:G21"/>
  </mergeCells>
  <printOptions horizontalCentered="1" verticalCentered="0"/>
  <pageMargins left="0.4" right="0.4" top="0.5" bottom="0.5" header="0.5" footer="0.5"/>
  <pageSetup orientation="portrait" paperSize="9" fitToHeight="1" fitToWidth="1"/>
  <headerFooter>
    <oddHeader>&amp;L&amp;C&amp;R</oddHeader>
    <oddFooter>&amp;C&amp;"Calibri,Italic"&amp;9 Mobil in Time AG · &amp;D · Seite &amp;P/&amp;N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>
    <tabColor rgb="002E7D32"/>
    <outlinePr summaryBelow="1" summaryRight="1"/>
    <pageSetUpPr fitToPage="1"/>
  </sheetPr>
  <dimension ref="A1:H41"/>
  <sheetViews>
    <sheetView zoomScaleNormal="100" workbookViewId="0">
      <selection activeCell="F10" sqref="F10"/>
    </sheetView>
  </sheetViews>
  <sheetFormatPr baseColWidth="10" defaultColWidth="8.5703125" defaultRowHeight="15"/>
  <cols>
    <col width="21.85546875" bestFit="1" customWidth="1" min="1" max="1"/>
    <col width="30" customWidth="1" min="2" max="2"/>
    <col width="18" customWidth="1" min="3" max="3"/>
    <col width="26" customWidth="1" min="4" max="4"/>
    <col width="18" customWidth="1" min="5" max="6"/>
    <col width="14" customWidth="1" min="7" max="8"/>
  </cols>
  <sheetData>
    <row r="1" ht="36" customHeight="1">
      <c r="A1" s="132" t="inlineStr">
        <is>
          <t>MiT Strom Schweiz — Sales-Report</t>
        </is>
      </c>
    </row>
    <row r="2" ht="15" customHeight="1">
      <c r="A2" s="131" t="inlineStr">
        <is>
          <t>Mobil in Time AG · An Aggreko Company · Burak Ücöz</t>
        </is>
      </c>
    </row>
    <row r="3" ht="15" customHeight="1">
      <c r="A3" s="133">
        <f>"Stand: "&amp;TEXT(TODAY(),"DD.MM.YYYY")&amp;"  ·  Auto-Update via Pipeline-Daten"</f>
        <v/>
      </c>
    </row>
    <row r="5" ht="17.25" customHeight="1">
      <c r="A5" s="134" t="inlineStr">
        <is>
          <t>Key Performance Indicators</t>
        </is>
      </c>
      <c r="B5" s="173" t="n"/>
      <c r="C5" s="173" t="n"/>
      <c r="D5" s="173" t="n"/>
      <c r="E5" s="173" t="n"/>
      <c r="F5" s="173" t="n"/>
      <c r="G5" s="173" t="n"/>
      <c r="H5" s="173" t="n"/>
    </row>
    <row r="6" ht="15" customHeight="1">
      <c r="A6" s="67" t="inlineStr">
        <is>
          <t>KPI</t>
        </is>
      </c>
      <c r="B6" s="67" t="inlineStr">
        <is>
          <t>Wert CHF</t>
        </is>
      </c>
      <c r="C6" s="67" t="inlineStr">
        <is>
          <t>Anzahl</t>
        </is>
      </c>
      <c r="D6" s="67" t="inlineStr">
        <is>
          <t>Anteil</t>
        </is>
      </c>
    </row>
    <row r="7" ht="15" customHeight="1">
      <c r="A7" s="68" t="inlineStr">
        <is>
          <t>✅ WON</t>
        </is>
      </c>
      <c r="B7" s="174">
        <f>Dashboard!A6</f>
        <v/>
      </c>
      <c r="C7" s="175">
        <f>Dashboard!A7</f>
        <v/>
      </c>
      <c r="D7" s="176">
        <f>IFERROR(B7/$B$10,0)</f>
        <v/>
      </c>
    </row>
    <row r="8" ht="15" customHeight="1">
      <c r="A8" s="68" t="inlineStr">
        <is>
          <t>📄 Offerte</t>
        </is>
      </c>
      <c r="B8" s="174">
        <f>Dashboard!D6</f>
        <v/>
      </c>
      <c r="C8" s="175">
        <f>Dashboard!D7</f>
        <v/>
      </c>
      <c r="D8" s="176">
        <f>IFERROR(B8/$B$10,0)</f>
        <v/>
      </c>
    </row>
    <row r="9" ht="15" customHeight="1">
      <c r="A9" s="68" t="inlineStr">
        <is>
          <t>🎯 Opportunität</t>
        </is>
      </c>
      <c r="B9" s="174">
        <f>Dashboard!G6</f>
        <v/>
      </c>
      <c r="C9" s="175">
        <f>Dashboard!G7</f>
        <v/>
      </c>
      <c r="D9" s="176">
        <f>IFERROR(B9/$B$10,0)</f>
        <v/>
      </c>
    </row>
    <row r="10" ht="15" customHeight="1">
      <c r="A10" s="72" t="inlineStr">
        <is>
          <t>📊 TOTAL Pipeline</t>
        </is>
      </c>
      <c r="B10" s="177">
        <f>Dashboard!I6</f>
        <v/>
      </c>
      <c r="C10" s="178">
        <f>Dashboard!I7</f>
        <v/>
      </c>
      <c r="D10" s="179">
        <f>IFERROR(B10/$B$10,0)</f>
        <v/>
      </c>
    </row>
    <row r="13" ht="17.25" customHeight="1">
      <c r="A13" s="134" t="inlineStr">
        <is>
          <t>Top Kantone (nach Volumen)</t>
        </is>
      </c>
      <c r="B13" s="173" t="n"/>
      <c r="C13" s="173" t="n"/>
      <c r="D13" s="173" t="n"/>
      <c r="E13" s="173" t="n"/>
      <c r="F13" s="173" t="n"/>
      <c r="G13" s="173" t="n"/>
      <c r="H13" s="173" t="n"/>
    </row>
    <row r="14" ht="15" customHeight="1">
      <c r="A14" s="67" t="inlineStr">
        <is>
          <t>Rang</t>
        </is>
      </c>
      <c r="B14" s="67" t="inlineStr">
        <is>
          <t>Kanton</t>
        </is>
      </c>
      <c r="C14" s="67" t="inlineStr">
        <is>
          <t>Volumen CHF</t>
        </is>
      </c>
      <c r="D14" s="67" t="inlineStr">
        <is>
          <t>Anzahl Deals</t>
        </is>
      </c>
      <c r="E14" s="67" t="inlineStr">
        <is>
          <t>WON-Rate</t>
        </is>
      </c>
    </row>
    <row r="15" ht="15" customHeight="1">
      <c r="A15" s="76" t="n">
        <v>1</v>
      </c>
      <c r="B15" s="77">
        <f>IFERROR(INDEX(#REF!,MATCH(C15,#REF!,0)),"")</f>
        <v/>
      </c>
      <c r="C15" s="180">
        <f>IFERROR(LARGE(#REF!,1),0)</f>
        <v/>
      </c>
      <c r="D15" s="79">
        <f>IFERROR(INDEX(#REF!,MATCH(C15,#REF!,0)),"")</f>
        <v/>
      </c>
      <c r="E15" s="76">
        <f>IFERROR(INDEX(#REF!,MATCH(C15,#REF!,0)),"")</f>
        <v/>
      </c>
    </row>
    <row r="16" ht="15" customHeight="1">
      <c r="A16" s="76" t="n">
        <v>2</v>
      </c>
      <c r="B16" s="77">
        <f>IFERROR(INDEX(#REF!,MATCH(C16,#REF!,0)),"")</f>
        <v/>
      </c>
      <c r="C16" s="180">
        <f>IFERROR(LARGE(#REF!,2),0)</f>
        <v/>
      </c>
      <c r="D16" s="79">
        <f>IFERROR(INDEX(#REF!,MATCH(C16,#REF!,0)),"")</f>
        <v/>
      </c>
      <c r="E16" s="76">
        <f>IFERROR(INDEX(#REF!,MATCH(C16,#REF!,0)),"")</f>
        <v/>
      </c>
    </row>
    <row r="17" ht="15" customHeight="1">
      <c r="A17" s="76" t="n">
        <v>3</v>
      </c>
      <c r="B17" s="77">
        <f>IFERROR(INDEX(#REF!,MATCH(C17,#REF!,0)),"")</f>
        <v/>
      </c>
      <c r="C17" s="180">
        <f>IFERROR(LARGE(#REF!,3),0)</f>
        <v/>
      </c>
      <c r="D17" s="79">
        <f>IFERROR(INDEX(#REF!,MATCH(C17,#REF!,0)),"")</f>
        <v/>
      </c>
      <c r="E17" s="76">
        <f>IFERROR(INDEX(#REF!,MATCH(C17,#REF!,0)),"")</f>
        <v/>
      </c>
    </row>
    <row r="18" ht="15" customHeight="1">
      <c r="A18" s="76" t="n">
        <v>4</v>
      </c>
      <c r="B18" s="77">
        <f>IFERROR(INDEX(#REF!,MATCH(C18,#REF!,0)),"")</f>
        <v/>
      </c>
      <c r="C18" s="180">
        <f>IFERROR(LARGE(#REF!,4),0)</f>
        <v/>
      </c>
      <c r="D18" s="79">
        <f>IFERROR(INDEX(#REF!,MATCH(C18,#REF!,0)),"")</f>
        <v/>
      </c>
      <c r="E18" s="76">
        <f>IFERROR(INDEX(#REF!,MATCH(C18,#REF!,0)),"")</f>
        <v/>
      </c>
    </row>
    <row r="19" ht="15" customHeight="1">
      <c r="A19" s="76" t="n">
        <v>5</v>
      </c>
      <c r="B19" s="77">
        <f>IFERROR(INDEX(#REF!,MATCH(C19,#REF!,0)),"")</f>
        <v/>
      </c>
      <c r="C19" s="180">
        <f>IFERROR(LARGE(#REF!,5),0)</f>
        <v/>
      </c>
      <c r="D19" s="79">
        <f>IFERROR(INDEX(#REF!,MATCH(C19,#REF!,0)),"")</f>
        <v/>
      </c>
      <c r="E19" s="76">
        <f>IFERROR(INDEX(#REF!,MATCH(C19,#REF!,0)),"")</f>
        <v/>
      </c>
    </row>
    <row r="20" ht="15" customHeight="1">
      <c r="A20" s="76" t="n">
        <v>6</v>
      </c>
      <c r="B20" s="77">
        <f>IFERROR(INDEX(#REF!,MATCH(C20,#REF!,0)),"")</f>
        <v/>
      </c>
      <c r="C20" s="180">
        <f>IFERROR(LARGE(#REF!,6),0)</f>
        <v/>
      </c>
      <c r="D20" s="79">
        <f>IFERROR(INDEX(#REF!,MATCH(C20,#REF!,0)),"")</f>
        <v/>
      </c>
      <c r="E20" s="76">
        <f>IFERROR(INDEX(#REF!,MATCH(C20,#REF!,0)),"")</f>
        <v/>
      </c>
    </row>
    <row r="21" ht="15" customHeight="1">
      <c r="A21" s="76" t="n">
        <v>7</v>
      </c>
      <c r="B21" s="77">
        <f>IFERROR(INDEX(#REF!,MATCH(C21,#REF!,0)),"")</f>
        <v/>
      </c>
      <c r="C21" s="180">
        <f>IFERROR(LARGE(#REF!,7),0)</f>
        <v/>
      </c>
      <c r="D21" s="79">
        <f>IFERROR(INDEX(#REF!,MATCH(C21,#REF!,0)),"")</f>
        <v/>
      </c>
      <c r="E21" s="76">
        <f>IFERROR(INDEX(#REF!,MATCH(C21,#REF!,0)),"")</f>
        <v/>
      </c>
    </row>
    <row r="22" ht="15" customHeight="1">
      <c r="A22" s="76" t="n">
        <v>8</v>
      </c>
      <c r="B22" s="77">
        <f>IFERROR(INDEX(#REF!,MATCH(C22,#REF!,0)),"")</f>
        <v/>
      </c>
      <c r="C22" s="180">
        <f>IFERROR(LARGE(#REF!,8),0)</f>
        <v/>
      </c>
      <c r="D22" s="79">
        <f>IFERROR(INDEX(#REF!,MATCH(C22,#REF!,0)),"")</f>
        <v/>
      </c>
      <c r="E22" s="76">
        <f>IFERROR(INDEX(#REF!,MATCH(C22,#REF!,0)),"")</f>
        <v/>
      </c>
    </row>
    <row r="23" ht="15" customHeight="1">
      <c r="A23" s="76" t="n">
        <v>9</v>
      </c>
      <c r="B23" s="77">
        <f>IFERROR(INDEX(#REF!,MATCH(C23,#REF!,0)),"")</f>
        <v/>
      </c>
      <c r="C23" s="180">
        <f>IFERROR(LARGE(#REF!,9),0)</f>
        <v/>
      </c>
      <c r="D23" s="79">
        <f>IFERROR(INDEX(#REF!,MATCH(C23,#REF!,0)),"")</f>
        <v/>
      </c>
      <c r="E23" s="76">
        <f>IFERROR(INDEX(#REF!,MATCH(C23,#REF!,0)),"")</f>
        <v/>
      </c>
    </row>
    <row r="24" ht="15" customHeight="1">
      <c r="A24" s="76" t="n">
        <v>10</v>
      </c>
      <c r="B24" s="77">
        <f>IFERROR(INDEX(#REF!,MATCH(C24,#REF!,0)),"")</f>
        <v/>
      </c>
      <c r="C24" s="180">
        <f>IFERROR(LARGE(#REF!,10),0)</f>
        <v/>
      </c>
      <c r="D24" s="79">
        <f>IFERROR(INDEX(#REF!,MATCH(C24,#REF!,0)),"")</f>
        <v/>
      </c>
      <c r="E24" s="76">
        <f>IFERROR(INDEX(#REF!,MATCH(C24,#REF!,0)),"")</f>
        <v/>
      </c>
    </row>
    <row r="27" ht="17.25" customHeight="1">
      <c r="A27" s="134" t="inlineStr">
        <is>
          <t>Top WON-Deals</t>
        </is>
      </c>
      <c r="B27" s="173" t="n"/>
      <c r="C27" s="173" t="n"/>
      <c r="D27" s="173" t="n"/>
      <c r="E27" s="173" t="n"/>
      <c r="F27" s="173" t="n"/>
      <c r="G27" s="173" t="n"/>
      <c r="H27" s="173" t="n"/>
    </row>
    <row r="28" ht="15" customHeight="1">
      <c r="A28" s="67" t="inlineStr">
        <is>
          <t>Rang</t>
        </is>
      </c>
      <c r="B28" s="67" t="inlineStr">
        <is>
          <t>Kunde</t>
        </is>
      </c>
      <c r="C28" s="67" t="inlineStr">
        <is>
          <t>Kanton</t>
        </is>
      </c>
      <c r="D28" s="67" t="inlineStr">
        <is>
          <t>Segment</t>
        </is>
      </c>
      <c r="E28" s="67" t="inlineStr">
        <is>
          <t>Volumen CHF</t>
        </is>
      </c>
      <c r="F28" s="67" t="inlineStr">
        <is>
          <t>Marge CHF</t>
        </is>
      </c>
    </row>
    <row r="29" ht="15" customHeight="1">
      <c r="A29" s="76" t="n">
        <v>1</v>
      </c>
      <c r="B29" s="77">
        <f>IFERROR(INDEX('MiT Strom Pipeline'!$B$6:$B$904,MATCH(LARGE('MiT Strom Pipeline'!$Z$6:$Z$904,1),'MiT Strom Pipeline'!$Z$6:$Z$904,0)),"")</f>
        <v/>
      </c>
      <c r="C29" s="76">
        <f>IFERROR(INDEX('MiT Strom Pipeline'!$C$6:$C$904,MATCH(LARGE('MiT Strom Pipeline'!$Z$6:$Z$904,1),'MiT Strom Pipeline'!$Z$6:$Z$904,0)),"")</f>
        <v/>
      </c>
      <c r="D29" s="77">
        <f>IFERROR(INDEX('MiT Strom Pipeline'!$D$6:$D$904,MATCH(LARGE('MiT Strom Pipeline'!$Z$6:$Z$904,1),'MiT Strom Pipeline'!$Z$6:$Z$904,0)),"")</f>
        <v/>
      </c>
      <c r="E29" s="180">
        <f>IFERROR(LARGE('MiT Strom Pipeline'!$Z$6:$Z$904,1),"")</f>
        <v/>
      </c>
      <c r="F29" s="180">
        <f>IFERROR(INDEX('MiT Strom Pipeline'!$O$6:$O$904,MATCH(LARGE('MiT Strom Pipeline'!$Z$6:$Z$904,1),'MiT Strom Pipeline'!$Z$6:$Z$904,0)),"")</f>
        <v/>
      </c>
    </row>
    <row r="30" ht="15" customHeight="1">
      <c r="A30" s="76" t="n">
        <v>2</v>
      </c>
      <c r="B30" s="77">
        <f>IFERROR(INDEX('MiT Strom Pipeline'!$B$6:$B$904,MATCH(LARGE('MiT Strom Pipeline'!$Z$6:$Z$904,2),'MiT Strom Pipeline'!$Z$6:$Z$904,0)),"")</f>
        <v/>
      </c>
      <c r="C30" s="76">
        <f>IFERROR(INDEX('MiT Strom Pipeline'!$C$6:$C$904,MATCH(LARGE('MiT Strom Pipeline'!$Z$6:$Z$904,2),'MiT Strom Pipeline'!$Z$6:$Z$904,0)),"")</f>
        <v/>
      </c>
      <c r="D30" s="77">
        <f>IFERROR(INDEX('MiT Strom Pipeline'!$D$6:$D$904,MATCH(LARGE('MiT Strom Pipeline'!$Z$6:$Z$904,2),'MiT Strom Pipeline'!$Z$6:$Z$904,0)),"")</f>
        <v/>
      </c>
      <c r="E30" s="180">
        <f>IFERROR(LARGE('MiT Strom Pipeline'!$Z$6:$Z$904,2),"")</f>
        <v/>
      </c>
      <c r="F30" s="180">
        <f>IFERROR(INDEX('MiT Strom Pipeline'!$O$6:$O$904,MATCH(LARGE('MiT Strom Pipeline'!$Z$6:$Z$904,2),'MiT Strom Pipeline'!$Z$6:$Z$904,0)),"")</f>
        <v/>
      </c>
    </row>
    <row r="31" ht="15" customHeight="1">
      <c r="A31" s="76" t="n">
        <v>3</v>
      </c>
      <c r="B31" s="77">
        <f>IFERROR(INDEX('MiT Strom Pipeline'!$B$6:$B$904,MATCH(LARGE('MiT Strom Pipeline'!$Z$6:$Z$904,3),'MiT Strom Pipeline'!$Z$6:$Z$904,0)),"")</f>
        <v/>
      </c>
      <c r="C31" s="76">
        <f>IFERROR(INDEX('MiT Strom Pipeline'!$C$6:$C$904,MATCH(LARGE('MiT Strom Pipeline'!$Z$6:$Z$904,3),'MiT Strom Pipeline'!$Z$6:$Z$904,0)),"")</f>
        <v/>
      </c>
      <c r="D31" s="77">
        <f>IFERROR(INDEX('MiT Strom Pipeline'!$D$6:$D$904,MATCH(LARGE('MiT Strom Pipeline'!$Z$6:$Z$904,3),'MiT Strom Pipeline'!$Z$6:$Z$904,0)),"")</f>
        <v/>
      </c>
      <c r="E31" s="180">
        <f>IFERROR(LARGE('MiT Strom Pipeline'!$Z$6:$Z$904,3),"")</f>
        <v/>
      </c>
      <c r="F31" s="180">
        <f>IFERROR(INDEX('MiT Strom Pipeline'!$O$6:$O$904,MATCH(LARGE('MiT Strom Pipeline'!$Z$6:$Z$904,3),'MiT Strom Pipeline'!$Z$6:$Z$904,0)),"")</f>
        <v/>
      </c>
    </row>
    <row r="32" ht="15" customHeight="1">
      <c r="A32" s="76" t="n">
        <v>4</v>
      </c>
      <c r="B32" s="77">
        <f>IFERROR(INDEX('MiT Strom Pipeline'!$B$6:$B$904,MATCH(LARGE('MiT Strom Pipeline'!$Z$6:$Z$904,4),'MiT Strom Pipeline'!$Z$6:$Z$904,0)),"")</f>
        <v/>
      </c>
      <c r="C32" s="76">
        <f>IFERROR(INDEX('MiT Strom Pipeline'!$C$6:$C$904,MATCH(LARGE('MiT Strom Pipeline'!$Z$6:$Z$904,4),'MiT Strom Pipeline'!$Z$6:$Z$904,0)),"")</f>
        <v/>
      </c>
      <c r="D32" s="77">
        <f>IFERROR(INDEX('MiT Strom Pipeline'!$D$6:$D$904,MATCH(LARGE('MiT Strom Pipeline'!$Z$6:$Z$904,4),'MiT Strom Pipeline'!$Z$6:$Z$904,0)),"")</f>
        <v/>
      </c>
      <c r="E32" s="180">
        <f>IFERROR(LARGE('MiT Strom Pipeline'!$Z$6:$Z$904,4),"")</f>
        <v/>
      </c>
      <c r="F32" s="180">
        <f>IFERROR(INDEX('MiT Strom Pipeline'!$O$6:$O$904,MATCH(LARGE('MiT Strom Pipeline'!$Z$6:$Z$904,4),'MiT Strom Pipeline'!$Z$6:$Z$904,0)),"")</f>
        <v/>
      </c>
    </row>
    <row r="33" ht="15" customHeight="1">
      <c r="A33" s="76" t="n">
        <v>5</v>
      </c>
      <c r="B33" s="77">
        <f>IFERROR(INDEX('MiT Strom Pipeline'!$B$6:$B$904,MATCH(LARGE('MiT Strom Pipeline'!$Z$6:$Z$904,5),'MiT Strom Pipeline'!$Z$6:$Z$904,0)),"")</f>
        <v/>
      </c>
      <c r="C33" s="76">
        <f>IFERROR(INDEX('MiT Strom Pipeline'!$C$6:$C$904,MATCH(LARGE('MiT Strom Pipeline'!$Z$6:$Z$904,5),'MiT Strom Pipeline'!$Z$6:$Z$904,0)),"")</f>
        <v/>
      </c>
      <c r="D33" s="77">
        <f>IFERROR(INDEX('MiT Strom Pipeline'!$D$6:$D$904,MATCH(LARGE('MiT Strom Pipeline'!$Z$6:$Z$904,5),'MiT Strom Pipeline'!$Z$6:$Z$904,0)),"")</f>
        <v/>
      </c>
      <c r="E33" s="180">
        <f>IFERROR(LARGE('MiT Strom Pipeline'!$Z$6:$Z$904,5),"")</f>
        <v/>
      </c>
      <c r="F33" s="180">
        <f>IFERROR(INDEX('MiT Strom Pipeline'!$O$6:$O$904,MATCH(LARGE('MiT Strom Pipeline'!$Z$6:$Z$904,5),'MiT Strom Pipeline'!$Z$6:$Z$904,0)),"")</f>
        <v/>
      </c>
    </row>
    <row r="34" ht="15" customHeight="1">
      <c r="A34" s="76" t="n">
        <v>6</v>
      </c>
      <c r="B34" s="77">
        <f>IFERROR(INDEX('MiT Strom Pipeline'!$B$6:$B$904,MATCH(LARGE('MiT Strom Pipeline'!$Z$6:$Z$904,6),'MiT Strom Pipeline'!$Z$6:$Z$904,0)),"")</f>
        <v/>
      </c>
      <c r="C34" s="76">
        <f>IFERROR(INDEX('MiT Strom Pipeline'!$C$6:$C$904,MATCH(LARGE('MiT Strom Pipeline'!$Z$6:$Z$904,6),'MiT Strom Pipeline'!$Z$6:$Z$904,0)),"")</f>
        <v/>
      </c>
      <c r="D34" s="77">
        <f>IFERROR(INDEX('MiT Strom Pipeline'!$D$6:$D$904,MATCH(LARGE('MiT Strom Pipeline'!$Z$6:$Z$904,6),'MiT Strom Pipeline'!$Z$6:$Z$904,0)),"")</f>
        <v/>
      </c>
      <c r="E34" s="180">
        <f>IFERROR(LARGE('MiT Strom Pipeline'!$Z$6:$Z$904,6),"")</f>
        <v/>
      </c>
      <c r="F34" s="180">
        <f>IFERROR(INDEX('MiT Strom Pipeline'!$O$6:$O$904,MATCH(LARGE('MiT Strom Pipeline'!$Z$6:$Z$904,6),'MiT Strom Pipeline'!$Z$6:$Z$904,0)),"")</f>
        <v/>
      </c>
    </row>
    <row r="35" ht="15" customHeight="1">
      <c r="A35" s="76" t="n">
        <v>7</v>
      </c>
      <c r="B35" s="77">
        <f>IFERROR(INDEX('MiT Strom Pipeline'!$B$6:$B$904,MATCH(LARGE('MiT Strom Pipeline'!$Z$6:$Z$904,7),'MiT Strom Pipeline'!$Z$6:$Z$904,0)),"")</f>
        <v/>
      </c>
      <c r="C35" s="76">
        <f>IFERROR(INDEX('MiT Strom Pipeline'!$C$6:$C$904,MATCH(LARGE('MiT Strom Pipeline'!$Z$6:$Z$904,7),'MiT Strom Pipeline'!$Z$6:$Z$904,0)),"")</f>
        <v/>
      </c>
      <c r="D35" s="77">
        <f>IFERROR(INDEX('MiT Strom Pipeline'!$D$6:$D$904,MATCH(LARGE('MiT Strom Pipeline'!$Z$6:$Z$904,7),'MiT Strom Pipeline'!$Z$6:$Z$904,0)),"")</f>
        <v/>
      </c>
      <c r="E35" s="180">
        <f>IFERROR(LARGE('MiT Strom Pipeline'!$Z$6:$Z$904,7),"")</f>
        <v/>
      </c>
      <c r="F35" s="180">
        <f>IFERROR(INDEX('MiT Strom Pipeline'!$O$6:$O$904,MATCH(LARGE('MiT Strom Pipeline'!$Z$6:$Z$904,7),'MiT Strom Pipeline'!$Z$6:$Z$904,0)),"")</f>
        <v/>
      </c>
    </row>
    <row r="36" ht="15" customHeight="1">
      <c r="A36" s="76" t="n">
        <v>8</v>
      </c>
      <c r="B36" s="77">
        <f>IFERROR(INDEX('MiT Strom Pipeline'!$B$6:$B$904,MATCH(LARGE('MiT Strom Pipeline'!$Z$6:$Z$904,8),'MiT Strom Pipeline'!$Z$6:$Z$904,0)),"")</f>
        <v/>
      </c>
      <c r="C36" s="76">
        <f>IFERROR(INDEX('MiT Strom Pipeline'!$C$6:$C$904,MATCH(LARGE('MiT Strom Pipeline'!$Z$6:$Z$904,8),'MiT Strom Pipeline'!$Z$6:$Z$904,0)),"")</f>
        <v/>
      </c>
      <c r="D36" s="77">
        <f>IFERROR(INDEX('MiT Strom Pipeline'!$D$6:$D$904,MATCH(LARGE('MiT Strom Pipeline'!$Z$6:$Z$904,8),'MiT Strom Pipeline'!$Z$6:$Z$904,0)),"")</f>
        <v/>
      </c>
      <c r="E36" s="180">
        <f>IFERROR(LARGE('MiT Strom Pipeline'!$Z$6:$Z$904,8),"")</f>
        <v/>
      </c>
      <c r="F36" s="180">
        <f>IFERROR(INDEX('MiT Strom Pipeline'!$O$6:$O$904,MATCH(LARGE('MiT Strom Pipeline'!$Z$6:$Z$904,8),'MiT Strom Pipeline'!$Z$6:$Z$904,0)),"")</f>
        <v/>
      </c>
    </row>
    <row r="37" ht="15" customHeight="1">
      <c r="A37" s="76" t="n">
        <v>9</v>
      </c>
      <c r="B37" s="77">
        <f>IFERROR(INDEX('MiT Strom Pipeline'!$B$6:$B$904,MATCH(LARGE('MiT Strom Pipeline'!$Z$6:$Z$904,9),'MiT Strom Pipeline'!$Z$6:$Z$904,0)),"")</f>
        <v/>
      </c>
      <c r="C37" s="76">
        <f>IFERROR(INDEX('MiT Strom Pipeline'!$C$6:$C$904,MATCH(LARGE('MiT Strom Pipeline'!$Z$6:$Z$904,9),'MiT Strom Pipeline'!$Z$6:$Z$904,0)),"")</f>
        <v/>
      </c>
      <c r="D37" s="77">
        <f>IFERROR(INDEX('MiT Strom Pipeline'!$D$6:$D$904,MATCH(LARGE('MiT Strom Pipeline'!$Z$6:$Z$904,9),'MiT Strom Pipeline'!$Z$6:$Z$904,0)),"")</f>
        <v/>
      </c>
      <c r="E37" s="180">
        <f>IFERROR(LARGE('MiT Strom Pipeline'!$Z$6:$Z$904,9),"")</f>
        <v/>
      </c>
      <c r="F37" s="180">
        <f>IFERROR(INDEX('MiT Strom Pipeline'!$O$6:$O$904,MATCH(LARGE('MiT Strom Pipeline'!$Z$6:$Z$904,9),'MiT Strom Pipeline'!$Z$6:$Z$904,0)),"")</f>
        <v/>
      </c>
    </row>
    <row r="38" ht="15" customHeight="1">
      <c r="A38" s="76" t="n">
        <v>10</v>
      </c>
      <c r="B38" s="77">
        <f>IFERROR(INDEX('MiT Strom Pipeline'!$B$6:$B$904,MATCH(LARGE('MiT Strom Pipeline'!$Z$6:$Z$904,10),'MiT Strom Pipeline'!$Z$6:$Z$904,0)),"")</f>
        <v/>
      </c>
      <c r="C38" s="76">
        <f>IFERROR(INDEX('MiT Strom Pipeline'!$C$6:$C$904,MATCH(LARGE('MiT Strom Pipeline'!$Z$6:$Z$904,10),'MiT Strom Pipeline'!$Z$6:$Z$904,0)),"")</f>
        <v/>
      </c>
      <c r="D38" s="77">
        <f>IFERROR(INDEX('MiT Strom Pipeline'!$D$6:$D$904,MATCH(LARGE('MiT Strom Pipeline'!$Z$6:$Z$904,10),'MiT Strom Pipeline'!$Z$6:$Z$904,0)),"")</f>
        <v/>
      </c>
      <c r="E38" s="180">
        <f>IFERROR(LARGE('MiT Strom Pipeline'!$Z$6:$Z$904,10),"")</f>
        <v/>
      </c>
      <c r="F38" s="180">
        <f>IFERROR(INDEX('MiT Strom Pipeline'!$O$6:$O$904,MATCH(LARGE('MiT Strom Pipeline'!$Z$6:$Z$904,10),'MiT Strom Pipeline'!$Z$6:$Z$904,0)),"")</f>
        <v/>
      </c>
    </row>
    <row r="40" ht="15" customHeight="1">
      <c r="A40" s="135" t="inlineStr">
        <is>
          <t>↻ Auto-Update aus Pipeline · Sortiert nach Volumen ↓ · Nur WON mit numerischem Volumen</t>
        </is>
      </c>
    </row>
    <row r="41" ht="15" customHeight="1">
      <c r="A41" s="136" t="inlineStr">
        <is>
          <t>Aktionen (siehe Setup-Sheet für VBA-Buttons in Excel)</t>
        </is>
      </c>
    </row>
  </sheetData>
  <mergeCells count="8">
    <mergeCell ref="A1:H1"/>
    <mergeCell ref="A3:H3"/>
    <mergeCell ref="A2:H2"/>
    <mergeCell ref="A41:H41"/>
    <mergeCell ref="A13:H13"/>
    <mergeCell ref="A40:F40"/>
    <mergeCell ref="A5:H5"/>
    <mergeCell ref="A27:H27"/>
  </mergeCells>
  <printOptions horizontalCentered="1"/>
  <pageMargins left="0.4" right="0.4" top="0.7" bottom="0.7" header="0.511811023622047" footer="0.511811023622047"/>
  <pageSetup orientation="portrait" paperSize="9" scale="60" fitToHeight="1" fitToWidth="1" horizontalDpi="300" verticalDpi="300"/>
  <headerFooter>
    <oddHeader>&amp;C&amp;"Calibri,Bold"&amp;14 ⚡ MiT Strom Schweiz — Sales Report</oddHeader>
    <oddFooter>&amp;LMobil in Time AG · An Aggreko Company&amp;R&amp;"Calibri,Italic"&amp;9 Stand: &amp;D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>
    <tabColor rgb="001F3864"/>
    <outlinePr summaryBelow="1" summaryRight="1"/>
    <pageSetUpPr fitToPage="1"/>
  </sheetPr>
  <dimension ref="A1:R206"/>
  <sheetViews>
    <sheetView zoomScaleNormal="100" workbookViewId="0">
      <pane ySplit="8" topLeftCell="A9" activePane="bottomLeft" state="frozen"/>
      <selection activeCell="E46" sqref="E46"/>
      <selection pane="bottomLeft" activeCell="B50" sqref="B50"/>
    </sheetView>
  </sheetViews>
  <sheetFormatPr baseColWidth="10" defaultColWidth="9.140625" defaultRowHeight="15"/>
  <cols>
    <col width="5" customWidth="1" min="1" max="1"/>
    <col width="30" customWidth="1" min="2" max="2"/>
    <col width="8" customWidth="1" min="3" max="3"/>
    <col width="24" customWidth="1" min="4" max="4"/>
    <col width="22" customWidth="1" min="5" max="5"/>
    <col width="18" customWidth="1" min="6" max="6"/>
    <col width="16" customWidth="1" min="7" max="7"/>
    <col width="14" customWidth="1" min="8" max="8"/>
    <col width="12" customWidth="1" min="9" max="9"/>
    <col width="9" customWidth="1" min="10" max="10"/>
    <col width="52.5703125" bestFit="1" customWidth="1" min="11" max="11"/>
    <col hidden="1" width="13" customWidth="1" min="13" max="13"/>
    <col hidden="1" width="13" customWidth="1" min="14" max="14"/>
  </cols>
  <sheetData>
    <row r="1" ht="39.75" customHeight="1">
      <c r="A1" s="120" t="inlineStr">
        <is>
          <t>⚡  MiT Strom Schweiz — CEO Sales Report  ·  Mai 2026</t>
        </is>
      </c>
    </row>
    <row r="2" ht="18" customHeight="1">
      <c r="A2" s="13" t="inlineStr">
        <is>
          <t>Mobil in Time AG  ·  An Aggreko Company  ·  Burak Ücöz  ·  Neue Einträge in «MiT Strom Pipeline» erscheinen automatisch.</t>
        </is>
      </c>
    </row>
    <row r="3" ht="4.5" customHeight="1">
      <c r="A3" s="12" t="n"/>
    </row>
    <row r="4" ht="9.75" customHeight="1">
      <c r="M4" s="186" t="inlineStr">
        <is>
          <t>Top 5 WON (Vol CHF)</t>
        </is>
      </c>
    </row>
    <row r="5" ht="21.75" customHeight="1">
      <c r="A5" s="121" t="inlineStr">
        <is>
          <t>✅  AUFTRAGSEINGANG (WON)</t>
        </is>
      </c>
      <c r="E5" s="122" t="inlineStr">
        <is>
          <t>📄  OFFERTE — Laufend</t>
        </is>
      </c>
      <c r="I5" s="123" t="inlineStr">
        <is>
          <t>🎯  OPPORTUNITÄT</t>
        </is>
      </c>
      <c r="M5" s="187">
        <f>IFERROR(LARGE('MiT Strom Pipeline'!Z6:Z904,1),0)</f>
        <v/>
      </c>
      <c r="N5">
        <f>IFERROR(INDEX('MiT Strom Pipeline'!B6:B904,MATCH(LARGE('MiT Strom Pipeline'!Z6:Z904,1),'MiT Strom Pipeline'!Z6:Z904,0)),"")</f>
        <v/>
      </c>
    </row>
    <row r="6" ht="36" customHeight="1">
      <c r="A6" s="124">
        <f>SUMIFS('MiT Strom Pipeline'!I$6:I$904,'MiT Strom Pipeline'!R$6:R$904,"WON")</f>
        <v/>
      </c>
      <c r="E6" s="125">
        <f>SUMIFS('MiT Strom Pipeline'!I$6:I$904,'MiT Strom Pipeline'!R$6:R$904,"offered")+SUMIFS('MiT Strom Pipeline'!I$6:I$904,'MiT Strom Pipeline'!R$6:R$904,"to be offered")+SUMIFS('MiT Strom Pipeline'!I$6:I$904,'MiT Strom Pipeline'!R$6:R$904,"on hold")</f>
        <v/>
      </c>
      <c r="I6" s="126">
        <f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/>
      </c>
      <c r="M6" s="187">
        <f>IFERROR(LARGE('MiT Strom Pipeline'!Z6:Z904,2),0)</f>
        <v/>
      </c>
      <c r="N6">
        <f>IFERROR(INDEX('MiT Strom Pipeline'!B6:B904,MATCH(LARGE('MiT Strom Pipeline'!Z6:Z904,2),'MiT Strom Pipeline'!Z6:Z904,0)),"")</f>
        <v/>
      </c>
    </row>
    <row r="7" ht="19.5" customHeight="1">
      <c r="A7" s="163">
        <f>COUNTIF('MiT Strom Pipeline'!R$6:R$904,"WON")</f>
        <v/>
      </c>
      <c r="E7" s="164">
        <f>COUNTIF('MiT Strom Pipeline'!R$6:R$904,"offered")+COUNTIF('MiT Strom Pipeline'!R$6:R$904,"to be offered")+COUNTIF('MiT Strom Pipeline'!R$6:R$904,"on hold")</f>
        <v/>
      </c>
      <c r="I7" s="165">
        <f>COUNTIF('MiT Strom Pipeline'!R$6:R$904,"follow-up")+COUNTIF('MiT Strom Pipeline'!R$6:R$904,"Evaluation")+COUNTIF('MiT Strom Pipeline'!R$6:R$904,"tbd")+COUNTIF('MiT Strom Pipeline'!R$6:R$904,"In evaluation")</f>
        <v/>
      </c>
      <c r="M7" s="187">
        <f>IFERROR(LARGE('MiT Strom Pipeline'!Z6:Z904,3),0)</f>
        <v/>
      </c>
      <c r="N7">
        <f>IFERROR(INDEX('MiT Strom Pipeline'!B6:B904,MATCH(LARGE('MiT Strom Pipeline'!Z6:Z904,3),'MiT Strom Pipeline'!Z6:Z904,0)),"")</f>
        <v/>
      </c>
    </row>
    <row r="8" ht="7.5" customHeight="1">
      <c r="A8" s="15" t="n"/>
      <c r="B8" s="15" t="n"/>
      <c r="C8" s="15" t="n"/>
      <c r="D8" s="15" t="n"/>
      <c r="E8" s="15" t="n"/>
      <c r="F8" s="15" t="n"/>
      <c r="G8" s="15" t="n"/>
      <c r="H8" s="15" t="n"/>
      <c r="I8" s="15" t="n"/>
      <c r="J8" s="15" t="n"/>
      <c r="K8" s="15" t="n"/>
      <c r="M8" s="187">
        <f>IFERROR(LARGE('MiT Strom Pipeline'!Z6:Z904,4),0)</f>
        <v/>
      </c>
      <c r="N8">
        <f>IFERROR(INDEX('MiT Strom Pipeline'!B6:B904,MATCH(LARGE('MiT Strom Pipeline'!Z6:Z904,4),'MiT Strom Pipeline'!Z6:Z904,0)),"")</f>
        <v/>
      </c>
    </row>
    <row r="9" ht="24" customHeight="1">
      <c r="A9" s="111" t="inlineStr">
        <is>
          <t>✅  1. AUFTRAGSEINGANG (WON) — Bestätigte Aufträge</t>
        </is>
      </c>
      <c r="B9" s="166" t="n"/>
      <c r="C9" s="166" t="n"/>
      <c r="D9" s="166" t="n"/>
      <c r="E9" s="166" t="n"/>
      <c r="F9" s="166" t="n"/>
      <c r="G9" s="166" t="n"/>
      <c r="H9" s="166" t="n"/>
      <c r="I9" s="166" t="n"/>
      <c r="J9" s="166" t="n"/>
      <c r="K9" s="167" t="n"/>
      <c r="M9" s="187">
        <f>IFERROR(LARGE('MiT Strom Pipeline'!Z6:Z904,5),0)</f>
        <v/>
      </c>
      <c r="N9">
        <f>IFERROR(INDEX('MiT Strom Pipeline'!B6:B904,MATCH(LARGE('MiT Strom Pipeline'!Z6:Z904,5),'MiT Strom Pipeline'!Z6:Z904,0)),"")</f>
        <v/>
      </c>
    </row>
    <row r="10" ht="19.5" customHeight="1">
      <c r="A10" s="16" t="inlineStr">
        <is>
          <t>#</t>
        </is>
      </c>
      <c r="B10" s="17" t="inlineStr">
        <is>
          <t>Kunde / Unternehmen</t>
        </is>
      </c>
      <c r="C10" s="16" t="inlineStr">
        <is>
          <t>Kt.</t>
        </is>
      </c>
      <c r="D10" s="17" t="inlineStr">
        <is>
          <t>Segment</t>
        </is>
      </c>
      <c r="E10" s="17" t="inlineStr">
        <is>
          <t>Leistung / Fleet</t>
        </is>
      </c>
      <c r="F10" s="18" t="inlineStr">
        <is>
          <t>Volumen CHF</t>
        </is>
      </c>
      <c r="G10" s="18" t="inlineStr">
        <is>
          <t>Gew.Wert CHF</t>
        </is>
      </c>
      <c r="H10" s="18" t="inlineStr">
        <is>
          <t>Marge CHF</t>
        </is>
      </c>
      <c r="I10" s="16" t="inlineStr">
        <is>
          <t>Status</t>
        </is>
      </c>
      <c r="J10" s="16" t="inlineStr">
        <is>
          <t>Wahr.%</t>
        </is>
      </c>
      <c r="K10" s="17" t="inlineStr">
        <is>
          <t>Nächster Schritt</t>
        </is>
      </c>
    </row>
    <row r="11" ht="15.75" customHeight="1">
      <c r="A11" s="19">
        <f>IF('MiT Strom Pipeline'!R6="WON",IF(ISNUMBER('MiT Strom Pipeline'!A6),'MiT Strom Pipeline'!A6,""),"")</f>
        <v/>
      </c>
      <c r="B11" s="20">
        <f>IF('MiT Strom Pipeline'!R6="WON",'MiT Strom Pipeline'!B6,"")</f>
        <v/>
      </c>
      <c r="C11" s="19">
        <f>IF('MiT Strom Pipeline'!R6="WON",'MiT Strom Pipeline'!C6,"")</f>
        <v/>
      </c>
      <c r="D11" s="20">
        <f>IF('MiT Strom Pipeline'!R6="WON",'MiT Strom Pipeline'!D6,"")</f>
        <v/>
      </c>
      <c r="E11" s="20">
        <f>IF('MiT Strom Pipeline'!R6="WON",'MiT Strom Pipeline'!E6,"")</f>
        <v/>
      </c>
      <c r="F11" s="21">
        <f>IF('MiT Strom Pipeline'!R6="WON",IF(ISNUMBER('MiT Strom Pipeline'!I6),'MiT Strom Pipeline'!I6,0),"")</f>
        <v/>
      </c>
      <c r="G11" s="21">
        <f>IF('MiT Strom Pipeline'!R6="WON",IF(ISNUMBER('MiT Strom Pipeline'!Q6),'MiT Strom Pipeline'!Q6,0),"")</f>
        <v/>
      </c>
      <c r="H11" s="21">
        <f>IF('MiT Strom Pipeline'!R6="WON",IF(ISNUMBER('MiT Strom Pipeline'!O6),'MiT Strom Pipeline'!O6,0),"")</f>
        <v/>
      </c>
      <c r="I11" s="19">
        <f>IF('MiT Strom Pipeline'!R6="WON",'MiT Strom Pipeline'!R6,"")</f>
        <v/>
      </c>
      <c r="J11" s="19">
        <f>IF('MiT Strom Pipeline'!R6="WON",'MiT Strom Pipeline'!S6,"")</f>
        <v/>
      </c>
      <c r="K11" s="20">
        <f>IF('MiT Strom Pipeline'!R6="WON",IF(LEN('MiT Strom Pipeline'!V6)&gt;0,LEFT('MiT Strom Pipeline'!V6,55),""),"")</f>
        <v/>
      </c>
    </row>
    <row r="12" ht="15.75" customHeight="1">
      <c r="A12" s="22">
        <f>IF('MiT Strom Pipeline'!R7="WON",IF(ISNUMBER('MiT Strom Pipeline'!A7),'MiT Strom Pipeline'!A7,""),"")</f>
        <v/>
      </c>
      <c r="B12" s="23">
        <f>IF('MiT Strom Pipeline'!R7="WON",'MiT Strom Pipeline'!B7,"")</f>
        <v/>
      </c>
      <c r="C12" s="22">
        <f>IF('MiT Strom Pipeline'!R7="WON",'MiT Strom Pipeline'!C7,"")</f>
        <v/>
      </c>
      <c r="D12" s="23">
        <f>IF('MiT Strom Pipeline'!R7="WON",'MiT Strom Pipeline'!D7,"")</f>
        <v/>
      </c>
      <c r="E12" s="23">
        <f>IF('MiT Strom Pipeline'!R7="WON",'MiT Strom Pipeline'!E7,"")</f>
        <v/>
      </c>
      <c r="F12" s="24">
        <f>IF('MiT Strom Pipeline'!R7="WON",IF(ISNUMBER('MiT Strom Pipeline'!I7),'MiT Strom Pipeline'!I7,0),"")</f>
        <v/>
      </c>
      <c r="G12" s="24">
        <f>IF('MiT Strom Pipeline'!R7="WON",IF(ISNUMBER('MiT Strom Pipeline'!Q7),'MiT Strom Pipeline'!Q7,0),"")</f>
        <v/>
      </c>
      <c r="H12" s="24">
        <f>IF('MiT Strom Pipeline'!R7="WON",IF(ISNUMBER('MiT Strom Pipeline'!O7),'MiT Strom Pipeline'!O7,0),"")</f>
        <v/>
      </c>
      <c r="I12" s="22">
        <f>IF('MiT Strom Pipeline'!R7="WON",'MiT Strom Pipeline'!R7,"")</f>
        <v/>
      </c>
      <c r="J12" s="22">
        <f>IF('MiT Strom Pipeline'!R7="WON",'MiT Strom Pipeline'!S7,"")</f>
        <v/>
      </c>
      <c r="K12" s="23">
        <f>IF('MiT Strom Pipeline'!R7="WON",IF(LEN('MiT Strom Pipeline'!V7)&gt;0,LEFT('MiT Strom Pipeline'!V7,55),""),"")</f>
        <v/>
      </c>
    </row>
    <row r="13" ht="15.75" customHeight="1">
      <c r="A13" s="19">
        <f>IF('MiT Strom Pipeline'!R8="WON",IF(ISNUMBER('MiT Strom Pipeline'!A8),'MiT Strom Pipeline'!A8,""),"")</f>
        <v/>
      </c>
      <c r="B13" s="20">
        <f>IF('MiT Strom Pipeline'!R8="WON",'MiT Strom Pipeline'!B8,"")</f>
        <v/>
      </c>
      <c r="C13" s="19">
        <f>IF('MiT Strom Pipeline'!R8="WON",'MiT Strom Pipeline'!C8,"")</f>
        <v/>
      </c>
      <c r="D13" s="20">
        <f>IF('MiT Strom Pipeline'!R8="WON",'MiT Strom Pipeline'!D8,"")</f>
        <v/>
      </c>
      <c r="E13" s="20">
        <f>IF('MiT Strom Pipeline'!R8="WON",'MiT Strom Pipeline'!E8,"")</f>
        <v/>
      </c>
      <c r="F13" s="21">
        <f>IF('MiT Strom Pipeline'!R8="WON",IF(ISNUMBER('MiT Strom Pipeline'!I8),'MiT Strom Pipeline'!I8,0),"")</f>
        <v/>
      </c>
      <c r="G13" s="21">
        <f>IF('MiT Strom Pipeline'!R8="WON",IF(ISNUMBER('MiT Strom Pipeline'!Q8),'MiT Strom Pipeline'!Q8,0),"")</f>
        <v/>
      </c>
      <c r="H13" s="21">
        <f>IF('MiT Strom Pipeline'!R8="WON",IF(ISNUMBER('MiT Strom Pipeline'!O8),'MiT Strom Pipeline'!O8,0),"")</f>
        <v/>
      </c>
      <c r="I13" s="19">
        <f>IF('MiT Strom Pipeline'!R8="WON",'MiT Strom Pipeline'!R8,"")</f>
        <v/>
      </c>
      <c r="J13" s="19">
        <f>IF('MiT Strom Pipeline'!R8="WON",'MiT Strom Pipeline'!S8,"")</f>
        <v/>
      </c>
      <c r="K13" s="20">
        <f>IF('MiT Strom Pipeline'!R8="WON",IF(LEN('MiT Strom Pipeline'!V8)&gt;0,LEFT('MiT Strom Pipeline'!V8,55),""),"")</f>
        <v/>
      </c>
    </row>
    <row r="14" ht="15.75" customHeight="1">
      <c r="A14" s="22">
        <f>IF('MiT Strom Pipeline'!R9="WON",IF(ISNUMBER('MiT Strom Pipeline'!A9),'MiT Strom Pipeline'!A9,""),"")</f>
        <v/>
      </c>
      <c r="B14" s="23">
        <f>IF('MiT Strom Pipeline'!R9="WON",'MiT Strom Pipeline'!B9,"")</f>
        <v/>
      </c>
      <c r="C14" s="22">
        <f>IF('MiT Strom Pipeline'!R9="WON",'MiT Strom Pipeline'!C9,"")</f>
        <v/>
      </c>
      <c r="D14" s="23">
        <f>IF('MiT Strom Pipeline'!R9="WON",'MiT Strom Pipeline'!D9,"")</f>
        <v/>
      </c>
      <c r="E14" s="23">
        <f>IF('MiT Strom Pipeline'!R9="WON",'MiT Strom Pipeline'!E9,"")</f>
        <v/>
      </c>
      <c r="F14" s="24">
        <f>IF('MiT Strom Pipeline'!R9="WON",IF(ISNUMBER('MiT Strom Pipeline'!I9),'MiT Strom Pipeline'!I9,0),"")</f>
        <v/>
      </c>
      <c r="G14" s="24">
        <f>IF('MiT Strom Pipeline'!R9="WON",IF(ISNUMBER('MiT Strom Pipeline'!Q9),'MiT Strom Pipeline'!Q9,0),"")</f>
        <v/>
      </c>
      <c r="H14" s="24">
        <f>IF('MiT Strom Pipeline'!R9="WON",IF(ISNUMBER('MiT Strom Pipeline'!O9),'MiT Strom Pipeline'!O9,0),"")</f>
        <v/>
      </c>
      <c r="I14" s="22">
        <f>IF('MiT Strom Pipeline'!R9="WON",'MiT Strom Pipeline'!R9,"")</f>
        <v/>
      </c>
      <c r="J14" s="22">
        <f>IF('MiT Strom Pipeline'!R9="WON",'MiT Strom Pipeline'!S9,"")</f>
        <v/>
      </c>
      <c r="K14" s="23">
        <f>IF('MiT Strom Pipeline'!R9="WON",IF(LEN('MiT Strom Pipeline'!V9)&gt;0,LEFT('MiT Strom Pipeline'!V9,55),""),"")</f>
        <v/>
      </c>
    </row>
    <row r="15" hidden="1" ht="15.75" customHeight="1">
      <c r="A15" s="19">
        <f>IF('MiT Strom Pipeline'!R10="WON",IF(ISNUMBER('MiT Strom Pipeline'!A10),'MiT Strom Pipeline'!A10,""),"")</f>
        <v/>
      </c>
      <c r="B15" s="20">
        <f>IF('MiT Strom Pipeline'!R10="WON",'MiT Strom Pipeline'!B10,"")</f>
        <v/>
      </c>
      <c r="C15" s="19">
        <f>IF('MiT Strom Pipeline'!R10="WON",'MiT Strom Pipeline'!C10,"")</f>
        <v/>
      </c>
      <c r="D15" s="20">
        <f>IF('MiT Strom Pipeline'!R10="WON",'MiT Strom Pipeline'!D10,"")</f>
        <v/>
      </c>
      <c r="E15" s="20">
        <f>IF('MiT Strom Pipeline'!R10="WON",'MiT Strom Pipeline'!E10,"")</f>
        <v/>
      </c>
      <c r="F15" s="21">
        <f>IF('MiT Strom Pipeline'!R10="WON",IF(ISNUMBER('MiT Strom Pipeline'!I10),'MiT Strom Pipeline'!I10,0),"")</f>
        <v/>
      </c>
      <c r="G15" s="21">
        <f>IF('MiT Strom Pipeline'!R10="WON",IF(ISNUMBER('MiT Strom Pipeline'!Q10),'MiT Strom Pipeline'!Q10,0),"")</f>
        <v/>
      </c>
      <c r="H15" s="21">
        <f>IF('MiT Strom Pipeline'!R10="WON",IF(ISNUMBER('MiT Strom Pipeline'!O10),'MiT Strom Pipeline'!O10,0),"")</f>
        <v/>
      </c>
      <c r="I15" s="19">
        <f>IF('MiT Strom Pipeline'!R10="WON",'MiT Strom Pipeline'!R10,"")</f>
        <v/>
      </c>
      <c r="J15" s="19">
        <f>IF('MiT Strom Pipeline'!R10="WON",'MiT Strom Pipeline'!S10,"")</f>
        <v/>
      </c>
      <c r="K15" s="20">
        <f>IF('MiT Strom Pipeline'!R10="WON",IF(LEN('MiT Strom Pipeline'!V10)&gt;0,LEFT('MiT Strom Pipeline'!V10,55),""),"")</f>
        <v/>
      </c>
    </row>
    <row r="16" hidden="1" ht="15.75" customHeight="1">
      <c r="A16" s="22">
        <f>IF('MiT Strom Pipeline'!R11="WON",IF(ISNUMBER('MiT Strom Pipeline'!A11),'MiT Strom Pipeline'!A11,""),"")</f>
        <v/>
      </c>
      <c r="B16" s="23">
        <f>IF('MiT Strom Pipeline'!R11="WON",'MiT Strom Pipeline'!B11,"")</f>
        <v/>
      </c>
      <c r="C16" s="22">
        <f>IF('MiT Strom Pipeline'!R11="WON",'MiT Strom Pipeline'!C11,"")</f>
        <v/>
      </c>
      <c r="D16" s="23">
        <f>IF('MiT Strom Pipeline'!R11="WON",'MiT Strom Pipeline'!D11,"")</f>
        <v/>
      </c>
      <c r="E16" s="23">
        <f>IF('MiT Strom Pipeline'!R11="WON",'MiT Strom Pipeline'!E11,"")</f>
        <v/>
      </c>
      <c r="F16" s="24">
        <f>IF('MiT Strom Pipeline'!R11="WON",IF(ISNUMBER('MiT Strom Pipeline'!I11),'MiT Strom Pipeline'!I11,0),"")</f>
        <v/>
      </c>
      <c r="G16" s="24">
        <f>IF('MiT Strom Pipeline'!R11="WON",IF(ISNUMBER('MiT Strom Pipeline'!Q11),'MiT Strom Pipeline'!Q11,0),"")</f>
        <v/>
      </c>
      <c r="H16" s="24">
        <f>IF('MiT Strom Pipeline'!R11="WON",IF(ISNUMBER('MiT Strom Pipeline'!O11),'MiT Strom Pipeline'!O11,0),"")</f>
        <v/>
      </c>
      <c r="I16" s="22">
        <f>IF('MiT Strom Pipeline'!R11="WON",'MiT Strom Pipeline'!R11,"")</f>
        <v/>
      </c>
      <c r="J16" s="22">
        <f>IF('MiT Strom Pipeline'!R11="WON",'MiT Strom Pipeline'!S11,"")</f>
        <v/>
      </c>
      <c r="K16" s="23">
        <f>IF('MiT Strom Pipeline'!R11="WON",IF(LEN('MiT Strom Pipeline'!V11)&gt;0,LEFT('MiT Strom Pipeline'!V11,55),""),"")</f>
        <v/>
      </c>
    </row>
    <row r="17" hidden="1" ht="15.75" customHeight="1">
      <c r="A17" s="19">
        <f>IF('MiT Strom Pipeline'!R12="WON",IF(ISNUMBER('MiT Strom Pipeline'!A12),'MiT Strom Pipeline'!A12,""),"")</f>
        <v/>
      </c>
      <c r="B17" s="20">
        <f>IF('MiT Strom Pipeline'!R12="WON",'MiT Strom Pipeline'!B12,"")</f>
        <v/>
      </c>
      <c r="C17" s="19">
        <f>IF('MiT Strom Pipeline'!R12="WON",'MiT Strom Pipeline'!C12,"")</f>
        <v/>
      </c>
      <c r="D17" s="20">
        <f>IF('MiT Strom Pipeline'!R12="WON",'MiT Strom Pipeline'!D12,"")</f>
        <v/>
      </c>
      <c r="E17" s="20">
        <f>IF('MiT Strom Pipeline'!R12="WON",'MiT Strom Pipeline'!E12,"")</f>
        <v/>
      </c>
      <c r="F17" s="21">
        <f>IF('MiT Strom Pipeline'!R12="WON",IF(ISNUMBER('MiT Strom Pipeline'!I12),'MiT Strom Pipeline'!I12,0),"")</f>
        <v/>
      </c>
      <c r="G17" s="21">
        <f>IF('MiT Strom Pipeline'!R12="WON",IF(ISNUMBER('MiT Strom Pipeline'!Q12),'MiT Strom Pipeline'!Q12,0),"")</f>
        <v/>
      </c>
      <c r="H17" s="21">
        <f>IF('MiT Strom Pipeline'!R12="WON",IF(ISNUMBER('MiT Strom Pipeline'!O12),'MiT Strom Pipeline'!O12,0),"")</f>
        <v/>
      </c>
      <c r="I17" s="19">
        <f>IF('MiT Strom Pipeline'!R12="WON",'MiT Strom Pipeline'!R12,"")</f>
        <v/>
      </c>
      <c r="J17" s="19">
        <f>IF('MiT Strom Pipeline'!R12="WON",'MiT Strom Pipeline'!S12,"")</f>
        <v/>
      </c>
      <c r="K17" s="20">
        <f>IF('MiT Strom Pipeline'!R12="WON",IF(LEN('MiT Strom Pipeline'!V12)&gt;0,LEFT('MiT Strom Pipeline'!V12,55),""),"")</f>
        <v/>
      </c>
    </row>
    <row r="18" hidden="1" ht="15.75" customHeight="1">
      <c r="A18" s="22">
        <f>IF('MiT Strom Pipeline'!R13="WON",IF(ISNUMBER('MiT Strom Pipeline'!A13),'MiT Strom Pipeline'!A13,""),"")</f>
        <v/>
      </c>
      <c r="B18" s="23">
        <f>IF('MiT Strom Pipeline'!R13="WON",'MiT Strom Pipeline'!B13,"")</f>
        <v/>
      </c>
      <c r="C18" s="22">
        <f>IF('MiT Strom Pipeline'!R13="WON",'MiT Strom Pipeline'!C13,"")</f>
        <v/>
      </c>
      <c r="D18" s="23">
        <f>IF('MiT Strom Pipeline'!R13="WON",'MiT Strom Pipeline'!D13,"")</f>
        <v/>
      </c>
      <c r="E18" s="23">
        <f>IF('MiT Strom Pipeline'!R13="WON",'MiT Strom Pipeline'!E13,"")</f>
        <v/>
      </c>
      <c r="F18" s="24">
        <f>IF('MiT Strom Pipeline'!R13="WON",IF(ISNUMBER('MiT Strom Pipeline'!I13),'MiT Strom Pipeline'!I13,0),"")</f>
        <v/>
      </c>
      <c r="G18" s="24">
        <f>IF('MiT Strom Pipeline'!R13="WON",IF(ISNUMBER('MiT Strom Pipeline'!Q13),'MiT Strom Pipeline'!Q13,0),"")</f>
        <v/>
      </c>
      <c r="H18" s="24">
        <f>IF('MiT Strom Pipeline'!R13="WON",IF(ISNUMBER('MiT Strom Pipeline'!O13),'MiT Strom Pipeline'!O13,0),"")</f>
        <v/>
      </c>
      <c r="I18" s="22">
        <f>IF('MiT Strom Pipeline'!R13="WON",'MiT Strom Pipeline'!R13,"")</f>
        <v/>
      </c>
      <c r="J18" s="22">
        <f>IF('MiT Strom Pipeline'!R13="WON",'MiT Strom Pipeline'!S13,"")</f>
        <v/>
      </c>
      <c r="K18" s="23">
        <f>IF('MiT Strom Pipeline'!R13="WON",IF(LEN('MiT Strom Pipeline'!V13)&gt;0,LEFT('MiT Strom Pipeline'!V13,55),""),"")</f>
        <v/>
      </c>
    </row>
    <row r="19" ht="15.75" customHeight="1">
      <c r="A19" s="19">
        <f>IF('MiT Strom Pipeline'!R14="WON",IF(ISNUMBER('MiT Strom Pipeline'!A14),'MiT Strom Pipeline'!A14,""),"")</f>
        <v/>
      </c>
      <c r="B19" s="20">
        <f>IF('MiT Strom Pipeline'!R14="WON",'MiT Strom Pipeline'!B14,"")</f>
        <v/>
      </c>
      <c r="C19" s="19">
        <f>IF('MiT Strom Pipeline'!R14="WON",'MiT Strom Pipeline'!C14,"")</f>
        <v/>
      </c>
      <c r="D19" s="20">
        <f>IF('MiT Strom Pipeline'!R14="WON",'MiT Strom Pipeline'!D14,"")</f>
        <v/>
      </c>
      <c r="E19" s="20">
        <f>IF('MiT Strom Pipeline'!R14="WON",'MiT Strom Pipeline'!E14,"")</f>
        <v/>
      </c>
      <c r="F19" s="21">
        <f>IF('MiT Strom Pipeline'!R14="WON",IF(ISNUMBER('MiT Strom Pipeline'!I14),'MiT Strom Pipeline'!I14,0),"")</f>
        <v/>
      </c>
      <c r="G19" s="21">
        <f>IF('MiT Strom Pipeline'!R14="WON",IF(ISNUMBER('MiT Strom Pipeline'!Q14),'MiT Strom Pipeline'!Q14,0),"")</f>
        <v/>
      </c>
      <c r="H19" s="21">
        <f>IF('MiT Strom Pipeline'!R14="WON",IF(ISNUMBER('MiT Strom Pipeline'!O14),'MiT Strom Pipeline'!O14,0),"")</f>
        <v/>
      </c>
      <c r="I19" s="19">
        <f>IF('MiT Strom Pipeline'!R14="WON",'MiT Strom Pipeline'!R14,"")</f>
        <v/>
      </c>
      <c r="J19" s="19">
        <f>IF('MiT Strom Pipeline'!R14="WON",'MiT Strom Pipeline'!S14,"")</f>
        <v/>
      </c>
      <c r="K19" s="20">
        <f>IF('MiT Strom Pipeline'!R14="WON",IF(LEN('MiT Strom Pipeline'!V14)&gt;0,LEFT('MiT Strom Pipeline'!V14,55),""),"")</f>
        <v/>
      </c>
    </row>
    <row r="20" hidden="1" ht="15.75" customHeight="1">
      <c r="A20" s="22">
        <f>IF('MiT Strom Pipeline'!R15="WON",IF(ISNUMBER('MiT Strom Pipeline'!A15),'MiT Strom Pipeline'!A15,""),"")</f>
        <v/>
      </c>
      <c r="B20" s="23">
        <f>IF('MiT Strom Pipeline'!R15="WON",'MiT Strom Pipeline'!B15,"")</f>
        <v/>
      </c>
      <c r="C20" s="22">
        <f>IF('MiT Strom Pipeline'!R15="WON",'MiT Strom Pipeline'!C15,"")</f>
        <v/>
      </c>
      <c r="D20" s="23">
        <f>IF('MiT Strom Pipeline'!R15="WON",'MiT Strom Pipeline'!D15,"")</f>
        <v/>
      </c>
      <c r="E20" s="23">
        <f>IF('MiT Strom Pipeline'!R15="WON",'MiT Strom Pipeline'!E15,"")</f>
        <v/>
      </c>
      <c r="F20" s="24">
        <f>IF('MiT Strom Pipeline'!R15="WON",IF(ISNUMBER('MiT Strom Pipeline'!I15),'MiT Strom Pipeline'!I15,0),"")</f>
        <v/>
      </c>
      <c r="G20" s="24">
        <f>IF('MiT Strom Pipeline'!R15="WON",IF(ISNUMBER('MiT Strom Pipeline'!Q15),'MiT Strom Pipeline'!Q15,0),"")</f>
        <v/>
      </c>
      <c r="H20" s="24">
        <f>IF('MiT Strom Pipeline'!R15="WON",IF(ISNUMBER('MiT Strom Pipeline'!O15),'MiT Strom Pipeline'!O15,0),"")</f>
        <v/>
      </c>
      <c r="I20" s="22">
        <f>IF('MiT Strom Pipeline'!R15="WON",'MiT Strom Pipeline'!R15,"")</f>
        <v/>
      </c>
      <c r="J20" s="22">
        <f>IF('MiT Strom Pipeline'!R15="WON",'MiT Strom Pipeline'!S15,"")</f>
        <v/>
      </c>
      <c r="K20" s="23">
        <f>IF('MiT Strom Pipeline'!R15="WON",IF(LEN('MiT Strom Pipeline'!V15)&gt;0,LEFT('MiT Strom Pipeline'!V15,55),""),"")</f>
        <v/>
      </c>
    </row>
    <row r="21" hidden="1" ht="15.75" customHeight="1">
      <c r="A21" s="19">
        <f>IF('MiT Strom Pipeline'!R16="WON",IF(ISNUMBER('MiT Strom Pipeline'!A16),'MiT Strom Pipeline'!A16,""),"")</f>
        <v/>
      </c>
      <c r="B21" s="20">
        <f>IF('MiT Strom Pipeline'!R16="WON",'MiT Strom Pipeline'!B16,"")</f>
        <v/>
      </c>
      <c r="C21" s="19">
        <f>IF('MiT Strom Pipeline'!R16="WON",'MiT Strom Pipeline'!C16,"")</f>
        <v/>
      </c>
      <c r="D21" s="20">
        <f>IF('MiT Strom Pipeline'!R16="WON",'MiT Strom Pipeline'!D16,"")</f>
        <v/>
      </c>
      <c r="E21" s="20">
        <f>IF('MiT Strom Pipeline'!R16="WON",'MiT Strom Pipeline'!E16,"")</f>
        <v/>
      </c>
      <c r="F21" s="21">
        <f>IF('MiT Strom Pipeline'!R16="WON",IF(ISNUMBER('MiT Strom Pipeline'!I16),'MiT Strom Pipeline'!I16,0),"")</f>
        <v/>
      </c>
      <c r="G21" s="21">
        <f>IF('MiT Strom Pipeline'!R16="WON",IF(ISNUMBER('MiT Strom Pipeline'!Q16),'MiT Strom Pipeline'!Q16,0),"")</f>
        <v/>
      </c>
      <c r="H21" s="21">
        <f>IF('MiT Strom Pipeline'!R16="WON",IF(ISNUMBER('MiT Strom Pipeline'!O16),'MiT Strom Pipeline'!O16,0),"")</f>
        <v/>
      </c>
      <c r="I21" s="19">
        <f>IF('MiT Strom Pipeline'!R16="WON",'MiT Strom Pipeline'!R16,"")</f>
        <v/>
      </c>
      <c r="J21" s="19">
        <f>IF('MiT Strom Pipeline'!R16="WON",'MiT Strom Pipeline'!S16,"")</f>
        <v/>
      </c>
      <c r="K21" s="20">
        <f>IF('MiT Strom Pipeline'!R16="WON",IF(LEN('MiT Strom Pipeline'!V16)&gt;0,LEFT('MiT Strom Pipeline'!V16,55),""),"")</f>
        <v/>
      </c>
    </row>
    <row r="22" hidden="1" ht="15.75" customHeight="1">
      <c r="A22" s="22">
        <f>IF('MiT Strom Pipeline'!R17="WON",IF(ISNUMBER('MiT Strom Pipeline'!A17),'MiT Strom Pipeline'!A17,""),"")</f>
        <v/>
      </c>
      <c r="B22" s="23">
        <f>IF('MiT Strom Pipeline'!R17="WON",'MiT Strom Pipeline'!B17,"")</f>
        <v/>
      </c>
      <c r="C22" s="22">
        <f>IF('MiT Strom Pipeline'!R17="WON",'MiT Strom Pipeline'!C17,"")</f>
        <v/>
      </c>
      <c r="D22" s="23">
        <f>IF('MiT Strom Pipeline'!R17="WON",'MiT Strom Pipeline'!D17,"")</f>
        <v/>
      </c>
      <c r="E22" s="23">
        <f>IF('MiT Strom Pipeline'!R17="WON",'MiT Strom Pipeline'!E17,"")</f>
        <v/>
      </c>
      <c r="F22" s="24">
        <f>IF('MiT Strom Pipeline'!R17="WON",IF(ISNUMBER('MiT Strom Pipeline'!I17),'MiT Strom Pipeline'!I17,0),"")</f>
        <v/>
      </c>
      <c r="G22" s="24">
        <f>IF('MiT Strom Pipeline'!R17="WON",IF(ISNUMBER('MiT Strom Pipeline'!Q17),'MiT Strom Pipeline'!Q17,0),"")</f>
        <v/>
      </c>
      <c r="H22" s="24">
        <f>IF('MiT Strom Pipeline'!R17="WON",IF(ISNUMBER('MiT Strom Pipeline'!O17),'MiT Strom Pipeline'!O17,0),"")</f>
        <v/>
      </c>
      <c r="I22" s="22">
        <f>IF('MiT Strom Pipeline'!R17="WON",'MiT Strom Pipeline'!R17,"")</f>
        <v/>
      </c>
      <c r="J22" s="22">
        <f>IF('MiT Strom Pipeline'!R17="WON",'MiT Strom Pipeline'!S17,"")</f>
        <v/>
      </c>
      <c r="K22" s="23">
        <f>IF('MiT Strom Pipeline'!R17="WON",IF(LEN('MiT Strom Pipeline'!V17)&gt;0,LEFT('MiT Strom Pipeline'!V17,55),""),"")</f>
        <v/>
      </c>
    </row>
    <row r="23" hidden="1" ht="15.75" customHeight="1">
      <c r="A23" s="19">
        <f>IF('MiT Strom Pipeline'!R18="WON",IF(ISNUMBER('MiT Strom Pipeline'!A18),'MiT Strom Pipeline'!A18,""),"")</f>
        <v/>
      </c>
      <c r="B23" s="20">
        <f>IF('MiT Strom Pipeline'!R18="WON",'MiT Strom Pipeline'!B18,"")</f>
        <v/>
      </c>
      <c r="C23" s="19">
        <f>IF('MiT Strom Pipeline'!R18="WON",'MiT Strom Pipeline'!C18,"")</f>
        <v/>
      </c>
      <c r="D23" s="20">
        <f>IF('MiT Strom Pipeline'!R18="WON",'MiT Strom Pipeline'!D18,"")</f>
        <v/>
      </c>
      <c r="E23" s="20">
        <f>IF('MiT Strom Pipeline'!R18="WON",'MiT Strom Pipeline'!E18,"")</f>
        <v/>
      </c>
      <c r="F23" s="21">
        <f>IF('MiT Strom Pipeline'!R18="WON",IF(ISNUMBER('MiT Strom Pipeline'!I18),'MiT Strom Pipeline'!I18,0),"")</f>
        <v/>
      </c>
      <c r="G23" s="21">
        <f>IF('MiT Strom Pipeline'!R18="WON",IF(ISNUMBER('MiT Strom Pipeline'!Q18),'MiT Strom Pipeline'!Q18,0),"")</f>
        <v/>
      </c>
      <c r="H23" s="21">
        <f>IF('MiT Strom Pipeline'!R18="WON",IF(ISNUMBER('MiT Strom Pipeline'!O18),'MiT Strom Pipeline'!O18,0),"")</f>
        <v/>
      </c>
      <c r="I23" s="19">
        <f>IF('MiT Strom Pipeline'!R18="WON",'MiT Strom Pipeline'!R18,"")</f>
        <v/>
      </c>
      <c r="J23" s="19">
        <f>IF('MiT Strom Pipeline'!R18="WON",'MiT Strom Pipeline'!S18,"")</f>
        <v/>
      </c>
      <c r="K23" s="20">
        <f>IF('MiT Strom Pipeline'!R18="WON",IF(LEN('MiT Strom Pipeline'!V18)&gt;0,LEFT('MiT Strom Pipeline'!V18,55),""),"")</f>
        <v/>
      </c>
    </row>
    <row r="24" hidden="1" ht="15.75" customHeight="1">
      <c r="A24" s="22">
        <f>IF('MiT Strom Pipeline'!R19="WON",IF(ISNUMBER('MiT Strom Pipeline'!A19),'MiT Strom Pipeline'!A19,""),"")</f>
        <v/>
      </c>
      <c r="B24" s="23">
        <f>IF('MiT Strom Pipeline'!R19="WON",'MiT Strom Pipeline'!B19,"")</f>
        <v/>
      </c>
      <c r="C24" s="22">
        <f>IF('MiT Strom Pipeline'!R19="WON",'MiT Strom Pipeline'!C19,"")</f>
        <v/>
      </c>
      <c r="D24" s="23">
        <f>IF('MiT Strom Pipeline'!R19="WON",'MiT Strom Pipeline'!D19,"")</f>
        <v/>
      </c>
      <c r="E24" s="23">
        <f>IF('MiT Strom Pipeline'!R19="WON",'MiT Strom Pipeline'!E19,"")</f>
        <v/>
      </c>
      <c r="F24" s="24">
        <f>IF('MiT Strom Pipeline'!R19="WON",IF(ISNUMBER('MiT Strom Pipeline'!I19),'MiT Strom Pipeline'!I19,0),"")</f>
        <v/>
      </c>
      <c r="G24" s="24">
        <f>IF('MiT Strom Pipeline'!R19="WON",IF(ISNUMBER('MiT Strom Pipeline'!Q19),'MiT Strom Pipeline'!Q19,0),"")</f>
        <v/>
      </c>
      <c r="H24" s="24">
        <f>IF('MiT Strom Pipeline'!R19="WON",IF(ISNUMBER('MiT Strom Pipeline'!O19),'MiT Strom Pipeline'!O19,0),"")</f>
        <v/>
      </c>
      <c r="I24" s="22">
        <f>IF('MiT Strom Pipeline'!R19="WON",'MiT Strom Pipeline'!R19,"")</f>
        <v/>
      </c>
      <c r="J24" s="22">
        <f>IF('MiT Strom Pipeline'!R19="WON",'MiT Strom Pipeline'!S19,"")</f>
        <v/>
      </c>
      <c r="K24" s="23">
        <f>IF('MiT Strom Pipeline'!R19="WON",IF(LEN('MiT Strom Pipeline'!V19)&gt;0,LEFT('MiT Strom Pipeline'!V19,55),""),"")</f>
        <v/>
      </c>
    </row>
    <row r="25" hidden="1" ht="15.75" customHeight="1">
      <c r="A25" s="19">
        <f>IF('MiT Strom Pipeline'!R20="WON",IF(ISNUMBER('MiT Strom Pipeline'!A20),'MiT Strom Pipeline'!A20,""),"")</f>
        <v/>
      </c>
      <c r="B25" s="20">
        <f>IF('MiT Strom Pipeline'!R20="WON",'MiT Strom Pipeline'!B20,"")</f>
        <v/>
      </c>
      <c r="C25" s="19">
        <f>IF('MiT Strom Pipeline'!R20="WON",'MiT Strom Pipeline'!C20,"")</f>
        <v/>
      </c>
      <c r="D25" s="20">
        <f>IF('MiT Strom Pipeline'!R20="WON",'MiT Strom Pipeline'!D20,"")</f>
        <v/>
      </c>
      <c r="E25" s="20">
        <f>IF('MiT Strom Pipeline'!R20="WON",'MiT Strom Pipeline'!E20,"")</f>
        <v/>
      </c>
      <c r="F25" s="21">
        <f>IF('MiT Strom Pipeline'!R20="WON",IF(ISNUMBER('MiT Strom Pipeline'!I20),'MiT Strom Pipeline'!I20,0),"")</f>
        <v/>
      </c>
      <c r="G25" s="21">
        <f>IF('MiT Strom Pipeline'!R20="WON",IF(ISNUMBER('MiT Strom Pipeline'!Q20),'MiT Strom Pipeline'!Q20,0),"")</f>
        <v/>
      </c>
      <c r="H25" s="21">
        <f>IF('MiT Strom Pipeline'!R20="WON",IF(ISNUMBER('MiT Strom Pipeline'!O20),'MiT Strom Pipeline'!O20,0),"")</f>
        <v/>
      </c>
      <c r="I25" s="19">
        <f>IF('MiT Strom Pipeline'!R20="WON",'MiT Strom Pipeline'!R20,"")</f>
        <v/>
      </c>
      <c r="J25" s="19">
        <f>IF('MiT Strom Pipeline'!R20="WON",'MiT Strom Pipeline'!S20,"")</f>
        <v/>
      </c>
      <c r="K25" s="20">
        <f>IF('MiT Strom Pipeline'!R20="WON",IF(LEN('MiT Strom Pipeline'!V20)&gt;0,LEFT('MiT Strom Pipeline'!V20,55),""),"")</f>
        <v/>
      </c>
    </row>
    <row r="26" hidden="1" ht="15.75" customHeight="1">
      <c r="A26" s="22">
        <f>IF('MiT Strom Pipeline'!R21="WON",IF(ISNUMBER('MiT Strom Pipeline'!A21),'MiT Strom Pipeline'!A21,""),"")</f>
        <v/>
      </c>
      <c r="B26" s="23">
        <f>IF('MiT Strom Pipeline'!R21="WON",'MiT Strom Pipeline'!B21,"")</f>
        <v/>
      </c>
      <c r="C26" s="22">
        <f>IF('MiT Strom Pipeline'!R21="WON",'MiT Strom Pipeline'!C21,"")</f>
        <v/>
      </c>
      <c r="D26" s="23">
        <f>IF('MiT Strom Pipeline'!R21="WON",'MiT Strom Pipeline'!D21,"")</f>
        <v/>
      </c>
      <c r="E26" s="23">
        <f>IF('MiT Strom Pipeline'!R21="WON",'MiT Strom Pipeline'!E21,"")</f>
        <v/>
      </c>
      <c r="F26" s="24">
        <f>IF('MiT Strom Pipeline'!R21="WON",IF(ISNUMBER('MiT Strom Pipeline'!I21),'MiT Strom Pipeline'!I21,0),"")</f>
        <v/>
      </c>
      <c r="G26" s="24">
        <f>IF('MiT Strom Pipeline'!R21="WON",IF(ISNUMBER('MiT Strom Pipeline'!Q21),'MiT Strom Pipeline'!Q21,0),"")</f>
        <v/>
      </c>
      <c r="H26" s="24">
        <f>IF('MiT Strom Pipeline'!R21="WON",IF(ISNUMBER('MiT Strom Pipeline'!O21),'MiT Strom Pipeline'!O21,0),"")</f>
        <v/>
      </c>
      <c r="I26" s="22">
        <f>IF('MiT Strom Pipeline'!R21="WON",'MiT Strom Pipeline'!R21,"")</f>
        <v/>
      </c>
      <c r="J26" s="22">
        <f>IF('MiT Strom Pipeline'!R21="WON",'MiT Strom Pipeline'!S21,"")</f>
        <v/>
      </c>
      <c r="K26" s="23">
        <f>IF('MiT Strom Pipeline'!R21="WON",IF(LEN('MiT Strom Pipeline'!V21)&gt;0,LEFT('MiT Strom Pipeline'!V21,55),""),"")</f>
        <v/>
      </c>
    </row>
    <row r="27" hidden="1" ht="15.75" customHeight="1">
      <c r="A27" s="19">
        <f>IF('MiT Strom Pipeline'!R22="WON",IF(ISNUMBER('MiT Strom Pipeline'!A22),'MiT Strom Pipeline'!A22,""),"")</f>
        <v/>
      </c>
      <c r="B27" s="20">
        <f>IF('MiT Strom Pipeline'!R22="WON",'MiT Strom Pipeline'!B22,"")</f>
        <v/>
      </c>
      <c r="C27" s="19">
        <f>IF('MiT Strom Pipeline'!R22="WON",'MiT Strom Pipeline'!C22,"")</f>
        <v/>
      </c>
      <c r="D27" s="20">
        <f>IF('MiT Strom Pipeline'!R22="WON",'MiT Strom Pipeline'!D22,"")</f>
        <v/>
      </c>
      <c r="E27" s="20">
        <f>IF('MiT Strom Pipeline'!R22="WON",'MiT Strom Pipeline'!E22,"")</f>
        <v/>
      </c>
      <c r="F27" s="21">
        <f>IF('MiT Strom Pipeline'!R22="WON",IF(ISNUMBER('MiT Strom Pipeline'!I22),'MiT Strom Pipeline'!I22,0),"")</f>
        <v/>
      </c>
      <c r="G27" s="21">
        <f>IF('MiT Strom Pipeline'!R22="WON",IF(ISNUMBER('MiT Strom Pipeline'!Q22),'MiT Strom Pipeline'!Q22,0),"")</f>
        <v/>
      </c>
      <c r="H27" s="21">
        <f>IF('MiT Strom Pipeline'!R22="WON",IF(ISNUMBER('MiT Strom Pipeline'!O22),'MiT Strom Pipeline'!O22,0),"")</f>
        <v/>
      </c>
      <c r="I27" s="19">
        <f>IF('MiT Strom Pipeline'!R22="WON",'MiT Strom Pipeline'!R22,"")</f>
        <v/>
      </c>
      <c r="J27" s="19">
        <f>IF('MiT Strom Pipeline'!R22="WON",'MiT Strom Pipeline'!S22,"")</f>
        <v/>
      </c>
      <c r="K27" s="20">
        <f>IF('MiT Strom Pipeline'!R22="WON",IF(LEN('MiT Strom Pipeline'!V22)&gt;0,LEFT('MiT Strom Pipeline'!V22,55),""),"")</f>
        <v/>
      </c>
    </row>
    <row r="28" hidden="1" ht="15.75" customHeight="1">
      <c r="A28" s="22">
        <f>IF('MiT Strom Pipeline'!R23="WON",IF(ISNUMBER('MiT Strom Pipeline'!A23),'MiT Strom Pipeline'!A23,""),"")</f>
        <v/>
      </c>
      <c r="B28" s="23">
        <f>IF('MiT Strom Pipeline'!R23="WON",'MiT Strom Pipeline'!B23,"")</f>
        <v/>
      </c>
      <c r="C28" s="22">
        <f>IF('MiT Strom Pipeline'!R23="WON",'MiT Strom Pipeline'!C23,"")</f>
        <v/>
      </c>
      <c r="D28" s="23">
        <f>IF('MiT Strom Pipeline'!R23="WON",'MiT Strom Pipeline'!D23,"")</f>
        <v/>
      </c>
      <c r="E28" s="23">
        <f>IF('MiT Strom Pipeline'!R23="WON",'MiT Strom Pipeline'!E23,"")</f>
        <v/>
      </c>
      <c r="F28" s="24">
        <f>IF('MiT Strom Pipeline'!R23="WON",IF(ISNUMBER('MiT Strom Pipeline'!I23),'MiT Strom Pipeline'!I23,0),"")</f>
        <v/>
      </c>
      <c r="G28" s="24">
        <f>IF('MiT Strom Pipeline'!R23="WON",IF(ISNUMBER('MiT Strom Pipeline'!Q23),'MiT Strom Pipeline'!Q23,0),"")</f>
        <v/>
      </c>
      <c r="H28" s="24">
        <f>IF('MiT Strom Pipeline'!R23="WON",IF(ISNUMBER('MiT Strom Pipeline'!O23),'MiT Strom Pipeline'!O23,0),"")</f>
        <v/>
      </c>
      <c r="I28" s="22">
        <f>IF('MiT Strom Pipeline'!R23="WON",'MiT Strom Pipeline'!R23,"")</f>
        <v/>
      </c>
      <c r="J28" s="22">
        <f>IF('MiT Strom Pipeline'!R23="WON",'MiT Strom Pipeline'!S23,"")</f>
        <v/>
      </c>
      <c r="K28" s="23">
        <f>IF('MiT Strom Pipeline'!R23="WON",IF(LEN('MiT Strom Pipeline'!V23)&gt;0,LEFT('MiT Strom Pipeline'!V23,55),""),"")</f>
        <v/>
      </c>
    </row>
    <row r="29" hidden="1" ht="15.75" customHeight="1">
      <c r="A29" s="19">
        <f>IF('MiT Strom Pipeline'!R24="WON",IF(ISNUMBER('MiT Strom Pipeline'!A24),'MiT Strom Pipeline'!A24,""),"")</f>
        <v/>
      </c>
      <c r="B29" s="20">
        <f>IF('MiT Strom Pipeline'!R24="WON",'MiT Strom Pipeline'!B24,"")</f>
        <v/>
      </c>
      <c r="C29" s="19">
        <f>IF('MiT Strom Pipeline'!R24="WON",'MiT Strom Pipeline'!C24,"")</f>
        <v/>
      </c>
      <c r="D29" s="20">
        <f>IF('MiT Strom Pipeline'!R24="WON",'MiT Strom Pipeline'!D24,"")</f>
        <v/>
      </c>
      <c r="E29" s="20">
        <f>IF('MiT Strom Pipeline'!R24="WON",'MiT Strom Pipeline'!E24,"")</f>
        <v/>
      </c>
      <c r="F29" s="21">
        <f>IF('MiT Strom Pipeline'!R24="WON",IF(ISNUMBER('MiT Strom Pipeline'!I24),'MiT Strom Pipeline'!I24,0),"")</f>
        <v/>
      </c>
      <c r="G29" s="21">
        <f>IF('MiT Strom Pipeline'!R24="WON",IF(ISNUMBER('MiT Strom Pipeline'!Q24),'MiT Strom Pipeline'!Q24,0),"")</f>
        <v/>
      </c>
      <c r="H29" s="21">
        <f>IF('MiT Strom Pipeline'!R24="WON",IF(ISNUMBER('MiT Strom Pipeline'!O24),'MiT Strom Pipeline'!O24,0),"")</f>
        <v/>
      </c>
      <c r="I29" s="19">
        <f>IF('MiT Strom Pipeline'!R24="WON",'MiT Strom Pipeline'!R24,"")</f>
        <v/>
      </c>
      <c r="J29" s="19">
        <f>IF('MiT Strom Pipeline'!R24="WON",'MiT Strom Pipeline'!S24,"")</f>
        <v/>
      </c>
      <c r="K29" s="20">
        <f>IF('MiT Strom Pipeline'!R24="WON",IF(LEN('MiT Strom Pipeline'!V24)&gt;0,LEFT('MiT Strom Pipeline'!V24,55),""),"")</f>
        <v/>
      </c>
    </row>
    <row r="30" hidden="1" ht="15.75" customHeight="1">
      <c r="A30" s="22">
        <f>IF('MiT Strom Pipeline'!R25="WON",IF(ISNUMBER('MiT Strom Pipeline'!A25),'MiT Strom Pipeline'!A25,""),"")</f>
        <v/>
      </c>
      <c r="B30" s="23">
        <f>IF('MiT Strom Pipeline'!R25="WON",'MiT Strom Pipeline'!B25,"")</f>
        <v/>
      </c>
      <c r="C30" s="22">
        <f>IF('MiT Strom Pipeline'!R25="WON",'MiT Strom Pipeline'!C25,"")</f>
        <v/>
      </c>
      <c r="D30" s="23">
        <f>IF('MiT Strom Pipeline'!R25="WON",'MiT Strom Pipeline'!D25,"")</f>
        <v/>
      </c>
      <c r="E30" s="23">
        <f>IF('MiT Strom Pipeline'!R25="WON",'MiT Strom Pipeline'!E25,"")</f>
        <v/>
      </c>
      <c r="F30" s="24">
        <f>IF('MiT Strom Pipeline'!R25="WON",IF(ISNUMBER('MiT Strom Pipeline'!I25),'MiT Strom Pipeline'!I25,0),"")</f>
        <v/>
      </c>
      <c r="G30" s="24">
        <f>IF('MiT Strom Pipeline'!R25="WON",IF(ISNUMBER('MiT Strom Pipeline'!Q25),'MiT Strom Pipeline'!Q25,0),"")</f>
        <v/>
      </c>
      <c r="H30" s="24">
        <f>IF('MiT Strom Pipeline'!R25="WON",IF(ISNUMBER('MiT Strom Pipeline'!O25),'MiT Strom Pipeline'!O25,0),"")</f>
        <v/>
      </c>
      <c r="I30" s="22">
        <f>IF('MiT Strom Pipeline'!R25="WON",'MiT Strom Pipeline'!R25,"")</f>
        <v/>
      </c>
      <c r="J30" s="22">
        <f>IF('MiT Strom Pipeline'!R25="WON",'MiT Strom Pipeline'!S25,"")</f>
        <v/>
      </c>
      <c r="K30" s="23">
        <f>IF('MiT Strom Pipeline'!R25="WON",IF(LEN('MiT Strom Pipeline'!V25)&gt;0,LEFT('MiT Strom Pipeline'!V25,55),""),"")</f>
        <v/>
      </c>
    </row>
    <row r="31" hidden="1" ht="15.75" customHeight="1">
      <c r="A31" s="19">
        <f>IF('MiT Strom Pipeline'!R26="WON",IF(ISNUMBER('MiT Strom Pipeline'!A26),'MiT Strom Pipeline'!A26,""),"")</f>
        <v/>
      </c>
      <c r="B31" s="20">
        <f>IF('MiT Strom Pipeline'!R26="WON",'MiT Strom Pipeline'!B26,"")</f>
        <v/>
      </c>
      <c r="C31" s="19">
        <f>IF('MiT Strom Pipeline'!R26="WON",'MiT Strom Pipeline'!C26,"")</f>
        <v/>
      </c>
      <c r="D31" s="20">
        <f>IF('MiT Strom Pipeline'!R26="WON",'MiT Strom Pipeline'!D26,"")</f>
        <v/>
      </c>
      <c r="E31" s="20">
        <f>IF('MiT Strom Pipeline'!R26="WON",'MiT Strom Pipeline'!E26,"")</f>
        <v/>
      </c>
      <c r="F31" s="21">
        <f>IF('MiT Strom Pipeline'!R26="WON",IF(ISNUMBER('MiT Strom Pipeline'!I26),'MiT Strom Pipeline'!I26,0),"")</f>
        <v/>
      </c>
      <c r="G31" s="21">
        <f>IF('MiT Strom Pipeline'!R26="WON",IF(ISNUMBER('MiT Strom Pipeline'!Q26),'MiT Strom Pipeline'!Q26,0),"")</f>
        <v/>
      </c>
      <c r="H31" s="21">
        <f>IF('MiT Strom Pipeline'!R26="WON",IF(ISNUMBER('MiT Strom Pipeline'!O26),'MiT Strom Pipeline'!O26,0),"")</f>
        <v/>
      </c>
      <c r="I31" s="19">
        <f>IF('MiT Strom Pipeline'!R26="WON",'MiT Strom Pipeline'!R26,"")</f>
        <v/>
      </c>
      <c r="J31" s="19">
        <f>IF('MiT Strom Pipeline'!R26="WON",'MiT Strom Pipeline'!S26,"")</f>
        <v/>
      </c>
      <c r="K31" s="20">
        <f>IF('MiT Strom Pipeline'!R26="WON",IF(LEN('MiT Strom Pipeline'!V26)&gt;0,LEFT('MiT Strom Pipeline'!V26,55),""),"")</f>
        <v/>
      </c>
    </row>
    <row r="32" ht="25.5" customHeight="1">
      <c r="A32" s="22">
        <f>IF('MiT Strom Pipeline'!R27="WON",IF(ISNUMBER('MiT Strom Pipeline'!A27),'MiT Strom Pipeline'!A27,""),"")</f>
        <v/>
      </c>
      <c r="B32" s="23">
        <f>IF('MiT Strom Pipeline'!R27="WON",'MiT Strom Pipeline'!B27,"")</f>
        <v/>
      </c>
      <c r="C32" s="22">
        <f>IF('MiT Strom Pipeline'!R27="WON",'MiT Strom Pipeline'!C27,"")</f>
        <v/>
      </c>
      <c r="D32" s="23">
        <f>IF('MiT Strom Pipeline'!R27="WON",'MiT Strom Pipeline'!D27,"")</f>
        <v/>
      </c>
      <c r="E32" s="23">
        <f>IF('MiT Strom Pipeline'!R27="WON",'MiT Strom Pipeline'!E27,"")</f>
        <v/>
      </c>
      <c r="F32" s="24">
        <f>IF('MiT Strom Pipeline'!R27="WON",IF(ISNUMBER('MiT Strom Pipeline'!I27),'MiT Strom Pipeline'!I27,0),"")</f>
        <v/>
      </c>
      <c r="G32" s="24">
        <f>IF('MiT Strom Pipeline'!R27="WON",IF(ISNUMBER('MiT Strom Pipeline'!Q27),'MiT Strom Pipeline'!Q27,0),"")</f>
        <v/>
      </c>
      <c r="H32" s="24">
        <f>IF('MiT Strom Pipeline'!R27="WON",IF(ISNUMBER('MiT Strom Pipeline'!O27),'MiT Strom Pipeline'!O27,0),"")</f>
        <v/>
      </c>
      <c r="I32" s="22">
        <f>IF('MiT Strom Pipeline'!R27="WON",'MiT Strom Pipeline'!R27,"")</f>
        <v/>
      </c>
      <c r="J32" s="22">
        <f>IF('MiT Strom Pipeline'!R27="WON",'MiT Strom Pipeline'!S27,"")</f>
        <v/>
      </c>
      <c r="K32" s="25">
        <f>IF('MiT Strom Pipeline'!R27="WON",IF(LEN('MiT Strom Pipeline'!V27)&gt;0,LEFT('MiT Strom Pipeline'!V27,55),""),"")</f>
        <v/>
      </c>
    </row>
    <row r="33" hidden="1" ht="15.75" customHeight="1">
      <c r="A33" s="19">
        <f>IF('MiT Strom Pipeline'!R28="WON",IF(ISNUMBER('MiT Strom Pipeline'!A28),'MiT Strom Pipeline'!A28,""),"")</f>
        <v/>
      </c>
      <c r="B33" s="20">
        <f>IF('MiT Strom Pipeline'!R28="WON",'MiT Strom Pipeline'!B28,"")</f>
        <v/>
      </c>
      <c r="C33" s="19">
        <f>IF('MiT Strom Pipeline'!R28="WON",'MiT Strom Pipeline'!C28,"")</f>
        <v/>
      </c>
      <c r="D33" s="20">
        <f>IF('MiT Strom Pipeline'!R28="WON",'MiT Strom Pipeline'!D28,"")</f>
        <v/>
      </c>
      <c r="E33" s="20">
        <f>IF('MiT Strom Pipeline'!R28="WON",'MiT Strom Pipeline'!E28,"")</f>
        <v/>
      </c>
      <c r="F33" s="21">
        <f>IF('MiT Strom Pipeline'!R28="WON",IF(ISNUMBER('MiT Strom Pipeline'!I28),'MiT Strom Pipeline'!I28,0),"")</f>
        <v/>
      </c>
      <c r="G33" s="21">
        <f>IF('MiT Strom Pipeline'!R28="WON",IF(ISNUMBER('MiT Strom Pipeline'!Q28),'MiT Strom Pipeline'!Q28,0),"")</f>
        <v/>
      </c>
      <c r="H33" s="21">
        <f>IF('MiT Strom Pipeline'!R28="WON",IF(ISNUMBER('MiT Strom Pipeline'!O28),'MiT Strom Pipeline'!O28,0),"")</f>
        <v/>
      </c>
      <c r="I33" s="19">
        <f>IF('MiT Strom Pipeline'!R28="WON",'MiT Strom Pipeline'!R28,"")</f>
        <v/>
      </c>
      <c r="J33" s="19">
        <f>IF('MiT Strom Pipeline'!R28="WON",'MiT Strom Pipeline'!S28,"")</f>
        <v/>
      </c>
      <c r="K33" s="20">
        <f>IF('MiT Strom Pipeline'!R28="WON",IF(LEN('MiT Strom Pipeline'!V28)&gt;0,LEFT('MiT Strom Pipeline'!V28,55),""),"")</f>
        <v/>
      </c>
    </row>
    <row r="34" hidden="1" ht="15.75" customHeight="1">
      <c r="A34" s="22">
        <f>IF('MiT Strom Pipeline'!R29="WON",IF(ISNUMBER('MiT Strom Pipeline'!A29),'MiT Strom Pipeline'!A29,""),"")</f>
        <v/>
      </c>
      <c r="B34" s="23">
        <f>IF('MiT Strom Pipeline'!R29="WON",'MiT Strom Pipeline'!B29,"")</f>
        <v/>
      </c>
      <c r="C34" s="22">
        <f>IF('MiT Strom Pipeline'!R29="WON",'MiT Strom Pipeline'!C29,"")</f>
        <v/>
      </c>
      <c r="D34" s="23">
        <f>IF('MiT Strom Pipeline'!R29="WON",'MiT Strom Pipeline'!D29,"")</f>
        <v/>
      </c>
      <c r="E34" s="23">
        <f>IF('MiT Strom Pipeline'!R29="WON",'MiT Strom Pipeline'!E29,"")</f>
        <v/>
      </c>
      <c r="F34" s="24">
        <f>IF('MiT Strom Pipeline'!R29="WON",IF(ISNUMBER('MiT Strom Pipeline'!I29),'MiT Strom Pipeline'!I29,0),"")</f>
        <v/>
      </c>
      <c r="G34" s="24">
        <f>IF('MiT Strom Pipeline'!R29="WON",IF(ISNUMBER('MiT Strom Pipeline'!Q29),'MiT Strom Pipeline'!Q29,0),"")</f>
        <v/>
      </c>
      <c r="H34" s="24">
        <f>IF('MiT Strom Pipeline'!R29="WON",IF(ISNUMBER('MiT Strom Pipeline'!O29),'MiT Strom Pipeline'!O29,0),"")</f>
        <v/>
      </c>
      <c r="I34" s="22">
        <f>IF('MiT Strom Pipeline'!R29="WON",'MiT Strom Pipeline'!R29,"")</f>
        <v/>
      </c>
      <c r="J34" s="22">
        <f>IF('MiT Strom Pipeline'!R29="WON",'MiT Strom Pipeline'!S29,"")</f>
        <v/>
      </c>
      <c r="K34" s="23">
        <f>IF('MiT Strom Pipeline'!R29="WON",IF(LEN('MiT Strom Pipeline'!V29)&gt;0,LEFT('MiT Strom Pipeline'!V29,55),""),"")</f>
        <v/>
      </c>
    </row>
    <row r="35" hidden="1" ht="15.75" customHeight="1">
      <c r="A35" s="19">
        <f>IF('MiT Strom Pipeline'!R30="WON",IF(ISNUMBER('MiT Strom Pipeline'!A30),'MiT Strom Pipeline'!A30,""),"")</f>
        <v/>
      </c>
      <c r="B35" s="20">
        <f>IF('MiT Strom Pipeline'!R30="WON",'MiT Strom Pipeline'!B30,"")</f>
        <v/>
      </c>
      <c r="C35" s="19">
        <f>IF('MiT Strom Pipeline'!R30="WON",'MiT Strom Pipeline'!C30,"")</f>
        <v/>
      </c>
      <c r="D35" s="20">
        <f>IF('MiT Strom Pipeline'!R30="WON",'MiT Strom Pipeline'!D30,"")</f>
        <v/>
      </c>
      <c r="E35" s="20">
        <f>IF('MiT Strom Pipeline'!R30="WON",'MiT Strom Pipeline'!E30,"")</f>
        <v/>
      </c>
      <c r="F35" s="21">
        <f>IF('MiT Strom Pipeline'!R30="WON",IF(ISNUMBER('MiT Strom Pipeline'!I30),'MiT Strom Pipeline'!I30,0),"")</f>
        <v/>
      </c>
      <c r="G35" s="21">
        <f>IF('MiT Strom Pipeline'!R30="WON",IF(ISNUMBER('MiT Strom Pipeline'!Q30),'MiT Strom Pipeline'!Q30,0),"")</f>
        <v/>
      </c>
      <c r="H35" s="21">
        <f>IF('MiT Strom Pipeline'!R30="WON",IF(ISNUMBER('MiT Strom Pipeline'!O30),'MiT Strom Pipeline'!O30,0),"")</f>
        <v/>
      </c>
      <c r="I35" s="19">
        <f>IF('MiT Strom Pipeline'!R30="WON",'MiT Strom Pipeline'!R30,"")</f>
        <v/>
      </c>
      <c r="J35" s="19">
        <f>IF('MiT Strom Pipeline'!R30="WON",'MiT Strom Pipeline'!S30,"")</f>
        <v/>
      </c>
      <c r="K35" s="20">
        <f>IF('MiT Strom Pipeline'!R30="WON",IF(LEN('MiT Strom Pipeline'!V30)&gt;0,LEFT('MiT Strom Pipeline'!V30,55),""),"")</f>
        <v/>
      </c>
    </row>
    <row r="36" hidden="1" ht="15.75" customHeight="1">
      <c r="A36" s="22">
        <f>IF('MiT Strom Pipeline'!R31="WON",IF(ISNUMBER('MiT Strom Pipeline'!A31),'MiT Strom Pipeline'!A31,""),"")</f>
        <v/>
      </c>
      <c r="B36" s="23">
        <f>IF('MiT Strom Pipeline'!R31="WON",'MiT Strom Pipeline'!B31,"")</f>
        <v/>
      </c>
      <c r="C36" s="22">
        <f>IF('MiT Strom Pipeline'!R31="WON",'MiT Strom Pipeline'!C31,"")</f>
        <v/>
      </c>
      <c r="D36" s="23">
        <f>IF('MiT Strom Pipeline'!R31="WON",'MiT Strom Pipeline'!D31,"")</f>
        <v/>
      </c>
      <c r="E36" s="23">
        <f>IF('MiT Strom Pipeline'!R31="WON",'MiT Strom Pipeline'!E31,"")</f>
        <v/>
      </c>
      <c r="F36" s="24">
        <f>IF('MiT Strom Pipeline'!R31="WON",IF(ISNUMBER('MiT Strom Pipeline'!I31),'MiT Strom Pipeline'!I31,0),"")</f>
        <v/>
      </c>
      <c r="G36" s="24">
        <f>IF('MiT Strom Pipeline'!R31="WON",IF(ISNUMBER('MiT Strom Pipeline'!Q31),'MiT Strom Pipeline'!Q31,0),"")</f>
        <v/>
      </c>
      <c r="H36" s="24">
        <f>IF('MiT Strom Pipeline'!R31="WON",IF(ISNUMBER('MiT Strom Pipeline'!O31),'MiT Strom Pipeline'!O31,0),"")</f>
        <v/>
      </c>
      <c r="I36" s="22">
        <f>IF('MiT Strom Pipeline'!R31="WON",'MiT Strom Pipeline'!R31,"")</f>
        <v/>
      </c>
      <c r="J36" s="22">
        <f>IF('MiT Strom Pipeline'!R31="WON",'MiT Strom Pipeline'!S31,"")</f>
        <v/>
      </c>
      <c r="K36" s="23">
        <f>IF('MiT Strom Pipeline'!R31="WON",IF(LEN('MiT Strom Pipeline'!V31)&gt;0,LEFT('MiT Strom Pipeline'!V31,55),""),"")</f>
        <v/>
      </c>
    </row>
    <row r="37" hidden="1" ht="15.75" customHeight="1">
      <c r="A37" s="19">
        <f>IF('MiT Strom Pipeline'!R32="WON",IF(ISNUMBER('MiT Strom Pipeline'!A32),'MiT Strom Pipeline'!A32,""),"")</f>
        <v/>
      </c>
      <c r="B37" s="20">
        <f>IF('MiT Strom Pipeline'!R32="WON",'MiT Strom Pipeline'!B32,"")</f>
        <v/>
      </c>
      <c r="C37" s="19">
        <f>IF('MiT Strom Pipeline'!R32="WON",'MiT Strom Pipeline'!C32,"")</f>
        <v/>
      </c>
      <c r="D37" s="20">
        <f>IF('MiT Strom Pipeline'!R32="WON",'MiT Strom Pipeline'!D32,"")</f>
        <v/>
      </c>
      <c r="E37" s="20">
        <f>IF('MiT Strom Pipeline'!R32="WON",'MiT Strom Pipeline'!E32,"")</f>
        <v/>
      </c>
      <c r="F37" s="21">
        <f>IF('MiT Strom Pipeline'!R32="WON",IF(ISNUMBER('MiT Strom Pipeline'!I32),'MiT Strom Pipeline'!I32,0),"")</f>
        <v/>
      </c>
      <c r="G37" s="21">
        <f>IF('MiT Strom Pipeline'!R32="WON",IF(ISNUMBER('MiT Strom Pipeline'!Q32),'MiT Strom Pipeline'!Q32,0),"")</f>
        <v/>
      </c>
      <c r="H37" s="21">
        <f>IF('MiT Strom Pipeline'!R32="WON",IF(ISNUMBER('MiT Strom Pipeline'!O32),'MiT Strom Pipeline'!O32,0),"")</f>
        <v/>
      </c>
      <c r="I37" s="19">
        <f>IF('MiT Strom Pipeline'!R32="WON",'MiT Strom Pipeline'!R32,"")</f>
        <v/>
      </c>
      <c r="J37" s="19">
        <f>IF('MiT Strom Pipeline'!R32="WON",'MiT Strom Pipeline'!S32,"")</f>
        <v/>
      </c>
      <c r="K37" s="20">
        <f>IF('MiT Strom Pipeline'!R32="WON",IF(LEN('MiT Strom Pipeline'!V32)&gt;0,LEFT('MiT Strom Pipeline'!V32,55),""),"")</f>
        <v/>
      </c>
    </row>
    <row r="38" hidden="1" ht="15.75" customHeight="1">
      <c r="A38" s="22">
        <f>IF('MiT Strom Pipeline'!R33="WON",IF(ISNUMBER('MiT Strom Pipeline'!A33),'MiT Strom Pipeline'!A33,""),"")</f>
        <v/>
      </c>
      <c r="B38" s="23">
        <f>IF('MiT Strom Pipeline'!R33="WON",'MiT Strom Pipeline'!B33,"")</f>
        <v/>
      </c>
      <c r="C38" s="22">
        <f>IF('MiT Strom Pipeline'!R33="WON",'MiT Strom Pipeline'!C33,"")</f>
        <v/>
      </c>
      <c r="D38" s="23">
        <f>IF('MiT Strom Pipeline'!R33="WON",'MiT Strom Pipeline'!D33,"")</f>
        <v/>
      </c>
      <c r="E38" s="23">
        <f>IF('MiT Strom Pipeline'!R33="WON",'MiT Strom Pipeline'!E33,"")</f>
        <v/>
      </c>
      <c r="F38" s="24">
        <f>IF('MiT Strom Pipeline'!R33="WON",IF(ISNUMBER('MiT Strom Pipeline'!I33),'MiT Strom Pipeline'!I33,0),"")</f>
        <v/>
      </c>
      <c r="G38" s="24">
        <f>IF('MiT Strom Pipeline'!R33="WON",IF(ISNUMBER('MiT Strom Pipeline'!Q33),'MiT Strom Pipeline'!Q33,0),"")</f>
        <v/>
      </c>
      <c r="H38" s="24">
        <f>IF('MiT Strom Pipeline'!R33="WON",IF(ISNUMBER('MiT Strom Pipeline'!O33),'MiT Strom Pipeline'!O33,0),"")</f>
        <v/>
      </c>
      <c r="I38" s="22">
        <f>IF('MiT Strom Pipeline'!R33="WON",'MiT Strom Pipeline'!R33,"")</f>
        <v/>
      </c>
      <c r="J38" s="22">
        <f>IF('MiT Strom Pipeline'!R33="WON",'MiT Strom Pipeline'!S33,"")</f>
        <v/>
      </c>
      <c r="K38" s="23">
        <f>IF('MiT Strom Pipeline'!R33="WON",IF(LEN('MiT Strom Pipeline'!V33)&gt;0,LEFT('MiT Strom Pipeline'!V33,55),""),"")</f>
        <v/>
      </c>
    </row>
    <row r="39" hidden="1" ht="15.75" customHeight="1">
      <c r="A39" s="19">
        <f>IF('MiT Strom Pipeline'!R34="WON",IF(ISNUMBER('MiT Strom Pipeline'!A34),'MiT Strom Pipeline'!A34,""),"")</f>
        <v/>
      </c>
      <c r="B39" s="20">
        <f>IF('MiT Strom Pipeline'!R34="WON",'MiT Strom Pipeline'!B34,"")</f>
        <v/>
      </c>
      <c r="C39" s="19">
        <f>IF('MiT Strom Pipeline'!R34="WON",'MiT Strom Pipeline'!C34,"")</f>
        <v/>
      </c>
      <c r="D39" s="20">
        <f>IF('MiT Strom Pipeline'!R34="WON",'MiT Strom Pipeline'!D34,"")</f>
        <v/>
      </c>
      <c r="E39" s="20">
        <f>IF('MiT Strom Pipeline'!R34="WON",'MiT Strom Pipeline'!E34,"")</f>
        <v/>
      </c>
      <c r="F39" s="21">
        <f>IF('MiT Strom Pipeline'!R34="WON",IF(ISNUMBER('MiT Strom Pipeline'!I34),'MiT Strom Pipeline'!I34,0),"")</f>
        <v/>
      </c>
      <c r="G39" s="21">
        <f>IF('MiT Strom Pipeline'!R34="WON",IF(ISNUMBER('MiT Strom Pipeline'!Q34),'MiT Strom Pipeline'!Q34,0),"")</f>
        <v/>
      </c>
      <c r="H39" s="21">
        <f>IF('MiT Strom Pipeline'!R34="WON",IF(ISNUMBER('MiT Strom Pipeline'!O34),'MiT Strom Pipeline'!O34,0),"")</f>
        <v/>
      </c>
      <c r="I39" s="19">
        <f>IF('MiT Strom Pipeline'!R34="WON",'MiT Strom Pipeline'!R34,"")</f>
        <v/>
      </c>
      <c r="J39" s="19">
        <f>IF('MiT Strom Pipeline'!R34="WON",'MiT Strom Pipeline'!S34,"")</f>
        <v/>
      </c>
      <c r="K39" s="20">
        <f>IF('MiT Strom Pipeline'!R34="WON",IF(LEN('MiT Strom Pipeline'!V34)&gt;0,LEFT('MiT Strom Pipeline'!V34,55),""),"")</f>
        <v/>
      </c>
    </row>
    <row r="40" hidden="1" ht="15.75" customHeight="1">
      <c r="A40" s="22">
        <f>IF('MiT Strom Pipeline'!R35="WON",IF(ISNUMBER('MiT Strom Pipeline'!A35),'MiT Strom Pipeline'!A35,""),"")</f>
        <v/>
      </c>
      <c r="B40" s="23">
        <f>IF('MiT Strom Pipeline'!R35="WON",'MiT Strom Pipeline'!B35,"")</f>
        <v/>
      </c>
      <c r="C40" s="22">
        <f>IF('MiT Strom Pipeline'!R35="WON",'MiT Strom Pipeline'!C35,"")</f>
        <v/>
      </c>
      <c r="D40" s="23">
        <f>IF('MiT Strom Pipeline'!R35="WON",'MiT Strom Pipeline'!D35,"")</f>
        <v/>
      </c>
      <c r="E40" s="23">
        <f>IF('MiT Strom Pipeline'!R35="WON",'MiT Strom Pipeline'!E35,"")</f>
        <v/>
      </c>
      <c r="F40" s="24">
        <f>IF('MiT Strom Pipeline'!R35="WON",IF(ISNUMBER('MiT Strom Pipeline'!I35),'MiT Strom Pipeline'!I35,0),"")</f>
        <v/>
      </c>
      <c r="G40" s="24">
        <f>IF('MiT Strom Pipeline'!R35="WON",IF(ISNUMBER('MiT Strom Pipeline'!Q35),'MiT Strom Pipeline'!Q35,0),"")</f>
        <v/>
      </c>
      <c r="H40" s="24">
        <f>IF('MiT Strom Pipeline'!R35="WON",IF(ISNUMBER('MiT Strom Pipeline'!O35),'MiT Strom Pipeline'!O35,0),"")</f>
        <v/>
      </c>
      <c r="I40" s="22">
        <f>IF('MiT Strom Pipeline'!R35="WON",'MiT Strom Pipeline'!R35,"")</f>
        <v/>
      </c>
      <c r="J40" s="22">
        <f>IF('MiT Strom Pipeline'!R35="WON",'MiT Strom Pipeline'!S35,"")</f>
        <v/>
      </c>
      <c r="K40" s="23">
        <f>IF('MiT Strom Pipeline'!R35="WON",IF(LEN('MiT Strom Pipeline'!V35)&gt;0,LEFT('MiT Strom Pipeline'!V35,55),""),"")</f>
        <v/>
      </c>
    </row>
    <row r="41" hidden="1" ht="15.75" customHeight="1">
      <c r="A41" s="19">
        <f>IF('MiT Strom Pipeline'!R36="WON",IF(ISNUMBER('MiT Strom Pipeline'!A36),'MiT Strom Pipeline'!A36,""),"")</f>
        <v/>
      </c>
      <c r="B41" s="20">
        <f>IF('MiT Strom Pipeline'!R36="WON",'MiT Strom Pipeline'!B36,"")</f>
        <v/>
      </c>
      <c r="C41" s="19">
        <f>IF('MiT Strom Pipeline'!R36="WON",'MiT Strom Pipeline'!C36,"")</f>
        <v/>
      </c>
      <c r="D41" s="20">
        <f>IF('MiT Strom Pipeline'!R36="WON",'MiT Strom Pipeline'!D36,"")</f>
        <v/>
      </c>
      <c r="E41" s="20">
        <f>IF('MiT Strom Pipeline'!R36="WON",'MiT Strom Pipeline'!E36,"")</f>
        <v/>
      </c>
      <c r="F41" s="21">
        <f>IF('MiT Strom Pipeline'!R36="WON",IF(ISNUMBER('MiT Strom Pipeline'!I36),'MiT Strom Pipeline'!I36,0),"")</f>
        <v/>
      </c>
      <c r="G41" s="21">
        <f>IF('MiT Strom Pipeline'!R36="WON",IF(ISNUMBER('MiT Strom Pipeline'!Q36),'MiT Strom Pipeline'!Q36,0),"")</f>
        <v/>
      </c>
      <c r="H41" s="21">
        <f>IF('MiT Strom Pipeline'!R36="WON",IF(ISNUMBER('MiT Strom Pipeline'!O36),'MiT Strom Pipeline'!O36,0),"")</f>
        <v/>
      </c>
      <c r="I41" s="19">
        <f>IF('MiT Strom Pipeline'!R36="WON",'MiT Strom Pipeline'!R36,"")</f>
        <v/>
      </c>
      <c r="J41" s="19">
        <f>IF('MiT Strom Pipeline'!R36="WON",'MiT Strom Pipeline'!S36,"")</f>
        <v/>
      </c>
      <c r="K41" s="20">
        <f>IF('MiT Strom Pipeline'!R36="WON",IF(LEN('MiT Strom Pipeline'!V36)&gt;0,LEFT('MiT Strom Pipeline'!V36,55),""),"")</f>
        <v/>
      </c>
    </row>
    <row r="42" hidden="1" ht="15.75" customHeight="1">
      <c r="A42" s="22">
        <f>IF('MiT Strom Pipeline'!R37="WON",IF(ISNUMBER('MiT Strom Pipeline'!A37),'MiT Strom Pipeline'!A37,""),"")</f>
        <v/>
      </c>
      <c r="B42" s="23">
        <f>IF('MiT Strom Pipeline'!R37="WON",'MiT Strom Pipeline'!B37,"")</f>
        <v/>
      </c>
      <c r="C42" s="22">
        <f>IF('MiT Strom Pipeline'!R37="WON",'MiT Strom Pipeline'!C37,"")</f>
        <v/>
      </c>
      <c r="D42" s="23">
        <f>IF('MiT Strom Pipeline'!R37="WON",'MiT Strom Pipeline'!D37,"")</f>
        <v/>
      </c>
      <c r="E42" s="23">
        <f>IF('MiT Strom Pipeline'!R37="WON",'MiT Strom Pipeline'!E37,"")</f>
        <v/>
      </c>
      <c r="F42" s="24">
        <f>IF('MiT Strom Pipeline'!R37="WON",IF(ISNUMBER('MiT Strom Pipeline'!I37),'MiT Strom Pipeline'!I37,0),"")</f>
        <v/>
      </c>
      <c r="G42" s="24">
        <f>IF('MiT Strom Pipeline'!R37="WON",IF(ISNUMBER('MiT Strom Pipeline'!Q37),'MiT Strom Pipeline'!Q37,0),"")</f>
        <v/>
      </c>
      <c r="H42" s="24">
        <f>IF('MiT Strom Pipeline'!R37="WON",IF(ISNUMBER('MiT Strom Pipeline'!O37),'MiT Strom Pipeline'!O37,0),"")</f>
        <v/>
      </c>
      <c r="I42" s="22">
        <f>IF('MiT Strom Pipeline'!R37="WON",'MiT Strom Pipeline'!R37,"")</f>
        <v/>
      </c>
      <c r="J42" s="22">
        <f>IF('MiT Strom Pipeline'!R37="WON",'MiT Strom Pipeline'!S37,"")</f>
        <v/>
      </c>
      <c r="K42" s="23">
        <f>IF('MiT Strom Pipeline'!R37="WON",IF(LEN('MiT Strom Pipeline'!V37)&gt;0,LEFT('MiT Strom Pipeline'!V37,55),""),"")</f>
        <v/>
      </c>
    </row>
    <row r="43" hidden="1" ht="15.75" customHeight="1">
      <c r="A43" s="22">
        <f>IF('MiT Strom Pipeline'!R38="WON",IF(ISNUMBER('MiT Strom Pipeline'!A38),'MiT Strom Pipeline'!A38,""),"")</f>
        <v/>
      </c>
      <c r="B43" s="23">
        <f>IF('MiT Strom Pipeline'!R38="WON",'MiT Strom Pipeline'!B38,"")</f>
        <v/>
      </c>
      <c r="C43" s="22">
        <f>IF('MiT Strom Pipeline'!R38="WON",'MiT Strom Pipeline'!C38,"")</f>
        <v/>
      </c>
      <c r="D43" s="23">
        <f>IF('MiT Strom Pipeline'!R38="WON",'MiT Strom Pipeline'!D38,"")</f>
        <v/>
      </c>
      <c r="E43" s="23">
        <f>IF('MiT Strom Pipeline'!R38="WON",'MiT Strom Pipeline'!E38,"")</f>
        <v/>
      </c>
      <c r="F43" s="24">
        <f>IF('MiT Strom Pipeline'!R38="WON",IF(ISNUMBER('MiT Strom Pipeline'!I38),'MiT Strom Pipeline'!I38,0),"")</f>
        <v/>
      </c>
      <c r="G43" s="24">
        <f>IF('MiT Strom Pipeline'!R38="WON",IF(ISNUMBER('MiT Strom Pipeline'!Q38),'MiT Strom Pipeline'!Q38,0),"")</f>
        <v/>
      </c>
      <c r="H43" s="24">
        <f>IF('MiT Strom Pipeline'!R38="WON",IF(ISNUMBER('MiT Strom Pipeline'!O38),'MiT Strom Pipeline'!O38,0),"")</f>
        <v/>
      </c>
      <c r="I43" s="22">
        <f>IF('MiT Strom Pipeline'!R38="WON",'MiT Strom Pipeline'!R38,"")</f>
        <v/>
      </c>
      <c r="J43" s="22">
        <f>IF('MiT Strom Pipeline'!R38="WON",'MiT Strom Pipeline'!S38,"")</f>
        <v/>
      </c>
      <c r="K43" s="23">
        <f>IF('MiT Strom Pipeline'!R38="WON",IF(LEN('MiT Strom Pipeline'!V38)&gt;0,LEFT('MiT Strom Pipeline'!V38,55),""),"")</f>
        <v/>
      </c>
      <c r="R43" t="inlineStr">
        <is>
          <t>WON</t>
        </is>
      </c>
    </row>
    <row r="44" hidden="1" ht="15.75" customHeight="1">
      <c r="A44" s="22">
        <f>IF('MiT Strom Pipeline'!R39="WON",IF(ISNUMBER('MiT Strom Pipeline'!A39),'MiT Strom Pipeline'!A39,""),"")</f>
        <v/>
      </c>
      <c r="B44" s="23">
        <f>IF('MiT Strom Pipeline'!R39="WON",'MiT Strom Pipeline'!B39,"")</f>
        <v/>
      </c>
      <c r="C44" s="22">
        <f>IF('MiT Strom Pipeline'!R39="WON",'MiT Strom Pipeline'!C39,"")</f>
        <v/>
      </c>
      <c r="D44" s="23">
        <f>IF('MiT Strom Pipeline'!R39="WON",'MiT Strom Pipeline'!D39,"")</f>
        <v/>
      </c>
      <c r="E44" s="23">
        <f>IF('MiT Strom Pipeline'!R39="WON",'MiT Strom Pipeline'!E39,"")</f>
        <v/>
      </c>
      <c r="F44" s="24">
        <f>IF('MiT Strom Pipeline'!R39="WON",IF(ISNUMBER('MiT Strom Pipeline'!I39),'MiT Strom Pipeline'!I39,0),"")</f>
        <v/>
      </c>
      <c r="G44" s="24">
        <f>IF('MiT Strom Pipeline'!R39="WON",IF(ISNUMBER('MiT Strom Pipeline'!Q39),'MiT Strom Pipeline'!Q39,0),"")</f>
        <v/>
      </c>
      <c r="H44" s="24">
        <f>IF('MiT Strom Pipeline'!R39="WON",IF(ISNUMBER('MiT Strom Pipeline'!O39),'MiT Strom Pipeline'!O39,0),"")</f>
        <v/>
      </c>
      <c r="I44" s="22">
        <f>IF('MiT Strom Pipeline'!R39="WON",'MiT Strom Pipeline'!R39,"")</f>
        <v/>
      </c>
      <c r="J44" s="22">
        <f>IF('MiT Strom Pipeline'!R39="WON",'MiT Strom Pipeline'!S39,"")</f>
        <v/>
      </c>
      <c r="K44" s="23">
        <f>IF('MiT Strom Pipeline'!R39="WON",IF(LEN('MiT Strom Pipeline'!V39)&gt;0,LEFT('MiT Strom Pipeline'!V39,55),""),"")</f>
        <v/>
      </c>
      <c r="R44" t="inlineStr">
        <is>
          <t>WON</t>
        </is>
      </c>
    </row>
    <row r="45" hidden="1" ht="15.75" customHeight="1">
      <c r="A45" s="19">
        <f>IF('MiT Strom Pipeline'!R40="WON",IF(ISNUMBER('MiT Strom Pipeline'!A40),'MiT Strom Pipeline'!A40,""),"")</f>
        <v/>
      </c>
      <c r="B45" s="20">
        <f>IF('MiT Strom Pipeline'!R40="WON",'MiT Strom Pipeline'!B40,"")</f>
        <v/>
      </c>
      <c r="C45" s="19">
        <f>IF('MiT Strom Pipeline'!R40="WON",'MiT Strom Pipeline'!C40,"")</f>
        <v/>
      </c>
      <c r="D45" s="20">
        <f>IF('MiT Strom Pipeline'!R40="WON",'MiT Strom Pipeline'!D40,"")</f>
        <v/>
      </c>
      <c r="E45" s="20">
        <f>IF('MiT Strom Pipeline'!R40="WON",'MiT Strom Pipeline'!E40,"")</f>
        <v/>
      </c>
      <c r="F45" s="21">
        <f>IF('MiT Strom Pipeline'!R40="WON",IF(ISNUMBER('MiT Strom Pipeline'!I40),'MiT Strom Pipeline'!I40,0),"")</f>
        <v/>
      </c>
      <c r="G45" s="21">
        <f>IF('MiT Strom Pipeline'!R40="WON",IF(ISNUMBER('MiT Strom Pipeline'!Q40),'MiT Strom Pipeline'!Q40,0),"")</f>
        <v/>
      </c>
      <c r="H45" s="21">
        <f>IF('MiT Strom Pipeline'!R40="WON",IF(ISNUMBER('MiT Strom Pipeline'!O40),'MiT Strom Pipeline'!O40,0),"")</f>
        <v/>
      </c>
      <c r="I45" s="19">
        <f>IF('MiT Strom Pipeline'!R40="WON",'MiT Strom Pipeline'!R40,"")</f>
        <v/>
      </c>
      <c r="J45" s="19">
        <f>IF('MiT Strom Pipeline'!R40="WON",'MiT Strom Pipeline'!S40,"")</f>
        <v/>
      </c>
      <c r="K45" s="20">
        <f>IF('MiT Strom Pipeline'!R40="WON",IF(LEN('MiT Strom Pipeline'!V40)&gt;0,LEFT('MiT Strom Pipeline'!V40,55),""),"")</f>
        <v/>
      </c>
    </row>
    <row r="46" hidden="1" ht="15.75" customHeight="1">
      <c r="A46" s="22">
        <f>IF('MiT Strom Pipeline'!R41="WON",IF(ISNUMBER('MiT Strom Pipeline'!A41),'MiT Strom Pipeline'!A41,""),"")</f>
        <v/>
      </c>
      <c r="B46" s="23">
        <f>IF('MiT Strom Pipeline'!R41="WON",'MiT Strom Pipeline'!B41,"")</f>
        <v/>
      </c>
      <c r="C46" s="22">
        <f>IF('MiT Strom Pipeline'!R41="WON",'MiT Strom Pipeline'!C41,"")</f>
        <v/>
      </c>
      <c r="D46" s="23">
        <f>IF('MiT Strom Pipeline'!R41="WON",'MiT Strom Pipeline'!D41,"")</f>
        <v/>
      </c>
      <c r="E46" s="23">
        <f>IF('MiT Strom Pipeline'!R41="WON",'MiT Strom Pipeline'!E41,"")</f>
        <v/>
      </c>
      <c r="F46" s="24">
        <f>IF('MiT Strom Pipeline'!R41="WON",IF(ISNUMBER('MiT Strom Pipeline'!I41),'MiT Strom Pipeline'!I41,0),"")</f>
        <v/>
      </c>
      <c r="G46" s="24">
        <f>IF('MiT Strom Pipeline'!R41="WON",IF(ISNUMBER('MiT Strom Pipeline'!Q41),'MiT Strom Pipeline'!Q41,0),"")</f>
        <v/>
      </c>
      <c r="H46" s="24">
        <f>IF('MiT Strom Pipeline'!R41="WON",IF(ISNUMBER('MiT Strom Pipeline'!O41),'MiT Strom Pipeline'!O41,0),"")</f>
        <v/>
      </c>
      <c r="I46" s="22">
        <f>IF('MiT Strom Pipeline'!R41="WON",'MiT Strom Pipeline'!R41,"")</f>
        <v/>
      </c>
      <c r="J46" s="22">
        <f>IF('MiT Strom Pipeline'!R41="WON",'MiT Strom Pipeline'!S41,"")</f>
        <v/>
      </c>
      <c r="K46" s="23">
        <f>IF('MiT Strom Pipeline'!R41="WON",IF(LEN('MiT Strom Pipeline'!V41)&gt;0,LEFT('MiT Strom Pipeline'!V41,55),""),"")</f>
        <v/>
      </c>
    </row>
    <row r="47" hidden="1" ht="15.75" customHeight="1">
      <c r="A47" s="19">
        <f>IF('MiT Strom Pipeline'!R42="WON",IF(ISNUMBER('MiT Strom Pipeline'!A42),'MiT Strom Pipeline'!A42,""),"")</f>
        <v/>
      </c>
      <c r="B47" s="20">
        <f>IF('MiT Strom Pipeline'!R42="WON",'MiT Strom Pipeline'!B42,"")</f>
        <v/>
      </c>
      <c r="C47" s="19">
        <f>IF('MiT Strom Pipeline'!R42="WON",'MiT Strom Pipeline'!C42,"")</f>
        <v/>
      </c>
      <c r="D47" s="20">
        <f>IF('MiT Strom Pipeline'!R42="WON",'MiT Strom Pipeline'!D42,"")</f>
        <v/>
      </c>
      <c r="E47" s="20">
        <f>IF('MiT Strom Pipeline'!R42="WON",'MiT Strom Pipeline'!E42,"")</f>
        <v/>
      </c>
      <c r="F47" s="21">
        <f>IF('MiT Strom Pipeline'!R42="WON",IF(ISNUMBER('MiT Strom Pipeline'!I42),'MiT Strom Pipeline'!I42,0),"")</f>
        <v/>
      </c>
      <c r="G47" s="21">
        <f>IF('MiT Strom Pipeline'!R42="WON",IF(ISNUMBER('MiT Strom Pipeline'!Q42),'MiT Strom Pipeline'!Q42,0),"")</f>
        <v/>
      </c>
      <c r="H47" s="21">
        <f>IF('MiT Strom Pipeline'!R42="WON",IF(ISNUMBER('MiT Strom Pipeline'!O42),'MiT Strom Pipeline'!O42,0),"")</f>
        <v/>
      </c>
      <c r="I47" s="19">
        <f>IF('MiT Strom Pipeline'!R42="WON",'MiT Strom Pipeline'!R42,"")</f>
        <v/>
      </c>
      <c r="J47" s="19">
        <f>IF('MiT Strom Pipeline'!R42="WON",'MiT Strom Pipeline'!S42,"")</f>
        <v/>
      </c>
      <c r="K47" s="20">
        <f>IF('MiT Strom Pipeline'!R42="WON",IF(LEN('MiT Strom Pipeline'!V42)&gt;0,LEFT('MiT Strom Pipeline'!V42,55),""),"")</f>
        <v/>
      </c>
    </row>
    <row r="48" hidden="1" ht="15.75" customHeight="1">
      <c r="A48" s="22">
        <f>IF('MiT Strom Pipeline'!R43="WON",IF(ISNUMBER('MiT Strom Pipeline'!A43),'MiT Strom Pipeline'!A43,""),"")</f>
        <v/>
      </c>
      <c r="B48" s="23">
        <f>IF('MiT Strom Pipeline'!R43="WON",'MiT Strom Pipeline'!B43,"")</f>
        <v/>
      </c>
      <c r="C48" s="22">
        <f>IF('MiT Strom Pipeline'!R43="WON",'MiT Strom Pipeline'!C43,"")</f>
        <v/>
      </c>
      <c r="D48" s="23">
        <f>IF('MiT Strom Pipeline'!R43="WON",'MiT Strom Pipeline'!D43,"")</f>
        <v/>
      </c>
      <c r="E48" s="23">
        <f>IF('MiT Strom Pipeline'!R43="WON",'MiT Strom Pipeline'!E43,"")</f>
        <v/>
      </c>
      <c r="F48" s="24">
        <f>IF('MiT Strom Pipeline'!R43="WON",IF(ISNUMBER('MiT Strom Pipeline'!I43),'MiT Strom Pipeline'!I43,0),"")</f>
        <v/>
      </c>
      <c r="G48" s="24">
        <f>IF('MiT Strom Pipeline'!R43="WON",IF(ISNUMBER('MiT Strom Pipeline'!Q43),'MiT Strom Pipeline'!Q43,0),"")</f>
        <v/>
      </c>
      <c r="H48" s="24">
        <f>IF('MiT Strom Pipeline'!R43="WON",IF(ISNUMBER('MiT Strom Pipeline'!O43),'MiT Strom Pipeline'!O43,0),"")</f>
        <v/>
      </c>
      <c r="I48" s="22">
        <f>IF('MiT Strom Pipeline'!R43="WON",'MiT Strom Pipeline'!R43,"")</f>
        <v/>
      </c>
      <c r="J48" s="22">
        <f>IF('MiT Strom Pipeline'!R43="WON",'MiT Strom Pipeline'!S43,"")</f>
        <v/>
      </c>
      <c r="K48" s="23">
        <f>IF('MiT Strom Pipeline'!R43="WON",IF(LEN('MiT Strom Pipeline'!V43)&gt;0,LEFT('MiT Strom Pipeline'!V43,55),""),"")</f>
        <v/>
      </c>
    </row>
    <row r="49" hidden="1" ht="15.75" customHeight="1">
      <c r="A49" s="19">
        <f>IF('MiT Strom Pipeline'!R44="WON",IF(ISNUMBER('MiT Strom Pipeline'!A44),'MiT Strom Pipeline'!A44,""),"")</f>
        <v/>
      </c>
      <c r="B49" s="20">
        <f>IF('MiT Strom Pipeline'!R44="WON",'MiT Strom Pipeline'!B44,"")</f>
        <v/>
      </c>
      <c r="C49" s="19">
        <f>IF('MiT Strom Pipeline'!R44="WON",'MiT Strom Pipeline'!C44,"")</f>
        <v/>
      </c>
      <c r="D49" s="20">
        <f>IF('MiT Strom Pipeline'!R44="WON",'MiT Strom Pipeline'!D44,"")</f>
        <v/>
      </c>
      <c r="E49" s="20">
        <f>IF('MiT Strom Pipeline'!R44="WON",'MiT Strom Pipeline'!E44,"")</f>
        <v/>
      </c>
      <c r="F49" s="21">
        <f>IF('MiT Strom Pipeline'!R44="WON",IF(ISNUMBER('MiT Strom Pipeline'!I44),'MiT Strom Pipeline'!I44,0),"")</f>
        <v/>
      </c>
      <c r="G49" s="21">
        <f>IF('MiT Strom Pipeline'!R44="WON",IF(ISNUMBER('MiT Strom Pipeline'!Q44),'MiT Strom Pipeline'!Q44,0),"")</f>
        <v/>
      </c>
      <c r="H49" s="21">
        <f>IF('MiT Strom Pipeline'!R44="WON",IF(ISNUMBER('MiT Strom Pipeline'!O44),'MiT Strom Pipeline'!O44,0),"")</f>
        <v/>
      </c>
      <c r="I49" s="19">
        <f>IF('MiT Strom Pipeline'!R44="WON",'MiT Strom Pipeline'!R44,"")</f>
        <v/>
      </c>
      <c r="J49" s="19">
        <f>IF('MiT Strom Pipeline'!R44="WON",'MiT Strom Pipeline'!S44,"")</f>
        <v/>
      </c>
      <c r="K49" s="20">
        <f>IF('MiT Strom Pipeline'!R44="WON",IF(LEN('MiT Strom Pipeline'!V44)&gt;0,LEFT('MiT Strom Pipeline'!V44,55),""),"")</f>
        <v/>
      </c>
    </row>
    <row r="50" hidden="1" ht="15.75" customHeight="1">
      <c r="A50" s="22">
        <f>IF('MiT Strom Pipeline'!R45="WON",IF(ISNUMBER('MiT Strom Pipeline'!A45),'MiT Strom Pipeline'!A45,""),"")</f>
        <v/>
      </c>
      <c r="B50" s="23">
        <f>IF('MiT Strom Pipeline'!R45="WON",'MiT Strom Pipeline'!B45,"")</f>
        <v/>
      </c>
      <c r="C50" s="22">
        <f>IF('MiT Strom Pipeline'!R45="WON",'MiT Strom Pipeline'!C45,"")</f>
        <v/>
      </c>
      <c r="D50" s="23">
        <f>IF('MiT Strom Pipeline'!R45="WON",'MiT Strom Pipeline'!D45,"")</f>
        <v/>
      </c>
      <c r="E50" s="23">
        <f>IF('MiT Strom Pipeline'!R45="WON",'MiT Strom Pipeline'!E45,"")</f>
        <v/>
      </c>
      <c r="F50" s="24">
        <f>IF('MiT Strom Pipeline'!R45="WON",IF(ISNUMBER('MiT Strom Pipeline'!I45),'MiT Strom Pipeline'!I45,0),"")</f>
        <v/>
      </c>
      <c r="G50" s="24">
        <f>IF('MiT Strom Pipeline'!R45="WON",IF(ISNUMBER('MiT Strom Pipeline'!Q45),'MiT Strom Pipeline'!Q45,0),"")</f>
        <v/>
      </c>
      <c r="H50" s="24">
        <f>IF('MiT Strom Pipeline'!R45="WON",IF(ISNUMBER('MiT Strom Pipeline'!O45),'MiT Strom Pipeline'!O45,0),"")</f>
        <v/>
      </c>
      <c r="I50" s="22">
        <f>IF('MiT Strom Pipeline'!R45="WON",'MiT Strom Pipeline'!R45,"")</f>
        <v/>
      </c>
      <c r="J50" s="22">
        <f>IF('MiT Strom Pipeline'!R45="WON",'MiT Strom Pipeline'!S45,"")</f>
        <v/>
      </c>
      <c r="K50" s="23">
        <f>IF('MiT Strom Pipeline'!R45="WON",IF(LEN('MiT Strom Pipeline'!V45)&gt;0,LEFT('MiT Strom Pipeline'!V45,55),""),"")</f>
        <v/>
      </c>
    </row>
    <row r="51" hidden="1" ht="15.75" customHeight="1">
      <c r="A51" s="19">
        <f>IF('MiT Strom Pipeline'!R46="WON",IF(ISNUMBER('MiT Strom Pipeline'!A46),'MiT Strom Pipeline'!A46,""),"")</f>
        <v/>
      </c>
      <c r="B51" s="20">
        <f>IF('MiT Strom Pipeline'!R46="WON",'MiT Strom Pipeline'!B46,"")</f>
        <v/>
      </c>
      <c r="C51" s="19">
        <f>IF('MiT Strom Pipeline'!R46="WON",'MiT Strom Pipeline'!C46,"")</f>
        <v/>
      </c>
      <c r="D51" s="20">
        <f>IF('MiT Strom Pipeline'!R46="WON",'MiT Strom Pipeline'!D46,"")</f>
        <v/>
      </c>
      <c r="E51" s="20">
        <f>IF('MiT Strom Pipeline'!R46="WON",'MiT Strom Pipeline'!E46,"")</f>
        <v/>
      </c>
      <c r="F51" s="21">
        <f>IF('MiT Strom Pipeline'!R46="WON",IF(ISNUMBER('MiT Strom Pipeline'!I46),'MiT Strom Pipeline'!I46,0),"")</f>
        <v/>
      </c>
      <c r="G51" s="21">
        <f>IF('MiT Strom Pipeline'!R46="WON",IF(ISNUMBER('MiT Strom Pipeline'!Q46),'MiT Strom Pipeline'!Q46,0),"")</f>
        <v/>
      </c>
      <c r="H51" s="21">
        <f>IF('MiT Strom Pipeline'!R46="WON",IF(ISNUMBER('MiT Strom Pipeline'!O46),'MiT Strom Pipeline'!O46,0),"")</f>
        <v/>
      </c>
      <c r="I51" s="19">
        <f>IF('MiT Strom Pipeline'!R46="WON",'MiT Strom Pipeline'!R46,"")</f>
        <v/>
      </c>
      <c r="J51" s="19">
        <f>IF('MiT Strom Pipeline'!R46="WON",'MiT Strom Pipeline'!S46,"")</f>
        <v/>
      </c>
      <c r="K51" s="20">
        <f>IF('MiT Strom Pipeline'!R46="WON",IF(LEN('MiT Strom Pipeline'!V46)&gt;0,LEFT('MiT Strom Pipeline'!V46,55),""),"")</f>
        <v/>
      </c>
    </row>
    <row r="52" hidden="1" ht="15.75" customHeight="1">
      <c r="A52" s="22">
        <f>IF('MiT Strom Pipeline'!R47="WON",IF(ISNUMBER('MiT Strom Pipeline'!A47),'MiT Strom Pipeline'!A47,""),"")</f>
        <v/>
      </c>
      <c r="B52" s="23">
        <f>IF('MiT Strom Pipeline'!R47="WON",'MiT Strom Pipeline'!B47,"")</f>
        <v/>
      </c>
      <c r="C52" s="22">
        <f>IF('MiT Strom Pipeline'!R47="WON",'MiT Strom Pipeline'!C47,"")</f>
        <v/>
      </c>
      <c r="D52" s="23">
        <f>IF('MiT Strom Pipeline'!R47="WON",'MiT Strom Pipeline'!D47,"")</f>
        <v/>
      </c>
      <c r="E52" s="23">
        <f>IF('MiT Strom Pipeline'!R47="WON",'MiT Strom Pipeline'!E47,"")</f>
        <v/>
      </c>
      <c r="F52" s="24">
        <f>IF('MiT Strom Pipeline'!R47="WON",IF(ISNUMBER('MiT Strom Pipeline'!I47),'MiT Strom Pipeline'!I47,0),"")</f>
        <v/>
      </c>
      <c r="G52" s="24">
        <f>IF('MiT Strom Pipeline'!R47="WON",IF(ISNUMBER('MiT Strom Pipeline'!Q47),'MiT Strom Pipeline'!Q47,0),"")</f>
        <v/>
      </c>
      <c r="H52" s="24">
        <f>IF('MiT Strom Pipeline'!R47="WON",IF(ISNUMBER('MiT Strom Pipeline'!O47),'MiT Strom Pipeline'!O47,0),"")</f>
        <v/>
      </c>
      <c r="I52" s="22">
        <f>IF('MiT Strom Pipeline'!R47="WON",'MiT Strom Pipeline'!R47,"")</f>
        <v/>
      </c>
      <c r="J52" s="22">
        <f>IF('MiT Strom Pipeline'!R47="WON",'MiT Strom Pipeline'!S47,"")</f>
        <v/>
      </c>
      <c r="K52" s="23">
        <f>IF('MiT Strom Pipeline'!R47="WON",IF(LEN('MiT Strom Pipeline'!V47)&gt;0,LEFT('MiT Strom Pipeline'!V47,55),""),"")</f>
        <v/>
      </c>
    </row>
    <row r="53" hidden="1" ht="15.75" customHeight="1">
      <c r="A53" s="19">
        <f>IF('MiT Strom Pipeline'!R48="WON",IF(ISNUMBER('MiT Strom Pipeline'!A48),'MiT Strom Pipeline'!A48,""),"")</f>
        <v/>
      </c>
      <c r="B53" s="20">
        <f>IF('MiT Strom Pipeline'!R48="WON",'MiT Strom Pipeline'!B48,"")</f>
        <v/>
      </c>
      <c r="C53" s="19">
        <f>IF('MiT Strom Pipeline'!R48="WON",'MiT Strom Pipeline'!C48,"")</f>
        <v/>
      </c>
      <c r="D53" s="20">
        <f>IF('MiT Strom Pipeline'!R48="WON",'MiT Strom Pipeline'!D48,"")</f>
        <v/>
      </c>
      <c r="E53" s="20">
        <f>IF('MiT Strom Pipeline'!R48="WON",'MiT Strom Pipeline'!E48,"")</f>
        <v/>
      </c>
      <c r="F53" s="21">
        <f>IF('MiT Strom Pipeline'!R48="WON",IF(ISNUMBER('MiT Strom Pipeline'!I48),'MiT Strom Pipeline'!I48,0),"")</f>
        <v/>
      </c>
      <c r="G53" s="21">
        <f>IF('MiT Strom Pipeline'!R48="WON",IF(ISNUMBER('MiT Strom Pipeline'!Q48),'MiT Strom Pipeline'!Q48,0),"")</f>
        <v/>
      </c>
      <c r="H53" s="21">
        <f>IF('MiT Strom Pipeline'!R48="WON",IF(ISNUMBER('MiT Strom Pipeline'!O48),'MiT Strom Pipeline'!O48,0),"")</f>
        <v/>
      </c>
      <c r="I53" s="19">
        <f>IF('MiT Strom Pipeline'!R48="WON",'MiT Strom Pipeline'!R48,"")</f>
        <v/>
      </c>
      <c r="J53" s="19">
        <f>IF('MiT Strom Pipeline'!R48="WON",'MiT Strom Pipeline'!S48,"")</f>
        <v/>
      </c>
      <c r="K53" s="20">
        <f>IF('MiT Strom Pipeline'!R48="WON",IF(LEN('MiT Strom Pipeline'!V48)&gt;0,LEFT('MiT Strom Pipeline'!V48,55),""),"")</f>
        <v/>
      </c>
    </row>
    <row r="54" hidden="1" ht="15.75" customHeight="1">
      <c r="A54" s="22">
        <f>IF('MiT Strom Pipeline'!R49="WON",IF(ISNUMBER('MiT Strom Pipeline'!A49),'MiT Strom Pipeline'!A49,""),"")</f>
        <v/>
      </c>
      <c r="B54" s="23">
        <f>IF('MiT Strom Pipeline'!R49="WON",'MiT Strom Pipeline'!B49,"")</f>
        <v/>
      </c>
      <c r="C54" s="22">
        <f>IF('MiT Strom Pipeline'!R49="WON",'MiT Strom Pipeline'!C49,"")</f>
        <v/>
      </c>
      <c r="D54" s="23">
        <f>IF('MiT Strom Pipeline'!R49="WON",'MiT Strom Pipeline'!D49,"")</f>
        <v/>
      </c>
      <c r="E54" s="23">
        <f>IF('MiT Strom Pipeline'!R49="WON",'MiT Strom Pipeline'!E49,"")</f>
        <v/>
      </c>
      <c r="F54" s="24">
        <f>IF('MiT Strom Pipeline'!R49="WON",IF(ISNUMBER('MiT Strom Pipeline'!I49),'MiT Strom Pipeline'!I49,0),"")</f>
        <v/>
      </c>
      <c r="G54" s="24">
        <f>IF('MiT Strom Pipeline'!R49="WON",IF(ISNUMBER('MiT Strom Pipeline'!Q49),'MiT Strom Pipeline'!Q49,0),"")</f>
        <v/>
      </c>
      <c r="H54" s="24">
        <f>IF('MiT Strom Pipeline'!R49="WON",IF(ISNUMBER('MiT Strom Pipeline'!O49),'MiT Strom Pipeline'!O49,0),"")</f>
        <v/>
      </c>
      <c r="I54" s="22">
        <f>IF('MiT Strom Pipeline'!R49="WON",'MiT Strom Pipeline'!R49,"")</f>
        <v/>
      </c>
      <c r="J54" s="22">
        <f>IF('MiT Strom Pipeline'!R49="WON",'MiT Strom Pipeline'!S49,"")</f>
        <v/>
      </c>
      <c r="K54" s="23">
        <f>IF('MiT Strom Pipeline'!R49="WON",IF(LEN('MiT Strom Pipeline'!V49)&gt;0,LEFT('MiT Strom Pipeline'!V49,55),""),"")</f>
        <v/>
      </c>
    </row>
    <row r="55" hidden="1" ht="15.75" customHeight="1">
      <c r="A55" s="19">
        <f>IF('MiT Strom Pipeline'!R50="WON",IF(ISNUMBER('MiT Strom Pipeline'!A50),'MiT Strom Pipeline'!A50,""),"")</f>
        <v/>
      </c>
      <c r="B55" s="20">
        <f>IF('MiT Strom Pipeline'!R50="WON",'MiT Strom Pipeline'!B50,"")</f>
        <v/>
      </c>
      <c r="C55" s="19">
        <f>IF('MiT Strom Pipeline'!R50="WON",'MiT Strom Pipeline'!C50,"")</f>
        <v/>
      </c>
      <c r="D55" s="20">
        <f>IF('MiT Strom Pipeline'!R50="WON",'MiT Strom Pipeline'!D50,"")</f>
        <v/>
      </c>
      <c r="E55" s="20">
        <f>IF('MiT Strom Pipeline'!R50="WON",'MiT Strom Pipeline'!E50,"")</f>
        <v/>
      </c>
      <c r="F55" s="21">
        <f>IF('MiT Strom Pipeline'!R50="WON",IF(ISNUMBER('MiT Strom Pipeline'!I50),'MiT Strom Pipeline'!I50,0),"")</f>
        <v/>
      </c>
      <c r="G55" s="21">
        <f>IF('MiT Strom Pipeline'!R50="WON",IF(ISNUMBER('MiT Strom Pipeline'!Q50),'MiT Strom Pipeline'!Q50,0),"")</f>
        <v/>
      </c>
      <c r="H55" s="21">
        <f>IF('MiT Strom Pipeline'!R50="WON",IF(ISNUMBER('MiT Strom Pipeline'!O50),'MiT Strom Pipeline'!O50,0),"")</f>
        <v/>
      </c>
      <c r="I55" s="19">
        <f>IF('MiT Strom Pipeline'!R50="WON",'MiT Strom Pipeline'!R50,"")</f>
        <v/>
      </c>
      <c r="J55" s="19">
        <f>IF('MiT Strom Pipeline'!R50="WON",'MiT Strom Pipeline'!S50,"")</f>
        <v/>
      </c>
      <c r="K55" s="20">
        <f>IF('MiT Strom Pipeline'!R50="WON",IF(LEN('MiT Strom Pipeline'!V50)&gt;0,LEFT('MiT Strom Pipeline'!V50,55),""),"")</f>
        <v/>
      </c>
    </row>
    <row r="56" hidden="1" ht="15.75" customHeight="1">
      <c r="A56" s="22">
        <f>IF('MiT Strom Pipeline'!R51="WON",IF(ISNUMBER('MiT Strom Pipeline'!A51),'MiT Strom Pipeline'!A51,""),"")</f>
        <v/>
      </c>
      <c r="B56" s="23">
        <f>IF('MiT Strom Pipeline'!R51="WON",'MiT Strom Pipeline'!B51,"")</f>
        <v/>
      </c>
      <c r="C56" s="22">
        <f>IF('MiT Strom Pipeline'!R51="WON",'MiT Strom Pipeline'!C51,"")</f>
        <v/>
      </c>
      <c r="D56" s="23">
        <f>IF('MiT Strom Pipeline'!R51="WON",'MiT Strom Pipeline'!D51,"")</f>
        <v/>
      </c>
      <c r="E56" s="23">
        <f>IF('MiT Strom Pipeline'!R51="WON",'MiT Strom Pipeline'!E51,"")</f>
        <v/>
      </c>
      <c r="F56" s="24">
        <f>IF('MiT Strom Pipeline'!R51="WON",IF(ISNUMBER('MiT Strom Pipeline'!I51),'MiT Strom Pipeline'!I51,0),"")</f>
        <v/>
      </c>
      <c r="G56" s="24">
        <f>IF('MiT Strom Pipeline'!R51="WON",IF(ISNUMBER('MiT Strom Pipeline'!Q51),'MiT Strom Pipeline'!Q51,0),"")</f>
        <v/>
      </c>
      <c r="H56" s="24">
        <f>IF('MiT Strom Pipeline'!R51="WON",IF(ISNUMBER('MiT Strom Pipeline'!O51),'MiT Strom Pipeline'!O51,0),"")</f>
        <v/>
      </c>
      <c r="I56" s="22">
        <f>IF('MiT Strom Pipeline'!R51="WON",'MiT Strom Pipeline'!R51,"")</f>
        <v/>
      </c>
      <c r="J56" s="22">
        <f>IF('MiT Strom Pipeline'!R51="WON",'MiT Strom Pipeline'!S51,"")</f>
        <v/>
      </c>
      <c r="K56" s="23">
        <f>IF('MiT Strom Pipeline'!R51="WON",IF(LEN('MiT Strom Pipeline'!V51)&gt;0,LEFT('MiT Strom Pipeline'!V51,55),""),"")</f>
        <v/>
      </c>
    </row>
    <row r="57" hidden="1" ht="15.75" customHeight="1">
      <c r="A57" s="19">
        <f>IF('MiT Strom Pipeline'!R52="WON",IF(ISNUMBER('MiT Strom Pipeline'!A52),'MiT Strom Pipeline'!A52,""),"")</f>
        <v/>
      </c>
      <c r="B57" s="20">
        <f>IF('MiT Strom Pipeline'!R52="WON",'MiT Strom Pipeline'!B52,"")</f>
        <v/>
      </c>
      <c r="C57" s="19">
        <f>IF('MiT Strom Pipeline'!R52="WON",'MiT Strom Pipeline'!C52,"")</f>
        <v/>
      </c>
      <c r="D57" s="20">
        <f>IF('MiT Strom Pipeline'!R52="WON",'MiT Strom Pipeline'!D52,"")</f>
        <v/>
      </c>
      <c r="E57" s="20">
        <f>IF('MiT Strom Pipeline'!R52="WON",'MiT Strom Pipeline'!E52,"")</f>
        <v/>
      </c>
      <c r="F57" s="21">
        <f>IF('MiT Strom Pipeline'!R52="WON",IF(ISNUMBER('MiT Strom Pipeline'!I52),'MiT Strom Pipeline'!I52,0),"")</f>
        <v/>
      </c>
      <c r="G57" s="21">
        <f>IF('MiT Strom Pipeline'!R52="WON",IF(ISNUMBER('MiT Strom Pipeline'!Q52),'MiT Strom Pipeline'!Q52,0),"")</f>
        <v/>
      </c>
      <c r="H57" s="21">
        <f>IF('MiT Strom Pipeline'!R52="WON",IF(ISNUMBER('MiT Strom Pipeline'!O52),'MiT Strom Pipeline'!O52,0),"")</f>
        <v/>
      </c>
      <c r="I57" s="19">
        <f>IF('MiT Strom Pipeline'!R52="WON",'MiT Strom Pipeline'!R52,"")</f>
        <v/>
      </c>
      <c r="J57" s="19">
        <f>IF('MiT Strom Pipeline'!R52="WON",'MiT Strom Pipeline'!S52,"")</f>
        <v/>
      </c>
      <c r="K57" s="20">
        <f>IF('MiT Strom Pipeline'!R52="WON",IF(LEN('MiT Strom Pipeline'!V52)&gt;0,LEFT('MiT Strom Pipeline'!V52,55),""),"")</f>
        <v/>
      </c>
    </row>
    <row r="58" hidden="1" ht="15.75" customHeight="1">
      <c r="A58" s="22">
        <f>IF('MiT Strom Pipeline'!R53="WON",IF(ISNUMBER('MiT Strom Pipeline'!A53),'MiT Strom Pipeline'!A53,""),"")</f>
        <v/>
      </c>
      <c r="B58" s="23">
        <f>IF('MiT Strom Pipeline'!R53="WON",'MiT Strom Pipeline'!B53,"")</f>
        <v/>
      </c>
      <c r="C58" s="22">
        <f>IF('MiT Strom Pipeline'!R53="WON",'MiT Strom Pipeline'!C53,"")</f>
        <v/>
      </c>
      <c r="D58" s="23">
        <f>IF('MiT Strom Pipeline'!R53="WON",'MiT Strom Pipeline'!D53,"")</f>
        <v/>
      </c>
      <c r="E58" s="23">
        <f>IF('MiT Strom Pipeline'!R53="WON",'MiT Strom Pipeline'!E53,"")</f>
        <v/>
      </c>
      <c r="F58" s="24">
        <f>IF('MiT Strom Pipeline'!R53="WON",IF(ISNUMBER('MiT Strom Pipeline'!I53),'MiT Strom Pipeline'!I53,0),"")</f>
        <v/>
      </c>
      <c r="G58" s="24">
        <f>IF('MiT Strom Pipeline'!R53="WON",IF(ISNUMBER('MiT Strom Pipeline'!Q53),'MiT Strom Pipeline'!Q53,0),"")</f>
        <v/>
      </c>
      <c r="H58" s="24">
        <f>IF('MiT Strom Pipeline'!R53="WON",IF(ISNUMBER('MiT Strom Pipeline'!O53),'MiT Strom Pipeline'!O53,0),"")</f>
        <v/>
      </c>
      <c r="I58" s="22">
        <f>IF('MiT Strom Pipeline'!R53="WON",'MiT Strom Pipeline'!R53,"")</f>
        <v/>
      </c>
      <c r="J58" s="22">
        <f>IF('MiT Strom Pipeline'!R53="WON",'MiT Strom Pipeline'!S53,"")</f>
        <v/>
      </c>
      <c r="K58" s="23">
        <f>IF('MiT Strom Pipeline'!R53="WON",IF(LEN('MiT Strom Pipeline'!V53)&gt;0,LEFT('MiT Strom Pipeline'!V53,55),""),"")</f>
        <v/>
      </c>
    </row>
    <row r="59" hidden="1" ht="15.75" customHeight="1">
      <c r="A59" s="19">
        <f>IF('MiT Strom Pipeline'!R54="WON",IF(ISNUMBER('MiT Strom Pipeline'!A54),'MiT Strom Pipeline'!A54,""),"")</f>
        <v/>
      </c>
      <c r="B59" s="20">
        <f>IF('MiT Strom Pipeline'!R54="WON",'MiT Strom Pipeline'!B54,"")</f>
        <v/>
      </c>
      <c r="C59" s="19">
        <f>IF('MiT Strom Pipeline'!R54="WON",'MiT Strom Pipeline'!C54,"")</f>
        <v/>
      </c>
      <c r="D59" s="20">
        <f>IF('MiT Strom Pipeline'!R54="WON",'MiT Strom Pipeline'!D54,"")</f>
        <v/>
      </c>
      <c r="E59" s="20">
        <f>IF('MiT Strom Pipeline'!R54="WON",'MiT Strom Pipeline'!E54,"")</f>
        <v/>
      </c>
      <c r="F59" s="21">
        <f>IF('MiT Strom Pipeline'!R54="WON",IF(ISNUMBER('MiT Strom Pipeline'!I54),'MiT Strom Pipeline'!I54,0),"")</f>
        <v/>
      </c>
      <c r="G59" s="21">
        <f>IF('MiT Strom Pipeline'!R54="WON",IF(ISNUMBER('MiT Strom Pipeline'!Q54),'MiT Strom Pipeline'!Q54,0),"")</f>
        <v/>
      </c>
      <c r="H59" s="21">
        <f>IF('MiT Strom Pipeline'!R54="WON",IF(ISNUMBER('MiT Strom Pipeline'!O54),'MiT Strom Pipeline'!O54,0),"")</f>
        <v/>
      </c>
      <c r="I59" s="19">
        <f>IF('MiT Strom Pipeline'!R54="WON",'MiT Strom Pipeline'!R54,"")</f>
        <v/>
      </c>
      <c r="J59" s="19">
        <f>IF('MiT Strom Pipeline'!R54="WON",'MiT Strom Pipeline'!S54,"")</f>
        <v/>
      </c>
      <c r="K59" s="20">
        <f>IF('MiT Strom Pipeline'!R54="WON",IF(LEN('MiT Strom Pipeline'!V54)&gt;0,LEFT('MiT Strom Pipeline'!V54,55),""),"")</f>
        <v/>
      </c>
    </row>
    <row r="60" hidden="1" ht="15.75" customHeight="1">
      <c r="A60" s="22">
        <f>IF('MiT Strom Pipeline'!R55="WON",IF(ISNUMBER('MiT Strom Pipeline'!A55),'MiT Strom Pipeline'!A55,""),"")</f>
        <v/>
      </c>
      <c r="B60" s="23">
        <f>IF('MiT Strom Pipeline'!R55="WON",'MiT Strom Pipeline'!B55,"")</f>
        <v/>
      </c>
      <c r="C60" s="22">
        <f>IF('MiT Strom Pipeline'!R55="WON",'MiT Strom Pipeline'!C55,"")</f>
        <v/>
      </c>
      <c r="D60" s="23">
        <f>IF('MiT Strom Pipeline'!R55="WON",'MiT Strom Pipeline'!D55,"")</f>
        <v/>
      </c>
      <c r="E60" s="23">
        <f>IF('MiT Strom Pipeline'!R55="WON",'MiT Strom Pipeline'!E55,"")</f>
        <v/>
      </c>
      <c r="F60" s="24">
        <f>IF('MiT Strom Pipeline'!R55="WON",IF(ISNUMBER('MiT Strom Pipeline'!I55),'MiT Strom Pipeline'!I55,0),"")</f>
        <v/>
      </c>
      <c r="G60" s="24">
        <f>IF('MiT Strom Pipeline'!R55="WON",IF(ISNUMBER('MiT Strom Pipeline'!Q55),'MiT Strom Pipeline'!Q55,0),"")</f>
        <v/>
      </c>
      <c r="H60" s="24">
        <f>IF('MiT Strom Pipeline'!R55="WON",IF(ISNUMBER('MiT Strom Pipeline'!O55),'MiT Strom Pipeline'!O55,0),"")</f>
        <v/>
      </c>
      <c r="I60" s="22">
        <f>IF('MiT Strom Pipeline'!R55="WON",'MiT Strom Pipeline'!R55,"")</f>
        <v/>
      </c>
      <c r="J60" s="22">
        <f>IF('MiT Strom Pipeline'!R55="WON",'MiT Strom Pipeline'!S55,"")</f>
        <v/>
      </c>
      <c r="K60" s="23">
        <f>IF('MiT Strom Pipeline'!R55="WON",IF(LEN('MiT Strom Pipeline'!V55)&gt;0,LEFT('MiT Strom Pipeline'!V55,55),""),"")</f>
        <v/>
      </c>
    </row>
    <row r="61" hidden="1" ht="15.75" customHeight="1">
      <c r="A61" s="19">
        <f>IF('MiT Strom Pipeline'!R56="WON",IF(ISNUMBER('MiT Strom Pipeline'!A56),'MiT Strom Pipeline'!A56,""),"")</f>
        <v/>
      </c>
      <c r="B61" s="20">
        <f>IF('MiT Strom Pipeline'!R56="WON",'MiT Strom Pipeline'!B56,"")</f>
        <v/>
      </c>
      <c r="C61" s="19">
        <f>IF('MiT Strom Pipeline'!R56="WON",'MiT Strom Pipeline'!C56,"")</f>
        <v/>
      </c>
      <c r="D61" s="20">
        <f>IF('MiT Strom Pipeline'!R56="WON",'MiT Strom Pipeline'!D56,"")</f>
        <v/>
      </c>
      <c r="E61" s="20">
        <f>IF('MiT Strom Pipeline'!R56="WON",'MiT Strom Pipeline'!E56,"")</f>
        <v/>
      </c>
      <c r="F61" s="21">
        <f>IF('MiT Strom Pipeline'!R56="WON",IF(ISNUMBER('MiT Strom Pipeline'!I56),'MiT Strom Pipeline'!I56,0),"")</f>
        <v/>
      </c>
      <c r="G61" s="21">
        <f>IF('MiT Strom Pipeline'!R56="WON",IF(ISNUMBER('MiT Strom Pipeline'!Q56),'MiT Strom Pipeline'!Q56,0),"")</f>
        <v/>
      </c>
      <c r="H61" s="21">
        <f>IF('MiT Strom Pipeline'!R56="WON",IF(ISNUMBER('MiT Strom Pipeline'!O56),'MiT Strom Pipeline'!O56,0),"")</f>
        <v/>
      </c>
      <c r="I61" s="19">
        <f>IF('MiT Strom Pipeline'!R56="WON",'MiT Strom Pipeline'!R56,"")</f>
        <v/>
      </c>
      <c r="J61" s="19">
        <f>IF('MiT Strom Pipeline'!R56="WON",'MiT Strom Pipeline'!S56,"")</f>
        <v/>
      </c>
      <c r="K61" s="20">
        <f>IF('MiT Strom Pipeline'!R56="WON",IF(LEN('MiT Strom Pipeline'!V56)&gt;0,LEFT('MiT Strom Pipeline'!V56,55),""),"")</f>
        <v/>
      </c>
    </row>
    <row r="62" hidden="1" ht="15.75" customHeight="1">
      <c r="A62" s="22">
        <f>IF('MiT Strom Pipeline'!R57="WON",IF(ISNUMBER('MiT Strom Pipeline'!A57),'MiT Strom Pipeline'!A57,""),"")</f>
        <v/>
      </c>
      <c r="B62" s="23">
        <f>IF('MiT Strom Pipeline'!R57="WON",'MiT Strom Pipeline'!B57,"")</f>
        <v/>
      </c>
      <c r="C62" s="22">
        <f>IF('MiT Strom Pipeline'!R57="WON",'MiT Strom Pipeline'!C57,"")</f>
        <v/>
      </c>
      <c r="D62" s="23">
        <f>IF('MiT Strom Pipeline'!R57="WON",'MiT Strom Pipeline'!D57,"")</f>
        <v/>
      </c>
      <c r="E62" s="23">
        <f>IF('MiT Strom Pipeline'!R57="WON",'MiT Strom Pipeline'!E57,"")</f>
        <v/>
      </c>
      <c r="F62" s="24">
        <f>IF('MiT Strom Pipeline'!R57="WON",IF(ISNUMBER('MiT Strom Pipeline'!I57),'MiT Strom Pipeline'!I57,0),"")</f>
        <v/>
      </c>
      <c r="G62" s="24">
        <f>IF('MiT Strom Pipeline'!R57="WON",IF(ISNUMBER('MiT Strom Pipeline'!Q57),'MiT Strom Pipeline'!Q57,0),"")</f>
        <v/>
      </c>
      <c r="H62" s="24">
        <f>IF('MiT Strom Pipeline'!R57="WON",IF(ISNUMBER('MiT Strom Pipeline'!O57),'MiT Strom Pipeline'!O57,0),"")</f>
        <v/>
      </c>
      <c r="I62" s="22">
        <f>IF('MiT Strom Pipeline'!R57="WON",'MiT Strom Pipeline'!R57,"")</f>
        <v/>
      </c>
      <c r="J62" s="22">
        <f>IF('MiT Strom Pipeline'!R57="WON",'MiT Strom Pipeline'!S57,"")</f>
        <v/>
      </c>
      <c r="K62" s="23">
        <f>IF('MiT Strom Pipeline'!R57="WON",IF(LEN('MiT Strom Pipeline'!V57)&gt;0,LEFT('MiT Strom Pipeline'!V57,55),""),"")</f>
        <v/>
      </c>
    </row>
    <row r="63" hidden="1" ht="15.75" customHeight="1">
      <c r="A63" s="19">
        <f>IF('MiT Strom Pipeline'!R58="WON",IF(ISNUMBER('MiT Strom Pipeline'!A58),'MiT Strom Pipeline'!A58,""),"")</f>
        <v/>
      </c>
      <c r="B63" s="20">
        <f>IF('MiT Strom Pipeline'!R58="WON",'MiT Strom Pipeline'!B58,"")</f>
        <v/>
      </c>
      <c r="C63" s="19">
        <f>IF('MiT Strom Pipeline'!R58="WON",'MiT Strom Pipeline'!C58,"")</f>
        <v/>
      </c>
      <c r="D63" s="20">
        <f>IF('MiT Strom Pipeline'!R58="WON",'MiT Strom Pipeline'!D58,"")</f>
        <v/>
      </c>
      <c r="E63" s="20">
        <f>IF('MiT Strom Pipeline'!R58="WON",'MiT Strom Pipeline'!E58,"")</f>
        <v/>
      </c>
      <c r="F63" s="21">
        <f>IF('MiT Strom Pipeline'!R58="WON",IF(ISNUMBER('MiT Strom Pipeline'!I58),'MiT Strom Pipeline'!I58,0),"")</f>
        <v/>
      </c>
      <c r="G63" s="21">
        <f>IF('MiT Strom Pipeline'!R58="WON",IF(ISNUMBER('MiT Strom Pipeline'!Q58),'MiT Strom Pipeline'!Q58,0),"")</f>
        <v/>
      </c>
      <c r="H63" s="21">
        <f>IF('MiT Strom Pipeline'!R58="WON",IF(ISNUMBER('MiT Strom Pipeline'!O58),'MiT Strom Pipeline'!O58,0),"")</f>
        <v/>
      </c>
      <c r="I63" s="19">
        <f>IF('MiT Strom Pipeline'!R58="WON",'MiT Strom Pipeline'!R58,"")</f>
        <v/>
      </c>
      <c r="J63" s="19">
        <f>IF('MiT Strom Pipeline'!R58="WON",'MiT Strom Pipeline'!S58,"")</f>
        <v/>
      </c>
      <c r="K63" s="20">
        <f>IF('MiT Strom Pipeline'!R58="WON",IF(LEN('MiT Strom Pipeline'!V58)&gt;0,LEFT('MiT Strom Pipeline'!V58,55),""),"")</f>
        <v/>
      </c>
    </row>
    <row r="64" hidden="1" ht="15.75" customHeight="1">
      <c r="A64" s="22">
        <f>IF('MiT Strom Pipeline'!R59="WON",IF(ISNUMBER('MiT Strom Pipeline'!A59),'MiT Strom Pipeline'!A59,""),"")</f>
        <v/>
      </c>
      <c r="B64" s="23">
        <f>IF('MiT Strom Pipeline'!R59="WON",'MiT Strom Pipeline'!B59,"")</f>
        <v/>
      </c>
      <c r="C64" s="22">
        <f>IF('MiT Strom Pipeline'!R59="WON",'MiT Strom Pipeline'!C59,"")</f>
        <v/>
      </c>
      <c r="D64" s="23">
        <f>IF('MiT Strom Pipeline'!R59="WON",'MiT Strom Pipeline'!D59,"")</f>
        <v/>
      </c>
      <c r="E64" s="23">
        <f>IF('MiT Strom Pipeline'!R59="WON",'MiT Strom Pipeline'!E59,"")</f>
        <v/>
      </c>
      <c r="F64" s="24">
        <f>IF('MiT Strom Pipeline'!R59="WON",IF(ISNUMBER('MiT Strom Pipeline'!I59),'MiT Strom Pipeline'!I59,0),"")</f>
        <v/>
      </c>
      <c r="G64" s="24">
        <f>IF('MiT Strom Pipeline'!R59="WON",IF(ISNUMBER('MiT Strom Pipeline'!Q59),'MiT Strom Pipeline'!Q59,0),"")</f>
        <v/>
      </c>
      <c r="H64" s="24">
        <f>IF('MiT Strom Pipeline'!R59="WON",IF(ISNUMBER('MiT Strom Pipeline'!O59),'MiT Strom Pipeline'!O59,0),"")</f>
        <v/>
      </c>
      <c r="I64" s="22">
        <f>IF('MiT Strom Pipeline'!R59="WON",'MiT Strom Pipeline'!R59,"")</f>
        <v/>
      </c>
      <c r="J64" s="22">
        <f>IF('MiT Strom Pipeline'!R59="WON",'MiT Strom Pipeline'!S59,"")</f>
        <v/>
      </c>
      <c r="K64" s="23">
        <f>IF('MiT Strom Pipeline'!R59="WON",IF(LEN('MiT Strom Pipeline'!V59)&gt;0,LEFT('MiT Strom Pipeline'!V59,55),""),"")</f>
        <v/>
      </c>
    </row>
    <row r="65" hidden="1" ht="15.75" customHeight="1">
      <c r="A65" s="19">
        <f>IF('MiT Strom Pipeline'!R60="WON",IF(ISNUMBER('MiT Strom Pipeline'!A60),'MiT Strom Pipeline'!A60,""),"")</f>
        <v/>
      </c>
      <c r="B65" s="20">
        <f>IF('MiT Strom Pipeline'!R60="WON",'MiT Strom Pipeline'!B60,"")</f>
        <v/>
      </c>
      <c r="C65" s="19">
        <f>IF('MiT Strom Pipeline'!R60="WON",'MiT Strom Pipeline'!C60,"")</f>
        <v/>
      </c>
      <c r="D65" s="20">
        <f>IF('MiT Strom Pipeline'!R60="WON",'MiT Strom Pipeline'!D60,"")</f>
        <v/>
      </c>
      <c r="E65" s="20">
        <f>IF('MiT Strom Pipeline'!R60="WON",'MiT Strom Pipeline'!E60,"")</f>
        <v/>
      </c>
      <c r="F65" s="21">
        <f>IF('MiT Strom Pipeline'!R60="WON",IF(ISNUMBER('MiT Strom Pipeline'!I60),'MiT Strom Pipeline'!I60,0),"")</f>
        <v/>
      </c>
      <c r="G65" s="21">
        <f>IF('MiT Strom Pipeline'!R60="WON",IF(ISNUMBER('MiT Strom Pipeline'!Q60),'MiT Strom Pipeline'!Q60,0),"")</f>
        <v/>
      </c>
      <c r="H65" s="21">
        <f>IF('MiT Strom Pipeline'!R60="WON",IF(ISNUMBER('MiT Strom Pipeline'!O60),'MiT Strom Pipeline'!O60,0),"")</f>
        <v/>
      </c>
      <c r="I65" s="19">
        <f>IF('MiT Strom Pipeline'!R60="WON",'MiT Strom Pipeline'!R60,"")</f>
        <v/>
      </c>
      <c r="J65" s="19">
        <f>IF('MiT Strom Pipeline'!R60="WON",'MiT Strom Pipeline'!S60,"")</f>
        <v/>
      </c>
      <c r="K65" s="20">
        <f>IF('MiT Strom Pipeline'!R60="WON",IF(LEN('MiT Strom Pipeline'!V60)&gt;0,LEFT('MiT Strom Pipeline'!V60,55),""),"")</f>
        <v/>
      </c>
    </row>
    <row r="66" hidden="1" ht="15.75" customHeight="1">
      <c r="A66" s="22">
        <f>IF('MiT Strom Pipeline'!R61="WON",IF(ISNUMBER('MiT Strom Pipeline'!A61),'MiT Strom Pipeline'!A61,""),"")</f>
        <v/>
      </c>
      <c r="B66" s="23">
        <f>IF('MiT Strom Pipeline'!R61="WON",'MiT Strom Pipeline'!B61,"")</f>
        <v/>
      </c>
      <c r="C66" s="22">
        <f>IF('MiT Strom Pipeline'!R61="WON",'MiT Strom Pipeline'!C61,"")</f>
        <v/>
      </c>
      <c r="D66" s="23">
        <f>IF('MiT Strom Pipeline'!R61="WON",'MiT Strom Pipeline'!D61,"")</f>
        <v/>
      </c>
      <c r="E66" s="23">
        <f>IF('MiT Strom Pipeline'!R61="WON",'MiT Strom Pipeline'!E61,"")</f>
        <v/>
      </c>
      <c r="F66" s="24">
        <f>IF('MiT Strom Pipeline'!R61="WON",IF(ISNUMBER('MiT Strom Pipeline'!I61),'MiT Strom Pipeline'!I61,0),"")</f>
        <v/>
      </c>
      <c r="G66" s="24">
        <f>IF('MiT Strom Pipeline'!R61="WON",IF(ISNUMBER('MiT Strom Pipeline'!Q61),'MiT Strom Pipeline'!Q61,0),"")</f>
        <v/>
      </c>
      <c r="H66" s="24">
        <f>IF('MiT Strom Pipeline'!R61="WON",IF(ISNUMBER('MiT Strom Pipeline'!O61),'MiT Strom Pipeline'!O61,0),"")</f>
        <v/>
      </c>
      <c r="I66" s="22">
        <f>IF('MiT Strom Pipeline'!R61="WON",'MiT Strom Pipeline'!R61,"")</f>
        <v/>
      </c>
      <c r="J66" s="22">
        <f>IF('MiT Strom Pipeline'!R61="WON",'MiT Strom Pipeline'!S61,"")</f>
        <v/>
      </c>
      <c r="K66" s="23">
        <f>IF('MiT Strom Pipeline'!R61="WON",IF(LEN('MiT Strom Pipeline'!V61)&gt;0,LEFT('MiT Strom Pipeline'!V61,55),""),"")</f>
        <v/>
      </c>
    </row>
    <row r="67" hidden="1" ht="15.75" customHeight="1">
      <c r="A67" s="19">
        <f>IF('MiT Strom Pipeline'!R62="WON",IF(ISNUMBER('MiT Strom Pipeline'!A62),'MiT Strom Pipeline'!A62,""),"")</f>
        <v/>
      </c>
      <c r="B67" s="20">
        <f>IF('MiT Strom Pipeline'!R62="WON",'MiT Strom Pipeline'!B62,"")</f>
        <v/>
      </c>
      <c r="C67" s="19">
        <f>IF('MiT Strom Pipeline'!R62="WON",'MiT Strom Pipeline'!C62,"")</f>
        <v/>
      </c>
      <c r="D67" s="20">
        <f>IF('MiT Strom Pipeline'!R62="WON",'MiT Strom Pipeline'!D62,"")</f>
        <v/>
      </c>
      <c r="E67" s="20">
        <f>IF('MiT Strom Pipeline'!R62="WON",'MiT Strom Pipeline'!E62,"")</f>
        <v/>
      </c>
      <c r="F67" s="21">
        <f>IF('MiT Strom Pipeline'!R62="WON",IF(ISNUMBER('MiT Strom Pipeline'!I62),'MiT Strom Pipeline'!I62,0),"")</f>
        <v/>
      </c>
      <c r="G67" s="21">
        <f>IF('MiT Strom Pipeline'!R62="WON",IF(ISNUMBER('MiT Strom Pipeline'!Q62),'MiT Strom Pipeline'!Q62,0),"")</f>
        <v/>
      </c>
      <c r="H67" s="21">
        <f>IF('MiT Strom Pipeline'!R62="WON",IF(ISNUMBER('MiT Strom Pipeline'!O62),'MiT Strom Pipeline'!O62,0),"")</f>
        <v/>
      </c>
      <c r="I67" s="19">
        <f>IF('MiT Strom Pipeline'!R62="WON",'MiT Strom Pipeline'!R62,"")</f>
        <v/>
      </c>
      <c r="J67" s="19">
        <f>IF('MiT Strom Pipeline'!R62="WON",'MiT Strom Pipeline'!S62,"")</f>
        <v/>
      </c>
      <c r="K67" s="20">
        <f>IF('MiT Strom Pipeline'!R62="WON",IF(LEN('MiT Strom Pipeline'!V62)&gt;0,LEFT('MiT Strom Pipeline'!V62,55),""),"")</f>
        <v/>
      </c>
    </row>
    <row r="68" hidden="1" ht="15.75" customHeight="1">
      <c r="A68" s="22">
        <f>IF('MiT Strom Pipeline'!R63="WON",IF(ISNUMBER('MiT Strom Pipeline'!A63),'MiT Strom Pipeline'!A63,""),"")</f>
        <v/>
      </c>
      <c r="B68" s="23">
        <f>IF('MiT Strom Pipeline'!R63="WON",'MiT Strom Pipeline'!B63,"")</f>
        <v/>
      </c>
      <c r="C68" s="22">
        <f>IF('MiT Strom Pipeline'!R63="WON",'MiT Strom Pipeline'!C63,"")</f>
        <v/>
      </c>
      <c r="D68" s="23">
        <f>IF('MiT Strom Pipeline'!R63="WON",'MiT Strom Pipeline'!D63,"")</f>
        <v/>
      </c>
      <c r="E68" s="23">
        <f>IF('MiT Strom Pipeline'!R63="WON",'MiT Strom Pipeline'!E63,"")</f>
        <v/>
      </c>
      <c r="F68" s="24">
        <f>IF('MiT Strom Pipeline'!R63="WON",IF(ISNUMBER('MiT Strom Pipeline'!I63),'MiT Strom Pipeline'!I63,0),"")</f>
        <v/>
      </c>
      <c r="G68" s="24">
        <f>IF('MiT Strom Pipeline'!R63="WON",IF(ISNUMBER('MiT Strom Pipeline'!Q63),'MiT Strom Pipeline'!Q63,0),"")</f>
        <v/>
      </c>
      <c r="H68" s="24">
        <f>IF('MiT Strom Pipeline'!R63="WON",IF(ISNUMBER('MiT Strom Pipeline'!O63),'MiT Strom Pipeline'!O63,0),"")</f>
        <v/>
      </c>
      <c r="I68" s="22">
        <f>IF('MiT Strom Pipeline'!R63="WON",'MiT Strom Pipeline'!R63,"")</f>
        <v/>
      </c>
      <c r="J68" s="22">
        <f>IF('MiT Strom Pipeline'!R63="WON",'MiT Strom Pipeline'!S63,"")</f>
        <v/>
      </c>
      <c r="K68" s="23">
        <f>IF('MiT Strom Pipeline'!R63="WON",IF(LEN('MiT Strom Pipeline'!V63)&gt;0,LEFT('MiT Strom Pipeline'!V63,55),""),"")</f>
        <v/>
      </c>
    </row>
    <row r="69" hidden="1" ht="15.75" customHeight="1">
      <c r="A69" s="19">
        <f>IF('MiT Strom Pipeline'!R64="WON",IF(ISNUMBER('MiT Strom Pipeline'!A64),'MiT Strom Pipeline'!A64,""),"")</f>
        <v/>
      </c>
      <c r="B69" s="20">
        <f>IF('MiT Strom Pipeline'!R64="WON",'MiT Strom Pipeline'!B64,"")</f>
        <v/>
      </c>
      <c r="C69" s="19">
        <f>IF('MiT Strom Pipeline'!R64="WON",'MiT Strom Pipeline'!C64,"")</f>
        <v/>
      </c>
      <c r="D69" s="20">
        <f>IF('MiT Strom Pipeline'!R64="WON",'MiT Strom Pipeline'!D64,"")</f>
        <v/>
      </c>
      <c r="E69" s="20">
        <f>IF('MiT Strom Pipeline'!R64="WON",'MiT Strom Pipeline'!E64,"")</f>
        <v/>
      </c>
      <c r="F69" s="21">
        <f>IF('MiT Strom Pipeline'!R64="WON",IF(ISNUMBER('MiT Strom Pipeline'!I64),'MiT Strom Pipeline'!I64,0),"")</f>
        <v/>
      </c>
      <c r="G69" s="21">
        <f>IF('MiT Strom Pipeline'!R64="WON",IF(ISNUMBER('MiT Strom Pipeline'!Q64),'MiT Strom Pipeline'!Q64,0),"")</f>
        <v/>
      </c>
      <c r="H69" s="21">
        <f>IF('MiT Strom Pipeline'!R64="WON",IF(ISNUMBER('MiT Strom Pipeline'!O64),'MiT Strom Pipeline'!O64,0),"")</f>
        <v/>
      </c>
      <c r="I69" s="19">
        <f>IF('MiT Strom Pipeline'!R64="WON",'MiT Strom Pipeline'!R64,"")</f>
        <v/>
      </c>
      <c r="J69" s="19">
        <f>IF('MiT Strom Pipeline'!R64="WON",'MiT Strom Pipeline'!S64,"")</f>
        <v/>
      </c>
      <c r="K69" s="20">
        <f>IF('MiT Strom Pipeline'!R64="WON",IF(LEN('MiT Strom Pipeline'!V64)&gt;0,LEFT('MiT Strom Pipeline'!V64,55),""),"")</f>
        <v/>
      </c>
    </row>
    <row r="70" hidden="1" ht="15.75" customHeight="1">
      <c r="A70" s="22">
        <f>IF('MiT Strom Pipeline'!R65="WON",IF(ISNUMBER('MiT Strom Pipeline'!A65),'MiT Strom Pipeline'!A65,""),"")</f>
        <v/>
      </c>
      <c r="B70" s="23">
        <f>IF('MiT Strom Pipeline'!R65="WON",'MiT Strom Pipeline'!B65,"")</f>
        <v/>
      </c>
      <c r="C70" s="22">
        <f>IF('MiT Strom Pipeline'!R65="WON",'MiT Strom Pipeline'!C65,"")</f>
        <v/>
      </c>
      <c r="D70" s="23">
        <f>IF('MiT Strom Pipeline'!R65="WON",'MiT Strom Pipeline'!D65,"")</f>
        <v/>
      </c>
      <c r="E70" s="23">
        <f>IF('MiT Strom Pipeline'!R65="WON",'MiT Strom Pipeline'!E65,"")</f>
        <v/>
      </c>
      <c r="F70" s="24">
        <f>IF('MiT Strom Pipeline'!R65="WON",IF(ISNUMBER('MiT Strom Pipeline'!I65),'MiT Strom Pipeline'!I65,0),"")</f>
        <v/>
      </c>
      <c r="G70" s="24">
        <f>IF('MiT Strom Pipeline'!R65="WON",IF(ISNUMBER('MiT Strom Pipeline'!Q65),'MiT Strom Pipeline'!Q65,0),"")</f>
        <v/>
      </c>
      <c r="H70" s="24">
        <f>IF('MiT Strom Pipeline'!R65="WON",IF(ISNUMBER('MiT Strom Pipeline'!O65),'MiT Strom Pipeline'!O65,0),"")</f>
        <v/>
      </c>
      <c r="I70" s="22">
        <f>IF('MiT Strom Pipeline'!R65="WON",'MiT Strom Pipeline'!R65,"")</f>
        <v/>
      </c>
      <c r="J70" s="22">
        <f>IF('MiT Strom Pipeline'!R65="WON",'MiT Strom Pipeline'!S65,"")</f>
        <v/>
      </c>
      <c r="K70" s="23">
        <f>IF('MiT Strom Pipeline'!R65="WON",IF(LEN('MiT Strom Pipeline'!V65)&gt;0,LEFT('MiT Strom Pipeline'!V65,55),""),"")</f>
        <v/>
      </c>
    </row>
    <row r="71" hidden="1" ht="21.75" customHeight="1">
      <c r="A71" s="26">
        <f>IF('MiT Strom Pipeline'!R66="WON",IF(ISNUMBER('MiT Strom Pipeline'!A66),'MiT Strom Pipeline'!A66,""),"")</f>
        <v/>
      </c>
      <c r="B71" s="112">
        <f>IF('MiT Strom Pipeline'!R66="WON",'MiT Strom Pipeline'!B66,"")</f>
        <v/>
      </c>
      <c r="C71" s="166" t="n"/>
      <c r="D71" s="166" t="n"/>
      <c r="E71" s="167" t="n"/>
      <c r="F71" s="27">
        <f>IF('MiT Strom Pipeline'!R66="WON",IF(ISNUMBER('MiT Strom Pipeline'!I66),'MiT Strom Pipeline'!I66,0),"")</f>
        <v/>
      </c>
      <c r="G71" s="26">
        <f>IF('MiT Strom Pipeline'!R66="WON",IF(ISNUMBER('MiT Strom Pipeline'!Q66),'MiT Strom Pipeline'!Q66,0),"")</f>
        <v/>
      </c>
      <c r="H71" s="26">
        <f>IF('MiT Strom Pipeline'!R66="WON",IF(ISNUMBER('MiT Strom Pipeline'!O66),'MiT Strom Pipeline'!O66,0),"")</f>
        <v/>
      </c>
      <c r="I71" s="26">
        <f>IF('MiT Strom Pipeline'!R66="WON",'MiT Strom Pipeline'!R66,"")</f>
        <v/>
      </c>
      <c r="J71" s="26">
        <f>IF('MiT Strom Pipeline'!R66="WON",'MiT Strom Pipeline'!S66,"")</f>
        <v/>
      </c>
      <c r="K71" s="26">
        <f>IF('MiT Strom Pipeline'!R66="WON",IF(LEN('MiT Strom Pipeline'!V66)&gt;0,LEFT('MiT Strom Pipeline'!V66,55),""),"")</f>
        <v/>
      </c>
    </row>
    <row r="72" hidden="1" ht="3.75" customHeight="1">
      <c r="A72">
        <f>IF('MiT Strom Pipeline'!R67="WON",IF(ISNUMBER('MiT Strom Pipeline'!A67),'MiT Strom Pipeline'!A67,""),"")</f>
        <v/>
      </c>
      <c r="B72">
        <f>IF('MiT Strom Pipeline'!R67="WON",'MiT Strom Pipeline'!B67,"")</f>
        <v/>
      </c>
      <c r="C72">
        <f>IF('MiT Strom Pipeline'!R67="WON",'MiT Strom Pipeline'!C67,"")</f>
        <v/>
      </c>
      <c r="D72">
        <f>IF('MiT Strom Pipeline'!R67="WON",'MiT Strom Pipeline'!D67,"")</f>
        <v/>
      </c>
      <c r="E72">
        <f>IF('MiT Strom Pipeline'!R67="WON",'MiT Strom Pipeline'!E67,"")</f>
        <v/>
      </c>
      <c r="F72">
        <f>IF('MiT Strom Pipeline'!R67="WON",IF(ISNUMBER('MiT Strom Pipeline'!I67),'MiT Strom Pipeline'!I67,0),"")</f>
        <v/>
      </c>
      <c r="G72">
        <f>IF('MiT Strom Pipeline'!R67="WON",IF(ISNUMBER('MiT Strom Pipeline'!Q67),'MiT Strom Pipeline'!Q67,0),"")</f>
        <v/>
      </c>
      <c r="H72">
        <f>IF('MiT Strom Pipeline'!R67="WON",IF(ISNUMBER('MiT Strom Pipeline'!O67),'MiT Strom Pipeline'!O67,0),"")</f>
        <v/>
      </c>
      <c r="I72">
        <f>IF('MiT Strom Pipeline'!R67="WON",'MiT Strom Pipeline'!R67,"")</f>
        <v/>
      </c>
      <c r="J72">
        <f>IF('MiT Strom Pipeline'!R67="WON",'MiT Strom Pipeline'!S67,"")</f>
        <v/>
      </c>
      <c r="K72">
        <f>IF('MiT Strom Pipeline'!R67="WON",IF(LEN('MiT Strom Pipeline'!V67)&gt;0,LEFT('MiT Strom Pipeline'!V67,55),""),"")</f>
        <v/>
      </c>
    </row>
    <row r="73" hidden="1" ht="24" customHeight="1">
      <c r="A73" s="113" t="inlineStr">
        <is>
          <t>📄  2. OFFERTE — Versendete &amp; laufende Angebote</t>
        </is>
      </c>
      <c r="B73" s="166" t="n"/>
      <c r="C73" s="166" t="n"/>
      <c r="D73" s="166" t="n"/>
      <c r="E73" s="166" t="n"/>
      <c r="F73" s="166" t="n"/>
      <c r="G73" s="166" t="n"/>
      <c r="H73" s="166" t="n"/>
      <c r="I73" s="166" t="n"/>
      <c r="J73" s="166" t="n"/>
      <c r="K73" s="167" t="n"/>
    </row>
    <row r="74" ht="19.5" customHeight="1">
      <c r="A74" s="16" t="inlineStr">
        <is>
          <t>#</t>
        </is>
      </c>
      <c r="B74" s="17" t="inlineStr">
        <is>
          <t>Kunde / Unternehmen</t>
        </is>
      </c>
      <c r="C74" s="16" t="inlineStr">
        <is>
          <t>Kt.</t>
        </is>
      </c>
      <c r="D74" s="17" t="inlineStr">
        <is>
          <t>Segment</t>
        </is>
      </c>
      <c r="E74" s="17" t="inlineStr">
        <is>
          <t>Leistung / Fleet</t>
        </is>
      </c>
      <c r="F74" s="18" t="inlineStr">
        <is>
          <t>Volumen CHF</t>
        </is>
      </c>
      <c r="G74" s="18" t="inlineStr">
        <is>
          <t>Gew.Wert CHF</t>
        </is>
      </c>
      <c r="H74" s="18" t="inlineStr">
        <is>
          <t>Marge CHF</t>
        </is>
      </c>
      <c r="I74" s="16" t="inlineStr">
        <is>
          <t>Status</t>
        </is>
      </c>
      <c r="J74" s="16" t="inlineStr">
        <is>
          <t>Wahr.%</t>
        </is>
      </c>
      <c r="K74" s="17" t="inlineStr">
        <is>
          <t>Nächster Schritt</t>
        </is>
      </c>
    </row>
    <row r="75" hidden="1" ht="15.75" customHeight="1">
      <c r="A75" s="28">
        <f>IF(('MiT Strom Pipeline'!R6="offered")+('MiT Strom Pipeline'!R6="to be offered")+('MiT Strom Pipeline'!R6="on hold")&gt;0,IF(ISNUMBER('MiT Strom Pipeline'!A6),'MiT Strom Pipeline'!A6,""),"")</f>
        <v/>
      </c>
      <c r="B75" s="29">
        <f>IF(('MiT Strom Pipeline'!R6="offered")+('MiT Strom Pipeline'!R6="to be offered")+('MiT Strom Pipeline'!R6="on hold")&gt;0,'MiT Strom Pipeline'!B6,"")</f>
        <v/>
      </c>
      <c r="C75" s="28">
        <f>IF(('MiT Strom Pipeline'!R6="offered")+('MiT Strom Pipeline'!R6="to be offered")+('MiT Strom Pipeline'!R6="on hold")&gt;0,'MiT Strom Pipeline'!C6,"")</f>
        <v/>
      </c>
      <c r="D75" s="29">
        <f>IF(('MiT Strom Pipeline'!R6="offered")+('MiT Strom Pipeline'!R6="to be offered")+('MiT Strom Pipeline'!R6="on hold")&gt;0,'MiT Strom Pipeline'!D6,"")</f>
        <v/>
      </c>
      <c r="E75" s="29">
        <f>IF(('MiT Strom Pipeline'!R6="offered")+('MiT Strom Pipeline'!R6="to be offered")+('MiT Strom Pipeline'!R6="on hold")&gt;0,'MiT Strom Pipeline'!E6,"")</f>
        <v/>
      </c>
      <c r="F75" s="30">
        <f>IF(('MiT Strom Pipeline'!R6="offered")+('MiT Strom Pipeline'!R6="to be offered")+('MiT Strom Pipeline'!R6="on hold")&gt;0,IF(ISNUMBER('MiT Strom Pipeline'!I6),'MiT Strom Pipeline'!I6,0),"")</f>
        <v/>
      </c>
      <c r="G75" s="30">
        <f>IF(('MiT Strom Pipeline'!R6="offered")+('MiT Strom Pipeline'!R6="to be offered")+('MiT Strom Pipeline'!R6="on hold")&gt;0,IF(ISNUMBER('MiT Strom Pipeline'!Q6),'MiT Strom Pipeline'!Q6,0),"")</f>
        <v/>
      </c>
      <c r="H75" s="30">
        <f>IF(('MiT Strom Pipeline'!R6="offered")+('MiT Strom Pipeline'!R6="to be offered")+('MiT Strom Pipeline'!R6="on hold")&gt;0,IF(ISNUMBER('MiT Strom Pipeline'!O6),'MiT Strom Pipeline'!O6,0),"")</f>
        <v/>
      </c>
      <c r="I75" s="28">
        <f>IF(('MiT Strom Pipeline'!R6="offered")+('MiT Strom Pipeline'!R6="to be offered")+('MiT Strom Pipeline'!R6="on hold")&gt;0,'MiT Strom Pipeline'!R6,"")</f>
        <v/>
      </c>
      <c r="J75" s="28">
        <f>IF(('MiT Strom Pipeline'!R6="offered")+('MiT Strom Pipeline'!R6="to be offered")+('MiT Strom Pipeline'!R6="on hold")&gt;0,'MiT Strom Pipeline'!S6,"")</f>
        <v/>
      </c>
      <c r="K75" s="29">
        <f>IF(('MiT Strom Pipeline'!R6="offered")+('MiT Strom Pipeline'!R6="to be offered")+('MiT Strom Pipeline'!R6="on hold")&gt;0,IF(LEN('MiT Strom Pipeline'!V6)&gt;0,LEFT('MiT Strom Pipeline'!V6,55),""),"")</f>
        <v/>
      </c>
    </row>
    <row r="76" hidden="1" ht="15.75" customHeight="1">
      <c r="A76" s="22">
        <f>IF(('MiT Strom Pipeline'!R7="offered")+('MiT Strom Pipeline'!R7="to be offered")+('MiT Strom Pipeline'!R7="on hold")&gt;0,IF(ISNUMBER('MiT Strom Pipeline'!A7),'MiT Strom Pipeline'!A7,""),"")</f>
        <v/>
      </c>
      <c r="B76" s="23">
        <f>IF(('MiT Strom Pipeline'!R7="offered")+('MiT Strom Pipeline'!R7="to be offered")+('MiT Strom Pipeline'!R7="on hold")&gt;0,'MiT Strom Pipeline'!B7,"")</f>
        <v/>
      </c>
      <c r="C76" s="22">
        <f>IF(('MiT Strom Pipeline'!R7="offered")+('MiT Strom Pipeline'!R7="to be offered")+('MiT Strom Pipeline'!R7="on hold")&gt;0,'MiT Strom Pipeline'!C7,"")</f>
        <v/>
      </c>
      <c r="D76" s="23">
        <f>IF(('MiT Strom Pipeline'!R7="offered")+('MiT Strom Pipeline'!R7="to be offered")+('MiT Strom Pipeline'!R7="on hold")&gt;0,'MiT Strom Pipeline'!D7,"")</f>
        <v/>
      </c>
      <c r="E76" s="23">
        <f>IF(('MiT Strom Pipeline'!R7="offered")+('MiT Strom Pipeline'!R7="to be offered")+('MiT Strom Pipeline'!R7="on hold")&gt;0,'MiT Strom Pipeline'!E7,"")</f>
        <v/>
      </c>
      <c r="F76" s="24">
        <f>IF(('MiT Strom Pipeline'!R7="offered")+('MiT Strom Pipeline'!R7="to be offered")+('MiT Strom Pipeline'!R7="on hold")&gt;0,IF(ISNUMBER('MiT Strom Pipeline'!I7),'MiT Strom Pipeline'!I7,0),"")</f>
        <v/>
      </c>
      <c r="G76" s="24">
        <f>IF(('MiT Strom Pipeline'!R7="offered")+('MiT Strom Pipeline'!R7="to be offered")+('MiT Strom Pipeline'!R7="on hold")&gt;0,IF(ISNUMBER('MiT Strom Pipeline'!Q7),'MiT Strom Pipeline'!Q7,0),"")</f>
        <v/>
      </c>
      <c r="H76" s="24">
        <f>IF(('MiT Strom Pipeline'!R7="offered")+('MiT Strom Pipeline'!R7="to be offered")+('MiT Strom Pipeline'!R7="on hold")&gt;0,IF(ISNUMBER('MiT Strom Pipeline'!O7),'MiT Strom Pipeline'!O7,0),"")</f>
        <v/>
      </c>
      <c r="I76" s="22">
        <f>IF(('MiT Strom Pipeline'!R7="offered")+('MiT Strom Pipeline'!R7="to be offered")+('MiT Strom Pipeline'!R7="on hold")&gt;0,'MiT Strom Pipeline'!R7,"")</f>
        <v/>
      </c>
      <c r="J76" s="22">
        <f>IF(('MiT Strom Pipeline'!R7="offered")+('MiT Strom Pipeline'!R7="to be offered")+('MiT Strom Pipeline'!R7="on hold")&gt;0,'MiT Strom Pipeline'!S7,"")</f>
        <v/>
      </c>
      <c r="K76" s="23">
        <f>IF(('MiT Strom Pipeline'!R7="offered")+('MiT Strom Pipeline'!R7="to be offered")+('MiT Strom Pipeline'!R7="on hold")&gt;0,IF(LEN('MiT Strom Pipeline'!V7)&gt;0,LEFT('MiT Strom Pipeline'!V7,55),""),"")</f>
        <v/>
      </c>
    </row>
    <row r="77" hidden="1" ht="15.75" customHeight="1">
      <c r="A77" s="28">
        <f>IF(('MiT Strom Pipeline'!R8="offered")+('MiT Strom Pipeline'!R8="to be offered")+('MiT Strom Pipeline'!R8="on hold")&gt;0,IF(ISNUMBER('MiT Strom Pipeline'!A8),'MiT Strom Pipeline'!A8,""),"")</f>
        <v/>
      </c>
      <c r="B77" s="29">
        <f>IF(('MiT Strom Pipeline'!R8="offered")+('MiT Strom Pipeline'!R8="to be offered")+('MiT Strom Pipeline'!R8="on hold")&gt;0,'MiT Strom Pipeline'!B8,"")</f>
        <v/>
      </c>
      <c r="C77" s="28">
        <f>IF(('MiT Strom Pipeline'!R8="offered")+('MiT Strom Pipeline'!R8="to be offered")+('MiT Strom Pipeline'!R8="on hold")&gt;0,'MiT Strom Pipeline'!C8,"")</f>
        <v/>
      </c>
      <c r="D77" s="29">
        <f>IF(('MiT Strom Pipeline'!R8="offered")+('MiT Strom Pipeline'!R8="to be offered")+('MiT Strom Pipeline'!R8="on hold")&gt;0,'MiT Strom Pipeline'!D8,"")</f>
        <v/>
      </c>
      <c r="E77" s="29">
        <f>IF(('MiT Strom Pipeline'!R8="offered")+('MiT Strom Pipeline'!R8="to be offered")+('MiT Strom Pipeline'!R8="on hold")&gt;0,'MiT Strom Pipeline'!E8,"")</f>
        <v/>
      </c>
      <c r="F77" s="30">
        <f>IF(('MiT Strom Pipeline'!R8="offered")+('MiT Strom Pipeline'!R8="to be offered")+('MiT Strom Pipeline'!R8="on hold")&gt;0,IF(ISNUMBER('MiT Strom Pipeline'!I8),'MiT Strom Pipeline'!I8,0),"")</f>
        <v/>
      </c>
      <c r="G77" s="30">
        <f>IF(('MiT Strom Pipeline'!R8="offered")+('MiT Strom Pipeline'!R8="to be offered")+('MiT Strom Pipeline'!R8="on hold")&gt;0,IF(ISNUMBER('MiT Strom Pipeline'!Q8),'MiT Strom Pipeline'!Q8,0),"")</f>
        <v/>
      </c>
      <c r="H77" s="30">
        <f>IF(('MiT Strom Pipeline'!R8="offered")+('MiT Strom Pipeline'!R8="to be offered")+('MiT Strom Pipeline'!R8="on hold")&gt;0,IF(ISNUMBER('MiT Strom Pipeline'!O8),'MiT Strom Pipeline'!O8,0),"")</f>
        <v/>
      </c>
      <c r="I77" s="28">
        <f>IF(('MiT Strom Pipeline'!R8="offered")+('MiT Strom Pipeline'!R8="to be offered")+('MiT Strom Pipeline'!R8="on hold")&gt;0,'MiT Strom Pipeline'!R8,"")</f>
        <v/>
      </c>
      <c r="J77" s="28">
        <f>IF(('MiT Strom Pipeline'!R8="offered")+('MiT Strom Pipeline'!R8="to be offered")+('MiT Strom Pipeline'!R8="on hold")&gt;0,'MiT Strom Pipeline'!S8,"")</f>
        <v/>
      </c>
      <c r="K77" s="29">
        <f>IF(('MiT Strom Pipeline'!R8="offered")+('MiT Strom Pipeline'!R8="to be offered")+('MiT Strom Pipeline'!R8="on hold")&gt;0,IF(LEN('MiT Strom Pipeline'!V8)&gt;0,LEFT('MiT Strom Pipeline'!V8,55),""),"")</f>
        <v/>
      </c>
    </row>
    <row r="78" hidden="1" ht="15.75" customHeight="1">
      <c r="A78" s="22">
        <f>IF(('MiT Strom Pipeline'!R9="offered")+('MiT Strom Pipeline'!R9="to be offered")+('MiT Strom Pipeline'!R9="on hold")&gt;0,IF(ISNUMBER('MiT Strom Pipeline'!A9),'MiT Strom Pipeline'!A9,""),"")</f>
        <v/>
      </c>
      <c r="B78" s="23">
        <f>IF(('MiT Strom Pipeline'!R9="offered")+('MiT Strom Pipeline'!R9="to be offered")+('MiT Strom Pipeline'!R9="on hold")&gt;0,'MiT Strom Pipeline'!B9,"")</f>
        <v/>
      </c>
      <c r="C78" s="22">
        <f>IF(('MiT Strom Pipeline'!R9="offered")+('MiT Strom Pipeline'!R9="to be offered")+('MiT Strom Pipeline'!R9="on hold")&gt;0,'MiT Strom Pipeline'!C9,"")</f>
        <v/>
      </c>
      <c r="D78" s="23">
        <f>IF(('MiT Strom Pipeline'!R9="offered")+('MiT Strom Pipeline'!R9="to be offered")+('MiT Strom Pipeline'!R9="on hold")&gt;0,'MiT Strom Pipeline'!D9,"")</f>
        <v/>
      </c>
      <c r="E78" s="23">
        <f>IF(('MiT Strom Pipeline'!R9="offered")+('MiT Strom Pipeline'!R9="to be offered")+('MiT Strom Pipeline'!R9="on hold")&gt;0,'MiT Strom Pipeline'!E9,"")</f>
        <v/>
      </c>
      <c r="F78" s="24">
        <f>IF(('MiT Strom Pipeline'!R9="offered")+('MiT Strom Pipeline'!R9="to be offered")+('MiT Strom Pipeline'!R9="on hold")&gt;0,IF(ISNUMBER('MiT Strom Pipeline'!I9),'MiT Strom Pipeline'!I9,0),"")</f>
        <v/>
      </c>
      <c r="G78" s="24">
        <f>IF(('MiT Strom Pipeline'!R9="offered")+('MiT Strom Pipeline'!R9="to be offered")+('MiT Strom Pipeline'!R9="on hold")&gt;0,IF(ISNUMBER('MiT Strom Pipeline'!Q9),'MiT Strom Pipeline'!Q9,0),"")</f>
        <v/>
      </c>
      <c r="H78" s="24">
        <f>IF(('MiT Strom Pipeline'!R9="offered")+('MiT Strom Pipeline'!R9="to be offered")+('MiT Strom Pipeline'!R9="on hold")&gt;0,IF(ISNUMBER('MiT Strom Pipeline'!O9),'MiT Strom Pipeline'!O9,0),"")</f>
        <v/>
      </c>
      <c r="I78" s="22">
        <f>IF(('MiT Strom Pipeline'!R9="offered")+('MiT Strom Pipeline'!R9="to be offered")+('MiT Strom Pipeline'!R9="on hold")&gt;0,'MiT Strom Pipeline'!R9,"")</f>
        <v/>
      </c>
      <c r="J78" s="22">
        <f>IF(('MiT Strom Pipeline'!R9="offered")+('MiT Strom Pipeline'!R9="to be offered")+('MiT Strom Pipeline'!R9="on hold")&gt;0,'MiT Strom Pipeline'!S9,"")</f>
        <v/>
      </c>
      <c r="K78" s="23">
        <f>IF(('MiT Strom Pipeline'!R9="offered")+('MiT Strom Pipeline'!R9="to be offered")+('MiT Strom Pipeline'!R9="on hold")&gt;0,IF(LEN('MiT Strom Pipeline'!V9)&gt;0,LEFT('MiT Strom Pipeline'!V9,55),""),"")</f>
        <v/>
      </c>
    </row>
    <row r="79" ht="15.75" customHeight="1">
      <c r="A79" s="28">
        <f>IF(('MiT Strom Pipeline'!R10="offered")+('MiT Strom Pipeline'!R10="to be offered")+('MiT Strom Pipeline'!R10="on hold")&gt;0,IF(ISNUMBER('MiT Strom Pipeline'!A10),'MiT Strom Pipeline'!A10,""),"")</f>
        <v/>
      </c>
      <c r="B79" s="29">
        <f>IF(('MiT Strom Pipeline'!R10="offered")+('MiT Strom Pipeline'!R10="to be offered")+('MiT Strom Pipeline'!R10="on hold")&gt;0,'MiT Strom Pipeline'!B10,"")</f>
        <v/>
      </c>
      <c r="C79" s="28">
        <f>IF(('MiT Strom Pipeline'!R10="offered")+('MiT Strom Pipeline'!R10="to be offered")+('MiT Strom Pipeline'!R10="on hold")&gt;0,'MiT Strom Pipeline'!C10,"")</f>
        <v/>
      </c>
      <c r="D79" s="29">
        <f>IF(('MiT Strom Pipeline'!R10="offered")+('MiT Strom Pipeline'!R10="to be offered")+('MiT Strom Pipeline'!R10="on hold")&gt;0,'MiT Strom Pipeline'!D10,"")</f>
        <v/>
      </c>
      <c r="E79" s="29">
        <f>IF(('MiT Strom Pipeline'!R10="offered")+('MiT Strom Pipeline'!R10="to be offered")+('MiT Strom Pipeline'!R10="on hold")&gt;0,'MiT Strom Pipeline'!E10,"")</f>
        <v/>
      </c>
      <c r="F79" s="30">
        <f>IF(('MiT Strom Pipeline'!R10="offered")+('MiT Strom Pipeline'!R10="to be offered")+('MiT Strom Pipeline'!R10="on hold")&gt;0,IF(ISNUMBER('MiT Strom Pipeline'!I10),'MiT Strom Pipeline'!I10,0),"")</f>
        <v/>
      </c>
      <c r="G79" s="30">
        <f>IF(('MiT Strom Pipeline'!R10="offered")+('MiT Strom Pipeline'!R10="to be offered")+('MiT Strom Pipeline'!R10="on hold")&gt;0,IF(ISNUMBER('MiT Strom Pipeline'!Q10),'MiT Strom Pipeline'!Q10,0),"")</f>
        <v/>
      </c>
      <c r="H79" s="30">
        <f>IF(('MiT Strom Pipeline'!R10="offered")+('MiT Strom Pipeline'!R10="to be offered")+('MiT Strom Pipeline'!R10="on hold")&gt;0,IF(ISNUMBER('MiT Strom Pipeline'!O10),'MiT Strom Pipeline'!O10,0),"")</f>
        <v/>
      </c>
      <c r="I79" s="28">
        <f>IF(('MiT Strom Pipeline'!R10="offered")+('MiT Strom Pipeline'!R10="to be offered")+('MiT Strom Pipeline'!R10="on hold")&gt;0,'MiT Strom Pipeline'!R10,"")</f>
        <v/>
      </c>
      <c r="J79" s="28">
        <f>IF(('MiT Strom Pipeline'!R10="offered")+('MiT Strom Pipeline'!R10="to be offered")+('MiT Strom Pipeline'!R10="on hold")&gt;0,'MiT Strom Pipeline'!S10,"")</f>
        <v/>
      </c>
      <c r="K79" s="29">
        <f>IF(('MiT Strom Pipeline'!R10="offered")+('MiT Strom Pipeline'!R10="to be offered")+('MiT Strom Pipeline'!R10="on hold")&gt;0,IF(LEN('MiT Strom Pipeline'!V10)&gt;0,LEFT('MiT Strom Pipeline'!V10,55),""),"")</f>
        <v/>
      </c>
    </row>
    <row r="80" hidden="1" ht="15.75" customHeight="1">
      <c r="A80" s="22">
        <f>IF(('MiT Strom Pipeline'!R11="offered")+('MiT Strom Pipeline'!R11="to be offered")+('MiT Strom Pipeline'!R11="on hold")&gt;0,IF(ISNUMBER('MiT Strom Pipeline'!A11),'MiT Strom Pipeline'!A11,""),"")</f>
        <v/>
      </c>
      <c r="B80" s="23">
        <f>IF(('MiT Strom Pipeline'!R11="offered")+('MiT Strom Pipeline'!R11="to be offered")+('MiT Strom Pipeline'!R11="on hold")&gt;0,'MiT Strom Pipeline'!B11,"")</f>
        <v/>
      </c>
      <c r="C80" s="22">
        <f>IF(('MiT Strom Pipeline'!R11="offered")+('MiT Strom Pipeline'!R11="to be offered")+('MiT Strom Pipeline'!R11="on hold")&gt;0,'MiT Strom Pipeline'!C11,"")</f>
        <v/>
      </c>
      <c r="D80" s="23">
        <f>IF(('MiT Strom Pipeline'!R11="offered")+('MiT Strom Pipeline'!R11="to be offered")+('MiT Strom Pipeline'!R11="on hold")&gt;0,'MiT Strom Pipeline'!D11,"")</f>
        <v/>
      </c>
      <c r="E80" s="23">
        <f>IF(('MiT Strom Pipeline'!R11="offered")+('MiT Strom Pipeline'!R11="to be offered")+('MiT Strom Pipeline'!R11="on hold")&gt;0,'MiT Strom Pipeline'!E11,"")</f>
        <v/>
      </c>
      <c r="F80" s="24">
        <f>IF(('MiT Strom Pipeline'!R11="offered")+('MiT Strom Pipeline'!R11="to be offered")+('MiT Strom Pipeline'!R11="on hold")&gt;0,IF(ISNUMBER('MiT Strom Pipeline'!I11),'MiT Strom Pipeline'!I11,0),"")</f>
        <v/>
      </c>
      <c r="G80" s="24">
        <f>IF(('MiT Strom Pipeline'!R11="offered")+('MiT Strom Pipeline'!R11="to be offered")+('MiT Strom Pipeline'!R11="on hold")&gt;0,IF(ISNUMBER('MiT Strom Pipeline'!Q11),'MiT Strom Pipeline'!Q11,0),"")</f>
        <v/>
      </c>
      <c r="H80" s="24">
        <f>IF(('MiT Strom Pipeline'!R11="offered")+('MiT Strom Pipeline'!R11="to be offered")+('MiT Strom Pipeline'!R11="on hold")&gt;0,IF(ISNUMBER('MiT Strom Pipeline'!O11),'MiT Strom Pipeline'!O11,0),"")</f>
        <v/>
      </c>
      <c r="I80" s="22">
        <f>IF(('MiT Strom Pipeline'!R11="offered")+('MiT Strom Pipeline'!R11="to be offered")+('MiT Strom Pipeline'!R11="on hold")&gt;0,'MiT Strom Pipeline'!R11,"")</f>
        <v/>
      </c>
      <c r="J80" s="22">
        <f>IF(('MiT Strom Pipeline'!R11="offered")+('MiT Strom Pipeline'!R11="to be offered")+('MiT Strom Pipeline'!R11="on hold")&gt;0,'MiT Strom Pipeline'!S11,"")</f>
        <v/>
      </c>
      <c r="K80" s="23">
        <f>IF(('MiT Strom Pipeline'!R11="offered")+('MiT Strom Pipeline'!R11="to be offered")+('MiT Strom Pipeline'!R11="on hold")&gt;0,IF(LEN('MiT Strom Pipeline'!V11)&gt;0,LEFT('MiT Strom Pipeline'!V11,55),""),"")</f>
        <v/>
      </c>
    </row>
    <row r="81" hidden="1" ht="15.75" customHeight="1">
      <c r="A81" s="28">
        <f>IF(('MiT Strom Pipeline'!R12="offered")+('MiT Strom Pipeline'!R12="to be offered")+('MiT Strom Pipeline'!R12="on hold")&gt;0,IF(ISNUMBER('MiT Strom Pipeline'!A12),'MiT Strom Pipeline'!A12,""),"")</f>
        <v/>
      </c>
      <c r="B81" s="29">
        <f>IF(('MiT Strom Pipeline'!R12="offered")+('MiT Strom Pipeline'!R12="to be offered")+('MiT Strom Pipeline'!R12="on hold")&gt;0,'MiT Strom Pipeline'!B12,"")</f>
        <v/>
      </c>
      <c r="C81" s="28">
        <f>IF(('MiT Strom Pipeline'!R12="offered")+('MiT Strom Pipeline'!R12="to be offered")+('MiT Strom Pipeline'!R12="on hold")&gt;0,'MiT Strom Pipeline'!C12,"")</f>
        <v/>
      </c>
      <c r="D81" s="29">
        <f>IF(('MiT Strom Pipeline'!R12="offered")+('MiT Strom Pipeline'!R12="to be offered")+('MiT Strom Pipeline'!R12="on hold")&gt;0,'MiT Strom Pipeline'!D12,"")</f>
        <v/>
      </c>
      <c r="E81" s="29">
        <f>IF(('MiT Strom Pipeline'!R12="offered")+('MiT Strom Pipeline'!R12="to be offered")+('MiT Strom Pipeline'!R12="on hold")&gt;0,'MiT Strom Pipeline'!E12,"")</f>
        <v/>
      </c>
      <c r="F81" s="30">
        <f>IF(('MiT Strom Pipeline'!R12="offered")+('MiT Strom Pipeline'!R12="to be offered")+('MiT Strom Pipeline'!R12="on hold")&gt;0,IF(ISNUMBER('MiT Strom Pipeline'!I12),'MiT Strom Pipeline'!I12,0),"")</f>
        <v/>
      </c>
      <c r="G81" s="30">
        <f>IF(('MiT Strom Pipeline'!R12="offered")+('MiT Strom Pipeline'!R12="to be offered")+('MiT Strom Pipeline'!R12="on hold")&gt;0,IF(ISNUMBER('MiT Strom Pipeline'!Q12),'MiT Strom Pipeline'!Q12,0),"")</f>
        <v/>
      </c>
      <c r="H81" s="30">
        <f>IF(('MiT Strom Pipeline'!R12="offered")+('MiT Strom Pipeline'!R12="to be offered")+('MiT Strom Pipeline'!R12="on hold")&gt;0,IF(ISNUMBER('MiT Strom Pipeline'!O12),'MiT Strom Pipeline'!O12,0),"")</f>
        <v/>
      </c>
      <c r="I81" s="28">
        <f>IF(('MiT Strom Pipeline'!R12="offered")+('MiT Strom Pipeline'!R12="to be offered")+('MiT Strom Pipeline'!R12="on hold")&gt;0,'MiT Strom Pipeline'!R12,"")</f>
        <v/>
      </c>
      <c r="J81" s="28">
        <f>IF(('MiT Strom Pipeline'!R12="offered")+('MiT Strom Pipeline'!R12="to be offered")+('MiT Strom Pipeline'!R12="on hold")&gt;0,'MiT Strom Pipeline'!S12,"")</f>
        <v/>
      </c>
      <c r="K81" s="29">
        <f>IF(('MiT Strom Pipeline'!R12="offered")+('MiT Strom Pipeline'!R12="to be offered")+('MiT Strom Pipeline'!R12="on hold")&gt;0,IF(LEN('MiT Strom Pipeline'!V12)&gt;0,LEFT('MiT Strom Pipeline'!V12,55),""),"")</f>
        <v/>
      </c>
    </row>
    <row r="82" hidden="1" ht="15.75" customHeight="1">
      <c r="A82" s="22">
        <f>IF(('MiT Strom Pipeline'!R13="offered")+('MiT Strom Pipeline'!R13="to be offered")+('MiT Strom Pipeline'!R13="on hold")&gt;0,IF(ISNUMBER('MiT Strom Pipeline'!A13),'MiT Strom Pipeline'!A13,""),"")</f>
        <v/>
      </c>
      <c r="B82" s="23">
        <f>IF(('MiT Strom Pipeline'!R13="offered")+('MiT Strom Pipeline'!R13="to be offered")+('MiT Strom Pipeline'!R13="on hold")&gt;0,'MiT Strom Pipeline'!B13,"")</f>
        <v/>
      </c>
      <c r="C82" s="22">
        <f>IF(('MiT Strom Pipeline'!R13="offered")+('MiT Strom Pipeline'!R13="to be offered")+('MiT Strom Pipeline'!R13="on hold")&gt;0,'MiT Strom Pipeline'!C13,"")</f>
        <v/>
      </c>
      <c r="D82" s="23">
        <f>IF(('MiT Strom Pipeline'!R13="offered")+('MiT Strom Pipeline'!R13="to be offered")+('MiT Strom Pipeline'!R13="on hold")&gt;0,'MiT Strom Pipeline'!D13,"")</f>
        <v/>
      </c>
      <c r="E82" s="23">
        <f>IF(('MiT Strom Pipeline'!R13="offered")+('MiT Strom Pipeline'!R13="to be offered")+('MiT Strom Pipeline'!R13="on hold")&gt;0,'MiT Strom Pipeline'!E13,"")</f>
        <v/>
      </c>
      <c r="F82" s="24">
        <f>IF(('MiT Strom Pipeline'!R13="offered")+('MiT Strom Pipeline'!R13="to be offered")+('MiT Strom Pipeline'!R13="on hold")&gt;0,IF(ISNUMBER('MiT Strom Pipeline'!I13),'MiT Strom Pipeline'!I13,0),"")</f>
        <v/>
      </c>
      <c r="G82" s="24">
        <f>IF(('MiT Strom Pipeline'!R13="offered")+('MiT Strom Pipeline'!R13="to be offered")+('MiT Strom Pipeline'!R13="on hold")&gt;0,IF(ISNUMBER('MiT Strom Pipeline'!Q13),'MiT Strom Pipeline'!Q13,0),"")</f>
        <v/>
      </c>
      <c r="H82" s="24">
        <f>IF(('MiT Strom Pipeline'!R13="offered")+('MiT Strom Pipeline'!R13="to be offered")+('MiT Strom Pipeline'!R13="on hold")&gt;0,IF(ISNUMBER('MiT Strom Pipeline'!O13),'MiT Strom Pipeline'!O13,0),"")</f>
        <v/>
      </c>
      <c r="I82" s="22">
        <f>IF(('MiT Strom Pipeline'!R13="offered")+('MiT Strom Pipeline'!R13="to be offered")+('MiT Strom Pipeline'!R13="on hold")&gt;0,'MiT Strom Pipeline'!R13,"")</f>
        <v/>
      </c>
      <c r="J82" s="22">
        <f>IF(('MiT Strom Pipeline'!R13="offered")+('MiT Strom Pipeline'!R13="to be offered")+('MiT Strom Pipeline'!R13="on hold")&gt;0,'MiT Strom Pipeline'!S13,"")</f>
        <v/>
      </c>
      <c r="K82" s="23">
        <f>IF(('MiT Strom Pipeline'!R13="offered")+('MiT Strom Pipeline'!R13="to be offered")+('MiT Strom Pipeline'!R13="on hold")&gt;0,IF(LEN('MiT Strom Pipeline'!V13)&gt;0,LEFT('MiT Strom Pipeline'!V13,55),""),"")</f>
        <v/>
      </c>
    </row>
    <row r="83" hidden="1" ht="15.75" customHeight="1">
      <c r="A83" s="28">
        <f>IF(('MiT Strom Pipeline'!R14="offered")+('MiT Strom Pipeline'!R14="to be offered")+('MiT Strom Pipeline'!R14="on hold")&gt;0,IF(ISNUMBER('MiT Strom Pipeline'!A14),'MiT Strom Pipeline'!A14,""),"")</f>
        <v/>
      </c>
      <c r="B83" s="29">
        <f>IF(('MiT Strom Pipeline'!R14="offered")+('MiT Strom Pipeline'!R14="to be offered")+('MiT Strom Pipeline'!R14="on hold")&gt;0,'MiT Strom Pipeline'!B14,"")</f>
        <v/>
      </c>
      <c r="C83" s="28">
        <f>IF(('MiT Strom Pipeline'!R14="offered")+('MiT Strom Pipeline'!R14="to be offered")+('MiT Strom Pipeline'!R14="on hold")&gt;0,'MiT Strom Pipeline'!C14,"")</f>
        <v/>
      </c>
      <c r="D83" s="29">
        <f>IF(('MiT Strom Pipeline'!R14="offered")+('MiT Strom Pipeline'!R14="to be offered")+('MiT Strom Pipeline'!R14="on hold")&gt;0,'MiT Strom Pipeline'!D14,"")</f>
        <v/>
      </c>
      <c r="E83" s="29">
        <f>IF(('MiT Strom Pipeline'!R14="offered")+('MiT Strom Pipeline'!R14="to be offered")+('MiT Strom Pipeline'!R14="on hold")&gt;0,'MiT Strom Pipeline'!E14,"")</f>
        <v/>
      </c>
      <c r="F83" s="30">
        <f>IF(('MiT Strom Pipeline'!R14="offered")+('MiT Strom Pipeline'!R14="to be offered")+('MiT Strom Pipeline'!R14="on hold")&gt;0,IF(ISNUMBER('MiT Strom Pipeline'!I14),'MiT Strom Pipeline'!I14,0),"")</f>
        <v/>
      </c>
      <c r="G83" s="30">
        <f>IF(('MiT Strom Pipeline'!R14="offered")+('MiT Strom Pipeline'!R14="to be offered")+('MiT Strom Pipeline'!R14="on hold")&gt;0,IF(ISNUMBER('MiT Strom Pipeline'!Q14),'MiT Strom Pipeline'!Q14,0),"")</f>
        <v/>
      </c>
      <c r="H83" s="30">
        <f>IF(('MiT Strom Pipeline'!R14="offered")+('MiT Strom Pipeline'!R14="to be offered")+('MiT Strom Pipeline'!R14="on hold")&gt;0,IF(ISNUMBER('MiT Strom Pipeline'!O14),'MiT Strom Pipeline'!O14,0),"")</f>
        <v/>
      </c>
      <c r="I83" s="28">
        <f>IF(('MiT Strom Pipeline'!R14="offered")+('MiT Strom Pipeline'!R14="to be offered")+('MiT Strom Pipeline'!R14="on hold")&gt;0,'MiT Strom Pipeline'!R14,"")</f>
        <v/>
      </c>
      <c r="J83" s="28">
        <f>IF(('MiT Strom Pipeline'!R14="offered")+('MiT Strom Pipeline'!R14="to be offered")+('MiT Strom Pipeline'!R14="on hold")&gt;0,'MiT Strom Pipeline'!S14,"")</f>
        <v/>
      </c>
      <c r="K83" s="29">
        <f>IF(('MiT Strom Pipeline'!R14="offered")+('MiT Strom Pipeline'!R14="to be offered")+('MiT Strom Pipeline'!R14="on hold")&gt;0,IF(LEN('MiT Strom Pipeline'!V14)&gt;0,LEFT('MiT Strom Pipeline'!V14,55),""),"")</f>
        <v/>
      </c>
    </row>
    <row r="84" ht="15.75" customHeight="1">
      <c r="A84" s="22">
        <f>IF(('MiT Strom Pipeline'!R15="offered")+('MiT Strom Pipeline'!R15="to be offered")+('MiT Strom Pipeline'!R15="on hold")&gt;0,IF(ISNUMBER('MiT Strom Pipeline'!A15),'MiT Strom Pipeline'!A15,""),"")</f>
        <v/>
      </c>
      <c r="B84" s="23">
        <f>IF(('MiT Strom Pipeline'!R15="offered")+('MiT Strom Pipeline'!R15="to be offered")+('MiT Strom Pipeline'!R15="on hold")&gt;0,'MiT Strom Pipeline'!B15,"")</f>
        <v/>
      </c>
      <c r="C84" s="22">
        <f>IF(('MiT Strom Pipeline'!R15="offered")+('MiT Strom Pipeline'!R15="to be offered")+('MiT Strom Pipeline'!R15="on hold")&gt;0,'MiT Strom Pipeline'!C15,"")</f>
        <v/>
      </c>
      <c r="D84" s="23">
        <f>IF(('MiT Strom Pipeline'!R15="offered")+('MiT Strom Pipeline'!R15="to be offered")+('MiT Strom Pipeline'!R15="on hold")&gt;0,'MiT Strom Pipeline'!D15,"")</f>
        <v/>
      </c>
      <c r="E84" s="23">
        <f>IF(('MiT Strom Pipeline'!R15="offered")+('MiT Strom Pipeline'!R15="to be offered")+('MiT Strom Pipeline'!R15="on hold")&gt;0,'MiT Strom Pipeline'!E15,"")</f>
        <v/>
      </c>
      <c r="F84" s="24">
        <f>IF(('MiT Strom Pipeline'!R15="offered")+('MiT Strom Pipeline'!R15="to be offered")+('MiT Strom Pipeline'!R15="on hold")&gt;0,IF(ISNUMBER('MiT Strom Pipeline'!I15),'MiT Strom Pipeline'!I15,0),"")</f>
        <v/>
      </c>
      <c r="G84" s="24">
        <f>IF(('MiT Strom Pipeline'!R15="offered")+('MiT Strom Pipeline'!R15="to be offered")+('MiT Strom Pipeline'!R15="on hold")&gt;0,IF(ISNUMBER('MiT Strom Pipeline'!Q15),'MiT Strom Pipeline'!Q15,0),"")</f>
        <v/>
      </c>
      <c r="H84" s="24">
        <f>IF(('MiT Strom Pipeline'!R15="offered")+('MiT Strom Pipeline'!R15="to be offered")+('MiT Strom Pipeline'!R15="on hold")&gt;0,IF(ISNUMBER('MiT Strom Pipeline'!O15),'MiT Strom Pipeline'!O15,0),"")</f>
        <v/>
      </c>
      <c r="I84" s="22">
        <f>IF(('MiT Strom Pipeline'!R15="offered")+('MiT Strom Pipeline'!R15="to be offered")+('MiT Strom Pipeline'!R15="on hold")&gt;0,'MiT Strom Pipeline'!R15,"")</f>
        <v/>
      </c>
      <c r="J84" s="22">
        <f>IF(('MiT Strom Pipeline'!R15="offered")+('MiT Strom Pipeline'!R15="to be offered")+('MiT Strom Pipeline'!R15="on hold")&gt;0,'MiT Strom Pipeline'!S15,"")</f>
        <v/>
      </c>
      <c r="K84" s="23">
        <f>IF(('MiT Strom Pipeline'!R15="offered")+('MiT Strom Pipeline'!R15="to be offered")+('MiT Strom Pipeline'!R15="on hold")&gt;0,IF(LEN('MiT Strom Pipeline'!V15)&gt;0,LEFT('MiT Strom Pipeline'!V15,55),""),"")</f>
        <v/>
      </c>
    </row>
    <row r="85" ht="15.75" customHeight="1">
      <c r="A85" s="28">
        <f>IF(('MiT Strom Pipeline'!R16="offered")+('MiT Strom Pipeline'!R16="to be offered")+('MiT Strom Pipeline'!R16="on hold")&gt;0,IF(ISNUMBER('MiT Strom Pipeline'!A16),'MiT Strom Pipeline'!A16,""),"")</f>
        <v/>
      </c>
      <c r="B85" s="29">
        <f>IF(('MiT Strom Pipeline'!R16="offered")+('MiT Strom Pipeline'!R16="to be offered")+('MiT Strom Pipeline'!R16="on hold")&gt;0,'MiT Strom Pipeline'!B16,"")</f>
        <v/>
      </c>
      <c r="C85" s="28">
        <f>IF(('MiT Strom Pipeline'!R16="offered")+('MiT Strom Pipeline'!R16="to be offered")+('MiT Strom Pipeline'!R16="on hold")&gt;0,'MiT Strom Pipeline'!C16,"")</f>
        <v/>
      </c>
      <c r="D85" s="29">
        <f>IF(('MiT Strom Pipeline'!R16="offered")+('MiT Strom Pipeline'!R16="to be offered")+('MiT Strom Pipeline'!R16="on hold")&gt;0,'MiT Strom Pipeline'!D16,"")</f>
        <v/>
      </c>
      <c r="E85" s="29">
        <f>IF(('MiT Strom Pipeline'!R16="offered")+('MiT Strom Pipeline'!R16="to be offered")+('MiT Strom Pipeline'!R16="on hold")&gt;0,'MiT Strom Pipeline'!E16,"")</f>
        <v/>
      </c>
      <c r="F85" s="30">
        <f>IF(('MiT Strom Pipeline'!R16="offered")+('MiT Strom Pipeline'!R16="to be offered")+('MiT Strom Pipeline'!R16="on hold")&gt;0,IF(ISNUMBER('MiT Strom Pipeline'!I16),'MiT Strom Pipeline'!I16,0),"")</f>
        <v/>
      </c>
      <c r="G85" s="30">
        <f>IF(('MiT Strom Pipeline'!R16="offered")+('MiT Strom Pipeline'!R16="to be offered")+('MiT Strom Pipeline'!R16="on hold")&gt;0,IF(ISNUMBER('MiT Strom Pipeline'!Q16),'MiT Strom Pipeline'!Q16,0),"")</f>
        <v/>
      </c>
      <c r="H85" s="30">
        <f>IF(('MiT Strom Pipeline'!R16="offered")+('MiT Strom Pipeline'!R16="to be offered")+('MiT Strom Pipeline'!R16="on hold")&gt;0,IF(ISNUMBER('MiT Strom Pipeline'!O16),'MiT Strom Pipeline'!O16,0),"")</f>
        <v/>
      </c>
      <c r="I85" s="28">
        <f>IF(('MiT Strom Pipeline'!R16="offered")+('MiT Strom Pipeline'!R16="to be offered")+('MiT Strom Pipeline'!R16="on hold")&gt;0,'MiT Strom Pipeline'!R16,"")</f>
        <v/>
      </c>
      <c r="J85" s="28">
        <f>IF(('MiT Strom Pipeline'!R16="offered")+('MiT Strom Pipeline'!R16="to be offered")+('MiT Strom Pipeline'!R16="on hold")&gt;0,'MiT Strom Pipeline'!S16,"")</f>
        <v/>
      </c>
      <c r="K85" s="29">
        <f>IF(('MiT Strom Pipeline'!R16="offered")+('MiT Strom Pipeline'!R16="to be offered")+('MiT Strom Pipeline'!R16="on hold")&gt;0,IF(LEN('MiT Strom Pipeline'!V16)&gt;0,LEFT('MiT Strom Pipeline'!V16,55),""),"")</f>
        <v/>
      </c>
    </row>
    <row r="86" ht="15.75" customHeight="1">
      <c r="A86" s="22">
        <f>IF(('MiT Strom Pipeline'!R17="offered")+('MiT Strom Pipeline'!R17="to be offered")+('MiT Strom Pipeline'!R17="on hold")&gt;0,IF(ISNUMBER('MiT Strom Pipeline'!A17),'MiT Strom Pipeline'!A17,""),"")</f>
        <v/>
      </c>
      <c r="B86" s="23">
        <f>IF(('MiT Strom Pipeline'!R17="offered")+('MiT Strom Pipeline'!R17="to be offered")+('MiT Strom Pipeline'!R17="on hold")&gt;0,'MiT Strom Pipeline'!B17,"")</f>
        <v/>
      </c>
      <c r="C86" s="22">
        <f>IF(('MiT Strom Pipeline'!R17="offered")+('MiT Strom Pipeline'!R17="to be offered")+('MiT Strom Pipeline'!R17="on hold")&gt;0,'MiT Strom Pipeline'!C17,"")</f>
        <v/>
      </c>
      <c r="D86" s="23">
        <f>IF(('MiT Strom Pipeline'!R17="offered")+('MiT Strom Pipeline'!R17="to be offered")+('MiT Strom Pipeline'!R17="on hold")&gt;0,'MiT Strom Pipeline'!D17,"")</f>
        <v/>
      </c>
      <c r="E86" s="23">
        <f>IF(('MiT Strom Pipeline'!R17="offered")+('MiT Strom Pipeline'!R17="to be offered")+('MiT Strom Pipeline'!R17="on hold")&gt;0,'MiT Strom Pipeline'!E17,"")</f>
        <v/>
      </c>
      <c r="F86" s="24">
        <f>IF(('MiT Strom Pipeline'!R17="offered")+('MiT Strom Pipeline'!R17="to be offered")+('MiT Strom Pipeline'!R17="on hold")&gt;0,IF(ISNUMBER('MiT Strom Pipeline'!I17),'MiT Strom Pipeline'!I17,0),"")</f>
        <v/>
      </c>
      <c r="G86" s="24">
        <f>IF(('MiT Strom Pipeline'!R17="offered")+('MiT Strom Pipeline'!R17="to be offered")+('MiT Strom Pipeline'!R17="on hold")&gt;0,IF(ISNUMBER('MiT Strom Pipeline'!Q17),'MiT Strom Pipeline'!Q17,0),"")</f>
        <v/>
      </c>
      <c r="H86" s="24">
        <f>IF(('MiT Strom Pipeline'!R17="offered")+('MiT Strom Pipeline'!R17="to be offered")+('MiT Strom Pipeline'!R17="on hold")&gt;0,IF(ISNUMBER('MiT Strom Pipeline'!O17),'MiT Strom Pipeline'!O17,0),"")</f>
        <v/>
      </c>
      <c r="I86" s="22">
        <f>IF(('MiT Strom Pipeline'!R17="offered")+('MiT Strom Pipeline'!R17="to be offered")+('MiT Strom Pipeline'!R17="on hold")&gt;0,'MiT Strom Pipeline'!R17,"")</f>
        <v/>
      </c>
      <c r="J86" s="22">
        <f>IF(('MiT Strom Pipeline'!R17="offered")+('MiT Strom Pipeline'!R17="to be offered")+('MiT Strom Pipeline'!R17="on hold")&gt;0,'MiT Strom Pipeline'!S17,"")</f>
        <v/>
      </c>
      <c r="K86" s="23">
        <f>IF(('MiT Strom Pipeline'!R17="offered")+('MiT Strom Pipeline'!R17="to be offered")+('MiT Strom Pipeline'!R17="on hold")&gt;0,IF(LEN('MiT Strom Pipeline'!V17)&gt;0,LEFT('MiT Strom Pipeline'!V17,55),""),"")</f>
        <v/>
      </c>
    </row>
    <row r="87" ht="15.75" customHeight="1">
      <c r="A87" s="28">
        <f>IF(('MiT Strom Pipeline'!R18="offered")+('MiT Strom Pipeline'!R18="to be offered")+('MiT Strom Pipeline'!R18="on hold")&gt;0,IF(ISNUMBER('MiT Strom Pipeline'!A18),'MiT Strom Pipeline'!A18,""),"")</f>
        <v/>
      </c>
      <c r="B87" s="29">
        <f>IF(('MiT Strom Pipeline'!R18="offered")+('MiT Strom Pipeline'!R18="to be offered")+('MiT Strom Pipeline'!R18="on hold")&gt;0,'MiT Strom Pipeline'!B18,"")</f>
        <v/>
      </c>
      <c r="C87" s="28">
        <f>IF(('MiT Strom Pipeline'!R18="offered")+('MiT Strom Pipeline'!R18="to be offered")+('MiT Strom Pipeline'!R18="on hold")&gt;0,'MiT Strom Pipeline'!C18,"")</f>
        <v/>
      </c>
      <c r="D87" s="29">
        <f>IF(('MiT Strom Pipeline'!R18="offered")+('MiT Strom Pipeline'!R18="to be offered")+('MiT Strom Pipeline'!R18="on hold")&gt;0,'MiT Strom Pipeline'!D18,"")</f>
        <v/>
      </c>
      <c r="E87" s="29">
        <f>IF(('MiT Strom Pipeline'!R18="offered")+('MiT Strom Pipeline'!R18="to be offered")+('MiT Strom Pipeline'!R18="on hold")&gt;0,'MiT Strom Pipeline'!E18,"")</f>
        <v/>
      </c>
      <c r="F87" s="30">
        <f>IF(('MiT Strom Pipeline'!R18="offered")+('MiT Strom Pipeline'!R18="to be offered")+('MiT Strom Pipeline'!R18="on hold")&gt;0,IF(ISNUMBER('MiT Strom Pipeline'!I18),'MiT Strom Pipeline'!I18,0),"")</f>
        <v/>
      </c>
      <c r="G87" s="30">
        <f>IF(('MiT Strom Pipeline'!R18="offered")+('MiT Strom Pipeline'!R18="to be offered")+('MiT Strom Pipeline'!R18="on hold")&gt;0,IF(ISNUMBER('MiT Strom Pipeline'!Q18),'MiT Strom Pipeline'!Q18,0),"")</f>
        <v/>
      </c>
      <c r="H87" s="30">
        <f>IF(('MiT Strom Pipeline'!R18="offered")+('MiT Strom Pipeline'!R18="to be offered")+('MiT Strom Pipeline'!R18="on hold")&gt;0,IF(ISNUMBER('MiT Strom Pipeline'!O18),'MiT Strom Pipeline'!O18,0),"")</f>
        <v/>
      </c>
      <c r="I87" s="28">
        <f>IF(('MiT Strom Pipeline'!R18="offered")+('MiT Strom Pipeline'!R18="to be offered")+('MiT Strom Pipeline'!R18="on hold")&gt;0,'MiT Strom Pipeline'!R18,"")</f>
        <v/>
      </c>
      <c r="J87" s="28">
        <f>IF(('MiT Strom Pipeline'!R18="offered")+('MiT Strom Pipeline'!R18="to be offered")+('MiT Strom Pipeline'!R18="on hold")&gt;0,'MiT Strom Pipeline'!S18,"")</f>
        <v/>
      </c>
      <c r="K87" s="29">
        <f>IF(('MiT Strom Pipeline'!R18="offered")+('MiT Strom Pipeline'!R18="to be offered")+('MiT Strom Pipeline'!R18="on hold")&gt;0,IF(LEN('MiT Strom Pipeline'!V18)&gt;0,LEFT('MiT Strom Pipeline'!V18,55),""),"")</f>
        <v/>
      </c>
    </row>
    <row r="88" ht="15.75" customHeight="1">
      <c r="A88" s="22">
        <f>IF(('MiT Strom Pipeline'!R19="offered")+('MiT Strom Pipeline'!R19="to be offered")+('MiT Strom Pipeline'!R19="on hold")&gt;0,IF(ISNUMBER('MiT Strom Pipeline'!A19),'MiT Strom Pipeline'!A19,""),"")</f>
        <v/>
      </c>
      <c r="B88" s="23">
        <f>IF(('MiT Strom Pipeline'!R19="offered")+('MiT Strom Pipeline'!R19="to be offered")+('MiT Strom Pipeline'!R19="on hold")&gt;0,'MiT Strom Pipeline'!B19,"")</f>
        <v/>
      </c>
      <c r="C88" s="22">
        <f>IF(('MiT Strom Pipeline'!R19="offered")+('MiT Strom Pipeline'!R19="to be offered")+('MiT Strom Pipeline'!R19="on hold")&gt;0,'MiT Strom Pipeline'!C19,"")</f>
        <v/>
      </c>
      <c r="D88" s="23">
        <f>IF(('MiT Strom Pipeline'!R19="offered")+('MiT Strom Pipeline'!R19="to be offered")+('MiT Strom Pipeline'!R19="on hold")&gt;0,'MiT Strom Pipeline'!D19,"")</f>
        <v/>
      </c>
      <c r="E88" s="23">
        <f>IF(('MiT Strom Pipeline'!R19="offered")+('MiT Strom Pipeline'!R19="to be offered")+('MiT Strom Pipeline'!R19="on hold")&gt;0,'MiT Strom Pipeline'!E19,"")</f>
        <v/>
      </c>
      <c r="F88" s="24">
        <f>IF(('MiT Strom Pipeline'!R19="offered")+('MiT Strom Pipeline'!R19="to be offered")+('MiT Strom Pipeline'!R19="on hold")&gt;0,IF(ISNUMBER('MiT Strom Pipeline'!I19),'MiT Strom Pipeline'!I19,0),"")</f>
        <v/>
      </c>
      <c r="G88" s="24">
        <f>IF(('MiT Strom Pipeline'!R19="offered")+('MiT Strom Pipeline'!R19="to be offered")+('MiT Strom Pipeline'!R19="on hold")&gt;0,IF(ISNUMBER('MiT Strom Pipeline'!Q19),'MiT Strom Pipeline'!Q19,0),"")</f>
        <v/>
      </c>
      <c r="H88" s="24">
        <f>IF(('MiT Strom Pipeline'!R19="offered")+('MiT Strom Pipeline'!R19="to be offered")+('MiT Strom Pipeline'!R19="on hold")&gt;0,IF(ISNUMBER('MiT Strom Pipeline'!O19),'MiT Strom Pipeline'!O19,0),"")</f>
        <v/>
      </c>
      <c r="I88" s="22">
        <f>IF(('MiT Strom Pipeline'!R19="offered")+('MiT Strom Pipeline'!R19="to be offered")+('MiT Strom Pipeline'!R19="on hold")&gt;0,'MiT Strom Pipeline'!R19,"")</f>
        <v/>
      </c>
      <c r="J88" s="22">
        <f>IF(('MiT Strom Pipeline'!R19="offered")+('MiT Strom Pipeline'!R19="to be offered")+('MiT Strom Pipeline'!R19="on hold")&gt;0,'MiT Strom Pipeline'!S19,"")</f>
        <v/>
      </c>
      <c r="K88" s="23">
        <f>IF(('MiT Strom Pipeline'!R19="offered")+('MiT Strom Pipeline'!R19="to be offered")+('MiT Strom Pipeline'!R19="on hold")&gt;0,IF(LEN('MiT Strom Pipeline'!V19)&gt;0,LEFT('MiT Strom Pipeline'!V19,55),""),"")</f>
        <v/>
      </c>
    </row>
    <row r="89" ht="15.75" customHeight="1">
      <c r="A89" s="28">
        <f>IF(('MiT Strom Pipeline'!R20="offered")+('MiT Strom Pipeline'!R20="to be offered")+('MiT Strom Pipeline'!R20="on hold")&gt;0,IF(ISNUMBER('MiT Strom Pipeline'!A20),'MiT Strom Pipeline'!A20,""),"")</f>
        <v/>
      </c>
      <c r="B89" s="29">
        <f>IF(('MiT Strom Pipeline'!R20="offered")+('MiT Strom Pipeline'!R20="to be offered")+('MiT Strom Pipeline'!R20="on hold")&gt;0,'MiT Strom Pipeline'!B20,"")</f>
        <v/>
      </c>
      <c r="C89" s="28">
        <f>IF(('MiT Strom Pipeline'!R20="offered")+('MiT Strom Pipeline'!R20="to be offered")+('MiT Strom Pipeline'!R20="on hold")&gt;0,'MiT Strom Pipeline'!C20,"")</f>
        <v/>
      </c>
      <c r="D89" s="29">
        <f>IF(('MiT Strom Pipeline'!R20="offered")+('MiT Strom Pipeline'!R20="to be offered")+('MiT Strom Pipeline'!R20="on hold")&gt;0,'MiT Strom Pipeline'!D20,"")</f>
        <v/>
      </c>
      <c r="E89" s="29">
        <f>IF(('MiT Strom Pipeline'!R20="offered")+('MiT Strom Pipeline'!R20="to be offered")+('MiT Strom Pipeline'!R20="on hold")&gt;0,'MiT Strom Pipeline'!E20,"")</f>
        <v/>
      </c>
      <c r="F89" s="30">
        <f>IF(('MiT Strom Pipeline'!R20="offered")+('MiT Strom Pipeline'!R20="to be offered")+('MiT Strom Pipeline'!R20="on hold")&gt;0,IF(ISNUMBER('MiT Strom Pipeline'!I20),'MiT Strom Pipeline'!I20,0),"")</f>
        <v/>
      </c>
      <c r="G89" s="30">
        <f>IF(('MiT Strom Pipeline'!R20="offered")+('MiT Strom Pipeline'!R20="to be offered")+('MiT Strom Pipeline'!R20="on hold")&gt;0,IF(ISNUMBER('MiT Strom Pipeline'!Q20),'MiT Strom Pipeline'!Q20,0),"")</f>
        <v/>
      </c>
      <c r="H89" s="30">
        <f>IF(('MiT Strom Pipeline'!R20="offered")+('MiT Strom Pipeline'!R20="to be offered")+('MiT Strom Pipeline'!R20="on hold")&gt;0,IF(ISNUMBER('MiT Strom Pipeline'!O20),'MiT Strom Pipeline'!O20,0),"")</f>
        <v/>
      </c>
      <c r="I89" s="28">
        <f>IF(('MiT Strom Pipeline'!R20="offered")+('MiT Strom Pipeline'!R20="to be offered")+('MiT Strom Pipeline'!R20="on hold")&gt;0,'MiT Strom Pipeline'!R20,"")</f>
        <v/>
      </c>
      <c r="J89" s="28">
        <f>IF(('MiT Strom Pipeline'!R20="offered")+('MiT Strom Pipeline'!R20="to be offered")+('MiT Strom Pipeline'!R20="on hold")&gt;0,'MiT Strom Pipeline'!S20,"")</f>
        <v/>
      </c>
      <c r="K89" s="29">
        <f>IF(('MiT Strom Pipeline'!R20="offered")+('MiT Strom Pipeline'!R20="to be offered")+('MiT Strom Pipeline'!R20="on hold")&gt;0,IF(LEN('MiT Strom Pipeline'!V20)&gt;0,LEFT('MiT Strom Pipeline'!V20,55),""),"")</f>
        <v/>
      </c>
    </row>
    <row r="90" hidden="1" ht="15.75" customHeight="1">
      <c r="A90" s="22">
        <f>IF(('MiT Strom Pipeline'!R21="offered")+('MiT Strom Pipeline'!R21="to be offered")+('MiT Strom Pipeline'!R21="on hold")&gt;0,IF(ISNUMBER('MiT Strom Pipeline'!A21),'MiT Strom Pipeline'!A21,""),"")</f>
        <v/>
      </c>
      <c r="B90" s="23">
        <f>IF(('MiT Strom Pipeline'!R21="offered")+('MiT Strom Pipeline'!R21="to be offered")+('MiT Strom Pipeline'!R21="on hold")&gt;0,'MiT Strom Pipeline'!B21,"")</f>
        <v/>
      </c>
      <c r="C90" s="22">
        <f>IF(('MiT Strom Pipeline'!R21="offered")+('MiT Strom Pipeline'!R21="to be offered")+('MiT Strom Pipeline'!R21="on hold")&gt;0,'MiT Strom Pipeline'!C21,"")</f>
        <v/>
      </c>
      <c r="D90" s="23">
        <f>IF(('MiT Strom Pipeline'!R21="offered")+('MiT Strom Pipeline'!R21="to be offered")+('MiT Strom Pipeline'!R21="on hold")&gt;0,'MiT Strom Pipeline'!D21,"")</f>
        <v/>
      </c>
      <c r="E90" s="23">
        <f>IF(('MiT Strom Pipeline'!R21="offered")+('MiT Strom Pipeline'!R21="to be offered")+('MiT Strom Pipeline'!R21="on hold")&gt;0,'MiT Strom Pipeline'!E21,"")</f>
        <v/>
      </c>
      <c r="F90" s="24">
        <f>IF(('MiT Strom Pipeline'!R21="offered")+('MiT Strom Pipeline'!R21="to be offered")+('MiT Strom Pipeline'!R21="on hold")&gt;0,IF(ISNUMBER('MiT Strom Pipeline'!I21),'MiT Strom Pipeline'!I21,0),"")</f>
        <v/>
      </c>
      <c r="G90" s="24">
        <f>IF(('MiT Strom Pipeline'!R21="offered")+('MiT Strom Pipeline'!R21="to be offered")+('MiT Strom Pipeline'!R21="on hold")&gt;0,IF(ISNUMBER('MiT Strom Pipeline'!Q21),'MiT Strom Pipeline'!Q21,0),"")</f>
        <v/>
      </c>
      <c r="H90" s="24">
        <f>IF(('MiT Strom Pipeline'!R21="offered")+('MiT Strom Pipeline'!R21="to be offered")+('MiT Strom Pipeline'!R21="on hold")&gt;0,IF(ISNUMBER('MiT Strom Pipeline'!O21),'MiT Strom Pipeline'!O21,0),"")</f>
        <v/>
      </c>
      <c r="I90" s="22">
        <f>IF(('MiT Strom Pipeline'!R21="offered")+('MiT Strom Pipeline'!R21="to be offered")+('MiT Strom Pipeline'!R21="on hold")&gt;0,'MiT Strom Pipeline'!R21,"")</f>
        <v/>
      </c>
      <c r="J90" s="22">
        <f>IF(('MiT Strom Pipeline'!R21="offered")+('MiT Strom Pipeline'!R21="to be offered")+('MiT Strom Pipeline'!R21="on hold")&gt;0,'MiT Strom Pipeline'!S21,"")</f>
        <v/>
      </c>
      <c r="K90" s="23">
        <f>IF(('MiT Strom Pipeline'!R21="offered")+('MiT Strom Pipeline'!R21="to be offered")+('MiT Strom Pipeline'!R21="on hold")&gt;0,IF(LEN('MiT Strom Pipeline'!V21)&gt;0,LEFT('MiT Strom Pipeline'!V21,55),""),"")</f>
        <v/>
      </c>
    </row>
    <row r="91" hidden="1" ht="15.75" customHeight="1">
      <c r="A91" s="28">
        <f>IF(('MiT Strom Pipeline'!R22="offered")+('MiT Strom Pipeline'!R22="to be offered")+('MiT Strom Pipeline'!R22="on hold")&gt;0,IF(ISNUMBER('MiT Strom Pipeline'!A22),'MiT Strom Pipeline'!A22,""),"")</f>
        <v/>
      </c>
      <c r="B91" s="29">
        <f>IF(('MiT Strom Pipeline'!R22="offered")+('MiT Strom Pipeline'!R22="to be offered")+('MiT Strom Pipeline'!R22="on hold")&gt;0,'MiT Strom Pipeline'!B22,"")</f>
        <v/>
      </c>
      <c r="C91" s="28">
        <f>IF(('MiT Strom Pipeline'!R22="offered")+('MiT Strom Pipeline'!R22="to be offered")+('MiT Strom Pipeline'!R22="on hold")&gt;0,'MiT Strom Pipeline'!C22,"")</f>
        <v/>
      </c>
      <c r="D91" s="29">
        <f>IF(('MiT Strom Pipeline'!R22="offered")+('MiT Strom Pipeline'!R22="to be offered")+('MiT Strom Pipeline'!R22="on hold")&gt;0,'MiT Strom Pipeline'!D22,"")</f>
        <v/>
      </c>
      <c r="E91" s="29">
        <f>IF(('MiT Strom Pipeline'!R22="offered")+('MiT Strom Pipeline'!R22="to be offered")+('MiT Strom Pipeline'!R22="on hold")&gt;0,'MiT Strom Pipeline'!E22,"")</f>
        <v/>
      </c>
      <c r="F91" s="30">
        <f>IF(('MiT Strom Pipeline'!R22="offered")+('MiT Strom Pipeline'!R22="to be offered")+('MiT Strom Pipeline'!R22="on hold")&gt;0,IF(ISNUMBER('MiT Strom Pipeline'!I22),'MiT Strom Pipeline'!I22,0),"")</f>
        <v/>
      </c>
      <c r="G91" s="30">
        <f>IF(('MiT Strom Pipeline'!R22="offered")+('MiT Strom Pipeline'!R22="to be offered")+('MiT Strom Pipeline'!R22="on hold")&gt;0,IF(ISNUMBER('MiT Strom Pipeline'!Q22),'MiT Strom Pipeline'!Q22,0),"")</f>
        <v/>
      </c>
      <c r="H91" s="30">
        <f>IF(('MiT Strom Pipeline'!R22="offered")+('MiT Strom Pipeline'!R22="to be offered")+('MiT Strom Pipeline'!R22="on hold")&gt;0,IF(ISNUMBER('MiT Strom Pipeline'!O22),'MiT Strom Pipeline'!O22,0),"")</f>
        <v/>
      </c>
      <c r="I91" s="28">
        <f>IF(('MiT Strom Pipeline'!R22="offered")+('MiT Strom Pipeline'!R22="to be offered")+('MiT Strom Pipeline'!R22="on hold")&gt;0,'MiT Strom Pipeline'!R22,"")</f>
        <v/>
      </c>
      <c r="J91" s="28">
        <f>IF(('MiT Strom Pipeline'!R22="offered")+('MiT Strom Pipeline'!R22="to be offered")+('MiT Strom Pipeline'!R22="on hold")&gt;0,'MiT Strom Pipeline'!S22,"")</f>
        <v/>
      </c>
      <c r="K91" s="29">
        <f>IF(('MiT Strom Pipeline'!R22="offered")+('MiT Strom Pipeline'!R22="to be offered")+('MiT Strom Pipeline'!R22="on hold")&gt;0,IF(LEN('MiT Strom Pipeline'!V22)&gt;0,LEFT('MiT Strom Pipeline'!V22,55),""),"")</f>
        <v/>
      </c>
    </row>
    <row r="92" hidden="1" ht="15.75" customHeight="1">
      <c r="A92" s="22">
        <f>IF(('MiT Strom Pipeline'!R23="offered")+('MiT Strom Pipeline'!R23="to be offered")+('MiT Strom Pipeline'!R23="on hold")&gt;0,IF(ISNUMBER('MiT Strom Pipeline'!A23),'MiT Strom Pipeline'!A23,""),"")</f>
        <v/>
      </c>
      <c r="B92" s="23">
        <f>IF(('MiT Strom Pipeline'!R23="offered")+('MiT Strom Pipeline'!R23="to be offered")+('MiT Strom Pipeline'!R23="on hold")&gt;0,'MiT Strom Pipeline'!B23,"")</f>
        <v/>
      </c>
      <c r="C92" s="22">
        <f>IF(('MiT Strom Pipeline'!R23="offered")+('MiT Strom Pipeline'!R23="to be offered")+('MiT Strom Pipeline'!R23="on hold")&gt;0,'MiT Strom Pipeline'!C23,"")</f>
        <v/>
      </c>
      <c r="D92" s="23">
        <f>IF(('MiT Strom Pipeline'!R23="offered")+('MiT Strom Pipeline'!R23="to be offered")+('MiT Strom Pipeline'!R23="on hold")&gt;0,'MiT Strom Pipeline'!D23,"")</f>
        <v/>
      </c>
      <c r="E92" s="23">
        <f>IF(('MiT Strom Pipeline'!R23="offered")+('MiT Strom Pipeline'!R23="to be offered")+('MiT Strom Pipeline'!R23="on hold")&gt;0,'MiT Strom Pipeline'!E23,"")</f>
        <v/>
      </c>
      <c r="F92" s="24">
        <f>IF(('MiT Strom Pipeline'!R23="offered")+('MiT Strom Pipeline'!R23="to be offered")+('MiT Strom Pipeline'!R23="on hold")&gt;0,IF(ISNUMBER('MiT Strom Pipeline'!I23),'MiT Strom Pipeline'!I23,0),"")</f>
        <v/>
      </c>
      <c r="G92" s="24">
        <f>IF(('MiT Strom Pipeline'!R23="offered")+('MiT Strom Pipeline'!R23="to be offered")+('MiT Strom Pipeline'!R23="on hold")&gt;0,IF(ISNUMBER('MiT Strom Pipeline'!Q23),'MiT Strom Pipeline'!Q23,0),"")</f>
        <v/>
      </c>
      <c r="H92" s="24">
        <f>IF(('MiT Strom Pipeline'!R23="offered")+('MiT Strom Pipeline'!R23="to be offered")+('MiT Strom Pipeline'!R23="on hold")&gt;0,IF(ISNUMBER('MiT Strom Pipeline'!O23),'MiT Strom Pipeline'!O23,0),"")</f>
        <v/>
      </c>
      <c r="I92" s="22">
        <f>IF(('MiT Strom Pipeline'!R23="offered")+('MiT Strom Pipeline'!R23="to be offered")+('MiT Strom Pipeline'!R23="on hold")&gt;0,'MiT Strom Pipeline'!R23,"")</f>
        <v/>
      </c>
      <c r="J92" s="22">
        <f>IF(('MiT Strom Pipeline'!R23="offered")+('MiT Strom Pipeline'!R23="to be offered")+('MiT Strom Pipeline'!R23="on hold")&gt;0,'MiT Strom Pipeline'!S23,"")</f>
        <v/>
      </c>
      <c r="K92" s="23">
        <f>IF(('MiT Strom Pipeline'!R23="offered")+('MiT Strom Pipeline'!R23="to be offered")+('MiT Strom Pipeline'!R23="on hold")&gt;0,IF(LEN('MiT Strom Pipeline'!V23)&gt;0,LEFT('MiT Strom Pipeline'!V23,55),""),"")</f>
        <v/>
      </c>
    </row>
    <row r="93" hidden="1" ht="15.75" customHeight="1">
      <c r="A93" s="28">
        <f>IF(('MiT Strom Pipeline'!R24="offered")+('MiT Strom Pipeline'!R24="to be offered")+('MiT Strom Pipeline'!R24="on hold")&gt;0,IF(ISNUMBER('MiT Strom Pipeline'!A24),'MiT Strom Pipeline'!A24,""),"")</f>
        <v/>
      </c>
      <c r="B93" s="29">
        <f>IF(('MiT Strom Pipeline'!R24="offered")+('MiT Strom Pipeline'!R24="to be offered")+('MiT Strom Pipeline'!R24="on hold")&gt;0,'MiT Strom Pipeline'!B24,"")</f>
        <v/>
      </c>
      <c r="C93" s="28">
        <f>IF(('MiT Strom Pipeline'!R24="offered")+('MiT Strom Pipeline'!R24="to be offered")+('MiT Strom Pipeline'!R24="on hold")&gt;0,'MiT Strom Pipeline'!C24,"")</f>
        <v/>
      </c>
      <c r="D93" s="29">
        <f>IF(('MiT Strom Pipeline'!R24="offered")+('MiT Strom Pipeline'!R24="to be offered")+('MiT Strom Pipeline'!R24="on hold")&gt;0,'MiT Strom Pipeline'!D24,"")</f>
        <v/>
      </c>
      <c r="E93" s="29">
        <f>IF(('MiT Strom Pipeline'!R24="offered")+('MiT Strom Pipeline'!R24="to be offered")+('MiT Strom Pipeline'!R24="on hold")&gt;0,'MiT Strom Pipeline'!E24,"")</f>
        <v/>
      </c>
      <c r="F93" s="30">
        <f>IF(('MiT Strom Pipeline'!R24="offered")+('MiT Strom Pipeline'!R24="to be offered")+('MiT Strom Pipeline'!R24="on hold")&gt;0,IF(ISNUMBER('MiT Strom Pipeline'!I24),'MiT Strom Pipeline'!I24,0),"")</f>
        <v/>
      </c>
      <c r="G93" s="30">
        <f>IF(('MiT Strom Pipeline'!R24="offered")+('MiT Strom Pipeline'!R24="to be offered")+('MiT Strom Pipeline'!R24="on hold")&gt;0,IF(ISNUMBER('MiT Strom Pipeline'!Q24),'MiT Strom Pipeline'!Q24,0),"")</f>
        <v/>
      </c>
      <c r="H93" s="30">
        <f>IF(('MiT Strom Pipeline'!R24="offered")+('MiT Strom Pipeline'!R24="to be offered")+('MiT Strom Pipeline'!R24="on hold")&gt;0,IF(ISNUMBER('MiT Strom Pipeline'!O24),'MiT Strom Pipeline'!O24,0),"")</f>
        <v/>
      </c>
      <c r="I93" s="28">
        <f>IF(('MiT Strom Pipeline'!R24="offered")+('MiT Strom Pipeline'!R24="to be offered")+('MiT Strom Pipeline'!R24="on hold")&gt;0,'MiT Strom Pipeline'!R24,"")</f>
        <v/>
      </c>
      <c r="J93" s="28">
        <f>IF(('MiT Strom Pipeline'!R24="offered")+('MiT Strom Pipeline'!R24="to be offered")+('MiT Strom Pipeline'!R24="on hold")&gt;0,'MiT Strom Pipeline'!S24,"")</f>
        <v/>
      </c>
      <c r="K93" s="29">
        <f>IF(('MiT Strom Pipeline'!R24="offered")+('MiT Strom Pipeline'!R24="to be offered")+('MiT Strom Pipeline'!R24="on hold")&gt;0,IF(LEN('MiT Strom Pipeline'!V24)&gt;0,LEFT('MiT Strom Pipeline'!V24,55),""),"")</f>
        <v/>
      </c>
    </row>
    <row r="94" hidden="1" ht="15.75" customHeight="1">
      <c r="A94" s="22">
        <f>IF(('MiT Strom Pipeline'!R25="offered")+('MiT Strom Pipeline'!R25="to be offered")+('MiT Strom Pipeline'!R25="on hold")&gt;0,IF(ISNUMBER('MiT Strom Pipeline'!A25),'MiT Strom Pipeline'!A25,""),"")</f>
        <v/>
      </c>
      <c r="B94" s="23">
        <f>IF(('MiT Strom Pipeline'!R25="offered")+('MiT Strom Pipeline'!R25="to be offered")+('MiT Strom Pipeline'!R25="on hold")&gt;0,'MiT Strom Pipeline'!B25,"")</f>
        <v/>
      </c>
      <c r="C94" s="22">
        <f>IF(('MiT Strom Pipeline'!R25="offered")+('MiT Strom Pipeline'!R25="to be offered")+('MiT Strom Pipeline'!R25="on hold")&gt;0,'MiT Strom Pipeline'!C25,"")</f>
        <v/>
      </c>
      <c r="D94" s="23">
        <f>IF(('MiT Strom Pipeline'!R25="offered")+('MiT Strom Pipeline'!R25="to be offered")+('MiT Strom Pipeline'!R25="on hold")&gt;0,'MiT Strom Pipeline'!D25,"")</f>
        <v/>
      </c>
      <c r="E94" s="23">
        <f>IF(('MiT Strom Pipeline'!R25="offered")+('MiT Strom Pipeline'!R25="to be offered")+('MiT Strom Pipeline'!R25="on hold")&gt;0,'MiT Strom Pipeline'!E25,"")</f>
        <v/>
      </c>
      <c r="F94" s="24">
        <f>IF(('MiT Strom Pipeline'!R25="offered")+('MiT Strom Pipeline'!R25="to be offered")+('MiT Strom Pipeline'!R25="on hold")&gt;0,IF(ISNUMBER('MiT Strom Pipeline'!I25),'MiT Strom Pipeline'!I25,0),"")</f>
        <v/>
      </c>
      <c r="G94" s="24">
        <f>IF(('MiT Strom Pipeline'!R25="offered")+('MiT Strom Pipeline'!R25="to be offered")+('MiT Strom Pipeline'!R25="on hold")&gt;0,IF(ISNUMBER('MiT Strom Pipeline'!Q25),'MiT Strom Pipeline'!Q25,0),"")</f>
        <v/>
      </c>
      <c r="H94" s="24">
        <f>IF(('MiT Strom Pipeline'!R25="offered")+('MiT Strom Pipeline'!R25="to be offered")+('MiT Strom Pipeline'!R25="on hold")&gt;0,IF(ISNUMBER('MiT Strom Pipeline'!O25),'MiT Strom Pipeline'!O25,0),"")</f>
        <v/>
      </c>
      <c r="I94" s="22">
        <f>IF(('MiT Strom Pipeline'!R25="offered")+('MiT Strom Pipeline'!R25="to be offered")+('MiT Strom Pipeline'!R25="on hold")&gt;0,'MiT Strom Pipeline'!R25,"")</f>
        <v/>
      </c>
      <c r="J94" s="22">
        <f>IF(('MiT Strom Pipeline'!R25="offered")+('MiT Strom Pipeline'!R25="to be offered")+('MiT Strom Pipeline'!R25="on hold")&gt;0,'MiT Strom Pipeline'!S25,"")</f>
        <v/>
      </c>
      <c r="K94" s="23">
        <f>IF(('MiT Strom Pipeline'!R25="offered")+('MiT Strom Pipeline'!R25="to be offered")+('MiT Strom Pipeline'!R25="on hold")&gt;0,IF(LEN('MiT Strom Pipeline'!V25)&gt;0,LEFT('MiT Strom Pipeline'!V25,55),""),"")</f>
        <v/>
      </c>
    </row>
    <row r="95" hidden="1" ht="15.75" customHeight="1">
      <c r="A95" s="28">
        <f>IF(('MiT Strom Pipeline'!R26="offered")+('MiT Strom Pipeline'!R26="to be offered")+('MiT Strom Pipeline'!R26="on hold")&gt;0,IF(ISNUMBER('MiT Strom Pipeline'!A26),'MiT Strom Pipeline'!A26,""),"")</f>
        <v/>
      </c>
      <c r="B95" s="29">
        <f>IF(('MiT Strom Pipeline'!R26="offered")+('MiT Strom Pipeline'!R26="to be offered")+('MiT Strom Pipeline'!R26="on hold")&gt;0,'MiT Strom Pipeline'!B26,"")</f>
        <v/>
      </c>
      <c r="C95" s="28">
        <f>IF(('MiT Strom Pipeline'!R26="offered")+('MiT Strom Pipeline'!R26="to be offered")+('MiT Strom Pipeline'!R26="on hold")&gt;0,'MiT Strom Pipeline'!C26,"")</f>
        <v/>
      </c>
      <c r="D95" s="29">
        <f>IF(('MiT Strom Pipeline'!R26="offered")+('MiT Strom Pipeline'!R26="to be offered")+('MiT Strom Pipeline'!R26="on hold")&gt;0,'MiT Strom Pipeline'!D26,"")</f>
        <v/>
      </c>
      <c r="E95" s="29">
        <f>IF(('MiT Strom Pipeline'!R26="offered")+('MiT Strom Pipeline'!R26="to be offered")+('MiT Strom Pipeline'!R26="on hold")&gt;0,'MiT Strom Pipeline'!E26,"")</f>
        <v/>
      </c>
      <c r="F95" s="30">
        <f>IF(('MiT Strom Pipeline'!R26="offered")+('MiT Strom Pipeline'!R26="to be offered")+('MiT Strom Pipeline'!R26="on hold")&gt;0,IF(ISNUMBER('MiT Strom Pipeline'!I26),'MiT Strom Pipeline'!I26,0),"")</f>
        <v/>
      </c>
      <c r="G95" s="30">
        <f>IF(('MiT Strom Pipeline'!R26="offered")+('MiT Strom Pipeline'!R26="to be offered")+('MiT Strom Pipeline'!R26="on hold")&gt;0,IF(ISNUMBER('MiT Strom Pipeline'!Q26),'MiT Strom Pipeline'!Q26,0),"")</f>
        <v/>
      </c>
      <c r="H95" s="30">
        <f>IF(('MiT Strom Pipeline'!R26="offered")+('MiT Strom Pipeline'!R26="to be offered")+('MiT Strom Pipeline'!R26="on hold")&gt;0,IF(ISNUMBER('MiT Strom Pipeline'!O26),'MiT Strom Pipeline'!O26,0),"")</f>
        <v/>
      </c>
      <c r="I95" s="28">
        <f>IF(('MiT Strom Pipeline'!R26="offered")+('MiT Strom Pipeline'!R26="to be offered")+('MiT Strom Pipeline'!R26="on hold")&gt;0,'MiT Strom Pipeline'!R26,"")</f>
        <v/>
      </c>
      <c r="J95" s="28">
        <f>IF(('MiT Strom Pipeline'!R26="offered")+('MiT Strom Pipeline'!R26="to be offered")+('MiT Strom Pipeline'!R26="on hold")&gt;0,'MiT Strom Pipeline'!S26,"")</f>
        <v/>
      </c>
      <c r="K95" s="29">
        <f>IF(('MiT Strom Pipeline'!R26="offered")+('MiT Strom Pipeline'!R26="to be offered")+('MiT Strom Pipeline'!R26="on hold")&gt;0,IF(LEN('MiT Strom Pipeline'!V26)&gt;0,LEFT('MiT Strom Pipeline'!V26,55),""),"")</f>
        <v/>
      </c>
    </row>
    <row r="96" hidden="1" ht="15.75" customHeight="1">
      <c r="A96" s="22">
        <f>IF(('MiT Strom Pipeline'!R27="offered")+('MiT Strom Pipeline'!R27="to be offered")+('MiT Strom Pipeline'!R27="on hold")&gt;0,IF(ISNUMBER('MiT Strom Pipeline'!A27),'MiT Strom Pipeline'!A27,""),"")</f>
        <v/>
      </c>
      <c r="B96" s="23">
        <f>IF(('MiT Strom Pipeline'!R27="offered")+('MiT Strom Pipeline'!R27="to be offered")+('MiT Strom Pipeline'!R27="on hold")&gt;0,'MiT Strom Pipeline'!B27,"")</f>
        <v/>
      </c>
      <c r="C96" s="22">
        <f>IF(('MiT Strom Pipeline'!R27="offered")+('MiT Strom Pipeline'!R27="to be offered")+('MiT Strom Pipeline'!R27="on hold")&gt;0,'MiT Strom Pipeline'!C27,"")</f>
        <v/>
      </c>
      <c r="D96" s="23">
        <f>IF(('MiT Strom Pipeline'!R27="offered")+('MiT Strom Pipeline'!R27="to be offered")+('MiT Strom Pipeline'!R27="on hold")&gt;0,'MiT Strom Pipeline'!D27,"")</f>
        <v/>
      </c>
      <c r="E96" s="23">
        <f>IF(('MiT Strom Pipeline'!R27="offered")+('MiT Strom Pipeline'!R27="to be offered")+('MiT Strom Pipeline'!R27="on hold")&gt;0,'MiT Strom Pipeline'!E27,"")</f>
        <v/>
      </c>
      <c r="F96" s="24">
        <f>IF(('MiT Strom Pipeline'!R27="offered")+('MiT Strom Pipeline'!R27="to be offered")+('MiT Strom Pipeline'!R27="on hold")&gt;0,IF(ISNUMBER('MiT Strom Pipeline'!I27),'MiT Strom Pipeline'!I27,0),"")</f>
        <v/>
      </c>
      <c r="G96" s="24">
        <f>IF(('MiT Strom Pipeline'!R27="offered")+('MiT Strom Pipeline'!R27="to be offered")+('MiT Strom Pipeline'!R27="on hold")&gt;0,IF(ISNUMBER('MiT Strom Pipeline'!Q27),'MiT Strom Pipeline'!Q27,0),"")</f>
        <v/>
      </c>
      <c r="H96" s="24">
        <f>IF(('MiT Strom Pipeline'!R27="offered")+('MiT Strom Pipeline'!R27="to be offered")+('MiT Strom Pipeline'!R27="on hold")&gt;0,IF(ISNUMBER('MiT Strom Pipeline'!O27),'MiT Strom Pipeline'!O27,0),"")</f>
        <v/>
      </c>
      <c r="I96" s="22">
        <f>IF(('MiT Strom Pipeline'!R27="offered")+('MiT Strom Pipeline'!R27="to be offered")+('MiT Strom Pipeline'!R27="on hold")&gt;0,'MiT Strom Pipeline'!R27,"")</f>
        <v/>
      </c>
      <c r="J96" s="22">
        <f>IF(('MiT Strom Pipeline'!R27="offered")+('MiT Strom Pipeline'!R27="to be offered")+('MiT Strom Pipeline'!R27="on hold")&gt;0,'MiT Strom Pipeline'!S27,"")</f>
        <v/>
      </c>
      <c r="K96" s="23">
        <f>IF(('MiT Strom Pipeline'!R27="offered")+('MiT Strom Pipeline'!R27="to be offered")+('MiT Strom Pipeline'!R27="on hold")&gt;0,IF(LEN('MiT Strom Pipeline'!V27)&gt;0,LEFT('MiT Strom Pipeline'!V27,55),""),"")</f>
        <v/>
      </c>
    </row>
    <row r="97" ht="15.75" customHeight="1">
      <c r="A97" s="28">
        <f>IF(('MiT Strom Pipeline'!R28="offered")+('MiT Strom Pipeline'!R28="to be offered")+('MiT Strom Pipeline'!R28="on hold")&gt;0,IF(ISNUMBER('MiT Strom Pipeline'!A28),'MiT Strom Pipeline'!A28,""),"")</f>
        <v/>
      </c>
      <c r="B97" s="29">
        <f>IF(('MiT Strom Pipeline'!R28="offered")+('MiT Strom Pipeline'!R28="to be offered")+('MiT Strom Pipeline'!R28="on hold")&gt;0,'MiT Strom Pipeline'!B28,"")</f>
        <v/>
      </c>
      <c r="C97" s="28">
        <f>IF(('MiT Strom Pipeline'!R28="offered")+('MiT Strom Pipeline'!R28="to be offered")+('MiT Strom Pipeline'!R28="on hold")&gt;0,'MiT Strom Pipeline'!C28,"")</f>
        <v/>
      </c>
      <c r="D97" s="29">
        <f>IF(('MiT Strom Pipeline'!R28="offered")+('MiT Strom Pipeline'!R28="to be offered")+('MiT Strom Pipeline'!R28="on hold")&gt;0,'MiT Strom Pipeline'!D28,"")</f>
        <v/>
      </c>
      <c r="E97" s="29">
        <f>IF(('MiT Strom Pipeline'!R28="offered")+('MiT Strom Pipeline'!R28="to be offered")+('MiT Strom Pipeline'!R28="on hold")&gt;0,'MiT Strom Pipeline'!E28,"")</f>
        <v/>
      </c>
      <c r="F97" s="30">
        <f>IF(('MiT Strom Pipeline'!R28="offered")+('MiT Strom Pipeline'!R28="to be offered")+('MiT Strom Pipeline'!R28="on hold")&gt;0,IF(ISNUMBER('MiT Strom Pipeline'!I28),'MiT Strom Pipeline'!I28,0),"")</f>
        <v/>
      </c>
      <c r="G97" s="30">
        <f>IF(('MiT Strom Pipeline'!R28="offered")+('MiT Strom Pipeline'!R28="to be offered")+('MiT Strom Pipeline'!R28="on hold")&gt;0,IF(ISNUMBER('MiT Strom Pipeline'!Q28),'MiT Strom Pipeline'!Q28,0),"")</f>
        <v/>
      </c>
      <c r="H97" s="30">
        <f>IF(('MiT Strom Pipeline'!R28="offered")+('MiT Strom Pipeline'!R28="to be offered")+('MiT Strom Pipeline'!R28="on hold")&gt;0,IF(ISNUMBER('MiT Strom Pipeline'!O28),'MiT Strom Pipeline'!O28,0),"")</f>
        <v/>
      </c>
      <c r="I97" s="28">
        <f>IF(('MiT Strom Pipeline'!R28="offered")+('MiT Strom Pipeline'!R28="to be offered")+('MiT Strom Pipeline'!R28="on hold")&gt;0,'MiT Strom Pipeline'!R28,"")</f>
        <v/>
      </c>
      <c r="J97" s="28">
        <f>IF(('MiT Strom Pipeline'!R28="offered")+('MiT Strom Pipeline'!R28="to be offered")+('MiT Strom Pipeline'!R28="on hold")&gt;0,'MiT Strom Pipeline'!S28,"")</f>
        <v/>
      </c>
      <c r="K97" s="29">
        <f>IF(('MiT Strom Pipeline'!R28="offered")+('MiT Strom Pipeline'!R28="to be offered")+('MiT Strom Pipeline'!R28="on hold")&gt;0,IF(LEN('MiT Strom Pipeline'!V28)&gt;0,LEFT('MiT Strom Pipeline'!V28,55),""),"")</f>
        <v/>
      </c>
    </row>
    <row r="98" hidden="1" ht="15.75" customHeight="1">
      <c r="A98" s="22">
        <f>IF(('MiT Strom Pipeline'!R29="offered")+('MiT Strom Pipeline'!R29="to be offered")+('MiT Strom Pipeline'!R29="on hold")&gt;0,IF(ISNUMBER('MiT Strom Pipeline'!A29),'MiT Strom Pipeline'!A29,""),"")</f>
        <v/>
      </c>
      <c r="B98" s="23">
        <f>IF(('MiT Strom Pipeline'!R29="offered")+('MiT Strom Pipeline'!R29="to be offered")+('MiT Strom Pipeline'!R29="on hold")&gt;0,'MiT Strom Pipeline'!B29,"")</f>
        <v/>
      </c>
      <c r="C98" s="22">
        <f>IF(('MiT Strom Pipeline'!R29="offered")+('MiT Strom Pipeline'!R29="to be offered")+('MiT Strom Pipeline'!R29="on hold")&gt;0,'MiT Strom Pipeline'!C29,"")</f>
        <v/>
      </c>
      <c r="D98" s="23">
        <f>IF(('MiT Strom Pipeline'!R29="offered")+('MiT Strom Pipeline'!R29="to be offered")+('MiT Strom Pipeline'!R29="on hold")&gt;0,'MiT Strom Pipeline'!D29,"")</f>
        <v/>
      </c>
      <c r="E98" s="23">
        <f>IF(('MiT Strom Pipeline'!R29="offered")+('MiT Strom Pipeline'!R29="to be offered")+('MiT Strom Pipeline'!R29="on hold")&gt;0,'MiT Strom Pipeline'!E29,"")</f>
        <v/>
      </c>
      <c r="F98" s="24">
        <f>IF(('MiT Strom Pipeline'!R29="offered")+('MiT Strom Pipeline'!R29="to be offered")+('MiT Strom Pipeline'!R29="on hold")&gt;0,IF(ISNUMBER('MiT Strom Pipeline'!I29),'MiT Strom Pipeline'!I29,0),"")</f>
        <v/>
      </c>
      <c r="G98" s="24">
        <f>IF(('MiT Strom Pipeline'!R29="offered")+('MiT Strom Pipeline'!R29="to be offered")+('MiT Strom Pipeline'!R29="on hold")&gt;0,IF(ISNUMBER('MiT Strom Pipeline'!Q29),'MiT Strom Pipeline'!Q29,0),"")</f>
        <v/>
      </c>
      <c r="H98" s="24">
        <f>IF(('MiT Strom Pipeline'!R29="offered")+('MiT Strom Pipeline'!R29="to be offered")+('MiT Strom Pipeline'!R29="on hold")&gt;0,IF(ISNUMBER('MiT Strom Pipeline'!O29),'MiT Strom Pipeline'!O29,0),"")</f>
        <v/>
      </c>
      <c r="I98" s="22">
        <f>IF(('MiT Strom Pipeline'!R29="offered")+('MiT Strom Pipeline'!R29="to be offered")+('MiT Strom Pipeline'!R29="on hold")&gt;0,'MiT Strom Pipeline'!R29,"")</f>
        <v/>
      </c>
      <c r="J98" s="22">
        <f>IF(('MiT Strom Pipeline'!R29="offered")+('MiT Strom Pipeline'!R29="to be offered")+('MiT Strom Pipeline'!R29="on hold")&gt;0,'MiT Strom Pipeline'!S29,"")</f>
        <v/>
      </c>
      <c r="K98" s="23">
        <f>IF(('MiT Strom Pipeline'!R29="offered")+('MiT Strom Pipeline'!R29="to be offered")+('MiT Strom Pipeline'!R29="on hold")&gt;0,IF(LEN('MiT Strom Pipeline'!V29)&gt;0,LEFT('MiT Strom Pipeline'!V29,55),""),"")</f>
        <v/>
      </c>
    </row>
    <row r="99" hidden="1" ht="15.75" customHeight="1">
      <c r="A99" s="28">
        <f>IF(('MiT Strom Pipeline'!R30="offered")+('MiT Strom Pipeline'!R30="to be offered")+('MiT Strom Pipeline'!R30="on hold")&gt;0,IF(ISNUMBER('MiT Strom Pipeline'!A30),'MiT Strom Pipeline'!A30,""),"")</f>
        <v/>
      </c>
      <c r="B99" s="29">
        <f>IF(('MiT Strom Pipeline'!R30="offered")+('MiT Strom Pipeline'!R30="to be offered")+('MiT Strom Pipeline'!R30="on hold")&gt;0,'MiT Strom Pipeline'!B30,"")</f>
        <v/>
      </c>
      <c r="C99" s="28">
        <f>IF(('MiT Strom Pipeline'!R30="offered")+('MiT Strom Pipeline'!R30="to be offered")+('MiT Strom Pipeline'!R30="on hold")&gt;0,'MiT Strom Pipeline'!C30,"")</f>
        <v/>
      </c>
      <c r="D99" s="29">
        <f>IF(('MiT Strom Pipeline'!R30="offered")+('MiT Strom Pipeline'!R30="to be offered")+('MiT Strom Pipeline'!R30="on hold")&gt;0,'MiT Strom Pipeline'!D30,"")</f>
        <v/>
      </c>
      <c r="E99" s="29">
        <f>IF(('MiT Strom Pipeline'!R30="offered")+('MiT Strom Pipeline'!R30="to be offered")+('MiT Strom Pipeline'!R30="on hold")&gt;0,'MiT Strom Pipeline'!E30,"")</f>
        <v/>
      </c>
      <c r="F99" s="30">
        <f>IF(('MiT Strom Pipeline'!R30="offered")+('MiT Strom Pipeline'!R30="to be offered")+('MiT Strom Pipeline'!R30="on hold")&gt;0,IF(ISNUMBER('MiT Strom Pipeline'!I30),'MiT Strom Pipeline'!I30,0),"")</f>
        <v/>
      </c>
      <c r="G99" s="30">
        <f>IF(('MiT Strom Pipeline'!R30="offered")+('MiT Strom Pipeline'!R30="to be offered")+('MiT Strom Pipeline'!R30="on hold")&gt;0,IF(ISNUMBER('MiT Strom Pipeline'!Q30),'MiT Strom Pipeline'!Q30,0),"")</f>
        <v/>
      </c>
      <c r="H99" s="30">
        <f>IF(('MiT Strom Pipeline'!R30="offered")+('MiT Strom Pipeline'!R30="to be offered")+('MiT Strom Pipeline'!R30="on hold")&gt;0,IF(ISNUMBER('MiT Strom Pipeline'!O30),'MiT Strom Pipeline'!O30,0),"")</f>
        <v/>
      </c>
      <c r="I99" s="28">
        <f>IF(('MiT Strom Pipeline'!R30="offered")+('MiT Strom Pipeline'!R30="to be offered")+('MiT Strom Pipeline'!R30="on hold")&gt;0,'MiT Strom Pipeline'!R30,"")</f>
        <v/>
      </c>
      <c r="J99" s="28">
        <f>IF(('MiT Strom Pipeline'!R30="offered")+('MiT Strom Pipeline'!R30="to be offered")+('MiT Strom Pipeline'!R30="on hold")&gt;0,'MiT Strom Pipeline'!S30,"")</f>
        <v/>
      </c>
      <c r="K99" s="29">
        <f>IF(('MiT Strom Pipeline'!R30="offered")+('MiT Strom Pipeline'!R30="to be offered")+('MiT Strom Pipeline'!R30="on hold")&gt;0,IF(LEN('MiT Strom Pipeline'!V30)&gt;0,LEFT('MiT Strom Pipeline'!V30,55),""),"")</f>
        <v/>
      </c>
    </row>
    <row r="100" ht="25.5" customHeight="1">
      <c r="A100" s="22">
        <f>IF(('MiT Strom Pipeline'!R31="offered")+('MiT Strom Pipeline'!R31="to be offered")+('MiT Strom Pipeline'!R31="on hold")&gt;0,IF(ISNUMBER('MiT Strom Pipeline'!A31),'MiT Strom Pipeline'!A31,""),"")</f>
        <v/>
      </c>
      <c r="B100" s="23">
        <f>IF(('MiT Strom Pipeline'!R31="offered")+('MiT Strom Pipeline'!R31="to be offered")+('MiT Strom Pipeline'!R31="on hold")&gt;0,'MiT Strom Pipeline'!B31,"")</f>
        <v/>
      </c>
      <c r="C100" s="22">
        <f>IF(('MiT Strom Pipeline'!R31="offered")+('MiT Strom Pipeline'!R31="to be offered")+('MiT Strom Pipeline'!R31="on hold")&gt;0,'MiT Strom Pipeline'!C31,"")</f>
        <v/>
      </c>
      <c r="D100" s="23">
        <f>IF(('MiT Strom Pipeline'!R31="offered")+('MiT Strom Pipeline'!R31="to be offered")+('MiT Strom Pipeline'!R31="on hold")&gt;0,'MiT Strom Pipeline'!D31,"")</f>
        <v/>
      </c>
      <c r="E100" s="23">
        <f>IF(('MiT Strom Pipeline'!R31="offered")+('MiT Strom Pipeline'!R31="to be offered")+('MiT Strom Pipeline'!R31="on hold")&gt;0,'MiT Strom Pipeline'!E31,"")</f>
        <v/>
      </c>
      <c r="F100" s="24">
        <f>IF(('MiT Strom Pipeline'!R31="offered")+('MiT Strom Pipeline'!R31="to be offered")+('MiT Strom Pipeline'!R31="on hold")&gt;0,IF(ISNUMBER('MiT Strom Pipeline'!I31),'MiT Strom Pipeline'!I31,0),"")</f>
        <v/>
      </c>
      <c r="G100" s="24">
        <f>IF(('MiT Strom Pipeline'!R31="offered")+('MiT Strom Pipeline'!R31="to be offered")+('MiT Strom Pipeline'!R31="on hold")&gt;0,IF(ISNUMBER('MiT Strom Pipeline'!Q31),'MiT Strom Pipeline'!Q31,0),"")</f>
        <v/>
      </c>
      <c r="H100" s="24">
        <f>IF(('MiT Strom Pipeline'!R31="offered")+('MiT Strom Pipeline'!R31="to be offered")+('MiT Strom Pipeline'!R31="on hold")&gt;0,IF(ISNUMBER('MiT Strom Pipeline'!O31),'MiT Strom Pipeline'!O31,0),"")</f>
        <v/>
      </c>
      <c r="I100" s="22">
        <f>IF(('MiT Strom Pipeline'!R31="offered")+('MiT Strom Pipeline'!R31="to be offered")+('MiT Strom Pipeline'!R31="on hold")&gt;0,'MiT Strom Pipeline'!R31,"")</f>
        <v/>
      </c>
      <c r="J100" s="22">
        <f>IF(('MiT Strom Pipeline'!R31="offered")+('MiT Strom Pipeline'!R31="to be offered")+('MiT Strom Pipeline'!R31="on hold")&gt;0,'MiT Strom Pipeline'!S31,"")</f>
        <v/>
      </c>
      <c r="K100" s="25">
        <f>IF(('MiT Strom Pipeline'!R31="offered")+('MiT Strom Pipeline'!R31="to be offered")+('MiT Strom Pipeline'!R31="on hold")&gt;0,IF(LEN('MiT Strom Pipeline'!V31)&gt;0,LEFT('MiT Strom Pipeline'!V31,55),""),"")</f>
        <v/>
      </c>
    </row>
    <row r="101" ht="25.5" customHeight="1">
      <c r="A101" s="28">
        <f>IF(('MiT Strom Pipeline'!R32="offered")+('MiT Strom Pipeline'!R32="to be offered")+('MiT Strom Pipeline'!R32="on hold")&gt;0,IF(ISNUMBER('MiT Strom Pipeline'!A32),'MiT Strom Pipeline'!A32,""),"")</f>
        <v/>
      </c>
      <c r="B101" s="29">
        <f>IF(('MiT Strom Pipeline'!R32="offered")+('MiT Strom Pipeline'!R32="to be offered")+('MiT Strom Pipeline'!R32="on hold")&gt;0,'MiT Strom Pipeline'!B32,"")</f>
        <v/>
      </c>
      <c r="C101" s="28">
        <f>IF(('MiT Strom Pipeline'!R32="offered")+('MiT Strom Pipeline'!R32="to be offered")+('MiT Strom Pipeline'!R32="on hold")&gt;0,'MiT Strom Pipeline'!C32,"")</f>
        <v/>
      </c>
      <c r="D101" s="29">
        <f>IF(('MiT Strom Pipeline'!R32="offered")+('MiT Strom Pipeline'!R32="to be offered")+('MiT Strom Pipeline'!R32="on hold")&gt;0,'MiT Strom Pipeline'!D32,"")</f>
        <v/>
      </c>
      <c r="E101" s="29">
        <f>IF(('MiT Strom Pipeline'!R32="offered")+('MiT Strom Pipeline'!R32="to be offered")+('MiT Strom Pipeline'!R32="on hold")&gt;0,'MiT Strom Pipeline'!E32,"")</f>
        <v/>
      </c>
      <c r="F101" s="30">
        <f>IF(('MiT Strom Pipeline'!R32="offered")+('MiT Strom Pipeline'!R32="to be offered")+('MiT Strom Pipeline'!R32="on hold")&gt;0,IF(ISNUMBER('MiT Strom Pipeline'!I32),'MiT Strom Pipeline'!I32,0),"")</f>
        <v/>
      </c>
      <c r="G101" s="30">
        <f>IF(('MiT Strom Pipeline'!R32="offered")+('MiT Strom Pipeline'!R32="to be offered")+('MiT Strom Pipeline'!R32="on hold")&gt;0,IF(ISNUMBER('MiT Strom Pipeline'!Q32),'MiT Strom Pipeline'!Q32,0),"")</f>
        <v/>
      </c>
      <c r="H101" s="30">
        <f>IF(('MiT Strom Pipeline'!R32="offered")+('MiT Strom Pipeline'!R32="to be offered")+('MiT Strom Pipeline'!R32="on hold")&gt;0,IF(ISNUMBER('MiT Strom Pipeline'!O32),'MiT Strom Pipeline'!O32,0),"")</f>
        <v/>
      </c>
      <c r="I101" s="28">
        <f>IF(('MiT Strom Pipeline'!R32="offered")+('MiT Strom Pipeline'!R32="to be offered")+('MiT Strom Pipeline'!R32="on hold")&gt;0,'MiT Strom Pipeline'!R32,"")</f>
        <v/>
      </c>
      <c r="J101" s="28">
        <f>IF(('MiT Strom Pipeline'!R32="offered")+('MiT Strom Pipeline'!R32="to be offered")+('MiT Strom Pipeline'!R32="on hold")&gt;0,'MiT Strom Pipeline'!S32,"")</f>
        <v/>
      </c>
      <c r="K101" s="31">
        <f>IF(('MiT Strom Pipeline'!R32="offered")+('MiT Strom Pipeline'!R32="to be offered")+('MiT Strom Pipeline'!R32="on hold")&gt;0,IF(LEN('MiT Strom Pipeline'!V32)&gt;0,LEFT('MiT Strom Pipeline'!V32,55),""),"")</f>
        <v/>
      </c>
    </row>
    <row r="102" hidden="1" ht="15.75" customHeight="1">
      <c r="A102" s="22">
        <f>IF(('MiT Strom Pipeline'!R33="offered")+('MiT Strom Pipeline'!R33="to be offered")+('MiT Strom Pipeline'!R33="on hold")&gt;0,IF(ISNUMBER('MiT Strom Pipeline'!A33),'MiT Strom Pipeline'!A33,""),"")</f>
        <v/>
      </c>
      <c r="B102" s="23">
        <f>IF(('MiT Strom Pipeline'!R33="offered")+('MiT Strom Pipeline'!R33="to be offered")+('MiT Strom Pipeline'!R33="on hold")&gt;0,'MiT Strom Pipeline'!B33,"")</f>
        <v/>
      </c>
      <c r="C102" s="22">
        <f>IF(('MiT Strom Pipeline'!R33="offered")+('MiT Strom Pipeline'!R33="to be offered")+('MiT Strom Pipeline'!R33="on hold")&gt;0,'MiT Strom Pipeline'!C33,"")</f>
        <v/>
      </c>
      <c r="D102" s="23">
        <f>IF(('MiT Strom Pipeline'!R33="offered")+('MiT Strom Pipeline'!R33="to be offered")+('MiT Strom Pipeline'!R33="on hold")&gt;0,'MiT Strom Pipeline'!D33,"")</f>
        <v/>
      </c>
      <c r="E102" s="23">
        <f>IF(('MiT Strom Pipeline'!R33="offered")+('MiT Strom Pipeline'!R33="to be offered")+('MiT Strom Pipeline'!R33="on hold")&gt;0,'MiT Strom Pipeline'!E33,"")</f>
        <v/>
      </c>
      <c r="F102" s="24">
        <f>IF(('MiT Strom Pipeline'!R33="offered")+('MiT Strom Pipeline'!R33="to be offered")+('MiT Strom Pipeline'!R33="on hold")&gt;0,IF(ISNUMBER('MiT Strom Pipeline'!I33),'MiT Strom Pipeline'!I33,0),"")</f>
        <v/>
      </c>
      <c r="G102" s="24">
        <f>IF(('MiT Strom Pipeline'!R33="offered")+('MiT Strom Pipeline'!R33="to be offered")+('MiT Strom Pipeline'!R33="on hold")&gt;0,IF(ISNUMBER('MiT Strom Pipeline'!Q33),'MiT Strom Pipeline'!Q33,0),"")</f>
        <v/>
      </c>
      <c r="H102" s="24">
        <f>IF(('MiT Strom Pipeline'!R33="offered")+('MiT Strom Pipeline'!R33="to be offered")+('MiT Strom Pipeline'!R33="on hold")&gt;0,IF(ISNUMBER('MiT Strom Pipeline'!O33),'MiT Strom Pipeline'!O33,0),"")</f>
        <v/>
      </c>
      <c r="I102" s="22">
        <f>IF(('MiT Strom Pipeline'!R33="offered")+('MiT Strom Pipeline'!R33="to be offered")+('MiT Strom Pipeline'!R33="on hold")&gt;0,'MiT Strom Pipeline'!R33,"")</f>
        <v/>
      </c>
      <c r="J102" s="22">
        <f>IF(('MiT Strom Pipeline'!R33="offered")+('MiT Strom Pipeline'!R33="to be offered")+('MiT Strom Pipeline'!R33="on hold")&gt;0,'MiT Strom Pipeline'!S33,"")</f>
        <v/>
      </c>
      <c r="K102" s="23">
        <f>IF(('MiT Strom Pipeline'!R33="offered")+('MiT Strom Pipeline'!R33="to be offered")+('MiT Strom Pipeline'!R33="on hold")&gt;0,IF(LEN('MiT Strom Pipeline'!V33)&gt;0,LEFT('MiT Strom Pipeline'!V33,55),""),"")</f>
        <v/>
      </c>
    </row>
    <row r="103" ht="15.75" customHeight="1">
      <c r="A103" s="28">
        <f>IF(('MiT Strom Pipeline'!R34="offered")+('MiT Strom Pipeline'!R34="to be offered")+('MiT Strom Pipeline'!R34="on hold")&gt;0,IF(ISNUMBER('MiT Strom Pipeline'!A34),'MiT Strom Pipeline'!A34,""),"")</f>
        <v/>
      </c>
      <c r="B103" s="29">
        <f>IF(('MiT Strom Pipeline'!R34="offered")+('MiT Strom Pipeline'!R34="to be offered")+('MiT Strom Pipeline'!R34="on hold")&gt;0,'MiT Strom Pipeline'!B34,"")</f>
        <v/>
      </c>
      <c r="C103" s="28">
        <f>IF(('MiT Strom Pipeline'!R34="offered")+('MiT Strom Pipeline'!R34="to be offered")+('MiT Strom Pipeline'!R34="on hold")&gt;0,'MiT Strom Pipeline'!C34,"")</f>
        <v/>
      </c>
      <c r="D103" s="29">
        <f>IF(('MiT Strom Pipeline'!R34="offered")+('MiT Strom Pipeline'!R34="to be offered")+('MiT Strom Pipeline'!R34="on hold")&gt;0,'MiT Strom Pipeline'!D34,"")</f>
        <v/>
      </c>
      <c r="E103" s="29">
        <f>IF(('MiT Strom Pipeline'!R34="offered")+('MiT Strom Pipeline'!R34="to be offered")+('MiT Strom Pipeline'!R34="on hold")&gt;0,'MiT Strom Pipeline'!E34,"")</f>
        <v/>
      </c>
      <c r="F103" s="30">
        <f>IF(('MiT Strom Pipeline'!R34="offered")+('MiT Strom Pipeline'!R34="to be offered")+('MiT Strom Pipeline'!R34="on hold")&gt;0,IF(ISNUMBER('MiT Strom Pipeline'!I34),'MiT Strom Pipeline'!I34,0),"")</f>
        <v/>
      </c>
      <c r="G103" s="30">
        <f>IF(('MiT Strom Pipeline'!R34="offered")+('MiT Strom Pipeline'!R34="to be offered")+('MiT Strom Pipeline'!R34="on hold")&gt;0,IF(ISNUMBER('MiT Strom Pipeline'!Q34),'MiT Strom Pipeline'!Q34,0),"")</f>
        <v/>
      </c>
      <c r="H103" s="30">
        <f>IF(('MiT Strom Pipeline'!R34="offered")+('MiT Strom Pipeline'!R34="to be offered")+('MiT Strom Pipeline'!R34="on hold")&gt;0,IF(ISNUMBER('MiT Strom Pipeline'!O34),'MiT Strom Pipeline'!O34,0),"")</f>
        <v/>
      </c>
      <c r="I103" s="28">
        <f>IF(('MiT Strom Pipeline'!R34="offered")+('MiT Strom Pipeline'!R34="to be offered")+('MiT Strom Pipeline'!R34="on hold")&gt;0,'MiT Strom Pipeline'!R34,"")</f>
        <v/>
      </c>
      <c r="J103" s="28">
        <f>IF(('MiT Strom Pipeline'!R34="offered")+('MiT Strom Pipeline'!R34="to be offered")+('MiT Strom Pipeline'!R34="on hold")&gt;0,'MiT Strom Pipeline'!S34,"")</f>
        <v/>
      </c>
      <c r="K103" s="31">
        <f>IF(('MiT Strom Pipeline'!R34="offered")+('MiT Strom Pipeline'!R34="to be offered")+('MiT Strom Pipeline'!R34="on hold")&gt;0,IF(LEN('MiT Strom Pipeline'!V34)&gt;0,LEFT('MiT Strom Pipeline'!V34,55),""),"")</f>
        <v/>
      </c>
    </row>
    <row r="104" ht="15.75" customHeight="1">
      <c r="A104" s="22">
        <f>IF(('MiT Strom Pipeline'!R35="offered")+('MiT Strom Pipeline'!R35="to be offered")+('MiT Strom Pipeline'!R35="on hold")&gt;0,IF(ISNUMBER('MiT Strom Pipeline'!A35),'MiT Strom Pipeline'!A35,""),"")</f>
        <v/>
      </c>
      <c r="B104" s="23">
        <f>IF(('MiT Strom Pipeline'!R35="offered")+('MiT Strom Pipeline'!R35="to be offered")+('MiT Strom Pipeline'!R35="on hold")&gt;0,'MiT Strom Pipeline'!B35,"")</f>
        <v/>
      </c>
      <c r="C104" s="22">
        <f>IF(('MiT Strom Pipeline'!R35="offered")+('MiT Strom Pipeline'!R35="to be offered")+('MiT Strom Pipeline'!R35="on hold")&gt;0,'MiT Strom Pipeline'!C35,"")</f>
        <v/>
      </c>
      <c r="D104" s="23">
        <f>IF(('MiT Strom Pipeline'!R35="offered")+('MiT Strom Pipeline'!R35="to be offered")+('MiT Strom Pipeline'!R35="on hold")&gt;0,'MiT Strom Pipeline'!D35,"")</f>
        <v/>
      </c>
      <c r="E104" s="23">
        <f>IF(('MiT Strom Pipeline'!R35="offered")+('MiT Strom Pipeline'!R35="to be offered")+('MiT Strom Pipeline'!R35="on hold")&gt;0,'MiT Strom Pipeline'!E35,"")</f>
        <v/>
      </c>
      <c r="F104" s="24">
        <f>IF(('MiT Strom Pipeline'!R35="offered")+('MiT Strom Pipeline'!R35="to be offered")+('MiT Strom Pipeline'!R35="on hold")&gt;0,IF(ISNUMBER('MiT Strom Pipeline'!I35),'MiT Strom Pipeline'!I35,0),"")</f>
        <v/>
      </c>
      <c r="G104" s="24">
        <f>IF(('MiT Strom Pipeline'!R35="offered")+('MiT Strom Pipeline'!R35="to be offered")+('MiT Strom Pipeline'!R35="on hold")&gt;0,IF(ISNUMBER('MiT Strom Pipeline'!Q35),'MiT Strom Pipeline'!Q35,0),"")</f>
        <v/>
      </c>
      <c r="H104" s="24">
        <f>IF(('MiT Strom Pipeline'!R35="offered")+('MiT Strom Pipeline'!R35="to be offered")+('MiT Strom Pipeline'!R35="on hold")&gt;0,IF(ISNUMBER('MiT Strom Pipeline'!O35),'MiT Strom Pipeline'!O35,0),"")</f>
        <v/>
      </c>
      <c r="I104" s="22">
        <f>IF(('MiT Strom Pipeline'!R35="offered")+('MiT Strom Pipeline'!R35="to be offered")+('MiT Strom Pipeline'!R35="on hold")&gt;0,'MiT Strom Pipeline'!R35,"")</f>
        <v/>
      </c>
      <c r="J104" s="22">
        <f>IF(('MiT Strom Pipeline'!R35="offered")+('MiT Strom Pipeline'!R35="to be offered")+('MiT Strom Pipeline'!R35="on hold")&gt;0,'MiT Strom Pipeline'!S35,"")</f>
        <v/>
      </c>
      <c r="K104" s="25">
        <f>IF(('MiT Strom Pipeline'!R35="offered")+('MiT Strom Pipeline'!R35="to be offered")+('MiT Strom Pipeline'!R35="on hold")&gt;0,IF(LEN('MiT Strom Pipeline'!V35)&gt;0,LEFT('MiT Strom Pipeline'!V35,55),""),"")</f>
        <v/>
      </c>
    </row>
    <row r="105" ht="15.75" customHeight="1">
      <c r="A105" s="28">
        <f>IF(('MiT Strom Pipeline'!R36="offered")+('MiT Strom Pipeline'!R36="to be offered")+('MiT Strom Pipeline'!R36="on hold")&gt;0,IF(ISNUMBER('MiT Strom Pipeline'!A36),'MiT Strom Pipeline'!A36,""),"")</f>
        <v/>
      </c>
      <c r="B105" s="29">
        <f>IF(('MiT Strom Pipeline'!R36="offered")+('MiT Strom Pipeline'!R36="to be offered")+('MiT Strom Pipeline'!R36="on hold")&gt;0,'MiT Strom Pipeline'!B36,"")</f>
        <v/>
      </c>
      <c r="C105" s="28">
        <f>IF(('MiT Strom Pipeline'!R36="offered")+('MiT Strom Pipeline'!R36="to be offered")+('MiT Strom Pipeline'!R36="on hold")&gt;0,'MiT Strom Pipeline'!C36,"")</f>
        <v/>
      </c>
      <c r="D105" s="29">
        <f>IF(('MiT Strom Pipeline'!R36="offered")+('MiT Strom Pipeline'!R36="to be offered")+('MiT Strom Pipeline'!R36="on hold")&gt;0,'MiT Strom Pipeline'!D36,"")</f>
        <v/>
      </c>
      <c r="E105" s="29">
        <f>IF(('MiT Strom Pipeline'!R36="offered")+('MiT Strom Pipeline'!R36="to be offered")+('MiT Strom Pipeline'!R36="on hold")&gt;0,'MiT Strom Pipeline'!E36,"")</f>
        <v/>
      </c>
      <c r="F105" s="30">
        <f>IF(('MiT Strom Pipeline'!R36="offered")+('MiT Strom Pipeline'!R36="to be offered")+('MiT Strom Pipeline'!R36="on hold")&gt;0,IF(ISNUMBER('MiT Strom Pipeline'!I36),'MiT Strom Pipeline'!I36,0),"")</f>
        <v/>
      </c>
      <c r="G105" s="30">
        <f>IF(('MiT Strom Pipeline'!R36="offered")+('MiT Strom Pipeline'!R36="to be offered")+('MiT Strom Pipeline'!R36="on hold")&gt;0,IF(ISNUMBER('MiT Strom Pipeline'!Q36),'MiT Strom Pipeline'!Q36,0),"")</f>
        <v/>
      </c>
      <c r="H105" s="30">
        <f>IF(('MiT Strom Pipeline'!R36="offered")+('MiT Strom Pipeline'!R36="to be offered")+('MiT Strom Pipeline'!R36="on hold")&gt;0,IF(ISNUMBER('MiT Strom Pipeline'!O36),'MiT Strom Pipeline'!O36,0),"")</f>
        <v/>
      </c>
      <c r="I105" s="28">
        <f>IF(('MiT Strom Pipeline'!R36="offered")+('MiT Strom Pipeline'!R36="to be offered")+('MiT Strom Pipeline'!R36="on hold")&gt;0,'MiT Strom Pipeline'!R36,"")</f>
        <v/>
      </c>
      <c r="J105" s="28">
        <f>IF(('MiT Strom Pipeline'!R36="offered")+('MiT Strom Pipeline'!R36="to be offered")+('MiT Strom Pipeline'!R36="on hold")&gt;0,'MiT Strom Pipeline'!S36,"")</f>
        <v/>
      </c>
      <c r="K105" s="31">
        <f>IF(('MiT Strom Pipeline'!R36="offered")+('MiT Strom Pipeline'!R36="to be offered")+('MiT Strom Pipeline'!R36="on hold")&gt;0,IF(LEN('MiT Strom Pipeline'!V36)&gt;0,LEFT('MiT Strom Pipeline'!V36,55),""),"")</f>
        <v/>
      </c>
    </row>
    <row r="106" ht="15.75" customHeight="1">
      <c r="A106" s="22">
        <f>IF(('MiT Strom Pipeline'!R37="offered")+('MiT Strom Pipeline'!R37="to be offered")+('MiT Strom Pipeline'!R37="on hold")&gt;0,IF(ISNUMBER('MiT Strom Pipeline'!A37),'MiT Strom Pipeline'!A37,""),"")</f>
        <v/>
      </c>
      <c r="B106" s="23">
        <f>IF(('MiT Strom Pipeline'!R37="offered")+('MiT Strom Pipeline'!R37="to be offered")+('MiT Strom Pipeline'!R37="on hold")&gt;0,'MiT Strom Pipeline'!B37,"")</f>
        <v/>
      </c>
      <c r="C106" s="22">
        <f>IF(('MiT Strom Pipeline'!R37="offered")+('MiT Strom Pipeline'!R37="to be offered")+('MiT Strom Pipeline'!R37="on hold")&gt;0,'MiT Strom Pipeline'!C37,"")</f>
        <v/>
      </c>
      <c r="D106" s="23">
        <f>IF(('MiT Strom Pipeline'!R37="offered")+('MiT Strom Pipeline'!R37="to be offered")+('MiT Strom Pipeline'!R37="on hold")&gt;0,'MiT Strom Pipeline'!D37,"")</f>
        <v/>
      </c>
      <c r="E106" s="23">
        <f>IF(('MiT Strom Pipeline'!R37="offered")+('MiT Strom Pipeline'!R37="to be offered")+('MiT Strom Pipeline'!R37="on hold")&gt;0,'MiT Strom Pipeline'!E37,"")</f>
        <v/>
      </c>
      <c r="F106" s="24">
        <f>IF(('MiT Strom Pipeline'!R37="offered")+('MiT Strom Pipeline'!R37="to be offered")+('MiT Strom Pipeline'!R37="on hold")&gt;0,IF(ISNUMBER('MiT Strom Pipeline'!I37),'MiT Strom Pipeline'!I37,0),"")</f>
        <v/>
      </c>
      <c r="G106" s="24">
        <f>IF(('MiT Strom Pipeline'!R37="offered")+('MiT Strom Pipeline'!R37="to be offered")+('MiT Strom Pipeline'!R37="on hold")&gt;0,IF(ISNUMBER('MiT Strom Pipeline'!Q37),'MiT Strom Pipeline'!Q37,0),"")</f>
        <v/>
      </c>
      <c r="H106" s="24">
        <f>IF(('MiT Strom Pipeline'!R37="offered")+('MiT Strom Pipeline'!R37="to be offered")+('MiT Strom Pipeline'!R37="on hold")&gt;0,IF(ISNUMBER('MiT Strom Pipeline'!O37),'MiT Strom Pipeline'!O37,0),"")</f>
        <v/>
      </c>
      <c r="I106" s="22">
        <f>IF(('MiT Strom Pipeline'!R37="offered")+('MiT Strom Pipeline'!R37="to be offered")+('MiT Strom Pipeline'!R37="on hold")&gt;0,'MiT Strom Pipeline'!R37,"")</f>
        <v/>
      </c>
      <c r="J106" s="22">
        <f>IF(('MiT Strom Pipeline'!R37="offered")+('MiT Strom Pipeline'!R37="to be offered")+('MiT Strom Pipeline'!R37="on hold")&gt;0,'MiT Strom Pipeline'!S37,"")</f>
        <v/>
      </c>
      <c r="K106" s="23">
        <f>IF(('MiT Strom Pipeline'!R37="offered")+('MiT Strom Pipeline'!R37="to be offered")+('MiT Strom Pipeline'!R37="on hold")&gt;0,IF(LEN('MiT Strom Pipeline'!V37)&gt;0,LEFT('MiT Strom Pipeline'!V37,55),""),"")</f>
        <v/>
      </c>
    </row>
    <row r="107" hidden="1" ht="15.75" customHeight="1">
      <c r="A107" s="28">
        <f>IF(('MiT Strom Pipeline'!R38="offered")+('MiT Strom Pipeline'!R38="to be offered")+('MiT Strom Pipeline'!R38="on hold")&gt;0,IF(ISNUMBER('MiT Strom Pipeline'!A38),'MiT Strom Pipeline'!A38,""),"")</f>
        <v/>
      </c>
      <c r="B107" s="29">
        <f>IF(('MiT Strom Pipeline'!R38="offered")+('MiT Strom Pipeline'!R38="to be offered")+('MiT Strom Pipeline'!R38="on hold")&gt;0,'MiT Strom Pipeline'!B38,"")</f>
        <v/>
      </c>
      <c r="C107" s="28">
        <f>IF(('MiT Strom Pipeline'!R38="offered")+('MiT Strom Pipeline'!R38="to be offered")+('MiT Strom Pipeline'!R38="on hold")&gt;0,'MiT Strom Pipeline'!C38,"")</f>
        <v/>
      </c>
      <c r="D107" s="29">
        <f>IF(('MiT Strom Pipeline'!R38="offered")+('MiT Strom Pipeline'!R38="to be offered")+('MiT Strom Pipeline'!R38="on hold")&gt;0,'MiT Strom Pipeline'!D38,"")</f>
        <v/>
      </c>
      <c r="E107" s="29">
        <f>IF(('MiT Strom Pipeline'!R38="offered")+('MiT Strom Pipeline'!R38="to be offered")+('MiT Strom Pipeline'!R38="on hold")&gt;0,'MiT Strom Pipeline'!E38,"")</f>
        <v/>
      </c>
      <c r="F107" s="30">
        <f>IF(('MiT Strom Pipeline'!R38="offered")+('MiT Strom Pipeline'!R38="to be offered")+('MiT Strom Pipeline'!R38="on hold")&gt;0,IF(ISNUMBER('MiT Strom Pipeline'!I38),'MiT Strom Pipeline'!I38,0),"")</f>
        <v/>
      </c>
      <c r="G107" s="30">
        <f>IF(('MiT Strom Pipeline'!R38="offered")+('MiT Strom Pipeline'!R38="to be offered")+('MiT Strom Pipeline'!R38="on hold")&gt;0,IF(ISNUMBER('MiT Strom Pipeline'!Q38),'MiT Strom Pipeline'!Q38,0),"")</f>
        <v/>
      </c>
      <c r="H107" s="30">
        <f>IF(('MiT Strom Pipeline'!R38="offered")+('MiT Strom Pipeline'!R38="to be offered")+('MiT Strom Pipeline'!R38="on hold")&gt;0,IF(ISNUMBER('MiT Strom Pipeline'!O38),'MiT Strom Pipeline'!O38,0),"")</f>
        <v/>
      </c>
      <c r="I107" s="28">
        <f>IF(('MiT Strom Pipeline'!R38="offered")+('MiT Strom Pipeline'!R38="to be offered")+('MiT Strom Pipeline'!R38="on hold")&gt;0,'MiT Strom Pipeline'!R38,"")</f>
        <v/>
      </c>
      <c r="J107" s="28">
        <f>IF(('MiT Strom Pipeline'!R38="offered")+('MiT Strom Pipeline'!R38="to be offered")+('MiT Strom Pipeline'!R38="on hold")&gt;0,'MiT Strom Pipeline'!S38,"")</f>
        <v/>
      </c>
      <c r="K107" s="29">
        <f>IF(('MiT Strom Pipeline'!R38="offered")+('MiT Strom Pipeline'!R38="to be offered")+('MiT Strom Pipeline'!R38="on hold")&gt;0,IF(LEN('MiT Strom Pipeline'!V38)&gt;0,LEFT('MiT Strom Pipeline'!V38,55),""),"")</f>
        <v/>
      </c>
    </row>
    <row r="108" hidden="1" ht="15.75" customHeight="1">
      <c r="A108" s="22">
        <f>IF(('MiT Strom Pipeline'!R39="offered")+('MiT Strom Pipeline'!R39="to be offered")+('MiT Strom Pipeline'!R39="on hold")&gt;0,IF(ISNUMBER('MiT Strom Pipeline'!A39),'MiT Strom Pipeline'!A39,""),"")</f>
        <v/>
      </c>
      <c r="B108" s="23">
        <f>IF(('MiT Strom Pipeline'!R39="offered")+('MiT Strom Pipeline'!R39="to be offered")+('MiT Strom Pipeline'!R39="on hold")&gt;0,'MiT Strom Pipeline'!B39,"")</f>
        <v/>
      </c>
      <c r="C108" s="22">
        <f>IF(('MiT Strom Pipeline'!R39="offered")+('MiT Strom Pipeline'!R39="to be offered")+('MiT Strom Pipeline'!R39="on hold")&gt;0,'MiT Strom Pipeline'!C39,"")</f>
        <v/>
      </c>
      <c r="D108" s="23">
        <f>IF(('MiT Strom Pipeline'!R39="offered")+('MiT Strom Pipeline'!R39="to be offered")+('MiT Strom Pipeline'!R39="on hold")&gt;0,'MiT Strom Pipeline'!D39,"")</f>
        <v/>
      </c>
      <c r="E108" s="23">
        <f>IF(('MiT Strom Pipeline'!R39="offered")+('MiT Strom Pipeline'!R39="to be offered")+('MiT Strom Pipeline'!R39="on hold")&gt;0,'MiT Strom Pipeline'!E39,"")</f>
        <v/>
      </c>
      <c r="F108" s="24">
        <f>IF(('MiT Strom Pipeline'!R39="offered")+('MiT Strom Pipeline'!R39="to be offered")+('MiT Strom Pipeline'!R39="on hold")&gt;0,IF(ISNUMBER('MiT Strom Pipeline'!I39),'MiT Strom Pipeline'!I39,0),"")</f>
        <v/>
      </c>
      <c r="G108" s="24">
        <f>IF(('MiT Strom Pipeline'!R39="offered")+('MiT Strom Pipeline'!R39="to be offered")+('MiT Strom Pipeline'!R39="on hold")&gt;0,IF(ISNUMBER('MiT Strom Pipeline'!Q39),'MiT Strom Pipeline'!Q39,0),"")</f>
        <v/>
      </c>
      <c r="H108" s="24">
        <f>IF(('MiT Strom Pipeline'!R39="offered")+('MiT Strom Pipeline'!R39="to be offered")+('MiT Strom Pipeline'!R39="on hold")&gt;0,IF(ISNUMBER('MiT Strom Pipeline'!O39),'MiT Strom Pipeline'!O39,0),"")</f>
        <v/>
      </c>
      <c r="I108" s="22">
        <f>IF(('MiT Strom Pipeline'!R39="offered")+('MiT Strom Pipeline'!R39="to be offered")+('MiT Strom Pipeline'!R39="on hold")&gt;0,'MiT Strom Pipeline'!R39,"")</f>
        <v/>
      </c>
      <c r="J108" s="22">
        <f>IF(('MiT Strom Pipeline'!R39="offered")+('MiT Strom Pipeline'!R39="to be offered")+('MiT Strom Pipeline'!R39="on hold")&gt;0,'MiT Strom Pipeline'!S39,"")</f>
        <v/>
      </c>
      <c r="K108" s="23">
        <f>IF(('MiT Strom Pipeline'!R39="offered")+('MiT Strom Pipeline'!R39="to be offered")+('MiT Strom Pipeline'!R39="on hold")&gt;0,IF(LEN('MiT Strom Pipeline'!V39)&gt;0,LEFT('MiT Strom Pipeline'!V39,55),""),"")</f>
        <v/>
      </c>
    </row>
    <row r="109" hidden="1" ht="15.75" customHeight="1">
      <c r="A109" s="28">
        <f>IF(('MiT Strom Pipeline'!R40="offered")+('MiT Strom Pipeline'!R40="to be offered")+('MiT Strom Pipeline'!R40="on hold")&gt;0,IF(ISNUMBER('MiT Strom Pipeline'!A40),'MiT Strom Pipeline'!A40,""),"")</f>
        <v/>
      </c>
      <c r="B109" s="29">
        <f>IF(('MiT Strom Pipeline'!R40="offered")+('MiT Strom Pipeline'!R40="to be offered")+('MiT Strom Pipeline'!R40="on hold")&gt;0,'MiT Strom Pipeline'!B40,"")</f>
        <v/>
      </c>
      <c r="C109" s="28">
        <f>IF(('MiT Strom Pipeline'!R40="offered")+('MiT Strom Pipeline'!R40="to be offered")+('MiT Strom Pipeline'!R40="on hold")&gt;0,'MiT Strom Pipeline'!C40,"")</f>
        <v/>
      </c>
      <c r="D109" s="29">
        <f>IF(('MiT Strom Pipeline'!R40="offered")+('MiT Strom Pipeline'!R40="to be offered")+('MiT Strom Pipeline'!R40="on hold")&gt;0,'MiT Strom Pipeline'!D40,"")</f>
        <v/>
      </c>
      <c r="E109" s="29">
        <f>IF(('MiT Strom Pipeline'!R40="offered")+('MiT Strom Pipeline'!R40="to be offered")+('MiT Strom Pipeline'!R40="on hold")&gt;0,'MiT Strom Pipeline'!E40,"")</f>
        <v/>
      </c>
      <c r="F109" s="30">
        <f>IF(('MiT Strom Pipeline'!R40="offered")+('MiT Strom Pipeline'!R40="to be offered")+('MiT Strom Pipeline'!R40="on hold")&gt;0,IF(ISNUMBER('MiT Strom Pipeline'!I40),'MiT Strom Pipeline'!I40,0),"")</f>
        <v/>
      </c>
      <c r="G109" s="30">
        <f>IF(('MiT Strom Pipeline'!R40="offered")+('MiT Strom Pipeline'!R40="to be offered")+('MiT Strom Pipeline'!R40="on hold")&gt;0,IF(ISNUMBER('MiT Strom Pipeline'!Q40),'MiT Strom Pipeline'!Q40,0),"")</f>
        <v/>
      </c>
      <c r="H109" s="30">
        <f>IF(('MiT Strom Pipeline'!R40="offered")+('MiT Strom Pipeline'!R40="to be offered")+('MiT Strom Pipeline'!R40="on hold")&gt;0,IF(ISNUMBER('MiT Strom Pipeline'!O40),'MiT Strom Pipeline'!O40,0),"")</f>
        <v/>
      </c>
      <c r="I109" s="28">
        <f>IF(('MiT Strom Pipeline'!R40="offered")+('MiT Strom Pipeline'!R40="to be offered")+('MiT Strom Pipeline'!R40="on hold")&gt;0,'MiT Strom Pipeline'!R40,"")</f>
        <v/>
      </c>
      <c r="J109" s="28">
        <f>IF(('MiT Strom Pipeline'!R40="offered")+('MiT Strom Pipeline'!R40="to be offered")+('MiT Strom Pipeline'!R40="on hold")&gt;0,'MiT Strom Pipeline'!S40,"")</f>
        <v/>
      </c>
      <c r="K109" s="29">
        <f>IF(('MiT Strom Pipeline'!R40="offered")+('MiT Strom Pipeline'!R40="to be offered")+('MiT Strom Pipeline'!R40="on hold")&gt;0,IF(LEN('MiT Strom Pipeline'!V40)&gt;0,LEFT('MiT Strom Pipeline'!V40,55),""),"")</f>
        <v/>
      </c>
    </row>
    <row r="110" hidden="1" ht="15.75" customHeight="1">
      <c r="A110" s="22">
        <f>IF(('MiT Strom Pipeline'!R41="offered")+('MiT Strom Pipeline'!R41="to be offered")+('MiT Strom Pipeline'!R41="on hold")&gt;0,IF(ISNUMBER('MiT Strom Pipeline'!A41),'MiT Strom Pipeline'!A41,""),"")</f>
        <v/>
      </c>
      <c r="B110" s="23">
        <f>IF(('MiT Strom Pipeline'!R41="offered")+('MiT Strom Pipeline'!R41="to be offered")+('MiT Strom Pipeline'!R41="on hold")&gt;0,'MiT Strom Pipeline'!B41,"")</f>
        <v/>
      </c>
      <c r="C110" s="22">
        <f>IF(('MiT Strom Pipeline'!R41="offered")+('MiT Strom Pipeline'!R41="to be offered")+('MiT Strom Pipeline'!R41="on hold")&gt;0,'MiT Strom Pipeline'!C41,"")</f>
        <v/>
      </c>
      <c r="D110" s="23">
        <f>IF(('MiT Strom Pipeline'!R41="offered")+('MiT Strom Pipeline'!R41="to be offered")+('MiT Strom Pipeline'!R41="on hold")&gt;0,'MiT Strom Pipeline'!D41,"")</f>
        <v/>
      </c>
      <c r="E110" s="23">
        <f>IF(('MiT Strom Pipeline'!R41="offered")+('MiT Strom Pipeline'!R41="to be offered")+('MiT Strom Pipeline'!R41="on hold")&gt;0,'MiT Strom Pipeline'!E41,"")</f>
        <v/>
      </c>
      <c r="F110" s="24">
        <f>IF(('MiT Strom Pipeline'!R41="offered")+('MiT Strom Pipeline'!R41="to be offered")+('MiT Strom Pipeline'!R41="on hold")&gt;0,IF(ISNUMBER('MiT Strom Pipeline'!I41),'MiT Strom Pipeline'!I41,0),"")</f>
        <v/>
      </c>
      <c r="G110" s="24">
        <f>IF(('MiT Strom Pipeline'!R41="offered")+('MiT Strom Pipeline'!R41="to be offered")+('MiT Strom Pipeline'!R41="on hold")&gt;0,IF(ISNUMBER('MiT Strom Pipeline'!Q41),'MiT Strom Pipeline'!Q41,0),"")</f>
        <v/>
      </c>
      <c r="H110" s="24">
        <f>IF(('MiT Strom Pipeline'!R41="offered")+('MiT Strom Pipeline'!R41="to be offered")+('MiT Strom Pipeline'!R41="on hold")&gt;0,IF(ISNUMBER('MiT Strom Pipeline'!O41),'MiT Strom Pipeline'!O41,0),"")</f>
        <v/>
      </c>
      <c r="I110" s="22">
        <f>IF(('MiT Strom Pipeline'!R41="offered")+('MiT Strom Pipeline'!R41="to be offered")+('MiT Strom Pipeline'!R41="on hold")&gt;0,'MiT Strom Pipeline'!R41,"")</f>
        <v/>
      </c>
      <c r="J110" s="22">
        <f>IF(('MiT Strom Pipeline'!R41="offered")+('MiT Strom Pipeline'!R41="to be offered")+('MiT Strom Pipeline'!R41="on hold")&gt;0,'MiT Strom Pipeline'!S41,"")</f>
        <v/>
      </c>
      <c r="K110" s="23">
        <f>IF(('MiT Strom Pipeline'!R41="offered")+('MiT Strom Pipeline'!R41="to be offered")+('MiT Strom Pipeline'!R41="on hold")&gt;0,IF(LEN('MiT Strom Pipeline'!V41)&gt;0,LEFT('MiT Strom Pipeline'!V41,55),""),"")</f>
        <v/>
      </c>
    </row>
    <row r="111" ht="15.75" customHeight="1">
      <c r="A111" s="28">
        <f>IF(('MiT Strom Pipeline'!R42="offered")+('MiT Strom Pipeline'!R42="to be offered")+('MiT Strom Pipeline'!R42="on hold")&gt;0,IF(ISNUMBER('MiT Strom Pipeline'!A42),'MiT Strom Pipeline'!A42,""),"")</f>
        <v/>
      </c>
      <c r="B111" s="29">
        <f>IF(('MiT Strom Pipeline'!R42="offered")+('MiT Strom Pipeline'!R42="to be offered")+('MiT Strom Pipeline'!R42="on hold")&gt;0,'MiT Strom Pipeline'!B42,"")</f>
        <v/>
      </c>
      <c r="C111" s="28">
        <f>IF(('MiT Strom Pipeline'!R42="offered")+('MiT Strom Pipeline'!R42="to be offered")+('MiT Strom Pipeline'!R42="on hold")&gt;0,'MiT Strom Pipeline'!C42,"")</f>
        <v/>
      </c>
      <c r="D111" s="29">
        <f>IF(('MiT Strom Pipeline'!R42="offered")+('MiT Strom Pipeline'!R42="to be offered")+('MiT Strom Pipeline'!R42="on hold")&gt;0,'MiT Strom Pipeline'!D42,"")</f>
        <v/>
      </c>
      <c r="E111" s="29">
        <f>IF(('MiT Strom Pipeline'!R42="offered")+('MiT Strom Pipeline'!R42="to be offered")+('MiT Strom Pipeline'!R42="on hold")&gt;0,'MiT Strom Pipeline'!E42,"")</f>
        <v/>
      </c>
      <c r="F111" s="30">
        <f>IF(('MiT Strom Pipeline'!R42="offered")+('MiT Strom Pipeline'!R42="to be offered")+('MiT Strom Pipeline'!R42="on hold")&gt;0,IF(ISNUMBER('MiT Strom Pipeline'!I42),'MiT Strom Pipeline'!I42,0),"")</f>
        <v/>
      </c>
      <c r="G111" s="30">
        <f>IF(('MiT Strom Pipeline'!R42="offered")+('MiT Strom Pipeline'!R42="to be offered")+('MiT Strom Pipeline'!R42="on hold")&gt;0,IF(ISNUMBER('MiT Strom Pipeline'!Q42),'MiT Strom Pipeline'!Q42,0),"")</f>
        <v/>
      </c>
      <c r="H111" s="30">
        <f>IF(('MiT Strom Pipeline'!R42="offered")+('MiT Strom Pipeline'!R42="to be offered")+('MiT Strom Pipeline'!R42="on hold")&gt;0,IF(ISNUMBER('MiT Strom Pipeline'!O42),'MiT Strom Pipeline'!O42,0),"")</f>
        <v/>
      </c>
      <c r="I111" s="28">
        <f>IF(('MiT Strom Pipeline'!R42="offered")+('MiT Strom Pipeline'!R42="to be offered")+('MiT Strom Pipeline'!R42="on hold")&gt;0,'MiT Strom Pipeline'!R42,"")</f>
        <v/>
      </c>
      <c r="J111" s="28">
        <f>IF(('MiT Strom Pipeline'!R42="offered")+('MiT Strom Pipeline'!R42="to be offered")+('MiT Strom Pipeline'!R42="on hold")&gt;0,'MiT Strom Pipeline'!S42,"")</f>
        <v/>
      </c>
      <c r="K111" s="29">
        <f>IF(('MiT Strom Pipeline'!R42="offered")+('MiT Strom Pipeline'!R42="to be offered")+('MiT Strom Pipeline'!R42="on hold")&gt;0,IF(LEN('MiT Strom Pipeline'!V42)&gt;0,LEFT('MiT Strom Pipeline'!V42,55),""),"")</f>
        <v/>
      </c>
    </row>
    <row r="112" ht="15.75" customHeight="1">
      <c r="A112" s="22">
        <f>IF(('MiT Strom Pipeline'!R43="offered")+('MiT Strom Pipeline'!R43="to be offered")+('MiT Strom Pipeline'!R43="on hold")&gt;0,IF(ISNUMBER('MiT Strom Pipeline'!A43),'MiT Strom Pipeline'!A43,""),"")</f>
        <v/>
      </c>
      <c r="B112" s="23">
        <f>IF(('MiT Strom Pipeline'!R43="offered")+('MiT Strom Pipeline'!R43="to be offered")+('MiT Strom Pipeline'!R43="on hold")&gt;0,'MiT Strom Pipeline'!B43,"")</f>
        <v/>
      </c>
      <c r="C112" s="22">
        <f>IF(('MiT Strom Pipeline'!R43="offered")+('MiT Strom Pipeline'!R43="to be offered")+('MiT Strom Pipeline'!R43="on hold")&gt;0,'MiT Strom Pipeline'!C43,"")</f>
        <v/>
      </c>
      <c r="D112" s="23">
        <f>IF(('MiT Strom Pipeline'!R43="offered")+('MiT Strom Pipeline'!R43="to be offered")+('MiT Strom Pipeline'!R43="on hold")&gt;0,'MiT Strom Pipeline'!D43,"")</f>
        <v/>
      </c>
      <c r="E112" s="23">
        <f>IF(('MiT Strom Pipeline'!R43="offered")+('MiT Strom Pipeline'!R43="to be offered")+('MiT Strom Pipeline'!R43="on hold")&gt;0,'MiT Strom Pipeline'!E43,"")</f>
        <v/>
      </c>
      <c r="F112" s="24">
        <f>IF(('MiT Strom Pipeline'!R43="offered")+('MiT Strom Pipeline'!R43="to be offered")+('MiT Strom Pipeline'!R43="on hold")&gt;0,IF(ISNUMBER('MiT Strom Pipeline'!I43),'MiT Strom Pipeline'!I43,0),"")</f>
        <v/>
      </c>
      <c r="G112" s="24">
        <f>IF(('MiT Strom Pipeline'!R43="offered")+('MiT Strom Pipeline'!R43="to be offered")+('MiT Strom Pipeline'!R43="on hold")&gt;0,IF(ISNUMBER('MiT Strom Pipeline'!Q43),'MiT Strom Pipeline'!Q43,0),"")</f>
        <v/>
      </c>
      <c r="H112" s="24">
        <f>IF(('MiT Strom Pipeline'!R43="offered")+('MiT Strom Pipeline'!R43="to be offered")+('MiT Strom Pipeline'!R43="on hold")&gt;0,IF(ISNUMBER('MiT Strom Pipeline'!O43),'MiT Strom Pipeline'!O43,0),"")</f>
        <v/>
      </c>
      <c r="I112" s="22">
        <f>IF(('MiT Strom Pipeline'!R43="offered")+('MiT Strom Pipeline'!R43="to be offered")+('MiT Strom Pipeline'!R43="on hold")&gt;0,'MiT Strom Pipeline'!R43,"")</f>
        <v/>
      </c>
      <c r="J112" s="22">
        <f>IF(('MiT Strom Pipeline'!R43="offered")+('MiT Strom Pipeline'!R43="to be offered")+('MiT Strom Pipeline'!R43="on hold")&gt;0,'MiT Strom Pipeline'!S43,"")</f>
        <v/>
      </c>
      <c r="K112" s="23">
        <f>IF(('MiT Strom Pipeline'!R43="offered")+('MiT Strom Pipeline'!R43="to be offered")+('MiT Strom Pipeline'!R43="on hold")&gt;0,IF(LEN('MiT Strom Pipeline'!V43)&gt;0,LEFT('MiT Strom Pipeline'!V43,55),""),"")</f>
        <v/>
      </c>
    </row>
    <row r="113" hidden="1" ht="15.75" customHeight="1">
      <c r="A113" s="28">
        <f>IF(('MiT Strom Pipeline'!R44="offered")+('MiT Strom Pipeline'!R44="to be offered")+('MiT Strom Pipeline'!R44="on hold")&gt;0,IF(ISNUMBER('MiT Strom Pipeline'!A44),'MiT Strom Pipeline'!A44,""),"")</f>
        <v/>
      </c>
      <c r="B113" s="29">
        <f>IF(('MiT Strom Pipeline'!R44="offered")+('MiT Strom Pipeline'!R44="to be offered")+('MiT Strom Pipeline'!R44="on hold")&gt;0,'MiT Strom Pipeline'!B44,"")</f>
        <v/>
      </c>
      <c r="C113" s="28">
        <f>IF(('MiT Strom Pipeline'!R44="offered")+('MiT Strom Pipeline'!R44="to be offered")+('MiT Strom Pipeline'!R44="on hold")&gt;0,'MiT Strom Pipeline'!C44,"")</f>
        <v/>
      </c>
      <c r="D113" s="29">
        <f>IF(('MiT Strom Pipeline'!R44="offered")+('MiT Strom Pipeline'!R44="to be offered")+('MiT Strom Pipeline'!R44="on hold")&gt;0,'MiT Strom Pipeline'!D44,"")</f>
        <v/>
      </c>
      <c r="E113" s="29">
        <f>IF(('MiT Strom Pipeline'!R44="offered")+('MiT Strom Pipeline'!R44="to be offered")+('MiT Strom Pipeline'!R44="on hold")&gt;0,'MiT Strom Pipeline'!E44,"")</f>
        <v/>
      </c>
      <c r="F113" s="30">
        <f>IF(('MiT Strom Pipeline'!R44="offered")+('MiT Strom Pipeline'!R44="to be offered")+('MiT Strom Pipeline'!R44="on hold")&gt;0,IF(ISNUMBER('MiT Strom Pipeline'!I44),'MiT Strom Pipeline'!I44,0),"")</f>
        <v/>
      </c>
      <c r="G113" s="30">
        <f>IF(('MiT Strom Pipeline'!R44="offered")+('MiT Strom Pipeline'!R44="to be offered")+('MiT Strom Pipeline'!R44="on hold")&gt;0,IF(ISNUMBER('MiT Strom Pipeline'!Q44),'MiT Strom Pipeline'!Q44,0),"")</f>
        <v/>
      </c>
      <c r="H113" s="30">
        <f>IF(('MiT Strom Pipeline'!R44="offered")+('MiT Strom Pipeline'!R44="to be offered")+('MiT Strom Pipeline'!R44="on hold")&gt;0,IF(ISNUMBER('MiT Strom Pipeline'!O44),'MiT Strom Pipeline'!O44,0),"")</f>
        <v/>
      </c>
      <c r="I113" s="28">
        <f>IF(('MiT Strom Pipeline'!R44="offered")+('MiT Strom Pipeline'!R44="to be offered")+('MiT Strom Pipeline'!R44="on hold")&gt;0,'MiT Strom Pipeline'!R44,"")</f>
        <v/>
      </c>
      <c r="J113" s="28">
        <f>IF(('MiT Strom Pipeline'!R44="offered")+('MiT Strom Pipeline'!R44="to be offered")+('MiT Strom Pipeline'!R44="on hold")&gt;0,'MiT Strom Pipeline'!S44,"")</f>
        <v/>
      </c>
      <c r="K113" s="29">
        <f>IF(('MiT Strom Pipeline'!R44="offered")+('MiT Strom Pipeline'!R44="to be offered")+('MiT Strom Pipeline'!R44="on hold")&gt;0,IF(LEN('MiT Strom Pipeline'!V44)&gt;0,LEFT('MiT Strom Pipeline'!V44,55),""),"")</f>
        <v/>
      </c>
    </row>
    <row r="114" ht="15.75" customHeight="1">
      <c r="A114" s="22">
        <f>IF(('MiT Strom Pipeline'!R45="offered")+('MiT Strom Pipeline'!R45="to be offered")+('MiT Strom Pipeline'!R45="on hold")&gt;0,IF(ISNUMBER('MiT Strom Pipeline'!A45),'MiT Strom Pipeline'!A45,""),"")</f>
        <v/>
      </c>
      <c r="B114" s="23">
        <f>IF(('MiT Strom Pipeline'!R45="offered")+('MiT Strom Pipeline'!R45="to be offered")+('MiT Strom Pipeline'!R45="on hold")&gt;0,'MiT Strom Pipeline'!B45,"")</f>
        <v/>
      </c>
      <c r="C114" s="22">
        <f>IF(('MiT Strom Pipeline'!R45="offered")+('MiT Strom Pipeline'!R45="to be offered")+('MiT Strom Pipeline'!R45="on hold")&gt;0,'MiT Strom Pipeline'!C45,"")</f>
        <v/>
      </c>
      <c r="D114" s="23">
        <f>IF(('MiT Strom Pipeline'!R45="offered")+('MiT Strom Pipeline'!R45="to be offered")+('MiT Strom Pipeline'!R45="on hold")&gt;0,'MiT Strom Pipeline'!D45,"")</f>
        <v/>
      </c>
      <c r="E114" s="23">
        <f>IF(('MiT Strom Pipeline'!R45="offered")+('MiT Strom Pipeline'!R45="to be offered")+('MiT Strom Pipeline'!R45="on hold")&gt;0,'MiT Strom Pipeline'!E45,"")</f>
        <v/>
      </c>
      <c r="F114" s="24">
        <f>IF(('MiT Strom Pipeline'!R45="offered")+('MiT Strom Pipeline'!R45="to be offered")+('MiT Strom Pipeline'!R45="on hold")&gt;0,IF(ISNUMBER('MiT Strom Pipeline'!I45),'MiT Strom Pipeline'!I45,0),"")</f>
        <v/>
      </c>
      <c r="G114" s="24">
        <f>IF(('MiT Strom Pipeline'!R45="offered")+('MiT Strom Pipeline'!R45="to be offered")+('MiT Strom Pipeline'!R45="on hold")&gt;0,IF(ISNUMBER('MiT Strom Pipeline'!Q45),'MiT Strom Pipeline'!Q45,0),"")</f>
        <v/>
      </c>
      <c r="H114" s="24">
        <f>IF(('MiT Strom Pipeline'!R45="offered")+('MiT Strom Pipeline'!R45="to be offered")+('MiT Strom Pipeline'!R45="on hold")&gt;0,IF(ISNUMBER('MiT Strom Pipeline'!O45),'MiT Strom Pipeline'!O45,0),"")</f>
        <v/>
      </c>
      <c r="I114" s="22">
        <f>IF(('MiT Strom Pipeline'!R45="offered")+('MiT Strom Pipeline'!R45="to be offered")+('MiT Strom Pipeline'!R45="on hold")&gt;0,'MiT Strom Pipeline'!R45,"")</f>
        <v/>
      </c>
      <c r="J114" s="22">
        <f>IF(('MiT Strom Pipeline'!R45="offered")+('MiT Strom Pipeline'!R45="to be offered")+('MiT Strom Pipeline'!R45="on hold")&gt;0,'MiT Strom Pipeline'!S45,"")</f>
        <v/>
      </c>
      <c r="K114" s="23">
        <f>IF(('MiT Strom Pipeline'!R45="offered")+('MiT Strom Pipeline'!R45="to be offered")+('MiT Strom Pipeline'!R45="on hold")&gt;0,IF(LEN('MiT Strom Pipeline'!V45)&gt;0,LEFT('MiT Strom Pipeline'!V45,55),""),"")</f>
        <v/>
      </c>
    </row>
    <row r="115" hidden="1" ht="15.75" customHeight="1">
      <c r="A115" s="28">
        <f>IF(('MiT Strom Pipeline'!R46="offered")+('MiT Strom Pipeline'!R46="to be offered")+('MiT Strom Pipeline'!R46="on hold")&gt;0,IF(ISNUMBER('MiT Strom Pipeline'!A46),'MiT Strom Pipeline'!A46,""),"")</f>
        <v/>
      </c>
      <c r="B115" s="29">
        <f>IF(('MiT Strom Pipeline'!R46="offered")+('MiT Strom Pipeline'!R46="to be offered")+('MiT Strom Pipeline'!R46="on hold")&gt;0,'MiT Strom Pipeline'!B46,"")</f>
        <v/>
      </c>
      <c r="C115" s="28">
        <f>IF(('MiT Strom Pipeline'!R46="offered")+('MiT Strom Pipeline'!R46="to be offered")+('MiT Strom Pipeline'!R46="on hold")&gt;0,'MiT Strom Pipeline'!C46,"")</f>
        <v/>
      </c>
      <c r="D115" s="29">
        <f>IF(('MiT Strom Pipeline'!R46="offered")+('MiT Strom Pipeline'!R46="to be offered")+('MiT Strom Pipeline'!R46="on hold")&gt;0,'MiT Strom Pipeline'!D46,"")</f>
        <v/>
      </c>
      <c r="E115" s="29">
        <f>IF(('MiT Strom Pipeline'!R46="offered")+('MiT Strom Pipeline'!R46="to be offered")+('MiT Strom Pipeline'!R46="on hold")&gt;0,'MiT Strom Pipeline'!E46,"")</f>
        <v/>
      </c>
      <c r="F115" s="30">
        <f>IF(('MiT Strom Pipeline'!R46="offered")+('MiT Strom Pipeline'!R46="to be offered")+('MiT Strom Pipeline'!R46="on hold")&gt;0,IF(ISNUMBER('MiT Strom Pipeline'!I46),'MiT Strom Pipeline'!I46,0),"")</f>
        <v/>
      </c>
      <c r="G115" s="30">
        <f>IF(('MiT Strom Pipeline'!R46="offered")+('MiT Strom Pipeline'!R46="to be offered")+('MiT Strom Pipeline'!R46="on hold")&gt;0,IF(ISNUMBER('MiT Strom Pipeline'!Q46),'MiT Strom Pipeline'!Q46,0),"")</f>
        <v/>
      </c>
      <c r="H115" s="30">
        <f>IF(('MiT Strom Pipeline'!R46="offered")+('MiT Strom Pipeline'!R46="to be offered")+('MiT Strom Pipeline'!R46="on hold")&gt;0,IF(ISNUMBER('MiT Strom Pipeline'!O46),'MiT Strom Pipeline'!O46,0),"")</f>
        <v/>
      </c>
      <c r="I115" s="28">
        <f>IF(('MiT Strom Pipeline'!R46="offered")+('MiT Strom Pipeline'!R46="to be offered")+('MiT Strom Pipeline'!R46="on hold")&gt;0,'MiT Strom Pipeline'!R46,"")</f>
        <v/>
      </c>
      <c r="J115" s="28">
        <f>IF(('MiT Strom Pipeline'!R46="offered")+('MiT Strom Pipeline'!R46="to be offered")+('MiT Strom Pipeline'!R46="on hold")&gt;0,'MiT Strom Pipeline'!S46,"")</f>
        <v/>
      </c>
      <c r="K115" s="29">
        <f>IF(('MiT Strom Pipeline'!R46="offered")+('MiT Strom Pipeline'!R46="to be offered")+('MiT Strom Pipeline'!R46="on hold")&gt;0,IF(LEN('MiT Strom Pipeline'!V46)&gt;0,LEFT('MiT Strom Pipeline'!V46,55),""),"")</f>
        <v/>
      </c>
    </row>
    <row r="116" ht="15.75" customHeight="1">
      <c r="A116" s="22">
        <f>IF(('MiT Strom Pipeline'!R47="offered")+('MiT Strom Pipeline'!R47="to be offered")+('MiT Strom Pipeline'!R47="on hold")&gt;0,IF(ISNUMBER('MiT Strom Pipeline'!A47),'MiT Strom Pipeline'!A47,""),"")</f>
        <v/>
      </c>
      <c r="B116" s="23">
        <f>IF(('MiT Strom Pipeline'!R47="offered")+('MiT Strom Pipeline'!R47="to be offered")+('MiT Strom Pipeline'!R47="on hold")&gt;0,'MiT Strom Pipeline'!B47,"")</f>
        <v/>
      </c>
      <c r="C116" s="22">
        <f>IF(('MiT Strom Pipeline'!R47="offered")+('MiT Strom Pipeline'!R47="to be offered")+('MiT Strom Pipeline'!R47="on hold")&gt;0,'MiT Strom Pipeline'!C47,"")</f>
        <v/>
      </c>
      <c r="D116" s="23">
        <f>IF(('MiT Strom Pipeline'!R47="offered")+('MiT Strom Pipeline'!R47="to be offered")+('MiT Strom Pipeline'!R47="on hold")&gt;0,'MiT Strom Pipeline'!D47,"")</f>
        <v/>
      </c>
      <c r="E116" s="23">
        <f>IF(('MiT Strom Pipeline'!R47="offered")+('MiT Strom Pipeline'!R47="to be offered")+('MiT Strom Pipeline'!R47="on hold")&gt;0,'MiT Strom Pipeline'!E47,"")</f>
        <v/>
      </c>
      <c r="F116" s="24">
        <f>IF(('MiT Strom Pipeline'!R47="offered")+('MiT Strom Pipeline'!R47="to be offered")+('MiT Strom Pipeline'!R47="on hold")&gt;0,IF(ISNUMBER('MiT Strom Pipeline'!I47),'MiT Strom Pipeline'!I47,0),"")</f>
        <v/>
      </c>
      <c r="G116" s="24">
        <f>IF(('MiT Strom Pipeline'!R47="offered")+('MiT Strom Pipeline'!R47="to be offered")+('MiT Strom Pipeline'!R47="on hold")&gt;0,IF(ISNUMBER('MiT Strom Pipeline'!Q47),'MiT Strom Pipeline'!Q47,0),"")</f>
        <v/>
      </c>
      <c r="H116" s="24">
        <f>IF(('MiT Strom Pipeline'!R47="offered")+('MiT Strom Pipeline'!R47="to be offered")+('MiT Strom Pipeline'!R47="on hold")&gt;0,IF(ISNUMBER('MiT Strom Pipeline'!O47),'MiT Strom Pipeline'!O47,0),"")</f>
        <v/>
      </c>
      <c r="I116" s="22">
        <f>IF(('MiT Strom Pipeline'!R47="offered")+('MiT Strom Pipeline'!R47="to be offered")+('MiT Strom Pipeline'!R47="on hold")&gt;0,'MiT Strom Pipeline'!R47,"")</f>
        <v/>
      </c>
      <c r="J116" s="22">
        <f>IF(('MiT Strom Pipeline'!R47="offered")+('MiT Strom Pipeline'!R47="to be offered")+('MiT Strom Pipeline'!R47="on hold")&gt;0,'MiT Strom Pipeline'!S47,"")</f>
        <v/>
      </c>
      <c r="K116" s="23">
        <f>IF(('MiT Strom Pipeline'!R47="offered")+('MiT Strom Pipeline'!R47="to be offered")+('MiT Strom Pipeline'!R47="on hold")&gt;0,IF(LEN('MiT Strom Pipeline'!V47)&gt;0,LEFT('MiT Strom Pipeline'!V47,55),""),"")</f>
        <v/>
      </c>
    </row>
    <row r="117" hidden="1" ht="15.75" customHeight="1">
      <c r="A117" s="28">
        <f>IF(('MiT Strom Pipeline'!R48="offered")+('MiT Strom Pipeline'!R48="to be offered")+('MiT Strom Pipeline'!R48="on hold")&gt;0,IF(ISNUMBER('MiT Strom Pipeline'!A48),'MiT Strom Pipeline'!A48,""),"")</f>
        <v/>
      </c>
      <c r="B117" s="29">
        <f>IF(('MiT Strom Pipeline'!R48="offered")+('MiT Strom Pipeline'!R48="to be offered")+('MiT Strom Pipeline'!R48="on hold")&gt;0,'MiT Strom Pipeline'!B48,"")</f>
        <v/>
      </c>
      <c r="C117" s="28">
        <f>IF(('MiT Strom Pipeline'!R48="offered")+('MiT Strom Pipeline'!R48="to be offered")+('MiT Strom Pipeline'!R48="on hold")&gt;0,'MiT Strom Pipeline'!C48,"")</f>
        <v/>
      </c>
      <c r="D117" s="29">
        <f>IF(('MiT Strom Pipeline'!R48="offered")+('MiT Strom Pipeline'!R48="to be offered")+('MiT Strom Pipeline'!R48="on hold")&gt;0,'MiT Strom Pipeline'!D48,"")</f>
        <v/>
      </c>
      <c r="E117" s="29">
        <f>IF(('MiT Strom Pipeline'!R48="offered")+('MiT Strom Pipeline'!R48="to be offered")+('MiT Strom Pipeline'!R48="on hold")&gt;0,'MiT Strom Pipeline'!E48,"")</f>
        <v/>
      </c>
      <c r="F117" s="30">
        <f>IF(('MiT Strom Pipeline'!R48="offered")+('MiT Strom Pipeline'!R48="to be offered")+('MiT Strom Pipeline'!R48="on hold")&gt;0,IF(ISNUMBER('MiT Strom Pipeline'!I48),'MiT Strom Pipeline'!I48,0),"")</f>
        <v/>
      </c>
      <c r="G117" s="30">
        <f>IF(('MiT Strom Pipeline'!R48="offered")+('MiT Strom Pipeline'!R48="to be offered")+('MiT Strom Pipeline'!R48="on hold")&gt;0,IF(ISNUMBER('MiT Strom Pipeline'!Q48),'MiT Strom Pipeline'!Q48,0),"")</f>
        <v/>
      </c>
      <c r="H117" s="30">
        <f>IF(('MiT Strom Pipeline'!R48="offered")+('MiT Strom Pipeline'!R48="to be offered")+('MiT Strom Pipeline'!R48="on hold")&gt;0,IF(ISNUMBER('MiT Strom Pipeline'!O48),'MiT Strom Pipeline'!O48,0),"")</f>
        <v/>
      </c>
      <c r="I117" s="28">
        <f>IF(('MiT Strom Pipeline'!R48="offered")+('MiT Strom Pipeline'!R48="to be offered")+('MiT Strom Pipeline'!R48="on hold")&gt;0,'MiT Strom Pipeline'!R48,"")</f>
        <v/>
      </c>
      <c r="J117" s="28">
        <f>IF(('MiT Strom Pipeline'!R48="offered")+('MiT Strom Pipeline'!R48="to be offered")+('MiT Strom Pipeline'!R48="on hold")&gt;0,'MiT Strom Pipeline'!S48,"")</f>
        <v/>
      </c>
      <c r="K117" s="29">
        <f>IF(('MiT Strom Pipeline'!R48="offered")+('MiT Strom Pipeline'!R48="to be offered")+('MiT Strom Pipeline'!R48="on hold")&gt;0,IF(LEN('MiT Strom Pipeline'!V48)&gt;0,LEFT('MiT Strom Pipeline'!V48,55),""),"")</f>
        <v/>
      </c>
    </row>
    <row r="118" hidden="1" ht="15.75" customHeight="1">
      <c r="A118" s="22">
        <f>IF(('MiT Strom Pipeline'!R49="offered")+('MiT Strom Pipeline'!R49="to be offered")+('MiT Strom Pipeline'!R49="on hold")&gt;0,IF(ISNUMBER('MiT Strom Pipeline'!A49),'MiT Strom Pipeline'!A49,""),"")</f>
        <v/>
      </c>
      <c r="B118" s="23">
        <f>IF(('MiT Strom Pipeline'!R49="offered")+('MiT Strom Pipeline'!R49="to be offered")+('MiT Strom Pipeline'!R49="on hold")&gt;0,'MiT Strom Pipeline'!B49,"")</f>
        <v/>
      </c>
      <c r="C118" s="22">
        <f>IF(('MiT Strom Pipeline'!R49="offered")+('MiT Strom Pipeline'!R49="to be offered")+('MiT Strom Pipeline'!R49="on hold")&gt;0,'MiT Strom Pipeline'!C49,"")</f>
        <v/>
      </c>
      <c r="D118" s="23">
        <f>IF(('MiT Strom Pipeline'!R49="offered")+('MiT Strom Pipeline'!R49="to be offered")+('MiT Strom Pipeline'!R49="on hold")&gt;0,'MiT Strom Pipeline'!D49,"")</f>
        <v/>
      </c>
      <c r="E118" s="23">
        <f>IF(('MiT Strom Pipeline'!R49="offered")+('MiT Strom Pipeline'!R49="to be offered")+('MiT Strom Pipeline'!R49="on hold")&gt;0,'MiT Strom Pipeline'!E49,"")</f>
        <v/>
      </c>
      <c r="F118" s="24">
        <f>IF(('MiT Strom Pipeline'!R49="offered")+('MiT Strom Pipeline'!R49="to be offered")+('MiT Strom Pipeline'!R49="on hold")&gt;0,IF(ISNUMBER('MiT Strom Pipeline'!I49),'MiT Strom Pipeline'!I49,0),"")</f>
        <v/>
      </c>
      <c r="G118" s="24">
        <f>IF(('MiT Strom Pipeline'!R49="offered")+('MiT Strom Pipeline'!R49="to be offered")+('MiT Strom Pipeline'!R49="on hold")&gt;0,IF(ISNUMBER('MiT Strom Pipeline'!Q49),'MiT Strom Pipeline'!Q49,0),"")</f>
        <v/>
      </c>
      <c r="H118" s="24">
        <f>IF(('MiT Strom Pipeline'!R49="offered")+('MiT Strom Pipeline'!R49="to be offered")+('MiT Strom Pipeline'!R49="on hold")&gt;0,IF(ISNUMBER('MiT Strom Pipeline'!O49),'MiT Strom Pipeline'!O49,0),"")</f>
        <v/>
      </c>
      <c r="I118" s="22">
        <f>IF(('MiT Strom Pipeline'!R49="offered")+('MiT Strom Pipeline'!R49="to be offered")+('MiT Strom Pipeline'!R49="on hold")&gt;0,'MiT Strom Pipeline'!R49,"")</f>
        <v/>
      </c>
      <c r="J118" s="22">
        <f>IF(('MiT Strom Pipeline'!R49="offered")+('MiT Strom Pipeline'!R49="to be offered")+('MiT Strom Pipeline'!R49="on hold")&gt;0,'MiT Strom Pipeline'!S49,"")</f>
        <v/>
      </c>
      <c r="K118" s="23">
        <f>IF(('MiT Strom Pipeline'!R49="offered")+('MiT Strom Pipeline'!R49="to be offered")+('MiT Strom Pipeline'!R49="on hold")&gt;0,IF(LEN('MiT Strom Pipeline'!V49)&gt;0,LEFT('MiT Strom Pipeline'!V49,55),""),"")</f>
        <v/>
      </c>
    </row>
    <row r="119" hidden="1" ht="15.75" customHeight="1">
      <c r="A119" s="28">
        <f>IF(('MiT Strom Pipeline'!R50="offered")+('MiT Strom Pipeline'!R50="to be offered")+('MiT Strom Pipeline'!R50="on hold")&gt;0,IF(ISNUMBER('MiT Strom Pipeline'!A50),'MiT Strom Pipeline'!A50,""),"")</f>
        <v/>
      </c>
      <c r="B119" s="29">
        <f>IF(('MiT Strom Pipeline'!R50="offered")+('MiT Strom Pipeline'!R50="to be offered")+('MiT Strom Pipeline'!R50="on hold")&gt;0,'MiT Strom Pipeline'!B50,"")</f>
        <v/>
      </c>
      <c r="C119" s="28">
        <f>IF(('MiT Strom Pipeline'!R50="offered")+('MiT Strom Pipeline'!R50="to be offered")+('MiT Strom Pipeline'!R50="on hold")&gt;0,'MiT Strom Pipeline'!C50,"")</f>
        <v/>
      </c>
      <c r="D119" s="29">
        <f>IF(('MiT Strom Pipeline'!R50="offered")+('MiT Strom Pipeline'!R50="to be offered")+('MiT Strom Pipeline'!R50="on hold")&gt;0,'MiT Strom Pipeline'!D50,"")</f>
        <v/>
      </c>
      <c r="E119" s="29">
        <f>IF(('MiT Strom Pipeline'!R50="offered")+('MiT Strom Pipeline'!R50="to be offered")+('MiT Strom Pipeline'!R50="on hold")&gt;0,'MiT Strom Pipeline'!E50,"")</f>
        <v/>
      </c>
      <c r="F119" s="30">
        <f>IF(('MiT Strom Pipeline'!R50="offered")+('MiT Strom Pipeline'!R50="to be offered")+('MiT Strom Pipeline'!R50="on hold")&gt;0,IF(ISNUMBER('MiT Strom Pipeline'!I50),'MiT Strom Pipeline'!I50,0),"")</f>
        <v/>
      </c>
      <c r="G119" s="30">
        <f>IF(('MiT Strom Pipeline'!R50="offered")+('MiT Strom Pipeline'!R50="to be offered")+('MiT Strom Pipeline'!R50="on hold")&gt;0,IF(ISNUMBER('MiT Strom Pipeline'!Q50),'MiT Strom Pipeline'!Q50,0),"")</f>
        <v/>
      </c>
      <c r="H119" s="30">
        <f>IF(('MiT Strom Pipeline'!R50="offered")+('MiT Strom Pipeline'!R50="to be offered")+('MiT Strom Pipeline'!R50="on hold")&gt;0,IF(ISNUMBER('MiT Strom Pipeline'!O50),'MiT Strom Pipeline'!O50,0),"")</f>
        <v/>
      </c>
      <c r="I119" s="28">
        <f>IF(('MiT Strom Pipeline'!R50="offered")+('MiT Strom Pipeline'!R50="to be offered")+('MiT Strom Pipeline'!R50="on hold")&gt;0,'MiT Strom Pipeline'!R50,"")</f>
        <v/>
      </c>
      <c r="J119" s="28">
        <f>IF(('MiT Strom Pipeline'!R50="offered")+('MiT Strom Pipeline'!R50="to be offered")+('MiT Strom Pipeline'!R50="on hold")&gt;0,'MiT Strom Pipeline'!S50,"")</f>
        <v/>
      </c>
      <c r="K119" s="29">
        <f>IF(('MiT Strom Pipeline'!R50="offered")+('MiT Strom Pipeline'!R50="to be offered")+('MiT Strom Pipeline'!R50="on hold")&gt;0,IF(LEN('MiT Strom Pipeline'!V50)&gt;0,LEFT('MiT Strom Pipeline'!V50,55),""),"")</f>
        <v/>
      </c>
    </row>
    <row r="120" hidden="1" ht="15.75" customHeight="1">
      <c r="A120" s="22">
        <f>IF(('MiT Strom Pipeline'!R51="offered")+('MiT Strom Pipeline'!R51="to be offered")+('MiT Strom Pipeline'!R51="on hold")&gt;0,IF(ISNUMBER('MiT Strom Pipeline'!A51),'MiT Strom Pipeline'!A51,""),"")</f>
        <v/>
      </c>
      <c r="B120" s="23">
        <f>IF(('MiT Strom Pipeline'!R51="offered")+('MiT Strom Pipeline'!R51="to be offered")+('MiT Strom Pipeline'!R51="on hold")&gt;0,'MiT Strom Pipeline'!B51,"")</f>
        <v/>
      </c>
      <c r="C120" s="22">
        <f>IF(('MiT Strom Pipeline'!R51="offered")+('MiT Strom Pipeline'!R51="to be offered")+('MiT Strom Pipeline'!R51="on hold")&gt;0,'MiT Strom Pipeline'!C51,"")</f>
        <v/>
      </c>
      <c r="D120" s="23">
        <f>IF(('MiT Strom Pipeline'!R51="offered")+('MiT Strom Pipeline'!R51="to be offered")+('MiT Strom Pipeline'!R51="on hold")&gt;0,'MiT Strom Pipeline'!D51,"")</f>
        <v/>
      </c>
      <c r="E120" s="23">
        <f>IF(('MiT Strom Pipeline'!R51="offered")+('MiT Strom Pipeline'!R51="to be offered")+('MiT Strom Pipeline'!R51="on hold")&gt;0,'MiT Strom Pipeline'!E51,"")</f>
        <v/>
      </c>
      <c r="F120" s="24">
        <f>IF(('MiT Strom Pipeline'!R51="offered")+('MiT Strom Pipeline'!R51="to be offered")+('MiT Strom Pipeline'!R51="on hold")&gt;0,IF(ISNUMBER('MiT Strom Pipeline'!I51),'MiT Strom Pipeline'!I51,0),"")</f>
        <v/>
      </c>
      <c r="G120" s="24">
        <f>IF(('MiT Strom Pipeline'!R51="offered")+('MiT Strom Pipeline'!R51="to be offered")+('MiT Strom Pipeline'!R51="on hold")&gt;0,IF(ISNUMBER('MiT Strom Pipeline'!Q51),'MiT Strom Pipeline'!Q51,0),"")</f>
        <v/>
      </c>
      <c r="H120" s="24">
        <f>IF(('MiT Strom Pipeline'!R51="offered")+('MiT Strom Pipeline'!R51="to be offered")+('MiT Strom Pipeline'!R51="on hold")&gt;0,IF(ISNUMBER('MiT Strom Pipeline'!O51),'MiT Strom Pipeline'!O51,0),"")</f>
        <v/>
      </c>
      <c r="I120" s="22">
        <f>IF(('MiT Strom Pipeline'!R51="offered")+('MiT Strom Pipeline'!R51="to be offered")+('MiT Strom Pipeline'!R51="on hold")&gt;0,'MiT Strom Pipeline'!R51,"")</f>
        <v/>
      </c>
      <c r="J120" s="22">
        <f>IF(('MiT Strom Pipeline'!R51="offered")+('MiT Strom Pipeline'!R51="to be offered")+('MiT Strom Pipeline'!R51="on hold")&gt;0,'MiT Strom Pipeline'!S51,"")</f>
        <v/>
      </c>
      <c r="K120" s="23">
        <f>IF(('MiT Strom Pipeline'!R51="offered")+('MiT Strom Pipeline'!R51="to be offered")+('MiT Strom Pipeline'!R51="on hold")&gt;0,IF(LEN('MiT Strom Pipeline'!V51)&gt;0,LEFT('MiT Strom Pipeline'!V51,55),""),"")</f>
        <v/>
      </c>
    </row>
    <row r="121" hidden="1" ht="15.75" customHeight="1">
      <c r="A121" s="28">
        <f>IF(('MiT Strom Pipeline'!R52="offered")+('MiT Strom Pipeline'!R52="to be offered")+('MiT Strom Pipeline'!R52="on hold")&gt;0,IF(ISNUMBER('MiT Strom Pipeline'!A52),'MiT Strom Pipeline'!A52,""),"")</f>
        <v/>
      </c>
      <c r="B121" s="29">
        <f>IF(('MiT Strom Pipeline'!R52="offered")+('MiT Strom Pipeline'!R52="to be offered")+('MiT Strom Pipeline'!R52="on hold")&gt;0,'MiT Strom Pipeline'!B52,"")</f>
        <v/>
      </c>
      <c r="C121" s="28">
        <f>IF(('MiT Strom Pipeline'!R52="offered")+('MiT Strom Pipeline'!R52="to be offered")+('MiT Strom Pipeline'!R52="on hold")&gt;0,'MiT Strom Pipeline'!C52,"")</f>
        <v/>
      </c>
      <c r="D121" s="29">
        <f>IF(('MiT Strom Pipeline'!R52="offered")+('MiT Strom Pipeline'!R52="to be offered")+('MiT Strom Pipeline'!R52="on hold")&gt;0,'MiT Strom Pipeline'!D52,"")</f>
        <v/>
      </c>
      <c r="E121" s="29">
        <f>IF(('MiT Strom Pipeline'!R52="offered")+('MiT Strom Pipeline'!R52="to be offered")+('MiT Strom Pipeline'!R52="on hold")&gt;0,'MiT Strom Pipeline'!E52,"")</f>
        <v/>
      </c>
      <c r="F121" s="30">
        <f>IF(('MiT Strom Pipeline'!R52="offered")+('MiT Strom Pipeline'!R52="to be offered")+('MiT Strom Pipeline'!R52="on hold")&gt;0,IF(ISNUMBER('MiT Strom Pipeline'!I52),'MiT Strom Pipeline'!I52,0),"")</f>
        <v/>
      </c>
      <c r="G121" s="30">
        <f>IF(('MiT Strom Pipeline'!R52="offered")+('MiT Strom Pipeline'!R52="to be offered")+('MiT Strom Pipeline'!R52="on hold")&gt;0,IF(ISNUMBER('MiT Strom Pipeline'!Q52),'MiT Strom Pipeline'!Q52,0),"")</f>
        <v/>
      </c>
      <c r="H121" s="30">
        <f>IF(('MiT Strom Pipeline'!R52="offered")+('MiT Strom Pipeline'!R52="to be offered")+('MiT Strom Pipeline'!R52="on hold")&gt;0,IF(ISNUMBER('MiT Strom Pipeline'!O52),'MiT Strom Pipeline'!O52,0),"")</f>
        <v/>
      </c>
      <c r="I121" s="28">
        <f>IF(('MiT Strom Pipeline'!R52="offered")+('MiT Strom Pipeline'!R52="to be offered")+('MiT Strom Pipeline'!R52="on hold")&gt;0,'MiT Strom Pipeline'!R52,"")</f>
        <v/>
      </c>
      <c r="J121" s="28">
        <f>IF(('MiT Strom Pipeline'!R52="offered")+('MiT Strom Pipeline'!R52="to be offered")+('MiT Strom Pipeline'!R52="on hold")&gt;0,'MiT Strom Pipeline'!S52,"")</f>
        <v/>
      </c>
      <c r="K121" s="29">
        <f>IF(('MiT Strom Pipeline'!R52="offered")+('MiT Strom Pipeline'!R52="to be offered")+('MiT Strom Pipeline'!R52="on hold")&gt;0,IF(LEN('MiT Strom Pipeline'!V52)&gt;0,LEFT('MiT Strom Pipeline'!V52,55),""),"")</f>
        <v/>
      </c>
    </row>
    <row r="122" hidden="1" ht="15.75" customHeight="1">
      <c r="A122" s="22">
        <f>IF(('MiT Strom Pipeline'!R53="offered")+('MiT Strom Pipeline'!R53="to be offered")+('MiT Strom Pipeline'!R53="on hold")&gt;0,IF(ISNUMBER('MiT Strom Pipeline'!A53),'MiT Strom Pipeline'!A53,""),"")</f>
        <v/>
      </c>
      <c r="B122" s="23">
        <f>IF(('MiT Strom Pipeline'!R53="offered")+('MiT Strom Pipeline'!R53="to be offered")+('MiT Strom Pipeline'!R53="on hold")&gt;0,'MiT Strom Pipeline'!B53,"")</f>
        <v/>
      </c>
      <c r="C122" s="22">
        <f>IF(('MiT Strom Pipeline'!R53="offered")+('MiT Strom Pipeline'!R53="to be offered")+('MiT Strom Pipeline'!R53="on hold")&gt;0,'MiT Strom Pipeline'!C53,"")</f>
        <v/>
      </c>
      <c r="D122" s="23">
        <f>IF(('MiT Strom Pipeline'!R53="offered")+('MiT Strom Pipeline'!R53="to be offered")+('MiT Strom Pipeline'!R53="on hold")&gt;0,'MiT Strom Pipeline'!D53,"")</f>
        <v/>
      </c>
      <c r="E122" s="23">
        <f>IF(('MiT Strom Pipeline'!R53="offered")+('MiT Strom Pipeline'!R53="to be offered")+('MiT Strom Pipeline'!R53="on hold")&gt;0,'MiT Strom Pipeline'!E53,"")</f>
        <v/>
      </c>
      <c r="F122" s="24">
        <f>IF(('MiT Strom Pipeline'!R53="offered")+('MiT Strom Pipeline'!R53="to be offered")+('MiT Strom Pipeline'!R53="on hold")&gt;0,IF(ISNUMBER('MiT Strom Pipeline'!I53),'MiT Strom Pipeline'!I53,0),"")</f>
        <v/>
      </c>
      <c r="G122" s="24">
        <f>IF(('MiT Strom Pipeline'!R53="offered")+('MiT Strom Pipeline'!R53="to be offered")+('MiT Strom Pipeline'!R53="on hold")&gt;0,IF(ISNUMBER('MiT Strom Pipeline'!Q53),'MiT Strom Pipeline'!Q53,0),"")</f>
        <v/>
      </c>
      <c r="H122" s="24">
        <f>IF(('MiT Strom Pipeline'!R53="offered")+('MiT Strom Pipeline'!R53="to be offered")+('MiT Strom Pipeline'!R53="on hold")&gt;0,IF(ISNUMBER('MiT Strom Pipeline'!O53),'MiT Strom Pipeline'!O53,0),"")</f>
        <v/>
      </c>
      <c r="I122" s="22">
        <f>IF(('MiT Strom Pipeline'!R53="offered")+('MiT Strom Pipeline'!R53="to be offered")+('MiT Strom Pipeline'!R53="on hold")&gt;0,'MiT Strom Pipeline'!R53,"")</f>
        <v/>
      </c>
      <c r="J122" s="22">
        <f>IF(('MiT Strom Pipeline'!R53="offered")+('MiT Strom Pipeline'!R53="to be offered")+('MiT Strom Pipeline'!R53="on hold")&gt;0,'MiT Strom Pipeline'!S53,"")</f>
        <v/>
      </c>
      <c r="K122" s="23">
        <f>IF(('MiT Strom Pipeline'!R53="offered")+('MiT Strom Pipeline'!R53="to be offered")+('MiT Strom Pipeline'!R53="on hold")&gt;0,IF(LEN('MiT Strom Pipeline'!V53)&gt;0,LEFT('MiT Strom Pipeline'!V53,55),""),"")</f>
        <v/>
      </c>
    </row>
    <row r="123" hidden="1" ht="15.75" customHeight="1">
      <c r="A123" s="28">
        <f>IF(('MiT Strom Pipeline'!R54="offered")+('MiT Strom Pipeline'!R54="to be offered")+('MiT Strom Pipeline'!R54="on hold")&gt;0,IF(ISNUMBER('MiT Strom Pipeline'!A54),'MiT Strom Pipeline'!A54,""),"")</f>
        <v/>
      </c>
      <c r="B123" s="29">
        <f>IF(('MiT Strom Pipeline'!R54="offered")+('MiT Strom Pipeline'!R54="to be offered")+('MiT Strom Pipeline'!R54="on hold")&gt;0,'MiT Strom Pipeline'!B54,"")</f>
        <v/>
      </c>
      <c r="C123" s="28">
        <f>IF(('MiT Strom Pipeline'!R54="offered")+('MiT Strom Pipeline'!R54="to be offered")+('MiT Strom Pipeline'!R54="on hold")&gt;0,'MiT Strom Pipeline'!C54,"")</f>
        <v/>
      </c>
      <c r="D123" s="29">
        <f>IF(('MiT Strom Pipeline'!R54="offered")+('MiT Strom Pipeline'!R54="to be offered")+('MiT Strom Pipeline'!R54="on hold")&gt;0,'MiT Strom Pipeline'!D54,"")</f>
        <v/>
      </c>
      <c r="E123" s="29">
        <f>IF(('MiT Strom Pipeline'!R54="offered")+('MiT Strom Pipeline'!R54="to be offered")+('MiT Strom Pipeline'!R54="on hold")&gt;0,'MiT Strom Pipeline'!E54,"")</f>
        <v/>
      </c>
      <c r="F123" s="30">
        <f>IF(('MiT Strom Pipeline'!R54="offered")+('MiT Strom Pipeline'!R54="to be offered")+('MiT Strom Pipeline'!R54="on hold")&gt;0,IF(ISNUMBER('MiT Strom Pipeline'!I54),'MiT Strom Pipeline'!I54,0),"")</f>
        <v/>
      </c>
      <c r="G123" s="30">
        <f>IF(('MiT Strom Pipeline'!R54="offered")+('MiT Strom Pipeline'!R54="to be offered")+('MiT Strom Pipeline'!R54="on hold")&gt;0,IF(ISNUMBER('MiT Strom Pipeline'!Q54),'MiT Strom Pipeline'!Q54,0),"")</f>
        <v/>
      </c>
      <c r="H123" s="30">
        <f>IF(('MiT Strom Pipeline'!R54="offered")+('MiT Strom Pipeline'!R54="to be offered")+('MiT Strom Pipeline'!R54="on hold")&gt;0,IF(ISNUMBER('MiT Strom Pipeline'!O54),'MiT Strom Pipeline'!O54,0),"")</f>
        <v/>
      </c>
      <c r="I123" s="28">
        <f>IF(('MiT Strom Pipeline'!R54="offered")+('MiT Strom Pipeline'!R54="to be offered")+('MiT Strom Pipeline'!R54="on hold")&gt;0,'MiT Strom Pipeline'!R54,"")</f>
        <v/>
      </c>
      <c r="J123" s="28">
        <f>IF(('MiT Strom Pipeline'!R54="offered")+('MiT Strom Pipeline'!R54="to be offered")+('MiT Strom Pipeline'!R54="on hold")&gt;0,'MiT Strom Pipeline'!S54,"")</f>
        <v/>
      </c>
      <c r="K123" s="29">
        <f>IF(('MiT Strom Pipeline'!R54="offered")+('MiT Strom Pipeline'!R54="to be offered")+('MiT Strom Pipeline'!R54="on hold")&gt;0,IF(LEN('MiT Strom Pipeline'!V54)&gt;0,LEFT('MiT Strom Pipeline'!V54,55),""),"")</f>
        <v/>
      </c>
    </row>
    <row r="124" hidden="1" ht="15.75" customHeight="1">
      <c r="A124" s="22">
        <f>IF(('MiT Strom Pipeline'!R55="offered")+('MiT Strom Pipeline'!R55="to be offered")+('MiT Strom Pipeline'!R55="on hold")&gt;0,IF(ISNUMBER('MiT Strom Pipeline'!A55),'MiT Strom Pipeline'!A55,""),"")</f>
        <v/>
      </c>
      <c r="B124" s="23">
        <f>IF(('MiT Strom Pipeline'!R55="offered")+('MiT Strom Pipeline'!R55="to be offered")+('MiT Strom Pipeline'!R55="on hold")&gt;0,'MiT Strom Pipeline'!B55,"")</f>
        <v/>
      </c>
      <c r="C124" s="22">
        <f>IF(('MiT Strom Pipeline'!R55="offered")+('MiT Strom Pipeline'!R55="to be offered")+('MiT Strom Pipeline'!R55="on hold")&gt;0,'MiT Strom Pipeline'!C55,"")</f>
        <v/>
      </c>
      <c r="D124" s="23">
        <f>IF(('MiT Strom Pipeline'!R55="offered")+('MiT Strom Pipeline'!R55="to be offered")+('MiT Strom Pipeline'!R55="on hold")&gt;0,'MiT Strom Pipeline'!D55,"")</f>
        <v/>
      </c>
      <c r="E124" s="23">
        <f>IF(('MiT Strom Pipeline'!R55="offered")+('MiT Strom Pipeline'!R55="to be offered")+('MiT Strom Pipeline'!R55="on hold")&gt;0,'MiT Strom Pipeline'!E55,"")</f>
        <v/>
      </c>
      <c r="F124" s="24">
        <f>IF(('MiT Strom Pipeline'!R55="offered")+('MiT Strom Pipeline'!R55="to be offered")+('MiT Strom Pipeline'!R55="on hold")&gt;0,IF(ISNUMBER('MiT Strom Pipeline'!I55),'MiT Strom Pipeline'!I55,0),"")</f>
        <v/>
      </c>
      <c r="G124" s="24">
        <f>IF(('MiT Strom Pipeline'!R55="offered")+('MiT Strom Pipeline'!R55="to be offered")+('MiT Strom Pipeline'!R55="on hold")&gt;0,IF(ISNUMBER('MiT Strom Pipeline'!Q55),'MiT Strom Pipeline'!Q55,0),"")</f>
        <v/>
      </c>
      <c r="H124" s="24">
        <f>IF(('MiT Strom Pipeline'!R55="offered")+('MiT Strom Pipeline'!R55="to be offered")+('MiT Strom Pipeline'!R55="on hold")&gt;0,IF(ISNUMBER('MiT Strom Pipeline'!O55),'MiT Strom Pipeline'!O55,0),"")</f>
        <v/>
      </c>
      <c r="I124" s="22">
        <f>IF(('MiT Strom Pipeline'!R55="offered")+('MiT Strom Pipeline'!R55="to be offered")+('MiT Strom Pipeline'!R55="on hold")&gt;0,'MiT Strom Pipeline'!R55,"")</f>
        <v/>
      </c>
      <c r="J124" s="22">
        <f>IF(('MiT Strom Pipeline'!R55="offered")+('MiT Strom Pipeline'!R55="to be offered")+('MiT Strom Pipeline'!R55="on hold")&gt;0,'MiT Strom Pipeline'!S55,"")</f>
        <v/>
      </c>
      <c r="K124" s="23">
        <f>IF(('MiT Strom Pipeline'!R55="offered")+('MiT Strom Pipeline'!R55="to be offered")+('MiT Strom Pipeline'!R55="on hold")&gt;0,IF(LEN('MiT Strom Pipeline'!V55)&gt;0,LEFT('MiT Strom Pipeline'!V55,55),""),"")</f>
        <v/>
      </c>
    </row>
    <row r="125" hidden="1" ht="15.75" customHeight="1">
      <c r="A125" s="28">
        <f>IF(('MiT Strom Pipeline'!R56="offered")+('MiT Strom Pipeline'!R56="to be offered")+('MiT Strom Pipeline'!R56="on hold")&gt;0,IF(ISNUMBER('MiT Strom Pipeline'!A56),'MiT Strom Pipeline'!A56,""),"")</f>
        <v/>
      </c>
      <c r="B125" s="29">
        <f>IF(('MiT Strom Pipeline'!R56="offered")+('MiT Strom Pipeline'!R56="to be offered")+('MiT Strom Pipeline'!R56="on hold")&gt;0,'MiT Strom Pipeline'!B56,"")</f>
        <v/>
      </c>
      <c r="C125" s="28">
        <f>IF(('MiT Strom Pipeline'!R56="offered")+('MiT Strom Pipeline'!R56="to be offered")+('MiT Strom Pipeline'!R56="on hold")&gt;0,'MiT Strom Pipeline'!C56,"")</f>
        <v/>
      </c>
      <c r="D125" s="29">
        <f>IF(('MiT Strom Pipeline'!R56="offered")+('MiT Strom Pipeline'!R56="to be offered")+('MiT Strom Pipeline'!R56="on hold")&gt;0,'MiT Strom Pipeline'!D56,"")</f>
        <v/>
      </c>
      <c r="E125" s="29">
        <f>IF(('MiT Strom Pipeline'!R56="offered")+('MiT Strom Pipeline'!R56="to be offered")+('MiT Strom Pipeline'!R56="on hold")&gt;0,'MiT Strom Pipeline'!E56,"")</f>
        <v/>
      </c>
      <c r="F125" s="30">
        <f>IF(('MiT Strom Pipeline'!R56="offered")+('MiT Strom Pipeline'!R56="to be offered")+('MiT Strom Pipeline'!R56="on hold")&gt;0,IF(ISNUMBER('MiT Strom Pipeline'!I56),'MiT Strom Pipeline'!I56,0),"")</f>
        <v/>
      </c>
      <c r="G125" s="30">
        <f>IF(('MiT Strom Pipeline'!R56="offered")+('MiT Strom Pipeline'!R56="to be offered")+('MiT Strom Pipeline'!R56="on hold")&gt;0,IF(ISNUMBER('MiT Strom Pipeline'!Q56),'MiT Strom Pipeline'!Q56,0),"")</f>
        <v/>
      </c>
      <c r="H125" s="30">
        <f>IF(('MiT Strom Pipeline'!R56="offered")+('MiT Strom Pipeline'!R56="to be offered")+('MiT Strom Pipeline'!R56="on hold")&gt;0,IF(ISNUMBER('MiT Strom Pipeline'!O56),'MiT Strom Pipeline'!O56,0),"")</f>
        <v/>
      </c>
      <c r="I125" s="28">
        <f>IF(('MiT Strom Pipeline'!R56="offered")+('MiT Strom Pipeline'!R56="to be offered")+('MiT Strom Pipeline'!R56="on hold")&gt;0,'MiT Strom Pipeline'!R56,"")</f>
        <v/>
      </c>
      <c r="J125" s="28">
        <f>IF(('MiT Strom Pipeline'!R56="offered")+('MiT Strom Pipeline'!R56="to be offered")+('MiT Strom Pipeline'!R56="on hold")&gt;0,'MiT Strom Pipeline'!S56,"")</f>
        <v/>
      </c>
      <c r="K125" s="29">
        <f>IF(('MiT Strom Pipeline'!R56="offered")+('MiT Strom Pipeline'!R56="to be offered")+('MiT Strom Pipeline'!R56="on hold")&gt;0,IF(LEN('MiT Strom Pipeline'!V56)&gt;0,LEFT('MiT Strom Pipeline'!V56,55),""),"")</f>
        <v/>
      </c>
    </row>
    <row r="126" hidden="1" ht="15.75" customHeight="1">
      <c r="A126" s="22">
        <f>IF(('MiT Strom Pipeline'!R57="offered")+('MiT Strom Pipeline'!R57="to be offered")+('MiT Strom Pipeline'!R57="on hold")&gt;0,IF(ISNUMBER('MiT Strom Pipeline'!A57),'MiT Strom Pipeline'!A57,""),"")</f>
        <v/>
      </c>
      <c r="B126" s="23">
        <f>IF(('MiT Strom Pipeline'!R57="offered")+('MiT Strom Pipeline'!R57="to be offered")+('MiT Strom Pipeline'!R57="on hold")&gt;0,'MiT Strom Pipeline'!B57,"")</f>
        <v/>
      </c>
      <c r="C126" s="22">
        <f>IF(('MiT Strom Pipeline'!R57="offered")+('MiT Strom Pipeline'!R57="to be offered")+('MiT Strom Pipeline'!R57="on hold")&gt;0,'MiT Strom Pipeline'!C57,"")</f>
        <v/>
      </c>
      <c r="D126" s="23">
        <f>IF(('MiT Strom Pipeline'!R57="offered")+('MiT Strom Pipeline'!R57="to be offered")+('MiT Strom Pipeline'!R57="on hold")&gt;0,'MiT Strom Pipeline'!D57,"")</f>
        <v/>
      </c>
      <c r="E126" s="23">
        <f>IF(('MiT Strom Pipeline'!R57="offered")+('MiT Strom Pipeline'!R57="to be offered")+('MiT Strom Pipeline'!R57="on hold")&gt;0,'MiT Strom Pipeline'!E57,"")</f>
        <v/>
      </c>
      <c r="F126" s="24">
        <f>IF(('MiT Strom Pipeline'!R57="offered")+('MiT Strom Pipeline'!R57="to be offered")+('MiT Strom Pipeline'!R57="on hold")&gt;0,IF(ISNUMBER('MiT Strom Pipeline'!I57),'MiT Strom Pipeline'!I57,0),"")</f>
        <v/>
      </c>
      <c r="G126" s="24">
        <f>IF(('MiT Strom Pipeline'!R57="offered")+('MiT Strom Pipeline'!R57="to be offered")+('MiT Strom Pipeline'!R57="on hold")&gt;0,IF(ISNUMBER('MiT Strom Pipeline'!Q57),'MiT Strom Pipeline'!Q57,0),"")</f>
        <v/>
      </c>
      <c r="H126" s="24">
        <f>IF(('MiT Strom Pipeline'!R57="offered")+('MiT Strom Pipeline'!R57="to be offered")+('MiT Strom Pipeline'!R57="on hold")&gt;0,IF(ISNUMBER('MiT Strom Pipeline'!O57),'MiT Strom Pipeline'!O57,0),"")</f>
        <v/>
      </c>
      <c r="I126" s="22">
        <f>IF(('MiT Strom Pipeline'!R57="offered")+('MiT Strom Pipeline'!R57="to be offered")+('MiT Strom Pipeline'!R57="on hold")&gt;0,'MiT Strom Pipeline'!R57,"")</f>
        <v/>
      </c>
      <c r="J126" s="22">
        <f>IF(('MiT Strom Pipeline'!R57="offered")+('MiT Strom Pipeline'!R57="to be offered")+('MiT Strom Pipeline'!R57="on hold")&gt;0,'MiT Strom Pipeline'!S57,"")</f>
        <v/>
      </c>
      <c r="K126" s="23">
        <f>IF(('MiT Strom Pipeline'!R57="offered")+('MiT Strom Pipeline'!R57="to be offered")+('MiT Strom Pipeline'!R57="on hold")&gt;0,IF(LEN('MiT Strom Pipeline'!V57)&gt;0,LEFT('MiT Strom Pipeline'!V57,55),""),"")</f>
        <v/>
      </c>
    </row>
    <row r="127" hidden="1" ht="15.75" customHeight="1">
      <c r="A127" s="28">
        <f>IF(('MiT Strom Pipeline'!R58="offered")+('MiT Strom Pipeline'!R58="to be offered")+('MiT Strom Pipeline'!R58="on hold")&gt;0,IF(ISNUMBER('MiT Strom Pipeline'!A58),'MiT Strom Pipeline'!A58,""),"")</f>
        <v/>
      </c>
      <c r="B127" s="29">
        <f>IF(('MiT Strom Pipeline'!R58="offered")+('MiT Strom Pipeline'!R58="to be offered")+('MiT Strom Pipeline'!R58="on hold")&gt;0,'MiT Strom Pipeline'!B58,"")</f>
        <v/>
      </c>
      <c r="C127" s="28">
        <f>IF(('MiT Strom Pipeline'!R58="offered")+('MiT Strom Pipeline'!R58="to be offered")+('MiT Strom Pipeline'!R58="on hold")&gt;0,'MiT Strom Pipeline'!C58,"")</f>
        <v/>
      </c>
      <c r="D127" s="29">
        <f>IF(('MiT Strom Pipeline'!R58="offered")+('MiT Strom Pipeline'!R58="to be offered")+('MiT Strom Pipeline'!R58="on hold")&gt;0,'MiT Strom Pipeline'!D58,"")</f>
        <v/>
      </c>
      <c r="E127" s="29">
        <f>IF(('MiT Strom Pipeline'!R58="offered")+('MiT Strom Pipeline'!R58="to be offered")+('MiT Strom Pipeline'!R58="on hold")&gt;0,'MiT Strom Pipeline'!E58,"")</f>
        <v/>
      </c>
      <c r="F127" s="30">
        <f>IF(('MiT Strom Pipeline'!R58="offered")+('MiT Strom Pipeline'!R58="to be offered")+('MiT Strom Pipeline'!R58="on hold")&gt;0,IF(ISNUMBER('MiT Strom Pipeline'!I58),'MiT Strom Pipeline'!I58,0),"")</f>
        <v/>
      </c>
      <c r="G127" s="30">
        <f>IF(('MiT Strom Pipeline'!R58="offered")+('MiT Strom Pipeline'!R58="to be offered")+('MiT Strom Pipeline'!R58="on hold")&gt;0,IF(ISNUMBER('MiT Strom Pipeline'!Q58),'MiT Strom Pipeline'!Q58,0),"")</f>
        <v/>
      </c>
      <c r="H127" s="30">
        <f>IF(('MiT Strom Pipeline'!R58="offered")+('MiT Strom Pipeline'!R58="to be offered")+('MiT Strom Pipeline'!R58="on hold")&gt;0,IF(ISNUMBER('MiT Strom Pipeline'!O58),'MiT Strom Pipeline'!O58,0),"")</f>
        <v/>
      </c>
      <c r="I127" s="28">
        <f>IF(('MiT Strom Pipeline'!R58="offered")+('MiT Strom Pipeline'!R58="to be offered")+('MiT Strom Pipeline'!R58="on hold")&gt;0,'MiT Strom Pipeline'!R58,"")</f>
        <v/>
      </c>
      <c r="J127" s="28">
        <f>IF(('MiT Strom Pipeline'!R58="offered")+('MiT Strom Pipeline'!R58="to be offered")+('MiT Strom Pipeline'!R58="on hold")&gt;0,'MiT Strom Pipeline'!S58,"")</f>
        <v/>
      </c>
      <c r="K127" s="29">
        <f>IF(('MiT Strom Pipeline'!R58="offered")+('MiT Strom Pipeline'!R58="to be offered")+('MiT Strom Pipeline'!R58="on hold")&gt;0,IF(LEN('MiT Strom Pipeline'!V58)&gt;0,LEFT('MiT Strom Pipeline'!V58,55),""),"")</f>
        <v/>
      </c>
    </row>
    <row r="128" hidden="1" ht="15.75" customHeight="1">
      <c r="A128" s="22">
        <f>IF(('MiT Strom Pipeline'!R59="offered")+('MiT Strom Pipeline'!R59="to be offered")+('MiT Strom Pipeline'!R59="on hold")&gt;0,IF(ISNUMBER('MiT Strom Pipeline'!A59),'MiT Strom Pipeline'!A59,""),"")</f>
        <v/>
      </c>
      <c r="B128" s="23">
        <f>IF(('MiT Strom Pipeline'!R59="offered")+('MiT Strom Pipeline'!R59="to be offered")+('MiT Strom Pipeline'!R59="on hold")&gt;0,'MiT Strom Pipeline'!B59,"")</f>
        <v/>
      </c>
      <c r="C128" s="22">
        <f>IF(('MiT Strom Pipeline'!R59="offered")+('MiT Strom Pipeline'!R59="to be offered")+('MiT Strom Pipeline'!R59="on hold")&gt;0,'MiT Strom Pipeline'!C59,"")</f>
        <v/>
      </c>
      <c r="D128" s="23">
        <f>IF(('MiT Strom Pipeline'!R59="offered")+('MiT Strom Pipeline'!R59="to be offered")+('MiT Strom Pipeline'!R59="on hold")&gt;0,'MiT Strom Pipeline'!D59,"")</f>
        <v/>
      </c>
      <c r="E128" s="23">
        <f>IF(('MiT Strom Pipeline'!R59="offered")+('MiT Strom Pipeline'!R59="to be offered")+('MiT Strom Pipeline'!R59="on hold")&gt;0,'MiT Strom Pipeline'!E59,"")</f>
        <v/>
      </c>
      <c r="F128" s="24">
        <f>IF(('MiT Strom Pipeline'!R59="offered")+('MiT Strom Pipeline'!R59="to be offered")+('MiT Strom Pipeline'!R59="on hold")&gt;0,IF(ISNUMBER('MiT Strom Pipeline'!I59),'MiT Strom Pipeline'!I59,0),"")</f>
        <v/>
      </c>
      <c r="G128" s="24">
        <f>IF(('MiT Strom Pipeline'!R59="offered")+('MiT Strom Pipeline'!R59="to be offered")+('MiT Strom Pipeline'!R59="on hold")&gt;0,IF(ISNUMBER('MiT Strom Pipeline'!Q59),'MiT Strom Pipeline'!Q59,0),"")</f>
        <v/>
      </c>
      <c r="H128" s="24">
        <f>IF(('MiT Strom Pipeline'!R59="offered")+('MiT Strom Pipeline'!R59="to be offered")+('MiT Strom Pipeline'!R59="on hold")&gt;0,IF(ISNUMBER('MiT Strom Pipeline'!O59),'MiT Strom Pipeline'!O59,0),"")</f>
        <v/>
      </c>
      <c r="I128" s="22">
        <f>IF(('MiT Strom Pipeline'!R59="offered")+('MiT Strom Pipeline'!R59="to be offered")+('MiT Strom Pipeline'!R59="on hold")&gt;0,'MiT Strom Pipeline'!R59,"")</f>
        <v/>
      </c>
      <c r="J128" s="22">
        <f>IF(('MiT Strom Pipeline'!R59="offered")+('MiT Strom Pipeline'!R59="to be offered")+('MiT Strom Pipeline'!R59="on hold")&gt;0,'MiT Strom Pipeline'!S59,"")</f>
        <v/>
      </c>
      <c r="K128" s="23">
        <f>IF(('MiT Strom Pipeline'!R59="offered")+('MiT Strom Pipeline'!R59="to be offered")+('MiT Strom Pipeline'!R59="on hold")&gt;0,IF(LEN('MiT Strom Pipeline'!V59)&gt;0,LEFT('MiT Strom Pipeline'!V59,55),""),"")</f>
        <v/>
      </c>
    </row>
    <row r="129" hidden="1" ht="15.75" customHeight="1">
      <c r="A129" s="28">
        <f>IF(('MiT Strom Pipeline'!R60="offered")+('MiT Strom Pipeline'!R60="to be offered")+('MiT Strom Pipeline'!R60="on hold")&gt;0,IF(ISNUMBER('MiT Strom Pipeline'!A60),'MiT Strom Pipeline'!A60,""),"")</f>
        <v/>
      </c>
      <c r="B129" s="29">
        <f>IF(('MiT Strom Pipeline'!R60="offered")+('MiT Strom Pipeline'!R60="to be offered")+('MiT Strom Pipeline'!R60="on hold")&gt;0,'MiT Strom Pipeline'!B60,"")</f>
        <v/>
      </c>
      <c r="C129" s="28">
        <f>IF(('MiT Strom Pipeline'!R60="offered")+('MiT Strom Pipeline'!R60="to be offered")+('MiT Strom Pipeline'!R60="on hold")&gt;0,'MiT Strom Pipeline'!C60,"")</f>
        <v/>
      </c>
      <c r="D129" s="29">
        <f>IF(('MiT Strom Pipeline'!R60="offered")+('MiT Strom Pipeline'!R60="to be offered")+('MiT Strom Pipeline'!R60="on hold")&gt;0,'MiT Strom Pipeline'!D60,"")</f>
        <v/>
      </c>
      <c r="E129" s="29">
        <f>IF(('MiT Strom Pipeline'!R60="offered")+('MiT Strom Pipeline'!R60="to be offered")+('MiT Strom Pipeline'!R60="on hold")&gt;0,'MiT Strom Pipeline'!E60,"")</f>
        <v/>
      </c>
      <c r="F129" s="30">
        <f>IF(('MiT Strom Pipeline'!R60="offered")+('MiT Strom Pipeline'!R60="to be offered")+('MiT Strom Pipeline'!R60="on hold")&gt;0,IF(ISNUMBER('MiT Strom Pipeline'!I60),'MiT Strom Pipeline'!I60,0),"")</f>
        <v/>
      </c>
      <c r="G129" s="30">
        <f>IF(('MiT Strom Pipeline'!R60="offered")+('MiT Strom Pipeline'!R60="to be offered")+('MiT Strom Pipeline'!R60="on hold")&gt;0,IF(ISNUMBER('MiT Strom Pipeline'!Q60),'MiT Strom Pipeline'!Q60,0),"")</f>
        <v/>
      </c>
      <c r="H129" s="30">
        <f>IF(('MiT Strom Pipeline'!R60="offered")+('MiT Strom Pipeline'!R60="to be offered")+('MiT Strom Pipeline'!R60="on hold")&gt;0,IF(ISNUMBER('MiT Strom Pipeline'!O60),'MiT Strom Pipeline'!O60,0),"")</f>
        <v/>
      </c>
      <c r="I129" s="28">
        <f>IF(('MiT Strom Pipeline'!R60="offered")+('MiT Strom Pipeline'!R60="to be offered")+('MiT Strom Pipeline'!R60="on hold")&gt;0,'MiT Strom Pipeline'!R60,"")</f>
        <v/>
      </c>
      <c r="J129" s="28">
        <f>IF(('MiT Strom Pipeline'!R60="offered")+('MiT Strom Pipeline'!R60="to be offered")+('MiT Strom Pipeline'!R60="on hold")&gt;0,'MiT Strom Pipeline'!S60,"")</f>
        <v/>
      </c>
      <c r="K129" s="29">
        <f>IF(('MiT Strom Pipeline'!R60="offered")+('MiT Strom Pipeline'!R60="to be offered")+('MiT Strom Pipeline'!R60="on hold")&gt;0,IF(LEN('MiT Strom Pipeline'!V60)&gt;0,LEFT('MiT Strom Pipeline'!V60,55),""),"")</f>
        <v/>
      </c>
    </row>
    <row r="130" hidden="1" ht="15.75" customHeight="1">
      <c r="A130" s="22">
        <f>IF(('MiT Strom Pipeline'!R61="offered")+('MiT Strom Pipeline'!R61="to be offered")+('MiT Strom Pipeline'!R61="on hold")&gt;0,IF(ISNUMBER('MiT Strom Pipeline'!A61),'MiT Strom Pipeline'!A61,""),"")</f>
        <v/>
      </c>
      <c r="B130" s="23">
        <f>IF(('MiT Strom Pipeline'!R61="offered")+('MiT Strom Pipeline'!R61="to be offered")+('MiT Strom Pipeline'!R61="on hold")&gt;0,'MiT Strom Pipeline'!B61,"")</f>
        <v/>
      </c>
      <c r="C130" s="22">
        <f>IF(('MiT Strom Pipeline'!R61="offered")+('MiT Strom Pipeline'!R61="to be offered")+('MiT Strom Pipeline'!R61="on hold")&gt;0,'MiT Strom Pipeline'!C61,"")</f>
        <v/>
      </c>
      <c r="D130" s="23">
        <f>IF(('MiT Strom Pipeline'!R61="offered")+('MiT Strom Pipeline'!R61="to be offered")+('MiT Strom Pipeline'!R61="on hold")&gt;0,'MiT Strom Pipeline'!D61,"")</f>
        <v/>
      </c>
      <c r="E130" s="23">
        <f>IF(('MiT Strom Pipeline'!R61="offered")+('MiT Strom Pipeline'!R61="to be offered")+('MiT Strom Pipeline'!R61="on hold")&gt;0,'MiT Strom Pipeline'!E61,"")</f>
        <v/>
      </c>
      <c r="F130" s="24">
        <f>IF(('MiT Strom Pipeline'!R61="offered")+('MiT Strom Pipeline'!R61="to be offered")+('MiT Strom Pipeline'!R61="on hold")&gt;0,IF(ISNUMBER('MiT Strom Pipeline'!I61),'MiT Strom Pipeline'!I61,0),"")</f>
        <v/>
      </c>
      <c r="G130" s="24">
        <f>IF(('MiT Strom Pipeline'!R61="offered")+('MiT Strom Pipeline'!R61="to be offered")+('MiT Strom Pipeline'!R61="on hold")&gt;0,IF(ISNUMBER('MiT Strom Pipeline'!Q61),'MiT Strom Pipeline'!Q61,0),"")</f>
        <v/>
      </c>
      <c r="H130" s="24">
        <f>IF(('MiT Strom Pipeline'!R61="offered")+('MiT Strom Pipeline'!R61="to be offered")+('MiT Strom Pipeline'!R61="on hold")&gt;0,IF(ISNUMBER('MiT Strom Pipeline'!O61),'MiT Strom Pipeline'!O61,0),"")</f>
        <v/>
      </c>
      <c r="I130" s="22">
        <f>IF(('MiT Strom Pipeline'!R61="offered")+('MiT Strom Pipeline'!R61="to be offered")+('MiT Strom Pipeline'!R61="on hold")&gt;0,'MiT Strom Pipeline'!R61,"")</f>
        <v/>
      </c>
      <c r="J130" s="22">
        <f>IF(('MiT Strom Pipeline'!R61="offered")+('MiT Strom Pipeline'!R61="to be offered")+('MiT Strom Pipeline'!R61="on hold")&gt;0,'MiT Strom Pipeline'!S61,"")</f>
        <v/>
      </c>
      <c r="K130" s="23">
        <f>IF(('MiT Strom Pipeline'!R61="offered")+('MiT Strom Pipeline'!R61="to be offered")+('MiT Strom Pipeline'!R61="on hold")&gt;0,IF(LEN('MiT Strom Pipeline'!V61)&gt;0,LEFT('MiT Strom Pipeline'!V61,55),""),"")</f>
        <v/>
      </c>
    </row>
    <row r="131" hidden="1" ht="15.75" customHeight="1">
      <c r="A131" s="28">
        <f>IF(('MiT Strom Pipeline'!R62="offered")+('MiT Strom Pipeline'!R62="to be offered")+('MiT Strom Pipeline'!R62="on hold")&gt;0,IF(ISNUMBER('MiT Strom Pipeline'!A62),'MiT Strom Pipeline'!A62,""),"")</f>
        <v/>
      </c>
      <c r="B131" s="29">
        <f>IF(('MiT Strom Pipeline'!R62="offered")+('MiT Strom Pipeline'!R62="to be offered")+('MiT Strom Pipeline'!R62="on hold")&gt;0,'MiT Strom Pipeline'!B62,"")</f>
        <v/>
      </c>
      <c r="C131" s="28">
        <f>IF(('MiT Strom Pipeline'!R62="offered")+('MiT Strom Pipeline'!R62="to be offered")+('MiT Strom Pipeline'!R62="on hold")&gt;0,'MiT Strom Pipeline'!C62,"")</f>
        <v/>
      </c>
      <c r="D131" s="29">
        <f>IF(('MiT Strom Pipeline'!R62="offered")+('MiT Strom Pipeline'!R62="to be offered")+('MiT Strom Pipeline'!R62="on hold")&gt;0,'MiT Strom Pipeline'!D62,"")</f>
        <v/>
      </c>
      <c r="E131" s="29">
        <f>IF(('MiT Strom Pipeline'!R62="offered")+('MiT Strom Pipeline'!R62="to be offered")+('MiT Strom Pipeline'!R62="on hold")&gt;0,'MiT Strom Pipeline'!E62,"")</f>
        <v/>
      </c>
      <c r="F131" s="30">
        <f>IF(('MiT Strom Pipeline'!R62="offered")+('MiT Strom Pipeline'!R62="to be offered")+('MiT Strom Pipeline'!R62="on hold")&gt;0,IF(ISNUMBER('MiT Strom Pipeline'!I62),'MiT Strom Pipeline'!I62,0),"")</f>
        <v/>
      </c>
      <c r="G131" s="30">
        <f>IF(('MiT Strom Pipeline'!R62="offered")+('MiT Strom Pipeline'!R62="to be offered")+('MiT Strom Pipeline'!R62="on hold")&gt;0,IF(ISNUMBER('MiT Strom Pipeline'!Q62),'MiT Strom Pipeline'!Q62,0),"")</f>
        <v/>
      </c>
      <c r="H131" s="30">
        <f>IF(('MiT Strom Pipeline'!R62="offered")+('MiT Strom Pipeline'!R62="to be offered")+('MiT Strom Pipeline'!R62="on hold")&gt;0,IF(ISNUMBER('MiT Strom Pipeline'!O62),'MiT Strom Pipeline'!O62,0),"")</f>
        <v/>
      </c>
      <c r="I131" s="28">
        <f>IF(('MiT Strom Pipeline'!R62="offered")+('MiT Strom Pipeline'!R62="to be offered")+('MiT Strom Pipeline'!R62="on hold")&gt;0,'MiT Strom Pipeline'!R62,"")</f>
        <v/>
      </c>
      <c r="J131" s="28">
        <f>IF(('MiT Strom Pipeline'!R62="offered")+('MiT Strom Pipeline'!R62="to be offered")+('MiT Strom Pipeline'!R62="on hold")&gt;0,'MiT Strom Pipeline'!S62,"")</f>
        <v/>
      </c>
      <c r="K131" s="29">
        <f>IF(('MiT Strom Pipeline'!R62="offered")+('MiT Strom Pipeline'!R62="to be offered")+('MiT Strom Pipeline'!R62="on hold")&gt;0,IF(LEN('MiT Strom Pipeline'!V62)&gt;0,LEFT('MiT Strom Pipeline'!V62,55),""),"")</f>
        <v/>
      </c>
    </row>
    <row r="132" hidden="1" ht="15.75" customHeight="1">
      <c r="A132" s="22">
        <f>IF(('MiT Strom Pipeline'!R63="offered")+('MiT Strom Pipeline'!R63="to be offered")+('MiT Strom Pipeline'!R63="on hold")&gt;0,IF(ISNUMBER('MiT Strom Pipeline'!A63),'MiT Strom Pipeline'!A63,""),"")</f>
        <v/>
      </c>
      <c r="B132" s="23">
        <f>IF(('MiT Strom Pipeline'!R63="offered")+('MiT Strom Pipeline'!R63="to be offered")+('MiT Strom Pipeline'!R63="on hold")&gt;0,'MiT Strom Pipeline'!B63,"")</f>
        <v/>
      </c>
      <c r="C132" s="22">
        <f>IF(('MiT Strom Pipeline'!R63="offered")+('MiT Strom Pipeline'!R63="to be offered")+('MiT Strom Pipeline'!R63="on hold")&gt;0,'MiT Strom Pipeline'!C63,"")</f>
        <v/>
      </c>
      <c r="D132" s="23">
        <f>IF(('MiT Strom Pipeline'!R63="offered")+('MiT Strom Pipeline'!R63="to be offered")+('MiT Strom Pipeline'!R63="on hold")&gt;0,'MiT Strom Pipeline'!D63,"")</f>
        <v/>
      </c>
      <c r="E132" s="23">
        <f>IF(('MiT Strom Pipeline'!R63="offered")+('MiT Strom Pipeline'!R63="to be offered")+('MiT Strom Pipeline'!R63="on hold")&gt;0,'MiT Strom Pipeline'!E63,"")</f>
        <v/>
      </c>
      <c r="F132" s="24">
        <f>IF(('MiT Strom Pipeline'!R63="offered")+('MiT Strom Pipeline'!R63="to be offered")+('MiT Strom Pipeline'!R63="on hold")&gt;0,IF(ISNUMBER('MiT Strom Pipeline'!I63),'MiT Strom Pipeline'!I63,0),"")</f>
        <v/>
      </c>
      <c r="G132" s="24">
        <f>IF(('MiT Strom Pipeline'!R63="offered")+('MiT Strom Pipeline'!R63="to be offered")+('MiT Strom Pipeline'!R63="on hold")&gt;0,IF(ISNUMBER('MiT Strom Pipeline'!Q63),'MiT Strom Pipeline'!Q63,0),"")</f>
        <v/>
      </c>
      <c r="H132" s="24">
        <f>IF(('MiT Strom Pipeline'!R63="offered")+('MiT Strom Pipeline'!R63="to be offered")+('MiT Strom Pipeline'!R63="on hold")&gt;0,IF(ISNUMBER('MiT Strom Pipeline'!O63),'MiT Strom Pipeline'!O63,0),"")</f>
        <v/>
      </c>
      <c r="I132" s="22">
        <f>IF(('MiT Strom Pipeline'!R63="offered")+('MiT Strom Pipeline'!R63="to be offered")+('MiT Strom Pipeline'!R63="on hold")&gt;0,'MiT Strom Pipeline'!R63,"")</f>
        <v/>
      </c>
      <c r="J132" s="22">
        <f>IF(('MiT Strom Pipeline'!R63="offered")+('MiT Strom Pipeline'!R63="to be offered")+('MiT Strom Pipeline'!R63="on hold")&gt;0,'MiT Strom Pipeline'!S63,"")</f>
        <v/>
      </c>
      <c r="K132" s="23">
        <f>IF(('MiT Strom Pipeline'!R63="offered")+('MiT Strom Pipeline'!R63="to be offered")+('MiT Strom Pipeline'!R63="on hold")&gt;0,IF(LEN('MiT Strom Pipeline'!V63)&gt;0,LEFT('MiT Strom Pipeline'!V63,55),""),"")</f>
        <v/>
      </c>
    </row>
    <row r="133" hidden="1" ht="15.75" customHeight="1">
      <c r="A133" s="28">
        <f>IF(('MiT Strom Pipeline'!R64="offered")+('MiT Strom Pipeline'!R64="to be offered")+('MiT Strom Pipeline'!R64="on hold")&gt;0,IF(ISNUMBER('MiT Strom Pipeline'!A64),'MiT Strom Pipeline'!A64,""),"")</f>
        <v/>
      </c>
      <c r="B133" s="29">
        <f>IF(('MiT Strom Pipeline'!R64="offered")+('MiT Strom Pipeline'!R64="to be offered")+('MiT Strom Pipeline'!R64="on hold")&gt;0,'MiT Strom Pipeline'!B64,"")</f>
        <v/>
      </c>
      <c r="C133" s="28">
        <f>IF(('MiT Strom Pipeline'!R64="offered")+('MiT Strom Pipeline'!R64="to be offered")+('MiT Strom Pipeline'!R64="on hold")&gt;0,'MiT Strom Pipeline'!C64,"")</f>
        <v/>
      </c>
      <c r="D133" s="29">
        <f>IF(('MiT Strom Pipeline'!R64="offered")+('MiT Strom Pipeline'!R64="to be offered")+('MiT Strom Pipeline'!R64="on hold")&gt;0,'MiT Strom Pipeline'!D64,"")</f>
        <v/>
      </c>
      <c r="E133" s="29">
        <f>IF(('MiT Strom Pipeline'!R64="offered")+('MiT Strom Pipeline'!R64="to be offered")+('MiT Strom Pipeline'!R64="on hold")&gt;0,'MiT Strom Pipeline'!E64,"")</f>
        <v/>
      </c>
      <c r="F133" s="30">
        <f>IF(('MiT Strom Pipeline'!R64="offered")+('MiT Strom Pipeline'!R64="to be offered")+('MiT Strom Pipeline'!R64="on hold")&gt;0,IF(ISNUMBER('MiT Strom Pipeline'!I64),'MiT Strom Pipeline'!I64,0),"")</f>
        <v/>
      </c>
      <c r="G133" s="30">
        <f>IF(('MiT Strom Pipeline'!R64="offered")+('MiT Strom Pipeline'!R64="to be offered")+('MiT Strom Pipeline'!R64="on hold")&gt;0,IF(ISNUMBER('MiT Strom Pipeline'!Q64),'MiT Strom Pipeline'!Q64,0),"")</f>
        <v/>
      </c>
      <c r="H133" s="30">
        <f>IF(('MiT Strom Pipeline'!R64="offered")+('MiT Strom Pipeline'!R64="to be offered")+('MiT Strom Pipeline'!R64="on hold")&gt;0,IF(ISNUMBER('MiT Strom Pipeline'!O64),'MiT Strom Pipeline'!O64,0),"")</f>
        <v/>
      </c>
      <c r="I133" s="28">
        <f>IF(('MiT Strom Pipeline'!R64="offered")+('MiT Strom Pipeline'!R64="to be offered")+('MiT Strom Pipeline'!R64="on hold")&gt;0,'MiT Strom Pipeline'!R64,"")</f>
        <v/>
      </c>
      <c r="J133" s="28">
        <f>IF(('MiT Strom Pipeline'!R64="offered")+('MiT Strom Pipeline'!R64="to be offered")+('MiT Strom Pipeline'!R64="on hold")&gt;0,'MiT Strom Pipeline'!S64,"")</f>
        <v/>
      </c>
      <c r="K133" s="29">
        <f>IF(('MiT Strom Pipeline'!R64="offered")+('MiT Strom Pipeline'!R64="to be offered")+('MiT Strom Pipeline'!R64="on hold")&gt;0,IF(LEN('MiT Strom Pipeline'!V64)&gt;0,LEFT('MiT Strom Pipeline'!V64,55),""),"")</f>
        <v/>
      </c>
    </row>
    <row r="134" hidden="1" ht="15.75" customHeight="1">
      <c r="A134" s="22">
        <f>IF(('MiT Strom Pipeline'!R65="offered")+('MiT Strom Pipeline'!R65="to be offered")+('MiT Strom Pipeline'!R65="on hold")&gt;0,IF(ISNUMBER('MiT Strom Pipeline'!A65),'MiT Strom Pipeline'!A65,""),"")</f>
        <v/>
      </c>
      <c r="B134" s="23">
        <f>IF(('MiT Strom Pipeline'!R65="offered")+('MiT Strom Pipeline'!R65="to be offered")+('MiT Strom Pipeline'!R65="on hold")&gt;0,'MiT Strom Pipeline'!B65,"")</f>
        <v/>
      </c>
      <c r="C134" s="22">
        <f>IF(('MiT Strom Pipeline'!R65="offered")+('MiT Strom Pipeline'!R65="to be offered")+('MiT Strom Pipeline'!R65="on hold")&gt;0,'MiT Strom Pipeline'!C65,"")</f>
        <v/>
      </c>
      <c r="D134" s="23">
        <f>IF(('MiT Strom Pipeline'!R65="offered")+('MiT Strom Pipeline'!R65="to be offered")+('MiT Strom Pipeline'!R65="on hold")&gt;0,'MiT Strom Pipeline'!D65,"")</f>
        <v/>
      </c>
      <c r="E134" s="23">
        <f>IF(('MiT Strom Pipeline'!R65="offered")+('MiT Strom Pipeline'!R65="to be offered")+('MiT Strom Pipeline'!R65="on hold")&gt;0,'MiT Strom Pipeline'!E65,"")</f>
        <v/>
      </c>
      <c r="F134" s="24">
        <f>IF(('MiT Strom Pipeline'!R65="offered")+('MiT Strom Pipeline'!R65="to be offered")+('MiT Strom Pipeline'!R65="on hold")&gt;0,IF(ISNUMBER('MiT Strom Pipeline'!I65),'MiT Strom Pipeline'!I65,0),"")</f>
        <v/>
      </c>
      <c r="G134" s="24">
        <f>IF(('MiT Strom Pipeline'!R65="offered")+('MiT Strom Pipeline'!R65="to be offered")+('MiT Strom Pipeline'!R65="on hold")&gt;0,IF(ISNUMBER('MiT Strom Pipeline'!Q65),'MiT Strom Pipeline'!Q65,0),"")</f>
        <v/>
      </c>
      <c r="H134" s="24">
        <f>IF(('MiT Strom Pipeline'!R65="offered")+('MiT Strom Pipeline'!R65="to be offered")+('MiT Strom Pipeline'!R65="on hold")&gt;0,IF(ISNUMBER('MiT Strom Pipeline'!O65),'MiT Strom Pipeline'!O65,0),"")</f>
        <v/>
      </c>
      <c r="I134" s="22">
        <f>IF(('MiT Strom Pipeline'!R65="offered")+('MiT Strom Pipeline'!R65="to be offered")+('MiT Strom Pipeline'!R65="on hold")&gt;0,'MiT Strom Pipeline'!R65,"")</f>
        <v/>
      </c>
      <c r="J134" s="22">
        <f>IF(('MiT Strom Pipeline'!R65="offered")+('MiT Strom Pipeline'!R65="to be offered")+('MiT Strom Pipeline'!R65="on hold")&gt;0,'MiT Strom Pipeline'!S65,"")</f>
        <v/>
      </c>
      <c r="K134" s="23">
        <f>IF(('MiT Strom Pipeline'!R65="offered")+('MiT Strom Pipeline'!R65="to be offered")+('MiT Strom Pipeline'!R65="on hold")&gt;0,IF(LEN('MiT Strom Pipeline'!V65)&gt;0,LEFT('MiT Strom Pipeline'!V65,55),""),"")</f>
        <v/>
      </c>
    </row>
    <row r="135" hidden="1" ht="21.75" customHeight="1">
      <c r="A135" s="32">
        <f>IF(('MiT Strom Pipeline'!R66="offered")+('MiT Strom Pipeline'!R66="to be offered")+('MiT Strom Pipeline'!R66="on hold")&gt;0,IF(ISNUMBER('MiT Strom Pipeline'!A66),'MiT Strom Pipeline'!A66,""),"")</f>
        <v/>
      </c>
      <c r="B135" s="114">
        <f>IF(('MiT Strom Pipeline'!R66="offered")+('MiT Strom Pipeline'!R66="to be offered")+('MiT Strom Pipeline'!R66="on hold")&gt;0,'MiT Strom Pipeline'!B66,"")</f>
        <v/>
      </c>
      <c r="C135" s="166" t="n"/>
      <c r="D135" s="166" t="n"/>
      <c r="E135" s="167" t="n"/>
      <c r="F135" s="33">
        <f>IF(('MiT Strom Pipeline'!R66="offered")+('MiT Strom Pipeline'!R66="to be offered")+('MiT Strom Pipeline'!R66="on hold")&gt;0,IF(ISNUMBER('MiT Strom Pipeline'!I66),'MiT Strom Pipeline'!I66,0),"")</f>
        <v/>
      </c>
      <c r="G135" s="32">
        <f>IF(('MiT Strom Pipeline'!R66="offered")+('MiT Strom Pipeline'!R66="to be offered")+('MiT Strom Pipeline'!R66="on hold")&gt;0,IF(ISNUMBER('MiT Strom Pipeline'!Q66),'MiT Strom Pipeline'!Q66,0),"")</f>
        <v/>
      </c>
      <c r="H135" s="32">
        <f>IF(('MiT Strom Pipeline'!R66="offered")+('MiT Strom Pipeline'!R66="to be offered")+('MiT Strom Pipeline'!R66="on hold")&gt;0,IF(ISNUMBER('MiT Strom Pipeline'!O66),'MiT Strom Pipeline'!O66,0),"")</f>
        <v/>
      </c>
      <c r="I135" s="32">
        <f>IF(('MiT Strom Pipeline'!R66="offered")+('MiT Strom Pipeline'!R66="to be offered")+('MiT Strom Pipeline'!R66="on hold")&gt;0,'MiT Strom Pipeline'!R66,"")</f>
        <v/>
      </c>
      <c r="J135" s="32">
        <f>IF(('MiT Strom Pipeline'!R66="offered")+('MiT Strom Pipeline'!R66="to be offered")+('MiT Strom Pipeline'!R66="on hold")&gt;0,'MiT Strom Pipeline'!S66,"")</f>
        <v/>
      </c>
      <c r="K135" s="32">
        <f>IF(('MiT Strom Pipeline'!R66="offered")+('MiT Strom Pipeline'!R66="to be offered")+('MiT Strom Pipeline'!R66="on hold")&gt;0,IF(LEN('MiT Strom Pipeline'!V66)&gt;0,LEFT('MiT Strom Pipeline'!V66,55),""),"")</f>
        <v/>
      </c>
    </row>
    <row r="136" hidden="1" ht="3.75" customHeight="1">
      <c r="A136">
        <f>IF(('MiT Strom Pipeline'!R67="offered")+('MiT Strom Pipeline'!R67="to be offered")+('MiT Strom Pipeline'!R67="on hold")&gt;0,IF(ISNUMBER('MiT Strom Pipeline'!A67),'MiT Strom Pipeline'!A67,""),"")</f>
        <v/>
      </c>
      <c r="B136">
        <f>IF(('MiT Strom Pipeline'!R67="offered")+('MiT Strom Pipeline'!R67="to be offered")+('MiT Strom Pipeline'!R67="on hold")&gt;0,'MiT Strom Pipeline'!B67,"")</f>
        <v/>
      </c>
      <c r="C136">
        <f>IF(('MiT Strom Pipeline'!R67="offered")+('MiT Strom Pipeline'!R67="to be offered")+('MiT Strom Pipeline'!R67="on hold")&gt;0,'MiT Strom Pipeline'!C67,"")</f>
        <v/>
      </c>
      <c r="D136">
        <f>IF(('MiT Strom Pipeline'!R67="offered")+('MiT Strom Pipeline'!R67="to be offered")+('MiT Strom Pipeline'!R67="on hold")&gt;0,'MiT Strom Pipeline'!D67,"")</f>
        <v/>
      </c>
      <c r="E136">
        <f>IF(('MiT Strom Pipeline'!R67="offered")+('MiT Strom Pipeline'!R67="to be offered")+('MiT Strom Pipeline'!R67="on hold")&gt;0,'MiT Strom Pipeline'!E67,"")</f>
        <v/>
      </c>
      <c r="F136">
        <f>IF(('MiT Strom Pipeline'!R67="offered")+('MiT Strom Pipeline'!R67="to be offered")+('MiT Strom Pipeline'!R67="on hold")&gt;0,IF(ISNUMBER('MiT Strom Pipeline'!I67),'MiT Strom Pipeline'!I67,0),"")</f>
        <v/>
      </c>
      <c r="G136">
        <f>IF(('MiT Strom Pipeline'!R67="offered")+('MiT Strom Pipeline'!R67="to be offered")+('MiT Strom Pipeline'!R67="on hold")&gt;0,IF(ISNUMBER('MiT Strom Pipeline'!Q67),'MiT Strom Pipeline'!Q67,0),"")</f>
        <v/>
      </c>
      <c r="H136">
        <f>IF(('MiT Strom Pipeline'!R67="offered")+('MiT Strom Pipeline'!R67="to be offered")+('MiT Strom Pipeline'!R67="on hold")&gt;0,IF(ISNUMBER('MiT Strom Pipeline'!O67),'MiT Strom Pipeline'!O67,0),"")</f>
        <v/>
      </c>
      <c r="I136">
        <f>IF(('MiT Strom Pipeline'!R67="offered")+('MiT Strom Pipeline'!R67="to be offered")+('MiT Strom Pipeline'!R67="on hold")&gt;0,'MiT Strom Pipeline'!R67,"")</f>
        <v/>
      </c>
      <c r="J136">
        <f>IF(('MiT Strom Pipeline'!R67="offered")+('MiT Strom Pipeline'!R67="to be offered")+('MiT Strom Pipeline'!R67="on hold")&gt;0,'MiT Strom Pipeline'!S67,"")</f>
        <v/>
      </c>
      <c r="K136">
        <f>IF(('MiT Strom Pipeline'!R67="offered")+('MiT Strom Pipeline'!R67="to be offered")+('MiT Strom Pipeline'!R67="on hold")&gt;0,IF(LEN('MiT Strom Pipeline'!V67)&gt;0,LEFT('MiT Strom Pipeline'!V67,55),""),"")</f>
        <v/>
      </c>
    </row>
    <row r="137" hidden="1" ht="24" customHeight="1">
      <c r="A137" s="115" t="inlineStr">
        <is>
          <t>🎯  3. OPPORTUNITÄT — Qualifizierte Leads</t>
        </is>
      </c>
      <c r="B137" s="166" t="n"/>
      <c r="C137" s="166" t="n"/>
      <c r="D137" s="166" t="n"/>
      <c r="E137" s="166" t="n"/>
      <c r="F137" s="166" t="n"/>
      <c r="G137" s="166" t="n"/>
      <c r="H137" s="166" t="n"/>
      <c r="I137" s="166" t="n"/>
      <c r="J137" s="166" t="n"/>
      <c r="K137" s="167" t="n"/>
    </row>
    <row r="138" ht="19.5" customHeight="1">
      <c r="A138" s="16" t="inlineStr">
        <is>
          <t>#</t>
        </is>
      </c>
      <c r="B138" s="17" t="inlineStr">
        <is>
          <t>Kunde / Unternehmen</t>
        </is>
      </c>
      <c r="C138" s="16" t="inlineStr">
        <is>
          <t>Kt.</t>
        </is>
      </c>
      <c r="D138" s="17" t="inlineStr">
        <is>
          <t>Segment</t>
        </is>
      </c>
      <c r="E138" s="17" t="inlineStr">
        <is>
          <t>Leistung / Fleet</t>
        </is>
      </c>
      <c r="F138" s="18" t="inlineStr">
        <is>
          <t>Volumen CHF</t>
        </is>
      </c>
      <c r="G138" s="18" t="inlineStr">
        <is>
          <t>Gew.Wert CHF</t>
        </is>
      </c>
      <c r="H138" s="18" t="inlineStr">
        <is>
          <t>Marge CHF</t>
        </is>
      </c>
      <c r="I138" s="16" t="inlineStr">
        <is>
          <t>Status</t>
        </is>
      </c>
      <c r="J138" s="16" t="inlineStr">
        <is>
          <t>Wahr.%</t>
        </is>
      </c>
      <c r="K138" s="17" t="inlineStr">
        <is>
          <t>Nächster Schritt</t>
        </is>
      </c>
    </row>
    <row r="139" hidden="1" ht="15.75" customHeight="1">
      <c r="A139" s="34">
        <f>IF(('MiT Strom Pipeline'!R6="follow-up")+('MiT Strom Pipeline'!R6="Evaluation")+('MiT Strom Pipeline'!R6="tbd")+('MiT Strom Pipeline'!R6="In evaluation")&gt;0,IF(ISNUMBER('MiT Strom Pipeline'!A6),'MiT Strom Pipeline'!A6,""),"")</f>
        <v/>
      </c>
      <c r="B139" s="35">
        <f>IF(('MiT Strom Pipeline'!R6="follow-up")+('MiT Strom Pipeline'!R6="Evaluation")+('MiT Strom Pipeline'!R6="tbd")+('MiT Strom Pipeline'!R6="In evaluation")&gt;0,'MiT Strom Pipeline'!B6,"")</f>
        <v/>
      </c>
      <c r="C139" s="34">
        <f>IF(('MiT Strom Pipeline'!R6="follow-up")+('MiT Strom Pipeline'!R6="Evaluation")+('MiT Strom Pipeline'!R6="tbd")+('MiT Strom Pipeline'!R6="In evaluation")&gt;0,'MiT Strom Pipeline'!C6,"")</f>
        <v/>
      </c>
      <c r="D139" s="35">
        <f>IF(('MiT Strom Pipeline'!R6="follow-up")+('MiT Strom Pipeline'!R6="Evaluation")+('MiT Strom Pipeline'!R6="tbd")+('MiT Strom Pipeline'!R6="In evaluation")&gt;0,'MiT Strom Pipeline'!D6,"")</f>
        <v/>
      </c>
      <c r="E139" s="35">
        <f>IF(('MiT Strom Pipeline'!R6="follow-up")+('MiT Strom Pipeline'!R6="Evaluation")+('MiT Strom Pipeline'!R6="tbd")+('MiT Strom Pipeline'!R6="In evaluation")&gt;0,'MiT Strom Pipeline'!E6,"")</f>
        <v/>
      </c>
      <c r="F139" s="36">
        <f>IF(('MiT Strom Pipeline'!R6="follow-up")+('MiT Strom Pipeline'!R6="Evaluation")+('MiT Strom Pipeline'!R6="tbd")+('MiT Strom Pipeline'!R6="In evaluation")&gt;0,IF(ISNUMBER('MiT Strom Pipeline'!I6),'MiT Strom Pipeline'!I6,0),"")</f>
        <v/>
      </c>
      <c r="G139" s="36">
        <f>IF(('MiT Strom Pipeline'!R6="follow-up")+('MiT Strom Pipeline'!R6="Evaluation")+('MiT Strom Pipeline'!R6="tbd")+('MiT Strom Pipeline'!R6="In evaluation")&gt;0,IF(ISNUMBER('MiT Strom Pipeline'!Q6),'MiT Strom Pipeline'!Q6,0),"")</f>
        <v/>
      </c>
      <c r="H139" s="36">
        <f>IF(('MiT Strom Pipeline'!R6="follow-up")+('MiT Strom Pipeline'!R6="Evaluation")+('MiT Strom Pipeline'!R6="tbd")+('MiT Strom Pipeline'!R6="In evaluation")&gt;0,IF(ISNUMBER('MiT Strom Pipeline'!O6),'MiT Strom Pipeline'!O6,0),"")</f>
        <v/>
      </c>
      <c r="I139" s="34">
        <f>IF(('MiT Strom Pipeline'!R6="follow-up")+('MiT Strom Pipeline'!R6="Evaluation")+('MiT Strom Pipeline'!R6="tbd")+('MiT Strom Pipeline'!R6="In evaluation")&gt;0,'MiT Strom Pipeline'!R6,"")</f>
        <v/>
      </c>
      <c r="J139" s="34">
        <f>IF(('MiT Strom Pipeline'!R6="follow-up")+('MiT Strom Pipeline'!R6="Evaluation")+('MiT Strom Pipeline'!R6="tbd")+('MiT Strom Pipeline'!R6="In evaluation")&gt;0,'MiT Strom Pipeline'!S6,"")</f>
        <v/>
      </c>
      <c r="K139" s="35">
        <f>IF(('MiT Strom Pipeline'!R6="follow-up")+('MiT Strom Pipeline'!R6="Evaluation")+('MiT Strom Pipeline'!R6="tbd")+('MiT Strom Pipeline'!R6="In evaluation")&gt;0,IF(LEN('MiT Strom Pipeline'!V6)&gt;0,LEFT('MiT Strom Pipeline'!V6,55),""),"")</f>
        <v/>
      </c>
    </row>
    <row r="140" hidden="1" ht="15.75" customHeight="1">
      <c r="A140" s="22">
        <f>IF(('MiT Strom Pipeline'!R7="follow-up")+('MiT Strom Pipeline'!R7="Evaluation")+('MiT Strom Pipeline'!R7="tbd")+('MiT Strom Pipeline'!R7="In evaluation")&gt;0,IF(ISNUMBER('MiT Strom Pipeline'!A7),'MiT Strom Pipeline'!A7,""),"")</f>
        <v/>
      </c>
      <c r="B140" s="23">
        <f>IF(('MiT Strom Pipeline'!R7="follow-up")+('MiT Strom Pipeline'!R7="Evaluation")+('MiT Strom Pipeline'!R7="tbd")+('MiT Strom Pipeline'!R7="In evaluation")&gt;0,'MiT Strom Pipeline'!B7,"")</f>
        <v/>
      </c>
      <c r="C140" s="22">
        <f>IF(('MiT Strom Pipeline'!R7="follow-up")+('MiT Strom Pipeline'!R7="Evaluation")+('MiT Strom Pipeline'!R7="tbd")+('MiT Strom Pipeline'!R7="In evaluation")&gt;0,'MiT Strom Pipeline'!C7,"")</f>
        <v/>
      </c>
      <c r="D140" s="23">
        <f>IF(('MiT Strom Pipeline'!R7="follow-up")+('MiT Strom Pipeline'!R7="Evaluation")+('MiT Strom Pipeline'!R7="tbd")+('MiT Strom Pipeline'!R7="In evaluation")&gt;0,'MiT Strom Pipeline'!D7,"")</f>
        <v/>
      </c>
      <c r="E140" s="23">
        <f>IF(('MiT Strom Pipeline'!R7="follow-up")+('MiT Strom Pipeline'!R7="Evaluation")+('MiT Strom Pipeline'!R7="tbd")+('MiT Strom Pipeline'!R7="In evaluation")&gt;0,'MiT Strom Pipeline'!E7,"")</f>
        <v/>
      </c>
      <c r="F140" s="24">
        <f>IF(('MiT Strom Pipeline'!R7="follow-up")+('MiT Strom Pipeline'!R7="Evaluation")+('MiT Strom Pipeline'!R7="tbd")+('MiT Strom Pipeline'!R7="In evaluation")&gt;0,IF(ISNUMBER('MiT Strom Pipeline'!I7),'MiT Strom Pipeline'!I7,0),"")</f>
        <v/>
      </c>
      <c r="G140" s="24">
        <f>IF(('MiT Strom Pipeline'!R7="follow-up")+('MiT Strom Pipeline'!R7="Evaluation")+('MiT Strom Pipeline'!R7="tbd")+('MiT Strom Pipeline'!R7="In evaluation")&gt;0,IF(ISNUMBER('MiT Strom Pipeline'!Q7),'MiT Strom Pipeline'!Q7,0),"")</f>
        <v/>
      </c>
      <c r="H140" s="24">
        <f>IF(('MiT Strom Pipeline'!R7="follow-up")+('MiT Strom Pipeline'!R7="Evaluation")+('MiT Strom Pipeline'!R7="tbd")+('MiT Strom Pipeline'!R7="In evaluation")&gt;0,IF(ISNUMBER('MiT Strom Pipeline'!O7),'MiT Strom Pipeline'!O7,0),"")</f>
        <v/>
      </c>
      <c r="I140" s="22">
        <f>IF(('MiT Strom Pipeline'!R7="follow-up")+('MiT Strom Pipeline'!R7="Evaluation")+('MiT Strom Pipeline'!R7="tbd")+('MiT Strom Pipeline'!R7="In evaluation")&gt;0,'MiT Strom Pipeline'!R7,"")</f>
        <v/>
      </c>
      <c r="J140" s="22">
        <f>IF(('MiT Strom Pipeline'!R7="follow-up")+('MiT Strom Pipeline'!R7="Evaluation")+('MiT Strom Pipeline'!R7="tbd")+('MiT Strom Pipeline'!R7="In evaluation")&gt;0,'MiT Strom Pipeline'!S7,"")</f>
        <v/>
      </c>
      <c r="K140" s="23">
        <f>IF(('MiT Strom Pipeline'!R7="follow-up")+('MiT Strom Pipeline'!R7="Evaluation")+('MiT Strom Pipeline'!R7="tbd")+('MiT Strom Pipeline'!R7="In evaluation")&gt;0,IF(LEN('MiT Strom Pipeline'!V7)&gt;0,LEFT('MiT Strom Pipeline'!V7,55),""),"")</f>
        <v/>
      </c>
    </row>
    <row r="141" hidden="1" ht="15.75" customHeight="1">
      <c r="A141" s="34">
        <f>IF(('MiT Strom Pipeline'!R8="follow-up")+('MiT Strom Pipeline'!R8="Evaluation")+('MiT Strom Pipeline'!R8="tbd")+('MiT Strom Pipeline'!R8="In evaluation")&gt;0,IF(ISNUMBER('MiT Strom Pipeline'!A8),'MiT Strom Pipeline'!A8,""),"")</f>
        <v/>
      </c>
      <c r="B141" s="35">
        <f>IF(('MiT Strom Pipeline'!R8="follow-up")+('MiT Strom Pipeline'!R8="Evaluation")+('MiT Strom Pipeline'!R8="tbd")+('MiT Strom Pipeline'!R8="In evaluation")&gt;0,'MiT Strom Pipeline'!B8,"")</f>
        <v/>
      </c>
      <c r="C141" s="34">
        <f>IF(('MiT Strom Pipeline'!R8="follow-up")+('MiT Strom Pipeline'!R8="Evaluation")+('MiT Strom Pipeline'!R8="tbd")+('MiT Strom Pipeline'!R8="In evaluation")&gt;0,'MiT Strom Pipeline'!C8,"")</f>
        <v/>
      </c>
      <c r="D141" s="35">
        <f>IF(('MiT Strom Pipeline'!R8="follow-up")+('MiT Strom Pipeline'!R8="Evaluation")+('MiT Strom Pipeline'!R8="tbd")+('MiT Strom Pipeline'!R8="In evaluation")&gt;0,'MiT Strom Pipeline'!D8,"")</f>
        <v/>
      </c>
      <c r="E141" s="35">
        <f>IF(('MiT Strom Pipeline'!R8="follow-up")+('MiT Strom Pipeline'!R8="Evaluation")+('MiT Strom Pipeline'!R8="tbd")+('MiT Strom Pipeline'!R8="In evaluation")&gt;0,'MiT Strom Pipeline'!E8,"")</f>
        <v/>
      </c>
      <c r="F141" s="36">
        <f>IF(('MiT Strom Pipeline'!R8="follow-up")+('MiT Strom Pipeline'!R8="Evaluation")+('MiT Strom Pipeline'!R8="tbd")+('MiT Strom Pipeline'!R8="In evaluation")&gt;0,IF(ISNUMBER('MiT Strom Pipeline'!I8),'MiT Strom Pipeline'!I8,0),"")</f>
        <v/>
      </c>
      <c r="G141" s="36">
        <f>IF(('MiT Strom Pipeline'!R8="follow-up")+('MiT Strom Pipeline'!R8="Evaluation")+('MiT Strom Pipeline'!R8="tbd")+('MiT Strom Pipeline'!R8="In evaluation")&gt;0,IF(ISNUMBER('MiT Strom Pipeline'!Q8),'MiT Strom Pipeline'!Q8,0),"")</f>
        <v/>
      </c>
      <c r="H141" s="36">
        <f>IF(('MiT Strom Pipeline'!R8="follow-up")+('MiT Strom Pipeline'!R8="Evaluation")+('MiT Strom Pipeline'!R8="tbd")+('MiT Strom Pipeline'!R8="In evaluation")&gt;0,IF(ISNUMBER('MiT Strom Pipeline'!O8),'MiT Strom Pipeline'!O8,0),"")</f>
        <v/>
      </c>
      <c r="I141" s="34">
        <f>IF(('MiT Strom Pipeline'!R8="follow-up")+('MiT Strom Pipeline'!R8="Evaluation")+('MiT Strom Pipeline'!R8="tbd")+('MiT Strom Pipeline'!R8="In evaluation")&gt;0,'MiT Strom Pipeline'!R8,"")</f>
        <v/>
      </c>
      <c r="J141" s="34">
        <f>IF(('MiT Strom Pipeline'!R8="follow-up")+('MiT Strom Pipeline'!R8="Evaluation")+('MiT Strom Pipeline'!R8="tbd")+('MiT Strom Pipeline'!R8="In evaluation")&gt;0,'MiT Strom Pipeline'!S8,"")</f>
        <v/>
      </c>
      <c r="K141" s="35">
        <f>IF(('MiT Strom Pipeline'!R8="follow-up")+('MiT Strom Pipeline'!R8="Evaluation")+('MiT Strom Pipeline'!R8="tbd")+('MiT Strom Pipeline'!R8="In evaluation")&gt;0,IF(LEN('MiT Strom Pipeline'!V8)&gt;0,LEFT('MiT Strom Pipeline'!V8,55),""),"")</f>
        <v/>
      </c>
    </row>
    <row r="142" hidden="1" ht="15.75" customHeight="1">
      <c r="A142" s="22">
        <f>IF(('MiT Strom Pipeline'!R9="follow-up")+('MiT Strom Pipeline'!R9="Evaluation")+('MiT Strom Pipeline'!R9="tbd")+('MiT Strom Pipeline'!R9="In evaluation")&gt;0,IF(ISNUMBER('MiT Strom Pipeline'!A9),'MiT Strom Pipeline'!A9,""),"")</f>
        <v/>
      </c>
      <c r="B142" s="23">
        <f>IF(('MiT Strom Pipeline'!R9="follow-up")+('MiT Strom Pipeline'!R9="Evaluation")+('MiT Strom Pipeline'!R9="tbd")+('MiT Strom Pipeline'!R9="In evaluation")&gt;0,'MiT Strom Pipeline'!B9,"")</f>
        <v/>
      </c>
      <c r="C142" s="22">
        <f>IF(('MiT Strom Pipeline'!R9="follow-up")+('MiT Strom Pipeline'!R9="Evaluation")+('MiT Strom Pipeline'!R9="tbd")+('MiT Strom Pipeline'!R9="In evaluation")&gt;0,'MiT Strom Pipeline'!C9,"")</f>
        <v/>
      </c>
      <c r="D142" s="23">
        <f>IF(('MiT Strom Pipeline'!R9="follow-up")+('MiT Strom Pipeline'!R9="Evaluation")+('MiT Strom Pipeline'!R9="tbd")+('MiT Strom Pipeline'!R9="In evaluation")&gt;0,'MiT Strom Pipeline'!D9,"")</f>
        <v/>
      </c>
      <c r="E142" s="23">
        <f>IF(('MiT Strom Pipeline'!R9="follow-up")+('MiT Strom Pipeline'!R9="Evaluation")+('MiT Strom Pipeline'!R9="tbd")+('MiT Strom Pipeline'!R9="In evaluation")&gt;0,'MiT Strom Pipeline'!E9,"")</f>
        <v/>
      </c>
      <c r="F142" s="24">
        <f>IF(('MiT Strom Pipeline'!R9="follow-up")+('MiT Strom Pipeline'!R9="Evaluation")+('MiT Strom Pipeline'!R9="tbd")+('MiT Strom Pipeline'!R9="In evaluation")&gt;0,IF(ISNUMBER('MiT Strom Pipeline'!I9),'MiT Strom Pipeline'!I9,0),"")</f>
        <v/>
      </c>
      <c r="G142" s="24">
        <f>IF(('MiT Strom Pipeline'!R9="follow-up")+('MiT Strom Pipeline'!R9="Evaluation")+('MiT Strom Pipeline'!R9="tbd")+('MiT Strom Pipeline'!R9="In evaluation")&gt;0,IF(ISNUMBER('MiT Strom Pipeline'!Q9),'MiT Strom Pipeline'!Q9,0),"")</f>
        <v/>
      </c>
      <c r="H142" s="24">
        <f>IF(('MiT Strom Pipeline'!R9="follow-up")+('MiT Strom Pipeline'!R9="Evaluation")+('MiT Strom Pipeline'!R9="tbd")+('MiT Strom Pipeline'!R9="In evaluation")&gt;0,IF(ISNUMBER('MiT Strom Pipeline'!O9),'MiT Strom Pipeline'!O9,0),"")</f>
        <v/>
      </c>
      <c r="I142" s="22">
        <f>IF(('MiT Strom Pipeline'!R9="follow-up")+('MiT Strom Pipeline'!R9="Evaluation")+('MiT Strom Pipeline'!R9="tbd")+('MiT Strom Pipeline'!R9="In evaluation")&gt;0,'MiT Strom Pipeline'!R9,"")</f>
        <v/>
      </c>
      <c r="J142" s="22">
        <f>IF(('MiT Strom Pipeline'!R9="follow-up")+('MiT Strom Pipeline'!R9="Evaluation")+('MiT Strom Pipeline'!R9="tbd")+('MiT Strom Pipeline'!R9="In evaluation")&gt;0,'MiT Strom Pipeline'!S9,"")</f>
        <v/>
      </c>
      <c r="K142" s="23">
        <f>IF(('MiT Strom Pipeline'!R9="follow-up")+('MiT Strom Pipeline'!R9="Evaluation")+('MiT Strom Pipeline'!R9="tbd")+('MiT Strom Pipeline'!R9="In evaluation")&gt;0,IF(LEN('MiT Strom Pipeline'!V9)&gt;0,LEFT('MiT Strom Pipeline'!V9,55),""),"")</f>
        <v/>
      </c>
    </row>
    <row r="143" hidden="1" ht="15.75" customHeight="1">
      <c r="A143" s="34">
        <f>IF(('MiT Strom Pipeline'!R10="follow-up")+('MiT Strom Pipeline'!R10="Evaluation")+('MiT Strom Pipeline'!R10="tbd")+('MiT Strom Pipeline'!R10="In evaluation")&gt;0,IF(ISNUMBER('MiT Strom Pipeline'!A10),'MiT Strom Pipeline'!A10,""),"")</f>
        <v/>
      </c>
      <c r="B143" s="35">
        <f>IF(('MiT Strom Pipeline'!R10="follow-up")+('MiT Strom Pipeline'!R10="Evaluation")+('MiT Strom Pipeline'!R10="tbd")+('MiT Strom Pipeline'!R10="In evaluation")&gt;0,'MiT Strom Pipeline'!B10,"")</f>
        <v/>
      </c>
      <c r="C143" s="34">
        <f>IF(('MiT Strom Pipeline'!R10="follow-up")+('MiT Strom Pipeline'!R10="Evaluation")+('MiT Strom Pipeline'!R10="tbd")+('MiT Strom Pipeline'!R10="In evaluation")&gt;0,'MiT Strom Pipeline'!C10,"")</f>
        <v/>
      </c>
      <c r="D143" s="35">
        <f>IF(('MiT Strom Pipeline'!R10="follow-up")+('MiT Strom Pipeline'!R10="Evaluation")+('MiT Strom Pipeline'!R10="tbd")+('MiT Strom Pipeline'!R10="In evaluation")&gt;0,'MiT Strom Pipeline'!D10,"")</f>
        <v/>
      </c>
      <c r="E143" s="35">
        <f>IF(('MiT Strom Pipeline'!R10="follow-up")+('MiT Strom Pipeline'!R10="Evaluation")+('MiT Strom Pipeline'!R10="tbd")+('MiT Strom Pipeline'!R10="In evaluation")&gt;0,'MiT Strom Pipeline'!E10,"")</f>
        <v/>
      </c>
      <c r="F143" s="36">
        <f>IF(('MiT Strom Pipeline'!R10="follow-up")+('MiT Strom Pipeline'!R10="Evaluation")+('MiT Strom Pipeline'!R10="tbd")+('MiT Strom Pipeline'!R10="In evaluation")&gt;0,IF(ISNUMBER('MiT Strom Pipeline'!I10),'MiT Strom Pipeline'!I10,0),"")</f>
        <v/>
      </c>
      <c r="G143" s="36">
        <f>IF(('MiT Strom Pipeline'!R10="follow-up")+('MiT Strom Pipeline'!R10="Evaluation")+('MiT Strom Pipeline'!R10="tbd")+('MiT Strom Pipeline'!R10="In evaluation")&gt;0,IF(ISNUMBER('MiT Strom Pipeline'!Q10),'MiT Strom Pipeline'!Q10,0),"")</f>
        <v/>
      </c>
      <c r="H143" s="36">
        <f>IF(('MiT Strom Pipeline'!R10="follow-up")+('MiT Strom Pipeline'!R10="Evaluation")+('MiT Strom Pipeline'!R10="tbd")+('MiT Strom Pipeline'!R10="In evaluation")&gt;0,IF(ISNUMBER('MiT Strom Pipeline'!O10),'MiT Strom Pipeline'!O10,0),"")</f>
        <v/>
      </c>
      <c r="I143" s="34">
        <f>IF(('MiT Strom Pipeline'!R10="follow-up")+('MiT Strom Pipeline'!R10="Evaluation")+('MiT Strom Pipeline'!R10="tbd")+('MiT Strom Pipeline'!R10="In evaluation")&gt;0,'MiT Strom Pipeline'!R10,"")</f>
        <v/>
      </c>
      <c r="J143" s="34">
        <f>IF(('MiT Strom Pipeline'!R10="follow-up")+('MiT Strom Pipeline'!R10="Evaluation")+('MiT Strom Pipeline'!R10="tbd")+('MiT Strom Pipeline'!R10="In evaluation")&gt;0,'MiT Strom Pipeline'!S10,"")</f>
        <v/>
      </c>
      <c r="K143" s="35">
        <f>IF(('MiT Strom Pipeline'!R10="follow-up")+('MiT Strom Pipeline'!R10="Evaluation")+('MiT Strom Pipeline'!R10="tbd")+('MiT Strom Pipeline'!R10="In evaluation")&gt;0,IF(LEN('MiT Strom Pipeline'!V10)&gt;0,LEFT('MiT Strom Pipeline'!V10,55),""),"")</f>
        <v/>
      </c>
    </row>
    <row r="144" hidden="1" ht="15.75" customHeight="1">
      <c r="A144" s="22">
        <f>IF(('MiT Strom Pipeline'!R11="follow-up")+('MiT Strom Pipeline'!R11="Evaluation")+('MiT Strom Pipeline'!R11="tbd")+('MiT Strom Pipeline'!R11="In evaluation")&gt;0,IF(ISNUMBER('MiT Strom Pipeline'!A11),'MiT Strom Pipeline'!A11,""),"")</f>
        <v/>
      </c>
      <c r="B144" s="23">
        <f>IF(('MiT Strom Pipeline'!R11="follow-up")+('MiT Strom Pipeline'!R11="Evaluation")+('MiT Strom Pipeline'!R11="tbd")+('MiT Strom Pipeline'!R11="In evaluation")&gt;0,'MiT Strom Pipeline'!B11,"")</f>
        <v/>
      </c>
      <c r="C144" s="22">
        <f>IF(('MiT Strom Pipeline'!R11="follow-up")+('MiT Strom Pipeline'!R11="Evaluation")+('MiT Strom Pipeline'!R11="tbd")+('MiT Strom Pipeline'!R11="In evaluation")&gt;0,'MiT Strom Pipeline'!C11,"")</f>
        <v/>
      </c>
      <c r="D144" s="23">
        <f>IF(('MiT Strom Pipeline'!R11="follow-up")+('MiT Strom Pipeline'!R11="Evaluation")+('MiT Strom Pipeline'!R11="tbd")+('MiT Strom Pipeline'!R11="In evaluation")&gt;0,'MiT Strom Pipeline'!D11,"")</f>
        <v/>
      </c>
      <c r="E144" s="23">
        <f>IF(('MiT Strom Pipeline'!R11="follow-up")+('MiT Strom Pipeline'!R11="Evaluation")+('MiT Strom Pipeline'!R11="tbd")+('MiT Strom Pipeline'!R11="In evaluation")&gt;0,'MiT Strom Pipeline'!E11,"")</f>
        <v/>
      </c>
      <c r="F144" s="24">
        <f>IF(('MiT Strom Pipeline'!R11="follow-up")+('MiT Strom Pipeline'!R11="Evaluation")+('MiT Strom Pipeline'!R11="tbd")+('MiT Strom Pipeline'!R11="In evaluation")&gt;0,IF(ISNUMBER('MiT Strom Pipeline'!I11),'MiT Strom Pipeline'!I11,0),"")</f>
        <v/>
      </c>
      <c r="G144" s="24">
        <f>IF(('MiT Strom Pipeline'!R11="follow-up")+('MiT Strom Pipeline'!R11="Evaluation")+('MiT Strom Pipeline'!R11="tbd")+('MiT Strom Pipeline'!R11="In evaluation")&gt;0,IF(ISNUMBER('MiT Strom Pipeline'!Q11),'MiT Strom Pipeline'!Q11,0),"")</f>
        <v/>
      </c>
      <c r="H144" s="24">
        <f>IF(('MiT Strom Pipeline'!R11="follow-up")+('MiT Strom Pipeline'!R11="Evaluation")+('MiT Strom Pipeline'!R11="tbd")+('MiT Strom Pipeline'!R11="In evaluation")&gt;0,IF(ISNUMBER('MiT Strom Pipeline'!O11),'MiT Strom Pipeline'!O11,0),"")</f>
        <v/>
      </c>
      <c r="I144" s="22">
        <f>IF(('MiT Strom Pipeline'!R11="follow-up")+('MiT Strom Pipeline'!R11="Evaluation")+('MiT Strom Pipeline'!R11="tbd")+('MiT Strom Pipeline'!R11="In evaluation")&gt;0,'MiT Strom Pipeline'!R11,"")</f>
        <v/>
      </c>
      <c r="J144" s="22">
        <f>IF(('MiT Strom Pipeline'!R11="follow-up")+('MiT Strom Pipeline'!R11="Evaluation")+('MiT Strom Pipeline'!R11="tbd")+('MiT Strom Pipeline'!R11="In evaluation")&gt;0,'MiT Strom Pipeline'!S11,"")</f>
        <v/>
      </c>
      <c r="K144" s="23">
        <f>IF(('MiT Strom Pipeline'!R11="follow-up")+('MiT Strom Pipeline'!R11="Evaluation")+('MiT Strom Pipeline'!R11="tbd")+('MiT Strom Pipeline'!R11="In evaluation")&gt;0,IF(LEN('MiT Strom Pipeline'!V11)&gt;0,LEFT('MiT Strom Pipeline'!V11,55),""),"")</f>
        <v/>
      </c>
    </row>
    <row r="145" ht="15.75" customHeight="1">
      <c r="A145" s="34">
        <f>IF(('MiT Strom Pipeline'!R12="follow-up")+('MiT Strom Pipeline'!R12="Evaluation")+('MiT Strom Pipeline'!R12="tbd")+('MiT Strom Pipeline'!R12="In evaluation")&gt;0,IF(ISNUMBER('MiT Strom Pipeline'!A12),'MiT Strom Pipeline'!A12,""),"")</f>
        <v/>
      </c>
      <c r="B145" s="35">
        <f>IF(('MiT Strom Pipeline'!R12="follow-up")+('MiT Strom Pipeline'!R12="Evaluation")+('MiT Strom Pipeline'!R12="tbd")+('MiT Strom Pipeline'!R12="In evaluation")&gt;0,'MiT Strom Pipeline'!B12,"")</f>
        <v/>
      </c>
      <c r="C145" s="34">
        <f>IF(('MiT Strom Pipeline'!R12="follow-up")+('MiT Strom Pipeline'!R12="Evaluation")+('MiT Strom Pipeline'!R12="tbd")+('MiT Strom Pipeline'!R12="In evaluation")&gt;0,'MiT Strom Pipeline'!C12,"")</f>
        <v/>
      </c>
      <c r="D145" s="35">
        <f>IF(('MiT Strom Pipeline'!R12="follow-up")+('MiT Strom Pipeline'!R12="Evaluation")+('MiT Strom Pipeline'!R12="tbd")+('MiT Strom Pipeline'!R12="In evaluation")&gt;0,'MiT Strom Pipeline'!D12,"")</f>
        <v/>
      </c>
      <c r="E145" s="35">
        <f>IF(('MiT Strom Pipeline'!R12="follow-up")+('MiT Strom Pipeline'!R12="Evaluation")+('MiT Strom Pipeline'!R12="tbd")+('MiT Strom Pipeline'!R12="In evaluation")&gt;0,'MiT Strom Pipeline'!E12,"")</f>
        <v/>
      </c>
      <c r="F145" s="36">
        <f>IF(('MiT Strom Pipeline'!R12="follow-up")+('MiT Strom Pipeline'!R12="Evaluation")+('MiT Strom Pipeline'!R12="tbd")+('MiT Strom Pipeline'!R12="In evaluation")&gt;0,IF(ISNUMBER('MiT Strom Pipeline'!I12),'MiT Strom Pipeline'!I12,0),"")</f>
        <v/>
      </c>
      <c r="G145" s="36">
        <f>IF(('MiT Strom Pipeline'!R12="follow-up")+('MiT Strom Pipeline'!R12="Evaluation")+('MiT Strom Pipeline'!R12="tbd")+('MiT Strom Pipeline'!R12="In evaluation")&gt;0,IF(ISNUMBER('MiT Strom Pipeline'!Q12),'MiT Strom Pipeline'!Q12,0),"")</f>
        <v/>
      </c>
      <c r="H145" s="36">
        <f>IF(('MiT Strom Pipeline'!R12="follow-up")+('MiT Strom Pipeline'!R12="Evaluation")+('MiT Strom Pipeline'!R12="tbd")+('MiT Strom Pipeline'!R12="In evaluation")&gt;0,IF(ISNUMBER('MiT Strom Pipeline'!O12),'MiT Strom Pipeline'!O12,0),"")</f>
        <v/>
      </c>
      <c r="I145" s="34">
        <f>IF(('MiT Strom Pipeline'!R12="follow-up")+('MiT Strom Pipeline'!R12="Evaluation")+('MiT Strom Pipeline'!R12="tbd")+('MiT Strom Pipeline'!R12="In evaluation")&gt;0,'MiT Strom Pipeline'!R12,"")</f>
        <v/>
      </c>
      <c r="J145" s="34">
        <f>IF(('MiT Strom Pipeline'!R12="follow-up")+('MiT Strom Pipeline'!R12="Evaluation")+('MiT Strom Pipeline'!R12="tbd")+('MiT Strom Pipeline'!R12="In evaluation")&gt;0,'MiT Strom Pipeline'!S12,"")</f>
        <v/>
      </c>
      <c r="K145" s="35">
        <f>IF(('MiT Strom Pipeline'!R12="follow-up")+('MiT Strom Pipeline'!R12="Evaluation")+('MiT Strom Pipeline'!R12="tbd")+('MiT Strom Pipeline'!R12="In evaluation")&gt;0,IF(LEN('MiT Strom Pipeline'!V12)&gt;0,LEFT('MiT Strom Pipeline'!V12,55),""),"")</f>
        <v/>
      </c>
    </row>
    <row r="146" ht="15.75" customHeight="1">
      <c r="A146" s="22">
        <f>IF(('MiT Strom Pipeline'!R13="follow-up")+('MiT Strom Pipeline'!R13="Evaluation")+('MiT Strom Pipeline'!R13="tbd")+('MiT Strom Pipeline'!R13="In evaluation")&gt;0,IF(ISNUMBER('MiT Strom Pipeline'!A13),'MiT Strom Pipeline'!A13,""),"")</f>
        <v/>
      </c>
      <c r="B146" s="23">
        <f>IF(('MiT Strom Pipeline'!R13="follow-up")+('MiT Strom Pipeline'!R13="Evaluation")+('MiT Strom Pipeline'!R13="tbd")+('MiT Strom Pipeline'!R13="In evaluation")&gt;0,'MiT Strom Pipeline'!B13,"")</f>
        <v/>
      </c>
      <c r="C146" s="22">
        <f>IF(('MiT Strom Pipeline'!R13="follow-up")+('MiT Strom Pipeline'!R13="Evaluation")+('MiT Strom Pipeline'!R13="tbd")+('MiT Strom Pipeline'!R13="In evaluation")&gt;0,'MiT Strom Pipeline'!C13,"")</f>
        <v/>
      </c>
      <c r="D146" s="23">
        <f>IF(('MiT Strom Pipeline'!R13="follow-up")+('MiT Strom Pipeline'!R13="Evaluation")+('MiT Strom Pipeline'!R13="tbd")+('MiT Strom Pipeline'!R13="In evaluation")&gt;0,'MiT Strom Pipeline'!D13,"")</f>
        <v/>
      </c>
      <c r="E146" s="23">
        <f>IF(('MiT Strom Pipeline'!R13="follow-up")+('MiT Strom Pipeline'!R13="Evaluation")+('MiT Strom Pipeline'!R13="tbd")+('MiT Strom Pipeline'!R13="In evaluation")&gt;0,'MiT Strom Pipeline'!E13,"")</f>
        <v/>
      </c>
      <c r="F146" s="24">
        <f>IF(('MiT Strom Pipeline'!R13="follow-up")+('MiT Strom Pipeline'!R13="Evaluation")+('MiT Strom Pipeline'!R13="tbd")+('MiT Strom Pipeline'!R13="In evaluation")&gt;0,IF(ISNUMBER('MiT Strom Pipeline'!I13),'MiT Strom Pipeline'!I13,0),"")</f>
        <v/>
      </c>
      <c r="G146" s="24">
        <f>IF(('MiT Strom Pipeline'!R13="follow-up")+('MiT Strom Pipeline'!R13="Evaluation")+('MiT Strom Pipeline'!R13="tbd")+('MiT Strom Pipeline'!R13="In evaluation")&gt;0,IF(ISNUMBER('MiT Strom Pipeline'!Q13),'MiT Strom Pipeline'!Q13,0),"")</f>
        <v/>
      </c>
      <c r="H146" s="24">
        <f>IF(('MiT Strom Pipeline'!R13="follow-up")+('MiT Strom Pipeline'!R13="Evaluation")+('MiT Strom Pipeline'!R13="tbd")+('MiT Strom Pipeline'!R13="In evaluation")&gt;0,IF(ISNUMBER('MiT Strom Pipeline'!O13),'MiT Strom Pipeline'!O13,0),"")</f>
        <v/>
      </c>
      <c r="I146" s="22">
        <f>IF(('MiT Strom Pipeline'!R13="follow-up")+('MiT Strom Pipeline'!R13="Evaluation")+('MiT Strom Pipeline'!R13="tbd")+('MiT Strom Pipeline'!R13="In evaluation")&gt;0,'MiT Strom Pipeline'!R13,"")</f>
        <v/>
      </c>
      <c r="J146" s="22">
        <f>IF(('MiT Strom Pipeline'!R13="follow-up")+('MiT Strom Pipeline'!R13="Evaluation")+('MiT Strom Pipeline'!R13="tbd")+('MiT Strom Pipeline'!R13="In evaluation")&gt;0,'MiT Strom Pipeline'!S13,"")</f>
        <v/>
      </c>
      <c r="K146" s="23">
        <f>IF(('MiT Strom Pipeline'!R13="follow-up")+('MiT Strom Pipeline'!R13="Evaluation")+('MiT Strom Pipeline'!R13="tbd")+('MiT Strom Pipeline'!R13="In evaluation")&gt;0,IF(LEN('MiT Strom Pipeline'!V13)&gt;0,LEFT('MiT Strom Pipeline'!V13,55),""),"")</f>
        <v/>
      </c>
    </row>
    <row r="147" hidden="1" ht="15.75" customHeight="1">
      <c r="A147" s="34">
        <f>IF(('MiT Strom Pipeline'!R14="follow-up")+('MiT Strom Pipeline'!R14="Evaluation")+('MiT Strom Pipeline'!R14="tbd")+('MiT Strom Pipeline'!R14="In evaluation")&gt;0,IF(ISNUMBER('MiT Strom Pipeline'!A14),'MiT Strom Pipeline'!A14,""),"")</f>
        <v/>
      </c>
      <c r="B147" s="35">
        <f>IF(('MiT Strom Pipeline'!R14="follow-up")+('MiT Strom Pipeline'!R14="Evaluation")+('MiT Strom Pipeline'!R14="tbd")+('MiT Strom Pipeline'!R14="In evaluation")&gt;0,'MiT Strom Pipeline'!B14,"")</f>
        <v/>
      </c>
      <c r="C147" s="34">
        <f>IF(('MiT Strom Pipeline'!R14="follow-up")+('MiT Strom Pipeline'!R14="Evaluation")+('MiT Strom Pipeline'!R14="tbd")+('MiT Strom Pipeline'!R14="In evaluation")&gt;0,'MiT Strom Pipeline'!C14,"")</f>
        <v/>
      </c>
      <c r="D147" s="35">
        <f>IF(('MiT Strom Pipeline'!R14="follow-up")+('MiT Strom Pipeline'!R14="Evaluation")+('MiT Strom Pipeline'!R14="tbd")+('MiT Strom Pipeline'!R14="In evaluation")&gt;0,'MiT Strom Pipeline'!D14,"")</f>
        <v/>
      </c>
      <c r="E147" s="35">
        <f>IF(('MiT Strom Pipeline'!R14="follow-up")+('MiT Strom Pipeline'!R14="Evaluation")+('MiT Strom Pipeline'!R14="tbd")+('MiT Strom Pipeline'!R14="In evaluation")&gt;0,'MiT Strom Pipeline'!E14,"")</f>
        <v/>
      </c>
      <c r="F147" s="36">
        <f>IF(('MiT Strom Pipeline'!R14="follow-up")+('MiT Strom Pipeline'!R14="Evaluation")+('MiT Strom Pipeline'!R14="tbd")+('MiT Strom Pipeline'!R14="In evaluation")&gt;0,IF(ISNUMBER('MiT Strom Pipeline'!I14),'MiT Strom Pipeline'!I14,0),"")</f>
        <v/>
      </c>
      <c r="G147" s="36">
        <f>IF(('MiT Strom Pipeline'!R14="follow-up")+('MiT Strom Pipeline'!R14="Evaluation")+('MiT Strom Pipeline'!R14="tbd")+('MiT Strom Pipeline'!R14="In evaluation")&gt;0,IF(ISNUMBER('MiT Strom Pipeline'!Q14),'MiT Strom Pipeline'!Q14,0),"")</f>
        <v/>
      </c>
      <c r="H147" s="36">
        <f>IF(('MiT Strom Pipeline'!R14="follow-up")+('MiT Strom Pipeline'!R14="Evaluation")+('MiT Strom Pipeline'!R14="tbd")+('MiT Strom Pipeline'!R14="In evaluation")&gt;0,IF(ISNUMBER('MiT Strom Pipeline'!O14),'MiT Strom Pipeline'!O14,0),"")</f>
        <v/>
      </c>
      <c r="I147" s="34">
        <f>IF(('MiT Strom Pipeline'!R14="follow-up")+('MiT Strom Pipeline'!R14="Evaluation")+('MiT Strom Pipeline'!R14="tbd")+('MiT Strom Pipeline'!R14="In evaluation")&gt;0,'MiT Strom Pipeline'!R14,"")</f>
        <v/>
      </c>
      <c r="J147" s="34">
        <f>IF(('MiT Strom Pipeline'!R14="follow-up")+('MiT Strom Pipeline'!R14="Evaluation")+('MiT Strom Pipeline'!R14="tbd")+('MiT Strom Pipeline'!R14="In evaluation")&gt;0,'MiT Strom Pipeline'!S14,"")</f>
        <v/>
      </c>
      <c r="K147" s="35">
        <f>IF(('MiT Strom Pipeline'!R14="follow-up")+('MiT Strom Pipeline'!R14="Evaluation")+('MiT Strom Pipeline'!R14="tbd")+('MiT Strom Pipeline'!R14="In evaluation")&gt;0,IF(LEN('MiT Strom Pipeline'!V14)&gt;0,LEFT('MiT Strom Pipeline'!V14,55),""),"")</f>
        <v/>
      </c>
    </row>
    <row r="148" hidden="1" ht="15.75" customHeight="1">
      <c r="A148" s="22">
        <f>IF(('MiT Strom Pipeline'!R15="follow-up")+('MiT Strom Pipeline'!R15="Evaluation")+('MiT Strom Pipeline'!R15="tbd")+('MiT Strom Pipeline'!R15="In evaluation")&gt;0,IF(ISNUMBER('MiT Strom Pipeline'!A15),'MiT Strom Pipeline'!A15,""),"")</f>
        <v/>
      </c>
      <c r="B148" s="23">
        <f>IF(('MiT Strom Pipeline'!R15="follow-up")+('MiT Strom Pipeline'!R15="Evaluation")+('MiT Strom Pipeline'!R15="tbd")+('MiT Strom Pipeline'!R15="In evaluation")&gt;0,'MiT Strom Pipeline'!B15,"")</f>
        <v/>
      </c>
      <c r="C148" s="22">
        <f>IF(('MiT Strom Pipeline'!R15="follow-up")+('MiT Strom Pipeline'!R15="Evaluation")+('MiT Strom Pipeline'!R15="tbd")+('MiT Strom Pipeline'!R15="In evaluation")&gt;0,'MiT Strom Pipeline'!C15,"")</f>
        <v/>
      </c>
      <c r="D148" s="23">
        <f>IF(('MiT Strom Pipeline'!R15="follow-up")+('MiT Strom Pipeline'!R15="Evaluation")+('MiT Strom Pipeline'!R15="tbd")+('MiT Strom Pipeline'!R15="In evaluation")&gt;0,'MiT Strom Pipeline'!D15,"")</f>
        <v/>
      </c>
      <c r="E148" s="23">
        <f>IF(('MiT Strom Pipeline'!R15="follow-up")+('MiT Strom Pipeline'!R15="Evaluation")+('MiT Strom Pipeline'!R15="tbd")+('MiT Strom Pipeline'!R15="In evaluation")&gt;0,'MiT Strom Pipeline'!E15,"")</f>
        <v/>
      </c>
      <c r="F148" s="24">
        <f>IF(('MiT Strom Pipeline'!R15="follow-up")+('MiT Strom Pipeline'!R15="Evaluation")+('MiT Strom Pipeline'!R15="tbd")+('MiT Strom Pipeline'!R15="In evaluation")&gt;0,IF(ISNUMBER('MiT Strom Pipeline'!I15),'MiT Strom Pipeline'!I15,0),"")</f>
        <v/>
      </c>
      <c r="G148" s="24">
        <f>IF(('MiT Strom Pipeline'!R15="follow-up")+('MiT Strom Pipeline'!R15="Evaluation")+('MiT Strom Pipeline'!R15="tbd")+('MiT Strom Pipeline'!R15="In evaluation")&gt;0,IF(ISNUMBER('MiT Strom Pipeline'!Q15),'MiT Strom Pipeline'!Q15,0),"")</f>
        <v/>
      </c>
      <c r="H148" s="24">
        <f>IF(('MiT Strom Pipeline'!R15="follow-up")+('MiT Strom Pipeline'!R15="Evaluation")+('MiT Strom Pipeline'!R15="tbd")+('MiT Strom Pipeline'!R15="In evaluation")&gt;0,IF(ISNUMBER('MiT Strom Pipeline'!O15),'MiT Strom Pipeline'!O15,0),"")</f>
        <v/>
      </c>
      <c r="I148" s="22">
        <f>IF(('MiT Strom Pipeline'!R15="follow-up")+('MiT Strom Pipeline'!R15="Evaluation")+('MiT Strom Pipeline'!R15="tbd")+('MiT Strom Pipeline'!R15="In evaluation")&gt;0,'MiT Strom Pipeline'!R15,"")</f>
        <v/>
      </c>
      <c r="J148" s="22">
        <f>IF(('MiT Strom Pipeline'!R15="follow-up")+('MiT Strom Pipeline'!R15="Evaluation")+('MiT Strom Pipeline'!R15="tbd")+('MiT Strom Pipeline'!R15="In evaluation")&gt;0,'MiT Strom Pipeline'!S15,"")</f>
        <v/>
      </c>
      <c r="K148" s="23">
        <f>IF(('MiT Strom Pipeline'!R15="follow-up")+('MiT Strom Pipeline'!R15="Evaluation")+('MiT Strom Pipeline'!R15="tbd")+('MiT Strom Pipeline'!R15="In evaluation")&gt;0,IF(LEN('MiT Strom Pipeline'!V15)&gt;0,LEFT('MiT Strom Pipeline'!V15,55),""),"")</f>
        <v/>
      </c>
    </row>
    <row r="149" hidden="1" ht="15.75" customHeight="1">
      <c r="A149" s="34">
        <f>IF(('MiT Strom Pipeline'!R16="follow-up")+('MiT Strom Pipeline'!R16="Evaluation")+('MiT Strom Pipeline'!R16="tbd")+('MiT Strom Pipeline'!R16="In evaluation")&gt;0,IF(ISNUMBER('MiT Strom Pipeline'!A16),'MiT Strom Pipeline'!A16,""),"")</f>
        <v/>
      </c>
      <c r="B149" s="35">
        <f>IF(('MiT Strom Pipeline'!R16="follow-up")+('MiT Strom Pipeline'!R16="Evaluation")+('MiT Strom Pipeline'!R16="tbd")+('MiT Strom Pipeline'!R16="In evaluation")&gt;0,'MiT Strom Pipeline'!B16,"")</f>
        <v/>
      </c>
      <c r="C149" s="34">
        <f>IF(('MiT Strom Pipeline'!R16="follow-up")+('MiT Strom Pipeline'!R16="Evaluation")+('MiT Strom Pipeline'!R16="tbd")+('MiT Strom Pipeline'!R16="In evaluation")&gt;0,'MiT Strom Pipeline'!C16,"")</f>
        <v/>
      </c>
      <c r="D149" s="35">
        <f>IF(('MiT Strom Pipeline'!R16="follow-up")+('MiT Strom Pipeline'!R16="Evaluation")+('MiT Strom Pipeline'!R16="tbd")+('MiT Strom Pipeline'!R16="In evaluation")&gt;0,'MiT Strom Pipeline'!D16,"")</f>
        <v/>
      </c>
      <c r="E149" s="35">
        <f>IF(('MiT Strom Pipeline'!R16="follow-up")+('MiT Strom Pipeline'!R16="Evaluation")+('MiT Strom Pipeline'!R16="tbd")+('MiT Strom Pipeline'!R16="In evaluation")&gt;0,'MiT Strom Pipeline'!E16,"")</f>
        <v/>
      </c>
      <c r="F149" s="36">
        <f>IF(('MiT Strom Pipeline'!R16="follow-up")+('MiT Strom Pipeline'!R16="Evaluation")+('MiT Strom Pipeline'!R16="tbd")+('MiT Strom Pipeline'!R16="In evaluation")&gt;0,IF(ISNUMBER('MiT Strom Pipeline'!I16),'MiT Strom Pipeline'!I16,0),"")</f>
        <v/>
      </c>
      <c r="G149" s="36">
        <f>IF(('MiT Strom Pipeline'!R16="follow-up")+('MiT Strom Pipeline'!R16="Evaluation")+('MiT Strom Pipeline'!R16="tbd")+('MiT Strom Pipeline'!R16="In evaluation")&gt;0,IF(ISNUMBER('MiT Strom Pipeline'!Q16),'MiT Strom Pipeline'!Q16,0),"")</f>
        <v/>
      </c>
      <c r="H149" s="36">
        <f>IF(('MiT Strom Pipeline'!R16="follow-up")+('MiT Strom Pipeline'!R16="Evaluation")+('MiT Strom Pipeline'!R16="tbd")+('MiT Strom Pipeline'!R16="In evaluation")&gt;0,IF(ISNUMBER('MiT Strom Pipeline'!O16),'MiT Strom Pipeline'!O16,0),"")</f>
        <v/>
      </c>
      <c r="I149" s="34">
        <f>IF(('MiT Strom Pipeline'!R16="follow-up")+('MiT Strom Pipeline'!R16="Evaluation")+('MiT Strom Pipeline'!R16="tbd")+('MiT Strom Pipeline'!R16="In evaluation")&gt;0,'MiT Strom Pipeline'!R16,"")</f>
        <v/>
      </c>
      <c r="J149" s="34">
        <f>IF(('MiT Strom Pipeline'!R16="follow-up")+('MiT Strom Pipeline'!R16="Evaluation")+('MiT Strom Pipeline'!R16="tbd")+('MiT Strom Pipeline'!R16="In evaluation")&gt;0,'MiT Strom Pipeline'!S16,"")</f>
        <v/>
      </c>
      <c r="K149" s="35">
        <f>IF(('MiT Strom Pipeline'!R16="follow-up")+('MiT Strom Pipeline'!R16="Evaluation")+('MiT Strom Pipeline'!R16="tbd")+('MiT Strom Pipeline'!R16="In evaluation")&gt;0,IF(LEN('MiT Strom Pipeline'!V16)&gt;0,LEFT('MiT Strom Pipeline'!V16,55),""),"")</f>
        <v/>
      </c>
    </row>
    <row r="150" hidden="1" ht="15.75" customHeight="1">
      <c r="A150" s="22">
        <f>IF(('MiT Strom Pipeline'!R17="follow-up")+('MiT Strom Pipeline'!R17="Evaluation")+('MiT Strom Pipeline'!R17="tbd")+('MiT Strom Pipeline'!R17="In evaluation")&gt;0,IF(ISNUMBER('MiT Strom Pipeline'!A17),'MiT Strom Pipeline'!A17,""),"")</f>
        <v/>
      </c>
      <c r="B150" s="23">
        <f>IF(('MiT Strom Pipeline'!R17="follow-up")+('MiT Strom Pipeline'!R17="Evaluation")+('MiT Strom Pipeline'!R17="tbd")+('MiT Strom Pipeline'!R17="In evaluation")&gt;0,'MiT Strom Pipeline'!B17,"")</f>
        <v/>
      </c>
      <c r="C150" s="22">
        <f>IF(('MiT Strom Pipeline'!R17="follow-up")+('MiT Strom Pipeline'!R17="Evaluation")+('MiT Strom Pipeline'!R17="tbd")+('MiT Strom Pipeline'!R17="In evaluation")&gt;0,'MiT Strom Pipeline'!C17,"")</f>
        <v/>
      </c>
      <c r="D150" s="23">
        <f>IF(('MiT Strom Pipeline'!R17="follow-up")+('MiT Strom Pipeline'!R17="Evaluation")+('MiT Strom Pipeline'!R17="tbd")+('MiT Strom Pipeline'!R17="In evaluation")&gt;0,'MiT Strom Pipeline'!D17,"")</f>
        <v/>
      </c>
      <c r="E150" s="23">
        <f>IF(('MiT Strom Pipeline'!R17="follow-up")+('MiT Strom Pipeline'!R17="Evaluation")+('MiT Strom Pipeline'!R17="tbd")+('MiT Strom Pipeline'!R17="In evaluation")&gt;0,'MiT Strom Pipeline'!E17,"")</f>
        <v/>
      </c>
      <c r="F150" s="24">
        <f>IF(('MiT Strom Pipeline'!R17="follow-up")+('MiT Strom Pipeline'!R17="Evaluation")+('MiT Strom Pipeline'!R17="tbd")+('MiT Strom Pipeline'!R17="In evaluation")&gt;0,IF(ISNUMBER('MiT Strom Pipeline'!I17),'MiT Strom Pipeline'!I17,0),"")</f>
        <v/>
      </c>
      <c r="G150" s="24">
        <f>IF(('MiT Strom Pipeline'!R17="follow-up")+('MiT Strom Pipeline'!R17="Evaluation")+('MiT Strom Pipeline'!R17="tbd")+('MiT Strom Pipeline'!R17="In evaluation")&gt;0,IF(ISNUMBER('MiT Strom Pipeline'!Q17),'MiT Strom Pipeline'!Q17,0),"")</f>
        <v/>
      </c>
      <c r="H150" s="24">
        <f>IF(('MiT Strom Pipeline'!R17="follow-up")+('MiT Strom Pipeline'!R17="Evaluation")+('MiT Strom Pipeline'!R17="tbd")+('MiT Strom Pipeline'!R17="In evaluation")&gt;0,IF(ISNUMBER('MiT Strom Pipeline'!O17),'MiT Strom Pipeline'!O17,0),"")</f>
        <v/>
      </c>
      <c r="I150" s="22">
        <f>IF(('MiT Strom Pipeline'!R17="follow-up")+('MiT Strom Pipeline'!R17="Evaluation")+('MiT Strom Pipeline'!R17="tbd")+('MiT Strom Pipeline'!R17="In evaluation")&gt;0,'MiT Strom Pipeline'!R17,"")</f>
        <v/>
      </c>
      <c r="J150" s="22">
        <f>IF(('MiT Strom Pipeline'!R17="follow-up")+('MiT Strom Pipeline'!R17="Evaluation")+('MiT Strom Pipeline'!R17="tbd")+('MiT Strom Pipeline'!R17="In evaluation")&gt;0,'MiT Strom Pipeline'!S17,"")</f>
        <v/>
      </c>
      <c r="K150" s="23">
        <f>IF(('MiT Strom Pipeline'!R17="follow-up")+('MiT Strom Pipeline'!R17="Evaluation")+('MiT Strom Pipeline'!R17="tbd")+('MiT Strom Pipeline'!R17="In evaluation")&gt;0,IF(LEN('MiT Strom Pipeline'!V17)&gt;0,LEFT('MiT Strom Pipeline'!V17,55),""),"")</f>
        <v/>
      </c>
    </row>
    <row r="151" hidden="1" ht="15.75" customHeight="1">
      <c r="A151" s="34">
        <f>IF(('MiT Strom Pipeline'!R18="follow-up")+('MiT Strom Pipeline'!R18="Evaluation")+('MiT Strom Pipeline'!R18="tbd")+('MiT Strom Pipeline'!R18="In evaluation")&gt;0,IF(ISNUMBER('MiT Strom Pipeline'!A18),'MiT Strom Pipeline'!A18,""),"")</f>
        <v/>
      </c>
      <c r="B151" s="35">
        <f>IF(('MiT Strom Pipeline'!R18="follow-up")+('MiT Strom Pipeline'!R18="Evaluation")+('MiT Strom Pipeline'!R18="tbd")+('MiT Strom Pipeline'!R18="In evaluation")&gt;0,'MiT Strom Pipeline'!B18,"")</f>
        <v/>
      </c>
      <c r="C151" s="34">
        <f>IF(('MiT Strom Pipeline'!R18="follow-up")+('MiT Strom Pipeline'!R18="Evaluation")+('MiT Strom Pipeline'!R18="tbd")+('MiT Strom Pipeline'!R18="In evaluation")&gt;0,'MiT Strom Pipeline'!C18,"")</f>
        <v/>
      </c>
      <c r="D151" s="35">
        <f>IF(('MiT Strom Pipeline'!R18="follow-up")+('MiT Strom Pipeline'!R18="Evaluation")+('MiT Strom Pipeline'!R18="tbd")+('MiT Strom Pipeline'!R18="In evaluation")&gt;0,'MiT Strom Pipeline'!D18,"")</f>
        <v/>
      </c>
      <c r="E151" s="35">
        <f>IF(('MiT Strom Pipeline'!R18="follow-up")+('MiT Strom Pipeline'!R18="Evaluation")+('MiT Strom Pipeline'!R18="tbd")+('MiT Strom Pipeline'!R18="In evaluation")&gt;0,'MiT Strom Pipeline'!E18,"")</f>
        <v/>
      </c>
      <c r="F151" s="36">
        <f>IF(('MiT Strom Pipeline'!R18="follow-up")+('MiT Strom Pipeline'!R18="Evaluation")+('MiT Strom Pipeline'!R18="tbd")+('MiT Strom Pipeline'!R18="In evaluation")&gt;0,IF(ISNUMBER('MiT Strom Pipeline'!I18),'MiT Strom Pipeline'!I18,0),"")</f>
        <v/>
      </c>
      <c r="G151" s="36">
        <f>IF(('MiT Strom Pipeline'!R18="follow-up")+('MiT Strom Pipeline'!R18="Evaluation")+('MiT Strom Pipeline'!R18="tbd")+('MiT Strom Pipeline'!R18="In evaluation")&gt;0,IF(ISNUMBER('MiT Strom Pipeline'!Q18),'MiT Strom Pipeline'!Q18,0),"")</f>
        <v/>
      </c>
      <c r="H151" s="36">
        <f>IF(('MiT Strom Pipeline'!R18="follow-up")+('MiT Strom Pipeline'!R18="Evaluation")+('MiT Strom Pipeline'!R18="tbd")+('MiT Strom Pipeline'!R18="In evaluation")&gt;0,IF(ISNUMBER('MiT Strom Pipeline'!O18),'MiT Strom Pipeline'!O18,0),"")</f>
        <v/>
      </c>
      <c r="I151" s="34">
        <f>IF(('MiT Strom Pipeline'!R18="follow-up")+('MiT Strom Pipeline'!R18="Evaluation")+('MiT Strom Pipeline'!R18="tbd")+('MiT Strom Pipeline'!R18="In evaluation")&gt;0,'MiT Strom Pipeline'!R18,"")</f>
        <v/>
      </c>
      <c r="J151" s="34">
        <f>IF(('MiT Strom Pipeline'!R18="follow-up")+('MiT Strom Pipeline'!R18="Evaluation")+('MiT Strom Pipeline'!R18="tbd")+('MiT Strom Pipeline'!R18="In evaluation")&gt;0,'MiT Strom Pipeline'!S18,"")</f>
        <v/>
      </c>
      <c r="K151" s="35">
        <f>IF(('MiT Strom Pipeline'!R18="follow-up")+('MiT Strom Pipeline'!R18="Evaluation")+('MiT Strom Pipeline'!R18="tbd")+('MiT Strom Pipeline'!R18="In evaluation")&gt;0,IF(LEN('MiT Strom Pipeline'!V18)&gt;0,LEFT('MiT Strom Pipeline'!V18,55),""),"")</f>
        <v/>
      </c>
    </row>
    <row r="152" hidden="1" ht="15.75" customHeight="1">
      <c r="A152" s="22">
        <f>IF(('MiT Strom Pipeline'!R19="follow-up")+('MiT Strom Pipeline'!R19="Evaluation")+('MiT Strom Pipeline'!R19="tbd")+('MiT Strom Pipeline'!R19="In evaluation")&gt;0,IF(ISNUMBER('MiT Strom Pipeline'!A19),'MiT Strom Pipeline'!A19,""),"")</f>
        <v/>
      </c>
      <c r="B152" s="23">
        <f>IF(('MiT Strom Pipeline'!R19="follow-up")+('MiT Strom Pipeline'!R19="Evaluation")+('MiT Strom Pipeline'!R19="tbd")+('MiT Strom Pipeline'!R19="In evaluation")&gt;0,'MiT Strom Pipeline'!B19,"")</f>
        <v/>
      </c>
      <c r="C152" s="22">
        <f>IF(('MiT Strom Pipeline'!R19="follow-up")+('MiT Strom Pipeline'!R19="Evaluation")+('MiT Strom Pipeline'!R19="tbd")+('MiT Strom Pipeline'!R19="In evaluation")&gt;0,'MiT Strom Pipeline'!C19,"")</f>
        <v/>
      </c>
      <c r="D152" s="23">
        <f>IF(('MiT Strom Pipeline'!R19="follow-up")+('MiT Strom Pipeline'!R19="Evaluation")+('MiT Strom Pipeline'!R19="tbd")+('MiT Strom Pipeline'!R19="In evaluation")&gt;0,'MiT Strom Pipeline'!D19,"")</f>
        <v/>
      </c>
      <c r="E152" s="23">
        <f>IF(('MiT Strom Pipeline'!R19="follow-up")+('MiT Strom Pipeline'!R19="Evaluation")+('MiT Strom Pipeline'!R19="tbd")+('MiT Strom Pipeline'!R19="In evaluation")&gt;0,'MiT Strom Pipeline'!E19,"")</f>
        <v/>
      </c>
      <c r="F152" s="24">
        <f>IF(('MiT Strom Pipeline'!R19="follow-up")+('MiT Strom Pipeline'!R19="Evaluation")+('MiT Strom Pipeline'!R19="tbd")+('MiT Strom Pipeline'!R19="In evaluation")&gt;0,IF(ISNUMBER('MiT Strom Pipeline'!I19),'MiT Strom Pipeline'!I19,0),"")</f>
        <v/>
      </c>
      <c r="G152" s="24">
        <f>IF(('MiT Strom Pipeline'!R19="follow-up")+('MiT Strom Pipeline'!R19="Evaluation")+('MiT Strom Pipeline'!R19="tbd")+('MiT Strom Pipeline'!R19="In evaluation")&gt;0,IF(ISNUMBER('MiT Strom Pipeline'!Q19),'MiT Strom Pipeline'!Q19,0),"")</f>
        <v/>
      </c>
      <c r="H152" s="24">
        <f>IF(('MiT Strom Pipeline'!R19="follow-up")+('MiT Strom Pipeline'!R19="Evaluation")+('MiT Strom Pipeline'!R19="tbd")+('MiT Strom Pipeline'!R19="In evaluation")&gt;0,IF(ISNUMBER('MiT Strom Pipeline'!O19),'MiT Strom Pipeline'!O19,0),"")</f>
        <v/>
      </c>
      <c r="I152" s="22">
        <f>IF(('MiT Strom Pipeline'!R19="follow-up")+('MiT Strom Pipeline'!R19="Evaluation")+('MiT Strom Pipeline'!R19="tbd")+('MiT Strom Pipeline'!R19="In evaluation")&gt;0,'MiT Strom Pipeline'!R19,"")</f>
        <v/>
      </c>
      <c r="J152" s="22">
        <f>IF(('MiT Strom Pipeline'!R19="follow-up")+('MiT Strom Pipeline'!R19="Evaluation")+('MiT Strom Pipeline'!R19="tbd")+('MiT Strom Pipeline'!R19="In evaluation")&gt;0,'MiT Strom Pipeline'!S19,"")</f>
        <v/>
      </c>
      <c r="K152" s="23">
        <f>IF(('MiT Strom Pipeline'!R19="follow-up")+('MiT Strom Pipeline'!R19="Evaluation")+('MiT Strom Pipeline'!R19="tbd")+('MiT Strom Pipeline'!R19="In evaluation")&gt;0,IF(LEN('MiT Strom Pipeline'!V19)&gt;0,LEFT('MiT Strom Pipeline'!V19,55),""),"")</f>
        <v/>
      </c>
    </row>
    <row r="153" hidden="1" ht="15.75" customHeight="1">
      <c r="A153" s="34">
        <f>IF(('MiT Strom Pipeline'!R20="follow-up")+('MiT Strom Pipeline'!R20="Evaluation")+('MiT Strom Pipeline'!R20="tbd")+('MiT Strom Pipeline'!R20="In evaluation")&gt;0,IF(ISNUMBER('MiT Strom Pipeline'!A20),'MiT Strom Pipeline'!A20,""),"")</f>
        <v/>
      </c>
      <c r="B153" s="35">
        <f>IF(('MiT Strom Pipeline'!R20="follow-up")+('MiT Strom Pipeline'!R20="Evaluation")+('MiT Strom Pipeline'!R20="tbd")+('MiT Strom Pipeline'!R20="In evaluation")&gt;0,'MiT Strom Pipeline'!B20,"")</f>
        <v/>
      </c>
      <c r="C153" s="34">
        <f>IF(('MiT Strom Pipeline'!R20="follow-up")+('MiT Strom Pipeline'!R20="Evaluation")+('MiT Strom Pipeline'!R20="tbd")+('MiT Strom Pipeline'!R20="In evaluation")&gt;0,'MiT Strom Pipeline'!C20,"")</f>
        <v/>
      </c>
      <c r="D153" s="35">
        <f>IF(('MiT Strom Pipeline'!R20="follow-up")+('MiT Strom Pipeline'!R20="Evaluation")+('MiT Strom Pipeline'!R20="tbd")+('MiT Strom Pipeline'!R20="In evaluation")&gt;0,'MiT Strom Pipeline'!D20,"")</f>
        <v/>
      </c>
      <c r="E153" s="35">
        <f>IF(('MiT Strom Pipeline'!R20="follow-up")+('MiT Strom Pipeline'!R20="Evaluation")+('MiT Strom Pipeline'!R20="tbd")+('MiT Strom Pipeline'!R20="In evaluation")&gt;0,'MiT Strom Pipeline'!E20,"")</f>
        <v/>
      </c>
      <c r="F153" s="36">
        <f>IF(('MiT Strom Pipeline'!R20="follow-up")+('MiT Strom Pipeline'!R20="Evaluation")+('MiT Strom Pipeline'!R20="tbd")+('MiT Strom Pipeline'!R20="In evaluation")&gt;0,IF(ISNUMBER('MiT Strom Pipeline'!I20),'MiT Strom Pipeline'!I20,0),"")</f>
        <v/>
      </c>
      <c r="G153" s="36">
        <f>IF(('MiT Strom Pipeline'!R20="follow-up")+('MiT Strom Pipeline'!R20="Evaluation")+('MiT Strom Pipeline'!R20="tbd")+('MiT Strom Pipeline'!R20="In evaluation")&gt;0,IF(ISNUMBER('MiT Strom Pipeline'!Q20),'MiT Strom Pipeline'!Q20,0),"")</f>
        <v/>
      </c>
      <c r="H153" s="36">
        <f>IF(('MiT Strom Pipeline'!R20="follow-up")+('MiT Strom Pipeline'!R20="Evaluation")+('MiT Strom Pipeline'!R20="tbd")+('MiT Strom Pipeline'!R20="In evaluation")&gt;0,IF(ISNUMBER('MiT Strom Pipeline'!O20),'MiT Strom Pipeline'!O20,0),"")</f>
        <v/>
      </c>
      <c r="I153" s="34">
        <f>IF(('MiT Strom Pipeline'!R20="follow-up")+('MiT Strom Pipeline'!R20="Evaluation")+('MiT Strom Pipeline'!R20="tbd")+('MiT Strom Pipeline'!R20="In evaluation")&gt;0,'MiT Strom Pipeline'!R20,"")</f>
        <v/>
      </c>
      <c r="J153" s="34">
        <f>IF(('MiT Strom Pipeline'!R20="follow-up")+('MiT Strom Pipeline'!R20="Evaluation")+('MiT Strom Pipeline'!R20="tbd")+('MiT Strom Pipeline'!R20="In evaluation")&gt;0,'MiT Strom Pipeline'!S20,"")</f>
        <v/>
      </c>
      <c r="K153" s="35">
        <f>IF(('MiT Strom Pipeline'!R20="follow-up")+('MiT Strom Pipeline'!R20="Evaluation")+('MiT Strom Pipeline'!R20="tbd")+('MiT Strom Pipeline'!R20="In evaluation")&gt;0,IF(LEN('MiT Strom Pipeline'!V20)&gt;0,LEFT('MiT Strom Pipeline'!V20,55),""),"")</f>
        <v/>
      </c>
    </row>
    <row r="154" ht="15.75" customHeight="1">
      <c r="A154" s="22">
        <f>IF(('MiT Strom Pipeline'!R21="follow-up")+('MiT Strom Pipeline'!R21="Evaluation")+('MiT Strom Pipeline'!R21="tbd")+('MiT Strom Pipeline'!R21="In evaluation")&gt;0,IF(ISNUMBER('MiT Strom Pipeline'!A21),'MiT Strom Pipeline'!A21,""),"")</f>
        <v/>
      </c>
      <c r="B154" s="23">
        <f>IF(('MiT Strom Pipeline'!R21="follow-up")+('MiT Strom Pipeline'!R21="Evaluation")+('MiT Strom Pipeline'!R21="tbd")+('MiT Strom Pipeline'!R21="In evaluation")&gt;0,'MiT Strom Pipeline'!B21,"")</f>
        <v/>
      </c>
      <c r="C154" s="22">
        <f>IF(('MiT Strom Pipeline'!R21="follow-up")+('MiT Strom Pipeline'!R21="Evaluation")+('MiT Strom Pipeline'!R21="tbd")+('MiT Strom Pipeline'!R21="In evaluation")&gt;0,'MiT Strom Pipeline'!C21,"")</f>
        <v/>
      </c>
      <c r="D154" s="23">
        <f>IF(('MiT Strom Pipeline'!R21="follow-up")+('MiT Strom Pipeline'!R21="Evaluation")+('MiT Strom Pipeline'!R21="tbd")+('MiT Strom Pipeline'!R21="In evaluation")&gt;0,'MiT Strom Pipeline'!D21,"")</f>
        <v/>
      </c>
      <c r="E154" s="23">
        <f>IF(('MiT Strom Pipeline'!R21="follow-up")+('MiT Strom Pipeline'!R21="Evaluation")+('MiT Strom Pipeline'!R21="tbd")+('MiT Strom Pipeline'!R21="In evaluation")&gt;0,'MiT Strom Pipeline'!E21,"")</f>
        <v/>
      </c>
      <c r="F154" s="24">
        <f>IF(('MiT Strom Pipeline'!R21="follow-up")+('MiT Strom Pipeline'!R21="Evaluation")+('MiT Strom Pipeline'!R21="tbd")+('MiT Strom Pipeline'!R21="In evaluation")&gt;0,IF(ISNUMBER('MiT Strom Pipeline'!I21),'MiT Strom Pipeline'!I21,0),"")</f>
        <v/>
      </c>
      <c r="G154" s="24">
        <f>IF(('MiT Strom Pipeline'!R21="follow-up")+('MiT Strom Pipeline'!R21="Evaluation")+('MiT Strom Pipeline'!R21="tbd")+('MiT Strom Pipeline'!R21="In evaluation")&gt;0,IF(ISNUMBER('MiT Strom Pipeline'!Q21),'MiT Strom Pipeline'!Q21,0),"")</f>
        <v/>
      </c>
      <c r="H154" s="24">
        <f>IF(('MiT Strom Pipeline'!R21="follow-up")+('MiT Strom Pipeline'!R21="Evaluation")+('MiT Strom Pipeline'!R21="tbd")+('MiT Strom Pipeline'!R21="In evaluation")&gt;0,IF(ISNUMBER('MiT Strom Pipeline'!O21),'MiT Strom Pipeline'!O21,0),"")</f>
        <v/>
      </c>
      <c r="I154" s="22">
        <f>IF(('MiT Strom Pipeline'!R21="follow-up")+('MiT Strom Pipeline'!R21="Evaluation")+('MiT Strom Pipeline'!R21="tbd")+('MiT Strom Pipeline'!R21="In evaluation")&gt;0,'MiT Strom Pipeline'!R21,"")</f>
        <v/>
      </c>
      <c r="J154" s="22">
        <f>IF(('MiT Strom Pipeline'!R21="follow-up")+('MiT Strom Pipeline'!R21="Evaluation")+('MiT Strom Pipeline'!R21="tbd")+('MiT Strom Pipeline'!R21="In evaluation")&gt;0,'MiT Strom Pipeline'!S21,"")</f>
        <v/>
      </c>
      <c r="K154" s="23">
        <f>IF(('MiT Strom Pipeline'!R21="follow-up")+('MiT Strom Pipeline'!R21="Evaluation")+('MiT Strom Pipeline'!R21="tbd")+('MiT Strom Pipeline'!R21="In evaluation")&gt;0,IF(LEN('MiT Strom Pipeline'!V21)&gt;0,LEFT('MiT Strom Pipeline'!V21,55),""),"")</f>
        <v/>
      </c>
    </row>
    <row r="155" hidden="1" ht="15.75" customHeight="1">
      <c r="A155" s="34">
        <f>IF(('MiT Strom Pipeline'!R22="follow-up")+('MiT Strom Pipeline'!R22="Evaluation")+('MiT Strom Pipeline'!R22="tbd")+('MiT Strom Pipeline'!R22="In evaluation")&gt;0,IF(ISNUMBER('MiT Strom Pipeline'!A22),'MiT Strom Pipeline'!A22,""),"")</f>
        <v/>
      </c>
      <c r="B155" s="35">
        <f>IF(('MiT Strom Pipeline'!R22="follow-up")+('MiT Strom Pipeline'!R22="Evaluation")+('MiT Strom Pipeline'!R22="tbd")+('MiT Strom Pipeline'!R22="In evaluation")&gt;0,'MiT Strom Pipeline'!B22,"")</f>
        <v/>
      </c>
      <c r="C155" s="34">
        <f>IF(('MiT Strom Pipeline'!R22="follow-up")+('MiT Strom Pipeline'!R22="Evaluation")+('MiT Strom Pipeline'!R22="tbd")+('MiT Strom Pipeline'!R22="In evaluation")&gt;0,'MiT Strom Pipeline'!C22,"")</f>
        <v/>
      </c>
      <c r="D155" s="35">
        <f>IF(('MiT Strom Pipeline'!R22="follow-up")+('MiT Strom Pipeline'!R22="Evaluation")+('MiT Strom Pipeline'!R22="tbd")+('MiT Strom Pipeline'!R22="In evaluation")&gt;0,'MiT Strom Pipeline'!D22,"")</f>
        <v/>
      </c>
      <c r="E155" s="35">
        <f>IF(('MiT Strom Pipeline'!R22="follow-up")+('MiT Strom Pipeline'!R22="Evaluation")+('MiT Strom Pipeline'!R22="tbd")+('MiT Strom Pipeline'!R22="In evaluation")&gt;0,'MiT Strom Pipeline'!E22,"")</f>
        <v/>
      </c>
      <c r="F155" s="36">
        <f>IF(('MiT Strom Pipeline'!R22="follow-up")+('MiT Strom Pipeline'!R22="Evaluation")+('MiT Strom Pipeline'!R22="tbd")+('MiT Strom Pipeline'!R22="In evaluation")&gt;0,IF(ISNUMBER('MiT Strom Pipeline'!I22),'MiT Strom Pipeline'!I22,0),"")</f>
        <v/>
      </c>
      <c r="G155" s="36">
        <f>IF(('MiT Strom Pipeline'!R22="follow-up")+('MiT Strom Pipeline'!R22="Evaluation")+('MiT Strom Pipeline'!R22="tbd")+('MiT Strom Pipeline'!R22="In evaluation")&gt;0,IF(ISNUMBER('MiT Strom Pipeline'!Q22),'MiT Strom Pipeline'!Q22,0),"")</f>
        <v/>
      </c>
      <c r="H155" s="36">
        <f>IF(('MiT Strom Pipeline'!R22="follow-up")+('MiT Strom Pipeline'!R22="Evaluation")+('MiT Strom Pipeline'!R22="tbd")+('MiT Strom Pipeline'!R22="In evaluation")&gt;0,IF(ISNUMBER('MiT Strom Pipeline'!O22),'MiT Strom Pipeline'!O22,0),"")</f>
        <v/>
      </c>
      <c r="I155" s="34">
        <f>IF(('MiT Strom Pipeline'!R22="follow-up")+('MiT Strom Pipeline'!R22="Evaluation")+('MiT Strom Pipeline'!R22="tbd")+('MiT Strom Pipeline'!R22="In evaluation")&gt;0,'MiT Strom Pipeline'!R22,"")</f>
        <v/>
      </c>
      <c r="J155" s="34">
        <f>IF(('MiT Strom Pipeline'!R22="follow-up")+('MiT Strom Pipeline'!R22="Evaluation")+('MiT Strom Pipeline'!R22="tbd")+('MiT Strom Pipeline'!R22="In evaluation")&gt;0,'MiT Strom Pipeline'!S22,"")</f>
        <v/>
      </c>
      <c r="K155" s="35">
        <f>IF(('MiT Strom Pipeline'!R22="follow-up")+('MiT Strom Pipeline'!R22="Evaluation")+('MiT Strom Pipeline'!R22="tbd")+('MiT Strom Pipeline'!R22="In evaluation")&gt;0,IF(LEN('MiT Strom Pipeline'!V22)&gt;0,LEFT('MiT Strom Pipeline'!V22,55),""),"")</f>
        <v/>
      </c>
    </row>
    <row r="156" hidden="1" ht="15.75" customHeight="1">
      <c r="A156" s="22">
        <f>IF(('MiT Strom Pipeline'!R23="follow-up")+('MiT Strom Pipeline'!R23="Evaluation")+('MiT Strom Pipeline'!R23="tbd")+('MiT Strom Pipeline'!R23="In evaluation")&gt;0,IF(ISNUMBER('MiT Strom Pipeline'!A23),'MiT Strom Pipeline'!A23,""),"")</f>
        <v/>
      </c>
      <c r="B156" s="23">
        <f>IF(('MiT Strom Pipeline'!R23="follow-up")+('MiT Strom Pipeline'!R23="Evaluation")+('MiT Strom Pipeline'!R23="tbd")+('MiT Strom Pipeline'!R23="In evaluation")&gt;0,'MiT Strom Pipeline'!B23,"")</f>
        <v/>
      </c>
      <c r="C156" s="22">
        <f>IF(('MiT Strom Pipeline'!R23="follow-up")+('MiT Strom Pipeline'!R23="Evaluation")+('MiT Strom Pipeline'!R23="tbd")+('MiT Strom Pipeline'!R23="In evaluation")&gt;0,'MiT Strom Pipeline'!C23,"")</f>
        <v/>
      </c>
      <c r="D156" s="23">
        <f>IF(('MiT Strom Pipeline'!R23="follow-up")+('MiT Strom Pipeline'!R23="Evaluation")+('MiT Strom Pipeline'!R23="tbd")+('MiT Strom Pipeline'!R23="In evaluation")&gt;0,'MiT Strom Pipeline'!D23,"")</f>
        <v/>
      </c>
      <c r="E156" s="23">
        <f>IF(('MiT Strom Pipeline'!R23="follow-up")+('MiT Strom Pipeline'!R23="Evaluation")+('MiT Strom Pipeline'!R23="tbd")+('MiT Strom Pipeline'!R23="In evaluation")&gt;0,'MiT Strom Pipeline'!E23,"")</f>
        <v/>
      </c>
      <c r="F156" s="24">
        <f>IF(('MiT Strom Pipeline'!R23="follow-up")+('MiT Strom Pipeline'!R23="Evaluation")+('MiT Strom Pipeline'!R23="tbd")+('MiT Strom Pipeline'!R23="In evaluation")&gt;0,IF(ISNUMBER('MiT Strom Pipeline'!I23),'MiT Strom Pipeline'!I23,0),"")</f>
        <v/>
      </c>
      <c r="G156" s="24">
        <f>IF(('MiT Strom Pipeline'!R23="follow-up")+('MiT Strom Pipeline'!R23="Evaluation")+('MiT Strom Pipeline'!R23="tbd")+('MiT Strom Pipeline'!R23="In evaluation")&gt;0,IF(ISNUMBER('MiT Strom Pipeline'!Q23),'MiT Strom Pipeline'!Q23,0),"")</f>
        <v/>
      </c>
      <c r="H156" s="24">
        <f>IF(('MiT Strom Pipeline'!R23="follow-up")+('MiT Strom Pipeline'!R23="Evaluation")+('MiT Strom Pipeline'!R23="tbd")+('MiT Strom Pipeline'!R23="In evaluation")&gt;0,IF(ISNUMBER('MiT Strom Pipeline'!O23),'MiT Strom Pipeline'!O23,0),"")</f>
        <v/>
      </c>
      <c r="I156" s="22">
        <f>IF(('MiT Strom Pipeline'!R23="follow-up")+('MiT Strom Pipeline'!R23="Evaluation")+('MiT Strom Pipeline'!R23="tbd")+('MiT Strom Pipeline'!R23="In evaluation")&gt;0,'MiT Strom Pipeline'!R23,"")</f>
        <v/>
      </c>
      <c r="J156" s="22">
        <f>IF(('MiT Strom Pipeline'!R23="follow-up")+('MiT Strom Pipeline'!R23="Evaluation")+('MiT Strom Pipeline'!R23="tbd")+('MiT Strom Pipeline'!R23="In evaluation")&gt;0,'MiT Strom Pipeline'!S23,"")</f>
        <v/>
      </c>
      <c r="K156" s="23">
        <f>IF(('MiT Strom Pipeline'!R23="follow-up")+('MiT Strom Pipeline'!R23="Evaluation")+('MiT Strom Pipeline'!R23="tbd")+('MiT Strom Pipeline'!R23="In evaluation")&gt;0,IF(LEN('MiT Strom Pipeline'!V23)&gt;0,LEFT('MiT Strom Pipeline'!V23,55),""),"")</f>
        <v/>
      </c>
    </row>
    <row r="157" hidden="1" ht="15.75" customHeight="1">
      <c r="A157" s="34">
        <f>IF(('MiT Strom Pipeline'!R24="follow-up")+('MiT Strom Pipeline'!R24="Evaluation")+('MiT Strom Pipeline'!R24="tbd")+('MiT Strom Pipeline'!R24="In evaluation")&gt;0,IF(ISNUMBER('MiT Strom Pipeline'!A24),'MiT Strom Pipeline'!A24,""),"")</f>
        <v/>
      </c>
      <c r="B157" s="35">
        <f>IF(('MiT Strom Pipeline'!R24="follow-up")+('MiT Strom Pipeline'!R24="Evaluation")+('MiT Strom Pipeline'!R24="tbd")+('MiT Strom Pipeline'!R24="In evaluation")&gt;0,'MiT Strom Pipeline'!B24,"")</f>
        <v/>
      </c>
      <c r="C157" s="34">
        <f>IF(('MiT Strom Pipeline'!R24="follow-up")+('MiT Strom Pipeline'!R24="Evaluation")+('MiT Strom Pipeline'!R24="tbd")+('MiT Strom Pipeline'!R24="In evaluation")&gt;0,'MiT Strom Pipeline'!C24,"")</f>
        <v/>
      </c>
      <c r="D157" s="35">
        <f>IF(('MiT Strom Pipeline'!R24="follow-up")+('MiT Strom Pipeline'!R24="Evaluation")+('MiT Strom Pipeline'!R24="tbd")+('MiT Strom Pipeline'!R24="In evaluation")&gt;0,'MiT Strom Pipeline'!D24,"")</f>
        <v/>
      </c>
      <c r="E157" s="35">
        <f>IF(('MiT Strom Pipeline'!R24="follow-up")+('MiT Strom Pipeline'!R24="Evaluation")+('MiT Strom Pipeline'!R24="tbd")+('MiT Strom Pipeline'!R24="In evaluation")&gt;0,'MiT Strom Pipeline'!E24,"")</f>
        <v/>
      </c>
      <c r="F157" s="36">
        <f>IF(('MiT Strom Pipeline'!R24="follow-up")+('MiT Strom Pipeline'!R24="Evaluation")+('MiT Strom Pipeline'!R24="tbd")+('MiT Strom Pipeline'!R24="In evaluation")&gt;0,IF(ISNUMBER('MiT Strom Pipeline'!I24),'MiT Strom Pipeline'!I24,0),"")</f>
        <v/>
      </c>
      <c r="G157" s="36">
        <f>IF(('MiT Strom Pipeline'!R24="follow-up")+('MiT Strom Pipeline'!R24="Evaluation")+('MiT Strom Pipeline'!R24="tbd")+('MiT Strom Pipeline'!R24="In evaluation")&gt;0,IF(ISNUMBER('MiT Strom Pipeline'!Q24),'MiT Strom Pipeline'!Q24,0),"")</f>
        <v/>
      </c>
      <c r="H157" s="36">
        <f>IF(('MiT Strom Pipeline'!R24="follow-up")+('MiT Strom Pipeline'!R24="Evaluation")+('MiT Strom Pipeline'!R24="tbd")+('MiT Strom Pipeline'!R24="In evaluation")&gt;0,IF(ISNUMBER('MiT Strom Pipeline'!O24),'MiT Strom Pipeline'!O24,0),"")</f>
        <v/>
      </c>
      <c r="I157" s="34">
        <f>IF(('MiT Strom Pipeline'!R24="follow-up")+('MiT Strom Pipeline'!R24="Evaluation")+('MiT Strom Pipeline'!R24="tbd")+('MiT Strom Pipeline'!R24="In evaluation")&gt;0,'MiT Strom Pipeline'!R24,"")</f>
        <v/>
      </c>
      <c r="J157" s="34">
        <f>IF(('MiT Strom Pipeline'!R24="follow-up")+('MiT Strom Pipeline'!R24="Evaluation")+('MiT Strom Pipeline'!R24="tbd")+('MiT Strom Pipeline'!R24="In evaluation")&gt;0,'MiT Strom Pipeline'!S24,"")</f>
        <v/>
      </c>
      <c r="K157" s="35">
        <f>IF(('MiT Strom Pipeline'!R24="follow-up")+('MiT Strom Pipeline'!R24="Evaluation")+('MiT Strom Pipeline'!R24="tbd")+('MiT Strom Pipeline'!R24="In evaluation")&gt;0,IF(LEN('MiT Strom Pipeline'!V24)&gt;0,LEFT('MiT Strom Pipeline'!V24,55),""),"")</f>
        <v/>
      </c>
    </row>
    <row r="158" hidden="1" ht="15.75" customHeight="1">
      <c r="A158" s="22">
        <f>IF(('MiT Strom Pipeline'!R25="follow-up")+('MiT Strom Pipeline'!R25="Evaluation")+('MiT Strom Pipeline'!R25="tbd")+('MiT Strom Pipeline'!R25="In evaluation")&gt;0,IF(ISNUMBER('MiT Strom Pipeline'!A25),'MiT Strom Pipeline'!A25,""),"")</f>
        <v/>
      </c>
      <c r="B158" s="23">
        <f>IF(('MiT Strom Pipeline'!R25="follow-up")+('MiT Strom Pipeline'!R25="Evaluation")+('MiT Strom Pipeline'!R25="tbd")+('MiT Strom Pipeline'!R25="In evaluation")&gt;0,'MiT Strom Pipeline'!B25,"")</f>
        <v/>
      </c>
      <c r="C158" s="22">
        <f>IF(('MiT Strom Pipeline'!R25="follow-up")+('MiT Strom Pipeline'!R25="Evaluation")+('MiT Strom Pipeline'!R25="tbd")+('MiT Strom Pipeline'!R25="In evaluation")&gt;0,'MiT Strom Pipeline'!C25,"")</f>
        <v/>
      </c>
      <c r="D158" s="23">
        <f>IF(('MiT Strom Pipeline'!R25="follow-up")+('MiT Strom Pipeline'!R25="Evaluation")+('MiT Strom Pipeline'!R25="tbd")+('MiT Strom Pipeline'!R25="In evaluation")&gt;0,'MiT Strom Pipeline'!D25,"")</f>
        <v/>
      </c>
      <c r="E158" s="23">
        <f>IF(('MiT Strom Pipeline'!R25="follow-up")+('MiT Strom Pipeline'!R25="Evaluation")+('MiT Strom Pipeline'!R25="tbd")+('MiT Strom Pipeline'!R25="In evaluation")&gt;0,'MiT Strom Pipeline'!E25,"")</f>
        <v/>
      </c>
      <c r="F158" s="24">
        <f>IF(('MiT Strom Pipeline'!R25="follow-up")+('MiT Strom Pipeline'!R25="Evaluation")+('MiT Strom Pipeline'!R25="tbd")+('MiT Strom Pipeline'!R25="In evaluation")&gt;0,IF(ISNUMBER('MiT Strom Pipeline'!I25),'MiT Strom Pipeline'!I25,0),"")</f>
        <v/>
      </c>
      <c r="G158" s="24">
        <f>IF(('MiT Strom Pipeline'!R25="follow-up")+('MiT Strom Pipeline'!R25="Evaluation")+('MiT Strom Pipeline'!R25="tbd")+('MiT Strom Pipeline'!R25="In evaluation")&gt;0,IF(ISNUMBER('MiT Strom Pipeline'!Q25),'MiT Strom Pipeline'!Q25,0),"")</f>
        <v/>
      </c>
      <c r="H158" s="24">
        <f>IF(('MiT Strom Pipeline'!R25="follow-up")+('MiT Strom Pipeline'!R25="Evaluation")+('MiT Strom Pipeline'!R25="tbd")+('MiT Strom Pipeline'!R25="In evaluation")&gt;0,IF(ISNUMBER('MiT Strom Pipeline'!O25),'MiT Strom Pipeline'!O25,0),"")</f>
        <v/>
      </c>
      <c r="I158" s="22">
        <f>IF(('MiT Strom Pipeline'!R25="follow-up")+('MiT Strom Pipeline'!R25="Evaluation")+('MiT Strom Pipeline'!R25="tbd")+('MiT Strom Pipeline'!R25="In evaluation")&gt;0,'MiT Strom Pipeline'!R25,"")</f>
        <v/>
      </c>
      <c r="J158" s="22">
        <f>IF(('MiT Strom Pipeline'!R25="follow-up")+('MiT Strom Pipeline'!R25="Evaluation")+('MiT Strom Pipeline'!R25="tbd")+('MiT Strom Pipeline'!R25="In evaluation")&gt;0,'MiT Strom Pipeline'!S25,"")</f>
        <v/>
      </c>
      <c r="K158" s="23">
        <f>IF(('MiT Strom Pipeline'!R25="follow-up")+('MiT Strom Pipeline'!R25="Evaluation")+('MiT Strom Pipeline'!R25="tbd")+('MiT Strom Pipeline'!R25="In evaluation")&gt;0,IF(LEN('MiT Strom Pipeline'!V25)&gt;0,LEFT('MiT Strom Pipeline'!V25,55),""),"")</f>
        <v/>
      </c>
    </row>
    <row r="159" hidden="1" ht="15.75" customHeight="1">
      <c r="A159" s="34">
        <f>IF(('MiT Strom Pipeline'!R26="follow-up")+('MiT Strom Pipeline'!R26="Evaluation")+('MiT Strom Pipeline'!R26="tbd")+('MiT Strom Pipeline'!R26="In evaluation")&gt;0,IF(ISNUMBER('MiT Strom Pipeline'!A26),'MiT Strom Pipeline'!A26,""),"")</f>
        <v/>
      </c>
      <c r="B159" s="35">
        <f>IF(('MiT Strom Pipeline'!R26="follow-up")+('MiT Strom Pipeline'!R26="Evaluation")+('MiT Strom Pipeline'!R26="tbd")+('MiT Strom Pipeline'!R26="In evaluation")&gt;0,'MiT Strom Pipeline'!B26,"")</f>
        <v/>
      </c>
      <c r="C159" s="34">
        <f>IF(('MiT Strom Pipeline'!R26="follow-up")+('MiT Strom Pipeline'!R26="Evaluation")+('MiT Strom Pipeline'!R26="tbd")+('MiT Strom Pipeline'!R26="In evaluation")&gt;0,'MiT Strom Pipeline'!C26,"")</f>
        <v/>
      </c>
      <c r="D159" s="35">
        <f>IF(('MiT Strom Pipeline'!R26="follow-up")+('MiT Strom Pipeline'!R26="Evaluation")+('MiT Strom Pipeline'!R26="tbd")+('MiT Strom Pipeline'!R26="In evaluation")&gt;0,'MiT Strom Pipeline'!D26,"")</f>
        <v/>
      </c>
      <c r="E159" s="35">
        <f>IF(('MiT Strom Pipeline'!R26="follow-up")+('MiT Strom Pipeline'!R26="Evaluation")+('MiT Strom Pipeline'!R26="tbd")+('MiT Strom Pipeline'!R26="In evaluation")&gt;0,'MiT Strom Pipeline'!E26,"")</f>
        <v/>
      </c>
      <c r="F159" s="36">
        <f>IF(('MiT Strom Pipeline'!R26="follow-up")+('MiT Strom Pipeline'!R26="Evaluation")+('MiT Strom Pipeline'!R26="tbd")+('MiT Strom Pipeline'!R26="In evaluation")&gt;0,IF(ISNUMBER('MiT Strom Pipeline'!I26),'MiT Strom Pipeline'!I26,0),"")</f>
        <v/>
      </c>
      <c r="G159" s="36">
        <f>IF(('MiT Strom Pipeline'!R26="follow-up")+('MiT Strom Pipeline'!R26="Evaluation")+('MiT Strom Pipeline'!R26="tbd")+('MiT Strom Pipeline'!R26="In evaluation")&gt;0,IF(ISNUMBER('MiT Strom Pipeline'!Q26),'MiT Strom Pipeline'!Q26,0),"")</f>
        <v/>
      </c>
      <c r="H159" s="36">
        <f>IF(('MiT Strom Pipeline'!R26="follow-up")+('MiT Strom Pipeline'!R26="Evaluation")+('MiT Strom Pipeline'!R26="tbd")+('MiT Strom Pipeline'!R26="In evaluation")&gt;0,IF(ISNUMBER('MiT Strom Pipeline'!O26),'MiT Strom Pipeline'!O26,0),"")</f>
        <v/>
      </c>
      <c r="I159" s="34">
        <f>IF(('MiT Strom Pipeline'!R26="follow-up")+('MiT Strom Pipeline'!R26="Evaluation")+('MiT Strom Pipeline'!R26="tbd")+('MiT Strom Pipeline'!R26="In evaluation")&gt;0,'MiT Strom Pipeline'!R26,"")</f>
        <v/>
      </c>
      <c r="J159" s="34">
        <f>IF(('MiT Strom Pipeline'!R26="follow-up")+('MiT Strom Pipeline'!R26="Evaluation")+('MiT Strom Pipeline'!R26="tbd")+('MiT Strom Pipeline'!R26="In evaluation")&gt;0,'MiT Strom Pipeline'!S26,"")</f>
        <v/>
      </c>
      <c r="K159" s="35">
        <f>IF(('MiT Strom Pipeline'!R26="follow-up")+('MiT Strom Pipeline'!R26="Evaluation")+('MiT Strom Pipeline'!R26="tbd")+('MiT Strom Pipeline'!R26="In evaluation")&gt;0,IF(LEN('MiT Strom Pipeline'!V26)&gt;0,LEFT('MiT Strom Pipeline'!V26,55),""),"")</f>
        <v/>
      </c>
    </row>
    <row r="160" hidden="1" ht="15.75" customHeight="1">
      <c r="A160" s="22">
        <f>IF(('MiT Strom Pipeline'!R27="follow-up")+('MiT Strom Pipeline'!R27="Evaluation")+('MiT Strom Pipeline'!R27="tbd")+('MiT Strom Pipeline'!R27="In evaluation")&gt;0,IF(ISNUMBER('MiT Strom Pipeline'!A27),'MiT Strom Pipeline'!A27,""),"")</f>
        <v/>
      </c>
      <c r="B160" s="23">
        <f>IF(('MiT Strom Pipeline'!R27="follow-up")+('MiT Strom Pipeline'!R27="Evaluation")+('MiT Strom Pipeline'!R27="tbd")+('MiT Strom Pipeline'!R27="In evaluation")&gt;0,'MiT Strom Pipeline'!B27,"")</f>
        <v/>
      </c>
      <c r="C160" s="22">
        <f>IF(('MiT Strom Pipeline'!R27="follow-up")+('MiT Strom Pipeline'!R27="Evaluation")+('MiT Strom Pipeline'!R27="tbd")+('MiT Strom Pipeline'!R27="In evaluation")&gt;0,'MiT Strom Pipeline'!C27,"")</f>
        <v/>
      </c>
      <c r="D160" s="23">
        <f>IF(('MiT Strom Pipeline'!R27="follow-up")+('MiT Strom Pipeline'!R27="Evaluation")+('MiT Strom Pipeline'!R27="tbd")+('MiT Strom Pipeline'!R27="In evaluation")&gt;0,'MiT Strom Pipeline'!D27,"")</f>
        <v/>
      </c>
      <c r="E160" s="23">
        <f>IF(('MiT Strom Pipeline'!R27="follow-up")+('MiT Strom Pipeline'!R27="Evaluation")+('MiT Strom Pipeline'!R27="tbd")+('MiT Strom Pipeline'!R27="In evaluation")&gt;0,'MiT Strom Pipeline'!E27,"")</f>
        <v/>
      </c>
      <c r="F160" s="24">
        <f>IF(('MiT Strom Pipeline'!R27="follow-up")+('MiT Strom Pipeline'!R27="Evaluation")+('MiT Strom Pipeline'!R27="tbd")+('MiT Strom Pipeline'!R27="In evaluation")&gt;0,IF(ISNUMBER('MiT Strom Pipeline'!I27),'MiT Strom Pipeline'!I27,0),"")</f>
        <v/>
      </c>
      <c r="G160" s="24">
        <f>IF(('MiT Strom Pipeline'!R27="follow-up")+('MiT Strom Pipeline'!R27="Evaluation")+('MiT Strom Pipeline'!R27="tbd")+('MiT Strom Pipeline'!R27="In evaluation")&gt;0,IF(ISNUMBER('MiT Strom Pipeline'!Q27),'MiT Strom Pipeline'!Q27,0),"")</f>
        <v/>
      </c>
      <c r="H160" s="24">
        <f>IF(('MiT Strom Pipeline'!R27="follow-up")+('MiT Strom Pipeline'!R27="Evaluation")+('MiT Strom Pipeline'!R27="tbd")+('MiT Strom Pipeline'!R27="In evaluation")&gt;0,IF(ISNUMBER('MiT Strom Pipeline'!O27),'MiT Strom Pipeline'!O27,0),"")</f>
        <v/>
      </c>
      <c r="I160" s="22">
        <f>IF(('MiT Strom Pipeline'!R27="follow-up")+('MiT Strom Pipeline'!R27="Evaluation")+('MiT Strom Pipeline'!R27="tbd")+('MiT Strom Pipeline'!R27="In evaluation")&gt;0,'MiT Strom Pipeline'!R27,"")</f>
        <v/>
      </c>
      <c r="J160" s="22">
        <f>IF(('MiT Strom Pipeline'!R27="follow-up")+('MiT Strom Pipeline'!R27="Evaluation")+('MiT Strom Pipeline'!R27="tbd")+('MiT Strom Pipeline'!R27="In evaluation")&gt;0,'MiT Strom Pipeline'!S27,"")</f>
        <v/>
      </c>
      <c r="K160" s="23">
        <f>IF(('MiT Strom Pipeline'!R27="follow-up")+('MiT Strom Pipeline'!R27="Evaluation")+('MiT Strom Pipeline'!R27="tbd")+('MiT Strom Pipeline'!R27="In evaluation")&gt;0,IF(LEN('MiT Strom Pipeline'!V27)&gt;0,LEFT('MiT Strom Pipeline'!V27,55),""),"")</f>
        <v/>
      </c>
    </row>
    <row r="161" hidden="1" ht="15.75" customHeight="1">
      <c r="A161" s="34">
        <f>IF(('MiT Strom Pipeline'!R28="follow-up")+('MiT Strom Pipeline'!R28="Evaluation")+('MiT Strom Pipeline'!R28="tbd")+('MiT Strom Pipeline'!R28="In evaluation")&gt;0,IF(ISNUMBER('MiT Strom Pipeline'!A28),'MiT Strom Pipeline'!A28,""),"")</f>
        <v/>
      </c>
      <c r="B161" s="35">
        <f>IF(('MiT Strom Pipeline'!R28="follow-up")+('MiT Strom Pipeline'!R28="Evaluation")+('MiT Strom Pipeline'!R28="tbd")+('MiT Strom Pipeline'!R28="In evaluation")&gt;0,'MiT Strom Pipeline'!B28,"")</f>
        <v/>
      </c>
      <c r="C161" s="34">
        <f>IF(('MiT Strom Pipeline'!R28="follow-up")+('MiT Strom Pipeline'!R28="Evaluation")+('MiT Strom Pipeline'!R28="tbd")+('MiT Strom Pipeline'!R28="In evaluation")&gt;0,'MiT Strom Pipeline'!C28,"")</f>
        <v/>
      </c>
      <c r="D161" s="35">
        <f>IF(('MiT Strom Pipeline'!R28="follow-up")+('MiT Strom Pipeline'!R28="Evaluation")+('MiT Strom Pipeline'!R28="tbd")+('MiT Strom Pipeline'!R28="In evaluation")&gt;0,'MiT Strom Pipeline'!D28,"")</f>
        <v/>
      </c>
      <c r="E161" s="35">
        <f>IF(('MiT Strom Pipeline'!R28="follow-up")+('MiT Strom Pipeline'!R28="Evaluation")+('MiT Strom Pipeline'!R28="tbd")+('MiT Strom Pipeline'!R28="In evaluation")&gt;0,'MiT Strom Pipeline'!E28,"")</f>
        <v/>
      </c>
      <c r="F161" s="36">
        <f>IF(('MiT Strom Pipeline'!R28="follow-up")+('MiT Strom Pipeline'!R28="Evaluation")+('MiT Strom Pipeline'!R28="tbd")+('MiT Strom Pipeline'!R28="In evaluation")&gt;0,IF(ISNUMBER('MiT Strom Pipeline'!I28),'MiT Strom Pipeline'!I28,0),"")</f>
        <v/>
      </c>
      <c r="G161" s="36">
        <f>IF(('MiT Strom Pipeline'!R28="follow-up")+('MiT Strom Pipeline'!R28="Evaluation")+('MiT Strom Pipeline'!R28="tbd")+('MiT Strom Pipeline'!R28="In evaluation")&gt;0,IF(ISNUMBER('MiT Strom Pipeline'!Q28),'MiT Strom Pipeline'!Q28,0),"")</f>
        <v/>
      </c>
      <c r="H161" s="36">
        <f>IF(('MiT Strom Pipeline'!R28="follow-up")+('MiT Strom Pipeline'!R28="Evaluation")+('MiT Strom Pipeline'!R28="tbd")+('MiT Strom Pipeline'!R28="In evaluation")&gt;0,IF(ISNUMBER('MiT Strom Pipeline'!O28),'MiT Strom Pipeline'!O28,0),"")</f>
        <v/>
      </c>
      <c r="I161" s="34">
        <f>IF(('MiT Strom Pipeline'!R28="follow-up")+('MiT Strom Pipeline'!R28="Evaluation")+('MiT Strom Pipeline'!R28="tbd")+('MiT Strom Pipeline'!R28="In evaluation")&gt;0,'MiT Strom Pipeline'!R28,"")</f>
        <v/>
      </c>
      <c r="J161" s="34">
        <f>IF(('MiT Strom Pipeline'!R28="follow-up")+('MiT Strom Pipeline'!R28="Evaluation")+('MiT Strom Pipeline'!R28="tbd")+('MiT Strom Pipeline'!R28="In evaluation")&gt;0,'MiT Strom Pipeline'!S28,"")</f>
        <v/>
      </c>
      <c r="K161" s="35">
        <f>IF(('MiT Strom Pipeline'!R28="follow-up")+('MiT Strom Pipeline'!R28="Evaluation")+('MiT Strom Pipeline'!R28="tbd")+('MiT Strom Pipeline'!R28="In evaluation")&gt;0,IF(LEN('MiT Strom Pipeline'!V28)&gt;0,LEFT('MiT Strom Pipeline'!V28,55),""),"")</f>
        <v/>
      </c>
    </row>
    <row r="162" ht="15.75" customHeight="1">
      <c r="A162" s="22">
        <f>IF(('MiT Strom Pipeline'!R29="follow-up")+('MiT Strom Pipeline'!R29="Evaluation")+('MiT Strom Pipeline'!R29="tbd")+('MiT Strom Pipeline'!R29="In evaluation")&gt;0,IF(ISNUMBER('MiT Strom Pipeline'!A29),'MiT Strom Pipeline'!A29,""),"")</f>
        <v/>
      </c>
      <c r="B162" s="23">
        <f>IF(('MiT Strom Pipeline'!R29="follow-up")+('MiT Strom Pipeline'!R29="Evaluation")+('MiT Strom Pipeline'!R29="tbd")+('MiT Strom Pipeline'!R29="In evaluation")&gt;0,'MiT Strom Pipeline'!B29,"")</f>
        <v/>
      </c>
      <c r="C162" s="22">
        <f>IF(('MiT Strom Pipeline'!R29="follow-up")+('MiT Strom Pipeline'!R29="Evaluation")+('MiT Strom Pipeline'!R29="tbd")+('MiT Strom Pipeline'!R29="In evaluation")&gt;0,'MiT Strom Pipeline'!C29,"")</f>
        <v/>
      </c>
      <c r="D162" s="23">
        <f>IF(('MiT Strom Pipeline'!R29="follow-up")+('MiT Strom Pipeline'!R29="Evaluation")+('MiT Strom Pipeline'!R29="tbd")+('MiT Strom Pipeline'!R29="In evaluation")&gt;0,'MiT Strom Pipeline'!D29,"")</f>
        <v/>
      </c>
      <c r="E162" s="23">
        <f>IF(('MiT Strom Pipeline'!R29="follow-up")+('MiT Strom Pipeline'!R29="Evaluation")+('MiT Strom Pipeline'!R29="tbd")+('MiT Strom Pipeline'!R29="In evaluation")&gt;0,'MiT Strom Pipeline'!E29,"")</f>
        <v/>
      </c>
      <c r="F162" s="24">
        <f>IF(('MiT Strom Pipeline'!R29="follow-up")+('MiT Strom Pipeline'!R29="Evaluation")+('MiT Strom Pipeline'!R29="tbd")+('MiT Strom Pipeline'!R29="In evaluation")&gt;0,IF(ISNUMBER('MiT Strom Pipeline'!I29),'MiT Strom Pipeline'!I29,0),"")</f>
        <v/>
      </c>
      <c r="G162" s="24">
        <f>IF(('MiT Strom Pipeline'!R29="follow-up")+('MiT Strom Pipeline'!R29="Evaluation")+('MiT Strom Pipeline'!R29="tbd")+('MiT Strom Pipeline'!R29="In evaluation")&gt;0,IF(ISNUMBER('MiT Strom Pipeline'!Q29),'MiT Strom Pipeline'!Q29,0),"")</f>
        <v/>
      </c>
      <c r="H162" s="24">
        <f>IF(('MiT Strom Pipeline'!R29="follow-up")+('MiT Strom Pipeline'!R29="Evaluation")+('MiT Strom Pipeline'!R29="tbd")+('MiT Strom Pipeline'!R29="In evaluation")&gt;0,IF(ISNUMBER('MiT Strom Pipeline'!O29),'MiT Strom Pipeline'!O29,0),"")</f>
        <v/>
      </c>
      <c r="I162" s="22">
        <f>IF(('MiT Strom Pipeline'!R29="follow-up")+('MiT Strom Pipeline'!R29="Evaluation")+('MiT Strom Pipeline'!R29="tbd")+('MiT Strom Pipeline'!R29="In evaluation")&gt;0,'MiT Strom Pipeline'!R29,"")</f>
        <v/>
      </c>
      <c r="J162" s="22">
        <f>IF(('MiT Strom Pipeline'!R29="follow-up")+('MiT Strom Pipeline'!R29="Evaluation")+('MiT Strom Pipeline'!R29="tbd")+('MiT Strom Pipeline'!R29="In evaluation")&gt;0,'MiT Strom Pipeline'!S29,"")</f>
        <v/>
      </c>
      <c r="K162" s="23">
        <f>IF(('MiT Strom Pipeline'!R29="follow-up")+('MiT Strom Pipeline'!R29="Evaluation")+('MiT Strom Pipeline'!R29="tbd")+('MiT Strom Pipeline'!R29="In evaluation")&gt;0,IF(LEN('MiT Strom Pipeline'!V29)&gt;0,LEFT('MiT Strom Pipeline'!V29,55),""),"")</f>
        <v/>
      </c>
    </row>
    <row r="163" ht="15.75" customHeight="1">
      <c r="A163" s="34">
        <f>IF(('MiT Strom Pipeline'!R30="follow-up")+('MiT Strom Pipeline'!R30="Evaluation")+('MiT Strom Pipeline'!R30="tbd")+('MiT Strom Pipeline'!R30="In evaluation")&gt;0,IF(ISNUMBER('MiT Strom Pipeline'!A30),'MiT Strom Pipeline'!A30,""),"")</f>
        <v/>
      </c>
      <c r="B163" s="35">
        <f>IF(('MiT Strom Pipeline'!R30="follow-up")+('MiT Strom Pipeline'!R30="Evaluation")+('MiT Strom Pipeline'!R30="tbd")+('MiT Strom Pipeline'!R30="In evaluation")&gt;0,'MiT Strom Pipeline'!B30,"")</f>
        <v/>
      </c>
      <c r="C163" s="34">
        <f>IF(('MiT Strom Pipeline'!R30="follow-up")+('MiT Strom Pipeline'!R30="Evaluation")+('MiT Strom Pipeline'!R30="tbd")+('MiT Strom Pipeline'!R30="In evaluation")&gt;0,'MiT Strom Pipeline'!C30,"")</f>
        <v/>
      </c>
      <c r="D163" s="35">
        <f>IF(('MiT Strom Pipeline'!R30="follow-up")+('MiT Strom Pipeline'!R30="Evaluation")+('MiT Strom Pipeline'!R30="tbd")+('MiT Strom Pipeline'!R30="In evaluation")&gt;0,'MiT Strom Pipeline'!D30,"")</f>
        <v/>
      </c>
      <c r="E163" s="35">
        <f>IF(('MiT Strom Pipeline'!R30="follow-up")+('MiT Strom Pipeline'!R30="Evaluation")+('MiT Strom Pipeline'!R30="tbd")+('MiT Strom Pipeline'!R30="In evaluation")&gt;0,'MiT Strom Pipeline'!E30,"")</f>
        <v/>
      </c>
      <c r="F163" s="36">
        <f>IF(('MiT Strom Pipeline'!R30="follow-up")+('MiT Strom Pipeline'!R30="Evaluation")+('MiT Strom Pipeline'!R30="tbd")+('MiT Strom Pipeline'!R30="In evaluation")&gt;0,IF(ISNUMBER('MiT Strom Pipeline'!I30),'MiT Strom Pipeline'!I30,0),"")</f>
        <v/>
      </c>
      <c r="G163" s="36">
        <f>IF(('MiT Strom Pipeline'!R30="follow-up")+('MiT Strom Pipeline'!R30="Evaluation")+('MiT Strom Pipeline'!R30="tbd")+('MiT Strom Pipeline'!R30="In evaluation")&gt;0,IF(ISNUMBER('MiT Strom Pipeline'!Q30),'MiT Strom Pipeline'!Q30,0),"")</f>
        <v/>
      </c>
      <c r="H163" s="36">
        <f>IF(('MiT Strom Pipeline'!R30="follow-up")+('MiT Strom Pipeline'!R30="Evaluation")+('MiT Strom Pipeline'!R30="tbd")+('MiT Strom Pipeline'!R30="In evaluation")&gt;0,IF(ISNUMBER('MiT Strom Pipeline'!O30),'MiT Strom Pipeline'!O30,0),"")</f>
        <v/>
      </c>
      <c r="I163" s="34">
        <f>IF(('MiT Strom Pipeline'!R30="follow-up")+('MiT Strom Pipeline'!R30="Evaluation")+('MiT Strom Pipeline'!R30="tbd")+('MiT Strom Pipeline'!R30="In evaluation")&gt;0,'MiT Strom Pipeline'!R30,"")</f>
        <v/>
      </c>
      <c r="J163" s="34">
        <f>IF(('MiT Strom Pipeline'!R30="follow-up")+('MiT Strom Pipeline'!R30="Evaluation")+('MiT Strom Pipeline'!R30="tbd")+('MiT Strom Pipeline'!R30="In evaluation")&gt;0,'MiT Strom Pipeline'!S30,"")</f>
        <v/>
      </c>
      <c r="K163" s="35">
        <f>IF(('MiT Strom Pipeline'!R30="follow-up")+('MiT Strom Pipeline'!R30="Evaluation")+('MiT Strom Pipeline'!R30="tbd")+('MiT Strom Pipeline'!R30="In evaluation")&gt;0,IF(LEN('MiT Strom Pipeline'!V30)&gt;0,LEFT('MiT Strom Pipeline'!V30,55),""),"")</f>
        <v/>
      </c>
    </row>
    <row r="164" hidden="1" ht="15.75" customHeight="1">
      <c r="A164" s="22">
        <f>IF(('MiT Strom Pipeline'!R31="follow-up")+('MiT Strom Pipeline'!R31="Evaluation")+('MiT Strom Pipeline'!R31="tbd")+('MiT Strom Pipeline'!R31="In evaluation")&gt;0,IF(ISNUMBER('MiT Strom Pipeline'!A31),'MiT Strom Pipeline'!A31,""),"")</f>
        <v/>
      </c>
      <c r="B164" s="23">
        <f>IF(('MiT Strom Pipeline'!R31="follow-up")+('MiT Strom Pipeline'!R31="Evaluation")+('MiT Strom Pipeline'!R31="tbd")+('MiT Strom Pipeline'!R31="In evaluation")&gt;0,'MiT Strom Pipeline'!B31,"")</f>
        <v/>
      </c>
      <c r="C164" s="22">
        <f>IF(('MiT Strom Pipeline'!R31="follow-up")+('MiT Strom Pipeline'!R31="Evaluation")+('MiT Strom Pipeline'!R31="tbd")+('MiT Strom Pipeline'!R31="In evaluation")&gt;0,'MiT Strom Pipeline'!C31,"")</f>
        <v/>
      </c>
      <c r="D164" s="23">
        <f>IF(('MiT Strom Pipeline'!R31="follow-up")+('MiT Strom Pipeline'!R31="Evaluation")+('MiT Strom Pipeline'!R31="tbd")+('MiT Strom Pipeline'!R31="In evaluation")&gt;0,'MiT Strom Pipeline'!D31,"")</f>
        <v/>
      </c>
      <c r="E164" s="23">
        <f>IF(('MiT Strom Pipeline'!R31="follow-up")+('MiT Strom Pipeline'!R31="Evaluation")+('MiT Strom Pipeline'!R31="tbd")+('MiT Strom Pipeline'!R31="In evaluation")&gt;0,'MiT Strom Pipeline'!E31,"")</f>
        <v/>
      </c>
      <c r="F164" s="24">
        <f>IF(('MiT Strom Pipeline'!R31="follow-up")+('MiT Strom Pipeline'!R31="Evaluation")+('MiT Strom Pipeline'!R31="tbd")+('MiT Strom Pipeline'!R31="In evaluation")&gt;0,IF(ISNUMBER('MiT Strom Pipeline'!I31),'MiT Strom Pipeline'!I31,0),"")</f>
        <v/>
      </c>
      <c r="G164" s="24">
        <f>IF(('MiT Strom Pipeline'!R31="follow-up")+('MiT Strom Pipeline'!R31="Evaluation")+('MiT Strom Pipeline'!R31="tbd")+('MiT Strom Pipeline'!R31="In evaluation")&gt;0,IF(ISNUMBER('MiT Strom Pipeline'!Q31),'MiT Strom Pipeline'!Q31,0),"")</f>
        <v/>
      </c>
      <c r="H164" s="24">
        <f>IF(('MiT Strom Pipeline'!R31="follow-up")+('MiT Strom Pipeline'!R31="Evaluation")+('MiT Strom Pipeline'!R31="tbd")+('MiT Strom Pipeline'!R31="In evaluation")&gt;0,IF(ISNUMBER('MiT Strom Pipeline'!O31),'MiT Strom Pipeline'!O31,0),"")</f>
        <v/>
      </c>
      <c r="I164" s="22">
        <f>IF(('MiT Strom Pipeline'!R31="follow-up")+('MiT Strom Pipeline'!R31="Evaluation")+('MiT Strom Pipeline'!R31="tbd")+('MiT Strom Pipeline'!R31="In evaluation")&gt;0,'MiT Strom Pipeline'!R31,"")</f>
        <v/>
      </c>
      <c r="J164" s="22">
        <f>IF(('MiT Strom Pipeline'!R31="follow-up")+('MiT Strom Pipeline'!R31="Evaluation")+('MiT Strom Pipeline'!R31="tbd")+('MiT Strom Pipeline'!R31="In evaluation")&gt;0,'MiT Strom Pipeline'!S31,"")</f>
        <v/>
      </c>
      <c r="K164" s="23">
        <f>IF(('MiT Strom Pipeline'!R31="follow-up")+('MiT Strom Pipeline'!R31="Evaluation")+('MiT Strom Pipeline'!R31="tbd")+('MiT Strom Pipeline'!R31="In evaluation")&gt;0,IF(LEN('MiT Strom Pipeline'!V31)&gt;0,LEFT('MiT Strom Pipeline'!V31,55),""),"")</f>
        <v/>
      </c>
    </row>
    <row r="165" hidden="1" ht="15.75" customHeight="1">
      <c r="A165" s="34">
        <f>IF(('MiT Strom Pipeline'!R32="follow-up")+('MiT Strom Pipeline'!R32="Evaluation")+('MiT Strom Pipeline'!R32="tbd")+('MiT Strom Pipeline'!R32="In evaluation")&gt;0,IF(ISNUMBER('MiT Strom Pipeline'!A32),'MiT Strom Pipeline'!A32,""),"")</f>
        <v/>
      </c>
      <c r="B165" s="35">
        <f>IF(('MiT Strom Pipeline'!R32="follow-up")+('MiT Strom Pipeline'!R32="Evaluation")+('MiT Strom Pipeline'!R32="tbd")+('MiT Strom Pipeline'!R32="In evaluation")&gt;0,'MiT Strom Pipeline'!B32,"")</f>
        <v/>
      </c>
      <c r="C165" s="34">
        <f>IF(('MiT Strom Pipeline'!R32="follow-up")+('MiT Strom Pipeline'!R32="Evaluation")+('MiT Strom Pipeline'!R32="tbd")+('MiT Strom Pipeline'!R32="In evaluation")&gt;0,'MiT Strom Pipeline'!C32,"")</f>
        <v/>
      </c>
      <c r="D165" s="35">
        <f>IF(('MiT Strom Pipeline'!R32="follow-up")+('MiT Strom Pipeline'!R32="Evaluation")+('MiT Strom Pipeline'!R32="tbd")+('MiT Strom Pipeline'!R32="In evaluation")&gt;0,'MiT Strom Pipeline'!D32,"")</f>
        <v/>
      </c>
      <c r="E165" s="35">
        <f>IF(('MiT Strom Pipeline'!R32="follow-up")+('MiT Strom Pipeline'!R32="Evaluation")+('MiT Strom Pipeline'!R32="tbd")+('MiT Strom Pipeline'!R32="In evaluation")&gt;0,'MiT Strom Pipeline'!E32,"")</f>
        <v/>
      </c>
      <c r="F165" s="36">
        <f>IF(('MiT Strom Pipeline'!R32="follow-up")+('MiT Strom Pipeline'!R32="Evaluation")+('MiT Strom Pipeline'!R32="tbd")+('MiT Strom Pipeline'!R32="In evaluation")&gt;0,IF(ISNUMBER('MiT Strom Pipeline'!I32),'MiT Strom Pipeline'!I32,0),"")</f>
        <v/>
      </c>
      <c r="G165" s="36">
        <f>IF(('MiT Strom Pipeline'!R32="follow-up")+('MiT Strom Pipeline'!R32="Evaluation")+('MiT Strom Pipeline'!R32="tbd")+('MiT Strom Pipeline'!R32="In evaluation")&gt;0,IF(ISNUMBER('MiT Strom Pipeline'!Q32),'MiT Strom Pipeline'!Q32,0),"")</f>
        <v/>
      </c>
      <c r="H165" s="36">
        <f>IF(('MiT Strom Pipeline'!R32="follow-up")+('MiT Strom Pipeline'!R32="Evaluation")+('MiT Strom Pipeline'!R32="tbd")+('MiT Strom Pipeline'!R32="In evaluation")&gt;0,IF(ISNUMBER('MiT Strom Pipeline'!O32),'MiT Strom Pipeline'!O32,0),"")</f>
        <v/>
      </c>
      <c r="I165" s="34">
        <f>IF(('MiT Strom Pipeline'!R32="follow-up")+('MiT Strom Pipeline'!R32="Evaluation")+('MiT Strom Pipeline'!R32="tbd")+('MiT Strom Pipeline'!R32="In evaluation")&gt;0,'MiT Strom Pipeline'!R32,"")</f>
        <v/>
      </c>
      <c r="J165" s="34">
        <f>IF(('MiT Strom Pipeline'!R32="follow-up")+('MiT Strom Pipeline'!R32="Evaluation")+('MiT Strom Pipeline'!R32="tbd")+('MiT Strom Pipeline'!R32="In evaluation")&gt;0,'MiT Strom Pipeline'!S32,"")</f>
        <v/>
      </c>
      <c r="K165" s="35">
        <f>IF(('MiT Strom Pipeline'!R32="follow-up")+('MiT Strom Pipeline'!R32="Evaluation")+('MiT Strom Pipeline'!R32="tbd")+('MiT Strom Pipeline'!R32="In evaluation")&gt;0,IF(LEN('MiT Strom Pipeline'!V32)&gt;0,LEFT('MiT Strom Pipeline'!V32,55),""),"")</f>
        <v/>
      </c>
    </row>
    <row r="166" hidden="1" ht="15.75" customHeight="1">
      <c r="A166" s="22">
        <f>IF(('MiT Strom Pipeline'!R33="follow-up")+('MiT Strom Pipeline'!R33="Evaluation")+('MiT Strom Pipeline'!R33="tbd")+('MiT Strom Pipeline'!R33="In evaluation")&gt;0,IF(ISNUMBER('MiT Strom Pipeline'!A33),'MiT Strom Pipeline'!A33,""),"")</f>
        <v/>
      </c>
      <c r="B166" s="23">
        <f>IF(('MiT Strom Pipeline'!R33="follow-up")+('MiT Strom Pipeline'!R33="Evaluation")+('MiT Strom Pipeline'!R33="tbd")+('MiT Strom Pipeline'!R33="In evaluation")&gt;0,'MiT Strom Pipeline'!B33,"")</f>
        <v/>
      </c>
      <c r="C166" s="22">
        <f>IF(('MiT Strom Pipeline'!R33="follow-up")+('MiT Strom Pipeline'!R33="Evaluation")+('MiT Strom Pipeline'!R33="tbd")+('MiT Strom Pipeline'!R33="In evaluation")&gt;0,'MiT Strom Pipeline'!C33,"")</f>
        <v/>
      </c>
      <c r="D166" s="23">
        <f>IF(('MiT Strom Pipeline'!R33="follow-up")+('MiT Strom Pipeline'!R33="Evaluation")+('MiT Strom Pipeline'!R33="tbd")+('MiT Strom Pipeline'!R33="In evaluation")&gt;0,'MiT Strom Pipeline'!D33,"")</f>
        <v/>
      </c>
      <c r="E166" s="23">
        <f>IF(('MiT Strom Pipeline'!R33="follow-up")+('MiT Strom Pipeline'!R33="Evaluation")+('MiT Strom Pipeline'!R33="tbd")+('MiT Strom Pipeline'!R33="In evaluation")&gt;0,'MiT Strom Pipeline'!E33,"")</f>
        <v/>
      </c>
      <c r="F166" s="24">
        <f>IF(('MiT Strom Pipeline'!R33="follow-up")+('MiT Strom Pipeline'!R33="Evaluation")+('MiT Strom Pipeline'!R33="tbd")+('MiT Strom Pipeline'!R33="In evaluation")&gt;0,IF(ISNUMBER('MiT Strom Pipeline'!I33),'MiT Strom Pipeline'!I33,0),"")</f>
        <v/>
      </c>
      <c r="G166" s="24">
        <f>IF(('MiT Strom Pipeline'!R33="follow-up")+('MiT Strom Pipeline'!R33="Evaluation")+('MiT Strom Pipeline'!R33="tbd")+('MiT Strom Pipeline'!R33="In evaluation")&gt;0,IF(ISNUMBER('MiT Strom Pipeline'!Q33),'MiT Strom Pipeline'!Q33,0),"")</f>
        <v/>
      </c>
      <c r="H166" s="24">
        <f>IF(('MiT Strom Pipeline'!R33="follow-up")+('MiT Strom Pipeline'!R33="Evaluation")+('MiT Strom Pipeline'!R33="tbd")+('MiT Strom Pipeline'!R33="In evaluation")&gt;0,IF(ISNUMBER('MiT Strom Pipeline'!O33),'MiT Strom Pipeline'!O33,0),"")</f>
        <v/>
      </c>
      <c r="I166" s="22">
        <f>IF(('MiT Strom Pipeline'!R33="follow-up")+('MiT Strom Pipeline'!R33="Evaluation")+('MiT Strom Pipeline'!R33="tbd")+('MiT Strom Pipeline'!R33="In evaluation")&gt;0,'MiT Strom Pipeline'!R33,"")</f>
        <v/>
      </c>
      <c r="J166" s="22">
        <f>IF(('MiT Strom Pipeline'!R33="follow-up")+('MiT Strom Pipeline'!R33="Evaluation")+('MiT Strom Pipeline'!R33="tbd")+('MiT Strom Pipeline'!R33="In evaluation")&gt;0,'MiT Strom Pipeline'!S33,"")</f>
        <v/>
      </c>
      <c r="K166" s="23">
        <f>IF(('MiT Strom Pipeline'!R33="follow-up")+('MiT Strom Pipeline'!R33="Evaluation")+('MiT Strom Pipeline'!R33="tbd")+('MiT Strom Pipeline'!R33="In evaluation")&gt;0,IF(LEN('MiT Strom Pipeline'!V33)&gt;0,LEFT('MiT Strom Pipeline'!V33,55),""),"")</f>
        <v/>
      </c>
    </row>
    <row r="167" hidden="1" ht="15.75" customHeight="1">
      <c r="A167" s="34">
        <f>IF(('MiT Strom Pipeline'!R34="follow-up")+('MiT Strom Pipeline'!R34="Evaluation")+('MiT Strom Pipeline'!R34="tbd")+('MiT Strom Pipeline'!R34="In evaluation")&gt;0,IF(ISNUMBER('MiT Strom Pipeline'!A34),'MiT Strom Pipeline'!A34,""),"")</f>
        <v/>
      </c>
      <c r="B167" s="35">
        <f>IF(('MiT Strom Pipeline'!R34="follow-up")+('MiT Strom Pipeline'!R34="Evaluation")+('MiT Strom Pipeline'!R34="tbd")+('MiT Strom Pipeline'!R34="In evaluation")&gt;0,'MiT Strom Pipeline'!B34,"")</f>
        <v/>
      </c>
      <c r="C167" s="34">
        <f>IF(('MiT Strom Pipeline'!R34="follow-up")+('MiT Strom Pipeline'!R34="Evaluation")+('MiT Strom Pipeline'!R34="tbd")+('MiT Strom Pipeline'!R34="In evaluation")&gt;0,'MiT Strom Pipeline'!C34,"")</f>
        <v/>
      </c>
      <c r="D167" s="35">
        <f>IF(('MiT Strom Pipeline'!R34="follow-up")+('MiT Strom Pipeline'!R34="Evaluation")+('MiT Strom Pipeline'!R34="tbd")+('MiT Strom Pipeline'!R34="In evaluation")&gt;0,'MiT Strom Pipeline'!D34,"")</f>
        <v/>
      </c>
      <c r="E167" s="35">
        <f>IF(('MiT Strom Pipeline'!R34="follow-up")+('MiT Strom Pipeline'!R34="Evaluation")+('MiT Strom Pipeline'!R34="tbd")+('MiT Strom Pipeline'!R34="In evaluation")&gt;0,'MiT Strom Pipeline'!E34,"")</f>
        <v/>
      </c>
      <c r="F167" s="36">
        <f>IF(('MiT Strom Pipeline'!R34="follow-up")+('MiT Strom Pipeline'!R34="Evaluation")+('MiT Strom Pipeline'!R34="tbd")+('MiT Strom Pipeline'!R34="In evaluation")&gt;0,IF(ISNUMBER('MiT Strom Pipeline'!I34),'MiT Strom Pipeline'!I34,0),"")</f>
        <v/>
      </c>
      <c r="G167" s="36">
        <f>IF(('MiT Strom Pipeline'!R34="follow-up")+('MiT Strom Pipeline'!R34="Evaluation")+('MiT Strom Pipeline'!R34="tbd")+('MiT Strom Pipeline'!R34="In evaluation")&gt;0,IF(ISNUMBER('MiT Strom Pipeline'!Q34),'MiT Strom Pipeline'!Q34,0),"")</f>
        <v/>
      </c>
      <c r="H167" s="36">
        <f>IF(('MiT Strom Pipeline'!R34="follow-up")+('MiT Strom Pipeline'!R34="Evaluation")+('MiT Strom Pipeline'!R34="tbd")+('MiT Strom Pipeline'!R34="In evaluation")&gt;0,IF(ISNUMBER('MiT Strom Pipeline'!O34),'MiT Strom Pipeline'!O34,0),"")</f>
        <v/>
      </c>
      <c r="I167" s="34">
        <f>IF(('MiT Strom Pipeline'!R34="follow-up")+('MiT Strom Pipeline'!R34="Evaluation")+('MiT Strom Pipeline'!R34="tbd")+('MiT Strom Pipeline'!R34="In evaluation")&gt;0,'MiT Strom Pipeline'!R34,"")</f>
        <v/>
      </c>
      <c r="J167" s="34">
        <f>IF(('MiT Strom Pipeline'!R34="follow-up")+('MiT Strom Pipeline'!R34="Evaluation")+('MiT Strom Pipeline'!R34="tbd")+('MiT Strom Pipeline'!R34="In evaluation")&gt;0,'MiT Strom Pipeline'!S34,"")</f>
        <v/>
      </c>
      <c r="K167" s="35">
        <f>IF(('MiT Strom Pipeline'!R34="follow-up")+('MiT Strom Pipeline'!R34="Evaluation")+('MiT Strom Pipeline'!R34="tbd")+('MiT Strom Pipeline'!R34="In evaluation")&gt;0,IF(LEN('MiT Strom Pipeline'!V34)&gt;0,LEFT('MiT Strom Pipeline'!V34,55),""),"")</f>
        <v/>
      </c>
    </row>
    <row r="168" hidden="1" ht="15.75" customHeight="1">
      <c r="A168" s="22">
        <f>IF(('MiT Strom Pipeline'!R35="follow-up")+('MiT Strom Pipeline'!R35="Evaluation")+('MiT Strom Pipeline'!R35="tbd")+('MiT Strom Pipeline'!R35="In evaluation")&gt;0,IF(ISNUMBER('MiT Strom Pipeline'!A35),'MiT Strom Pipeline'!A35,""),"")</f>
        <v/>
      </c>
      <c r="B168" s="23">
        <f>IF(('MiT Strom Pipeline'!R35="follow-up")+('MiT Strom Pipeline'!R35="Evaluation")+('MiT Strom Pipeline'!R35="tbd")+('MiT Strom Pipeline'!R35="In evaluation")&gt;0,'MiT Strom Pipeline'!B35,"")</f>
        <v/>
      </c>
      <c r="C168" s="22">
        <f>IF(('MiT Strom Pipeline'!R35="follow-up")+('MiT Strom Pipeline'!R35="Evaluation")+('MiT Strom Pipeline'!R35="tbd")+('MiT Strom Pipeline'!R35="In evaluation")&gt;0,'MiT Strom Pipeline'!C35,"")</f>
        <v/>
      </c>
      <c r="D168" s="23">
        <f>IF(('MiT Strom Pipeline'!R35="follow-up")+('MiT Strom Pipeline'!R35="Evaluation")+('MiT Strom Pipeline'!R35="tbd")+('MiT Strom Pipeline'!R35="In evaluation")&gt;0,'MiT Strom Pipeline'!D35,"")</f>
        <v/>
      </c>
      <c r="E168" s="23">
        <f>IF(('MiT Strom Pipeline'!R35="follow-up")+('MiT Strom Pipeline'!R35="Evaluation")+('MiT Strom Pipeline'!R35="tbd")+('MiT Strom Pipeline'!R35="In evaluation")&gt;0,'MiT Strom Pipeline'!E35,"")</f>
        <v/>
      </c>
      <c r="F168" s="24">
        <f>IF(('MiT Strom Pipeline'!R35="follow-up")+('MiT Strom Pipeline'!R35="Evaluation")+('MiT Strom Pipeline'!R35="tbd")+('MiT Strom Pipeline'!R35="In evaluation")&gt;0,IF(ISNUMBER('MiT Strom Pipeline'!I35),'MiT Strom Pipeline'!I35,0),"")</f>
        <v/>
      </c>
      <c r="G168" s="24">
        <f>IF(('MiT Strom Pipeline'!R35="follow-up")+('MiT Strom Pipeline'!R35="Evaluation")+('MiT Strom Pipeline'!R35="tbd")+('MiT Strom Pipeline'!R35="In evaluation")&gt;0,IF(ISNUMBER('MiT Strom Pipeline'!Q35),'MiT Strom Pipeline'!Q35,0),"")</f>
        <v/>
      </c>
      <c r="H168" s="24">
        <f>IF(('MiT Strom Pipeline'!R35="follow-up")+('MiT Strom Pipeline'!R35="Evaluation")+('MiT Strom Pipeline'!R35="tbd")+('MiT Strom Pipeline'!R35="In evaluation")&gt;0,IF(ISNUMBER('MiT Strom Pipeline'!O35),'MiT Strom Pipeline'!O35,0),"")</f>
        <v/>
      </c>
      <c r="I168" s="22">
        <f>IF(('MiT Strom Pipeline'!R35="follow-up")+('MiT Strom Pipeline'!R35="Evaluation")+('MiT Strom Pipeline'!R35="tbd")+('MiT Strom Pipeline'!R35="In evaluation")&gt;0,'MiT Strom Pipeline'!R35,"")</f>
        <v/>
      </c>
      <c r="J168" s="22">
        <f>IF(('MiT Strom Pipeline'!R35="follow-up")+('MiT Strom Pipeline'!R35="Evaluation")+('MiT Strom Pipeline'!R35="tbd")+('MiT Strom Pipeline'!R35="In evaluation")&gt;0,'MiT Strom Pipeline'!S35,"")</f>
        <v/>
      </c>
      <c r="K168" s="23">
        <f>IF(('MiT Strom Pipeline'!R35="follow-up")+('MiT Strom Pipeline'!R35="Evaluation")+('MiT Strom Pipeline'!R35="tbd")+('MiT Strom Pipeline'!R35="In evaluation")&gt;0,IF(LEN('MiT Strom Pipeline'!V35)&gt;0,LEFT('MiT Strom Pipeline'!V35,55),""),"")</f>
        <v/>
      </c>
    </row>
    <row r="169" hidden="1" ht="15.75" customHeight="1">
      <c r="A169" s="34">
        <f>IF(('MiT Strom Pipeline'!R36="follow-up")+('MiT Strom Pipeline'!R36="Evaluation")+('MiT Strom Pipeline'!R36="tbd")+('MiT Strom Pipeline'!R36="In evaluation")&gt;0,IF(ISNUMBER('MiT Strom Pipeline'!A36),'MiT Strom Pipeline'!A36,""),"")</f>
        <v/>
      </c>
      <c r="B169" s="35">
        <f>IF(('MiT Strom Pipeline'!R36="follow-up")+('MiT Strom Pipeline'!R36="Evaluation")+('MiT Strom Pipeline'!R36="tbd")+('MiT Strom Pipeline'!R36="In evaluation")&gt;0,'MiT Strom Pipeline'!B36,"")</f>
        <v/>
      </c>
      <c r="C169" s="34">
        <f>IF(('MiT Strom Pipeline'!R36="follow-up")+('MiT Strom Pipeline'!R36="Evaluation")+('MiT Strom Pipeline'!R36="tbd")+('MiT Strom Pipeline'!R36="In evaluation")&gt;0,'MiT Strom Pipeline'!C36,"")</f>
        <v/>
      </c>
      <c r="D169" s="35">
        <f>IF(('MiT Strom Pipeline'!R36="follow-up")+('MiT Strom Pipeline'!R36="Evaluation")+('MiT Strom Pipeline'!R36="tbd")+('MiT Strom Pipeline'!R36="In evaluation")&gt;0,'MiT Strom Pipeline'!D36,"")</f>
        <v/>
      </c>
      <c r="E169" s="35">
        <f>IF(('MiT Strom Pipeline'!R36="follow-up")+('MiT Strom Pipeline'!R36="Evaluation")+('MiT Strom Pipeline'!R36="tbd")+('MiT Strom Pipeline'!R36="In evaluation")&gt;0,'MiT Strom Pipeline'!E36,"")</f>
        <v/>
      </c>
      <c r="F169" s="36">
        <f>IF(('MiT Strom Pipeline'!R36="follow-up")+('MiT Strom Pipeline'!R36="Evaluation")+('MiT Strom Pipeline'!R36="tbd")+('MiT Strom Pipeline'!R36="In evaluation")&gt;0,IF(ISNUMBER('MiT Strom Pipeline'!I36),'MiT Strom Pipeline'!I36,0),"")</f>
        <v/>
      </c>
      <c r="G169" s="36">
        <f>IF(('MiT Strom Pipeline'!R36="follow-up")+('MiT Strom Pipeline'!R36="Evaluation")+('MiT Strom Pipeline'!R36="tbd")+('MiT Strom Pipeline'!R36="In evaluation")&gt;0,IF(ISNUMBER('MiT Strom Pipeline'!Q36),'MiT Strom Pipeline'!Q36,0),"")</f>
        <v/>
      </c>
      <c r="H169" s="36">
        <f>IF(('MiT Strom Pipeline'!R36="follow-up")+('MiT Strom Pipeline'!R36="Evaluation")+('MiT Strom Pipeline'!R36="tbd")+('MiT Strom Pipeline'!R36="In evaluation")&gt;0,IF(ISNUMBER('MiT Strom Pipeline'!O36),'MiT Strom Pipeline'!O36,0),"")</f>
        <v/>
      </c>
      <c r="I169" s="34">
        <f>IF(('MiT Strom Pipeline'!R36="follow-up")+('MiT Strom Pipeline'!R36="Evaluation")+('MiT Strom Pipeline'!R36="tbd")+('MiT Strom Pipeline'!R36="In evaluation")&gt;0,'MiT Strom Pipeline'!R36,"")</f>
        <v/>
      </c>
      <c r="J169" s="34">
        <f>IF(('MiT Strom Pipeline'!R36="follow-up")+('MiT Strom Pipeline'!R36="Evaluation")+('MiT Strom Pipeline'!R36="tbd")+('MiT Strom Pipeline'!R36="In evaluation")&gt;0,'MiT Strom Pipeline'!S36,"")</f>
        <v/>
      </c>
      <c r="K169" s="35">
        <f>IF(('MiT Strom Pipeline'!R36="follow-up")+('MiT Strom Pipeline'!R36="Evaluation")+('MiT Strom Pipeline'!R36="tbd")+('MiT Strom Pipeline'!R36="In evaluation")&gt;0,IF(LEN('MiT Strom Pipeline'!V36)&gt;0,LEFT('MiT Strom Pipeline'!V36,55),""),"")</f>
        <v/>
      </c>
    </row>
    <row r="170" hidden="1" ht="15.75" customHeight="1">
      <c r="A170" s="22">
        <f>IF(('MiT Strom Pipeline'!R37="follow-up")+('MiT Strom Pipeline'!R37="Evaluation")+('MiT Strom Pipeline'!R37="tbd")+('MiT Strom Pipeline'!R37="In evaluation")&gt;0,IF(ISNUMBER('MiT Strom Pipeline'!A37),'MiT Strom Pipeline'!A37,""),"")</f>
        <v/>
      </c>
      <c r="B170" s="23">
        <f>IF(('MiT Strom Pipeline'!R37="follow-up")+('MiT Strom Pipeline'!R37="Evaluation")+('MiT Strom Pipeline'!R37="tbd")+('MiT Strom Pipeline'!R37="In evaluation")&gt;0,'MiT Strom Pipeline'!B37,"")</f>
        <v/>
      </c>
      <c r="C170" s="22">
        <f>IF(('MiT Strom Pipeline'!R37="follow-up")+('MiT Strom Pipeline'!R37="Evaluation")+('MiT Strom Pipeline'!R37="tbd")+('MiT Strom Pipeline'!R37="In evaluation")&gt;0,'MiT Strom Pipeline'!C37,"")</f>
        <v/>
      </c>
      <c r="D170" s="23">
        <f>IF(('MiT Strom Pipeline'!R37="follow-up")+('MiT Strom Pipeline'!R37="Evaluation")+('MiT Strom Pipeline'!R37="tbd")+('MiT Strom Pipeline'!R37="In evaluation")&gt;0,'MiT Strom Pipeline'!D37,"")</f>
        <v/>
      </c>
      <c r="E170" s="23">
        <f>IF(('MiT Strom Pipeline'!R37="follow-up")+('MiT Strom Pipeline'!R37="Evaluation")+('MiT Strom Pipeline'!R37="tbd")+('MiT Strom Pipeline'!R37="In evaluation")&gt;0,'MiT Strom Pipeline'!E37,"")</f>
        <v/>
      </c>
      <c r="F170" s="24">
        <f>IF(('MiT Strom Pipeline'!R37="follow-up")+('MiT Strom Pipeline'!R37="Evaluation")+('MiT Strom Pipeline'!R37="tbd")+('MiT Strom Pipeline'!R37="In evaluation")&gt;0,IF(ISNUMBER('MiT Strom Pipeline'!I37),'MiT Strom Pipeline'!I37,0),"")</f>
        <v/>
      </c>
      <c r="G170" s="24">
        <f>IF(('MiT Strom Pipeline'!R37="follow-up")+('MiT Strom Pipeline'!R37="Evaluation")+('MiT Strom Pipeline'!R37="tbd")+('MiT Strom Pipeline'!R37="In evaluation")&gt;0,IF(ISNUMBER('MiT Strom Pipeline'!Q37),'MiT Strom Pipeline'!Q37,0),"")</f>
        <v/>
      </c>
      <c r="H170" s="24">
        <f>IF(('MiT Strom Pipeline'!R37="follow-up")+('MiT Strom Pipeline'!R37="Evaluation")+('MiT Strom Pipeline'!R37="tbd")+('MiT Strom Pipeline'!R37="In evaluation")&gt;0,IF(ISNUMBER('MiT Strom Pipeline'!O37),'MiT Strom Pipeline'!O37,0),"")</f>
        <v/>
      </c>
      <c r="I170" s="22">
        <f>IF(('MiT Strom Pipeline'!R37="follow-up")+('MiT Strom Pipeline'!R37="Evaluation")+('MiT Strom Pipeline'!R37="tbd")+('MiT Strom Pipeline'!R37="In evaluation")&gt;0,'MiT Strom Pipeline'!R37,"")</f>
        <v/>
      </c>
      <c r="J170" s="22">
        <f>IF(('MiT Strom Pipeline'!R37="follow-up")+('MiT Strom Pipeline'!R37="Evaluation")+('MiT Strom Pipeline'!R37="tbd")+('MiT Strom Pipeline'!R37="In evaluation")&gt;0,'MiT Strom Pipeline'!S37,"")</f>
        <v/>
      </c>
      <c r="K170" s="23">
        <f>IF(('MiT Strom Pipeline'!R37="follow-up")+('MiT Strom Pipeline'!R37="Evaluation")+('MiT Strom Pipeline'!R37="tbd")+('MiT Strom Pipeline'!R37="In evaluation")&gt;0,IF(LEN('MiT Strom Pipeline'!V37)&gt;0,LEFT('MiT Strom Pipeline'!V37,55),""),"")</f>
        <v/>
      </c>
    </row>
    <row r="171" ht="15.75" customHeight="1">
      <c r="A171" s="34">
        <f>IF(('MiT Strom Pipeline'!R38="follow-up")+('MiT Strom Pipeline'!R38="Evaluation")+('MiT Strom Pipeline'!R38="tbd")+('MiT Strom Pipeline'!R38="In evaluation")&gt;0,IF(ISNUMBER('MiT Strom Pipeline'!A38),'MiT Strom Pipeline'!A38,""),"")</f>
        <v/>
      </c>
      <c r="B171" s="35">
        <f>IF(('MiT Strom Pipeline'!R38="follow-up")+('MiT Strom Pipeline'!R38="Evaluation")+('MiT Strom Pipeline'!R38="tbd")+('MiT Strom Pipeline'!R38="In evaluation")&gt;0,'MiT Strom Pipeline'!B38,"")</f>
        <v/>
      </c>
      <c r="C171" s="34">
        <f>IF(('MiT Strom Pipeline'!R38="follow-up")+('MiT Strom Pipeline'!R38="Evaluation")+('MiT Strom Pipeline'!R38="tbd")+('MiT Strom Pipeline'!R38="In evaluation")&gt;0,'MiT Strom Pipeline'!C38,"")</f>
        <v/>
      </c>
      <c r="D171" s="35">
        <f>IF(('MiT Strom Pipeline'!R38="follow-up")+('MiT Strom Pipeline'!R38="Evaluation")+('MiT Strom Pipeline'!R38="tbd")+('MiT Strom Pipeline'!R38="In evaluation")&gt;0,'MiT Strom Pipeline'!D38,"")</f>
        <v/>
      </c>
      <c r="E171" s="35">
        <f>IF(('MiT Strom Pipeline'!R38="follow-up")+('MiT Strom Pipeline'!R38="Evaluation")+('MiT Strom Pipeline'!R38="tbd")+('MiT Strom Pipeline'!R38="In evaluation")&gt;0,'MiT Strom Pipeline'!E38,"")</f>
        <v/>
      </c>
      <c r="F171" s="36">
        <f>IF(('MiT Strom Pipeline'!R38="follow-up")+('MiT Strom Pipeline'!R38="Evaluation")+('MiT Strom Pipeline'!R38="tbd")+('MiT Strom Pipeline'!R38="In evaluation")&gt;0,IF(ISNUMBER('MiT Strom Pipeline'!I38),'MiT Strom Pipeline'!I38,0),"")</f>
        <v/>
      </c>
      <c r="G171" s="36">
        <f>IF(('MiT Strom Pipeline'!R38="follow-up")+('MiT Strom Pipeline'!R38="Evaluation")+('MiT Strom Pipeline'!R38="tbd")+('MiT Strom Pipeline'!R38="In evaluation")&gt;0,IF(ISNUMBER('MiT Strom Pipeline'!Q38),'MiT Strom Pipeline'!Q38,0),"")</f>
        <v/>
      </c>
      <c r="H171" s="36">
        <f>IF(('MiT Strom Pipeline'!R38="follow-up")+('MiT Strom Pipeline'!R38="Evaluation")+('MiT Strom Pipeline'!R38="tbd")+('MiT Strom Pipeline'!R38="In evaluation")&gt;0,IF(ISNUMBER('MiT Strom Pipeline'!O38),'MiT Strom Pipeline'!O38,0),"")</f>
        <v/>
      </c>
      <c r="I171" s="34">
        <f>IF(('MiT Strom Pipeline'!R38="follow-up")+('MiT Strom Pipeline'!R38="Evaluation")+('MiT Strom Pipeline'!R38="tbd")+('MiT Strom Pipeline'!R38="In evaluation")&gt;0,'MiT Strom Pipeline'!R38,"")</f>
        <v/>
      </c>
      <c r="J171" s="34">
        <f>IF(('MiT Strom Pipeline'!R38="follow-up")+('MiT Strom Pipeline'!R38="Evaluation")+('MiT Strom Pipeline'!R38="tbd")+('MiT Strom Pipeline'!R38="In evaluation")&gt;0,'MiT Strom Pipeline'!S38,"")</f>
        <v/>
      </c>
      <c r="K171" s="35">
        <f>IF(('MiT Strom Pipeline'!R38="follow-up")+('MiT Strom Pipeline'!R38="Evaluation")+('MiT Strom Pipeline'!R38="tbd")+('MiT Strom Pipeline'!R38="In evaluation")&gt;0,IF(LEN('MiT Strom Pipeline'!V38)&gt;0,LEFT('MiT Strom Pipeline'!V38,55),""),"")</f>
        <v/>
      </c>
    </row>
    <row r="172" ht="15.75" customHeight="1">
      <c r="A172" s="22">
        <f>IF(('MiT Strom Pipeline'!R39="follow-up")+('MiT Strom Pipeline'!R39="Evaluation")+('MiT Strom Pipeline'!R39="tbd")+('MiT Strom Pipeline'!R39="In evaluation")&gt;0,IF(ISNUMBER('MiT Strom Pipeline'!A39),'MiT Strom Pipeline'!A39,""),"")</f>
        <v/>
      </c>
      <c r="B172" s="23">
        <f>IF(('MiT Strom Pipeline'!R39="follow-up")+('MiT Strom Pipeline'!R39="Evaluation")+('MiT Strom Pipeline'!R39="tbd")+('MiT Strom Pipeline'!R39="In evaluation")&gt;0,'MiT Strom Pipeline'!B39,"")</f>
        <v/>
      </c>
      <c r="C172" s="22">
        <f>IF(('MiT Strom Pipeline'!R39="follow-up")+('MiT Strom Pipeline'!R39="Evaluation")+('MiT Strom Pipeline'!R39="tbd")+('MiT Strom Pipeline'!R39="In evaluation")&gt;0,'MiT Strom Pipeline'!C39,"")</f>
        <v/>
      </c>
      <c r="D172" s="23">
        <f>IF(('MiT Strom Pipeline'!R39="follow-up")+('MiT Strom Pipeline'!R39="Evaluation")+('MiT Strom Pipeline'!R39="tbd")+('MiT Strom Pipeline'!R39="In evaluation")&gt;0,'MiT Strom Pipeline'!D39,"")</f>
        <v/>
      </c>
      <c r="E172" s="23">
        <f>IF(('MiT Strom Pipeline'!R39="follow-up")+('MiT Strom Pipeline'!R39="Evaluation")+('MiT Strom Pipeline'!R39="tbd")+('MiT Strom Pipeline'!R39="In evaluation")&gt;0,'MiT Strom Pipeline'!E39,"")</f>
        <v/>
      </c>
      <c r="F172" s="24">
        <f>IF(('MiT Strom Pipeline'!R39="follow-up")+('MiT Strom Pipeline'!R39="Evaluation")+('MiT Strom Pipeline'!R39="tbd")+('MiT Strom Pipeline'!R39="In evaluation")&gt;0,IF(ISNUMBER('MiT Strom Pipeline'!I39),'MiT Strom Pipeline'!I39,0),"")</f>
        <v/>
      </c>
      <c r="G172" s="24">
        <f>IF(('MiT Strom Pipeline'!R39="follow-up")+('MiT Strom Pipeline'!R39="Evaluation")+('MiT Strom Pipeline'!R39="tbd")+('MiT Strom Pipeline'!R39="In evaluation")&gt;0,IF(ISNUMBER('MiT Strom Pipeline'!Q39),'MiT Strom Pipeline'!Q39,0),"")</f>
        <v/>
      </c>
      <c r="H172" s="24">
        <f>IF(('MiT Strom Pipeline'!R39="follow-up")+('MiT Strom Pipeline'!R39="Evaluation")+('MiT Strom Pipeline'!R39="tbd")+('MiT Strom Pipeline'!R39="In evaluation")&gt;0,IF(ISNUMBER('MiT Strom Pipeline'!O39),'MiT Strom Pipeline'!O39,0),"")</f>
        <v/>
      </c>
      <c r="I172" s="22">
        <f>IF(('MiT Strom Pipeline'!R39="follow-up")+('MiT Strom Pipeline'!R39="Evaluation")+('MiT Strom Pipeline'!R39="tbd")+('MiT Strom Pipeline'!R39="In evaluation")&gt;0,'MiT Strom Pipeline'!R39,"")</f>
        <v/>
      </c>
      <c r="J172" s="22">
        <f>IF(('MiT Strom Pipeline'!R39="follow-up")+('MiT Strom Pipeline'!R39="Evaluation")+('MiT Strom Pipeline'!R39="tbd")+('MiT Strom Pipeline'!R39="In evaluation")&gt;0,'MiT Strom Pipeline'!S39,"")</f>
        <v/>
      </c>
      <c r="K172" s="23">
        <f>IF(('MiT Strom Pipeline'!R39="follow-up")+('MiT Strom Pipeline'!R39="Evaluation")+('MiT Strom Pipeline'!R39="tbd")+('MiT Strom Pipeline'!R39="In evaluation")&gt;0,IF(LEN('MiT Strom Pipeline'!V39)&gt;0,LEFT('MiT Strom Pipeline'!V39,55),""),"")</f>
        <v/>
      </c>
    </row>
    <row r="173" ht="15.75" customHeight="1">
      <c r="A173" s="34">
        <f>IF(('MiT Strom Pipeline'!R40="follow-up")+('MiT Strom Pipeline'!R40="Evaluation")+('MiT Strom Pipeline'!R40="tbd")+('MiT Strom Pipeline'!R40="In evaluation")&gt;0,IF(ISNUMBER('MiT Strom Pipeline'!A40),'MiT Strom Pipeline'!A40,""),"")</f>
        <v/>
      </c>
      <c r="B173" s="35">
        <f>IF(('MiT Strom Pipeline'!R40="follow-up")+('MiT Strom Pipeline'!R40="Evaluation")+('MiT Strom Pipeline'!R40="tbd")+('MiT Strom Pipeline'!R40="In evaluation")&gt;0,'MiT Strom Pipeline'!B40,"")</f>
        <v/>
      </c>
      <c r="C173" s="34">
        <f>IF(('MiT Strom Pipeline'!R40="follow-up")+('MiT Strom Pipeline'!R40="Evaluation")+('MiT Strom Pipeline'!R40="tbd")+('MiT Strom Pipeline'!R40="In evaluation")&gt;0,'MiT Strom Pipeline'!C40,"")</f>
        <v/>
      </c>
      <c r="D173" s="35">
        <f>IF(('MiT Strom Pipeline'!R40="follow-up")+('MiT Strom Pipeline'!R40="Evaluation")+('MiT Strom Pipeline'!R40="tbd")+('MiT Strom Pipeline'!R40="In evaluation")&gt;0,'MiT Strom Pipeline'!D40,"")</f>
        <v/>
      </c>
      <c r="E173" s="35">
        <f>IF(('MiT Strom Pipeline'!R40="follow-up")+('MiT Strom Pipeline'!R40="Evaluation")+('MiT Strom Pipeline'!R40="tbd")+('MiT Strom Pipeline'!R40="In evaluation")&gt;0,'MiT Strom Pipeline'!E40,"")</f>
        <v/>
      </c>
      <c r="F173" s="36">
        <f>IF(('MiT Strom Pipeline'!R40="follow-up")+('MiT Strom Pipeline'!R40="Evaluation")+('MiT Strom Pipeline'!R40="tbd")+('MiT Strom Pipeline'!R40="In evaluation")&gt;0,IF(ISNUMBER('MiT Strom Pipeline'!I40),'MiT Strom Pipeline'!I40,0),"")</f>
        <v/>
      </c>
      <c r="G173" s="36">
        <f>IF(('MiT Strom Pipeline'!R40="follow-up")+('MiT Strom Pipeline'!R40="Evaluation")+('MiT Strom Pipeline'!R40="tbd")+('MiT Strom Pipeline'!R40="In evaluation")&gt;0,IF(ISNUMBER('MiT Strom Pipeline'!Q40),'MiT Strom Pipeline'!Q40,0),"")</f>
        <v/>
      </c>
      <c r="H173" s="36">
        <f>IF(('MiT Strom Pipeline'!R40="follow-up")+('MiT Strom Pipeline'!R40="Evaluation")+('MiT Strom Pipeline'!R40="tbd")+('MiT Strom Pipeline'!R40="In evaluation")&gt;0,IF(ISNUMBER('MiT Strom Pipeline'!O40),'MiT Strom Pipeline'!O40,0),"")</f>
        <v/>
      </c>
      <c r="I173" s="34">
        <f>IF(('MiT Strom Pipeline'!R40="follow-up")+('MiT Strom Pipeline'!R40="Evaluation")+('MiT Strom Pipeline'!R40="tbd")+('MiT Strom Pipeline'!R40="In evaluation")&gt;0,'MiT Strom Pipeline'!R40,"")</f>
        <v/>
      </c>
      <c r="J173" s="34">
        <f>IF(('MiT Strom Pipeline'!R40="follow-up")+('MiT Strom Pipeline'!R40="Evaluation")+('MiT Strom Pipeline'!R40="tbd")+('MiT Strom Pipeline'!R40="In evaluation")&gt;0,'MiT Strom Pipeline'!S40,"")</f>
        <v/>
      </c>
      <c r="K173" s="35">
        <f>IF(('MiT Strom Pipeline'!R40="follow-up")+('MiT Strom Pipeline'!R40="Evaluation")+('MiT Strom Pipeline'!R40="tbd")+('MiT Strom Pipeline'!R40="In evaluation")&gt;0,IF(LEN('MiT Strom Pipeline'!V40)&gt;0,LEFT('MiT Strom Pipeline'!V40,55),""),"")</f>
        <v/>
      </c>
    </row>
    <row r="174" ht="15.75" customHeight="1">
      <c r="A174" s="22">
        <f>IF(('MiT Strom Pipeline'!R41="follow-up")+('MiT Strom Pipeline'!R41="Evaluation")+('MiT Strom Pipeline'!R41="tbd")+('MiT Strom Pipeline'!R41="In evaluation")&gt;0,IF(ISNUMBER('MiT Strom Pipeline'!A41),'MiT Strom Pipeline'!A41,""),"")</f>
        <v/>
      </c>
      <c r="B174" s="23">
        <f>IF(('MiT Strom Pipeline'!R41="follow-up")+('MiT Strom Pipeline'!R41="Evaluation")+('MiT Strom Pipeline'!R41="tbd")+('MiT Strom Pipeline'!R41="In evaluation")&gt;0,'MiT Strom Pipeline'!B41,"")</f>
        <v/>
      </c>
      <c r="C174" s="22">
        <f>IF(('MiT Strom Pipeline'!R41="follow-up")+('MiT Strom Pipeline'!R41="Evaluation")+('MiT Strom Pipeline'!R41="tbd")+('MiT Strom Pipeline'!R41="In evaluation")&gt;0,'MiT Strom Pipeline'!C41,"")</f>
        <v/>
      </c>
      <c r="D174" s="23">
        <f>IF(('MiT Strom Pipeline'!R41="follow-up")+('MiT Strom Pipeline'!R41="Evaluation")+('MiT Strom Pipeline'!R41="tbd")+('MiT Strom Pipeline'!R41="In evaluation")&gt;0,'MiT Strom Pipeline'!D41,"")</f>
        <v/>
      </c>
      <c r="E174" s="23">
        <f>IF(('MiT Strom Pipeline'!R41="follow-up")+('MiT Strom Pipeline'!R41="Evaluation")+('MiT Strom Pipeline'!R41="tbd")+('MiT Strom Pipeline'!R41="In evaluation")&gt;0,'MiT Strom Pipeline'!E41,"")</f>
        <v/>
      </c>
      <c r="F174" s="24">
        <f>IF(('MiT Strom Pipeline'!R41="follow-up")+('MiT Strom Pipeline'!R41="Evaluation")+('MiT Strom Pipeline'!R41="tbd")+('MiT Strom Pipeline'!R41="In evaluation")&gt;0,IF(ISNUMBER('MiT Strom Pipeline'!I41),'MiT Strom Pipeline'!I41,0),"")</f>
        <v/>
      </c>
      <c r="G174" s="24">
        <f>IF(('MiT Strom Pipeline'!R41="follow-up")+('MiT Strom Pipeline'!R41="Evaluation")+('MiT Strom Pipeline'!R41="tbd")+('MiT Strom Pipeline'!R41="In evaluation")&gt;0,IF(ISNUMBER('MiT Strom Pipeline'!Q41),'MiT Strom Pipeline'!Q41,0),"")</f>
        <v/>
      </c>
      <c r="H174" s="24">
        <f>IF(('MiT Strom Pipeline'!R41="follow-up")+('MiT Strom Pipeline'!R41="Evaluation")+('MiT Strom Pipeline'!R41="tbd")+('MiT Strom Pipeline'!R41="In evaluation")&gt;0,IF(ISNUMBER('MiT Strom Pipeline'!O41),'MiT Strom Pipeline'!O41,0),"")</f>
        <v/>
      </c>
      <c r="I174" s="22">
        <f>IF(('MiT Strom Pipeline'!R41="follow-up")+('MiT Strom Pipeline'!R41="Evaluation")+('MiT Strom Pipeline'!R41="tbd")+('MiT Strom Pipeline'!R41="In evaluation")&gt;0,'MiT Strom Pipeline'!R41,"")</f>
        <v/>
      </c>
      <c r="J174" s="22">
        <f>IF(('MiT Strom Pipeline'!R41="follow-up")+('MiT Strom Pipeline'!R41="Evaluation")+('MiT Strom Pipeline'!R41="tbd")+('MiT Strom Pipeline'!R41="In evaluation")&gt;0,'MiT Strom Pipeline'!S41,"")</f>
        <v/>
      </c>
      <c r="K174" s="23">
        <f>IF(('MiT Strom Pipeline'!R41="follow-up")+('MiT Strom Pipeline'!R41="Evaluation")+('MiT Strom Pipeline'!R41="tbd")+('MiT Strom Pipeline'!R41="In evaluation")&gt;0,IF(LEN('MiT Strom Pipeline'!V41)&gt;0,LEFT('MiT Strom Pipeline'!V41,55),""),"")</f>
        <v/>
      </c>
    </row>
    <row r="175" hidden="1" ht="15.75" customHeight="1">
      <c r="A175" s="34">
        <f>IF(('MiT Strom Pipeline'!R42="follow-up")+('MiT Strom Pipeline'!R42="Evaluation")+('MiT Strom Pipeline'!R42="tbd")+('MiT Strom Pipeline'!R42="In evaluation")&gt;0,IF(ISNUMBER('MiT Strom Pipeline'!A42),'MiT Strom Pipeline'!A42,""),"")</f>
        <v/>
      </c>
      <c r="B175" s="35">
        <f>IF(('MiT Strom Pipeline'!R42="follow-up")+('MiT Strom Pipeline'!R42="Evaluation")+('MiT Strom Pipeline'!R42="tbd")+('MiT Strom Pipeline'!R42="In evaluation")&gt;0,'MiT Strom Pipeline'!B42,"")</f>
        <v/>
      </c>
      <c r="C175" s="34">
        <f>IF(('MiT Strom Pipeline'!R42="follow-up")+('MiT Strom Pipeline'!R42="Evaluation")+('MiT Strom Pipeline'!R42="tbd")+('MiT Strom Pipeline'!R42="In evaluation")&gt;0,'MiT Strom Pipeline'!C42,"")</f>
        <v/>
      </c>
      <c r="D175" s="35">
        <f>IF(('MiT Strom Pipeline'!R42="follow-up")+('MiT Strom Pipeline'!R42="Evaluation")+('MiT Strom Pipeline'!R42="tbd")+('MiT Strom Pipeline'!R42="In evaluation")&gt;0,'MiT Strom Pipeline'!D42,"")</f>
        <v/>
      </c>
      <c r="E175" s="35">
        <f>IF(('MiT Strom Pipeline'!R42="follow-up")+('MiT Strom Pipeline'!R42="Evaluation")+('MiT Strom Pipeline'!R42="tbd")+('MiT Strom Pipeline'!R42="In evaluation")&gt;0,'MiT Strom Pipeline'!E42,"")</f>
        <v/>
      </c>
      <c r="F175" s="36">
        <f>IF(('MiT Strom Pipeline'!R42="follow-up")+('MiT Strom Pipeline'!R42="Evaluation")+('MiT Strom Pipeline'!R42="tbd")+('MiT Strom Pipeline'!R42="In evaluation")&gt;0,IF(ISNUMBER('MiT Strom Pipeline'!I42),'MiT Strom Pipeline'!I42,0),"")</f>
        <v/>
      </c>
      <c r="G175" s="36">
        <f>IF(('MiT Strom Pipeline'!R42="follow-up")+('MiT Strom Pipeline'!R42="Evaluation")+('MiT Strom Pipeline'!R42="tbd")+('MiT Strom Pipeline'!R42="In evaluation")&gt;0,IF(ISNUMBER('MiT Strom Pipeline'!Q42),'MiT Strom Pipeline'!Q42,0),"")</f>
        <v/>
      </c>
      <c r="H175" s="36">
        <f>IF(('MiT Strom Pipeline'!R42="follow-up")+('MiT Strom Pipeline'!R42="Evaluation")+('MiT Strom Pipeline'!R42="tbd")+('MiT Strom Pipeline'!R42="In evaluation")&gt;0,IF(ISNUMBER('MiT Strom Pipeline'!O42),'MiT Strom Pipeline'!O42,0),"")</f>
        <v/>
      </c>
      <c r="I175" s="34">
        <f>IF(('MiT Strom Pipeline'!R42="follow-up")+('MiT Strom Pipeline'!R42="Evaluation")+('MiT Strom Pipeline'!R42="tbd")+('MiT Strom Pipeline'!R42="In evaluation")&gt;0,'MiT Strom Pipeline'!R42,"")</f>
        <v/>
      </c>
      <c r="J175" s="34">
        <f>IF(('MiT Strom Pipeline'!R42="follow-up")+('MiT Strom Pipeline'!R42="Evaluation")+('MiT Strom Pipeline'!R42="tbd")+('MiT Strom Pipeline'!R42="In evaluation")&gt;0,'MiT Strom Pipeline'!S42,"")</f>
        <v/>
      </c>
      <c r="K175" s="35">
        <f>IF(('MiT Strom Pipeline'!R42="follow-up")+('MiT Strom Pipeline'!R42="Evaluation")+('MiT Strom Pipeline'!R42="tbd")+('MiT Strom Pipeline'!R42="In evaluation")&gt;0,IF(LEN('MiT Strom Pipeline'!V42)&gt;0,LEFT('MiT Strom Pipeline'!V42,55),""),"")</f>
        <v/>
      </c>
    </row>
    <row r="176" hidden="1" ht="15.75" customHeight="1">
      <c r="A176" s="22">
        <f>IF(('MiT Strom Pipeline'!R43="follow-up")+('MiT Strom Pipeline'!R43="Evaluation")+('MiT Strom Pipeline'!R43="tbd")+('MiT Strom Pipeline'!R43="In evaluation")&gt;0,IF(ISNUMBER('MiT Strom Pipeline'!A43),'MiT Strom Pipeline'!A43,""),"")</f>
        <v/>
      </c>
      <c r="B176" s="23">
        <f>IF(('MiT Strom Pipeline'!R43="follow-up")+('MiT Strom Pipeline'!R43="Evaluation")+('MiT Strom Pipeline'!R43="tbd")+('MiT Strom Pipeline'!R43="In evaluation")&gt;0,'MiT Strom Pipeline'!B43,"")</f>
        <v/>
      </c>
      <c r="C176" s="22">
        <f>IF(('MiT Strom Pipeline'!R43="follow-up")+('MiT Strom Pipeline'!R43="Evaluation")+('MiT Strom Pipeline'!R43="tbd")+('MiT Strom Pipeline'!R43="In evaluation")&gt;0,'MiT Strom Pipeline'!C43,"")</f>
        <v/>
      </c>
      <c r="D176" s="23">
        <f>IF(('MiT Strom Pipeline'!R43="follow-up")+('MiT Strom Pipeline'!R43="Evaluation")+('MiT Strom Pipeline'!R43="tbd")+('MiT Strom Pipeline'!R43="In evaluation")&gt;0,'MiT Strom Pipeline'!D43,"")</f>
        <v/>
      </c>
      <c r="E176" s="23">
        <f>IF(('MiT Strom Pipeline'!R43="follow-up")+('MiT Strom Pipeline'!R43="Evaluation")+('MiT Strom Pipeline'!R43="tbd")+('MiT Strom Pipeline'!R43="In evaluation")&gt;0,'MiT Strom Pipeline'!E43,"")</f>
        <v/>
      </c>
      <c r="F176" s="24">
        <f>IF(('MiT Strom Pipeline'!R43="follow-up")+('MiT Strom Pipeline'!R43="Evaluation")+('MiT Strom Pipeline'!R43="tbd")+('MiT Strom Pipeline'!R43="In evaluation")&gt;0,IF(ISNUMBER('MiT Strom Pipeline'!I43),'MiT Strom Pipeline'!I43,0),"")</f>
        <v/>
      </c>
      <c r="G176" s="24">
        <f>IF(('MiT Strom Pipeline'!R43="follow-up")+('MiT Strom Pipeline'!R43="Evaluation")+('MiT Strom Pipeline'!R43="tbd")+('MiT Strom Pipeline'!R43="In evaluation")&gt;0,IF(ISNUMBER('MiT Strom Pipeline'!Q43),'MiT Strom Pipeline'!Q43,0),"")</f>
        <v/>
      </c>
      <c r="H176" s="24">
        <f>IF(('MiT Strom Pipeline'!R43="follow-up")+('MiT Strom Pipeline'!R43="Evaluation")+('MiT Strom Pipeline'!R43="tbd")+('MiT Strom Pipeline'!R43="In evaluation")&gt;0,IF(ISNUMBER('MiT Strom Pipeline'!O43),'MiT Strom Pipeline'!O43,0),"")</f>
        <v/>
      </c>
      <c r="I176" s="22">
        <f>IF(('MiT Strom Pipeline'!R43="follow-up")+('MiT Strom Pipeline'!R43="Evaluation")+('MiT Strom Pipeline'!R43="tbd")+('MiT Strom Pipeline'!R43="In evaluation")&gt;0,'MiT Strom Pipeline'!R43,"")</f>
        <v/>
      </c>
      <c r="J176" s="22">
        <f>IF(('MiT Strom Pipeline'!R43="follow-up")+('MiT Strom Pipeline'!R43="Evaluation")+('MiT Strom Pipeline'!R43="tbd")+('MiT Strom Pipeline'!R43="In evaluation")&gt;0,'MiT Strom Pipeline'!S43,"")</f>
        <v/>
      </c>
      <c r="K176" s="23">
        <f>IF(('MiT Strom Pipeline'!R43="follow-up")+('MiT Strom Pipeline'!R43="Evaluation")+('MiT Strom Pipeline'!R43="tbd")+('MiT Strom Pipeline'!R43="In evaluation")&gt;0,IF(LEN('MiT Strom Pipeline'!V43)&gt;0,LEFT('MiT Strom Pipeline'!V43,55),""),"")</f>
        <v/>
      </c>
    </row>
    <row r="177" hidden="1" ht="15.75" customHeight="1">
      <c r="A177" s="34">
        <f>IF(('MiT Strom Pipeline'!R44="follow-up")+('MiT Strom Pipeline'!R44="Evaluation")+('MiT Strom Pipeline'!R44="tbd")+('MiT Strom Pipeline'!R44="In evaluation")&gt;0,IF(ISNUMBER('MiT Strom Pipeline'!A44),'MiT Strom Pipeline'!A44,""),"")</f>
        <v/>
      </c>
      <c r="B177" s="35">
        <f>IF(('MiT Strom Pipeline'!R44="follow-up")+('MiT Strom Pipeline'!R44="Evaluation")+('MiT Strom Pipeline'!R44="tbd")+('MiT Strom Pipeline'!R44="In evaluation")&gt;0,'MiT Strom Pipeline'!B44,"")</f>
        <v/>
      </c>
      <c r="C177" s="34">
        <f>IF(('MiT Strom Pipeline'!R44="follow-up")+('MiT Strom Pipeline'!R44="Evaluation")+('MiT Strom Pipeline'!R44="tbd")+('MiT Strom Pipeline'!R44="In evaluation")&gt;0,'MiT Strom Pipeline'!C44,"")</f>
        <v/>
      </c>
      <c r="D177" s="35">
        <f>IF(('MiT Strom Pipeline'!R44="follow-up")+('MiT Strom Pipeline'!R44="Evaluation")+('MiT Strom Pipeline'!R44="tbd")+('MiT Strom Pipeline'!R44="In evaluation")&gt;0,'MiT Strom Pipeline'!D44,"")</f>
        <v/>
      </c>
      <c r="E177" s="35">
        <f>IF(('MiT Strom Pipeline'!R44="follow-up")+('MiT Strom Pipeline'!R44="Evaluation")+('MiT Strom Pipeline'!R44="tbd")+('MiT Strom Pipeline'!R44="In evaluation")&gt;0,'MiT Strom Pipeline'!E44,"")</f>
        <v/>
      </c>
      <c r="F177" s="36">
        <f>IF(('MiT Strom Pipeline'!R44="follow-up")+('MiT Strom Pipeline'!R44="Evaluation")+('MiT Strom Pipeline'!R44="tbd")+('MiT Strom Pipeline'!R44="In evaluation")&gt;0,IF(ISNUMBER('MiT Strom Pipeline'!I44),'MiT Strom Pipeline'!I44,0),"")</f>
        <v/>
      </c>
      <c r="G177" s="36">
        <f>IF(('MiT Strom Pipeline'!R44="follow-up")+('MiT Strom Pipeline'!R44="Evaluation")+('MiT Strom Pipeline'!R44="tbd")+('MiT Strom Pipeline'!R44="In evaluation")&gt;0,IF(ISNUMBER('MiT Strom Pipeline'!Q44),'MiT Strom Pipeline'!Q44,0),"")</f>
        <v/>
      </c>
      <c r="H177" s="36">
        <f>IF(('MiT Strom Pipeline'!R44="follow-up")+('MiT Strom Pipeline'!R44="Evaluation")+('MiT Strom Pipeline'!R44="tbd")+('MiT Strom Pipeline'!R44="In evaluation")&gt;0,IF(ISNUMBER('MiT Strom Pipeline'!O44),'MiT Strom Pipeline'!O44,0),"")</f>
        <v/>
      </c>
      <c r="I177" s="34">
        <f>IF(('MiT Strom Pipeline'!R44="follow-up")+('MiT Strom Pipeline'!R44="Evaluation")+('MiT Strom Pipeline'!R44="tbd")+('MiT Strom Pipeline'!R44="In evaluation")&gt;0,'MiT Strom Pipeline'!R44,"")</f>
        <v/>
      </c>
      <c r="J177" s="34">
        <f>IF(('MiT Strom Pipeline'!R44="follow-up")+('MiT Strom Pipeline'!R44="Evaluation")+('MiT Strom Pipeline'!R44="tbd")+('MiT Strom Pipeline'!R44="In evaluation")&gt;0,'MiT Strom Pipeline'!S44,"")</f>
        <v/>
      </c>
      <c r="K177" s="35">
        <f>IF(('MiT Strom Pipeline'!R44="follow-up")+('MiT Strom Pipeline'!R44="Evaluation")+('MiT Strom Pipeline'!R44="tbd")+('MiT Strom Pipeline'!R44="In evaluation")&gt;0,IF(LEN('MiT Strom Pipeline'!V44)&gt;0,LEFT('MiT Strom Pipeline'!V44,55),""),"")</f>
        <v/>
      </c>
    </row>
    <row r="178" hidden="1" ht="15.75" customHeight="1">
      <c r="A178" s="22">
        <f>IF(('MiT Strom Pipeline'!R45="follow-up")+('MiT Strom Pipeline'!R45="Evaluation")+('MiT Strom Pipeline'!R45="tbd")+('MiT Strom Pipeline'!R45="In evaluation")&gt;0,IF(ISNUMBER('MiT Strom Pipeline'!A45),'MiT Strom Pipeline'!A45,""),"")</f>
        <v/>
      </c>
      <c r="B178" s="23">
        <f>IF(('MiT Strom Pipeline'!R45="follow-up")+('MiT Strom Pipeline'!R45="Evaluation")+('MiT Strom Pipeline'!R45="tbd")+('MiT Strom Pipeline'!R45="In evaluation")&gt;0,'MiT Strom Pipeline'!B45,"")</f>
        <v/>
      </c>
      <c r="C178" s="22">
        <f>IF(('MiT Strom Pipeline'!R45="follow-up")+('MiT Strom Pipeline'!R45="Evaluation")+('MiT Strom Pipeline'!R45="tbd")+('MiT Strom Pipeline'!R45="In evaluation")&gt;0,'MiT Strom Pipeline'!C45,"")</f>
        <v/>
      </c>
      <c r="D178" s="23">
        <f>IF(('MiT Strom Pipeline'!R45="follow-up")+('MiT Strom Pipeline'!R45="Evaluation")+('MiT Strom Pipeline'!R45="tbd")+('MiT Strom Pipeline'!R45="In evaluation")&gt;0,'MiT Strom Pipeline'!D45,"")</f>
        <v/>
      </c>
      <c r="E178" s="23">
        <f>IF(('MiT Strom Pipeline'!R45="follow-up")+('MiT Strom Pipeline'!R45="Evaluation")+('MiT Strom Pipeline'!R45="tbd")+('MiT Strom Pipeline'!R45="In evaluation")&gt;0,'MiT Strom Pipeline'!E45,"")</f>
        <v/>
      </c>
      <c r="F178" s="24">
        <f>IF(('MiT Strom Pipeline'!R45="follow-up")+('MiT Strom Pipeline'!R45="Evaluation")+('MiT Strom Pipeline'!R45="tbd")+('MiT Strom Pipeline'!R45="In evaluation")&gt;0,IF(ISNUMBER('MiT Strom Pipeline'!I45),'MiT Strom Pipeline'!I45,0),"")</f>
        <v/>
      </c>
      <c r="G178" s="24">
        <f>IF(('MiT Strom Pipeline'!R45="follow-up")+('MiT Strom Pipeline'!R45="Evaluation")+('MiT Strom Pipeline'!R45="tbd")+('MiT Strom Pipeline'!R45="In evaluation")&gt;0,IF(ISNUMBER('MiT Strom Pipeline'!Q45),'MiT Strom Pipeline'!Q45,0),"")</f>
        <v/>
      </c>
      <c r="H178" s="24">
        <f>IF(('MiT Strom Pipeline'!R45="follow-up")+('MiT Strom Pipeline'!R45="Evaluation")+('MiT Strom Pipeline'!R45="tbd")+('MiT Strom Pipeline'!R45="In evaluation")&gt;0,IF(ISNUMBER('MiT Strom Pipeline'!O45),'MiT Strom Pipeline'!O45,0),"")</f>
        <v/>
      </c>
      <c r="I178" s="22">
        <f>IF(('MiT Strom Pipeline'!R45="follow-up")+('MiT Strom Pipeline'!R45="Evaluation")+('MiT Strom Pipeline'!R45="tbd")+('MiT Strom Pipeline'!R45="In evaluation")&gt;0,'MiT Strom Pipeline'!R45,"")</f>
        <v/>
      </c>
      <c r="J178" s="22">
        <f>IF(('MiT Strom Pipeline'!R45="follow-up")+('MiT Strom Pipeline'!R45="Evaluation")+('MiT Strom Pipeline'!R45="tbd")+('MiT Strom Pipeline'!R45="In evaluation")&gt;0,'MiT Strom Pipeline'!S45,"")</f>
        <v/>
      </c>
      <c r="K178" s="23">
        <f>IF(('MiT Strom Pipeline'!R45="follow-up")+('MiT Strom Pipeline'!R45="Evaluation")+('MiT Strom Pipeline'!R45="tbd")+('MiT Strom Pipeline'!R45="In evaluation")&gt;0,IF(LEN('MiT Strom Pipeline'!V45)&gt;0,LEFT('MiT Strom Pipeline'!V45,55),""),"")</f>
        <v/>
      </c>
    </row>
    <row r="179" hidden="1" ht="15.75" customHeight="1">
      <c r="A179" s="34">
        <f>IF(('MiT Strom Pipeline'!R46="follow-up")+('MiT Strom Pipeline'!R46="Evaluation")+('MiT Strom Pipeline'!R46="tbd")+('MiT Strom Pipeline'!R46="In evaluation")&gt;0,IF(ISNUMBER('MiT Strom Pipeline'!A46),'MiT Strom Pipeline'!A46,""),"")</f>
        <v/>
      </c>
      <c r="B179" s="35">
        <f>IF(('MiT Strom Pipeline'!R46="follow-up")+('MiT Strom Pipeline'!R46="Evaluation")+('MiT Strom Pipeline'!R46="tbd")+('MiT Strom Pipeline'!R46="In evaluation")&gt;0,'MiT Strom Pipeline'!B46,"")</f>
        <v/>
      </c>
      <c r="C179" s="34">
        <f>IF(('MiT Strom Pipeline'!R46="follow-up")+('MiT Strom Pipeline'!R46="Evaluation")+('MiT Strom Pipeline'!R46="tbd")+('MiT Strom Pipeline'!R46="In evaluation")&gt;0,'MiT Strom Pipeline'!C46,"")</f>
        <v/>
      </c>
      <c r="D179" s="35">
        <f>IF(('MiT Strom Pipeline'!R46="follow-up")+('MiT Strom Pipeline'!R46="Evaluation")+('MiT Strom Pipeline'!R46="tbd")+('MiT Strom Pipeline'!R46="In evaluation")&gt;0,'MiT Strom Pipeline'!D46,"")</f>
        <v/>
      </c>
      <c r="E179" s="35">
        <f>IF(('MiT Strom Pipeline'!R46="follow-up")+('MiT Strom Pipeline'!R46="Evaluation")+('MiT Strom Pipeline'!R46="tbd")+('MiT Strom Pipeline'!R46="In evaluation")&gt;0,'MiT Strom Pipeline'!E46,"")</f>
        <v/>
      </c>
      <c r="F179" s="36">
        <f>IF(('MiT Strom Pipeline'!R46="follow-up")+('MiT Strom Pipeline'!R46="Evaluation")+('MiT Strom Pipeline'!R46="tbd")+('MiT Strom Pipeline'!R46="In evaluation")&gt;0,IF(ISNUMBER('MiT Strom Pipeline'!I46),'MiT Strom Pipeline'!I46,0),"")</f>
        <v/>
      </c>
      <c r="G179" s="36">
        <f>IF(('MiT Strom Pipeline'!R46="follow-up")+('MiT Strom Pipeline'!R46="Evaluation")+('MiT Strom Pipeline'!R46="tbd")+('MiT Strom Pipeline'!R46="In evaluation")&gt;0,IF(ISNUMBER('MiT Strom Pipeline'!Q46),'MiT Strom Pipeline'!Q46,0),"")</f>
        <v/>
      </c>
      <c r="H179" s="36">
        <f>IF(('MiT Strom Pipeline'!R46="follow-up")+('MiT Strom Pipeline'!R46="Evaluation")+('MiT Strom Pipeline'!R46="tbd")+('MiT Strom Pipeline'!R46="In evaluation")&gt;0,IF(ISNUMBER('MiT Strom Pipeline'!O46),'MiT Strom Pipeline'!O46,0),"")</f>
        <v/>
      </c>
      <c r="I179" s="34">
        <f>IF(('MiT Strom Pipeline'!R46="follow-up")+('MiT Strom Pipeline'!R46="Evaluation")+('MiT Strom Pipeline'!R46="tbd")+('MiT Strom Pipeline'!R46="In evaluation")&gt;0,'MiT Strom Pipeline'!R46,"")</f>
        <v/>
      </c>
      <c r="J179" s="34">
        <f>IF(('MiT Strom Pipeline'!R46="follow-up")+('MiT Strom Pipeline'!R46="Evaluation")+('MiT Strom Pipeline'!R46="tbd")+('MiT Strom Pipeline'!R46="In evaluation")&gt;0,'MiT Strom Pipeline'!S46,"")</f>
        <v/>
      </c>
      <c r="K179" s="35">
        <f>IF(('MiT Strom Pipeline'!R46="follow-up")+('MiT Strom Pipeline'!R46="Evaluation")+('MiT Strom Pipeline'!R46="tbd")+('MiT Strom Pipeline'!R46="In evaluation")&gt;0,IF(LEN('MiT Strom Pipeline'!V46)&gt;0,LEFT('MiT Strom Pipeline'!V46,55),""),"")</f>
        <v/>
      </c>
    </row>
    <row r="180" hidden="1" ht="15.75" customHeight="1">
      <c r="A180" s="22">
        <f>IF(('MiT Strom Pipeline'!R47="follow-up")+('MiT Strom Pipeline'!R47="Evaluation")+('MiT Strom Pipeline'!R47="tbd")+('MiT Strom Pipeline'!R47="In evaluation")&gt;0,IF(ISNUMBER('MiT Strom Pipeline'!A47),'MiT Strom Pipeline'!A47,""),"")</f>
        <v/>
      </c>
      <c r="B180" s="23">
        <f>IF(('MiT Strom Pipeline'!R47="follow-up")+('MiT Strom Pipeline'!R47="Evaluation")+('MiT Strom Pipeline'!R47="tbd")+('MiT Strom Pipeline'!R47="In evaluation")&gt;0,'MiT Strom Pipeline'!B47,"")</f>
        <v/>
      </c>
      <c r="C180" s="22">
        <f>IF(('MiT Strom Pipeline'!R47="follow-up")+('MiT Strom Pipeline'!R47="Evaluation")+('MiT Strom Pipeline'!R47="tbd")+('MiT Strom Pipeline'!R47="In evaluation")&gt;0,'MiT Strom Pipeline'!C47,"")</f>
        <v/>
      </c>
      <c r="D180" s="23">
        <f>IF(('MiT Strom Pipeline'!R47="follow-up")+('MiT Strom Pipeline'!R47="Evaluation")+('MiT Strom Pipeline'!R47="tbd")+('MiT Strom Pipeline'!R47="In evaluation")&gt;0,'MiT Strom Pipeline'!D47,"")</f>
        <v/>
      </c>
      <c r="E180" s="23">
        <f>IF(('MiT Strom Pipeline'!R47="follow-up")+('MiT Strom Pipeline'!R47="Evaluation")+('MiT Strom Pipeline'!R47="tbd")+('MiT Strom Pipeline'!R47="In evaluation")&gt;0,'MiT Strom Pipeline'!E47,"")</f>
        <v/>
      </c>
      <c r="F180" s="24">
        <f>IF(('MiT Strom Pipeline'!R47="follow-up")+('MiT Strom Pipeline'!R47="Evaluation")+('MiT Strom Pipeline'!R47="tbd")+('MiT Strom Pipeline'!R47="In evaluation")&gt;0,IF(ISNUMBER('MiT Strom Pipeline'!I47),'MiT Strom Pipeline'!I47,0),"")</f>
        <v/>
      </c>
      <c r="G180" s="24">
        <f>IF(('MiT Strom Pipeline'!R47="follow-up")+('MiT Strom Pipeline'!R47="Evaluation")+('MiT Strom Pipeline'!R47="tbd")+('MiT Strom Pipeline'!R47="In evaluation")&gt;0,IF(ISNUMBER('MiT Strom Pipeline'!Q47),'MiT Strom Pipeline'!Q47,0),"")</f>
        <v/>
      </c>
      <c r="H180" s="24">
        <f>IF(('MiT Strom Pipeline'!R47="follow-up")+('MiT Strom Pipeline'!R47="Evaluation")+('MiT Strom Pipeline'!R47="tbd")+('MiT Strom Pipeline'!R47="In evaluation")&gt;0,IF(ISNUMBER('MiT Strom Pipeline'!O47),'MiT Strom Pipeline'!O47,0),"")</f>
        <v/>
      </c>
      <c r="I180" s="22">
        <f>IF(('MiT Strom Pipeline'!R47="follow-up")+('MiT Strom Pipeline'!R47="Evaluation")+('MiT Strom Pipeline'!R47="tbd")+('MiT Strom Pipeline'!R47="In evaluation")&gt;0,'MiT Strom Pipeline'!R47,"")</f>
        <v/>
      </c>
      <c r="J180" s="22">
        <f>IF(('MiT Strom Pipeline'!R47="follow-up")+('MiT Strom Pipeline'!R47="Evaluation")+('MiT Strom Pipeline'!R47="tbd")+('MiT Strom Pipeline'!R47="In evaluation")&gt;0,'MiT Strom Pipeline'!S47,"")</f>
        <v/>
      </c>
      <c r="K180" s="23">
        <f>IF(('MiT Strom Pipeline'!R47="follow-up")+('MiT Strom Pipeline'!R47="Evaluation")+('MiT Strom Pipeline'!R47="tbd")+('MiT Strom Pipeline'!R47="In evaluation")&gt;0,IF(LEN('MiT Strom Pipeline'!V47)&gt;0,LEFT('MiT Strom Pipeline'!V47,55),""),"")</f>
        <v/>
      </c>
    </row>
    <row r="181" hidden="1" ht="15.75" customHeight="1">
      <c r="A181" s="34">
        <f>IF(('MiT Strom Pipeline'!R48="follow-up")+('MiT Strom Pipeline'!R48="Evaluation")+('MiT Strom Pipeline'!R48="tbd")+('MiT Strom Pipeline'!R48="In evaluation")&gt;0,IF(ISNUMBER('MiT Strom Pipeline'!A48),'MiT Strom Pipeline'!A48,""),"")</f>
        <v/>
      </c>
      <c r="B181" s="35">
        <f>IF(('MiT Strom Pipeline'!R48="follow-up")+('MiT Strom Pipeline'!R48="Evaluation")+('MiT Strom Pipeline'!R48="tbd")+('MiT Strom Pipeline'!R48="In evaluation")&gt;0,'MiT Strom Pipeline'!B48,"")</f>
        <v/>
      </c>
      <c r="C181" s="34">
        <f>IF(('MiT Strom Pipeline'!R48="follow-up")+('MiT Strom Pipeline'!R48="Evaluation")+('MiT Strom Pipeline'!R48="tbd")+('MiT Strom Pipeline'!R48="In evaluation")&gt;0,'MiT Strom Pipeline'!C48,"")</f>
        <v/>
      </c>
      <c r="D181" s="35">
        <f>IF(('MiT Strom Pipeline'!R48="follow-up")+('MiT Strom Pipeline'!R48="Evaluation")+('MiT Strom Pipeline'!R48="tbd")+('MiT Strom Pipeline'!R48="In evaluation")&gt;0,'MiT Strom Pipeline'!D48,"")</f>
        <v/>
      </c>
      <c r="E181" s="35">
        <f>IF(('MiT Strom Pipeline'!R48="follow-up")+('MiT Strom Pipeline'!R48="Evaluation")+('MiT Strom Pipeline'!R48="tbd")+('MiT Strom Pipeline'!R48="In evaluation")&gt;0,'MiT Strom Pipeline'!E48,"")</f>
        <v/>
      </c>
      <c r="F181" s="36">
        <f>IF(('MiT Strom Pipeline'!R48="follow-up")+('MiT Strom Pipeline'!R48="Evaluation")+('MiT Strom Pipeline'!R48="tbd")+('MiT Strom Pipeline'!R48="In evaluation")&gt;0,IF(ISNUMBER('MiT Strom Pipeline'!I48),'MiT Strom Pipeline'!I48,0),"")</f>
        <v/>
      </c>
      <c r="G181" s="36">
        <f>IF(('MiT Strom Pipeline'!R48="follow-up")+('MiT Strom Pipeline'!R48="Evaluation")+('MiT Strom Pipeline'!R48="tbd")+('MiT Strom Pipeline'!R48="In evaluation")&gt;0,IF(ISNUMBER('MiT Strom Pipeline'!Q48),'MiT Strom Pipeline'!Q48,0),"")</f>
        <v/>
      </c>
      <c r="H181" s="36">
        <f>IF(('MiT Strom Pipeline'!R48="follow-up")+('MiT Strom Pipeline'!R48="Evaluation")+('MiT Strom Pipeline'!R48="tbd")+('MiT Strom Pipeline'!R48="In evaluation")&gt;0,IF(ISNUMBER('MiT Strom Pipeline'!O48),'MiT Strom Pipeline'!O48,0),"")</f>
        <v/>
      </c>
      <c r="I181" s="34">
        <f>IF(('MiT Strom Pipeline'!R48="follow-up")+('MiT Strom Pipeline'!R48="Evaluation")+('MiT Strom Pipeline'!R48="tbd")+('MiT Strom Pipeline'!R48="In evaluation")&gt;0,'MiT Strom Pipeline'!R48,"")</f>
        <v/>
      </c>
      <c r="J181" s="34">
        <f>IF(('MiT Strom Pipeline'!R48="follow-up")+('MiT Strom Pipeline'!R48="Evaluation")+('MiT Strom Pipeline'!R48="tbd")+('MiT Strom Pipeline'!R48="In evaluation")&gt;0,'MiT Strom Pipeline'!S48,"")</f>
        <v/>
      </c>
      <c r="K181" s="35">
        <f>IF(('MiT Strom Pipeline'!R48="follow-up")+('MiT Strom Pipeline'!R48="Evaluation")+('MiT Strom Pipeline'!R48="tbd")+('MiT Strom Pipeline'!R48="In evaluation")&gt;0,IF(LEN('MiT Strom Pipeline'!V48)&gt;0,LEFT('MiT Strom Pipeline'!V48,55),""),"")</f>
        <v/>
      </c>
    </row>
    <row r="182" hidden="1" ht="15.75" customHeight="1">
      <c r="A182" s="22">
        <f>IF(('MiT Strom Pipeline'!R49="follow-up")+('MiT Strom Pipeline'!R49="Evaluation")+('MiT Strom Pipeline'!R49="tbd")+('MiT Strom Pipeline'!R49="In evaluation")&gt;0,IF(ISNUMBER('MiT Strom Pipeline'!A49),'MiT Strom Pipeline'!A49,""),"")</f>
        <v/>
      </c>
      <c r="B182" s="23">
        <f>IF(('MiT Strom Pipeline'!R49="follow-up")+('MiT Strom Pipeline'!R49="Evaluation")+('MiT Strom Pipeline'!R49="tbd")+('MiT Strom Pipeline'!R49="In evaluation")&gt;0,'MiT Strom Pipeline'!B49,"")</f>
        <v/>
      </c>
      <c r="C182" s="22">
        <f>IF(('MiT Strom Pipeline'!R49="follow-up")+('MiT Strom Pipeline'!R49="Evaluation")+('MiT Strom Pipeline'!R49="tbd")+('MiT Strom Pipeline'!R49="In evaluation")&gt;0,'MiT Strom Pipeline'!C49,"")</f>
        <v/>
      </c>
      <c r="D182" s="23">
        <f>IF(('MiT Strom Pipeline'!R49="follow-up")+('MiT Strom Pipeline'!R49="Evaluation")+('MiT Strom Pipeline'!R49="tbd")+('MiT Strom Pipeline'!R49="In evaluation")&gt;0,'MiT Strom Pipeline'!D49,"")</f>
        <v/>
      </c>
      <c r="E182" s="23">
        <f>IF(('MiT Strom Pipeline'!R49="follow-up")+('MiT Strom Pipeline'!R49="Evaluation")+('MiT Strom Pipeline'!R49="tbd")+('MiT Strom Pipeline'!R49="In evaluation")&gt;0,'MiT Strom Pipeline'!E49,"")</f>
        <v/>
      </c>
      <c r="F182" s="24">
        <f>IF(('MiT Strom Pipeline'!R49="follow-up")+('MiT Strom Pipeline'!R49="Evaluation")+('MiT Strom Pipeline'!R49="tbd")+('MiT Strom Pipeline'!R49="In evaluation")&gt;0,IF(ISNUMBER('MiT Strom Pipeline'!I49),'MiT Strom Pipeline'!I49,0),"")</f>
        <v/>
      </c>
      <c r="G182" s="24">
        <f>IF(('MiT Strom Pipeline'!R49="follow-up")+('MiT Strom Pipeline'!R49="Evaluation")+('MiT Strom Pipeline'!R49="tbd")+('MiT Strom Pipeline'!R49="In evaluation")&gt;0,IF(ISNUMBER('MiT Strom Pipeline'!Q49),'MiT Strom Pipeline'!Q49,0),"")</f>
        <v/>
      </c>
      <c r="H182" s="24">
        <f>IF(('MiT Strom Pipeline'!R49="follow-up")+('MiT Strom Pipeline'!R49="Evaluation")+('MiT Strom Pipeline'!R49="tbd")+('MiT Strom Pipeline'!R49="In evaluation")&gt;0,IF(ISNUMBER('MiT Strom Pipeline'!O49),'MiT Strom Pipeline'!O49,0),"")</f>
        <v/>
      </c>
      <c r="I182" s="22">
        <f>IF(('MiT Strom Pipeline'!R49="follow-up")+('MiT Strom Pipeline'!R49="Evaluation")+('MiT Strom Pipeline'!R49="tbd")+('MiT Strom Pipeline'!R49="In evaluation")&gt;0,'MiT Strom Pipeline'!R49,"")</f>
        <v/>
      </c>
      <c r="J182" s="22">
        <f>IF(('MiT Strom Pipeline'!R49="follow-up")+('MiT Strom Pipeline'!R49="Evaluation")+('MiT Strom Pipeline'!R49="tbd")+('MiT Strom Pipeline'!R49="In evaluation")&gt;0,'MiT Strom Pipeline'!S49,"")</f>
        <v/>
      </c>
      <c r="K182" s="23">
        <f>IF(('MiT Strom Pipeline'!R49="follow-up")+('MiT Strom Pipeline'!R49="Evaluation")+('MiT Strom Pipeline'!R49="tbd")+('MiT Strom Pipeline'!R49="In evaluation")&gt;0,IF(LEN('MiT Strom Pipeline'!V49)&gt;0,LEFT('MiT Strom Pipeline'!V49,55),""),"")</f>
        <v/>
      </c>
    </row>
    <row r="183" hidden="1" ht="15.75" customHeight="1">
      <c r="A183" s="34">
        <f>IF(('MiT Strom Pipeline'!R50="follow-up")+('MiT Strom Pipeline'!R50="Evaluation")+('MiT Strom Pipeline'!R50="tbd")+('MiT Strom Pipeline'!R50="In evaluation")&gt;0,IF(ISNUMBER('MiT Strom Pipeline'!A50),'MiT Strom Pipeline'!A50,""),"")</f>
        <v/>
      </c>
      <c r="B183" s="35">
        <f>IF(('MiT Strom Pipeline'!R50="follow-up")+('MiT Strom Pipeline'!R50="Evaluation")+('MiT Strom Pipeline'!R50="tbd")+('MiT Strom Pipeline'!R50="In evaluation")&gt;0,'MiT Strom Pipeline'!B50,"")</f>
        <v/>
      </c>
      <c r="C183" s="34">
        <f>IF(('MiT Strom Pipeline'!R50="follow-up")+('MiT Strom Pipeline'!R50="Evaluation")+('MiT Strom Pipeline'!R50="tbd")+('MiT Strom Pipeline'!R50="In evaluation")&gt;0,'MiT Strom Pipeline'!C50,"")</f>
        <v/>
      </c>
      <c r="D183" s="35">
        <f>IF(('MiT Strom Pipeline'!R50="follow-up")+('MiT Strom Pipeline'!R50="Evaluation")+('MiT Strom Pipeline'!R50="tbd")+('MiT Strom Pipeline'!R50="In evaluation")&gt;0,'MiT Strom Pipeline'!D50,"")</f>
        <v/>
      </c>
      <c r="E183" s="35">
        <f>IF(('MiT Strom Pipeline'!R50="follow-up")+('MiT Strom Pipeline'!R50="Evaluation")+('MiT Strom Pipeline'!R50="tbd")+('MiT Strom Pipeline'!R50="In evaluation")&gt;0,'MiT Strom Pipeline'!E50,"")</f>
        <v/>
      </c>
      <c r="F183" s="36">
        <f>IF(('MiT Strom Pipeline'!R50="follow-up")+('MiT Strom Pipeline'!R50="Evaluation")+('MiT Strom Pipeline'!R50="tbd")+('MiT Strom Pipeline'!R50="In evaluation")&gt;0,IF(ISNUMBER('MiT Strom Pipeline'!I50),'MiT Strom Pipeline'!I50,0),"")</f>
        <v/>
      </c>
      <c r="G183" s="36">
        <f>IF(('MiT Strom Pipeline'!R50="follow-up")+('MiT Strom Pipeline'!R50="Evaluation")+('MiT Strom Pipeline'!R50="tbd")+('MiT Strom Pipeline'!R50="In evaluation")&gt;0,IF(ISNUMBER('MiT Strom Pipeline'!Q50),'MiT Strom Pipeline'!Q50,0),"")</f>
        <v/>
      </c>
      <c r="H183" s="36">
        <f>IF(('MiT Strom Pipeline'!R50="follow-up")+('MiT Strom Pipeline'!R50="Evaluation")+('MiT Strom Pipeline'!R50="tbd")+('MiT Strom Pipeline'!R50="In evaluation")&gt;0,IF(ISNUMBER('MiT Strom Pipeline'!O50),'MiT Strom Pipeline'!O50,0),"")</f>
        <v/>
      </c>
      <c r="I183" s="34">
        <f>IF(('MiT Strom Pipeline'!R50="follow-up")+('MiT Strom Pipeline'!R50="Evaluation")+('MiT Strom Pipeline'!R50="tbd")+('MiT Strom Pipeline'!R50="In evaluation")&gt;0,'MiT Strom Pipeline'!R50,"")</f>
        <v/>
      </c>
      <c r="J183" s="34">
        <f>IF(('MiT Strom Pipeline'!R50="follow-up")+('MiT Strom Pipeline'!R50="Evaluation")+('MiT Strom Pipeline'!R50="tbd")+('MiT Strom Pipeline'!R50="In evaluation")&gt;0,'MiT Strom Pipeline'!S50,"")</f>
        <v/>
      </c>
      <c r="K183" s="35">
        <f>IF(('MiT Strom Pipeline'!R50="follow-up")+('MiT Strom Pipeline'!R50="Evaluation")+('MiT Strom Pipeline'!R50="tbd")+('MiT Strom Pipeline'!R50="In evaluation")&gt;0,IF(LEN('MiT Strom Pipeline'!V50)&gt;0,LEFT('MiT Strom Pipeline'!V50,55),""),"")</f>
        <v/>
      </c>
    </row>
    <row r="184" hidden="1" ht="15.75" customHeight="1">
      <c r="A184" s="22">
        <f>IF(('MiT Strom Pipeline'!R51="follow-up")+('MiT Strom Pipeline'!R51="Evaluation")+('MiT Strom Pipeline'!R51="tbd")+('MiT Strom Pipeline'!R51="In evaluation")&gt;0,IF(ISNUMBER('MiT Strom Pipeline'!A51),'MiT Strom Pipeline'!A51,""),"")</f>
        <v/>
      </c>
      <c r="B184" s="23">
        <f>IF(('MiT Strom Pipeline'!R51="follow-up")+('MiT Strom Pipeline'!R51="Evaluation")+('MiT Strom Pipeline'!R51="tbd")+('MiT Strom Pipeline'!R51="In evaluation")&gt;0,'MiT Strom Pipeline'!B51,"")</f>
        <v/>
      </c>
      <c r="C184" s="22">
        <f>IF(('MiT Strom Pipeline'!R51="follow-up")+('MiT Strom Pipeline'!R51="Evaluation")+('MiT Strom Pipeline'!R51="tbd")+('MiT Strom Pipeline'!R51="In evaluation")&gt;0,'MiT Strom Pipeline'!C51,"")</f>
        <v/>
      </c>
      <c r="D184" s="23">
        <f>IF(('MiT Strom Pipeline'!R51="follow-up")+('MiT Strom Pipeline'!R51="Evaluation")+('MiT Strom Pipeline'!R51="tbd")+('MiT Strom Pipeline'!R51="In evaluation")&gt;0,'MiT Strom Pipeline'!D51,"")</f>
        <v/>
      </c>
      <c r="E184" s="23">
        <f>IF(('MiT Strom Pipeline'!R51="follow-up")+('MiT Strom Pipeline'!R51="Evaluation")+('MiT Strom Pipeline'!R51="tbd")+('MiT Strom Pipeline'!R51="In evaluation")&gt;0,'MiT Strom Pipeline'!E51,"")</f>
        <v/>
      </c>
      <c r="F184" s="24">
        <f>IF(('MiT Strom Pipeline'!R51="follow-up")+('MiT Strom Pipeline'!R51="Evaluation")+('MiT Strom Pipeline'!R51="tbd")+('MiT Strom Pipeline'!R51="In evaluation")&gt;0,IF(ISNUMBER('MiT Strom Pipeline'!I51),'MiT Strom Pipeline'!I51,0),"")</f>
        <v/>
      </c>
      <c r="G184" s="24">
        <f>IF(('MiT Strom Pipeline'!R51="follow-up")+('MiT Strom Pipeline'!R51="Evaluation")+('MiT Strom Pipeline'!R51="tbd")+('MiT Strom Pipeline'!R51="In evaluation")&gt;0,IF(ISNUMBER('MiT Strom Pipeline'!Q51),'MiT Strom Pipeline'!Q51,0),"")</f>
        <v/>
      </c>
      <c r="H184" s="24">
        <f>IF(('MiT Strom Pipeline'!R51="follow-up")+('MiT Strom Pipeline'!R51="Evaluation")+('MiT Strom Pipeline'!R51="tbd")+('MiT Strom Pipeline'!R51="In evaluation")&gt;0,IF(ISNUMBER('MiT Strom Pipeline'!O51),'MiT Strom Pipeline'!O51,0),"")</f>
        <v/>
      </c>
      <c r="I184" s="22">
        <f>IF(('MiT Strom Pipeline'!R51="follow-up")+('MiT Strom Pipeline'!R51="Evaluation")+('MiT Strom Pipeline'!R51="tbd")+('MiT Strom Pipeline'!R51="In evaluation")&gt;0,'MiT Strom Pipeline'!R51,"")</f>
        <v/>
      </c>
      <c r="J184" s="22">
        <f>IF(('MiT Strom Pipeline'!R51="follow-up")+('MiT Strom Pipeline'!R51="Evaluation")+('MiT Strom Pipeline'!R51="tbd")+('MiT Strom Pipeline'!R51="In evaluation")&gt;0,'MiT Strom Pipeline'!S51,"")</f>
        <v/>
      </c>
      <c r="K184" s="23">
        <f>IF(('MiT Strom Pipeline'!R51="follow-up")+('MiT Strom Pipeline'!R51="Evaluation")+('MiT Strom Pipeline'!R51="tbd")+('MiT Strom Pipeline'!R51="In evaluation")&gt;0,IF(LEN('MiT Strom Pipeline'!V51)&gt;0,LEFT('MiT Strom Pipeline'!V51,55),""),"")</f>
        <v/>
      </c>
    </row>
    <row r="185" hidden="1" ht="15.75" customHeight="1">
      <c r="A185" s="34">
        <f>IF(('MiT Strom Pipeline'!R52="follow-up")+('MiT Strom Pipeline'!R52="Evaluation")+('MiT Strom Pipeline'!R52="tbd")+('MiT Strom Pipeline'!R52="In evaluation")&gt;0,IF(ISNUMBER('MiT Strom Pipeline'!A52),'MiT Strom Pipeline'!A52,""),"")</f>
        <v/>
      </c>
      <c r="B185" s="35">
        <f>IF(('MiT Strom Pipeline'!R52="follow-up")+('MiT Strom Pipeline'!R52="Evaluation")+('MiT Strom Pipeline'!R52="tbd")+('MiT Strom Pipeline'!R52="In evaluation")&gt;0,'MiT Strom Pipeline'!B52,"")</f>
        <v/>
      </c>
      <c r="C185" s="34">
        <f>IF(('MiT Strom Pipeline'!R52="follow-up")+('MiT Strom Pipeline'!R52="Evaluation")+('MiT Strom Pipeline'!R52="tbd")+('MiT Strom Pipeline'!R52="In evaluation")&gt;0,'MiT Strom Pipeline'!C52,"")</f>
        <v/>
      </c>
      <c r="D185" s="35">
        <f>IF(('MiT Strom Pipeline'!R52="follow-up")+('MiT Strom Pipeline'!R52="Evaluation")+('MiT Strom Pipeline'!R52="tbd")+('MiT Strom Pipeline'!R52="In evaluation")&gt;0,'MiT Strom Pipeline'!D52,"")</f>
        <v/>
      </c>
      <c r="E185" s="35">
        <f>IF(('MiT Strom Pipeline'!R52="follow-up")+('MiT Strom Pipeline'!R52="Evaluation")+('MiT Strom Pipeline'!R52="tbd")+('MiT Strom Pipeline'!R52="In evaluation")&gt;0,'MiT Strom Pipeline'!E52,"")</f>
        <v/>
      </c>
      <c r="F185" s="36">
        <f>IF(('MiT Strom Pipeline'!R52="follow-up")+('MiT Strom Pipeline'!R52="Evaluation")+('MiT Strom Pipeline'!R52="tbd")+('MiT Strom Pipeline'!R52="In evaluation")&gt;0,IF(ISNUMBER('MiT Strom Pipeline'!I52),'MiT Strom Pipeline'!I52,0),"")</f>
        <v/>
      </c>
      <c r="G185" s="36">
        <f>IF(('MiT Strom Pipeline'!R52="follow-up")+('MiT Strom Pipeline'!R52="Evaluation")+('MiT Strom Pipeline'!R52="tbd")+('MiT Strom Pipeline'!R52="In evaluation")&gt;0,IF(ISNUMBER('MiT Strom Pipeline'!Q52),'MiT Strom Pipeline'!Q52,0),"")</f>
        <v/>
      </c>
      <c r="H185" s="36">
        <f>IF(('MiT Strom Pipeline'!R52="follow-up")+('MiT Strom Pipeline'!R52="Evaluation")+('MiT Strom Pipeline'!R52="tbd")+('MiT Strom Pipeline'!R52="In evaluation")&gt;0,IF(ISNUMBER('MiT Strom Pipeline'!O52),'MiT Strom Pipeline'!O52,0),"")</f>
        <v/>
      </c>
      <c r="I185" s="34">
        <f>IF(('MiT Strom Pipeline'!R52="follow-up")+('MiT Strom Pipeline'!R52="Evaluation")+('MiT Strom Pipeline'!R52="tbd")+('MiT Strom Pipeline'!R52="In evaluation")&gt;0,'MiT Strom Pipeline'!R52,"")</f>
        <v/>
      </c>
      <c r="J185" s="34">
        <f>IF(('MiT Strom Pipeline'!R52="follow-up")+('MiT Strom Pipeline'!R52="Evaluation")+('MiT Strom Pipeline'!R52="tbd")+('MiT Strom Pipeline'!R52="In evaluation")&gt;0,'MiT Strom Pipeline'!S52,"")</f>
        <v/>
      </c>
      <c r="K185" s="35">
        <f>IF(('MiT Strom Pipeline'!R52="follow-up")+('MiT Strom Pipeline'!R52="Evaluation")+('MiT Strom Pipeline'!R52="tbd")+('MiT Strom Pipeline'!R52="In evaluation")&gt;0,IF(LEN('MiT Strom Pipeline'!V52)&gt;0,LEFT('MiT Strom Pipeline'!V52,55),""),"")</f>
        <v/>
      </c>
    </row>
    <row r="186" hidden="1" ht="15.75" customHeight="1">
      <c r="A186" s="22">
        <f>IF(('MiT Strom Pipeline'!R53="follow-up")+('MiT Strom Pipeline'!R53="Evaluation")+('MiT Strom Pipeline'!R53="tbd")+('MiT Strom Pipeline'!R53="In evaluation")&gt;0,IF(ISNUMBER('MiT Strom Pipeline'!A53),'MiT Strom Pipeline'!A53,""),"")</f>
        <v/>
      </c>
      <c r="B186" s="23">
        <f>IF(('MiT Strom Pipeline'!R53="follow-up")+('MiT Strom Pipeline'!R53="Evaluation")+('MiT Strom Pipeline'!R53="tbd")+('MiT Strom Pipeline'!R53="In evaluation")&gt;0,'MiT Strom Pipeline'!B53,"")</f>
        <v/>
      </c>
      <c r="C186" s="22">
        <f>IF(('MiT Strom Pipeline'!R53="follow-up")+('MiT Strom Pipeline'!R53="Evaluation")+('MiT Strom Pipeline'!R53="tbd")+('MiT Strom Pipeline'!R53="In evaluation")&gt;0,'MiT Strom Pipeline'!C53,"")</f>
        <v/>
      </c>
      <c r="D186" s="23">
        <f>IF(('MiT Strom Pipeline'!R53="follow-up")+('MiT Strom Pipeline'!R53="Evaluation")+('MiT Strom Pipeline'!R53="tbd")+('MiT Strom Pipeline'!R53="In evaluation")&gt;0,'MiT Strom Pipeline'!D53,"")</f>
        <v/>
      </c>
      <c r="E186" s="23">
        <f>IF(('MiT Strom Pipeline'!R53="follow-up")+('MiT Strom Pipeline'!R53="Evaluation")+('MiT Strom Pipeline'!R53="tbd")+('MiT Strom Pipeline'!R53="In evaluation")&gt;0,'MiT Strom Pipeline'!E53,"")</f>
        <v/>
      </c>
      <c r="F186" s="24">
        <f>IF(('MiT Strom Pipeline'!R53="follow-up")+('MiT Strom Pipeline'!R53="Evaluation")+('MiT Strom Pipeline'!R53="tbd")+('MiT Strom Pipeline'!R53="In evaluation")&gt;0,IF(ISNUMBER('MiT Strom Pipeline'!I53),'MiT Strom Pipeline'!I53,0),"")</f>
        <v/>
      </c>
      <c r="G186" s="24">
        <f>IF(('MiT Strom Pipeline'!R53="follow-up")+('MiT Strom Pipeline'!R53="Evaluation")+('MiT Strom Pipeline'!R53="tbd")+('MiT Strom Pipeline'!R53="In evaluation")&gt;0,IF(ISNUMBER('MiT Strom Pipeline'!Q53),'MiT Strom Pipeline'!Q53,0),"")</f>
        <v/>
      </c>
      <c r="H186" s="24">
        <f>IF(('MiT Strom Pipeline'!R53="follow-up")+('MiT Strom Pipeline'!R53="Evaluation")+('MiT Strom Pipeline'!R53="tbd")+('MiT Strom Pipeline'!R53="In evaluation")&gt;0,IF(ISNUMBER('MiT Strom Pipeline'!O53),'MiT Strom Pipeline'!O53,0),"")</f>
        <v/>
      </c>
      <c r="I186" s="22">
        <f>IF(('MiT Strom Pipeline'!R53="follow-up")+('MiT Strom Pipeline'!R53="Evaluation")+('MiT Strom Pipeline'!R53="tbd")+('MiT Strom Pipeline'!R53="In evaluation")&gt;0,'MiT Strom Pipeline'!R53,"")</f>
        <v/>
      </c>
      <c r="J186" s="22">
        <f>IF(('MiT Strom Pipeline'!R53="follow-up")+('MiT Strom Pipeline'!R53="Evaluation")+('MiT Strom Pipeline'!R53="tbd")+('MiT Strom Pipeline'!R53="In evaluation")&gt;0,'MiT Strom Pipeline'!S53,"")</f>
        <v/>
      </c>
      <c r="K186" s="23">
        <f>IF(('MiT Strom Pipeline'!R53="follow-up")+('MiT Strom Pipeline'!R53="Evaluation")+('MiT Strom Pipeline'!R53="tbd")+('MiT Strom Pipeline'!R53="In evaluation")&gt;0,IF(LEN('MiT Strom Pipeline'!V53)&gt;0,LEFT('MiT Strom Pipeline'!V53,55),""),"")</f>
        <v/>
      </c>
    </row>
    <row r="187" hidden="1" ht="15.75" customHeight="1">
      <c r="A187" s="34">
        <f>IF(('MiT Strom Pipeline'!R54="follow-up")+('MiT Strom Pipeline'!R54="Evaluation")+('MiT Strom Pipeline'!R54="tbd")+('MiT Strom Pipeline'!R54="In evaluation")&gt;0,IF(ISNUMBER('MiT Strom Pipeline'!A54),'MiT Strom Pipeline'!A54,""),"")</f>
        <v/>
      </c>
      <c r="B187" s="35">
        <f>IF(('MiT Strom Pipeline'!R54="follow-up")+('MiT Strom Pipeline'!R54="Evaluation")+('MiT Strom Pipeline'!R54="tbd")+('MiT Strom Pipeline'!R54="In evaluation")&gt;0,'MiT Strom Pipeline'!B54,"")</f>
        <v/>
      </c>
      <c r="C187" s="34">
        <f>IF(('MiT Strom Pipeline'!R54="follow-up")+('MiT Strom Pipeline'!R54="Evaluation")+('MiT Strom Pipeline'!R54="tbd")+('MiT Strom Pipeline'!R54="In evaluation")&gt;0,'MiT Strom Pipeline'!C54,"")</f>
        <v/>
      </c>
      <c r="D187" s="35">
        <f>IF(('MiT Strom Pipeline'!R54="follow-up")+('MiT Strom Pipeline'!R54="Evaluation")+('MiT Strom Pipeline'!R54="tbd")+('MiT Strom Pipeline'!R54="In evaluation")&gt;0,'MiT Strom Pipeline'!D54,"")</f>
        <v/>
      </c>
      <c r="E187" s="35">
        <f>IF(('MiT Strom Pipeline'!R54="follow-up")+('MiT Strom Pipeline'!R54="Evaluation")+('MiT Strom Pipeline'!R54="tbd")+('MiT Strom Pipeline'!R54="In evaluation")&gt;0,'MiT Strom Pipeline'!E54,"")</f>
        <v/>
      </c>
      <c r="F187" s="36">
        <f>IF(('MiT Strom Pipeline'!R54="follow-up")+('MiT Strom Pipeline'!R54="Evaluation")+('MiT Strom Pipeline'!R54="tbd")+('MiT Strom Pipeline'!R54="In evaluation")&gt;0,IF(ISNUMBER('MiT Strom Pipeline'!I54),'MiT Strom Pipeline'!I54,0),"")</f>
        <v/>
      </c>
      <c r="G187" s="36">
        <f>IF(('MiT Strom Pipeline'!R54="follow-up")+('MiT Strom Pipeline'!R54="Evaluation")+('MiT Strom Pipeline'!R54="tbd")+('MiT Strom Pipeline'!R54="In evaluation")&gt;0,IF(ISNUMBER('MiT Strom Pipeline'!Q54),'MiT Strom Pipeline'!Q54,0),"")</f>
        <v/>
      </c>
      <c r="H187" s="36">
        <f>IF(('MiT Strom Pipeline'!R54="follow-up")+('MiT Strom Pipeline'!R54="Evaluation")+('MiT Strom Pipeline'!R54="tbd")+('MiT Strom Pipeline'!R54="In evaluation")&gt;0,IF(ISNUMBER('MiT Strom Pipeline'!O54),'MiT Strom Pipeline'!O54,0),"")</f>
        <v/>
      </c>
      <c r="I187" s="34">
        <f>IF(('MiT Strom Pipeline'!R54="follow-up")+('MiT Strom Pipeline'!R54="Evaluation")+('MiT Strom Pipeline'!R54="tbd")+('MiT Strom Pipeline'!R54="In evaluation")&gt;0,'MiT Strom Pipeline'!R54,"")</f>
        <v/>
      </c>
      <c r="J187" s="34">
        <f>IF(('MiT Strom Pipeline'!R54="follow-up")+('MiT Strom Pipeline'!R54="Evaluation")+('MiT Strom Pipeline'!R54="tbd")+('MiT Strom Pipeline'!R54="In evaluation")&gt;0,'MiT Strom Pipeline'!S54,"")</f>
        <v/>
      </c>
      <c r="K187" s="35">
        <f>IF(('MiT Strom Pipeline'!R54="follow-up")+('MiT Strom Pipeline'!R54="Evaluation")+('MiT Strom Pipeline'!R54="tbd")+('MiT Strom Pipeline'!R54="In evaluation")&gt;0,IF(LEN('MiT Strom Pipeline'!V54)&gt;0,LEFT('MiT Strom Pipeline'!V54,55),""),"")</f>
        <v/>
      </c>
    </row>
    <row r="188" hidden="1" ht="15.75" customHeight="1">
      <c r="A188" s="22">
        <f>IF(('MiT Strom Pipeline'!R55="follow-up")+('MiT Strom Pipeline'!R55="Evaluation")+('MiT Strom Pipeline'!R55="tbd")+('MiT Strom Pipeline'!R55="In evaluation")&gt;0,IF(ISNUMBER('MiT Strom Pipeline'!A55),'MiT Strom Pipeline'!A55,""),"")</f>
        <v/>
      </c>
      <c r="B188" s="23">
        <f>IF(('MiT Strom Pipeline'!R55="follow-up")+('MiT Strom Pipeline'!R55="Evaluation")+('MiT Strom Pipeline'!R55="tbd")+('MiT Strom Pipeline'!R55="In evaluation")&gt;0,'MiT Strom Pipeline'!B55,"")</f>
        <v/>
      </c>
      <c r="C188" s="22">
        <f>IF(('MiT Strom Pipeline'!R55="follow-up")+('MiT Strom Pipeline'!R55="Evaluation")+('MiT Strom Pipeline'!R55="tbd")+('MiT Strom Pipeline'!R55="In evaluation")&gt;0,'MiT Strom Pipeline'!C55,"")</f>
        <v/>
      </c>
      <c r="D188" s="23">
        <f>IF(('MiT Strom Pipeline'!R55="follow-up")+('MiT Strom Pipeline'!R55="Evaluation")+('MiT Strom Pipeline'!R55="tbd")+('MiT Strom Pipeline'!R55="In evaluation")&gt;0,'MiT Strom Pipeline'!D55,"")</f>
        <v/>
      </c>
      <c r="E188" s="23">
        <f>IF(('MiT Strom Pipeline'!R55="follow-up")+('MiT Strom Pipeline'!R55="Evaluation")+('MiT Strom Pipeline'!R55="tbd")+('MiT Strom Pipeline'!R55="In evaluation")&gt;0,'MiT Strom Pipeline'!E55,"")</f>
        <v/>
      </c>
      <c r="F188" s="24">
        <f>IF(('MiT Strom Pipeline'!R55="follow-up")+('MiT Strom Pipeline'!R55="Evaluation")+('MiT Strom Pipeline'!R55="tbd")+('MiT Strom Pipeline'!R55="In evaluation")&gt;0,IF(ISNUMBER('MiT Strom Pipeline'!I55),'MiT Strom Pipeline'!I55,0),"")</f>
        <v/>
      </c>
      <c r="G188" s="24">
        <f>IF(('MiT Strom Pipeline'!R55="follow-up")+('MiT Strom Pipeline'!R55="Evaluation")+('MiT Strom Pipeline'!R55="tbd")+('MiT Strom Pipeline'!R55="In evaluation")&gt;0,IF(ISNUMBER('MiT Strom Pipeline'!Q55),'MiT Strom Pipeline'!Q55,0),"")</f>
        <v/>
      </c>
      <c r="H188" s="24">
        <f>IF(('MiT Strom Pipeline'!R55="follow-up")+('MiT Strom Pipeline'!R55="Evaluation")+('MiT Strom Pipeline'!R55="tbd")+('MiT Strom Pipeline'!R55="In evaluation")&gt;0,IF(ISNUMBER('MiT Strom Pipeline'!O55),'MiT Strom Pipeline'!O55,0),"")</f>
        <v/>
      </c>
      <c r="I188" s="22">
        <f>IF(('MiT Strom Pipeline'!R55="follow-up")+('MiT Strom Pipeline'!R55="Evaluation")+('MiT Strom Pipeline'!R55="tbd")+('MiT Strom Pipeline'!R55="In evaluation")&gt;0,'MiT Strom Pipeline'!R55,"")</f>
        <v/>
      </c>
      <c r="J188" s="22">
        <f>IF(('MiT Strom Pipeline'!R55="follow-up")+('MiT Strom Pipeline'!R55="Evaluation")+('MiT Strom Pipeline'!R55="tbd")+('MiT Strom Pipeline'!R55="In evaluation")&gt;0,'MiT Strom Pipeline'!S55,"")</f>
        <v/>
      </c>
      <c r="K188" s="23">
        <f>IF(('MiT Strom Pipeline'!R55="follow-up")+('MiT Strom Pipeline'!R55="Evaluation")+('MiT Strom Pipeline'!R55="tbd")+('MiT Strom Pipeline'!R55="In evaluation")&gt;0,IF(LEN('MiT Strom Pipeline'!V55)&gt;0,LEFT('MiT Strom Pipeline'!V55,55),""),"")</f>
        <v/>
      </c>
    </row>
    <row r="189" hidden="1" ht="15.75" customHeight="1">
      <c r="A189" s="34">
        <f>IF(('MiT Strom Pipeline'!R56="follow-up")+('MiT Strom Pipeline'!R56="Evaluation")+('MiT Strom Pipeline'!R56="tbd")+('MiT Strom Pipeline'!R56="In evaluation")&gt;0,IF(ISNUMBER('MiT Strom Pipeline'!A56),'MiT Strom Pipeline'!A56,""),"")</f>
        <v/>
      </c>
      <c r="B189" s="35">
        <f>IF(('MiT Strom Pipeline'!R56="follow-up")+('MiT Strom Pipeline'!R56="Evaluation")+('MiT Strom Pipeline'!R56="tbd")+('MiT Strom Pipeline'!R56="In evaluation")&gt;0,'MiT Strom Pipeline'!B56,"")</f>
        <v/>
      </c>
      <c r="C189" s="34">
        <f>IF(('MiT Strom Pipeline'!R56="follow-up")+('MiT Strom Pipeline'!R56="Evaluation")+('MiT Strom Pipeline'!R56="tbd")+('MiT Strom Pipeline'!R56="In evaluation")&gt;0,'MiT Strom Pipeline'!C56,"")</f>
        <v/>
      </c>
      <c r="D189" s="35">
        <f>IF(('MiT Strom Pipeline'!R56="follow-up")+('MiT Strom Pipeline'!R56="Evaluation")+('MiT Strom Pipeline'!R56="tbd")+('MiT Strom Pipeline'!R56="In evaluation")&gt;0,'MiT Strom Pipeline'!D56,"")</f>
        <v/>
      </c>
      <c r="E189" s="35">
        <f>IF(('MiT Strom Pipeline'!R56="follow-up")+('MiT Strom Pipeline'!R56="Evaluation")+('MiT Strom Pipeline'!R56="tbd")+('MiT Strom Pipeline'!R56="In evaluation")&gt;0,'MiT Strom Pipeline'!E56,"")</f>
        <v/>
      </c>
      <c r="F189" s="36">
        <f>IF(('MiT Strom Pipeline'!R56="follow-up")+('MiT Strom Pipeline'!R56="Evaluation")+('MiT Strom Pipeline'!R56="tbd")+('MiT Strom Pipeline'!R56="In evaluation")&gt;0,IF(ISNUMBER('MiT Strom Pipeline'!I56),'MiT Strom Pipeline'!I56,0),"")</f>
        <v/>
      </c>
      <c r="G189" s="36">
        <f>IF(('MiT Strom Pipeline'!R56="follow-up")+('MiT Strom Pipeline'!R56="Evaluation")+('MiT Strom Pipeline'!R56="tbd")+('MiT Strom Pipeline'!R56="In evaluation")&gt;0,IF(ISNUMBER('MiT Strom Pipeline'!Q56),'MiT Strom Pipeline'!Q56,0),"")</f>
        <v/>
      </c>
      <c r="H189" s="36">
        <f>IF(('MiT Strom Pipeline'!R56="follow-up")+('MiT Strom Pipeline'!R56="Evaluation")+('MiT Strom Pipeline'!R56="tbd")+('MiT Strom Pipeline'!R56="In evaluation")&gt;0,IF(ISNUMBER('MiT Strom Pipeline'!O56),'MiT Strom Pipeline'!O56,0),"")</f>
        <v/>
      </c>
      <c r="I189" s="34">
        <f>IF(('MiT Strom Pipeline'!R56="follow-up")+('MiT Strom Pipeline'!R56="Evaluation")+('MiT Strom Pipeline'!R56="tbd")+('MiT Strom Pipeline'!R56="In evaluation")&gt;0,'MiT Strom Pipeline'!R56,"")</f>
        <v/>
      </c>
      <c r="J189" s="34">
        <f>IF(('MiT Strom Pipeline'!R56="follow-up")+('MiT Strom Pipeline'!R56="Evaluation")+('MiT Strom Pipeline'!R56="tbd")+('MiT Strom Pipeline'!R56="In evaluation")&gt;0,'MiT Strom Pipeline'!S56,"")</f>
        <v/>
      </c>
      <c r="K189" s="35">
        <f>IF(('MiT Strom Pipeline'!R56="follow-up")+('MiT Strom Pipeline'!R56="Evaluation")+('MiT Strom Pipeline'!R56="tbd")+('MiT Strom Pipeline'!R56="In evaluation")&gt;0,IF(LEN('MiT Strom Pipeline'!V56)&gt;0,LEFT('MiT Strom Pipeline'!V56,55),""),"")</f>
        <v/>
      </c>
    </row>
    <row r="190" hidden="1" ht="15.75" customHeight="1">
      <c r="A190" s="22">
        <f>IF(('MiT Strom Pipeline'!R57="follow-up")+('MiT Strom Pipeline'!R57="Evaluation")+('MiT Strom Pipeline'!R57="tbd")+('MiT Strom Pipeline'!R57="In evaluation")&gt;0,IF(ISNUMBER('MiT Strom Pipeline'!A57),'MiT Strom Pipeline'!A57,""),"")</f>
        <v/>
      </c>
      <c r="B190" s="23">
        <f>IF(('MiT Strom Pipeline'!R57="follow-up")+('MiT Strom Pipeline'!R57="Evaluation")+('MiT Strom Pipeline'!R57="tbd")+('MiT Strom Pipeline'!R57="In evaluation")&gt;0,'MiT Strom Pipeline'!B57,"")</f>
        <v/>
      </c>
      <c r="C190" s="22">
        <f>IF(('MiT Strom Pipeline'!R57="follow-up")+('MiT Strom Pipeline'!R57="Evaluation")+('MiT Strom Pipeline'!R57="tbd")+('MiT Strom Pipeline'!R57="In evaluation")&gt;0,'MiT Strom Pipeline'!C57,"")</f>
        <v/>
      </c>
      <c r="D190" s="23">
        <f>IF(('MiT Strom Pipeline'!R57="follow-up")+('MiT Strom Pipeline'!R57="Evaluation")+('MiT Strom Pipeline'!R57="tbd")+('MiT Strom Pipeline'!R57="In evaluation")&gt;0,'MiT Strom Pipeline'!D57,"")</f>
        <v/>
      </c>
      <c r="E190" s="23">
        <f>IF(('MiT Strom Pipeline'!R57="follow-up")+('MiT Strom Pipeline'!R57="Evaluation")+('MiT Strom Pipeline'!R57="tbd")+('MiT Strom Pipeline'!R57="In evaluation")&gt;0,'MiT Strom Pipeline'!E57,"")</f>
        <v/>
      </c>
      <c r="F190" s="24">
        <f>IF(('MiT Strom Pipeline'!R57="follow-up")+('MiT Strom Pipeline'!R57="Evaluation")+('MiT Strom Pipeline'!R57="tbd")+('MiT Strom Pipeline'!R57="In evaluation")&gt;0,IF(ISNUMBER('MiT Strom Pipeline'!I57),'MiT Strom Pipeline'!I57,0),"")</f>
        <v/>
      </c>
      <c r="G190" s="24">
        <f>IF(('MiT Strom Pipeline'!R57="follow-up")+('MiT Strom Pipeline'!R57="Evaluation")+('MiT Strom Pipeline'!R57="tbd")+('MiT Strom Pipeline'!R57="In evaluation")&gt;0,IF(ISNUMBER('MiT Strom Pipeline'!Q57),'MiT Strom Pipeline'!Q57,0),"")</f>
        <v/>
      </c>
      <c r="H190" s="24">
        <f>IF(('MiT Strom Pipeline'!R57="follow-up")+('MiT Strom Pipeline'!R57="Evaluation")+('MiT Strom Pipeline'!R57="tbd")+('MiT Strom Pipeline'!R57="In evaluation")&gt;0,IF(ISNUMBER('MiT Strom Pipeline'!O57),'MiT Strom Pipeline'!O57,0),"")</f>
        <v/>
      </c>
      <c r="I190" s="22">
        <f>IF(('MiT Strom Pipeline'!R57="follow-up")+('MiT Strom Pipeline'!R57="Evaluation")+('MiT Strom Pipeline'!R57="tbd")+('MiT Strom Pipeline'!R57="In evaluation")&gt;0,'MiT Strom Pipeline'!R57,"")</f>
        <v/>
      </c>
      <c r="J190" s="22">
        <f>IF(('MiT Strom Pipeline'!R57="follow-up")+('MiT Strom Pipeline'!R57="Evaluation")+('MiT Strom Pipeline'!R57="tbd")+('MiT Strom Pipeline'!R57="In evaluation")&gt;0,'MiT Strom Pipeline'!S57,"")</f>
        <v/>
      </c>
      <c r="K190" s="23">
        <f>IF(('MiT Strom Pipeline'!R57="follow-up")+('MiT Strom Pipeline'!R57="Evaluation")+('MiT Strom Pipeline'!R57="tbd")+('MiT Strom Pipeline'!R57="In evaluation")&gt;0,IF(LEN('MiT Strom Pipeline'!V57)&gt;0,LEFT('MiT Strom Pipeline'!V57,55),""),"")</f>
        <v/>
      </c>
    </row>
    <row r="191" hidden="1" ht="15.75" customHeight="1">
      <c r="A191" s="34">
        <f>IF(('MiT Strom Pipeline'!R58="follow-up")+('MiT Strom Pipeline'!R58="Evaluation")+('MiT Strom Pipeline'!R58="tbd")+('MiT Strom Pipeline'!R58="In evaluation")&gt;0,IF(ISNUMBER('MiT Strom Pipeline'!A58),'MiT Strom Pipeline'!A58,""),"")</f>
        <v/>
      </c>
      <c r="B191" s="35">
        <f>IF(('MiT Strom Pipeline'!R58="follow-up")+('MiT Strom Pipeline'!R58="Evaluation")+('MiT Strom Pipeline'!R58="tbd")+('MiT Strom Pipeline'!R58="In evaluation")&gt;0,'MiT Strom Pipeline'!B58,"")</f>
        <v/>
      </c>
      <c r="C191" s="34">
        <f>IF(('MiT Strom Pipeline'!R58="follow-up")+('MiT Strom Pipeline'!R58="Evaluation")+('MiT Strom Pipeline'!R58="tbd")+('MiT Strom Pipeline'!R58="In evaluation")&gt;0,'MiT Strom Pipeline'!C58,"")</f>
        <v/>
      </c>
      <c r="D191" s="35">
        <f>IF(('MiT Strom Pipeline'!R58="follow-up")+('MiT Strom Pipeline'!R58="Evaluation")+('MiT Strom Pipeline'!R58="tbd")+('MiT Strom Pipeline'!R58="In evaluation")&gt;0,'MiT Strom Pipeline'!D58,"")</f>
        <v/>
      </c>
      <c r="E191" s="35">
        <f>IF(('MiT Strom Pipeline'!R58="follow-up")+('MiT Strom Pipeline'!R58="Evaluation")+('MiT Strom Pipeline'!R58="tbd")+('MiT Strom Pipeline'!R58="In evaluation")&gt;0,'MiT Strom Pipeline'!E58,"")</f>
        <v/>
      </c>
      <c r="F191" s="36">
        <f>IF(('MiT Strom Pipeline'!R58="follow-up")+('MiT Strom Pipeline'!R58="Evaluation")+('MiT Strom Pipeline'!R58="tbd")+('MiT Strom Pipeline'!R58="In evaluation")&gt;0,IF(ISNUMBER('MiT Strom Pipeline'!I58),'MiT Strom Pipeline'!I58,0),"")</f>
        <v/>
      </c>
      <c r="G191" s="36">
        <f>IF(('MiT Strom Pipeline'!R58="follow-up")+('MiT Strom Pipeline'!R58="Evaluation")+('MiT Strom Pipeline'!R58="tbd")+('MiT Strom Pipeline'!R58="In evaluation")&gt;0,IF(ISNUMBER('MiT Strom Pipeline'!Q58),'MiT Strom Pipeline'!Q58,0),"")</f>
        <v/>
      </c>
      <c r="H191" s="36">
        <f>IF(('MiT Strom Pipeline'!R58="follow-up")+('MiT Strom Pipeline'!R58="Evaluation")+('MiT Strom Pipeline'!R58="tbd")+('MiT Strom Pipeline'!R58="In evaluation")&gt;0,IF(ISNUMBER('MiT Strom Pipeline'!O58),'MiT Strom Pipeline'!O58,0),"")</f>
        <v/>
      </c>
      <c r="I191" s="34">
        <f>IF(('MiT Strom Pipeline'!R58="follow-up")+('MiT Strom Pipeline'!R58="Evaluation")+('MiT Strom Pipeline'!R58="tbd")+('MiT Strom Pipeline'!R58="In evaluation")&gt;0,'MiT Strom Pipeline'!R58,"")</f>
        <v/>
      </c>
      <c r="J191" s="34">
        <f>IF(('MiT Strom Pipeline'!R58="follow-up")+('MiT Strom Pipeline'!R58="Evaluation")+('MiT Strom Pipeline'!R58="tbd")+('MiT Strom Pipeline'!R58="In evaluation")&gt;0,'MiT Strom Pipeline'!S58,"")</f>
        <v/>
      </c>
      <c r="K191" s="35">
        <f>IF(('MiT Strom Pipeline'!R58="follow-up")+('MiT Strom Pipeline'!R58="Evaluation")+('MiT Strom Pipeline'!R58="tbd")+('MiT Strom Pipeline'!R58="In evaluation")&gt;0,IF(LEN('MiT Strom Pipeline'!V58)&gt;0,LEFT('MiT Strom Pipeline'!V58,55),""),"")</f>
        <v/>
      </c>
    </row>
    <row r="192" hidden="1" ht="15.75" customHeight="1">
      <c r="A192" s="22">
        <f>IF(('MiT Strom Pipeline'!R59="follow-up")+('MiT Strom Pipeline'!R59="Evaluation")+('MiT Strom Pipeline'!R59="tbd")+('MiT Strom Pipeline'!R59="In evaluation")&gt;0,IF(ISNUMBER('MiT Strom Pipeline'!A59),'MiT Strom Pipeline'!A59,""),"")</f>
        <v/>
      </c>
      <c r="B192" s="23">
        <f>IF(('MiT Strom Pipeline'!R59="follow-up")+('MiT Strom Pipeline'!R59="Evaluation")+('MiT Strom Pipeline'!R59="tbd")+('MiT Strom Pipeline'!R59="In evaluation")&gt;0,'MiT Strom Pipeline'!B59,"")</f>
        <v/>
      </c>
      <c r="C192" s="22">
        <f>IF(('MiT Strom Pipeline'!R59="follow-up")+('MiT Strom Pipeline'!R59="Evaluation")+('MiT Strom Pipeline'!R59="tbd")+('MiT Strom Pipeline'!R59="In evaluation")&gt;0,'MiT Strom Pipeline'!C59,"")</f>
        <v/>
      </c>
      <c r="D192" s="23">
        <f>IF(('MiT Strom Pipeline'!R59="follow-up")+('MiT Strom Pipeline'!R59="Evaluation")+('MiT Strom Pipeline'!R59="tbd")+('MiT Strom Pipeline'!R59="In evaluation")&gt;0,'MiT Strom Pipeline'!D59,"")</f>
        <v/>
      </c>
      <c r="E192" s="23">
        <f>IF(('MiT Strom Pipeline'!R59="follow-up")+('MiT Strom Pipeline'!R59="Evaluation")+('MiT Strom Pipeline'!R59="tbd")+('MiT Strom Pipeline'!R59="In evaluation")&gt;0,'MiT Strom Pipeline'!E59,"")</f>
        <v/>
      </c>
      <c r="F192" s="24">
        <f>IF(('MiT Strom Pipeline'!R59="follow-up")+('MiT Strom Pipeline'!R59="Evaluation")+('MiT Strom Pipeline'!R59="tbd")+('MiT Strom Pipeline'!R59="In evaluation")&gt;0,IF(ISNUMBER('MiT Strom Pipeline'!I59),'MiT Strom Pipeline'!I59,0),"")</f>
        <v/>
      </c>
      <c r="G192" s="24">
        <f>IF(('MiT Strom Pipeline'!R59="follow-up")+('MiT Strom Pipeline'!R59="Evaluation")+('MiT Strom Pipeline'!R59="tbd")+('MiT Strom Pipeline'!R59="In evaluation")&gt;0,IF(ISNUMBER('MiT Strom Pipeline'!Q59),'MiT Strom Pipeline'!Q59,0),"")</f>
        <v/>
      </c>
      <c r="H192" s="24">
        <f>IF(('MiT Strom Pipeline'!R59="follow-up")+('MiT Strom Pipeline'!R59="Evaluation")+('MiT Strom Pipeline'!R59="tbd")+('MiT Strom Pipeline'!R59="In evaluation")&gt;0,IF(ISNUMBER('MiT Strom Pipeline'!O59),'MiT Strom Pipeline'!O59,0),"")</f>
        <v/>
      </c>
      <c r="I192" s="22">
        <f>IF(('MiT Strom Pipeline'!R59="follow-up")+('MiT Strom Pipeline'!R59="Evaluation")+('MiT Strom Pipeline'!R59="tbd")+('MiT Strom Pipeline'!R59="In evaluation")&gt;0,'MiT Strom Pipeline'!R59,"")</f>
        <v/>
      </c>
      <c r="J192" s="22">
        <f>IF(('MiT Strom Pipeline'!R59="follow-up")+('MiT Strom Pipeline'!R59="Evaluation")+('MiT Strom Pipeline'!R59="tbd")+('MiT Strom Pipeline'!R59="In evaluation")&gt;0,'MiT Strom Pipeline'!S59,"")</f>
        <v/>
      </c>
      <c r="K192" s="23">
        <f>IF(('MiT Strom Pipeline'!R59="follow-up")+('MiT Strom Pipeline'!R59="Evaluation")+('MiT Strom Pipeline'!R59="tbd")+('MiT Strom Pipeline'!R59="In evaluation")&gt;0,IF(LEN('MiT Strom Pipeline'!V59)&gt;0,LEFT('MiT Strom Pipeline'!V59,55),""),"")</f>
        <v/>
      </c>
    </row>
    <row r="193" hidden="1" ht="15.75" customHeight="1">
      <c r="A193" s="34">
        <f>IF(('MiT Strom Pipeline'!R60="follow-up")+('MiT Strom Pipeline'!R60="Evaluation")+('MiT Strom Pipeline'!R60="tbd")+('MiT Strom Pipeline'!R60="In evaluation")&gt;0,IF(ISNUMBER('MiT Strom Pipeline'!A60),'MiT Strom Pipeline'!A60,""),"")</f>
        <v/>
      </c>
      <c r="B193" s="35">
        <f>IF(('MiT Strom Pipeline'!R60="follow-up")+('MiT Strom Pipeline'!R60="Evaluation")+('MiT Strom Pipeline'!R60="tbd")+('MiT Strom Pipeline'!R60="In evaluation")&gt;0,'MiT Strom Pipeline'!B60,"")</f>
        <v/>
      </c>
      <c r="C193" s="34">
        <f>IF(('MiT Strom Pipeline'!R60="follow-up")+('MiT Strom Pipeline'!R60="Evaluation")+('MiT Strom Pipeline'!R60="tbd")+('MiT Strom Pipeline'!R60="In evaluation")&gt;0,'MiT Strom Pipeline'!C60,"")</f>
        <v/>
      </c>
      <c r="D193" s="35">
        <f>IF(('MiT Strom Pipeline'!R60="follow-up")+('MiT Strom Pipeline'!R60="Evaluation")+('MiT Strom Pipeline'!R60="tbd")+('MiT Strom Pipeline'!R60="In evaluation")&gt;0,'MiT Strom Pipeline'!D60,"")</f>
        <v/>
      </c>
      <c r="E193" s="35">
        <f>IF(('MiT Strom Pipeline'!R60="follow-up")+('MiT Strom Pipeline'!R60="Evaluation")+('MiT Strom Pipeline'!R60="tbd")+('MiT Strom Pipeline'!R60="In evaluation")&gt;0,'MiT Strom Pipeline'!E60,"")</f>
        <v/>
      </c>
      <c r="F193" s="36">
        <f>IF(('MiT Strom Pipeline'!R60="follow-up")+('MiT Strom Pipeline'!R60="Evaluation")+('MiT Strom Pipeline'!R60="tbd")+('MiT Strom Pipeline'!R60="In evaluation")&gt;0,IF(ISNUMBER('MiT Strom Pipeline'!I60),'MiT Strom Pipeline'!I60,0),"")</f>
        <v/>
      </c>
      <c r="G193" s="36">
        <f>IF(('MiT Strom Pipeline'!R60="follow-up")+('MiT Strom Pipeline'!R60="Evaluation")+('MiT Strom Pipeline'!R60="tbd")+('MiT Strom Pipeline'!R60="In evaluation")&gt;0,IF(ISNUMBER('MiT Strom Pipeline'!Q60),'MiT Strom Pipeline'!Q60,0),"")</f>
        <v/>
      </c>
      <c r="H193" s="36">
        <f>IF(('MiT Strom Pipeline'!R60="follow-up")+('MiT Strom Pipeline'!R60="Evaluation")+('MiT Strom Pipeline'!R60="tbd")+('MiT Strom Pipeline'!R60="In evaluation")&gt;0,IF(ISNUMBER('MiT Strom Pipeline'!O60),'MiT Strom Pipeline'!O60,0),"")</f>
        <v/>
      </c>
      <c r="I193" s="34">
        <f>IF(('MiT Strom Pipeline'!R60="follow-up")+('MiT Strom Pipeline'!R60="Evaluation")+('MiT Strom Pipeline'!R60="tbd")+('MiT Strom Pipeline'!R60="In evaluation")&gt;0,'MiT Strom Pipeline'!R60,"")</f>
        <v/>
      </c>
      <c r="J193" s="34">
        <f>IF(('MiT Strom Pipeline'!R60="follow-up")+('MiT Strom Pipeline'!R60="Evaluation")+('MiT Strom Pipeline'!R60="tbd")+('MiT Strom Pipeline'!R60="In evaluation")&gt;0,'MiT Strom Pipeline'!S60,"")</f>
        <v/>
      </c>
      <c r="K193" s="35">
        <f>IF(('MiT Strom Pipeline'!R60="follow-up")+('MiT Strom Pipeline'!R60="Evaluation")+('MiT Strom Pipeline'!R60="tbd")+('MiT Strom Pipeline'!R60="In evaluation")&gt;0,IF(LEN('MiT Strom Pipeline'!V60)&gt;0,LEFT('MiT Strom Pipeline'!V60,55),""),"")</f>
        <v/>
      </c>
    </row>
    <row r="194" hidden="1" ht="15.75" customHeight="1">
      <c r="A194" s="22">
        <f>IF(('MiT Strom Pipeline'!R61="follow-up")+('MiT Strom Pipeline'!R61="Evaluation")+('MiT Strom Pipeline'!R61="tbd")+('MiT Strom Pipeline'!R61="In evaluation")&gt;0,IF(ISNUMBER('MiT Strom Pipeline'!A61),'MiT Strom Pipeline'!A61,""),"")</f>
        <v/>
      </c>
      <c r="B194" s="23">
        <f>IF(('MiT Strom Pipeline'!R61="follow-up")+('MiT Strom Pipeline'!R61="Evaluation")+('MiT Strom Pipeline'!R61="tbd")+('MiT Strom Pipeline'!R61="In evaluation")&gt;0,'MiT Strom Pipeline'!B61,"")</f>
        <v/>
      </c>
      <c r="C194" s="22">
        <f>IF(('MiT Strom Pipeline'!R61="follow-up")+('MiT Strom Pipeline'!R61="Evaluation")+('MiT Strom Pipeline'!R61="tbd")+('MiT Strom Pipeline'!R61="In evaluation")&gt;0,'MiT Strom Pipeline'!C61,"")</f>
        <v/>
      </c>
      <c r="D194" s="23">
        <f>IF(('MiT Strom Pipeline'!R61="follow-up")+('MiT Strom Pipeline'!R61="Evaluation")+('MiT Strom Pipeline'!R61="tbd")+('MiT Strom Pipeline'!R61="In evaluation")&gt;0,'MiT Strom Pipeline'!D61,"")</f>
        <v/>
      </c>
      <c r="E194" s="23">
        <f>IF(('MiT Strom Pipeline'!R61="follow-up")+('MiT Strom Pipeline'!R61="Evaluation")+('MiT Strom Pipeline'!R61="tbd")+('MiT Strom Pipeline'!R61="In evaluation")&gt;0,'MiT Strom Pipeline'!E61,"")</f>
        <v/>
      </c>
      <c r="F194" s="24">
        <f>IF(('MiT Strom Pipeline'!R61="follow-up")+('MiT Strom Pipeline'!R61="Evaluation")+('MiT Strom Pipeline'!R61="tbd")+('MiT Strom Pipeline'!R61="In evaluation")&gt;0,IF(ISNUMBER('MiT Strom Pipeline'!I61),'MiT Strom Pipeline'!I61,0),"")</f>
        <v/>
      </c>
      <c r="G194" s="24">
        <f>IF(('MiT Strom Pipeline'!R61="follow-up")+('MiT Strom Pipeline'!R61="Evaluation")+('MiT Strom Pipeline'!R61="tbd")+('MiT Strom Pipeline'!R61="In evaluation")&gt;0,IF(ISNUMBER('MiT Strom Pipeline'!Q61),'MiT Strom Pipeline'!Q61,0),"")</f>
        <v/>
      </c>
      <c r="H194" s="24">
        <f>IF(('MiT Strom Pipeline'!R61="follow-up")+('MiT Strom Pipeline'!R61="Evaluation")+('MiT Strom Pipeline'!R61="tbd")+('MiT Strom Pipeline'!R61="In evaluation")&gt;0,IF(ISNUMBER('MiT Strom Pipeline'!O61),'MiT Strom Pipeline'!O61,0),"")</f>
        <v/>
      </c>
      <c r="I194" s="22">
        <f>IF(('MiT Strom Pipeline'!R61="follow-up")+('MiT Strom Pipeline'!R61="Evaluation")+('MiT Strom Pipeline'!R61="tbd")+('MiT Strom Pipeline'!R61="In evaluation")&gt;0,'MiT Strom Pipeline'!R61,"")</f>
        <v/>
      </c>
      <c r="J194" s="22">
        <f>IF(('MiT Strom Pipeline'!R61="follow-up")+('MiT Strom Pipeline'!R61="Evaluation")+('MiT Strom Pipeline'!R61="tbd")+('MiT Strom Pipeline'!R61="In evaluation")&gt;0,'MiT Strom Pipeline'!S61,"")</f>
        <v/>
      </c>
      <c r="K194" s="23">
        <f>IF(('MiT Strom Pipeline'!R61="follow-up")+('MiT Strom Pipeline'!R61="Evaluation")+('MiT Strom Pipeline'!R61="tbd")+('MiT Strom Pipeline'!R61="In evaluation")&gt;0,IF(LEN('MiT Strom Pipeline'!V61)&gt;0,LEFT('MiT Strom Pipeline'!V61,55),""),"")</f>
        <v/>
      </c>
    </row>
    <row r="195" hidden="1" ht="15.75" customHeight="1">
      <c r="A195" s="34">
        <f>IF(('MiT Strom Pipeline'!R62="follow-up")+('MiT Strom Pipeline'!R62="Evaluation")+('MiT Strom Pipeline'!R62="tbd")+('MiT Strom Pipeline'!R62="In evaluation")&gt;0,IF(ISNUMBER('MiT Strom Pipeline'!A62),'MiT Strom Pipeline'!A62,""),"")</f>
        <v/>
      </c>
      <c r="B195" s="35">
        <f>IF(('MiT Strom Pipeline'!R62="follow-up")+('MiT Strom Pipeline'!R62="Evaluation")+('MiT Strom Pipeline'!R62="tbd")+('MiT Strom Pipeline'!R62="In evaluation")&gt;0,'MiT Strom Pipeline'!B62,"")</f>
        <v/>
      </c>
      <c r="C195" s="34">
        <f>IF(('MiT Strom Pipeline'!R62="follow-up")+('MiT Strom Pipeline'!R62="Evaluation")+('MiT Strom Pipeline'!R62="tbd")+('MiT Strom Pipeline'!R62="In evaluation")&gt;0,'MiT Strom Pipeline'!C62,"")</f>
        <v/>
      </c>
      <c r="D195" s="35">
        <f>IF(('MiT Strom Pipeline'!R62="follow-up")+('MiT Strom Pipeline'!R62="Evaluation")+('MiT Strom Pipeline'!R62="tbd")+('MiT Strom Pipeline'!R62="In evaluation")&gt;0,'MiT Strom Pipeline'!D62,"")</f>
        <v/>
      </c>
      <c r="E195" s="35">
        <f>IF(('MiT Strom Pipeline'!R62="follow-up")+('MiT Strom Pipeline'!R62="Evaluation")+('MiT Strom Pipeline'!R62="tbd")+('MiT Strom Pipeline'!R62="In evaluation")&gt;0,'MiT Strom Pipeline'!E62,"")</f>
        <v/>
      </c>
      <c r="F195" s="36">
        <f>IF(('MiT Strom Pipeline'!R62="follow-up")+('MiT Strom Pipeline'!R62="Evaluation")+('MiT Strom Pipeline'!R62="tbd")+('MiT Strom Pipeline'!R62="In evaluation")&gt;0,IF(ISNUMBER('MiT Strom Pipeline'!I62),'MiT Strom Pipeline'!I62,0),"")</f>
        <v/>
      </c>
      <c r="G195" s="36">
        <f>IF(('MiT Strom Pipeline'!R62="follow-up")+('MiT Strom Pipeline'!R62="Evaluation")+('MiT Strom Pipeline'!R62="tbd")+('MiT Strom Pipeline'!R62="In evaluation")&gt;0,IF(ISNUMBER('MiT Strom Pipeline'!Q62),'MiT Strom Pipeline'!Q62,0),"")</f>
        <v/>
      </c>
      <c r="H195" s="36">
        <f>IF(('MiT Strom Pipeline'!R62="follow-up")+('MiT Strom Pipeline'!R62="Evaluation")+('MiT Strom Pipeline'!R62="tbd")+('MiT Strom Pipeline'!R62="In evaluation")&gt;0,IF(ISNUMBER('MiT Strom Pipeline'!O62),'MiT Strom Pipeline'!O62,0),"")</f>
        <v/>
      </c>
      <c r="I195" s="34">
        <f>IF(('MiT Strom Pipeline'!R62="follow-up")+('MiT Strom Pipeline'!R62="Evaluation")+('MiT Strom Pipeline'!R62="tbd")+('MiT Strom Pipeline'!R62="In evaluation")&gt;0,'MiT Strom Pipeline'!R62,"")</f>
        <v/>
      </c>
      <c r="J195" s="34">
        <f>IF(('MiT Strom Pipeline'!R62="follow-up")+('MiT Strom Pipeline'!R62="Evaluation")+('MiT Strom Pipeline'!R62="tbd")+('MiT Strom Pipeline'!R62="In evaluation")&gt;0,'MiT Strom Pipeline'!S62,"")</f>
        <v/>
      </c>
      <c r="K195" s="35">
        <f>IF(('MiT Strom Pipeline'!R62="follow-up")+('MiT Strom Pipeline'!R62="Evaluation")+('MiT Strom Pipeline'!R62="tbd")+('MiT Strom Pipeline'!R62="In evaluation")&gt;0,IF(LEN('MiT Strom Pipeline'!V62)&gt;0,LEFT('MiT Strom Pipeline'!V62,55),""),"")</f>
        <v/>
      </c>
    </row>
    <row r="196" hidden="1" ht="15.75" customHeight="1">
      <c r="A196" s="22">
        <f>IF(('MiT Strom Pipeline'!R63="follow-up")+('MiT Strom Pipeline'!R63="Evaluation")+('MiT Strom Pipeline'!R63="tbd")+('MiT Strom Pipeline'!R63="In evaluation")&gt;0,IF(ISNUMBER('MiT Strom Pipeline'!A63),'MiT Strom Pipeline'!A63,""),"")</f>
        <v/>
      </c>
      <c r="B196" s="23">
        <f>IF(('MiT Strom Pipeline'!R63="follow-up")+('MiT Strom Pipeline'!R63="Evaluation")+('MiT Strom Pipeline'!R63="tbd")+('MiT Strom Pipeline'!R63="In evaluation")&gt;0,'MiT Strom Pipeline'!B63,"")</f>
        <v/>
      </c>
      <c r="C196" s="22">
        <f>IF(('MiT Strom Pipeline'!R63="follow-up")+('MiT Strom Pipeline'!R63="Evaluation")+('MiT Strom Pipeline'!R63="tbd")+('MiT Strom Pipeline'!R63="In evaluation")&gt;0,'MiT Strom Pipeline'!C63,"")</f>
        <v/>
      </c>
      <c r="D196" s="23">
        <f>IF(('MiT Strom Pipeline'!R63="follow-up")+('MiT Strom Pipeline'!R63="Evaluation")+('MiT Strom Pipeline'!R63="tbd")+('MiT Strom Pipeline'!R63="In evaluation")&gt;0,'MiT Strom Pipeline'!D63,"")</f>
        <v/>
      </c>
      <c r="E196" s="23">
        <f>IF(('MiT Strom Pipeline'!R63="follow-up")+('MiT Strom Pipeline'!R63="Evaluation")+('MiT Strom Pipeline'!R63="tbd")+('MiT Strom Pipeline'!R63="In evaluation")&gt;0,'MiT Strom Pipeline'!E63,"")</f>
        <v/>
      </c>
      <c r="F196" s="24">
        <f>IF(('MiT Strom Pipeline'!R63="follow-up")+('MiT Strom Pipeline'!R63="Evaluation")+('MiT Strom Pipeline'!R63="tbd")+('MiT Strom Pipeline'!R63="In evaluation")&gt;0,IF(ISNUMBER('MiT Strom Pipeline'!I63),'MiT Strom Pipeline'!I63,0),"")</f>
        <v/>
      </c>
      <c r="G196" s="24">
        <f>IF(('MiT Strom Pipeline'!R63="follow-up")+('MiT Strom Pipeline'!R63="Evaluation")+('MiT Strom Pipeline'!R63="tbd")+('MiT Strom Pipeline'!R63="In evaluation")&gt;0,IF(ISNUMBER('MiT Strom Pipeline'!Q63),'MiT Strom Pipeline'!Q63,0),"")</f>
        <v/>
      </c>
      <c r="H196" s="24">
        <f>IF(('MiT Strom Pipeline'!R63="follow-up")+('MiT Strom Pipeline'!R63="Evaluation")+('MiT Strom Pipeline'!R63="tbd")+('MiT Strom Pipeline'!R63="In evaluation")&gt;0,IF(ISNUMBER('MiT Strom Pipeline'!O63),'MiT Strom Pipeline'!O63,0),"")</f>
        <v/>
      </c>
      <c r="I196" s="22">
        <f>IF(('MiT Strom Pipeline'!R63="follow-up")+('MiT Strom Pipeline'!R63="Evaluation")+('MiT Strom Pipeline'!R63="tbd")+('MiT Strom Pipeline'!R63="In evaluation")&gt;0,'MiT Strom Pipeline'!R63,"")</f>
        <v/>
      </c>
      <c r="J196" s="22">
        <f>IF(('MiT Strom Pipeline'!R63="follow-up")+('MiT Strom Pipeline'!R63="Evaluation")+('MiT Strom Pipeline'!R63="tbd")+('MiT Strom Pipeline'!R63="In evaluation")&gt;0,'MiT Strom Pipeline'!S63,"")</f>
        <v/>
      </c>
      <c r="K196" s="23">
        <f>IF(('MiT Strom Pipeline'!R63="follow-up")+('MiT Strom Pipeline'!R63="Evaluation")+('MiT Strom Pipeline'!R63="tbd")+('MiT Strom Pipeline'!R63="In evaluation")&gt;0,IF(LEN('MiT Strom Pipeline'!V63)&gt;0,LEFT('MiT Strom Pipeline'!V63,55),""),"")</f>
        <v/>
      </c>
    </row>
    <row r="197" hidden="1" ht="15.75" customHeight="1">
      <c r="A197" s="34">
        <f>IF(('MiT Strom Pipeline'!R64="follow-up")+('MiT Strom Pipeline'!R64="Evaluation")+('MiT Strom Pipeline'!R64="tbd")+('MiT Strom Pipeline'!R64="In evaluation")&gt;0,IF(ISNUMBER('MiT Strom Pipeline'!A64),'MiT Strom Pipeline'!A64,""),"")</f>
        <v/>
      </c>
      <c r="B197" s="35">
        <f>IF(('MiT Strom Pipeline'!R64="follow-up")+('MiT Strom Pipeline'!R64="Evaluation")+('MiT Strom Pipeline'!R64="tbd")+('MiT Strom Pipeline'!R64="In evaluation")&gt;0,'MiT Strom Pipeline'!B64,"")</f>
        <v/>
      </c>
      <c r="C197" s="34">
        <f>IF(('MiT Strom Pipeline'!R64="follow-up")+('MiT Strom Pipeline'!R64="Evaluation")+('MiT Strom Pipeline'!R64="tbd")+('MiT Strom Pipeline'!R64="In evaluation")&gt;0,'MiT Strom Pipeline'!C64,"")</f>
        <v/>
      </c>
      <c r="D197" s="35">
        <f>IF(('MiT Strom Pipeline'!R64="follow-up")+('MiT Strom Pipeline'!R64="Evaluation")+('MiT Strom Pipeline'!R64="tbd")+('MiT Strom Pipeline'!R64="In evaluation")&gt;0,'MiT Strom Pipeline'!D64,"")</f>
        <v/>
      </c>
      <c r="E197" s="35">
        <f>IF(('MiT Strom Pipeline'!R64="follow-up")+('MiT Strom Pipeline'!R64="Evaluation")+('MiT Strom Pipeline'!R64="tbd")+('MiT Strom Pipeline'!R64="In evaluation")&gt;0,'MiT Strom Pipeline'!E64,"")</f>
        <v/>
      </c>
      <c r="F197" s="36">
        <f>IF(('MiT Strom Pipeline'!R64="follow-up")+('MiT Strom Pipeline'!R64="Evaluation")+('MiT Strom Pipeline'!R64="tbd")+('MiT Strom Pipeline'!R64="In evaluation")&gt;0,IF(ISNUMBER('MiT Strom Pipeline'!I64),'MiT Strom Pipeline'!I64,0),"")</f>
        <v/>
      </c>
      <c r="G197" s="36">
        <f>IF(('MiT Strom Pipeline'!R64="follow-up")+('MiT Strom Pipeline'!R64="Evaluation")+('MiT Strom Pipeline'!R64="tbd")+('MiT Strom Pipeline'!R64="In evaluation")&gt;0,IF(ISNUMBER('MiT Strom Pipeline'!Q64),'MiT Strom Pipeline'!Q64,0),"")</f>
        <v/>
      </c>
      <c r="H197" s="36">
        <f>IF(('MiT Strom Pipeline'!R64="follow-up")+('MiT Strom Pipeline'!R64="Evaluation")+('MiT Strom Pipeline'!R64="tbd")+('MiT Strom Pipeline'!R64="In evaluation")&gt;0,IF(ISNUMBER('MiT Strom Pipeline'!O64),'MiT Strom Pipeline'!O64,0),"")</f>
        <v/>
      </c>
      <c r="I197" s="34">
        <f>IF(('MiT Strom Pipeline'!R64="follow-up")+('MiT Strom Pipeline'!R64="Evaluation")+('MiT Strom Pipeline'!R64="tbd")+('MiT Strom Pipeline'!R64="In evaluation")&gt;0,'MiT Strom Pipeline'!R64,"")</f>
        <v/>
      </c>
      <c r="J197" s="34">
        <f>IF(('MiT Strom Pipeline'!R64="follow-up")+('MiT Strom Pipeline'!R64="Evaluation")+('MiT Strom Pipeline'!R64="tbd")+('MiT Strom Pipeline'!R64="In evaluation")&gt;0,'MiT Strom Pipeline'!S64,"")</f>
        <v/>
      </c>
      <c r="K197" s="35">
        <f>IF(('MiT Strom Pipeline'!R64="follow-up")+('MiT Strom Pipeline'!R64="Evaluation")+('MiT Strom Pipeline'!R64="tbd")+('MiT Strom Pipeline'!R64="In evaluation")&gt;0,IF(LEN('MiT Strom Pipeline'!V64)&gt;0,LEFT('MiT Strom Pipeline'!V64,55),""),"")</f>
        <v/>
      </c>
    </row>
    <row r="198" hidden="1" ht="15.75" customHeight="1">
      <c r="A198" s="22">
        <f>IF(('MiT Strom Pipeline'!R65="follow-up")+('MiT Strom Pipeline'!R65="Evaluation")+('MiT Strom Pipeline'!R65="tbd")+('MiT Strom Pipeline'!R65="In evaluation")&gt;0,IF(ISNUMBER('MiT Strom Pipeline'!A65),'MiT Strom Pipeline'!A65,""),"")</f>
        <v/>
      </c>
      <c r="B198" s="23">
        <f>IF(('MiT Strom Pipeline'!R65="follow-up")+('MiT Strom Pipeline'!R65="Evaluation")+('MiT Strom Pipeline'!R65="tbd")+('MiT Strom Pipeline'!R65="In evaluation")&gt;0,'MiT Strom Pipeline'!B65,"")</f>
        <v/>
      </c>
      <c r="C198" s="22">
        <f>IF(('MiT Strom Pipeline'!R65="follow-up")+('MiT Strom Pipeline'!R65="Evaluation")+('MiT Strom Pipeline'!R65="tbd")+('MiT Strom Pipeline'!R65="In evaluation")&gt;0,'MiT Strom Pipeline'!C65,"")</f>
        <v/>
      </c>
      <c r="D198" s="23">
        <f>IF(('MiT Strom Pipeline'!R65="follow-up")+('MiT Strom Pipeline'!R65="Evaluation")+('MiT Strom Pipeline'!R65="tbd")+('MiT Strom Pipeline'!R65="In evaluation")&gt;0,'MiT Strom Pipeline'!D65,"")</f>
        <v/>
      </c>
      <c r="E198" s="23">
        <f>IF(('MiT Strom Pipeline'!R65="follow-up")+('MiT Strom Pipeline'!R65="Evaluation")+('MiT Strom Pipeline'!R65="tbd")+('MiT Strom Pipeline'!R65="In evaluation")&gt;0,'MiT Strom Pipeline'!E65,"")</f>
        <v/>
      </c>
      <c r="F198" s="24">
        <f>IF(('MiT Strom Pipeline'!R65="follow-up")+('MiT Strom Pipeline'!R65="Evaluation")+('MiT Strom Pipeline'!R65="tbd")+('MiT Strom Pipeline'!R65="In evaluation")&gt;0,IF(ISNUMBER('MiT Strom Pipeline'!I65),'MiT Strom Pipeline'!I65,0),"")</f>
        <v/>
      </c>
      <c r="G198" s="24">
        <f>IF(('MiT Strom Pipeline'!R65="follow-up")+('MiT Strom Pipeline'!R65="Evaluation")+('MiT Strom Pipeline'!R65="tbd")+('MiT Strom Pipeline'!R65="In evaluation")&gt;0,IF(ISNUMBER('MiT Strom Pipeline'!Q65),'MiT Strom Pipeline'!Q65,0),"")</f>
        <v/>
      </c>
      <c r="H198" s="24">
        <f>IF(('MiT Strom Pipeline'!R65="follow-up")+('MiT Strom Pipeline'!R65="Evaluation")+('MiT Strom Pipeline'!R65="tbd")+('MiT Strom Pipeline'!R65="In evaluation")&gt;0,IF(ISNUMBER('MiT Strom Pipeline'!O65),'MiT Strom Pipeline'!O65,0),"")</f>
        <v/>
      </c>
      <c r="I198" s="22">
        <f>IF(('MiT Strom Pipeline'!R65="follow-up")+('MiT Strom Pipeline'!R65="Evaluation")+('MiT Strom Pipeline'!R65="tbd")+('MiT Strom Pipeline'!R65="In evaluation")&gt;0,'MiT Strom Pipeline'!R65,"")</f>
        <v/>
      </c>
      <c r="J198" s="22">
        <f>IF(('MiT Strom Pipeline'!R65="follow-up")+('MiT Strom Pipeline'!R65="Evaluation")+('MiT Strom Pipeline'!R65="tbd")+('MiT Strom Pipeline'!R65="In evaluation")&gt;0,'MiT Strom Pipeline'!S65,"")</f>
        <v/>
      </c>
      <c r="K198" s="23">
        <f>IF(('MiT Strom Pipeline'!R65="follow-up")+('MiT Strom Pipeline'!R65="Evaluation")+('MiT Strom Pipeline'!R65="tbd")+('MiT Strom Pipeline'!R65="In evaluation")&gt;0,IF(LEN('MiT Strom Pipeline'!V65)&gt;0,LEFT('MiT Strom Pipeline'!V65,55),""),"")</f>
        <v/>
      </c>
    </row>
    <row r="199" hidden="1" ht="21.75" customHeight="1">
      <c r="A199" s="37">
        <f>IF(('MiT Strom Pipeline'!R66="follow-up")+('MiT Strom Pipeline'!R66="Evaluation")+('MiT Strom Pipeline'!R66="tbd")+('MiT Strom Pipeline'!R66="In evaluation")&gt;0,IF(ISNUMBER('MiT Strom Pipeline'!A66),'MiT Strom Pipeline'!A66,""),"")</f>
        <v/>
      </c>
      <c r="B199" s="116">
        <f>IF(('MiT Strom Pipeline'!R66="follow-up")+('MiT Strom Pipeline'!R66="Evaluation")+('MiT Strom Pipeline'!R66="tbd")+('MiT Strom Pipeline'!R66="In evaluation")&gt;0,'MiT Strom Pipeline'!B66,"")</f>
        <v/>
      </c>
      <c r="C199" s="166" t="n"/>
      <c r="D199" s="166" t="n"/>
      <c r="E199" s="167" t="n"/>
      <c r="F199" s="38">
        <f>IF(('MiT Strom Pipeline'!R66="follow-up")+('MiT Strom Pipeline'!R66="Evaluation")+('MiT Strom Pipeline'!R66="tbd")+('MiT Strom Pipeline'!R66="In evaluation")&gt;0,IF(ISNUMBER('MiT Strom Pipeline'!I66),'MiT Strom Pipeline'!I66,0),"")</f>
        <v/>
      </c>
      <c r="G199" s="37">
        <f>IF(('MiT Strom Pipeline'!R66="follow-up")+('MiT Strom Pipeline'!R66="Evaluation")+('MiT Strom Pipeline'!R66="tbd")+('MiT Strom Pipeline'!R66="In evaluation")&gt;0,IF(ISNUMBER('MiT Strom Pipeline'!Q66),'MiT Strom Pipeline'!Q66,0),"")</f>
        <v/>
      </c>
      <c r="H199" s="37">
        <f>IF(('MiT Strom Pipeline'!R66="follow-up")+('MiT Strom Pipeline'!R66="Evaluation")+('MiT Strom Pipeline'!R66="tbd")+('MiT Strom Pipeline'!R66="In evaluation")&gt;0,IF(ISNUMBER('MiT Strom Pipeline'!O66),'MiT Strom Pipeline'!O66,0),"")</f>
        <v/>
      </c>
      <c r="I199" s="37">
        <f>IF(('MiT Strom Pipeline'!R66="follow-up")+('MiT Strom Pipeline'!R66="Evaluation")+('MiT Strom Pipeline'!R66="tbd")+('MiT Strom Pipeline'!R66="In evaluation")&gt;0,'MiT Strom Pipeline'!R66,"")</f>
        <v/>
      </c>
      <c r="J199" s="37">
        <f>IF(('MiT Strom Pipeline'!R66="follow-up")+('MiT Strom Pipeline'!R66="Evaluation")+('MiT Strom Pipeline'!R66="tbd")+('MiT Strom Pipeline'!R66="In evaluation")&gt;0,'MiT Strom Pipeline'!S66,"")</f>
        <v/>
      </c>
      <c r="K199" s="37">
        <f>IF(('MiT Strom Pipeline'!R66="follow-up")+('MiT Strom Pipeline'!R66="Evaluation")+('MiT Strom Pipeline'!R66="tbd")+('MiT Strom Pipeline'!R66="In evaluation")&gt;0,IF(LEN('MiT Strom Pipeline'!V66)&gt;0,LEFT('MiT Strom Pipeline'!V66,55),""),"")</f>
        <v/>
      </c>
    </row>
    <row r="200" hidden="1" ht="3.75" customHeight="1">
      <c r="A200">
        <f>IF(('MiT Strom Pipeline'!R67="follow-up")+('MiT Strom Pipeline'!R67="Evaluation")+('MiT Strom Pipeline'!R67="tbd")+('MiT Strom Pipeline'!R67="In evaluation")&gt;0,IF(ISNUMBER('MiT Strom Pipeline'!A67),'MiT Strom Pipeline'!A67,""),"")</f>
        <v/>
      </c>
      <c r="B200">
        <f>IF(('MiT Strom Pipeline'!R67="follow-up")+('MiT Strom Pipeline'!R67="Evaluation")+('MiT Strom Pipeline'!R67="tbd")+('MiT Strom Pipeline'!R67="In evaluation")&gt;0,'MiT Strom Pipeline'!B67,"")</f>
        <v/>
      </c>
      <c r="C200">
        <f>IF(('MiT Strom Pipeline'!R67="follow-up")+('MiT Strom Pipeline'!R67="Evaluation")+('MiT Strom Pipeline'!R67="tbd")+('MiT Strom Pipeline'!R67="In evaluation")&gt;0,'MiT Strom Pipeline'!C67,"")</f>
        <v/>
      </c>
      <c r="D200">
        <f>IF(('MiT Strom Pipeline'!R67="follow-up")+('MiT Strom Pipeline'!R67="Evaluation")+('MiT Strom Pipeline'!R67="tbd")+('MiT Strom Pipeline'!R67="In evaluation")&gt;0,'MiT Strom Pipeline'!D67,"")</f>
        <v/>
      </c>
      <c r="E200">
        <f>IF(('MiT Strom Pipeline'!R67="follow-up")+('MiT Strom Pipeline'!R67="Evaluation")+('MiT Strom Pipeline'!R67="tbd")+('MiT Strom Pipeline'!R67="In evaluation")&gt;0,'MiT Strom Pipeline'!E67,"")</f>
        <v/>
      </c>
      <c r="F200">
        <f>IF(('MiT Strom Pipeline'!R67="follow-up")+('MiT Strom Pipeline'!R67="Evaluation")+('MiT Strom Pipeline'!R67="tbd")+('MiT Strom Pipeline'!R67="In evaluation")&gt;0,IF(ISNUMBER('MiT Strom Pipeline'!I67),'MiT Strom Pipeline'!I67,0),"")</f>
        <v/>
      </c>
      <c r="G200">
        <f>IF(('MiT Strom Pipeline'!R67="follow-up")+('MiT Strom Pipeline'!R67="Evaluation")+('MiT Strom Pipeline'!R67="tbd")+('MiT Strom Pipeline'!R67="In evaluation")&gt;0,IF(ISNUMBER('MiT Strom Pipeline'!Q67),'MiT Strom Pipeline'!Q67,0),"")</f>
        <v/>
      </c>
      <c r="H200">
        <f>IF(('MiT Strom Pipeline'!R67="follow-up")+('MiT Strom Pipeline'!R67="Evaluation")+('MiT Strom Pipeline'!R67="tbd")+('MiT Strom Pipeline'!R67="In evaluation")&gt;0,IF(ISNUMBER('MiT Strom Pipeline'!O67),'MiT Strom Pipeline'!O67,0),"")</f>
        <v/>
      </c>
      <c r="I200">
        <f>IF(('MiT Strom Pipeline'!R67="follow-up")+('MiT Strom Pipeline'!R67="Evaluation")+('MiT Strom Pipeline'!R67="tbd")+('MiT Strom Pipeline'!R67="In evaluation")&gt;0,'MiT Strom Pipeline'!R67,"")</f>
        <v/>
      </c>
      <c r="J200">
        <f>IF(('MiT Strom Pipeline'!R67="follow-up")+('MiT Strom Pipeline'!R67="Evaluation")+('MiT Strom Pipeline'!R67="tbd")+('MiT Strom Pipeline'!R67="In evaluation")&gt;0,'MiT Strom Pipeline'!S67,"")</f>
        <v/>
      </c>
      <c r="K200">
        <f>IF(('MiT Strom Pipeline'!R67="follow-up")+('MiT Strom Pipeline'!R67="Evaluation")+('MiT Strom Pipeline'!R67="tbd")+('MiT Strom Pipeline'!R67="In evaluation")&gt;0,IF(LEN('MiT Strom Pipeline'!V67)&gt;0,LEFT('MiT Strom Pipeline'!V67,55),""),"")</f>
        <v/>
      </c>
    </row>
    <row r="201" hidden="1" ht="27.75" customHeight="1">
      <c r="A201" s="117" t="inlineStr">
        <is>
          <t>📊  GESAMTTOTAL — Aktive Pipeline</t>
        </is>
      </c>
      <c r="B201" s="166" t="n"/>
      <c r="C201" s="166" t="n"/>
      <c r="D201" s="166" t="n"/>
      <c r="E201" s="167" t="n"/>
      <c r="F201" s="39">
        <f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/>
      </c>
      <c r="G201" s="40" t="n"/>
      <c r="H201" s="40" t="n"/>
      <c r="I201" s="40" t="n"/>
      <c r="J201" s="40" t="n"/>
      <c r="K201" s="40" t="n"/>
    </row>
    <row r="202" hidden="1" ht="18" customHeight="1">
      <c r="A202" s="118" t="inlineStr">
        <is>
          <t xml:space="preserve">  → WON</t>
        </is>
      </c>
      <c r="F202" s="41">
        <f>SUMIFS('MiT Strom Pipeline'!I$6:I$904,'MiT Strom Pipeline'!R$6:R$904,"WON")</f>
        <v/>
      </c>
      <c r="G202" s="42" t="n"/>
      <c r="H202" s="42" t="n"/>
      <c r="I202" s="42" t="n"/>
      <c r="J202" s="42" t="n"/>
      <c r="K202" s="42" t="n"/>
    </row>
    <row r="203" hidden="1" ht="18" customHeight="1">
      <c r="A203" s="118" t="inlineStr">
        <is>
          <t xml:space="preserve">  → Offerte</t>
        </is>
      </c>
      <c r="F203" s="43">
        <f>SUMIFS('MiT Strom Pipeline'!I$6:I$904,'MiT Strom Pipeline'!R$6:R$904,"offered")+SUMIFS('MiT Strom Pipeline'!I$6:I$904,'MiT Strom Pipeline'!R$6:R$904,"to be offered")+SUMIFS('MiT Strom Pipeline'!I$6:I$904,'MiT Strom Pipeline'!R$6:R$904,"on hold")</f>
        <v/>
      </c>
      <c r="G203" s="42" t="n"/>
      <c r="H203" s="42" t="n"/>
      <c r="I203" s="42" t="n"/>
      <c r="J203" s="42" t="n"/>
      <c r="K203" s="42" t="n"/>
    </row>
    <row r="204" hidden="1" ht="18" customHeight="1">
      <c r="A204" s="118" t="inlineStr">
        <is>
          <t xml:space="preserve">  → Opportunität</t>
        </is>
      </c>
      <c r="F204" s="44">
        <f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/>
      </c>
      <c r="G204" s="42" t="n"/>
      <c r="H204" s="42" t="n"/>
      <c r="I204" s="42" t="n"/>
      <c r="J204" s="42" t="n"/>
      <c r="K204" s="42" t="n"/>
    </row>
    <row r="205" hidden="1"/>
    <row r="206" hidden="1" ht="13.5" customHeight="1">
      <c r="A206" s="119" t="inlineStr">
        <is>
          <t>Stand: Mai 2026  |  Burak Ücöz  |  Mobil in Time AG – An Aggreko Company  |  VERTRAULICH</t>
        </is>
      </c>
    </row>
  </sheetData>
  <autoFilter ref="A13:K206"/>
  <mergeCells count="23">
    <mergeCell ref="A5:D5"/>
    <mergeCell ref="A201:E201"/>
    <mergeCell ref="A73:K73"/>
    <mergeCell ref="E7:H7"/>
    <mergeCell ref="A1:K1"/>
    <mergeCell ref="B135:E135"/>
    <mergeCell ref="I5:K5"/>
    <mergeCell ref="A137:K137"/>
    <mergeCell ref="E5:H5"/>
    <mergeCell ref="B199:E199"/>
    <mergeCell ref="B71:E71"/>
    <mergeCell ref="A6:D6"/>
    <mergeCell ref="A204:E204"/>
    <mergeCell ref="A3:K3"/>
    <mergeCell ref="A2:K2"/>
    <mergeCell ref="A7:D7"/>
    <mergeCell ref="A203:E203"/>
    <mergeCell ref="I6:K6"/>
    <mergeCell ref="A206:K206"/>
    <mergeCell ref="A9:K9"/>
    <mergeCell ref="E6:H6"/>
    <mergeCell ref="A202:E202"/>
    <mergeCell ref="I7:K7"/>
  </mergeCells>
  <printOptions horizontalCentered="1"/>
  <pageMargins left="0.3" right="0.3" top="0.5" bottom="0.5" header="0.511811023622047" footer="0.511811023622047"/>
  <pageSetup orientation="landscape" paperSize="9" scale="13" fitToHeight="0" fitToWidth="1" horizontalDpi="300" verticalDpi="300"/>
  <headerFooter>
    <oddHeader>&amp;C&amp;"Calibri,Bold"&amp;14 MiT Strom Schweiz — CEO Report</oddHeader>
    <oddFooter>&amp;LMobil in Time AG · An Aggreko Company&amp;RSeite &amp;P von &amp;N</oddFooter>
    <evenHeader/>
    <evenFooter/>
    <firstHeader/>
    <firstFooter/>
  </headerFooter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rgb="002E5496"/>
    <outlinePr summaryBelow="1" summaryRight="1"/>
    <pageSetUpPr fitToPage="1"/>
  </sheetPr>
  <dimension ref="A1:N206"/>
  <sheetViews>
    <sheetView zoomScale="85" zoomScaleNormal="85" workbookViewId="0">
      <pane ySplit="7" topLeftCell="A47" activePane="bottomLeft" state="frozen"/>
      <selection pane="bottomLeft" activeCell="I171" sqref="I171"/>
    </sheetView>
  </sheetViews>
  <sheetFormatPr baseColWidth="10" defaultColWidth="9.140625" defaultRowHeight="15"/>
  <cols>
    <col width="8.7109375" customWidth="1" min="1" max="1"/>
    <col width="28" customWidth="1" min="2" max="2"/>
    <col width="9" customWidth="1" min="3" max="3"/>
    <col width="22" customWidth="1" min="4" max="4"/>
    <col width="20" customWidth="1" min="5" max="5"/>
    <col width="16.42578125" bestFit="1" customWidth="1" style="45" min="6" max="6"/>
    <col width="15" customWidth="1" style="45" min="7" max="7"/>
    <col width="14" customWidth="1" min="8" max="9"/>
    <col width="52.5703125" customWidth="1" min="10" max="10"/>
    <col hidden="1" width="13" customWidth="1" min="12" max="12"/>
    <col hidden="1" width="13" customWidth="1" min="13" max="13"/>
    <col hidden="1" width="13" customWidth="1" min="14" max="14"/>
  </cols>
  <sheetData>
    <row r="1" ht="39.75" customHeight="1">
      <c r="A1" s="14" t="inlineStr">
        <is>
          <t>⚡  MiT Strom Schweiz  |  Sales Dashboard  |  Mai 2026</t>
        </is>
      </c>
    </row>
    <row r="2" ht="15.75" customHeight="1">
      <c r="A2" s="13" t="inlineStr">
        <is>
          <t>Mobil in Time AG  ·  An Aggreko Company  ·  Burak Ücöz  ·  Neue Einträge in «MiT Strom Pipeline» (bis Zeile 100) erscheinen automatisch.</t>
        </is>
      </c>
    </row>
    <row r="3" ht="4.5" customHeight="1">
      <c r="A3" s="12" t="n"/>
    </row>
    <row r="4" ht="7.5" customHeight="1">
      <c r="L4" s="186" t="inlineStr">
        <is>
          <t>📊 Status-Verteilung</t>
        </is>
      </c>
    </row>
    <row r="5" ht="21.75" customHeight="1">
      <c r="A5" s="11" t="inlineStr">
        <is>
          <t>✅  WON</t>
        </is>
      </c>
      <c r="D5" s="10" t="inlineStr">
        <is>
          <t>📄  OFFERTE</t>
        </is>
      </c>
      <c r="G5" s="9" t="inlineStr">
        <is>
          <t>🎯  OPP.</t>
        </is>
      </c>
      <c r="I5" s="8" t="inlineStr">
        <is>
          <t>📊  GESAMT</t>
        </is>
      </c>
      <c r="L5" s="188" t="inlineStr">
        <is>
          <t>Status</t>
        </is>
      </c>
      <c r="M5" s="188" t="inlineStr">
        <is>
          <t>Anzahl</t>
        </is>
      </c>
      <c r="N5" s="188" t="inlineStr">
        <is>
          <t>Volumen</t>
        </is>
      </c>
    </row>
    <row r="6" ht="36" customHeight="1">
      <c r="A6" s="7">
        <f>SUMIFS('MiT Strom Pipeline'!I$6:I$904,'MiT Strom Pipeline'!R$6:R$904,"WON")</f>
        <v/>
      </c>
      <c r="D6" s="6">
        <f>SUMIFS('MiT Strom Pipeline'!I$6:I$904,'MiT Strom Pipeline'!R$6:R$904,"offered")+SUMIFS('MiT Strom Pipeline'!I$6:I$904,'MiT Strom Pipeline'!R$6:R$904,"to be offered")+SUMIFS('MiT Strom Pipeline'!I$6:I$904,'MiT Strom Pipeline'!R$6:R$904,"on hold")</f>
        <v/>
      </c>
      <c r="G6" s="5">
        <f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/>
      </c>
      <c r="I6" s="4">
        <f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/>
      </c>
      <c r="L6" t="inlineStr">
        <is>
          <t>✅ WON</t>
        </is>
      </c>
      <c r="M6">
        <f>COUNTIF('MiT Strom Pipeline'!R6:R904,"WON")</f>
        <v/>
      </c>
      <c r="N6" s="187">
        <f>SUMIFS('MiT Strom Pipeline'!I6:I904,'MiT Strom Pipeline'!R6:R904,"WON")</f>
        <v/>
      </c>
    </row>
    <row r="7" ht="19.5" customHeight="1">
      <c r="A7" s="168">
        <f>COUNTIF('MiT Strom Pipeline'!R$6:R$904,"WON")</f>
        <v/>
      </c>
      <c r="D7" s="169">
        <f>COUNTIF('MiT Strom Pipeline'!R$6:R$904,"offered")+COUNTIF('MiT Strom Pipeline'!R$6:R$904,"to be offered")+COUNTIF('MiT Strom Pipeline'!R$6:R$904,"on hold")</f>
        <v/>
      </c>
      <c r="G7" s="170">
        <f>COUNTIF('MiT Strom Pipeline'!R$6:R$904,"follow-up")+COUNTIF('MiT Strom Pipeline'!R$6:R$904,"Evaluation")+COUNTIF('MiT Strom Pipeline'!R$6:R$904,"tbd")+COUNTIF('MiT Strom Pipeline'!R$6:R$904,"In evaluation")</f>
        <v/>
      </c>
      <c r="I7" s="171">
        <f>COUNTIF('MiT Strom Pipeline'!R$6:R$904,"WON")+COUNTIF('MiT Strom Pipeline'!R$6:R$904,"offered")+COUNTIF('MiT Strom Pipeline'!R$6:R$904,"to be offered")+COUNTIF('MiT Strom Pipeline'!R$6:R$904,"on hold")+COUNTIF('MiT Strom Pipeline'!R$6:R$904,"follow-up")+COUNTIF('MiT Strom Pipeline'!R$6:R$904,"Evaluation")+COUNTIF('MiT Strom Pipeline'!R$6:R$904,"tbd")+COUNTIF('MiT Strom Pipeline'!R$6:R$904,"In evaluation")</f>
        <v/>
      </c>
      <c r="L7" t="inlineStr">
        <is>
          <t>📄 Offerte</t>
        </is>
      </c>
      <c r="M7">
        <f>COUNTIF('MiT Strom Pipeline'!R6:R904,"offered")</f>
        <v/>
      </c>
      <c r="N7" s="187">
        <f>SUMIFS('MiT Strom Pipeline'!I6:I904,'MiT Strom Pipeline'!R6:R904,"offered")</f>
        <v/>
      </c>
    </row>
    <row r="8" ht="7.5" customHeight="1">
      <c r="A8" s="15" t="n"/>
      <c r="B8" s="15" t="n"/>
      <c r="C8" s="15" t="n"/>
      <c r="D8" s="15" t="n"/>
      <c r="E8" s="15" t="n"/>
      <c r="F8" s="46" t="n"/>
      <c r="G8" s="46" t="n"/>
      <c r="H8" s="15" t="n"/>
      <c r="I8" s="15" t="n"/>
      <c r="J8" s="15" t="n"/>
      <c r="L8" t="inlineStr">
        <is>
          <t>📝 To Offer</t>
        </is>
      </c>
      <c r="M8">
        <f>COUNTIF('MiT Strom Pipeline'!R6:R904,"to be offered")</f>
        <v/>
      </c>
      <c r="N8" s="187">
        <f>SUMIFS('MiT Strom Pipeline'!I6:I904,'MiT Strom Pipeline'!R6:R904,"to be offered")</f>
        <v/>
      </c>
    </row>
    <row r="9" ht="24" customHeight="1">
      <c r="A9" s="111" t="inlineStr">
        <is>
          <t>✅  1. AUFTRAGSEINGANG (WON) — Gewonnene Aufträge</t>
        </is>
      </c>
      <c r="B9" s="166" t="n"/>
      <c r="C9" s="166" t="n"/>
      <c r="D9" s="166" t="n"/>
      <c r="E9" s="166" t="n"/>
      <c r="F9" s="166" t="n"/>
      <c r="G9" s="166" t="n"/>
      <c r="H9" s="166" t="n"/>
      <c r="I9" s="166" t="n"/>
      <c r="J9" s="167" t="n"/>
      <c r="L9" t="inlineStr">
        <is>
          <t>🎯 Follow-Up</t>
        </is>
      </c>
      <c r="M9">
        <f>COUNTIF('MiT Strom Pipeline'!R6:R904,"follow-up")</f>
        <v/>
      </c>
      <c r="N9" s="187">
        <f>SUMIFS('MiT Strom Pipeline'!I6:I904,'MiT Strom Pipeline'!R6:R904,"follow-up")</f>
        <v/>
      </c>
    </row>
    <row r="10" ht="19.5" customHeight="1">
      <c r="A10" s="16" t="inlineStr">
        <is>
          <t>#</t>
        </is>
      </c>
      <c r="B10" s="17" t="inlineStr">
        <is>
          <t>Kunde / Unternehmen</t>
        </is>
      </c>
      <c r="C10" s="16" t="inlineStr">
        <is>
          <t>Kt.</t>
        </is>
      </c>
      <c r="D10" s="17" t="inlineStr">
        <is>
          <t>Segment</t>
        </is>
      </c>
      <c r="E10" s="17" t="inlineStr">
        <is>
          <t>Leistung / Fleet</t>
        </is>
      </c>
      <c r="F10" s="47" t="inlineStr">
        <is>
          <t>Volumen CHF</t>
        </is>
      </c>
      <c r="G10" s="47" t="inlineStr">
        <is>
          <t>Gew.Wert CHF</t>
        </is>
      </c>
      <c r="H10" s="16" t="inlineStr">
        <is>
          <t>Status</t>
        </is>
      </c>
      <c r="I10" s="16" t="inlineStr">
        <is>
          <t>Wahr.%</t>
        </is>
      </c>
      <c r="J10" s="17" t="inlineStr">
        <is>
          <t>Nächster Schritt</t>
        </is>
      </c>
      <c r="L10" t="inlineStr">
        <is>
          <t>🔍 Evaluation</t>
        </is>
      </c>
      <c r="M10">
        <f>COUNTIF('MiT Strom Pipeline'!R6:R904,"Evaluation")</f>
        <v/>
      </c>
      <c r="N10" s="187">
        <f>SUMIFS('MiT Strom Pipeline'!I6:I904,'MiT Strom Pipeline'!R6:R904,"Evaluation")</f>
        <v/>
      </c>
    </row>
    <row r="11" ht="15.75" customHeight="1">
      <c r="A11" s="19">
        <f>IF('MiT Strom Pipeline'!R6="WON",IF(ISNUMBER('MiT Strom Pipeline'!A6),'MiT Strom Pipeline'!A6,""),"")</f>
        <v/>
      </c>
      <c r="B11" s="20">
        <f>IF('MiT Strom Pipeline'!R6="WON",'MiT Strom Pipeline'!B6,"")</f>
        <v/>
      </c>
      <c r="C11" s="19">
        <f>IF('MiT Strom Pipeline'!R6="WON",'MiT Strom Pipeline'!C6,"")</f>
        <v/>
      </c>
      <c r="D11" s="20">
        <f>IF('MiT Strom Pipeline'!R6="WON",'MiT Strom Pipeline'!D6,"")</f>
        <v/>
      </c>
      <c r="E11" s="20">
        <f>IF('MiT Strom Pipeline'!R6="WON",'MiT Strom Pipeline'!E6,"")</f>
        <v/>
      </c>
      <c r="F11" s="48">
        <f>IF('MiT Strom Pipeline'!R6="WON",IF(ISNUMBER('MiT Strom Pipeline'!I6),'MiT Strom Pipeline'!I6,0),"")</f>
        <v/>
      </c>
      <c r="G11" s="48">
        <f>IF('MiT Strom Pipeline'!R6="WON",IF(ISNUMBER('MiT Strom Pipeline'!Q6),'MiT Strom Pipeline'!Q6,0),"")</f>
        <v/>
      </c>
      <c r="H11" s="19">
        <f>IF('MiT Strom Pipeline'!R6="WON",'MiT Strom Pipeline'!R6,"")</f>
        <v/>
      </c>
      <c r="I11" s="19">
        <f>IF('MiT Strom Pipeline'!R6="WON",'MiT Strom Pipeline'!S6,"")</f>
        <v/>
      </c>
      <c r="J11" s="20">
        <f>IF('MiT Strom Pipeline'!R6="WON",IF(LEN('MiT Strom Pipeline'!V6)&gt;0,LEFT('MiT Strom Pipeline'!V6,55),""),"")</f>
        <v/>
      </c>
      <c r="L11" t="inlineStr">
        <is>
          <t>🔍 In Eval</t>
        </is>
      </c>
      <c r="M11">
        <f>COUNTIF('MiT Strom Pipeline'!R6:R904,"In evaluation")</f>
        <v/>
      </c>
      <c r="N11" s="187">
        <f>SUMIFS('MiT Strom Pipeline'!I6:I904,'MiT Strom Pipeline'!R6:R904,"In evaluation")</f>
        <v/>
      </c>
    </row>
    <row r="12" ht="15.75" customHeight="1">
      <c r="A12" s="22">
        <f>IF('MiT Strom Pipeline'!R7="WON",IF(ISNUMBER('MiT Strom Pipeline'!A7),'MiT Strom Pipeline'!A7,""),"")</f>
        <v/>
      </c>
      <c r="B12" s="23">
        <f>IF('MiT Strom Pipeline'!R7="WON",'MiT Strom Pipeline'!B7,"")</f>
        <v/>
      </c>
      <c r="C12" s="22">
        <f>IF('MiT Strom Pipeline'!R7="WON",'MiT Strom Pipeline'!C7,"")</f>
        <v/>
      </c>
      <c r="D12" s="23">
        <f>IF('MiT Strom Pipeline'!R7="WON",'MiT Strom Pipeline'!D7,"")</f>
        <v/>
      </c>
      <c r="E12" s="23">
        <f>IF('MiT Strom Pipeline'!R7="WON",'MiT Strom Pipeline'!E7,"")</f>
        <v/>
      </c>
      <c r="F12" s="49">
        <f>IF('MiT Strom Pipeline'!R7="WON",IF(ISNUMBER('MiT Strom Pipeline'!I7),'MiT Strom Pipeline'!I7,0),"")</f>
        <v/>
      </c>
      <c r="G12" s="49">
        <f>IF('MiT Strom Pipeline'!R7="WON",IF(ISNUMBER('MiT Strom Pipeline'!Q7),'MiT Strom Pipeline'!Q7,0),"")</f>
        <v/>
      </c>
      <c r="H12" s="22">
        <f>IF('MiT Strom Pipeline'!R7="WON",'MiT Strom Pipeline'!R7,"")</f>
        <v/>
      </c>
      <c r="I12" s="22">
        <f>IF('MiT Strom Pipeline'!R7="WON",'MiT Strom Pipeline'!S7,"")</f>
        <v/>
      </c>
      <c r="J12" s="23">
        <f>IF('MiT Strom Pipeline'!R7="WON",IF(LEN('MiT Strom Pipeline'!V7)&gt;0,LEFT('MiT Strom Pipeline'!V7,55),""),"")</f>
        <v/>
      </c>
      <c r="L12" t="inlineStr">
        <is>
          <t>⏸ On Hold</t>
        </is>
      </c>
      <c r="M12">
        <f>COUNTIF('MiT Strom Pipeline'!R6:R904,"on hold")</f>
        <v/>
      </c>
      <c r="N12" s="187">
        <f>SUMIFS('MiT Strom Pipeline'!I6:I904,'MiT Strom Pipeline'!R6:R904,"on hold")</f>
        <v/>
      </c>
    </row>
    <row r="13" ht="15.75" customHeight="1">
      <c r="A13" s="19">
        <f>IF('MiT Strom Pipeline'!R8="WON",IF(ISNUMBER('MiT Strom Pipeline'!A8),'MiT Strom Pipeline'!A8,""),"")</f>
        <v/>
      </c>
      <c r="B13" s="20">
        <f>IF('MiT Strom Pipeline'!R8="WON",'MiT Strom Pipeline'!B8,"")</f>
        <v/>
      </c>
      <c r="C13" s="19">
        <f>IF('MiT Strom Pipeline'!R8="WON",'MiT Strom Pipeline'!C8,"")</f>
        <v/>
      </c>
      <c r="D13" s="20">
        <f>IF('MiT Strom Pipeline'!R8="WON",'MiT Strom Pipeline'!D8,"")</f>
        <v/>
      </c>
      <c r="E13" s="20">
        <f>IF('MiT Strom Pipeline'!R8="WON",'MiT Strom Pipeline'!E8,"")</f>
        <v/>
      </c>
      <c r="F13" s="48">
        <f>IF('MiT Strom Pipeline'!R8="WON",IF(ISNUMBER('MiT Strom Pipeline'!I8),'MiT Strom Pipeline'!I8,0),"")</f>
        <v/>
      </c>
      <c r="G13" s="48">
        <f>IF('MiT Strom Pipeline'!R8="WON",IF(ISNUMBER('MiT Strom Pipeline'!Q8),'MiT Strom Pipeline'!Q8,0),"")</f>
        <v/>
      </c>
      <c r="H13" s="19">
        <f>IF('MiT Strom Pipeline'!R8="WON",'MiT Strom Pipeline'!R8,"")</f>
        <v/>
      </c>
      <c r="I13" s="19">
        <f>IF('MiT Strom Pipeline'!R8="WON",'MiT Strom Pipeline'!S8,"")</f>
        <v/>
      </c>
      <c r="J13" s="20">
        <f>IF('MiT Strom Pipeline'!R8="WON",IF(LEN('MiT Strom Pipeline'!V8)&gt;0,LEFT('MiT Strom Pipeline'!V8,55),""),"")</f>
        <v/>
      </c>
      <c r="L13" t="inlineStr">
        <is>
          <t>❓ TBD</t>
        </is>
      </c>
      <c r="M13">
        <f>COUNTIF('MiT Strom Pipeline'!R6:R904,"tbd")</f>
        <v/>
      </c>
      <c r="N13" s="187">
        <f>SUMIFS('MiT Strom Pipeline'!I6:I904,'MiT Strom Pipeline'!R6:R904,"tbd")</f>
        <v/>
      </c>
    </row>
    <row r="14" ht="15.75" customHeight="1">
      <c r="A14" s="22">
        <f>IF('MiT Strom Pipeline'!R9="WON",IF(ISNUMBER('MiT Strom Pipeline'!A9),'MiT Strom Pipeline'!A9,""),"")</f>
        <v/>
      </c>
      <c r="B14" s="23">
        <f>IF('MiT Strom Pipeline'!R9="WON",'MiT Strom Pipeline'!B9,"")</f>
        <v/>
      </c>
      <c r="C14" s="22">
        <f>IF('MiT Strom Pipeline'!R9="WON",'MiT Strom Pipeline'!C9,"")</f>
        <v/>
      </c>
      <c r="D14" s="23">
        <f>IF('MiT Strom Pipeline'!R9="WON",'MiT Strom Pipeline'!D9,"")</f>
        <v/>
      </c>
      <c r="E14" s="23">
        <f>IF('MiT Strom Pipeline'!R9="WON",'MiT Strom Pipeline'!E9,"")</f>
        <v/>
      </c>
      <c r="F14" s="49">
        <f>IF('MiT Strom Pipeline'!R9="WON",IF(ISNUMBER('MiT Strom Pipeline'!I9),'MiT Strom Pipeline'!I9,0),"")</f>
        <v/>
      </c>
      <c r="G14" s="49">
        <f>IF('MiT Strom Pipeline'!R9="WON",IF(ISNUMBER('MiT Strom Pipeline'!Q9),'MiT Strom Pipeline'!Q9,0),"")</f>
        <v/>
      </c>
      <c r="H14" s="22">
        <f>IF('MiT Strom Pipeline'!R9="WON",'MiT Strom Pipeline'!R9,"")</f>
        <v/>
      </c>
      <c r="I14" s="22">
        <f>IF('MiT Strom Pipeline'!R9="WON",'MiT Strom Pipeline'!S9,"")</f>
        <v/>
      </c>
      <c r="J14" s="23">
        <f>IF('MiT Strom Pipeline'!R9="WON",IF(LEN('MiT Strom Pipeline'!V9)&gt;0,LEFT('MiT Strom Pipeline'!V9,55),""),"")</f>
        <v/>
      </c>
      <c r="L14" t="inlineStr">
        <is>
          <t>❌ LOST</t>
        </is>
      </c>
      <c r="M14">
        <f>COUNTIF('MiT Strom Pipeline'!R6:R904,"LOST")</f>
        <v/>
      </c>
      <c r="N14" s="187">
        <f>SUMIFS('MiT Strom Pipeline'!I6:I904,'MiT Strom Pipeline'!R6:R904,"LOST")</f>
        <v/>
      </c>
    </row>
    <row r="15" hidden="1" ht="15.75" customHeight="1">
      <c r="A15" s="19">
        <f>IF('MiT Strom Pipeline'!R10="WON",IF(ISNUMBER('MiT Strom Pipeline'!A10),'MiT Strom Pipeline'!A10,""),"")</f>
        <v/>
      </c>
      <c r="B15" s="20">
        <f>IF('MiT Strom Pipeline'!R10="WON",'MiT Strom Pipeline'!B10,"")</f>
        <v/>
      </c>
      <c r="C15" s="19">
        <f>IF('MiT Strom Pipeline'!R10="WON",'MiT Strom Pipeline'!C10,"")</f>
        <v/>
      </c>
      <c r="D15" s="20">
        <f>IF('MiT Strom Pipeline'!R10="WON",'MiT Strom Pipeline'!D10,"")</f>
        <v/>
      </c>
      <c r="E15" s="20">
        <f>IF('MiT Strom Pipeline'!R10="WON",'MiT Strom Pipeline'!E10,"")</f>
        <v/>
      </c>
      <c r="F15" s="48">
        <f>IF('MiT Strom Pipeline'!R10="WON",IF(ISNUMBER('MiT Strom Pipeline'!I10),'MiT Strom Pipeline'!I10,0),"")</f>
        <v/>
      </c>
      <c r="G15" s="48">
        <f>IF('MiT Strom Pipeline'!R10="WON",IF(ISNUMBER('MiT Strom Pipeline'!Q10),'MiT Strom Pipeline'!Q10,0),"")</f>
        <v/>
      </c>
      <c r="H15" s="19">
        <f>IF('MiT Strom Pipeline'!R10="WON",'MiT Strom Pipeline'!R10,"")</f>
        <v/>
      </c>
      <c r="I15" s="19">
        <f>IF('MiT Strom Pipeline'!R10="WON",'MiT Strom Pipeline'!S10,"")</f>
        <v/>
      </c>
      <c r="J15" s="20">
        <f>IF('MiT Strom Pipeline'!R10="WON",IF(LEN('MiT Strom Pipeline'!V10)&gt;0,LEFT('MiT Strom Pipeline'!V10,55),""),"")</f>
        <v/>
      </c>
      <c r="L15" t="inlineStr">
        <is>
          <t>🚫 Declined</t>
        </is>
      </c>
      <c r="M15">
        <f>COUNTIF('MiT Strom Pipeline'!R6:R904,"Declined")</f>
        <v/>
      </c>
      <c r="N15" s="187">
        <f>SUMIFS('MiT Strom Pipeline'!I6:I904,'MiT Strom Pipeline'!R6:R904,"Declined")</f>
        <v/>
      </c>
    </row>
    <row r="16" hidden="1" ht="15.75" customHeight="1">
      <c r="A16" s="22">
        <f>IF('MiT Strom Pipeline'!R11="WON",IF(ISNUMBER('MiT Strom Pipeline'!A11),'MiT Strom Pipeline'!A11,""),"")</f>
        <v/>
      </c>
      <c r="B16" s="23">
        <f>IF('MiT Strom Pipeline'!R11="WON",'MiT Strom Pipeline'!B11,"")</f>
        <v/>
      </c>
      <c r="C16" s="22">
        <f>IF('MiT Strom Pipeline'!R11="WON",'MiT Strom Pipeline'!C11,"")</f>
        <v/>
      </c>
      <c r="D16" s="23">
        <f>IF('MiT Strom Pipeline'!R11="WON",'MiT Strom Pipeline'!D11,"")</f>
        <v/>
      </c>
      <c r="E16" s="23">
        <f>IF('MiT Strom Pipeline'!R11="WON",'MiT Strom Pipeline'!E11,"")</f>
        <v/>
      </c>
      <c r="F16" s="49">
        <f>IF('MiT Strom Pipeline'!R11="WON",IF(ISNUMBER('MiT Strom Pipeline'!I11),'MiT Strom Pipeline'!I11,0),"")</f>
        <v/>
      </c>
      <c r="G16" s="49">
        <f>IF('MiT Strom Pipeline'!R11="WON",IF(ISNUMBER('MiT Strom Pipeline'!Q11),'MiT Strom Pipeline'!Q11,0),"")</f>
        <v/>
      </c>
      <c r="H16" s="22">
        <f>IF('MiT Strom Pipeline'!R11="WON",'MiT Strom Pipeline'!R11,"")</f>
        <v/>
      </c>
      <c r="I16" s="22">
        <f>IF('MiT Strom Pipeline'!R11="WON",'MiT Strom Pipeline'!S11,"")</f>
        <v/>
      </c>
      <c r="J16" s="23">
        <f>IF('MiT Strom Pipeline'!R11="WON",IF(LEN('MiT Strom Pipeline'!V11)&gt;0,LEFT('MiT Strom Pipeline'!V11,55),""),"")</f>
        <v/>
      </c>
    </row>
    <row r="17" hidden="1" ht="15.75" customHeight="1">
      <c r="A17" s="19">
        <f>IF('MiT Strom Pipeline'!R12="WON",IF(ISNUMBER('MiT Strom Pipeline'!A12),'MiT Strom Pipeline'!A12,""),"")</f>
        <v/>
      </c>
      <c r="B17" s="20">
        <f>IF('MiT Strom Pipeline'!R12="WON",'MiT Strom Pipeline'!B12,"")</f>
        <v/>
      </c>
      <c r="C17" s="19">
        <f>IF('MiT Strom Pipeline'!R12="WON",'MiT Strom Pipeline'!C12,"")</f>
        <v/>
      </c>
      <c r="D17" s="20">
        <f>IF('MiT Strom Pipeline'!R12="WON",'MiT Strom Pipeline'!D12,"")</f>
        <v/>
      </c>
      <c r="E17" s="20">
        <f>IF('MiT Strom Pipeline'!R12="WON",'MiT Strom Pipeline'!E12,"")</f>
        <v/>
      </c>
      <c r="F17" s="48">
        <f>IF('MiT Strom Pipeline'!R12="WON",IF(ISNUMBER('MiT Strom Pipeline'!I12),'MiT Strom Pipeline'!I12,0),"")</f>
        <v/>
      </c>
      <c r="G17" s="48">
        <f>IF('MiT Strom Pipeline'!R12="WON",IF(ISNUMBER('MiT Strom Pipeline'!Q12),'MiT Strom Pipeline'!Q12,0),"")</f>
        <v/>
      </c>
      <c r="H17" s="19">
        <f>IF('MiT Strom Pipeline'!R12="WON",'MiT Strom Pipeline'!R12,"")</f>
        <v/>
      </c>
      <c r="I17" s="19">
        <f>IF('MiT Strom Pipeline'!R12="WON",'MiT Strom Pipeline'!S12,"")</f>
        <v/>
      </c>
      <c r="J17" s="20">
        <f>IF('MiT Strom Pipeline'!R12="WON",IF(LEN('MiT Strom Pipeline'!V12)&gt;0,LEFT('MiT Strom Pipeline'!V12,55),""),"")</f>
        <v/>
      </c>
    </row>
    <row r="18" hidden="1" ht="15.75" customHeight="1">
      <c r="A18" s="22">
        <f>IF('MiT Strom Pipeline'!R13="WON",IF(ISNUMBER('MiT Strom Pipeline'!A13),'MiT Strom Pipeline'!A13,""),"")</f>
        <v/>
      </c>
      <c r="B18" s="23">
        <f>IF('MiT Strom Pipeline'!R13="WON",'MiT Strom Pipeline'!B13,"")</f>
        <v/>
      </c>
      <c r="C18" s="22">
        <f>IF('MiT Strom Pipeline'!R13="WON",'MiT Strom Pipeline'!C13,"")</f>
        <v/>
      </c>
      <c r="D18" s="23">
        <f>IF('MiT Strom Pipeline'!R13="WON",'MiT Strom Pipeline'!D13,"")</f>
        <v/>
      </c>
      <c r="E18" s="23">
        <f>IF('MiT Strom Pipeline'!R13="WON",'MiT Strom Pipeline'!E13,"")</f>
        <v/>
      </c>
      <c r="F18" s="49">
        <f>IF('MiT Strom Pipeline'!R13="WON",IF(ISNUMBER('MiT Strom Pipeline'!I13),'MiT Strom Pipeline'!I13,0),"")</f>
        <v/>
      </c>
      <c r="G18" s="49">
        <f>IF('MiT Strom Pipeline'!R13="WON",IF(ISNUMBER('MiT Strom Pipeline'!Q13),'MiT Strom Pipeline'!Q13,0),"")</f>
        <v/>
      </c>
      <c r="H18" s="22">
        <f>IF('MiT Strom Pipeline'!R13="WON",'MiT Strom Pipeline'!R13,"")</f>
        <v/>
      </c>
      <c r="I18" s="22">
        <f>IF('MiT Strom Pipeline'!R13="WON",'MiT Strom Pipeline'!S13,"")</f>
        <v/>
      </c>
      <c r="J18" s="23">
        <f>IF('MiT Strom Pipeline'!R13="WON",IF(LEN('MiT Strom Pipeline'!V13)&gt;0,LEFT('MiT Strom Pipeline'!V13,55),""),"")</f>
        <v/>
      </c>
    </row>
    <row r="19" ht="15.75" customHeight="1">
      <c r="A19" s="19">
        <f>IF('MiT Strom Pipeline'!R14="WON",IF(ISNUMBER('MiT Strom Pipeline'!A14),'MiT Strom Pipeline'!A14,""),"")</f>
        <v/>
      </c>
      <c r="B19" s="20">
        <f>IF('MiT Strom Pipeline'!R14="WON",'MiT Strom Pipeline'!B14,"")</f>
        <v/>
      </c>
      <c r="C19" s="19">
        <f>IF('MiT Strom Pipeline'!R14="WON",'MiT Strom Pipeline'!C14,"")</f>
        <v/>
      </c>
      <c r="D19" s="20">
        <f>IF('MiT Strom Pipeline'!R14="WON",'MiT Strom Pipeline'!D14,"")</f>
        <v/>
      </c>
      <c r="E19" s="20">
        <f>IF('MiT Strom Pipeline'!R14="WON",'MiT Strom Pipeline'!E14,"")</f>
        <v/>
      </c>
      <c r="F19" s="48">
        <f>IF('MiT Strom Pipeline'!R14="WON",IF(ISNUMBER('MiT Strom Pipeline'!I14),'MiT Strom Pipeline'!I14,0),"")</f>
        <v/>
      </c>
      <c r="G19" s="48">
        <f>IF('MiT Strom Pipeline'!R14="WON",IF(ISNUMBER('MiT Strom Pipeline'!Q14),'MiT Strom Pipeline'!Q14,0),"")</f>
        <v/>
      </c>
      <c r="H19" s="19">
        <f>IF('MiT Strom Pipeline'!R14="WON",'MiT Strom Pipeline'!R14,"")</f>
        <v/>
      </c>
      <c r="I19" s="19">
        <f>IF('MiT Strom Pipeline'!R14="WON",'MiT Strom Pipeline'!S14,"")</f>
        <v/>
      </c>
      <c r="J19" s="20">
        <f>IF('MiT Strom Pipeline'!R14="WON",IF(LEN('MiT Strom Pipeline'!V14)&gt;0,LEFT('MiT Strom Pipeline'!V14,55),""),"")</f>
        <v/>
      </c>
    </row>
    <row r="20" hidden="1" ht="15.75" customHeight="1">
      <c r="A20" s="22">
        <f>IF('MiT Strom Pipeline'!R15="WON",IF(ISNUMBER('MiT Strom Pipeline'!A15),'MiT Strom Pipeline'!A15,""),"")</f>
        <v/>
      </c>
      <c r="B20" s="23">
        <f>IF('MiT Strom Pipeline'!R15="WON",'MiT Strom Pipeline'!B15,"")</f>
        <v/>
      </c>
      <c r="C20" s="22">
        <f>IF('MiT Strom Pipeline'!R15="WON",'MiT Strom Pipeline'!C15,"")</f>
        <v/>
      </c>
      <c r="D20" s="23">
        <f>IF('MiT Strom Pipeline'!R15="WON",'MiT Strom Pipeline'!D15,"")</f>
        <v/>
      </c>
      <c r="E20" s="23">
        <f>IF('MiT Strom Pipeline'!R15="WON",'MiT Strom Pipeline'!E15,"")</f>
        <v/>
      </c>
      <c r="F20" s="49">
        <f>IF('MiT Strom Pipeline'!R15="WON",IF(ISNUMBER('MiT Strom Pipeline'!I15),'MiT Strom Pipeline'!I15,0),"")</f>
        <v/>
      </c>
      <c r="G20" s="49">
        <f>IF('MiT Strom Pipeline'!R15="WON",IF(ISNUMBER('MiT Strom Pipeline'!Q15),'MiT Strom Pipeline'!Q15,0),"")</f>
        <v/>
      </c>
      <c r="H20" s="22">
        <f>IF('MiT Strom Pipeline'!R15="WON",'MiT Strom Pipeline'!R15,"")</f>
        <v/>
      </c>
      <c r="I20" s="22">
        <f>IF('MiT Strom Pipeline'!R15="WON",'MiT Strom Pipeline'!S15,"")</f>
        <v/>
      </c>
      <c r="J20" s="23">
        <f>IF('MiT Strom Pipeline'!R15="WON",IF(LEN('MiT Strom Pipeline'!V15)&gt;0,LEFT('MiT Strom Pipeline'!V15,55),""),"")</f>
        <v/>
      </c>
    </row>
    <row r="21" hidden="1" ht="15.75" customHeight="1">
      <c r="A21" s="19">
        <f>IF('MiT Strom Pipeline'!R16="WON",IF(ISNUMBER('MiT Strom Pipeline'!A16),'MiT Strom Pipeline'!A16,""),"")</f>
        <v/>
      </c>
      <c r="B21" s="20">
        <f>IF('MiT Strom Pipeline'!R16="WON",'MiT Strom Pipeline'!B16,"")</f>
        <v/>
      </c>
      <c r="C21" s="19">
        <f>IF('MiT Strom Pipeline'!R16="WON",'MiT Strom Pipeline'!C16,"")</f>
        <v/>
      </c>
      <c r="D21" s="20">
        <f>IF('MiT Strom Pipeline'!R16="WON",'MiT Strom Pipeline'!D16,"")</f>
        <v/>
      </c>
      <c r="E21" s="20">
        <f>IF('MiT Strom Pipeline'!R16="WON",'MiT Strom Pipeline'!E16,"")</f>
        <v/>
      </c>
      <c r="F21" s="48">
        <f>IF('MiT Strom Pipeline'!R16="WON",IF(ISNUMBER('MiT Strom Pipeline'!I16),'MiT Strom Pipeline'!I16,0),"")</f>
        <v/>
      </c>
      <c r="G21" s="48">
        <f>IF('MiT Strom Pipeline'!R16="WON",IF(ISNUMBER('MiT Strom Pipeline'!Q16),'MiT Strom Pipeline'!Q16,0),"")</f>
        <v/>
      </c>
      <c r="H21" s="19">
        <f>IF('MiT Strom Pipeline'!R16="WON",'MiT Strom Pipeline'!R16,"")</f>
        <v/>
      </c>
      <c r="I21" s="19">
        <f>IF('MiT Strom Pipeline'!R16="WON",'MiT Strom Pipeline'!S16,"")</f>
        <v/>
      </c>
      <c r="J21" s="20">
        <f>IF('MiT Strom Pipeline'!R16="WON",IF(LEN('MiT Strom Pipeline'!V16)&gt;0,LEFT('MiT Strom Pipeline'!V16,55),""),"")</f>
        <v/>
      </c>
    </row>
    <row r="22" hidden="1" ht="15.75" customHeight="1">
      <c r="A22" s="22">
        <f>IF('MiT Strom Pipeline'!R17="WON",IF(ISNUMBER('MiT Strom Pipeline'!A17),'MiT Strom Pipeline'!A17,""),"")</f>
        <v/>
      </c>
      <c r="B22" s="23">
        <f>IF('MiT Strom Pipeline'!R17="WON",'MiT Strom Pipeline'!B17,"")</f>
        <v/>
      </c>
      <c r="C22" s="22">
        <f>IF('MiT Strom Pipeline'!R17="WON",'MiT Strom Pipeline'!C17,"")</f>
        <v/>
      </c>
      <c r="D22" s="23">
        <f>IF('MiT Strom Pipeline'!R17="WON",'MiT Strom Pipeline'!D17,"")</f>
        <v/>
      </c>
      <c r="E22" s="23">
        <f>IF('MiT Strom Pipeline'!R17="WON",'MiT Strom Pipeline'!E17,"")</f>
        <v/>
      </c>
      <c r="F22" s="49">
        <f>IF('MiT Strom Pipeline'!R17="WON",IF(ISNUMBER('MiT Strom Pipeline'!I17),'MiT Strom Pipeline'!I17,0),"")</f>
        <v/>
      </c>
      <c r="G22" s="49">
        <f>IF('MiT Strom Pipeline'!R17="WON",IF(ISNUMBER('MiT Strom Pipeline'!Q17),'MiT Strom Pipeline'!Q17,0),"")</f>
        <v/>
      </c>
      <c r="H22" s="22">
        <f>IF('MiT Strom Pipeline'!R17="WON",'MiT Strom Pipeline'!R17,"")</f>
        <v/>
      </c>
      <c r="I22" s="22">
        <f>IF('MiT Strom Pipeline'!R17="WON",'MiT Strom Pipeline'!S17,"")</f>
        <v/>
      </c>
      <c r="J22" s="23">
        <f>IF('MiT Strom Pipeline'!R17="WON",IF(LEN('MiT Strom Pipeline'!V17)&gt;0,LEFT('MiT Strom Pipeline'!V17,55),""),"")</f>
        <v/>
      </c>
    </row>
    <row r="23" hidden="1" ht="15.75" customHeight="1">
      <c r="A23" s="19">
        <f>IF('MiT Strom Pipeline'!R18="WON",IF(ISNUMBER('MiT Strom Pipeline'!A18),'MiT Strom Pipeline'!A18,""),"")</f>
        <v/>
      </c>
      <c r="B23" s="20">
        <f>IF('MiT Strom Pipeline'!R18="WON",'MiT Strom Pipeline'!B18,"")</f>
        <v/>
      </c>
      <c r="C23" s="19">
        <f>IF('MiT Strom Pipeline'!R18="WON",'MiT Strom Pipeline'!C18,"")</f>
        <v/>
      </c>
      <c r="D23" s="20">
        <f>IF('MiT Strom Pipeline'!R18="WON",'MiT Strom Pipeline'!D18,"")</f>
        <v/>
      </c>
      <c r="E23" s="20">
        <f>IF('MiT Strom Pipeline'!R18="WON",'MiT Strom Pipeline'!E18,"")</f>
        <v/>
      </c>
      <c r="F23" s="48">
        <f>IF('MiT Strom Pipeline'!R18="WON",IF(ISNUMBER('MiT Strom Pipeline'!I18),'MiT Strom Pipeline'!I18,0),"")</f>
        <v/>
      </c>
      <c r="G23" s="48">
        <f>IF('MiT Strom Pipeline'!R18="WON",IF(ISNUMBER('MiT Strom Pipeline'!Q18),'MiT Strom Pipeline'!Q18,0),"")</f>
        <v/>
      </c>
      <c r="H23" s="19">
        <f>IF('MiT Strom Pipeline'!R18="WON",'MiT Strom Pipeline'!R18,"")</f>
        <v/>
      </c>
      <c r="I23" s="19">
        <f>IF('MiT Strom Pipeline'!R18="WON",'MiT Strom Pipeline'!S18,"")</f>
        <v/>
      </c>
      <c r="J23" s="20">
        <f>IF('MiT Strom Pipeline'!R18="WON",IF(LEN('MiT Strom Pipeline'!V18)&gt;0,LEFT('MiT Strom Pipeline'!V18,55),""),"")</f>
        <v/>
      </c>
    </row>
    <row r="24" hidden="1" ht="15.75" customHeight="1">
      <c r="A24" s="22">
        <f>IF('MiT Strom Pipeline'!R19="WON",IF(ISNUMBER('MiT Strom Pipeline'!A19),'MiT Strom Pipeline'!A19,""),"")</f>
        <v/>
      </c>
      <c r="B24" s="23">
        <f>IF('MiT Strom Pipeline'!R19="WON",'MiT Strom Pipeline'!B19,"")</f>
        <v/>
      </c>
      <c r="C24" s="22">
        <f>IF('MiT Strom Pipeline'!R19="WON",'MiT Strom Pipeline'!C19,"")</f>
        <v/>
      </c>
      <c r="D24" s="23">
        <f>IF('MiT Strom Pipeline'!R19="WON",'MiT Strom Pipeline'!D19,"")</f>
        <v/>
      </c>
      <c r="E24" s="23">
        <f>IF('MiT Strom Pipeline'!R19="WON",'MiT Strom Pipeline'!E19,"")</f>
        <v/>
      </c>
      <c r="F24" s="49">
        <f>IF('MiT Strom Pipeline'!R19="WON",IF(ISNUMBER('MiT Strom Pipeline'!I19),'MiT Strom Pipeline'!I19,0),"")</f>
        <v/>
      </c>
      <c r="G24" s="49">
        <f>IF('MiT Strom Pipeline'!R19="WON",IF(ISNUMBER('MiT Strom Pipeline'!Q19),'MiT Strom Pipeline'!Q19,0),"")</f>
        <v/>
      </c>
      <c r="H24" s="22">
        <f>IF('MiT Strom Pipeline'!R19="WON",'MiT Strom Pipeline'!R19,"")</f>
        <v/>
      </c>
      <c r="I24" s="22">
        <f>IF('MiT Strom Pipeline'!R19="WON",'MiT Strom Pipeline'!S19,"")</f>
        <v/>
      </c>
      <c r="J24" s="23">
        <f>IF('MiT Strom Pipeline'!R19="WON",IF(LEN('MiT Strom Pipeline'!V19)&gt;0,LEFT('MiT Strom Pipeline'!V19,55),""),"")</f>
        <v/>
      </c>
    </row>
    <row r="25" hidden="1" ht="15.75" customHeight="1">
      <c r="A25" s="19">
        <f>IF('MiT Strom Pipeline'!R20="WON",IF(ISNUMBER('MiT Strom Pipeline'!A20),'MiT Strom Pipeline'!A20,""),"")</f>
        <v/>
      </c>
      <c r="B25" s="20">
        <f>IF('MiT Strom Pipeline'!R20="WON",'MiT Strom Pipeline'!B20,"")</f>
        <v/>
      </c>
      <c r="C25" s="19">
        <f>IF('MiT Strom Pipeline'!R20="WON",'MiT Strom Pipeline'!C20,"")</f>
        <v/>
      </c>
      <c r="D25" s="20">
        <f>IF('MiT Strom Pipeline'!R20="WON",'MiT Strom Pipeline'!D20,"")</f>
        <v/>
      </c>
      <c r="E25" s="20">
        <f>IF('MiT Strom Pipeline'!R20="WON",'MiT Strom Pipeline'!E20,"")</f>
        <v/>
      </c>
      <c r="F25" s="48">
        <f>IF('MiT Strom Pipeline'!R20="WON",IF(ISNUMBER('MiT Strom Pipeline'!I20),'MiT Strom Pipeline'!I20,0),"")</f>
        <v/>
      </c>
      <c r="G25" s="48">
        <f>IF('MiT Strom Pipeline'!R20="WON",IF(ISNUMBER('MiT Strom Pipeline'!Q20),'MiT Strom Pipeline'!Q20,0),"")</f>
        <v/>
      </c>
      <c r="H25" s="19">
        <f>IF('MiT Strom Pipeline'!R20="WON",'MiT Strom Pipeline'!R20,"")</f>
        <v/>
      </c>
      <c r="I25" s="19">
        <f>IF('MiT Strom Pipeline'!R20="WON",'MiT Strom Pipeline'!S20,"")</f>
        <v/>
      </c>
      <c r="J25" s="20">
        <f>IF('MiT Strom Pipeline'!R20="WON",IF(LEN('MiT Strom Pipeline'!V20)&gt;0,LEFT('MiT Strom Pipeline'!V20,55),""),"")</f>
        <v/>
      </c>
    </row>
    <row r="26" hidden="1" ht="15.75" customHeight="1">
      <c r="A26" s="22">
        <f>IF('MiT Strom Pipeline'!R21="WON",IF(ISNUMBER('MiT Strom Pipeline'!A21),'MiT Strom Pipeline'!A21,""),"")</f>
        <v/>
      </c>
      <c r="B26" s="23">
        <f>IF('MiT Strom Pipeline'!R21="WON",'MiT Strom Pipeline'!B21,"")</f>
        <v/>
      </c>
      <c r="C26" s="22">
        <f>IF('MiT Strom Pipeline'!R21="WON",'MiT Strom Pipeline'!C21,"")</f>
        <v/>
      </c>
      <c r="D26" s="23">
        <f>IF('MiT Strom Pipeline'!R21="WON",'MiT Strom Pipeline'!D21,"")</f>
        <v/>
      </c>
      <c r="E26" s="23">
        <f>IF('MiT Strom Pipeline'!R21="WON",'MiT Strom Pipeline'!E21,"")</f>
        <v/>
      </c>
      <c r="F26" s="49">
        <f>IF('MiT Strom Pipeline'!R21="WON",IF(ISNUMBER('MiT Strom Pipeline'!I21),'MiT Strom Pipeline'!I21,0),"")</f>
        <v/>
      </c>
      <c r="G26" s="49">
        <f>IF('MiT Strom Pipeline'!R21="WON",IF(ISNUMBER('MiT Strom Pipeline'!Q21),'MiT Strom Pipeline'!Q21,0),"")</f>
        <v/>
      </c>
      <c r="H26" s="22">
        <f>IF('MiT Strom Pipeline'!R21="WON",'MiT Strom Pipeline'!R21,"")</f>
        <v/>
      </c>
      <c r="I26" s="22">
        <f>IF('MiT Strom Pipeline'!R21="WON",'MiT Strom Pipeline'!S21,"")</f>
        <v/>
      </c>
      <c r="J26" s="23">
        <f>IF('MiT Strom Pipeline'!R21="WON",IF(LEN('MiT Strom Pipeline'!V21)&gt;0,LEFT('MiT Strom Pipeline'!V21,55),""),"")</f>
        <v/>
      </c>
    </row>
    <row r="27" hidden="1" ht="15.75" customHeight="1">
      <c r="A27" s="19">
        <f>IF('MiT Strom Pipeline'!R22="WON",IF(ISNUMBER('MiT Strom Pipeline'!A22),'MiT Strom Pipeline'!A22,""),"")</f>
        <v/>
      </c>
      <c r="B27" s="20">
        <f>IF('MiT Strom Pipeline'!R22="WON",'MiT Strom Pipeline'!B22,"")</f>
        <v/>
      </c>
      <c r="C27" s="19">
        <f>IF('MiT Strom Pipeline'!R22="WON",'MiT Strom Pipeline'!C22,"")</f>
        <v/>
      </c>
      <c r="D27" s="20">
        <f>IF('MiT Strom Pipeline'!R22="WON",'MiT Strom Pipeline'!D22,"")</f>
        <v/>
      </c>
      <c r="E27" s="20">
        <f>IF('MiT Strom Pipeline'!R22="WON",'MiT Strom Pipeline'!E22,"")</f>
        <v/>
      </c>
      <c r="F27" s="48">
        <f>IF('MiT Strom Pipeline'!R22="WON",IF(ISNUMBER('MiT Strom Pipeline'!I22),'MiT Strom Pipeline'!I22,0),"")</f>
        <v/>
      </c>
      <c r="G27" s="48">
        <f>IF('MiT Strom Pipeline'!R22="WON",IF(ISNUMBER('MiT Strom Pipeline'!Q22),'MiT Strom Pipeline'!Q22,0),"")</f>
        <v/>
      </c>
      <c r="H27" s="19">
        <f>IF('MiT Strom Pipeline'!R22="WON",'MiT Strom Pipeline'!R22,"")</f>
        <v/>
      </c>
      <c r="I27" s="19">
        <f>IF('MiT Strom Pipeline'!R22="WON",'MiT Strom Pipeline'!S22,"")</f>
        <v/>
      </c>
      <c r="J27" s="20">
        <f>IF('MiT Strom Pipeline'!R22="WON",IF(LEN('MiT Strom Pipeline'!V22)&gt;0,LEFT('MiT Strom Pipeline'!V22,55),""),"")</f>
        <v/>
      </c>
    </row>
    <row r="28" hidden="1" ht="15.75" customHeight="1">
      <c r="A28" s="22">
        <f>IF('MiT Strom Pipeline'!R23="WON",IF(ISNUMBER('MiT Strom Pipeline'!A23),'MiT Strom Pipeline'!A23,""),"")</f>
        <v/>
      </c>
      <c r="B28" s="23">
        <f>IF('MiT Strom Pipeline'!R23="WON",'MiT Strom Pipeline'!B23,"")</f>
        <v/>
      </c>
      <c r="C28" s="22">
        <f>IF('MiT Strom Pipeline'!R23="WON",'MiT Strom Pipeline'!C23,"")</f>
        <v/>
      </c>
      <c r="D28" s="23">
        <f>IF('MiT Strom Pipeline'!R23="WON",'MiT Strom Pipeline'!D23,"")</f>
        <v/>
      </c>
      <c r="E28" s="23">
        <f>IF('MiT Strom Pipeline'!R23="WON",'MiT Strom Pipeline'!E23,"")</f>
        <v/>
      </c>
      <c r="F28" s="49">
        <f>IF('MiT Strom Pipeline'!R23="WON",IF(ISNUMBER('MiT Strom Pipeline'!I23),'MiT Strom Pipeline'!I23,0),"")</f>
        <v/>
      </c>
      <c r="G28" s="49">
        <f>IF('MiT Strom Pipeline'!R23="WON",IF(ISNUMBER('MiT Strom Pipeline'!Q23),'MiT Strom Pipeline'!Q23,0),"")</f>
        <v/>
      </c>
      <c r="H28" s="22">
        <f>IF('MiT Strom Pipeline'!R23="WON",'MiT Strom Pipeline'!R23,"")</f>
        <v/>
      </c>
      <c r="I28" s="22">
        <f>IF('MiT Strom Pipeline'!R23="WON",'MiT Strom Pipeline'!S23,"")</f>
        <v/>
      </c>
      <c r="J28" s="23">
        <f>IF('MiT Strom Pipeline'!R23="WON",IF(LEN('MiT Strom Pipeline'!V23)&gt;0,LEFT('MiT Strom Pipeline'!V23,55),""),"")</f>
        <v/>
      </c>
    </row>
    <row r="29" hidden="1" ht="15.75" customHeight="1">
      <c r="A29" s="19">
        <f>IF('MiT Strom Pipeline'!R24="WON",IF(ISNUMBER('MiT Strom Pipeline'!A24),'MiT Strom Pipeline'!A24,""),"")</f>
        <v/>
      </c>
      <c r="B29" s="20">
        <f>IF('MiT Strom Pipeline'!R24="WON",'MiT Strom Pipeline'!B24,"")</f>
        <v/>
      </c>
      <c r="C29" s="19">
        <f>IF('MiT Strom Pipeline'!R24="WON",'MiT Strom Pipeline'!C24,"")</f>
        <v/>
      </c>
      <c r="D29" s="20">
        <f>IF('MiT Strom Pipeline'!R24="WON",'MiT Strom Pipeline'!D24,"")</f>
        <v/>
      </c>
      <c r="E29" s="20">
        <f>IF('MiT Strom Pipeline'!R24="WON",'MiT Strom Pipeline'!E24,"")</f>
        <v/>
      </c>
      <c r="F29" s="48">
        <f>IF('MiT Strom Pipeline'!R24="WON",IF(ISNUMBER('MiT Strom Pipeline'!I24),'MiT Strom Pipeline'!I24,0),"")</f>
        <v/>
      </c>
      <c r="G29" s="48">
        <f>IF('MiT Strom Pipeline'!R24="WON",IF(ISNUMBER('MiT Strom Pipeline'!Q24),'MiT Strom Pipeline'!Q24,0),"")</f>
        <v/>
      </c>
      <c r="H29" s="19">
        <f>IF('MiT Strom Pipeline'!R24="WON",'MiT Strom Pipeline'!R24,"")</f>
        <v/>
      </c>
      <c r="I29" s="19">
        <f>IF('MiT Strom Pipeline'!R24="WON",'MiT Strom Pipeline'!S24,"")</f>
        <v/>
      </c>
      <c r="J29" s="20">
        <f>IF('MiT Strom Pipeline'!R24="WON",IF(LEN('MiT Strom Pipeline'!V24)&gt;0,LEFT('MiT Strom Pipeline'!V24,55),""),"")</f>
        <v/>
      </c>
    </row>
    <row r="30" hidden="1" ht="15.75" customHeight="1">
      <c r="A30" s="22">
        <f>IF('MiT Strom Pipeline'!R25="WON",IF(ISNUMBER('MiT Strom Pipeline'!A25),'MiT Strom Pipeline'!A25,""),"")</f>
        <v/>
      </c>
      <c r="B30" s="23">
        <f>IF('MiT Strom Pipeline'!R25="WON",'MiT Strom Pipeline'!B25,"")</f>
        <v/>
      </c>
      <c r="C30" s="22">
        <f>IF('MiT Strom Pipeline'!R25="WON",'MiT Strom Pipeline'!C25,"")</f>
        <v/>
      </c>
      <c r="D30" s="23">
        <f>IF('MiT Strom Pipeline'!R25="WON",'MiT Strom Pipeline'!D25,"")</f>
        <v/>
      </c>
      <c r="E30" s="23">
        <f>IF('MiT Strom Pipeline'!R25="WON",'MiT Strom Pipeline'!E25,"")</f>
        <v/>
      </c>
      <c r="F30" s="49">
        <f>IF('MiT Strom Pipeline'!R25="WON",IF(ISNUMBER('MiT Strom Pipeline'!I25),'MiT Strom Pipeline'!I25,0),"")</f>
        <v/>
      </c>
      <c r="G30" s="49">
        <f>IF('MiT Strom Pipeline'!R25="WON",IF(ISNUMBER('MiT Strom Pipeline'!Q25),'MiT Strom Pipeline'!Q25,0),"")</f>
        <v/>
      </c>
      <c r="H30" s="22">
        <f>IF('MiT Strom Pipeline'!R25="WON",'MiT Strom Pipeline'!R25,"")</f>
        <v/>
      </c>
      <c r="I30" s="22">
        <f>IF('MiT Strom Pipeline'!R25="WON",'MiT Strom Pipeline'!S25,"")</f>
        <v/>
      </c>
      <c r="J30" s="23">
        <f>IF('MiT Strom Pipeline'!R25="WON",IF(LEN('MiT Strom Pipeline'!V25)&gt;0,LEFT('MiT Strom Pipeline'!V25,55),""),"")</f>
        <v/>
      </c>
    </row>
    <row r="31" hidden="1" ht="15.75" customHeight="1">
      <c r="A31" s="19">
        <f>IF('MiT Strom Pipeline'!R26="WON",IF(ISNUMBER('MiT Strom Pipeline'!A26),'MiT Strom Pipeline'!A26,""),"")</f>
        <v/>
      </c>
      <c r="B31" s="20">
        <f>IF('MiT Strom Pipeline'!R26="WON",'MiT Strom Pipeline'!B26,"")</f>
        <v/>
      </c>
      <c r="C31" s="19">
        <f>IF('MiT Strom Pipeline'!R26="WON",'MiT Strom Pipeline'!C26,"")</f>
        <v/>
      </c>
      <c r="D31" s="20">
        <f>IF('MiT Strom Pipeline'!R26="WON",'MiT Strom Pipeline'!D26,"")</f>
        <v/>
      </c>
      <c r="E31" s="20">
        <f>IF('MiT Strom Pipeline'!R26="WON",'MiT Strom Pipeline'!E26,"")</f>
        <v/>
      </c>
      <c r="F31" s="48">
        <f>IF('MiT Strom Pipeline'!R26="WON",IF(ISNUMBER('MiT Strom Pipeline'!I26),'MiT Strom Pipeline'!I26,0),"")</f>
        <v/>
      </c>
      <c r="G31" s="48">
        <f>IF('MiT Strom Pipeline'!R26="WON",IF(ISNUMBER('MiT Strom Pipeline'!Q26),'MiT Strom Pipeline'!Q26,0),"")</f>
        <v/>
      </c>
      <c r="H31" s="19">
        <f>IF('MiT Strom Pipeline'!R26="WON",'MiT Strom Pipeline'!R26,"")</f>
        <v/>
      </c>
      <c r="I31" s="19">
        <f>IF('MiT Strom Pipeline'!R26="WON",'MiT Strom Pipeline'!S26,"")</f>
        <v/>
      </c>
      <c r="J31" s="20">
        <f>IF('MiT Strom Pipeline'!R26="WON",IF(LEN('MiT Strom Pipeline'!V26)&gt;0,LEFT('MiT Strom Pipeline'!V26,55),""),"")</f>
        <v/>
      </c>
    </row>
    <row r="32" ht="23.25" customHeight="1">
      <c r="A32" s="22">
        <f>IF('MiT Strom Pipeline'!R27="WON",IF(ISNUMBER('MiT Strom Pipeline'!A27),'MiT Strom Pipeline'!A27,""),"")</f>
        <v/>
      </c>
      <c r="B32" s="23">
        <f>IF('MiT Strom Pipeline'!R27="WON",'MiT Strom Pipeline'!B27,"")</f>
        <v/>
      </c>
      <c r="C32" s="22">
        <f>IF('MiT Strom Pipeline'!R27="WON",'MiT Strom Pipeline'!C27,"")</f>
        <v/>
      </c>
      <c r="D32" s="23">
        <f>IF('MiT Strom Pipeline'!R27="WON",'MiT Strom Pipeline'!D27,"")</f>
        <v/>
      </c>
      <c r="E32" s="23">
        <f>IF('MiT Strom Pipeline'!R27="WON",'MiT Strom Pipeline'!E27,"")</f>
        <v/>
      </c>
      <c r="F32" s="49">
        <f>IF('MiT Strom Pipeline'!R27="WON",IF(ISNUMBER('MiT Strom Pipeline'!I27),'MiT Strom Pipeline'!I27,0),"")</f>
        <v/>
      </c>
      <c r="G32" s="49">
        <f>IF('MiT Strom Pipeline'!R27="WON",IF(ISNUMBER('MiT Strom Pipeline'!Q27),'MiT Strom Pipeline'!Q27,0),"")</f>
        <v/>
      </c>
      <c r="H32" s="22">
        <f>IF('MiT Strom Pipeline'!R27="WON",'MiT Strom Pipeline'!R27,"")</f>
        <v/>
      </c>
      <c r="I32" s="22">
        <f>IF('MiT Strom Pipeline'!R27="WON",'MiT Strom Pipeline'!S27,"")</f>
        <v/>
      </c>
      <c r="J32" s="25">
        <f>IF('MiT Strom Pipeline'!R27="WON",IF(LEN('MiT Strom Pipeline'!V27)&gt;0,LEFT('MiT Strom Pipeline'!V27,55),""),"")</f>
        <v/>
      </c>
    </row>
    <row r="33" hidden="1" ht="15.75" customHeight="1">
      <c r="A33" s="19">
        <f>IF('MiT Strom Pipeline'!R28="WON",IF(ISNUMBER('MiT Strom Pipeline'!A28),'MiT Strom Pipeline'!A28,""),"")</f>
        <v/>
      </c>
      <c r="B33" s="20">
        <f>IF('MiT Strom Pipeline'!R28="WON",'MiT Strom Pipeline'!B28,"")</f>
        <v/>
      </c>
      <c r="C33" s="19">
        <f>IF('MiT Strom Pipeline'!R28="WON",'MiT Strom Pipeline'!C28,"")</f>
        <v/>
      </c>
      <c r="D33" s="20">
        <f>IF('MiT Strom Pipeline'!R28="WON",'MiT Strom Pipeline'!D28,"")</f>
        <v/>
      </c>
      <c r="E33" s="20">
        <f>IF('MiT Strom Pipeline'!R28="WON",'MiT Strom Pipeline'!E28,"")</f>
        <v/>
      </c>
      <c r="F33" s="48">
        <f>IF('MiT Strom Pipeline'!R28="WON",IF(ISNUMBER('MiT Strom Pipeline'!I28),'MiT Strom Pipeline'!I28,0),"")</f>
        <v/>
      </c>
      <c r="G33" s="48">
        <f>IF('MiT Strom Pipeline'!R28="WON",IF(ISNUMBER('MiT Strom Pipeline'!Q28),'MiT Strom Pipeline'!Q28,0),"")</f>
        <v/>
      </c>
      <c r="H33" s="19">
        <f>IF('MiT Strom Pipeline'!R28="WON",'MiT Strom Pipeline'!R28,"")</f>
        <v/>
      </c>
      <c r="I33" s="19">
        <f>IF('MiT Strom Pipeline'!R28="WON",'MiT Strom Pipeline'!S28,"")</f>
        <v/>
      </c>
      <c r="J33" s="20">
        <f>IF('MiT Strom Pipeline'!R28="WON",IF(LEN('MiT Strom Pipeline'!V28)&gt;0,LEFT('MiT Strom Pipeline'!V28,55),""),"")</f>
        <v/>
      </c>
    </row>
    <row r="34" hidden="1" ht="15.75" customHeight="1">
      <c r="A34" s="22">
        <f>IF('MiT Strom Pipeline'!R29="WON",IF(ISNUMBER('MiT Strom Pipeline'!A29),'MiT Strom Pipeline'!A29,""),"")</f>
        <v/>
      </c>
      <c r="B34" s="23">
        <f>IF('MiT Strom Pipeline'!R29="WON",'MiT Strom Pipeline'!B29,"")</f>
        <v/>
      </c>
      <c r="C34" s="22">
        <f>IF('MiT Strom Pipeline'!R29="WON",'MiT Strom Pipeline'!C29,"")</f>
        <v/>
      </c>
      <c r="D34" s="23">
        <f>IF('MiT Strom Pipeline'!R29="WON",'MiT Strom Pipeline'!D29,"")</f>
        <v/>
      </c>
      <c r="E34" s="23">
        <f>IF('MiT Strom Pipeline'!R29="WON",'MiT Strom Pipeline'!E29,"")</f>
        <v/>
      </c>
      <c r="F34" s="49">
        <f>IF('MiT Strom Pipeline'!R29="WON",IF(ISNUMBER('MiT Strom Pipeline'!I29),'MiT Strom Pipeline'!I29,0),"")</f>
        <v/>
      </c>
      <c r="G34" s="49">
        <f>IF('MiT Strom Pipeline'!R29="WON",IF(ISNUMBER('MiT Strom Pipeline'!Q29),'MiT Strom Pipeline'!Q29,0),"")</f>
        <v/>
      </c>
      <c r="H34" s="22">
        <f>IF('MiT Strom Pipeline'!R29="WON",'MiT Strom Pipeline'!R29,"")</f>
        <v/>
      </c>
      <c r="I34" s="22">
        <f>IF('MiT Strom Pipeline'!R29="WON",'MiT Strom Pipeline'!S29,"")</f>
        <v/>
      </c>
      <c r="J34" s="23">
        <f>IF('MiT Strom Pipeline'!R29="WON",IF(LEN('MiT Strom Pipeline'!V29)&gt;0,LEFT('MiT Strom Pipeline'!V29,55),""),"")</f>
        <v/>
      </c>
    </row>
    <row r="35" hidden="1" ht="15.75" customHeight="1">
      <c r="A35" s="19">
        <f>IF('MiT Strom Pipeline'!R30="WON",IF(ISNUMBER('MiT Strom Pipeline'!A30),'MiT Strom Pipeline'!A30,""),"")</f>
        <v/>
      </c>
      <c r="B35" s="20">
        <f>IF('MiT Strom Pipeline'!R30="WON",'MiT Strom Pipeline'!B30,"")</f>
        <v/>
      </c>
      <c r="C35" s="19">
        <f>IF('MiT Strom Pipeline'!R30="WON",'MiT Strom Pipeline'!C30,"")</f>
        <v/>
      </c>
      <c r="D35" s="20">
        <f>IF('MiT Strom Pipeline'!R30="WON",'MiT Strom Pipeline'!D30,"")</f>
        <v/>
      </c>
      <c r="E35" s="20">
        <f>IF('MiT Strom Pipeline'!R30="WON",'MiT Strom Pipeline'!E30,"")</f>
        <v/>
      </c>
      <c r="F35" s="48">
        <f>IF('MiT Strom Pipeline'!R30="WON",IF(ISNUMBER('MiT Strom Pipeline'!I30),'MiT Strom Pipeline'!I30,0),"")</f>
        <v/>
      </c>
      <c r="G35" s="48">
        <f>IF('MiT Strom Pipeline'!R30="WON",IF(ISNUMBER('MiT Strom Pipeline'!Q30),'MiT Strom Pipeline'!Q30,0),"")</f>
        <v/>
      </c>
      <c r="H35" s="19">
        <f>IF('MiT Strom Pipeline'!R30="WON",'MiT Strom Pipeline'!R30,"")</f>
        <v/>
      </c>
      <c r="I35" s="19">
        <f>IF('MiT Strom Pipeline'!R30="WON",'MiT Strom Pipeline'!S30,"")</f>
        <v/>
      </c>
      <c r="J35" s="20">
        <f>IF('MiT Strom Pipeline'!R30="WON",IF(LEN('MiT Strom Pipeline'!V30)&gt;0,LEFT('MiT Strom Pipeline'!V30,55),""),"")</f>
        <v/>
      </c>
    </row>
    <row r="36" hidden="1" ht="15.75" customHeight="1">
      <c r="A36" s="22">
        <f>IF('MiT Strom Pipeline'!R31="WON",IF(ISNUMBER('MiT Strom Pipeline'!A31),'MiT Strom Pipeline'!A31,""),"")</f>
        <v/>
      </c>
      <c r="B36" s="23">
        <f>IF('MiT Strom Pipeline'!R31="WON",'MiT Strom Pipeline'!B31,"")</f>
        <v/>
      </c>
      <c r="C36" s="22">
        <f>IF('MiT Strom Pipeline'!R31="WON",'MiT Strom Pipeline'!C31,"")</f>
        <v/>
      </c>
      <c r="D36" s="23">
        <f>IF('MiT Strom Pipeline'!R31="WON",'MiT Strom Pipeline'!D31,"")</f>
        <v/>
      </c>
      <c r="E36" s="23">
        <f>IF('MiT Strom Pipeline'!R31="WON",'MiT Strom Pipeline'!E31,"")</f>
        <v/>
      </c>
      <c r="F36" s="49">
        <f>IF('MiT Strom Pipeline'!R31="WON",IF(ISNUMBER('MiT Strom Pipeline'!I31),'MiT Strom Pipeline'!I31,0),"")</f>
        <v/>
      </c>
      <c r="G36" s="49">
        <f>IF('MiT Strom Pipeline'!R31="WON",IF(ISNUMBER('MiT Strom Pipeline'!Q31),'MiT Strom Pipeline'!Q31,0),"")</f>
        <v/>
      </c>
      <c r="H36" s="22">
        <f>IF('MiT Strom Pipeline'!R31="WON",'MiT Strom Pipeline'!R31,"")</f>
        <v/>
      </c>
      <c r="I36" s="22">
        <f>IF('MiT Strom Pipeline'!R31="WON",'MiT Strom Pipeline'!S31,"")</f>
        <v/>
      </c>
      <c r="J36" s="23">
        <f>IF('MiT Strom Pipeline'!R31="WON",IF(LEN('MiT Strom Pipeline'!V31)&gt;0,LEFT('MiT Strom Pipeline'!V31,55),""),"")</f>
        <v/>
      </c>
    </row>
    <row r="37" hidden="1" ht="15.75" customHeight="1">
      <c r="A37" s="19">
        <f>IF('MiT Strom Pipeline'!R32="WON",IF(ISNUMBER('MiT Strom Pipeline'!A32),'MiT Strom Pipeline'!A32,""),"")</f>
        <v/>
      </c>
      <c r="B37" s="20">
        <f>IF('MiT Strom Pipeline'!R32="WON",'MiT Strom Pipeline'!B32,"")</f>
        <v/>
      </c>
      <c r="C37" s="19">
        <f>IF('MiT Strom Pipeline'!R32="WON",'MiT Strom Pipeline'!C32,"")</f>
        <v/>
      </c>
      <c r="D37" s="20">
        <f>IF('MiT Strom Pipeline'!R32="WON",'MiT Strom Pipeline'!D32,"")</f>
        <v/>
      </c>
      <c r="E37" s="20">
        <f>IF('MiT Strom Pipeline'!R32="WON",'MiT Strom Pipeline'!E32,"")</f>
        <v/>
      </c>
      <c r="F37" s="48">
        <f>IF('MiT Strom Pipeline'!R32="WON",IF(ISNUMBER('MiT Strom Pipeline'!I32),'MiT Strom Pipeline'!I32,0),"")</f>
        <v/>
      </c>
      <c r="G37" s="48">
        <f>IF('MiT Strom Pipeline'!R32="WON",IF(ISNUMBER('MiT Strom Pipeline'!Q32),'MiT Strom Pipeline'!Q32,0),"")</f>
        <v/>
      </c>
      <c r="H37" s="19">
        <f>IF('MiT Strom Pipeline'!R32="WON",'MiT Strom Pipeline'!R32,"")</f>
        <v/>
      </c>
      <c r="I37" s="19">
        <f>IF('MiT Strom Pipeline'!R32="WON",'MiT Strom Pipeline'!S32,"")</f>
        <v/>
      </c>
      <c r="J37" s="20">
        <f>IF('MiT Strom Pipeline'!R32="WON",IF(LEN('MiT Strom Pipeline'!V32)&gt;0,LEFT('MiT Strom Pipeline'!V32,55),""),"")</f>
        <v/>
      </c>
    </row>
    <row r="38" hidden="1" ht="15.75" customHeight="1">
      <c r="A38" s="22">
        <f>IF('MiT Strom Pipeline'!R33="WON",IF(ISNUMBER('MiT Strom Pipeline'!A33),'MiT Strom Pipeline'!A33,""),"")</f>
        <v/>
      </c>
      <c r="B38" s="23">
        <f>IF('MiT Strom Pipeline'!R33="WON",'MiT Strom Pipeline'!B33,"")</f>
        <v/>
      </c>
      <c r="C38" s="22">
        <f>IF('MiT Strom Pipeline'!R33="WON",'MiT Strom Pipeline'!C33,"")</f>
        <v/>
      </c>
      <c r="D38" s="23">
        <f>IF('MiT Strom Pipeline'!R33="WON",'MiT Strom Pipeline'!D33,"")</f>
        <v/>
      </c>
      <c r="E38" s="23">
        <f>IF('MiT Strom Pipeline'!R33="WON",'MiT Strom Pipeline'!E33,"")</f>
        <v/>
      </c>
      <c r="F38" s="49">
        <f>IF('MiT Strom Pipeline'!R33="WON",IF(ISNUMBER('MiT Strom Pipeline'!I33),'MiT Strom Pipeline'!I33,0),"")</f>
        <v/>
      </c>
      <c r="G38" s="49">
        <f>IF('MiT Strom Pipeline'!R33="WON",IF(ISNUMBER('MiT Strom Pipeline'!Q33),'MiT Strom Pipeline'!Q33,0),"")</f>
        <v/>
      </c>
      <c r="H38" s="22">
        <f>IF('MiT Strom Pipeline'!R33="WON",'MiT Strom Pipeline'!R33,"")</f>
        <v/>
      </c>
      <c r="I38" s="22">
        <f>IF('MiT Strom Pipeline'!R33="WON",'MiT Strom Pipeline'!S33,"")</f>
        <v/>
      </c>
      <c r="J38" s="23">
        <f>IF('MiT Strom Pipeline'!R33="WON",IF(LEN('MiT Strom Pipeline'!V33)&gt;0,LEFT('MiT Strom Pipeline'!V33,55),""),"")</f>
        <v/>
      </c>
    </row>
    <row r="39" hidden="1" ht="15.75" customHeight="1">
      <c r="A39" s="19">
        <f>IF('MiT Strom Pipeline'!R34="WON",IF(ISNUMBER('MiT Strom Pipeline'!A34),'MiT Strom Pipeline'!A34,""),"")</f>
        <v/>
      </c>
      <c r="B39" s="20">
        <f>IF('MiT Strom Pipeline'!R34="WON",'MiT Strom Pipeline'!B34,"")</f>
        <v/>
      </c>
      <c r="C39" s="19">
        <f>IF('MiT Strom Pipeline'!R34="WON",'MiT Strom Pipeline'!C34,"")</f>
        <v/>
      </c>
      <c r="D39" s="20">
        <f>IF('MiT Strom Pipeline'!R34="WON",'MiT Strom Pipeline'!D34,"")</f>
        <v/>
      </c>
      <c r="E39" s="20">
        <f>IF('MiT Strom Pipeline'!R34="WON",'MiT Strom Pipeline'!E34,"")</f>
        <v/>
      </c>
      <c r="F39" s="48">
        <f>IF('MiT Strom Pipeline'!R34="WON",IF(ISNUMBER('MiT Strom Pipeline'!I34),'MiT Strom Pipeline'!I34,0),"")</f>
        <v/>
      </c>
      <c r="G39" s="48">
        <f>IF('MiT Strom Pipeline'!R34="WON",IF(ISNUMBER('MiT Strom Pipeline'!Q34),'MiT Strom Pipeline'!Q34,0),"")</f>
        <v/>
      </c>
      <c r="H39" s="19">
        <f>IF('MiT Strom Pipeline'!R34="WON",'MiT Strom Pipeline'!R34,"")</f>
        <v/>
      </c>
      <c r="I39" s="19">
        <f>IF('MiT Strom Pipeline'!R34="WON",'MiT Strom Pipeline'!S34,"")</f>
        <v/>
      </c>
      <c r="J39" s="20">
        <f>IF('MiT Strom Pipeline'!R34="WON",IF(LEN('MiT Strom Pipeline'!V34)&gt;0,LEFT('MiT Strom Pipeline'!V34,55),""),"")</f>
        <v/>
      </c>
    </row>
    <row r="40" hidden="1" ht="15.75" customHeight="1">
      <c r="A40" s="22">
        <f>IF('MiT Strom Pipeline'!R35="WON",IF(ISNUMBER('MiT Strom Pipeline'!A35),'MiT Strom Pipeline'!A35,""),"")</f>
        <v/>
      </c>
      <c r="B40" s="23">
        <f>IF('MiT Strom Pipeline'!R35="WON",'MiT Strom Pipeline'!B35,"")</f>
        <v/>
      </c>
      <c r="C40" s="22">
        <f>IF('MiT Strom Pipeline'!R35="WON",'MiT Strom Pipeline'!C35,"")</f>
        <v/>
      </c>
      <c r="D40" s="23">
        <f>IF('MiT Strom Pipeline'!R35="WON",'MiT Strom Pipeline'!D35,"")</f>
        <v/>
      </c>
      <c r="E40" s="23">
        <f>IF('MiT Strom Pipeline'!R35="WON",'MiT Strom Pipeline'!E35,"")</f>
        <v/>
      </c>
      <c r="F40" s="49">
        <f>IF('MiT Strom Pipeline'!R35="WON",IF(ISNUMBER('MiT Strom Pipeline'!I35),'MiT Strom Pipeline'!I35,0),"")</f>
        <v/>
      </c>
      <c r="G40" s="49">
        <f>IF('MiT Strom Pipeline'!R35="WON",IF(ISNUMBER('MiT Strom Pipeline'!Q35),'MiT Strom Pipeline'!Q35,0),"")</f>
        <v/>
      </c>
      <c r="H40" s="22">
        <f>IF('MiT Strom Pipeline'!R35="WON",'MiT Strom Pipeline'!R35,"")</f>
        <v/>
      </c>
      <c r="I40" s="22">
        <f>IF('MiT Strom Pipeline'!R35="WON",'MiT Strom Pipeline'!S35,"")</f>
        <v/>
      </c>
      <c r="J40" s="23">
        <f>IF('MiT Strom Pipeline'!R35="WON",IF(LEN('MiT Strom Pipeline'!V35)&gt;0,LEFT('MiT Strom Pipeline'!V35,55),""),"")</f>
        <v/>
      </c>
    </row>
    <row r="41" hidden="1" ht="15.75" customHeight="1">
      <c r="A41" s="19">
        <f>IF('MiT Strom Pipeline'!R36="WON",IF(ISNUMBER('MiT Strom Pipeline'!A36),'MiT Strom Pipeline'!A36,""),"")</f>
        <v/>
      </c>
      <c r="B41" s="20">
        <f>IF('MiT Strom Pipeline'!R36="WON",'MiT Strom Pipeline'!B36,"")</f>
        <v/>
      </c>
      <c r="C41" s="19">
        <f>IF('MiT Strom Pipeline'!R36="WON",'MiT Strom Pipeline'!C36,"")</f>
        <v/>
      </c>
      <c r="D41" s="20">
        <f>IF('MiT Strom Pipeline'!R36="WON",'MiT Strom Pipeline'!D36,"")</f>
        <v/>
      </c>
      <c r="E41" s="20">
        <f>IF('MiT Strom Pipeline'!R36="WON",'MiT Strom Pipeline'!E36,"")</f>
        <v/>
      </c>
      <c r="F41" s="48">
        <f>IF('MiT Strom Pipeline'!R36="WON",IF(ISNUMBER('MiT Strom Pipeline'!I36),'MiT Strom Pipeline'!I36,0),"")</f>
        <v/>
      </c>
      <c r="G41" s="48">
        <f>IF('MiT Strom Pipeline'!R36="WON",IF(ISNUMBER('MiT Strom Pipeline'!Q36),'MiT Strom Pipeline'!Q36,0),"")</f>
        <v/>
      </c>
      <c r="H41" s="19">
        <f>IF('MiT Strom Pipeline'!R36="WON",'MiT Strom Pipeline'!R36,"")</f>
        <v/>
      </c>
      <c r="I41" s="19">
        <f>IF('MiT Strom Pipeline'!R36="WON",'MiT Strom Pipeline'!S36,"")</f>
        <v/>
      </c>
      <c r="J41" s="20">
        <f>IF('MiT Strom Pipeline'!R36="WON",IF(LEN('MiT Strom Pipeline'!V36)&gt;0,LEFT('MiT Strom Pipeline'!V36,55),""),"")</f>
        <v/>
      </c>
    </row>
    <row r="42" hidden="1" ht="15.75" customHeight="1">
      <c r="A42" s="22">
        <f>IF('MiT Strom Pipeline'!R37="WON",IF(ISNUMBER('MiT Strom Pipeline'!A37),'MiT Strom Pipeline'!A37,""),"")</f>
        <v/>
      </c>
      <c r="B42" s="23">
        <f>IF('MiT Strom Pipeline'!R37="WON",'MiT Strom Pipeline'!B37,"")</f>
        <v/>
      </c>
      <c r="C42" s="22">
        <f>IF('MiT Strom Pipeline'!R37="WON",'MiT Strom Pipeline'!C37,"")</f>
        <v/>
      </c>
      <c r="D42" s="23">
        <f>IF('MiT Strom Pipeline'!R37="WON",'MiT Strom Pipeline'!D37,"")</f>
        <v/>
      </c>
      <c r="E42" s="23">
        <f>IF('MiT Strom Pipeline'!R37="WON",'MiT Strom Pipeline'!E37,"")</f>
        <v/>
      </c>
      <c r="F42" s="49">
        <f>IF('MiT Strom Pipeline'!R37="WON",IF(ISNUMBER('MiT Strom Pipeline'!I37),'MiT Strom Pipeline'!I37,0),"")</f>
        <v/>
      </c>
      <c r="G42" s="49">
        <f>IF('MiT Strom Pipeline'!R37="WON",IF(ISNUMBER('MiT Strom Pipeline'!Q37),'MiT Strom Pipeline'!Q37,0),"")</f>
        <v/>
      </c>
      <c r="H42" s="22">
        <f>IF('MiT Strom Pipeline'!R37="WON",'MiT Strom Pipeline'!R37,"")</f>
        <v/>
      </c>
      <c r="I42" s="22">
        <f>IF('MiT Strom Pipeline'!R37="WON",'MiT Strom Pipeline'!S37,"")</f>
        <v/>
      </c>
      <c r="J42" s="23">
        <f>IF('MiT Strom Pipeline'!R37="WON",IF(LEN('MiT Strom Pipeline'!V37)&gt;0,LEFT('MiT Strom Pipeline'!V37,55),""),"")</f>
        <v/>
      </c>
    </row>
    <row r="43" hidden="1" ht="15.75" customHeight="1">
      <c r="A43" s="19">
        <f>IF('MiT Strom Pipeline'!R38="WON",IF(ISNUMBER('MiT Strom Pipeline'!A38),'MiT Strom Pipeline'!A38,""),"")</f>
        <v/>
      </c>
      <c r="B43" s="20">
        <f>IF('MiT Strom Pipeline'!R38="WON",'MiT Strom Pipeline'!B38,"")</f>
        <v/>
      </c>
      <c r="C43" s="19">
        <f>IF('MiT Strom Pipeline'!R38="WON",'MiT Strom Pipeline'!C38,"")</f>
        <v/>
      </c>
      <c r="D43" s="20">
        <f>IF('MiT Strom Pipeline'!R38="WON",'MiT Strom Pipeline'!D38,"")</f>
        <v/>
      </c>
      <c r="E43" s="20">
        <f>IF('MiT Strom Pipeline'!R38="WON",'MiT Strom Pipeline'!E38,"")</f>
        <v/>
      </c>
      <c r="F43" s="48">
        <f>IF('MiT Strom Pipeline'!R38="WON",IF(ISNUMBER('MiT Strom Pipeline'!I38),'MiT Strom Pipeline'!I38,0),"")</f>
        <v/>
      </c>
      <c r="G43" s="48">
        <f>IF('MiT Strom Pipeline'!R38="WON",IF(ISNUMBER('MiT Strom Pipeline'!Q38),'MiT Strom Pipeline'!Q38,0),"")</f>
        <v/>
      </c>
      <c r="H43" s="19">
        <f>IF('MiT Strom Pipeline'!R38="WON",'MiT Strom Pipeline'!R38,"")</f>
        <v/>
      </c>
      <c r="I43" s="19">
        <f>IF('MiT Strom Pipeline'!R38="WON",'MiT Strom Pipeline'!S38,"")</f>
        <v/>
      </c>
      <c r="J43" s="20">
        <f>IF('MiT Strom Pipeline'!R38="WON",IF(LEN('MiT Strom Pipeline'!V38)&gt;0,LEFT('MiT Strom Pipeline'!V38,55),""),"")</f>
        <v/>
      </c>
    </row>
    <row r="44" hidden="1" ht="15.75" customHeight="1">
      <c r="A44" s="22">
        <f>IF('MiT Strom Pipeline'!R39="WON",IF(ISNUMBER('MiT Strom Pipeline'!A39),'MiT Strom Pipeline'!A39,""),"")</f>
        <v/>
      </c>
      <c r="B44" s="23">
        <f>IF('MiT Strom Pipeline'!R39="WON",'MiT Strom Pipeline'!B39,"")</f>
        <v/>
      </c>
      <c r="C44" s="22">
        <f>IF('MiT Strom Pipeline'!R39="WON",'MiT Strom Pipeline'!C39,"")</f>
        <v/>
      </c>
      <c r="D44" s="23">
        <f>IF('MiT Strom Pipeline'!R39="WON",'MiT Strom Pipeline'!D39,"")</f>
        <v/>
      </c>
      <c r="E44" s="23">
        <f>IF('MiT Strom Pipeline'!R39="WON",'MiT Strom Pipeline'!E39,"")</f>
        <v/>
      </c>
      <c r="F44" s="49">
        <f>IF('MiT Strom Pipeline'!R39="WON",IF(ISNUMBER('MiT Strom Pipeline'!I39),'MiT Strom Pipeline'!I39,0),"")</f>
        <v/>
      </c>
      <c r="G44" s="49">
        <f>IF('MiT Strom Pipeline'!R39="WON",IF(ISNUMBER('MiT Strom Pipeline'!Q39),'MiT Strom Pipeline'!Q39,0),"")</f>
        <v/>
      </c>
      <c r="H44" s="22">
        <f>IF('MiT Strom Pipeline'!R39="WON",'MiT Strom Pipeline'!R39,"")</f>
        <v/>
      </c>
      <c r="I44" s="22">
        <f>IF('MiT Strom Pipeline'!R39="WON",'MiT Strom Pipeline'!S39,"")</f>
        <v/>
      </c>
      <c r="J44" s="23">
        <f>IF('MiT Strom Pipeline'!R39="WON",IF(LEN('MiT Strom Pipeline'!V39)&gt;0,LEFT('MiT Strom Pipeline'!V39,55),""),"")</f>
        <v/>
      </c>
    </row>
    <row r="45" hidden="1" ht="15.75" customHeight="1">
      <c r="A45" s="19">
        <f>IF('MiT Strom Pipeline'!R40="WON",IF(ISNUMBER('MiT Strom Pipeline'!A40),'MiT Strom Pipeline'!A40,""),"")</f>
        <v/>
      </c>
      <c r="B45" s="20">
        <f>IF('MiT Strom Pipeline'!R40="WON",'MiT Strom Pipeline'!B40,"")</f>
        <v/>
      </c>
      <c r="C45" s="19">
        <f>IF('MiT Strom Pipeline'!R40="WON",'MiT Strom Pipeline'!C40,"")</f>
        <v/>
      </c>
      <c r="D45" s="20">
        <f>IF('MiT Strom Pipeline'!R40="WON",'MiT Strom Pipeline'!D40,"")</f>
        <v/>
      </c>
      <c r="E45" s="20">
        <f>IF('MiT Strom Pipeline'!R40="WON",'MiT Strom Pipeline'!E40,"")</f>
        <v/>
      </c>
      <c r="F45" s="48">
        <f>IF('MiT Strom Pipeline'!R40="WON",IF(ISNUMBER('MiT Strom Pipeline'!I40),'MiT Strom Pipeline'!I40,0),"")</f>
        <v/>
      </c>
      <c r="G45" s="48">
        <f>IF('MiT Strom Pipeline'!R40="WON",IF(ISNUMBER('MiT Strom Pipeline'!Q40),'MiT Strom Pipeline'!Q40,0),"")</f>
        <v/>
      </c>
      <c r="H45" s="19">
        <f>IF('MiT Strom Pipeline'!R40="WON",'MiT Strom Pipeline'!R40,"")</f>
        <v/>
      </c>
      <c r="I45" s="19">
        <f>IF('MiT Strom Pipeline'!R40="WON",'MiT Strom Pipeline'!S40,"")</f>
        <v/>
      </c>
      <c r="J45" s="20">
        <f>IF('MiT Strom Pipeline'!R40="WON",IF(LEN('MiT Strom Pipeline'!V40)&gt;0,LEFT('MiT Strom Pipeline'!V40,55),""),"")</f>
        <v/>
      </c>
    </row>
    <row r="46" hidden="1" ht="15.75" customHeight="1">
      <c r="A46" s="22">
        <f>IF('MiT Strom Pipeline'!R41="WON",IF(ISNUMBER('MiT Strom Pipeline'!A41),'MiT Strom Pipeline'!A41,""),"")</f>
        <v/>
      </c>
      <c r="B46" s="23">
        <f>IF('MiT Strom Pipeline'!R41="WON",'MiT Strom Pipeline'!B41,"")</f>
        <v/>
      </c>
      <c r="C46" s="22">
        <f>IF('MiT Strom Pipeline'!R41="WON",'MiT Strom Pipeline'!C41,"")</f>
        <v/>
      </c>
      <c r="D46" s="23">
        <f>IF('MiT Strom Pipeline'!R41="WON",'MiT Strom Pipeline'!D41,"")</f>
        <v/>
      </c>
      <c r="E46" s="23">
        <f>IF('MiT Strom Pipeline'!R41="WON",'MiT Strom Pipeline'!E41,"")</f>
        <v/>
      </c>
      <c r="F46" s="49">
        <f>IF('MiT Strom Pipeline'!R41="WON",IF(ISNUMBER('MiT Strom Pipeline'!I41),'MiT Strom Pipeline'!I41,0),"")</f>
        <v/>
      </c>
      <c r="G46" s="49">
        <f>IF('MiT Strom Pipeline'!R41="WON",IF(ISNUMBER('MiT Strom Pipeline'!Q41),'MiT Strom Pipeline'!Q41,0),"")</f>
        <v/>
      </c>
      <c r="H46" s="22">
        <f>IF('MiT Strom Pipeline'!R41="WON",'MiT Strom Pipeline'!R41,"")</f>
        <v/>
      </c>
      <c r="I46" s="22">
        <f>IF('MiT Strom Pipeline'!R41="WON",'MiT Strom Pipeline'!S41,"")</f>
        <v/>
      </c>
      <c r="J46" s="23">
        <f>IF('MiT Strom Pipeline'!R41="WON",IF(LEN('MiT Strom Pipeline'!V41)&gt;0,LEFT('MiT Strom Pipeline'!V41,55),""),"")</f>
        <v/>
      </c>
    </row>
    <row r="47" hidden="1" ht="15.75" customHeight="1">
      <c r="A47" s="19">
        <f>IF('MiT Strom Pipeline'!R42="WON",IF(ISNUMBER('MiT Strom Pipeline'!A42),'MiT Strom Pipeline'!A42,""),"")</f>
        <v/>
      </c>
      <c r="B47" s="20">
        <f>IF('MiT Strom Pipeline'!R42="WON",'MiT Strom Pipeline'!B42,"")</f>
        <v/>
      </c>
      <c r="C47" s="19">
        <f>IF('MiT Strom Pipeline'!R42="WON",'MiT Strom Pipeline'!C42,"")</f>
        <v/>
      </c>
      <c r="D47" s="20">
        <f>IF('MiT Strom Pipeline'!R42="WON",'MiT Strom Pipeline'!D42,"")</f>
        <v/>
      </c>
      <c r="E47" s="20">
        <f>IF('MiT Strom Pipeline'!R42="WON",'MiT Strom Pipeline'!E42,"")</f>
        <v/>
      </c>
      <c r="F47" s="48">
        <f>IF('MiT Strom Pipeline'!R42="WON",IF(ISNUMBER('MiT Strom Pipeline'!I42),'MiT Strom Pipeline'!I42,0),"")</f>
        <v/>
      </c>
      <c r="G47" s="48">
        <f>IF('MiT Strom Pipeline'!R42="WON",IF(ISNUMBER('MiT Strom Pipeline'!Q42),'MiT Strom Pipeline'!Q42,0),"")</f>
        <v/>
      </c>
      <c r="H47" s="19">
        <f>IF('MiT Strom Pipeline'!R42="WON",'MiT Strom Pipeline'!R42,"")</f>
        <v/>
      </c>
      <c r="I47" s="19">
        <f>IF('MiT Strom Pipeline'!R42="WON",'MiT Strom Pipeline'!S42,"")</f>
        <v/>
      </c>
      <c r="J47" s="20">
        <f>IF('MiT Strom Pipeline'!R42="WON",IF(LEN('MiT Strom Pipeline'!V42)&gt;0,LEFT('MiT Strom Pipeline'!V42,55),""),"")</f>
        <v/>
      </c>
    </row>
    <row r="48" hidden="1" ht="15.75" customHeight="1">
      <c r="A48" s="22">
        <f>IF('MiT Strom Pipeline'!R43="WON",IF(ISNUMBER('MiT Strom Pipeline'!A43),'MiT Strom Pipeline'!A43,""),"")</f>
        <v/>
      </c>
      <c r="B48" s="23">
        <f>IF('MiT Strom Pipeline'!R43="WON",'MiT Strom Pipeline'!B43,"")</f>
        <v/>
      </c>
      <c r="C48" s="22">
        <f>IF('MiT Strom Pipeline'!R43="WON",'MiT Strom Pipeline'!C43,"")</f>
        <v/>
      </c>
      <c r="D48" s="23">
        <f>IF('MiT Strom Pipeline'!R43="WON",'MiT Strom Pipeline'!D43,"")</f>
        <v/>
      </c>
      <c r="E48" s="23">
        <f>IF('MiT Strom Pipeline'!R43="WON",'MiT Strom Pipeline'!E43,"")</f>
        <v/>
      </c>
      <c r="F48" s="49">
        <f>IF('MiT Strom Pipeline'!R43="WON",IF(ISNUMBER('MiT Strom Pipeline'!I43),'MiT Strom Pipeline'!I43,0),"")</f>
        <v/>
      </c>
      <c r="G48" s="49">
        <f>IF('MiT Strom Pipeline'!R43="WON",IF(ISNUMBER('MiT Strom Pipeline'!Q43),'MiT Strom Pipeline'!Q43,0),"")</f>
        <v/>
      </c>
      <c r="H48" s="22">
        <f>IF('MiT Strom Pipeline'!R43="WON",'MiT Strom Pipeline'!R43,"")</f>
        <v/>
      </c>
      <c r="I48" s="22">
        <f>IF('MiT Strom Pipeline'!R43="WON",'MiT Strom Pipeline'!S43,"")</f>
        <v/>
      </c>
      <c r="J48" s="23">
        <f>IF('MiT Strom Pipeline'!R43="WON",IF(LEN('MiT Strom Pipeline'!V43)&gt;0,LEFT('MiT Strom Pipeline'!V43,55),""),"")</f>
        <v/>
      </c>
    </row>
    <row r="49" hidden="1" ht="15.75" customHeight="1">
      <c r="A49" s="19">
        <f>IF('MiT Strom Pipeline'!R44="WON",IF(ISNUMBER('MiT Strom Pipeline'!A44),'MiT Strom Pipeline'!A44,""),"")</f>
        <v/>
      </c>
      <c r="B49" s="20">
        <f>IF('MiT Strom Pipeline'!R44="WON",'MiT Strom Pipeline'!B44,"")</f>
        <v/>
      </c>
      <c r="C49" s="19">
        <f>IF('MiT Strom Pipeline'!R44="WON",'MiT Strom Pipeline'!C44,"")</f>
        <v/>
      </c>
      <c r="D49" s="20">
        <f>IF('MiT Strom Pipeline'!R44="WON",'MiT Strom Pipeline'!D44,"")</f>
        <v/>
      </c>
      <c r="E49" s="20">
        <f>IF('MiT Strom Pipeline'!R44="WON",'MiT Strom Pipeline'!E44,"")</f>
        <v/>
      </c>
      <c r="F49" s="48">
        <f>IF('MiT Strom Pipeline'!R44="WON",IF(ISNUMBER('MiT Strom Pipeline'!I44),'MiT Strom Pipeline'!I44,0),"")</f>
        <v/>
      </c>
      <c r="G49" s="48">
        <f>IF('MiT Strom Pipeline'!R44="WON",IF(ISNUMBER('MiT Strom Pipeline'!Q44),'MiT Strom Pipeline'!Q44,0),"")</f>
        <v/>
      </c>
      <c r="H49" s="19">
        <f>IF('MiT Strom Pipeline'!R44="WON",'MiT Strom Pipeline'!R44,"")</f>
        <v/>
      </c>
      <c r="I49" s="19">
        <f>IF('MiT Strom Pipeline'!R44="WON",'MiT Strom Pipeline'!S44,"")</f>
        <v/>
      </c>
      <c r="J49" s="20">
        <f>IF('MiT Strom Pipeline'!R44="WON",IF(LEN('MiT Strom Pipeline'!V44)&gt;0,LEFT('MiT Strom Pipeline'!V44,55),""),"")</f>
        <v/>
      </c>
    </row>
    <row r="50" hidden="1" ht="15.75" customHeight="1">
      <c r="A50" s="22">
        <f>IF('MiT Strom Pipeline'!R45="WON",IF(ISNUMBER('MiT Strom Pipeline'!A45),'MiT Strom Pipeline'!A45,""),"")</f>
        <v/>
      </c>
      <c r="B50" s="23">
        <f>IF('MiT Strom Pipeline'!R45="WON",'MiT Strom Pipeline'!B45,"")</f>
        <v/>
      </c>
      <c r="C50" s="22">
        <f>IF('MiT Strom Pipeline'!R45="WON",'MiT Strom Pipeline'!C45,"")</f>
        <v/>
      </c>
      <c r="D50" s="23">
        <f>IF('MiT Strom Pipeline'!R45="WON",'MiT Strom Pipeline'!D45,"")</f>
        <v/>
      </c>
      <c r="E50" s="23">
        <f>IF('MiT Strom Pipeline'!R45="WON",'MiT Strom Pipeline'!E45,"")</f>
        <v/>
      </c>
      <c r="F50" s="49">
        <f>IF('MiT Strom Pipeline'!R45="WON",IF(ISNUMBER('MiT Strom Pipeline'!I45),'MiT Strom Pipeline'!I45,0),"")</f>
        <v/>
      </c>
      <c r="G50" s="49">
        <f>IF('MiT Strom Pipeline'!R45="WON",IF(ISNUMBER('MiT Strom Pipeline'!Q45),'MiT Strom Pipeline'!Q45,0),"")</f>
        <v/>
      </c>
      <c r="H50" s="22">
        <f>IF('MiT Strom Pipeline'!R45="WON",'MiT Strom Pipeline'!R45,"")</f>
        <v/>
      </c>
      <c r="I50" s="22">
        <f>IF('MiT Strom Pipeline'!R45="WON",'MiT Strom Pipeline'!S45,"")</f>
        <v/>
      </c>
      <c r="J50" s="23">
        <f>IF('MiT Strom Pipeline'!R45="WON",IF(LEN('MiT Strom Pipeline'!V45)&gt;0,LEFT('MiT Strom Pipeline'!V45,55),""),"")</f>
        <v/>
      </c>
    </row>
    <row r="51" hidden="1" ht="15.75" customHeight="1">
      <c r="A51" s="19">
        <f>IF('MiT Strom Pipeline'!R46="WON",IF(ISNUMBER('MiT Strom Pipeline'!A46),'MiT Strom Pipeline'!A46,""),"")</f>
        <v/>
      </c>
      <c r="B51" s="20">
        <f>IF('MiT Strom Pipeline'!R46="WON",'MiT Strom Pipeline'!B46,"")</f>
        <v/>
      </c>
      <c r="C51" s="19">
        <f>IF('MiT Strom Pipeline'!R46="WON",'MiT Strom Pipeline'!C46,"")</f>
        <v/>
      </c>
      <c r="D51" s="20">
        <f>IF('MiT Strom Pipeline'!R46="WON",'MiT Strom Pipeline'!D46,"")</f>
        <v/>
      </c>
      <c r="E51" s="20">
        <f>IF('MiT Strom Pipeline'!R46="WON",'MiT Strom Pipeline'!E46,"")</f>
        <v/>
      </c>
      <c r="F51" s="48">
        <f>IF('MiT Strom Pipeline'!R46="WON",IF(ISNUMBER('MiT Strom Pipeline'!I46),'MiT Strom Pipeline'!I46,0),"")</f>
        <v/>
      </c>
      <c r="G51" s="48">
        <f>IF('MiT Strom Pipeline'!R46="WON",IF(ISNUMBER('MiT Strom Pipeline'!Q46),'MiT Strom Pipeline'!Q46,0),"")</f>
        <v/>
      </c>
      <c r="H51" s="19">
        <f>IF('MiT Strom Pipeline'!R46="WON",'MiT Strom Pipeline'!R46,"")</f>
        <v/>
      </c>
      <c r="I51" s="19">
        <f>IF('MiT Strom Pipeline'!R46="WON",'MiT Strom Pipeline'!S46,"")</f>
        <v/>
      </c>
      <c r="J51" s="20">
        <f>IF('MiT Strom Pipeline'!R46="WON",IF(LEN('MiT Strom Pipeline'!V46)&gt;0,LEFT('MiT Strom Pipeline'!V46,55),""),"")</f>
        <v/>
      </c>
    </row>
    <row r="52" hidden="1" ht="15.75" customHeight="1">
      <c r="A52" s="22">
        <f>IF('MiT Strom Pipeline'!R47="WON",IF(ISNUMBER('MiT Strom Pipeline'!A47),'MiT Strom Pipeline'!A47,""),"")</f>
        <v/>
      </c>
      <c r="B52" s="23">
        <f>IF('MiT Strom Pipeline'!R47="WON",'MiT Strom Pipeline'!B47,"")</f>
        <v/>
      </c>
      <c r="C52" s="22">
        <f>IF('MiT Strom Pipeline'!R47="WON",'MiT Strom Pipeline'!C47,"")</f>
        <v/>
      </c>
      <c r="D52" s="23">
        <f>IF('MiT Strom Pipeline'!R47="WON",'MiT Strom Pipeline'!D47,"")</f>
        <v/>
      </c>
      <c r="E52" s="23">
        <f>IF('MiT Strom Pipeline'!R47="WON",'MiT Strom Pipeline'!E47,"")</f>
        <v/>
      </c>
      <c r="F52" s="49">
        <f>IF('MiT Strom Pipeline'!R47="WON",IF(ISNUMBER('MiT Strom Pipeline'!I47),'MiT Strom Pipeline'!I47,0),"")</f>
        <v/>
      </c>
      <c r="G52" s="49">
        <f>IF('MiT Strom Pipeline'!R47="WON",IF(ISNUMBER('MiT Strom Pipeline'!Q47),'MiT Strom Pipeline'!Q47,0),"")</f>
        <v/>
      </c>
      <c r="H52" s="22">
        <f>IF('MiT Strom Pipeline'!R47="WON",'MiT Strom Pipeline'!R47,"")</f>
        <v/>
      </c>
      <c r="I52" s="22">
        <f>IF('MiT Strom Pipeline'!R47="WON",'MiT Strom Pipeline'!S47,"")</f>
        <v/>
      </c>
      <c r="J52" s="23">
        <f>IF('MiT Strom Pipeline'!R47="WON",IF(LEN('MiT Strom Pipeline'!V47)&gt;0,LEFT('MiT Strom Pipeline'!V47,55),""),"")</f>
        <v/>
      </c>
    </row>
    <row r="53" hidden="1" ht="15.75" customHeight="1">
      <c r="A53" s="19">
        <f>IF('MiT Strom Pipeline'!R48="WON",IF(ISNUMBER('MiT Strom Pipeline'!A48),'MiT Strom Pipeline'!A48,""),"")</f>
        <v/>
      </c>
      <c r="B53" s="20">
        <f>IF('MiT Strom Pipeline'!R48="WON",'MiT Strom Pipeline'!B48,"")</f>
        <v/>
      </c>
      <c r="C53" s="19">
        <f>IF('MiT Strom Pipeline'!R48="WON",'MiT Strom Pipeline'!C48,"")</f>
        <v/>
      </c>
      <c r="D53" s="20">
        <f>IF('MiT Strom Pipeline'!R48="WON",'MiT Strom Pipeline'!D48,"")</f>
        <v/>
      </c>
      <c r="E53" s="20">
        <f>IF('MiT Strom Pipeline'!R48="WON",'MiT Strom Pipeline'!E48,"")</f>
        <v/>
      </c>
      <c r="F53" s="48">
        <f>IF('MiT Strom Pipeline'!R48="WON",IF(ISNUMBER('MiT Strom Pipeline'!I48),'MiT Strom Pipeline'!I48,0),"")</f>
        <v/>
      </c>
      <c r="G53" s="48">
        <f>IF('MiT Strom Pipeline'!R48="WON",IF(ISNUMBER('MiT Strom Pipeline'!Q48),'MiT Strom Pipeline'!Q48,0),"")</f>
        <v/>
      </c>
      <c r="H53" s="19">
        <f>IF('MiT Strom Pipeline'!R48="WON",'MiT Strom Pipeline'!R48,"")</f>
        <v/>
      </c>
      <c r="I53" s="19">
        <f>IF('MiT Strom Pipeline'!R48="WON",'MiT Strom Pipeline'!S48,"")</f>
        <v/>
      </c>
      <c r="J53" s="20">
        <f>IF('MiT Strom Pipeline'!R48="WON",IF(LEN('MiT Strom Pipeline'!V48)&gt;0,LEFT('MiT Strom Pipeline'!V48,55),""),"")</f>
        <v/>
      </c>
    </row>
    <row r="54" hidden="1" ht="15.75" customHeight="1">
      <c r="A54" s="22">
        <f>IF('MiT Strom Pipeline'!R49="WON",IF(ISNUMBER('MiT Strom Pipeline'!A49),'MiT Strom Pipeline'!A49,""),"")</f>
        <v/>
      </c>
      <c r="B54" s="23">
        <f>IF('MiT Strom Pipeline'!R49="WON",'MiT Strom Pipeline'!B49,"")</f>
        <v/>
      </c>
      <c r="C54" s="22">
        <f>IF('MiT Strom Pipeline'!R49="WON",'MiT Strom Pipeline'!C49,"")</f>
        <v/>
      </c>
      <c r="D54" s="23">
        <f>IF('MiT Strom Pipeline'!R49="WON",'MiT Strom Pipeline'!D49,"")</f>
        <v/>
      </c>
      <c r="E54" s="23">
        <f>IF('MiT Strom Pipeline'!R49="WON",'MiT Strom Pipeline'!E49,"")</f>
        <v/>
      </c>
      <c r="F54" s="49">
        <f>IF('MiT Strom Pipeline'!R49="WON",IF(ISNUMBER('MiT Strom Pipeline'!I49),'MiT Strom Pipeline'!I49,0),"")</f>
        <v/>
      </c>
      <c r="G54" s="49">
        <f>IF('MiT Strom Pipeline'!R49="WON",IF(ISNUMBER('MiT Strom Pipeline'!Q49),'MiT Strom Pipeline'!Q49,0),"")</f>
        <v/>
      </c>
      <c r="H54" s="22">
        <f>IF('MiT Strom Pipeline'!R49="WON",'MiT Strom Pipeline'!R49,"")</f>
        <v/>
      </c>
      <c r="I54" s="22">
        <f>IF('MiT Strom Pipeline'!R49="WON",'MiT Strom Pipeline'!S49,"")</f>
        <v/>
      </c>
      <c r="J54" s="23">
        <f>IF('MiT Strom Pipeline'!R49="WON",IF(LEN('MiT Strom Pipeline'!V49)&gt;0,LEFT('MiT Strom Pipeline'!V49,55),""),"")</f>
        <v/>
      </c>
    </row>
    <row r="55" hidden="1" ht="15.75" customHeight="1">
      <c r="A55" s="19">
        <f>IF('MiT Strom Pipeline'!R50="WON",IF(ISNUMBER('MiT Strom Pipeline'!A50),'MiT Strom Pipeline'!A50,""),"")</f>
        <v/>
      </c>
      <c r="B55" s="20">
        <f>IF('MiT Strom Pipeline'!R50="WON",'MiT Strom Pipeline'!B50,"")</f>
        <v/>
      </c>
      <c r="C55" s="19">
        <f>IF('MiT Strom Pipeline'!R50="WON",'MiT Strom Pipeline'!C50,"")</f>
        <v/>
      </c>
      <c r="D55" s="20">
        <f>IF('MiT Strom Pipeline'!R50="WON",'MiT Strom Pipeline'!D50,"")</f>
        <v/>
      </c>
      <c r="E55" s="20">
        <f>IF('MiT Strom Pipeline'!R50="WON",'MiT Strom Pipeline'!E50,"")</f>
        <v/>
      </c>
      <c r="F55" s="48">
        <f>IF('MiT Strom Pipeline'!R50="WON",IF(ISNUMBER('MiT Strom Pipeline'!I50),'MiT Strom Pipeline'!I50,0),"")</f>
        <v/>
      </c>
      <c r="G55" s="48">
        <f>IF('MiT Strom Pipeline'!R50="WON",IF(ISNUMBER('MiT Strom Pipeline'!Q50),'MiT Strom Pipeline'!Q50,0),"")</f>
        <v/>
      </c>
      <c r="H55" s="19">
        <f>IF('MiT Strom Pipeline'!R50="WON",'MiT Strom Pipeline'!R50,"")</f>
        <v/>
      </c>
      <c r="I55" s="19">
        <f>IF('MiT Strom Pipeline'!R50="WON",'MiT Strom Pipeline'!S50,"")</f>
        <v/>
      </c>
      <c r="J55" s="20">
        <f>IF('MiT Strom Pipeline'!R50="WON",IF(LEN('MiT Strom Pipeline'!V50)&gt;0,LEFT('MiT Strom Pipeline'!V50,55),""),"")</f>
        <v/>
      </c>
    </row>
    <row r="56" hidden="1" ht="15.75" customHeight="1">
      <c r="A56" s="22">
        <f>IF('MiT Strom Pipeline'!R51="WON",IF(ISNUMBER('MiT Strom Pipeline'!A51),'MiT Strom Pipeline'!A51,""),"")</f>
        <v/>
      </c>
      <c r="B56" s="23">
        <f>IF('MiT Strom Pipeline'!R51="WON",'MiT Strom Pipeline'!B51,"")</f>
        <v/>
      </c>
      <c r="C56" s="22">
        <f>IF('MiT Strom Pipeline'!R51="WON",'MiT Strom Pipeline'!C51,"")</f>
        <v/>
      </c>
      <c r="D56" s="23">
        <f>IF('MiT Strom Pipeline'!R51="WON",'MiT Strom Pipeline'!D51,"")</f>
        <v/>
      </c>
      <c r="E56" s="23">
        <f>IF('MiT Strom Pipeline'!R51="WON",'MiT Strom Pipeline'!E51,"")</f>
        <v/>
      </c>
      <c r="F56" s="49">
        <f>IF('MiT Strom Pipeline'!R51="WON",IF(ISNUMBER('MiT Strom Pipeline'!I51),'MiT Strom Pipeline'!I51,0),"")</f>
        <v/>
      </c>
      <c r="G56" s="49">
        <f>IF('MiT Strom Pipeline'!R51="WON",IF(ISNUMBER('MiT Strom Pipeline'!Q51),'MiT Strom Pipeline'!Q51,0),"")</f>
        <v/>
      </c>
      <c r="H56" s="22">
        <f>IF('MiT Strom Pipeline'!R51="WON",'MiT Strom Pipeline'!R51,"")</f>
        <v/>
      </c>
      <c r="I56" s="22">
        <f>IF('MiT Strom Pipeline'!R51="WON",'MiT Strom Pipeline'!S51,"")</f>
        <v/>
      </c>
      <c r="J56" s="23">
        <f>IF('MiT Strom Pipeline'!R51="WON",IF(LEN('MiT Strom Pipeline'!V51)&gt;0,LEFT('MiT Strom Pipeline'!V51,55),""),"")</f>
        <v/>
      </c>
    </row>
    <row r="57" hidden="1" ht="15.75" customHeight="1">
      <c r="A57" s="19">
        <f>IF('MiT Strom Pipeline'!R52="WON",IF(ISNUMBER('MiT Strom Pipeline'!A52),'MiT Strom Pipeline'!A52,""),"")</f>
        <v/>
      </c>
      <c r="B57" s="20">
        <f>IF('MiT Strom Pipeline'!R52="WON",'MiT Strom Pipeline'!B52,"")</f>
        <v/>
      </c>
      <c r="C57" s="19">
        <f>IF('MiT Strom Pipeline'!R52="WON",'MiT Strom Pipeline'!C52,"")</f>
        <v/>
      </c>
      <c r="D57" s="20">
        <f>IF('MiT Strom Pipeline'!R52="WON",'MiT Strom Pipeline'!D52,"")</f>
        <v/>
      </c>
      <c r="E57" s="20">
        <f>IF('MiT Strom Pipeline'!R52="WON",'MiT Strom Pipeline'!E52,"")</f>
        <v/>
      </c>
      <c r="F57" s="48">
        <f>IF('MiT Strom Pipeline'!R52="WON",IF(ISNUMBER('MiT Strom Pipeline'!I52),'MiT Strom Pipeline'!I52,0),"")</f>
        <v/>
      </c>
      <c r="G57" s="48">
        <f>IF('MiT Strom Pipeline'!R52="WON",IF(ISNUMBER('MiT Strom Pipeline'!Q52),'MiT Strom Pipeline'!Q52,0),"")</f>
        <v/>
      </c>
      <c r="H57" s="19">
        <f>IF('MiT Strom Pipeline'!R52="WON",'MiT Strom Pipeline'!R52,"")</f>
        <v/>
      </c>
      <c r="I57" s="19">
        <f>IF('MiT Strom Pipeline'!R52="WON",'MiT Strom Pipeline'!S52,"")</f>
        <v/>
      </c>
      <c r="J57" s="20">
        <f>IF('MiT Strom Pipeline'!R52="WON",IF(LEN('MiT Strom Pipeline'!V52)&gt;0,LEFT('MiT Strom Pipeline'!V52,55),""),"")</f>
        <v/>
      </c>
    </row>
    <row r="58" hidden="1" ht="15.75" customHeight="1">
      <c r="A58" s="22">
        <f>IF('MiT Strom Pipeline'!R53="WON",IF(ISNUMBER('MiT Strom Pipeline'!A53),'MiT Strom Pipeline'!A53,""),"")</f>
        <v/>
      </c>
      <c r="B58" s="23">
        <f>IF('MiT Strom Pipeline'!R53="WON",'MiT Strom Pipeline'!B53,"")</f>
        <v/>
      </c>
      <c r="C58" s="22">
        <f>IF('MiT Strom Pipeline'!R53="WON",'MiT Strom Pipeline'!C53,"")</f>
        <v/>
      </c>
      <c r="D58" s="23">
        <f>IF('MiT Strom Pipeline'!R53="WON",'MiT Strom Pipeline'!D53,"")</f>
        <v/>
      </c>
      <c r="E58" s="23">
        <f>IF('MiT Strom Pipeline'!R53="WON",'MiT Strom Pipeline'!E53,"")</f>
        <v/>
      </c>
      <c r="F58" s="49">
        <f>IF('MiT Strom Pipeline'!R53="WON",IF(ISNUMBER('MiT Strom Pipeline'!I53),'MiT Strom Pipeline'!I53,0),"")</f>
        <v/>
      </c>
      <c r="G58" s="49">
        <f>IF('MiT Strom Pipeline'!R53="WON",IF(ISNUMBER('MiT Strom Pipeline'!Q53),'MiT Strom Pipeline'!Q53,0),"")</f>
        <v/>
      </c>
      <c r="H58" s="22">
        <f>IF('MiT Strom Pipeline'!R53="WON",'MiT Strom Pipeline'!R53,"")</f>
        <v/>
      </c>
      <c r="I58" s="22">
        <f>IF('MiT Strom Pipeline'!R53="WON",'MiT Strom Pipeline'!S53,"")</f>
        <v/>
      </c>
      <c r="J58" s="23">
        <f>IF('MiT Strom Pipeline'!R53="WON",IF(LEN('MiT Strom Pipeline'!V53)&gt;0,LEFT('MiT Strom Pipeline'!V53,55),""),"")</f>
        <v/>
      </c>
    </row>
    <row r="59" hidden="1" ht="15.75" customHeight="1">
      <c r="A59" s="19">
        <f>IF('MiT Strom Pipeline'!R54="WON",IF(ISNUMBER('MiT Strom Pipeline'!A54),'MiT Strom Pipeline'!A54,""),"")</f>
        <v/>
      </c>
      <c r="B59" s="20">
        <f>IF('MiT Strom Pipeline'!R54="WON",'MiT Strom Pipeline'!B54,"")</f>
        <v/>
      </c>
      <c r="C59" s="19">
        <f>IF('MiT Strom Pipeline'!R54="WON",'MiT Strom Pipeline'!C54,"")</f>
        <v/>
      </c>
      <c r="D59" s="20">
        <f>IF('MiT Strom Pipeline'!R54="WON",'MiT Strom Pipeline'!D54,"")</f>
        <v/>
      </c>
      <c r="E59" s="20">
        <f>IF('MiT Strom Pipeline'!R54="WON",'MiT Strom Pipeline'!E54,"")</f>
        <v/>
      </c>
      <c r="F59" s="48">
        <f>IF('MiT Strom Pipeline'!R54="WON",IF(ISNUMBER('MiT Strom Pipeline'!I54),'MiT Strom Pipeline'!I54,0),"")</f>
        <v/>
      </c>
      <c r="G59" s="48">
        <f>IF('MiT Strom Pipeline'!R54="WON",IF(ISNUMBER('MiT Strom Pipeline'!Q54),'MiT Strom Pipeline'!Q54,0),"")</f>
        <v/>
      </c>
      <c r="H59" s="19">
        <f>IF('MiT Strom Pipeline'!R54="WON",'MiT Strom Pipeline'!R54,"")</f>
        <v/>
      </c>
      <c r="I59" s="19">
        <f>IF('MiT Strom Pipeline'!R54="WON",'MiT Strom Pipeline'!S54,"")</f>
        <v/>
      </c>
      <c r="J59" s="20">
        <f>IF('MiT Strom Pipeline'!R54="WON",IF(LEN('MiT Strom Pipeline'!V54)&gt;0,LEFT('MiT Strom Pipeline'!V54,55),""),"")</f>
        <v/>
      </c>
    </row>
    <row r="60" hidden="1" ht="15.75" customHeight="1">
      <c r="A60" s="22">
        <f>IF('MiT Strom Pipeline'!R55="WON",IF(ISNUMBER('MiT Strom Pipeline'!A55),'MiT Strom Pipeline'!A55,""),"")</f>
        <v/>
      </c>
      <c r="B60" s="23">
        <f>IF('MiT Strom Pipeline'!R55="WON",'MiT Strom Pipeline'!B55,"")</f>
        <v/>
      </c>
      <c r="C60" s="22">
        <f>IF('MiT Strom Pipeline'!R55="WON",'MiT Strom Pipeline'!C55,"")</f>
        <v/>
      </c>
      <c r="D60" s="23">
        <f>IF('MiT Strom Pipeline'!R55="WON",'MiT Strom Pipeline'!D55,"")</f>
        <v/>
      </c>
      <c r="E60" s="23">
        <f>IF('MiT Strom Pipeline'!R55="WON",'MiT Strom Pipeline'!E55,"")</f>
        <v/>
      </c>
      <c r="F60" s="49">
        <f>IF('MiT Strom Pipeline'!R55="WON",IF(ISNUMBER('MiT Strom Pipeline'!I55),'MiT Strom Pipeline'!I55,0),"")</f>
        <v/>
      </c>
      <c r="G60" s="49">
        <f>IF('MiT Strom Pipeline'!R55="WON",IF(ISNUMBER('MiT Strom Pipeline'!Q55),'MiT Strom Pipeline'!Q55,0),"")</f>
        <v/>
      </c>
      <c r="H60" s="22">
        <f>IF('MiT Strom Pipeline'!R55="WON",'MiT Strom Pipeline'!R55,"")</f>
        <v/>
      </c>
      <c r="I60" s="22">
        <f>IF('MiT Strom Pipeline'!R55="WON",'MiT Strom Pipeline'!S55,"")</f>
        <v/>
      </c>
      <c r="J60" s="23">
        <f>IF('MiT Strom Pipeline'!R55="WON",IF(LEN('MiT Strom Pipeline'!V55)&gt;0,LEFT('MiT Strom Pipeline'!V55,55),""),"")</f>
        <v/>
      </c>
    </row>
    <row r="61" hidden="1" ht="15.75" customHeight="1">
      <c r="A61" s="19">
        <f>IF('MiT Strom Pipeline'!R56="WON",IF(ISNUMBER('MiT Strom Pipeline'!A56),'MiT Strom Pipeline'!A56,""),"")</f>
        <v/>
      </c>
      <c r="B61" s="20">
        <f>IF('MiT Strom Pipeline'!R56="WON",'MiT Strom Pipeline'!B56,"")</f>
        <v/>
      </c>
      <c r="C61" s="19">
        <f>IF('MiT Strom Pipeline'!R56="WON",'MiT Strom Pipeline'!C56,"")</f>
        <v/>
      </c>
      <c r="D61" s="20">
        <f>IF('MiT Strom Pipeline'!R56="WON",'MiT Strom Pipeline'!D56,"")</f>
        <v/>
      </c>
      <c r="E61" s="20">
        <f>IF('MiT Strom Pipeline'!R56="WON",'MiT Strom Pipeline'!E56,"")</f>
        <v/>
      </c>
      <c r="F61" s="48">
        <f>IF('MiT Strom Pipeline'!R56="WON",IF(ISNUMBER('MiT Strom Pipeline'!I56),'MiT Strom Pipeline'!I56,0),"")</f>
        <v/>
      </c>
      <c r="G61" s="48">
        <f>IF('MiT Strom Pipeline'!R56="WON",IF(ISNUMBER('MiT Strom Pipeline'!Q56),'MiT Strom Pipeline'!Q56,0),"")</f>
        <v/>
      </c>
      <c r="H61" s="19">
        <f>IF('MiT Strom Pipeline'!R56="WON",'MiT Strom Pipeline'!R56,"")</f>
        <v/>
      </c>
      <c r="I61" s="19">
        <f>IF('MiT Strom Pipeline'!R56="WON",'MiT Strom Pipeline'!S56,"")</f>
        <v/>
      </c>
      <c r="J61" s="20">
        <f>IF('MiT Strom Pipeline'!R56="WON",IF(LEN('MiT Strom Pipeline'!V56)&gt;0,LEFT('MiT Strom Pipeline'!V56,55),""),"")</f>
        <v/>
      </c>
    </row>
    <row r="62" hidden="1" ht="15.75" customHeight="1">
      <c r="A62" s="22">
        <f>IF('MiT Strom Pipeline'!R57="WON",IF(ISNUMBER('MiT Strom Pipeline'!A57),'MiT Strom Pipeline'!A57,""),"")</f>
        <v/>
      </c>
      <c r="B62" s="23">
        <f>IF('MiT Strom Pipeline'!R57="WON",'MiT Strom Pipeline'!B57,"")</f>
        <v/>
      </c>
      <c r="C62" s="22">
        <f>IF('MiT Strom Pipeline'!R57="WON",'MiT Strom Pipeline'!C57,"")</f>
        <v/>
      </c>
      <c r="D62" s="23">
        <f>IF('MiT Strom Pipeline'!R57="WON",'MiT Strom Pipeline'!D57,"")</f>
        <v/>
      </c>
      <c r="E62" s="23">
        <f>IF('MiT Strom Pipeline'!R57="WON",'MiT Strom Pipeline'!E57,"")</f>
        <v/>
      </c>
      <c r="F62" s="49">
        <f>IF('MiT Strom Pipeline'!R57="WON",IF(ISNUMBER('MiT Strom Pipeline'!I57),'MiT Strom Pipeline'!I57,0),"")</f>
        <v/>
      </c>
      <c r="G62" s="49">
        <f>IF('MiT Strom Pipeline'!R57="WON",IF(ISNUMBER('MiT Strom Pipeline'!Q57),'MiT Strom Pipeline'!Q57,0),"")</f>
        <v/>
      </c>
      <c r="H62" s="22">
        <f>IF('MiT Strom Pipeline'!R57="WON",'MiT Strom Pipeline'!R57,"")</f>
        <v/>
      </c>
      <c r="I62" s="22">
        <f>IF('MiT Strom Pipeline'!R57="WON",'MiT Strom Pipeline'!S57,"")</f>
        <v/>
      </c>
      <c r="J62" s="23">
        <f>IF('MiT Strom Pipeline'!R57="WON",IF(LEN('MiT Strom Pipeline'!V57)&gt;0,LEFT('MiT Strom Pipeline'!V57,55),""),"")</f>
        <v/>
      </c>
    </row>
    <row r="63" hidden="1" ht="15.75" customHeight="1">
      <c r="A63" s="19">
        <f>IF('MiT Strom Pipeline'!R58="WON",IF(ISNUMBER('MiT Strom Pipeline'!A58),'MiT Strom Pipeline'!A58,""),"")</f>
        <v/>
      </c>
      <c r="B63" s="20">
        <f>IF('MiT Strom Pipeline'!R58="WON",'MiT Strom Pipeline'!B58,"")</f>
        <v/>
      </c>
      <c r="C63" s="19">
        <f>IF('MiT Strom Pipeline'!R58="WON",'MiT Strom Pipeline'!C58,"")</f>
        <v/>
      </c>
      <c r="D63" s="20">
        <f>IF('MiT Strom Pipeline'!R58="WON",'MiT Strom Pipeline'!D58,"")</f>
        <v/>
      </c>
      <c r="E63" s="20">
        <f>IF('MiT Strom Pipeline'!R58="WON",'MiT Strom Pipeline'!E58,"")</f>
        <v/>
      </c>
      <c r="F63" s="48">
        <f>IF('MiT Strom Pipeline'!R58="WON",IF(ISNUMBER('MiT Strom Pipeline'!I58),'MiT Strom Pipeline'!I58,0),"")</f>
        <v/>
      </c>
      <c r="G63" s="48">
        <f>IF('MiT Strom Pipeline'!R58="WON",IF(ISNUMBER('MiT Strom Pipeline'!Q58),'MiT Strom Pipeline'!Q58,0),"")</f>
        <v/>
      </c>
      <c r="H63" s="19">
        <f>IF('MiT Strom Pipeline'!R58="WON",'MiT Strom Pipeline'!R58,"")</f>
        <v/>
      </c>
      <c r="I63" s="19">
        <f>IF('MiT Strom Pipeline'!R58="WON",'MiT Strom Pipeline'!S58,"")</f>
        <v/>
      </c>
      <c r="J63" s="20">
        <f>IF('MiT Strom Pipeline'!R58="WON",IF(LEN('MiT Strom Pipeline'!V58)&gt;0,LEFT('MiT Strom Pipeline'!V58,55),""),"")</f>
        <v/>
      </c>
    </row>
    <row r="64" hidden="1" ht="15.75" customHeight="1">
      <c r="A64" s="22">
        <f>IF('MiT Strom Pipeline'!R59="WON",IF(ISNUMBER('MiT Strom Pipeline'!A59),'MiT Strom Pipeline'!A59,""),"")</f>
        <v/>
      </c>
      <c r="B64" s="23">
        <f>IF('MiT Strom Pipeline'!R59="WON",'MiT Strom Pipeline'!B59,"")</f>
        <v/>
      </c>
      <c r="C64" s="22">
        <f>IF('MiT Strom Pipeline'!R59="WON",'MiT Strom Pipeline'!C59,"")</f>
        <v/>
      </c>
      <c r="D64" s="23">
        <f>IF('MiT Strom Pipeline'!R59="WON",'MiT Strom Pipeline'!D59,"")</f>
        <v/>
      </c>
      <c r="E64" s="23">
        <f>IF('MiT Strom Pipeline'!R59="WON",'MiT Strom Pipeline'!E59,"")</f>
        <v/>
      </c>
      <c r="F64" s="49">
        <f>IF('MiT Strom Pipeline'!R59="WON",IF(ISNUMBER('MiT Strom Pipeline'!I59),'MiT Strom Pipeline'!I59,0),"")</f>
        <v/>
      </c>
      <c r="G64" s="49">
        <f>IF('MiT Strom Pipeline'!R59="WON",IF(ISNUMBER('MiT Strom Pipeline'!Q59),'MiT Strom Pipeline'!Q59,0),"")</f>
        <v/>
      </c>
      <c r="H64" s="22">
        <f>IF('MiT Strom Pipeline'!R59="WON",'MiT Strom Pipeline'!R59,"")</f>
        <v/>
      </c>
      <c r="I64" s="22">
        <f>IF('MiT Strom Pipeline'!R59="WON",'MiT Strom Pipeline'!S59,"")</f>
        <v/>
      </c>
      <c r="J64" s="23">
        <f>IF('MiT Strom Pipeline'!R59="WON",IF(LEN('MiT Strom Pipeline'!V59)&gt;0,LEFT('MiT Strom Pipeline'!V59,55),""),"")</f>
        <v/>
      </c>
    </row>
    <row r="65" hidden="1" ht="15.75" customHeight="1">
      <c r="A65" s="19">
        <f>IF('MiT Strom Pipeline'!R60="WON",IF(ISNUMBER('MiT Strom Pipeline'!A60),'MiT Strom Pipeline'!A60,""),"")</f>
        <v/>
      </c>
      <c r="B65" s="20">
        <f>IF('MiT Strom Pipeline'!R60="WON",'MiT Strom Pipeline'!B60,"")</f>
        <v/>
      </c>
      <c r="C65" s="19">
        <f>IF('MiT Strom Pipeline'!R60="WON",'MiT Strom Pipeline'!C60,"")</f>
        <v/>
      </c>
      <c r="D65" s="20">
        <f>IF('MiT Strom Pipeline'!R60="WON",'MiT Strom Pipeline'!D60,"")</f>
        <v/>
      </c>
      <c r="E65" s="20">
        <f>IF('MiT Strom Pipeline'!R60="WON",'MiT Strom Pipeline'!E60,"")</f>
        <v/>
      </c>
      <c r="F65" s="48">
        <f>IF('MiT Strom Pipeline'!R60="WON",IF(ISNUMBER('MiT Strom Pipeline'!I60),'MiT Strom Pipeline'!I60,0),"")</f>
        <v/>
      </c>
      <c r="G65" s="48">
        <f>IF('MiT Strom Pipeline'!R60="WON",IF(ISNUMBER('MiT Strom Pipeline'!Q60),'MiT Strom Pipeline'!Q60,0),"")</f>
        <v/>
      </c>
      <c r="H65" s="19">
        <f>IF('MiT Strom Pipeline'!R60="WON",'MiT Strom Pipeline'!R60,"")</f>
        <v/>
      </c>
      <c r="I65" s="19">
        <f>IF('MiT Strom Pipeline'!R60="WON",'MiT Strom Pipeline'!S60,"")</f>
        <v/>
      </c>
      <c r="J65" s="20">
        <f>IF('MiT Strom Pipeline'!R60="WON",IF(LEN('MiT Strom Pipeline'!V60)&gt;0,LEFT('MiT Strom Pipeline'!V60,55),""),"")</f>
        <v/>
      </c>
    </row>
    <row r="66" hidden="1" ht="15.75" customHeight="1">
      <c r="A66" s="22">
        <f>IF('MiT Strom Pipeline'!R61="WON",IF(ISNUMBER('MiT Strom Pipeline'!A61),'MiT Strom Pipeline'!A61,""),"")</f>
        <v/>
      </c>
      <c r="B66" s="23">
        <f>IF('MiT Strom Pipeline'!R61="WON",'MiT Strom Pipeline'!B61,"")</f>
        <v/>
      </c>
      <c r="C66" s="22">
        <f>IF('MiT Strom Pipeline'!R61="WON",'MiT Strom Pipeline'!C61,"")</f>
        <v/>
      </c>
      <c r="D66" s="23">
        <f>IF('MiT Strom Pipeline'!R61="WON",'MiT Strom Pipeline'!D61,"")</f>
        <v/>
      </c>
      <c r="E66" s="23">
        <f>IF('MiT Strom Pipeline'!R61="WON",'MiT Strom Pipeline'!E61,"")</f>
        <v/>
      </c>
      <c r="F66" s="49">
        <f>IF('MiT Strom Pipeline'!R61="WON",IF(ISNUMBER('MiT Strom Pipeline'!I61),'MiT Strom Pipeline'!I61,0),"")</f>
        <v/>
      </c>
      <c r="G66" s="49">
        <f>IF('MiT Strom Pipeline'!R61="WON",IF(ISNUMBER('MiT Strom Pipeline'!Q61),'MiT Strom Pipeline'!Q61,0),"")</f>
        <v/>
      </c>
      <c r="H66" s="22">
        <f>IF('MiT Strom Pipeline'!R61="WON",'MiT Strom Pipeline'!R61,"")</f>
        <v/>
      </c>
      <c r="I66" s="22">
        <f>IF('MiT Strom Pipeline'!R61="WON",'MiT Strom Pipeline'!S61,"")</f>
        <v/>
      </c>
      <c r="J66" s="23">
        <f>IF('MiT Strom Pipeline'!R61="WON",IF(LEN('MiT Strom Pipeline'!V61)&gt;0,LEFT('MiT Strom Pipeline'!V61,55),""),"")</f>
        <v/>
      </c>
    </row>
    <row r="67" hidden="1" ht="15.75" customHeight="1">
      <c r="A67" s="19">
        <f>IF('MiT Strom Pipeline'!R62="WON",IF(ISNUMBER('MiT Strom Pipeline'!A62),'MiT Strom Pipeline'!A62,""),"")</f>
        <v/>
      </c>
      <c r="B67" s="20">
        <f>IF('MiT Strom Pipeline'!R62="WON",'MiT Strom Pipeline'!B62,"")</f>
        <v/>
      </c>
      <c r="C67" s="19">
        <f>IF('MiT Strom Pipeline'!R62="WON",'MiT Strom Pipeline'!C62,"")</f>
        <v/>
      </c>
      <c r="D67" s="20">
        <f>IF('MiT Strom Pipeline'!R62="WON",'MiT Strom Pipeline'!D62,"")</f>
        <v/>
      </c>
      <c r="E67" s="20">
        <f>IF('MiT Strom Pipeline'!R62="WON",'MiT Strom Pipeline'!E62,"")</f>
        <v/>
      </c>
      <c r="F67" s="48">
        <f>IF('MiT Strom Pipeline'!R62="WON",IF(ISNUMBER('MiT Strom Pipeline'!I62),'MiT Strom Pipeline'!I62,0),"")</f>
        <v/>
      </c>
      <c r="G67" s="48">
        <f>IF('MiT Strom Pipeline'!R62="WON",IF(ISNUMBER('MiT Strom Pipeline'!Q62),'MiT Strom Pipeline'!Q62,0),"")</f>
        <v/>
      </c>
      <c r="H67" s="19">
        <f>IF('MiT Strom Pipeline'!R62="WON",'MiT Strom Pipeline'!R62,"")</f>
        <v/>
      </c>
      <c r="I67" s="19">
        <f>IF('MiT Strom Pipeline'!R62="WON",'MiT Strom Pipeline'!S62,"")</f>
        <v/>
      </c>
      <c r="J67" s="20">
        <f>IF('MiT Strom Pipeline'!R62="WON",IF(LEN('MiT Strom Pipeline'!V62)&gt;0,LEFT('MiT Strom Pipeline'!V62,55),""),"")</f>
        <v/>
      </c>
    </row>
    <row r="68" hidden="1" ht="15.75" customHeight="1">
      <c r="A68" s="22">
        <f>IF('MiT Strom Pipeline'!R63="WON",IF(ISNUMBER('MiT Strom Pipeline'!A63),'MiT Strom Pipeline'!A63,""),"")</f>
        <v/>
      </c>
      <c r="B68" s="23">
        <f>IF('MiT Strom Pipeline'!R63="WON",'MiT Strom Pipeline'!B63,"")</f>
        <v/>
      </c>
      <c r="C68" s="22">
        <f>IF('MiT Strom Pipeline'!R63="WON",'MiT Strom Pipeline'!C63,"")</f>
        <v/>
      </c>
      <c r="D68" s="23">
        <f>IF('MiT Strom Pipeline'!R63="WON",'MiT Strom Pipeline'!D63,"")</f>
        <v/>
      </c>
      <c r="E68" s="23">
        <f>IF('MiT Strom Pipeline'!R63="WON",'MiT Strom Pipeline'!E63,"")</f>
        <v/>
      </c>
      <c r="F68" s="49">
        <f>IF('MiT Strom Pipeline'!R63="WON",IF(ISNUMBER('MiT Strom Pipeline'!I63),'MiT Strom Pipeline'!I63,0),"")</f>
        <v/>
      </c>
      <c r="G68" s="49">
        <f>IF('MiT Strom Pipeline'!R63="WON",IF(ISNUMBER('MiT Strom Pipeline'!Q63),'MiT Strom Pipeline'!Q63,0),"")</f>
        <v/>
      </c>
      <c r="H68" s="22">
        <f>IF('MiT Strom Pipeline'!R63="WON",'MiT Strom Pipeline'!R63,"")</f>
        <v/>
      </c>
      <c r="I68" s="22">
        <f>IF('MiT Strom Pipeline'!R63="WON",'MiT Strom Pipeline'!S63,"")</f>
        <v/>
      </c>
      <c r="J68" s="23">
        <f>IF('MiT Strom Pipeline'!R63="WON",IF(LEN('MiT Strom Pipeline'!V63)&gt;0,LEFT('MiT Strom Pipeline'!V63,55),""),"")</f>
        <v/>
      </c>
    </row>
    <row r="69" hidden="1" ht="15.75" customHeight="1">
      <c r="A69" s="19">
        <f>IF('MiT Strom Pipeline'!R64="WON",IF(ISNUMBER('MiT Strom Pipeline'!A64),'MiT Strom Pipeline'!A64,""),"")</f>
        <v/>
      </c>
      <c r="B69" s="20">
        <f>IF('MiT Strom Pipeline'!R64="WON",'MiT Strom Pipeline'!B64,"")</f>
        <v/>
      </c>
      <c r="C69" s="19">
        <f>IF('MiT Strom Pipeline'!R64="WON",'MiT Strom Pipeline'!C64,"")</f>
        <v/>
      </c>
      <c r="D69" s="20">
        <f>IF('MiT Strom Pipeline'!R64="WON",'MiT Strom Pipeline'!D64,"")</f>
        <v/>
      </c>
      <c r="E69" s="20">
        <f>IF('MiT Strom Pipeline'!R64="WON",'MiT Strom Pipeline'!E64,"")</f>
        <v/>
      </c>
      <c r="F69" s="48">
        <f>IF('MiT Strom Pipeline'!R64="WON",IF(ISNUMBER('MiT Strom Pipeline'!I64),'MiT Strom Pipeline'!I64,0),"")</f>
        <v/>
      </c>
      <c r="G69" s="48">
        <f>IF('MiT Strom Pipeline'!R64="WON",IF(ISNUMBER('MiT Strom Pipeline'!Q64),'MiT Strom Pipeline'!Q64,0),"")</f>
        <v/>
      </c>
      <c r="H69" s="19">
        <f>IF('MiT Strom Pipeline'!R64="WON",'MiT Strom Pipeline'!R64,"")</f>
        <v/>
      </c>
      <c r="I69" s="19">
        <f>IF('MiT Strom Pipeline'!R64="WON",'MiT Strom Pipeline'!S64,"")</f>
        <v/>
      </c>
      <c r="J69" s="20">
        <f>IF('MiT Strom Pipeline'!R64="WON",IF(LEN('MiT Strom Pipeline'!V64)&gt;0,LEFT('MiT Strom Pipeline'!V64,55),""),"")</f>
        <v/>
      </c>
    </row>
    <row r="70" hidden="1" ht="15.75" customHeight="1">
      <c r="A70" s="22">
        <f>IF('MiT Strom Pipeline'!R65="WON",IF(ISNUMBER('MiT Strom Pipeline'!A65),'MiT Strom Pipeline'!A65,""),"")</f>
        <v/>
      </c>
      <c r="B70" s="23">
        <f>IF('MiT Strom Pipeline'!R65="WON",'MiT Strom Pipeline'!B65,"")</f>
        <v/>
      </c>
      <c r="C70" s="22">
        <f>IF('MiT Strom Pipeline'!R65="WON",'MiT Strom Pipeline'!C65,"")</f>
        <v/>
      </c>
      <c r="D70" s="23">
        <f>IF('MiT Strom Pipeline'!R65="WON",'MiT Strom Pipeline'!D65,"")</f>
        <v/>
      </c>
      <c r="E70" s="23">
        <f>IF('MiT Strom Pipeline'!R65="WON",'MiT Strom Pipeline'!E65,"")</f>
        <v/>
      </c>
      <c r="F70" s="49">
        <f>IF('MiT Strom Pipeline'!R65="WON",IF(ISNUMBER('MiT Strom Pipeline'!I65),'MiT Strom Pipeline'!I65,0),"")</f>
        <v/>
      </c>
      <c r="G70" s="49">
        <f>IF('MiT Strom Pipeline'!R65="WON",IF(ISNUMBER('MiT Strom Pipeline'!Q65),'MiT Strom Pipeline'!Q65,0),"")</f>
        <v/>
      </c>
      <c r="H70" s="22">
        <f>IF('MiT Strom Pipeline'!R65="WON",'MiT Strom Pipeline'!R65,"")</f>
        <v/>
      </c>
      <c r="I70" s="22">
        <f>IF('MiT Strom Pipeline'!R65="WON",'MiT Strom Pipeline'!S65,"")</f>
        <v/>
      </c>
      <c r="J70" s="23">
        <f>IF('MiT Strom Pipeline'!R65="WON",IF(LEN('MiT Strom Pipeline'!V65)&gt;0,LEFT('MiT Strom Pipeline'!V65,55),""),"")</f>
        <v/>
      </c>
    </row>
    <row r="71" hidden="1" ht="21.75" customHeight="1">
      <c r="A71" s="26">
        <f>IF('MiT Strom Pipeline'!R66="WON",IF(ISNUMBER('MiT Strom Pipeline'!A66),'MiT Strom Pipeline'!A66,""),"")</f>
        <v/>
      </c>
      <c r="B71" s="112">
        <f>IF('MiT Strom Pipeline'!R66="WON",'MiT Strom Pipeline'!B66,"")</f>
        <v/>
      </c>
      <c r="C71" s="166" t="n"/>
      <c r="D71" s="166" t="n"/>
      <c r="E71" s="167" t="n"/>
      <c r="F71" s="50">
        <f>IF('MiT Strom Pipeline'!R66="WON",IF(ISNUMBER('MiT Strom Pipeline'!I66),'MiT Strom Pipeline'!I66,0),"")</f>
        <v/>
      </c>
      <c r="G71" s="51">
        <f>IF('MiT Strom Pipeline'!R66="WON",IF(ISNUMBER('MiT Strom Pipeline'!Q66),'MiT Strom Pipeline'!Q66,0),"")</f>
        <v/>
      </c>
      <c r="H71" s="26">
        <f>IF('MiT Strom Pipeline'!R66="WON",'MiT Strom Pipeline'!R66,"")</f>
        <v/>
      </c>
      <c r="I71" s="26">
        <f>IF('MiT Strom Pipeline'!R66="WON",'MiT Strom Pipeline'!S66,"")</f>
        <v/>
      </c>
      <c r="J71" s="26">
        <f>IF('MiT Strom Pipeline'!R66="WON",IF(LEN('MiT Strom Pipeline'!V66)&gt;0,LEFT('MiT Strom Pipeline'!V66,55),""),"")</f>
        <v/>
      </c>
    </row>
    <row r="72" hidden="1" ht="3.75" customHeight="1">
      <c r="A72">
        <f>IF('MiT Strom Pipeline'!R67="WON",IF(ISNUMBER('MiT Strom Pipeline'!A67),'MiT Strom Pipeline'!A67,""),"")</f>
        <v/>
      </c>
      <c r="B72">
        <f>IF('MiT Strom Pipeline'!R67="WON",'MiT Strom Pipeline'!B67,"")</f>
        <v/>
      </c>
      <c r="C72">
        <f>IF('MiT Strom Pipeline'!R67="WON",'MiT Strom Pipeline'!C67,"")</f>
        <v/>
      </c>
      <c r="D72">
        <f>IF('MiT Strom Pipeline'!R67="WON",'MiT Strom Pipeline'!D67,"")</f>
        <v/>
      </c>
      <c r="E72">
        <f>IF('MiT Strom Pipeline'!R67="WON",'MiT Strom Pipeline'!E67,"")</f>
        <v/>
      </c>
      <c r="F72" s="45">
        <f>IF('MiT Strom Pipeline'!R67="WON",IF(ISNUMBER('MiT Strom Pipeline'!I67),'MiT Strom Pipeline'!I67,0),"")</f>
        <v/>
      </c>
      <c r="G72" s="45">
        <f>IF('MiT Strom Pipeline'!R67="WON",IF(ISNUMBER('MiT Strom Pipeline'!Q67),'MiT Strom Pipeline'!Q67,0),"")</f>
        <v/>
      </c>
      <c r="H72">
        <f>IF('MiT Strom Pipeline'!R67="WON",'MiT Strom Pipeline'!R67,"")</f>
        <v/>
      </c>
      <c r="I72">
        <f>IF('MiT Strom Pipeline'!R67="WON",'MiT Strom Pipeline'!S67,"")</f>
        <v/>
      </c>
      <c r="J72">
        <f>IF('MiT Strom Pipeline'!R67="WON",IF(LEN('MiT Strom Pipeline'!V67)&gt;0,LEFT('MiT Strom Pipeline'!V67,55),""),"")</f>
        <v/>
      </c>
    </row>
    <row r="73" hidden="1" ht="24" customHeight="1">
      <c r="A73" s="113" t="inlineStr">
        <is>
          <t>📄  2. OFFERTE — Versendete &amp; laufende Angebote</t>
        </is>
      </c>
      <c r="B73" s="166" t="n"/>
      <c r="C73" s="166" t="n"/>
      <c r="D73" s="166" t="n"/>
      <c r="E73" s="166" t="n"/>
      <c r="F73" s="166" t="n"/>
      <c r="G73" s="166" t="n"/>
      <c r="H73" s="166" t="n"/>
      <c r="I73" s="166" t="n"/>
      <c r="J73" s="167" t="n"/>
    </row>
    <row r="74" ht="19.5" customHeight="1">
      <c r="A74" s="16" t="inlineStr">
        <is>
          <t>#</t>
        </is>
      </c>
      <c r="B74" s="17" t="inlineStr">
        <is>
          <t>Kunde / Unternehmen</t>
        </is>
      </c>
      <c r="C74" s="16" t="inlineStr">
        <is>
          <t>Kt.</t>
        </is>
      </c>
      <c r="D74" s="17" t="inlineStr">
        <is>
          <t>Segment</t>
        </is>
      </c>
      <c r="E74" s="17" t="inlineStr">
        <is>
          <t>Leistung / Fleet</t>
        </is>
      </c>
      <c r="F74" s="47" t="inlineStr">
        <is>
          <t>Volumen CHF</t>
        </is>
      </c>
      <c r="G74" s="47" t="inlineStr">
        <is>
          <t>Gew.Wert CHF</t>
        </is>
      </c>
      <c r="H74" s="16" t="inlineStr">
        <is>
          <t>Status</t>
        </is>
      </c>
      <c r="I74" s="16" t="inlineStr">
        <is>
          <t>Wahr.%</t>
        </is>
      </c>
      <c r="J74" s="17" t="inlineStr">
        <is>
          <t>Nächster Schritt</t>
        </is>
      </c>
    </row>
    <row r="75" hidden="1" ht="15.75" customHeight="1">
      <c r="A75" s="28">
        <f>IF(('MiT Strom Pipeline'!R6="offered")+('MiT Strom Pipeline'!R6="to be offered")+('MiT Strom Pipeline'!R6="on hold")&gt;0,IF(ISNUMBER('MiT Strom Pipeline'!A6),'MiT Strom Pipeline'!A6,""),"")</f>
        <v/>
      </c>
      <c r="B75" s="29">
        <f>IF(('MiT Strom Pipeline'!R6="offered")+('MiT Strom Pipeline'!R6="to be offered")+('MiT Strom Pipeline'!R6="on hold")&gt;0,'MiT Strom Pipeline'!B6,"")</f>
        <v/>
      </c>
      <c r="C75" s="28">
        <f>IF(('MiT Strom Pipeline'!R6="offered")+('MiT Strom Pipeline'!R6="to be offered")+('MiT Strom Pipeline'!R6="on hold")&gt;0,'MiT Strom Pipeline'!C6,"")</f>
        <v/>
      </c>
      <c r="D75" s="29">
        <f>IF(('MiT Strom Pipeline'!R6="offered")+('MiT Strom Pipeline'!R6="to be offered")+('MiT Strom Pipeline'!R6="on hold")&gt;0,'MiT Strom Pipeline'!D6,"")</f>
        <v/>
      </c>
      <c r="E75" s="29">
        <f>IF(('MiT Strom Pipeline'!R6="offered")+('MiT Strom Pipeline'!R6="to be offered")+('MiT Strom Pipeline'!R6="on hold")&gt;0,'MiT Strom Pipeline'!E6,"")</f>
        <v/>
      </c>
      <c r="F75" s="52">
        <f>IF(('MiT Strom Pipeline'!R6="offered")+('MiT Strom Pipeline'!R6="to be offered")+('MiT Strom Pipeline'!R6="on hold")&gt;0,IF(ISNUMBER('MiT Strom Pipeline'!I6),'MiT Strom Pipeline'!I6,0),"")</f>
        <v/>
      </c>
      <c r="G75" s="52">
        <f>IF(('MiT Strom Pipeline'!R6="offered")+('MiT Strom Pipeline'!R6="to be offered")+('MiT Strom Pipeline'!R6="on hold")&gt;0,IF(ISNUMBER('MiT Strom Pipeline'!Q6),'MiT Strom Pipeline'!Q6,0),"")</f>
        <v/>
      </c>
      <c r="H75" s="28">
        <f>IF(('MiT Strom Pipeline'!R6="offered")+('MiT Strom Pipeline'!R6="to be offered")+('MiT Strom Pipeline'!R6="on hold")&gt;0,'MiT Strom Pipeline'!R6,"")</f>
        <v/>
      </c>
      <c r="I75" s="28">
        <f>IF(('MiT Strom Pipeline'!R6="offered")+('MiT Strom Pipeline'!R6="to be offered")+('MiT Strom Pipeline'!R6="on hold")&gt;0,'MiT Strom Pipeline'!S6,"")</f>
        <v/>
      </c>
      <c r="J75" s="29">
        <f>IF(('MiT Strom Pipeline'!R6="offered")+('MiT Strom Pipeline'!R6="to be offered")+('MiT Strom Pipeline'!R6="on hold")&gt;0,IF(LEN('MiT Strom Pipeline'!V6)&gt;0,LEFT('MiT Strom Pipeline'!V6,55),""),"")</f>
        <v/>
      </c>
    </row>
    <row r="76" hidden="1" ht="15.75" customHeight="1">
      <c r="A76" s="22">
        <f>IF(('MiT Strom Pipeline'!R7="offered")+('MiT Strom Pipeline'!R7="to be offered")+('MiT Strom Pipeline'!R7="on hold")&gt;0,IF(ISNUMBER('MiT Strom Pipeline'!A7),'MiT Strom Pipeline'!A7,""),"")</f>
        <v/>
      </c>
      <c r="B76" s="23">
        <f>IF(('MiT Strom Pipeline'!R7="offered")+('MiT Strom Pipeline'!R7="to be offered")+('MiT Strom Pipeline'!R7="on hold")&gt;0,'MiT Strom Pipeline'!B7,"")</f>
        <v/>
      </c>
      <c r="C76" s="22">
        <f>IF(('MiT Strom Pipeline'!R7="offered")+('MiT Strom Pipeline'!R7="to be offered")+('MiT Strom Pipeline'!R7="on hold")&gt;0,'MiT Strom Pipeline'!C7,"")</f>
        <v/>
      </c>
      <c r="D76" s="23">
        <f>IF(('MiT Strom Pipeline'!R7="offered")+('MiT Strom Pipeline'!R7="to be offered")+('MiT Strom Pipeline'!R7="on hold")&gt;0,'MiT Strom Pipeline'!D7,"")</f>
        <v/>
      </c>
      <c r="E76" s="23">
        <f>IF(('MiT Strom Pipeline'!R7="offered")+('MiT Strom Pipeline'!R7="to be offered")+('MiT Strom Pipeline'!R7="on hold")&gt;0,'MiT Strom Pipeline'!E7,"")</f>
        <v/>
      </c>
      <c r="F76" s="49">
        <f>IF(('MiT Strom Pipeline'!R7="offered")+('MiT Strom Pipeline'!R7="to be offered")+('MiT Strom Pipeline'!R7="on hold")&gt;0,IF(ISNUMBER('MiT Strom Pipeline'!I7),'MiT Strom Pipeline'!I7,0),"")</f>
        <v/>
      </c>
      <c r="G76" s="49">
        <f>IF(('MiT Strom Pipeline'!R7="offered")+('MiT Strom Pipeline'!R7="to be offered")+('MiT Strom Pipeline'!R7="on hold")&gt;0,IF(ISNUMBER('MiT Strom Pipeline'!Q7),'MiT Strom Pipeline'!Q7,0),"")</f>
        <v/>
      </c>
      <c r="H76" s="22">
        <f>IF(('MiT Strom Pipeline'!R7="offered")+('MiT Strom Pipeline'!R7="to be offered")+('MiT Strom Pipeline'!R7="on hold")&gt;0,'MiT Strom Pipeline'!R7,"")</f>
        <v/>
      </c>
      <c r="I76" s="22">
        <f>IF(('MiT Strom Pipeline'!R7="offered")+('MiT Strom Pipeline'!R7="to be offered")+('MiT Strom Pipeline'!R7="on hold")&gt;0,'MiT Strom Pipeline'!S7,"")</f>
        <v/>
      </c>
      <c r="J76" s="23">
        <f>IF(('MiT Strom Pipeline'!R7="offered")+('MiT Strom Pipeline'!R7="to be offered")+('MiT Strom Pipeline'!R7="on hold")&gt;0,IF(LEN('MiT Strom Pipeline'!V7)&gt;0,LEFT('MiT Strom Pipeline'!V7,55),""),"")</f>
        <v/>
      </c>
    </row>
    <row r="77" hidden="1" ht="15.75" customHeight="1">
      <c r="A77" s="28">
        <f>IF(('MiT Strom Pipeline'!R8="offered")+('MiT Strom Pipeline'!R8="to be offered")+('MiT Strom Pipeline'!R8="on hold")&gt;0,IF(ISNUMBER('MiT Strom Pipeline'!A8),'MiT Strom Pipeline'!A8,""),"")</f>
        <v/>
      </c>
      <c r="B77" s="29">
        <f>IF(('MiT Strom Pipeline'!R8="offered")+('MiT Strom Pipeline'!R8="to be offered")+('MiT Strom Pipeline'!R8="on hold")&gt;0,'MiT Strom Pipeline'!B8,"")</f>
        <v/>
      </c>
      <c r="C77" s="28">
        <f>IF(('MiT Strom Pipeline'!R8="offered")+('MiT Strom Pipeline'!R8="to be offered")+('MiT Strom Pipeline'!R8="on hold")&gt;0,'MiT Strom Pipeline'!C8,"")</f>
        <v/>
      </c>
      <c r="D77" s="29">
        <f>IF(('MiT Strom Pipeline'!R8="offered")+('MiT Strom Pipeline'!R8="to be offered")+('MiT Strom Pipeline'!R8="on hold")&gt;0,'MiT Strom Pipeline'!D8,"")</f>
        <v/>
      </c>
      <c r="E77" s="29">
        <f>IF(('MiT Strom Pipeline'!R8="offered")+('MiT Strom Pipeline'!R8="to be offered")+('MiT Strom Pipeline'!R8="on hold")&gt;0,'MiT Strom Pipeline'!E8,"")</f>
        <v/>
      </c>
      <c r="F77" s="52">
        <f>IF(('MiT Strom Pipeline'!R8="offered")+('MiT Strom Pipeline'!R8="to be offered")+('MiT Strom Pipeline'!R8="on hold")&gt;0,IF(ISNUMBER('MiT Strom Pipeline'!I8),'MiT Strom Pipeline'!I8,0),"")</f>
        <v/>
      </c>
      <c r="G77" s="52">
        <f>IF(('MiT Strom Pipeline'!R8="offered")+('MiT Strom Pipeline'!R8="to be offered")+('MiT Strom Pipeline'!R8="on hold")&gt;0,IF(ISNUMBER('MiT Strom Pipeline'!Q8),'MiT Strom Pipeline'!Q8,0),"")</f>
        <v/>
      </c>
      <c r="H77" s="28">
        <f>IF(('MiT Strom Pipeline'!R8="offered")+('MiT Strom Pipeline'!R8="to be offered")+('MiT Strom Pipeline'!R8="on hold")&gt;0,'MiT Strom Pipeline'!R8,"")</f>
        <v/>
      </c>
      <c r="I77" s="28">
        <f>IF(('MiT Strom Pipeline'!R8="offered")+('MiT Strom Pipeline'!R8="to be offered")+('MiT Strom Pipeline'!R8="on hold")&gt;0,'MiT Strom Pipeline'!S8,"")</f>
        <v/>
      </c>
      <c r="J77" s="29">
        <f>IF(('MiT Strom Pipeline'!R8="offered")+('MiT Strom Pipeline'!R8="to be offered")+('MiT Strom Pipeline'!R8="on hold")&gt;0,IF(LEN('MiT Strom Pipeline'!V8)&gt;0,LEFT('MiT Strom Pipeline'!V8,55),""),"")</f>
        <v/>
      </c>
    </row>
    <row r="78" hidden="1" ht="15.75" customHeight="1">
      <c r="A78" s="22">
        <f>IF(('MiT Strom Pipeline'!R9="offered")+('MiT Strom Pipeline'!R9="to be offered")+('MiT Strom Pipeline'!R9="on hold")&gt;0,IF(ISNUMBER('MiT Strom Pipeline'!A9),'MiT Strom Pipeline'!A9,""),"")</f>
        <v/>
      </c>
      <c r="B78" s="23">
        <f>IF(('MiT Strom Pipeline'!R9="offered")+('MiT Strom Pipeline'!R9="to be offered")+('MiT Strom Pipeline'!R9="on hold")&gt;0,'MiT Strom Pipeline'!B9,"")</f>
        <v/>
      </c>
      <c r="C78" s="22">
        <f>IF(('MiT Strom Pipeline'!R9="offered")+('MiT Strom Pipeline'!R9="to be offered")+('MiT Strom Pipeline'!R9="on hold")&gt;0,'MiT Strom Pipeline'!C9,"")</f>
        <v/>
      </c>
      <c r="D78" s="23">
        <f>IF(('MiT Strom Pipeline'!R9="offered")+('MiT Strom Pipeline'!R9="to be offered")+('MiT Strom Pipeline'!R9="on hold")&gt;0,'MiT Strom Pipeline'!D9,"")</f>
        <v/>
      </c>
      <c r="E78" s="23">
        <f>IF(('MiT Strom Pipeline'!R9="offered")+('MiT Strom Pipeline'!R9="to be offered")+('MiT Strom Pipeline'!R9="on hold")&gt;0,'MiT Strom Pipeline'!E9,"")</f>
        <v/>
      </c>
      <c r="F78" s="49">
        <f>IF(('MiT Strom Pipeline'!R9="offered")+('MiT Strom Pipeline'!R9="to be offered")+('MiT Strom Pipeline'!R9="on hold")&gt;0,IF(ISNUMBER('MiT Strom Pipeline'!I9),'MiT Strom Pipeline'!I9,0),"")</f>
        <v/>
      </c>
      <c r="G78" s="49">
        <f>IF(('MiT Strom Pipeline'!R9="offered")+('MiT Strom Pipeline'!R9="to be offered")+('MiT Strom Pipeline'!R9="on hold")&gt;0,IF(ISNUMBER('MiT Strom Pipeline'!Q9),'MiT Strom Pipeline'!Q9,0),"")</f>
        <v/>
      </c>
      <c r="H78" s="22">
        <f>IF(('MiT Strom Pipeline'!R9="offered")+('MiT Strom Pipeline'!R9="to be offered")+('MiT Strom Pipeline'!R9="on hold")&gt;0,'MiT Strom Pipeline'!R9,"")</f>
        <v/>
      </c>
      <c r="I78" s="22">
        <f>IF(('MiT Strom Pipeline'!R9="offered")+('MiT Strom Pipeline'!R9="to be offered")+('MiT Strom Pipeline'!R9="on hold")&gt;0,'MiT Strom Pipeline'!S9,"")</f>
        <v/>
      </c>
      <c r="J78" s="23">
        <f>IF(('MiT Strom Pipeline'!R9="offered")+('MiT Strom Pipeline'!R9="to be offered")+('MiT Strom Pipeline'!R9="on hold")&gt;0,IF(LEN('MiT Strom Pipeline'!V9)&gt;0,LEFT('MiT Strom Pipeline'!V9,55),""),"")</f>
        <v/>
      </c>
    </row>
    <row r="79" ht="15.75" customHeight="1">
      <c r="A79" s="28">
        <f>IF(('MiT Strom Pipeline'!R10="offered")+('MiT Strom Pipeline'!R10="to be offered")+('MiT Strom Pipeline'!R10="on hold")&gt;0,IF(ISNUMBER('MiT Strom Pipeline'!A10),'MiT Strom Pipeline'!A10,""),"")</f>
        <v/>
      </c>
      <c r="B79" s="29">
        <f>IF(('MiT Strom Pipeline'!R10="offered")+('MiT Strom Pipeline'!R10="to be offered")+('MiT Strom Pipeline'!R10="on hold")&gt;0,'MiT Strom Pipeline'!B10,"")</f>
        <v/>
      </c>
      <c r="C79" s="28">
        <f>IF(('MiT Strom Pipeline'!R10="offered")+('MiT Strom Pipeline'!R10="to be offered")+('MiT Strom Pipeline'!R10="on hold")&gt;0,'MiT Strom Pipeline'!C10,"")</f>
        <v/>
      </c>
      <c r="D79" s="29">
        <f>IF(('MiT Strom Pipeline'!R10="offered")+('MiT Strom Pipeline'!R10="to be offered")+('MiT Strom Pipeline'!R10="on hold")&gt;0,'MiT Strom Pipeline'!D10,"")</f>
        <v/>
      </c>
      <c r="E79" s="29">
        <f>IF(('MiT Strom Pipeline'!R10="offered")+('MiT Strom Pipeline'!R10="to be offered")+('MiT Strom Pipeline'!R10="on hold")&gt;0,'MiT Strom Pipeline'!E10,"")</f>
        <v/>
      </c>
      <c r="F79" s="52">
        <f>IF(('MiT Strom Pipeline'!R10="offered")+('MiT Strom Pipeline'!R10="to be offered")+('MiT Strom Pipeline'!R10="on hold")&gt;0,IF(ISNUMBER('MiT Strom Pipeline'!I10),'MiT Strom Pipeline'!I10,0),"")</f>
        <v/>
      </c>
      <c r="G79" s="52">
        <f>IF(('MiT Strom Pipeline'!R10="offered")+('MiT Strom Pipeline'!R10="to be offered")+('MiT Strom Pipeline'!R10="on hold")&gt;0,IF(ISNUMBER('MiT Strom Pipeline'!Q10),'MiT Strom Pipeline'!Q10,0),"")</f>
        <v/>
      </c>
      <c r="H79" s="28">
        <f>IF(('MiT Strom Pipeline'!R10="offered")+('MiT Strom Pipeline'!R10="to be offered")+('MiT Strom Pipeline'!R10="on hold")&gt;0,'MiT Strom Pipeline'!R10,"")</f>
        <v/>
      </c>
      <c r="I79" s="28">
        <f>IF(('MiT Strom Pipeline'!R10="offered")+('MiT Strom Pipeline'!R10="to be offered")+('MiT Strom Pipeline'!R10="on hold")&gt;0,'MiT Strom Pipeline'!S10,"")</f>
        <v/>
      </c>
      <c r="J79" s="29">
        <f>IF(('MiT Strom Pipeline'!R10="offered")+('MiT Strom Pipeline'!R10="to be offered")+('MiT Strom Pipeline'!R10="on hold")&gt;0,IF(LEN('MiT Strom Pipeline'!V10)&gt;0,LEFT('MiT Strom Pipeline'!V10,55),""),"")</f>
        <v/>
      </c>
    </row>
    <row r="80" hidden="1" ht="15.75" customHeight="1">
      <c r="A80" s="22">
        <f>IF(('MiT Strom Pipeline'!R11="offered")+('MiT Strom Pipeline'!R11="to be offered")+('MiT Strom Pipeline'!R11="on hold")&gt;0,IF(ISNUMBER('MiT Strom Pipeline'!A11),'MiT Strom Pipeline'!A11,""),"")</f>
        <v/>
      </c>
      <c r="B80" s="23">
        <f>IF(('MiT Strom Pipeline'!R11="offered")+('MiT Strom Pipeline'!R11="to be offered")+('MiT Strom Pipeline'!R11="on hold")&gt;0,'MiT Strom Pipeline'!B11,"")</f>
        <v/>
      </c>
      <c r="C80" s="22">
        <f>IF(('MiT Strom Pipeline'!R11="offered")+('MiT Strom Pipeline'!R11="to be offered")+('MiT Strom Pipeline'!R11="on hold")&gt;0,'MiT Strom Pipeline'!C11,"")</f>
        <v/>
      </c>
      <c r="D80" s="23">
        <f>IF(('MiT Strom Pipeline'!R11="offered")+('MiT Strom Pipeline'!R11="to be offered")+('MiT Strom Pipeline'!R11="on hold")&gt;0,'MiT Strom Pipeline'!D11,"")</f>
        <v/>
      </c>
      <c r="E80" s="23">
        <f>IF(('MiT Strom Pipeline'!R11="offered")+('MiT Strom Pipeline'!R11="to be offered")+('MiT Strom Pipeline'!R11="on hold")&gt;0,'MiT Strom Pipeline'!E11,"")</f>
        <v/>
      </c>
      <c r="F80" s="49">
        <f>IF(('MiT Strom Pipeline'!R11="offered")+('MiT Strom Pipeline'!R11="to be offered")+('MiT Strom Pipeline'!R11="on hold")&gt;0,IF(ISNUMBER('MiT Strom Pipeline'!I11),'MiT Strom Pipeline'!I11,0),"")</f>
        <v/>
      </c>
      <c r="G80" s="49">
        <f>IF(('MiT Strom Pipeline'!R11="offered")+('MiT Strom Pipeline'!R11="to be offered")+('MiT Strom Pipeline'!R11="on hold")&gt;0,IF(ISNUMBER('MiT Strom Pipeline'!Q11),'MiT Strom Pipeline'!Q11,0),"")</f>
        <v/>
      </c>
      <c r="H80" s="22">
        <f>IF(('MiT Strom Pipeline'!R11="offered")+('MiT Strom Pipeline'!R11="to be offered")+('MiT Strom Pipeline'!R11="on hold")&gt;0,'MiT Strom Pipeline'!R11,"")</f>
        <v/>
      </c>
      <c r="I80" s="22">
        <f>IF(('MiT Strom Pipeline'!R11="offered")+('MiT Strom Pipeline'!R11="to be offered")+('MiT Strom Pipeline'!R11="on hold")&gt;0,'MiT Strom Pipeline'!S11,"")</f>
        <v/>
      </c>
      <c r="J80" s="23">
        <f>IF(('MiT Strom Pipeline'!R11="offered")+('MiT Strom Pipeline'!R11="to be offered")+('MiT Strom Pipeline'!R11="on hold")&gt;0,IF(LEN('MiT Strom Pipeline'!V11)&gt;0,LEFT('MiT Strom Pipeline'!V11,55),""),"")</f>
        <v/>
      </c>
    </row>
    <row r="81" hidden="1" ht="15.75" customHeight="1">
      <c r="A81" s="28">
        <f>IF(('MiT Strom Pipeline'!R12="offered")+('MiT Strom Pipeline'!R12="to be offered")+('MiT Strom Pipeline'!R12="on hold")&gt;0,IF(ISNUMBER('MiT Strom Pipeline'!A12),'MiT Strom Pipeline'!A12,""),"")</f>
        <v/>
      </c>
      <c r="B81" s="29">
        <f>IF(('MiT Strom Pipeline'!R12="offered")+('MiT Strom Pipeline'!R12="to be offered")+('MiT Strom Pipeline'!R12="on hold")&gt;0,'MiT Strom Pipeline'!B12,"")</f>
        <v/>
      </c>
      <c r="C81" s="28">
        <f>IF(('MiT Strom Pipeline'!R12="offered")+('MiT Strom Pipeline'!R12="to be offered")+('MiT Strom Pipeline'!R12="on hold")&gt;0,'MiT Strom Pipeline'!C12,"")</f>
        <v/>
      </c>
      <c r="D81" s="29">
        <f>IF(('MiT Strom Pipeline'!R12="offered")+('MiT Strom Pipeline'!R12="to be offered")+('MiT Strom Pipeline'!R12="on hold")&gt;0,'MiT Strom Pipeline'!D12,"")</f>
        <v/>
      </c>
      <c r="E81" s="29">
        <f>IF(('MiT Strom Pipeline'!R12="offered")+('MiT Strom Pipeline'!R12="to be offered")+('MiT Strom Pipeline'!R12="on hold")&gt;0,'MiT Strom Pipeline'!E12,"")</f>
        <v/>
      </c>
      <c r="F81" s="52">
        <f>IF(('MiT Strom Pipeline'!R12="offered")+('MiT Strom Pipeline'!R12="to be offered")+('MiT Strom Pipeline'!R12="on hold")&gt;0,IF(ISNUMBER('MiT Strom Pipeline'!I12),'MiT Strom Pipeline'!I12,0),"")</f>
        <v/>
      </c>
      <c r="G81" s="52">
        <f>IF(('MiT Strom Pipeline'!R12="offered")+('MiT Strom Pipeline'!R12="to be offered")+('MiT Strom Pipeline'!R12="on hold")&gt;0,IF(ISNUMBER('MiT Strom Pipeline'!Q12),'MiT Strom Pipeline'!Q12,0),"")</f>
        <v/>
      </c>
      <c r="H81" s="28">
        <f>IF(('MiT Strom Pipeline'!R12="offered")+('MiT Strom Pipeline'!R12="to be offered")+('MiT Strom Pipeline'!R12="on hold")&gt;0,'MiT Strom Pipeline'!R12,"")</f>
        <v/>
      </c>
      <c r="I81" s="28">
        <f>IF(('MiT Strom Pipeline'!R12="offered")+('MiT Strom Pipeline'!R12="to be offered")+('MiT Strom Pipeline'!R12="on hold")&gt;0,'MiT Strom Pipeline'!S12,"")</f>
        <v/>
      </c>
      <c r="J81" s="29">
        <f>IF(('MiT Strom Pipeline'!R12="offered")+('MiT Strom Pipeline'!R12="to be offered")+('MiT Strom Pipeline'!R12="on hold")&gt;0,IF(LEN('MiT Strom Pipeline'!V12)&gt;0,LEFT('MiT Strom Pipeline'!V12,55),""),"")</f>
        <v/>
      </c>
    </row>
    <row r="82" hidden="1" ht="15.75" customHeight="1">
      <c r="A82" s="22">
        <f>IF(('MiT Strom Pipeline'!R13="offered")+('MiT Strom Pipeline'!R13="to be offered")+('MiT Strom Pipeline'!R13="on hold")&gt;0,IF(ISNUMBER('MiT Strom Pipeline'!A13),'MiT Strom Pipeline'!A13,""),"")</f>
        <v/>
      </c>
      <c r="B82" s="23">
        <f>IF(('MiT Strom Pipeline'!R13="offered")+('MiT Strom Pipeline'!R13="to be offered")+('MiT Strom Pipeline'!R13="on hold")&gt;0,'MiT Strom Pipeline'!B13,"")</f>
        <v/>
      </c>
      <c r="C82" s="22">
        <f>IF(('MiT Strom Pipeline'!R13="offered")+('MiT Strom Pipeline'!R13="to be offered")+('MiT Strom Pipeline'!R13="on hold")&gt;0,'MiT Strom Pipeline'!C13,"")</f>
        <v/>
      </c>
      <c r="D82" s="23">
        <f>IF(('MiT Strom Pipeline'!R13="offered")+('MiT Strom Pipeline'!R13="to be offered")+('MiT Strom Pipeline'!R13="on hold")&gt;0,'MiT Strom Pipeline'!D13,"")</f>
        <v/>
      </c>
      <c r="E82" s="23">
        <f>IF(('MiT Strom Pipeline'!R13="offered")+('MiT Strom Pipeline'!R13="to be offered")+('MiT Strom Pipeline'!R13="on hold")&gt;0,'MiT Strom Pipeline'!E13,"")</f>
        <v/>
      </c>
      <c r="F82" s="49">
        <f>IF(('MiT Strom Pipeline'!R13="offered")+('MiT Strom Pipeline'!R13="to be offered")+('MiT Strom Pipeline'!R13="on hold")&gt;0,IF(ISNUMBER('MiT Strom Pipeline'!I13),'MiT Strom Pipeline'!I13,0),"")</f>
        <v/>
      </c>
      <c r="G82" s="49">
        <f>IF(('MiT Strom Pipeline'!R13="offered")+('MiT Strom Pipeline'!R13="to be offered")+('MiT Strom Pipeline'!R13="on hold")&gt;0,IF(ISNUMBER('MiT Strom Pipeline'!Q13),'MiT Strom Pipeline'!Q13,0),"")</f>
        <v/>
      </c>
      <c r="H82" s="22">
        <f>IF(('MiT Strom Pipeline'!R13="offered")+('MiT Strom Pipeline'!R13="to be offered")+('MiT Strom Pipeline'!R13="on hold")&gt;0,'MiT Strom Pipeline'!R13,"")</f>
        <v/>
      </c>
      <c r="I82" s="22">
        <f>IF(('MiT Strom Pipeline'!R13="offered")+('MiT Strom Pipeline'!R13="to be offered")+('MiT Strom Pipeline'!R13="on hold")&gt;0,'MiT Strom Pipeline'!S13,"")</f>
        <v/>
      </c>
      <c r="J82" s="23">
        <f>IF(('MiT Strom Pipeline'!R13="offered")+('MiT Strom Pipeline'!R13="to be offered")+('MiT Strom Pipeline'!R13="on hold")&gt;0,IF(LEN('MiT Strom Pipeline'!V13)&gt;0,LEFT('MiT Strom Pipeline'!V13,55),""),"")</f>
        <v/>
      </c>
    </row>
    <row r="83" hidden="1" ht="15.75" customHeight="1">
      <c r="A83" s="28">
        <f>IF(('MiT Strom Pipeline'!R14="offered")+('MiT Strom Pipeline'!R14="to be offered")+('MiT Strom Pipeline'!R14="on hold")&gt;0,IF(ISNUMBER('MiT Strom Pipeline'!A14),'MiT Strom Pipeline'!A14,""),"")</f>
        <v/>
      </c>
      <c r="B83" s="29">
        <f>IF(('MiT Strom Pipeline'!R14="offered")+('MiT Strom Pipeline'!R14="to be offered")+('MiT Strom Pipeline'!R14="on hold")&gt;0,'MiT Strom Pipeline'!B14,"")</f>
        <v/>
      </c>
      <c r="C83" s="28">
        <f>IF(('MiT Strom Pipeline'!R14="offered")+('MiT Strom Pipeline'!R14="to be offered")+('MiT Strom Pipeline'!R14="on hold")&gt;0,'MiT Strom Pipeline'!C14,"")</f>
        <v/>
      </c>
      <c r="D83" s="29">
        <f>IF(('MiT Strom Pipeline'!R14="offered")+('MiT Strom Pipeline'!R14="to be offered")+('MiT Strom Pipeline'!R14="on hold")&gt;0,'MiT Strom Pipeline'!D14,"")</f>
        <v/>
      </c>
      <c r="E83" s="29">
        <f>IF(('MiT Strom Pipeline'!R14="offered")+('MiT Strom Pipeline'!R14="to be offered")+('MiT Strom Pipeline'!R14="on hold")&gt;0,'MiT Strom Pipeline'!E14,"")</f>
        <v/>
      </c>
      <c r="F83" s="52">
        <f>IF(('MiT Strom Pipeline'!R14="offered")+('MiT Strom Pipeline'!R14="to be offered")+('MiT Strom Pipeline'!R14="on hold")&gt;0,IF(ISNUMBER('MiT Strom Pipeline'!I14),'MiT Strom Pipeline'!I14,0),"")</f>
        <v/>
      </c>
      <c r="G83" s="52">
        <f>IF(('MiT Strom Pipeline'!R14="offered")+('MiT Strom Pipeline'!R14="to be offered")+('MiT Strom Pipeline'!R14="on hold")&gt;0,IF(ISNUMBER('MiT Strom Pipeline'!Q14),'MiT Strom Pipeline'!Q14,0),"")</f>
        <v/>
      </c>
      <c r="H83" s="28">
        <f>IF(('MiT Strom Pipeline'!R14="offered")+('MiT Strom Pipeline'!R14="to be offered")+('MiT Strom Pipeline'!R14="on hold")&gt;0,'MiT Strom Pipeline'!R14,"")</f>
        <v/>
      </c>
      <c r="I83" s="28">
        <f>IF(('MiT Strom Pipeline'!R14="offered")+('MiT Strom Pipeline'!R14="to be offered")+('MiT Strom Pipeline'!R14="on hold")&gt;0,'MiT Strom Pipeline'!S14,"")</f>
        <v/>
      </c>
      <c r="J83" s="29">
        <f>IF(('MiT Strom Pipeline'!R14="offered")+('MiT Strom Pipeline'!R14="to be offered")+('MiT Strom Pipeline'!R14="on hold")&gt;0,IF(LEN('MiT Strom Pipeline'!V14)&gt;0,LEFT('MiT Strom Pipeline'!V14,55),""),"")</f>
        <v/>
      </c>
    </row>
    <row r="84" ht="15.75" customHeight="1">
      <c r="A84" s="22">
        <f>IF(('MiT Strom Pipeline'!R15="offered")+('MiT Strom Pipeline'!R15="to be offered")+('MiT Strom Pipeline'!R15="on hold")&gt;0,IF(ISNUMBER('MiT Strom Pipeline'!A15),'MiT Strom Pipeline'!A15,""),"")</f>
        <v/>
      </c>
      <c r="B84" s="23">
        <f>IF(('MiT Strom Pipeline'!R15="offered")+('MiT Strom Pipeline'!R15="to be offered")+('MiT Strom Pipeline'!R15="on hold")&gt;0,'MiT Strom Pipeline'!B15,"")</f>
        <v/>
      </c>
      <c r="C84" s="22">
        <f>IF(('MiT Strom Pipeline'!R15="offered")+('MiT Strom Pipeline'!R15="to be offered")+('MiT Strom Pipeline'!R15="on hold")&gt;0,'MiT Strom Pipeline'!C15,"")</f>
        <v/>
      </c>
      <c r="D84" s="23">
        <f>IF(('MiT Strom Pipeline'!R15="offered")+('MiT Strom Pipeline'!R15="to be offered")+('MiT Strom Pipeline'!R15="on hold")&gt;0,'MiT Strom Pipeline'!D15,"")</f>
        <v/>
      </c>
      <c r="E84" s="23">
        <f>IF(('MiT Strom Pipeline'!R15="offered")+('MiT Strom Pipeline'!R15="to be offered")+('MiT Strom Pipeline'!R15="on hold")&gt;0,'MiT Strom Pipeline'!E15,"")</f>
        <v/>
      </c>
      <c r="F84" s="49">
        <f>IF(('MiT Strom Pipeline'!R15="offered")+('MiT Strom Pipeline'!R15="to be offered")+('MiT Strom Pipeline'!R15="on hold")&gt;0,IF(ISNUMBER('MiT Strom Pipeline'!I15),'MiT Strom Pipeline'!I15,0),"")</f>
        <v/>
      </c>
      <c r="G84" s="49">
        <f>IF(('MiT Strom Pipeline'!R15="offered")+('MiT Strom Pipeline'!R15="to be offered")+('MiT Strom Pipeline'!R15="on hold")&gt;0,IF(ISNUMBER('MiT Strom Pipeline'!Q15),'MiT Strom Pipeline'!Q15,0),"")</f>
        <v/>
      </c>
      <c r="H84" s="22">
        <f>IF(('MiT Strom Pipeline'!R15="offered")+('MiT Strom Pipeline'!R15="to be offered")+('MiT Strom Pipeline'!R15="on hold")&gt;0,'MiT Strom Pipeline'!R15,"")</f>
        <v/>
      </c>
      <c r="I84" s="22">
        <f>IF(('MiT Strom Pipeline'!R15="offered")+('MiT Strom Pipeline'!R15="to be offered")+('MiT Strom Pipeline'!R15="on hold")&gt;0,'MiT Strom Pipeline'!S15,"")</f>
        <v/>
      </c>
      <c r="J84" s="23">
        <f>IF(('MiT Strom Pipeline'!R15="offered")+('MiT Strom Pipeline'!R15="to be offered")+('MiT Strom Pipeline'!R15="on hold")&gt;0,IF(LEN('MiT Strom Pipeline'!V15)&gt;0,LEFT('MiT Strom Pipeline'!V15,55),""),"")</f>
        <v/>
      </c>
    </row>
    <row r="85" ht="15.75" customHeight="1">
      <c r="A85" s="28">
        <f>IF(('MiT Strom Pipeline'!R16="offered")+('MiT Strom Pipeline'!R16="to be offered")+('MiT Strom Pipeline'!R16="on hold")&gt;0,IF(ISNUMBER('MiT Strom Pipeline'!A16),'MiT Strom Pipeline'!A16,""),"")</f>
        <v/>
      </c>
      <c r="B85" s="29">
        <f>IF(('MiT Strom Pipeline'!R16="offered")+('MiT Strom Pipeline'!R16="to be offered")+('MiT Strom Pipeline'!R16="on hold")&gt;0,'MiT Strom Pipeline'!B16,"")</f>
        <v/>
      </c>
      <c r="C85" s="28">
        <f>IF(('MiT Strom Pipeline'!R16="offered")+('MiT Strom Pipeline'!R16="to be offered")+('MiT Strom Pipeline'!R16="on hold")&gt;0,'MiT Strom Pipeline'!C16,"")</f>
        <v/>
      </c>
      <c r="D85" s="29">
        <f>IF(('MiT Strom Pipeline'!R16="offered")+('MiT Strom Pipeline'!R16="to be offered")+('MiT Strom Pipeline'!R16="on hold")&gt;0,'MiT Strom Pipeline'!D16,"")</f>
        <v/>
      </c>
      <c r="E85" s="29">
        <f>IF(('MiT Strom Pipeline'!R16="offered")+('MiT Strom Pipeline'!R16="to be offered")+('MiT Strom Pipeline'!R16="on hold")&gt;0,'MiT Strom Pipeline'!E16,"")</f>
        <v/>
      </c>
      <c r="F85" s="52">
        <f>IF(('MiT Strom Pipeline'!R16="offered")+('MiT Strom Pipeline'!R16="to be offered")+('MiT Strom Pipeline'!R16="on hold")&gt;0,IF(ISNUMBER('MiT Strom Pipeline'!I16),'MiT Strom Pipeline'!I16,0),"")</f>
        <v/>
      </c>
      <c r="G85" s="52">
        <f>IF(('MiT Strom Pipeline'!R16="offered")+('MiT Strom Pipeline'!R16="to be offered")+('MiT Strom Pipeline'!R16="on hold")&gt;0,IF(ISNUMBER('MiT Strom Pipeline'!Q16),'MiT Strom Pipeline'!Q16,0),"")</f>
        <v/>
      </c>
      <c r="H85" s="28">
        <f>IF(('MiT Strom Pipeline'!R16="offered")+('MiT Strom Pipeline'!R16="to be offered")+('MiT Strom Pipeline'!R16="on hold")&gt;0,'MiT Strom Pipeline'!R16,"")</f>
        <v/>
      </c>
      <c r="I85" s="28">
        <f>IF(('MiT Strom Pipeline'!R16="offered")+('MiT Strom Pipeline'!R16="to be offered")+('MiT Strom Pipeline'!R16="on hold")&gt;0,'MiT Strom Pipeline'!S16,"")</f>
        <v/>
      </c>
      <c r="J85" s="29">
        <f>IF(('MiT Strom Pipeline'!R16="offered")+('MiT Strom Pipeline'!R16="to be offered")+('MiT Strom Pipeline'!R16="on hold")&gt;0,IF(LEN('MiT Strom Pipeline'!V16)&gt;0,LEFT('MiT Strom Pipeline'!V16,55),""),"")</f>
        <v/>
      </c>
    </row>
    <row r="86" ht="15.75" customHeight="1">
      <c r="A86" s="22">
        <f>IF(('MiT Strom Pipeline'!R17="offered")+('MiT Strom Pipeline'!R17="to be offered")+('MiT Strom Pipeline'!R17="on hold")&gt;0,IF(ISNUMBER('MiT Strom Pipeline'!A17),'MiT Strom Pipeline'!A17,""),"")</f>
        <v/>
      </c>
      <c r="B86" s="23">
        <f>IF(('MiT Strom Pipeline'!R17="offered")+('MiT Strom Pipeline'!R17="to be offered")+('MiT Strom Pipeline'!R17="on hold")&gt;0,'MiT Strom Pipeline'!B17,"")</f>
        <v/>
      </c>
      <c r="C86" s="22">
        <f>IF(('MiT Strom Pipeline'!R17="offered")+('MiT Strom Pipeline'!R17="to be offered")+('MiT Strom Pipeline'!R17="on hold")&gt;0,'MiT Strom Pipeline'!C17,"")</f>
        <v/>
      </c>
      <c r="D86" s="23">
        <f>IF(('MiT Strom Pipeline'!R17="offered")+('MiT Strom Pipeline'!R17="to be offered")+('MiT Strom Pipeline'!R17="on hold")&gt;0,'MiT Strom Pipeline'!D17,"")</f>
        <v/>
      </c>
      <c r="E86" s="23">
        <f>IF(('MiT Strom Pipeline'!R17="offered")+('MiT Strom Pipeline'!R17="to be offered")+('MiT Strom Pipeline'!R17="on hold")&gt;0,'MiT Strom Pipeline'!E17,"")</f>
        <v/>
      </c>
      <c r="F86" s="49">
        <f>IF(('MiT Strom Pipeline'!R17="offered")+('MiT Strom Pipeline'!R17="to be offered")+('MiT Strom Pipeline'!R17="on hold")&gt;0,IF(ISNUMBER('MiT Strom Pipeline'!I17),'MiT Strom Pipeline'!I17,0),"")</f>
        <v/>
      </c>
      <c r="G86" s="49">
        <f>IF(('MiT Strom Pipeline'!R17="offered")+('MiT Strom Pipeline'!R17="to be offered")+('MiT Strom Pipeline'!R17="on hold")&gt;0,IF(ISNUMBER('MiT Strom Pipeline'!Q17),'MiT Strom Pipeline'!Q17,0),"")</f>
        <v/>
      </c>
      <c r="H86" s="22">
        <f>IF(('MiT Strom Pipeline'!R17="offered")+('MiT Strom Pipeline'!R17="to be offered")+('MiT Strom Pipeline'!R17="on hold")&gt;0,'MiT Strom Pipeline'!R17,"")</f>
        <v/>
      </c>
      <c r="I86" s="22">
        <f>IF(('MiT Strom Pipeline'!R17="offered")+('MiT Strom Pipeline'!R17="to be offered")+('MiT Strom Pipeline'!R17="on hold")&gt;0,'MiT Strom Pipeline'!S17,"")</f>
        <v/>
      </c>
      <c r="J86" s="23">
        <f>IF(('MiT Strom Pipeline'!R17="offered")+('MiT Strom Pipeline'!R17="to be offered")+('MiT Strom Pipeline'!R17="on hold")&gt;0,IF(LEN('MiT Strom Pipeline'!V17)&gt;0,LEFT('MiT Strom Pipeline'!V17,55),""),"")</f>
        <v/>
      </c>
    </row>
    <row r="87" ht="15.75" customHeight="1">
      <c r="A87" s="28">
        <f>IF(('MiT Strom Pipeline'!R18="offered")+('MiT Strom Pipeline'!R18="to be offered")+('MiT Strom Pipeline'!R18="on hold")&gt;0,IF(ISNUMBER('MiT Strom Pipeline'!A18),'MiT Strom Pipeline'!A18,""),"")</f>
        <v/>
      </c>
      <c r="B87" s="29">
        <f>IF(('MiT Strom Pipeline'!R18="offered")+('MiT Strom Pipeline'!R18="to be offered")+('MiT Strom Pipeline'!R18="on hold")&gt;0,'MiT Strom Pipeline'!B18,"")</f>
        <v/>
      </c>
      <c r="C87" s="28">
        <f>IF(('MiT Strom Pipeline'!R18="offered")+('MiT Strom Pipeline'!R18="to be offered")+('MiT Strom Pipeline'!R18="on hold")&gt;0,'MiT Strom Pipeline'!C18,"")</f>
        <v/>
      </c>
      <c r="D87" s="29">
        <f>IF(('MiT Strom Pipeline'!R18="offered")+('MiT Strom Pipeline'!R18="to be offered")+('MiT Strom Pipeline'!R18="on hold")&gt;0,'MiT Strom Pipeline'!D18,"")</f>
        <v/>
      </c>
      <c r="E87" s="29">
        <f>IF(('MiT Strom Pipeline'!R18="offered")+('MiT Strom Pipeline'!R18="to be offered")+('MiT Strom Pipeline'!R18="on hold")&gt;0,'MiT Strom Pipeline'!E18,"")</f>
        <v/>
      </c>
      <c r="F87" s="52">
        <f>IF(('MiT Strom Pipeline'!R18="offered")+('MiT Strom Pipeline'!R18="to be offered")+('MiT Strom Pipeline'!R18="on hold")&gt;0,IF(ISNUMBER('MiT Strom Pipeline'!I18),'MiT Strom Pipeline'!I18,0),"")</f>
        <v/>
      </c>
      <c r="G87" s="52">
        <f>IF(('MiT Strom Pipeline'!R18="offered")+('MiT Strom Pipeline'!R18="to be offered")+('MiT Strom Pipeline'!R18="on hold")&gt;0,IF(ISNUMBER('MiT Strom Pipeline'!Q18),'MiT Strom Pipeline'!Q18,0),"")</f>
        <v/>
      </c>
      <c r="H87" s="28">
        <f>IF(('MiT Strom Pipeline'!R18="offered")+('MiT Strom Pipeline'!R18="to be offered")+('MiT Strom Pipeline'!R18="on hold")&gt;0,'MiT Strom Pipeline'!R18,"")</f>
        <v/>
      </c>
      <c r="I87" s="28">
        <f>IF(('MiT Strom Pipeline'!R18="offered")+('MiT Strom Pipeline'!R18="to be offered")+('MiT Strom Pipeline'!R18="on hold")&gt;0,'MiT Strom Pipeline'!S18,"")</f>
        <v/>
      </c>
      <c r="J87" s="29">
        <f>IF(('MiT Strom Pipeline'!R18="offered")+('MiT Strom Pipeline'!R18="to be offered")+('MiT Strom Pipeline'!R18="on hold")&gt;0,IF(LEN('MiT Strom Pipeline'!V18)&gt;0,LEFT('MiT Strom Pipeline'!V18,55),""),"")</f>
        <v/>
      </c>
    </row>
    <row r="88" ht="15.75" customHeight="1">
      <c r="A88" s="22">
        <f>IF(('MiT Strom Pipeline'!R19="offered")+('MiT Strom Pipeline'!R19="to be offered")+('MiT Strom Pipeline'!R19="on hold")&gt;0,IF(ISNUMBER('MiT Strom Pipeline'!A19),'MiT Strom Pipeline'!A19,""),"")</f>
        <v/>
      </c>
      <c r="B88" s="23">
        <f>IF(('MiT Strom Pipeline'!R19="offered")+('MiT Strom Pipeline'!R19="to be offered")+('MiT Strom Pipeline'!R19="on hold")&gt;0,'MiT Strom Pipeline'!B19,"")</f>
        <v/>
      </c>
      <c r="C88" s="22">
        <f>IF(('MiT Strom Pipeline'!R19="offered")+('MiT Strom Pipeline'!R19="to be offered")+('MiT Strom Pipeline'!R19="on hold")&gt;0,'MiT Strom Pipeline'!C19,"")</f>
        <v/>
      </c>
      <c r="D88" s="23">
        <f>IF(('MiT Strom Pipeline'!R19="offered")+('MiT Strom Pipeline'!R19="to be offered")+('MiT Strom Pipeline'!R19="on hold")&gt;0,'MiT Strom Pipeline'!D19,"")</f>
        <v/>
      </c>
      <c r="E88" s="23">
        <f>IF(('MiT Strom Pipeline'!R19="offered")+('MiT Strom Pipeline'!R19="to be offered")+('MiT Strom Pipeline'!R19="on hold")&gt;0,'MiT Strom Pipeline'!E19,"")</f>
        <v/>
      </c>
      <c r="F88" s="49">
        <f>IF(('MiT Strom Pipeline'!R19="offered")+('MiT Strom Pipeline'!R19="to be offered")+('MiT Strom Pipeline'!R19="on hold")&gt;0,IF(ISNUMBER('MiT Strom Pipeline'!I19),'MiT Strom Pipeline'!I19,0),"")</f>
        <v/>
      </c>
      <c r="G88" s="49">
        <f>IF(('MiT Strom Pipeline'!R19="offered")+('MiT Strom Pipeline'!R19="to be offered")+('MiT Strom Pipeline'!R19="on hold")&gt;0,IF(ISNUMBER('MiT Strom Pipeline'!Q19),'MiT Strom Pipeline'!Q19,0),"")</f>
        <v/>
      </c>
      <c r="H88" s="22">
        <f>IF(('MiT Strom Pipeline'!R19="offered")+('MiT Strom Pipeline'!R19="to be offered")+('MiT Strom Pipeline'!R19="on hold")&gt;0,'MiT Strom Pipeline'!R19,"")</f>
        <v/>
      </c>
      <c r="I88" s="22">
        <f>IF(('MiT Strom Pipeline'!R19="offered")+('MiT Strom Pipeline'!R19="to be offered")+('MiT Strom Pipeline'!R19="on hold")&gt;0,'MiT Strom Pipeline'!S19,"")</f>
        <v/>
      </c>
      <c r="J88" s="23">
        <f>IF(('MiT Strom Pipeline'!R19="offered")+('MiT Strom Pipeline'!R19="to be offered")+('MiT Strom Pipeline'!R19="on hold")&gt;0,IF(LEN('MiT Strom Pipeline'!V19)&gt;0,LEFT('MiT Strom Pipeline'!V19,55),""),"")</f>
        <v/>
      </c>
    </row>
    <row r="89" ht="15.75" customHeight="1">
      <c r="A89" s="28">
        <f>IF(('MiT Strom Pipeline'!R20="offered")+('MiT Strom Pipeline'!R20="to be offered")+('MiT Strom Pipeline'!R20="on hold")&gt;0,IF(ISNUMBER('MiT Strom Pipeline'!A20),'MiT Strom Pipeline'!A20,""),"")</f>
        <v/>
      </c>
      <c r="B89" s="29">
        <f>IF(('MiT Strom Pipeline'!R20="offered")+('MiT Strom Pipeline'!R20="to be offered")+('MiT Strom Pipeline'!R20="on hold")&gt;0,'MiT Strom Pipeline'!B20,"")</f>
        <v/>
      </c>
      <c r="C89" s="28">
        <f>IF(('MiT Strom Pipeline'!R20="offered")+('MiT Strom Pipeline'!R20="to be offered")+('MiT Strom Pipeline'!R20="on hold")&gt;0,'MiT Strom Pipeline'!C20,"")</f>
        <v/>
      </c>
      <c r="D89" s="29">
        <f>IF(('MiT Strom Pipeline'!R20="offered")+('MiT Strom Pipeline'!R20="to be offered")+('MiT Strom Pipeline'!R20="on hold")&gt;0,'MiT Strom Pipeline'!D20,"")</f>
        <v/>
      </c>
      <c r="E89" s="29">
        <f>IF(('MiT Strom Pipeline'!R20="offered")+('MiT Strom Pipeline'!R20="to be offered")+('MiT Strom Pipeline'!R20="on hold")&gt;0,'MiT Strom Pipeline'!E20,"")</f>
        <v/>
      </c>
      <c r="F89" s="52">
        <f>IF(('MiT Strom Pipeline'!R20="offered")+('MiT Strom Pipeline'!R20="to be offered")+('MiT Strom Pipeline'!R20="on hold")&gt;0,IF(ISNUMBER('MiT Strom Pipeline'!I20),'MiT Strom Pipeline'!I20,0),"")</f>
        <v/>
      </c>
      <c r="G89" s="52">
        <f>IF(('MiT Strom Pipeline'!R20="offered")+('MiT Strom Pipeline'!R20="to be offered")+('MiT Strom Pipeline'!R20="on hold")&gt;0,IF(ISNUMBER('MiT Strom Pipeline'!Q20),'MiT Strom Pipeline'!Q20,0),"")</f>
        <v/>
      </c>
      <c r="H89" s="28">
        <f>IF(('MiT Strom Pipeline'!R20="offered")+('MiT Strom Pipeline'!R20="to be offered")+('MiT Strom Pipeline'!R20="on hold")&gt;0,'MiT Strom Pipeline'!R20,"")</f>
        <v/>
      </c>
      <c r="I89" s="28">
        <f>IF(('MiT Strom Pipeline'!R20="offered")+('MiT Strom Pipeline'!R20="to be offered")+('MiT Strom Pipeline'!R20="on hold")&gt;0,'MiT Strom Pipeline'!S20,"")</f>
        <v/>
      </c>
      <c r="J89" s="29">
        <f>IF(('MiT Strom Pipeline'!R20="offered")+('MiT Strom Pipeline'!R20="to be offered")+('MiT Strom Pipeline'!R20="on hold")&gt;0,IF(LEN('MiT Strom Pipeline'!V20)&gt;0,LEFT('MiT Strom Pipeline'!V20,55),""),"")</f>
        <v/>
      </c>
    </row>
    <row r="90" hidden="1" ht="15.75" customHeight="1">
      <c r="A90" s="22">
        <f>IF(('MiT Strom Pipeline'!R21="offered")+('MiT Strom Pipeline'!R21="to be offered")+('MiT Strom Pipeline'!R21="on hold")&gt;0,IF(ISNUMBER('MiT Strom Pipeline'!A21),'MiT Strom Pipeline'!A21,""),"")</f>
        <v/>
      </c>
      <c r="B90" s="23">
        <f>IF(('MiT Strom Pipeline'!R21="offered")+('MiT Strom Pipeline'!R21="to be offered")+('MiT Strom Pipeline'!R21="on hold")&gt;0,'MiT Strom Pipeline'!B21,"")</f>
        <v/>
      </c>
      <c r="C90" s="22">
        <f>IF(('MiT Strom Pipeline'!R21="offered")+('MiT Strom Pipeline'!R21="to be offered")+('MiT Strom Pipeline'!R21="on hold")&gt;0,'MiT Strom Pipeline'!C21,"")</f>
        <v/>
      </c>
      <c r="D90" s="23">
        <f>IF(('MiT Strom Pipeline'!R21="offered")+('MiT Strom Pipeline'!R21="to be offered")+('MiT Strom Pipeline'!R21="on hold")&gt;0,'MiT Strom Pipeline'!D21,"")</f>
        <v/>
      </c>
      <c r="E90" s="23">
        <f>IF(('MiT Strom Pipeline'!R21="offered")+('MiT Strom Pipeline'!R21="to be offered")+('MiT Strom Pipeline'!R21="on hold")&gt;0,'MiT Strom Pipeline'!E21,"")</f>
        <v/>
      </c>
      <c r="F90" s="49">
        <f>IF(('MiT Strom Pipeline'!R21="offered")+('MiT Strom Pipeline'!R21="to be offered")+('MiT Strom Pipeline'!R21="on hold")&gt;0,IF(ISNUMBER('MiT Strom Pipeline'!I21),'MiT Strom Pipeline'!I21,0),"")</f>
        <v/>
      </c>
      <c r="G90" s="49">
        <f>IF(('MiT Strom Pipeline'!R21="offered")+('MiT Strom Pipeline'!R21="to be offered")+('MiT Strom Pipeline'!R21="on hold")&gt;0,IF(ISNUMBER('MiT Strom Pipeline'!Q21),'MiT Strom Pipeline'!Q21,0),"")</f>
        <v/>
      </c>
      <c r="H90" s="22">
        <f>IF(('MiT Strom Pipeline'!R21="offered")+('MiT Strom Pipeline'!R21="to be offered")+('MiT Strom Pipeline'!R21="on hold")&gt;0,'MiT Strom Pipeline'!R21,"")</f>
        <v/>
      </c>
      <c r="I90" s="22">
        <f>IF(('MiT Strom Pipeline'!R21="offered")+('MiT Strom Pipeline'!R21="to be offered")+('MiT Strom Pipeline'!R21="on hold")&gt;0,'MiT Strom Pipeline'!S21,"")</f>
        <v/>
      </c>
      <c r="J90" s="23">
        <f>IF(('MiT Strom Pipeline'!R21="offered")+('MiT Strom Pipeline'!R21="to be offered")+('MiT Strom Pipeline'!R21="on hold")&gt;0,IF(LEN('MiT Strom Pipeline'!V21)&gt;0,LEFT('MiT Strom Pipeline'!V21,55),""),"")</f>
        <v/>
      </c>
    </row>
    <row r="91" hidden="1" ht="15.75" customHeight="1">
      <c r="A91" s="28">
        <f>IF(('MiT Strom Pipeline'!R22="offered")+('MiT Strom Pipeline'!R22="to be offered")+('MiT Strom Pipeline'!R22="on hold")&gt;0,IF(ISNUMBER('MiT Strom Pipeline'!A22),'MiT Strom Pipeline'!A22,""),"")</f>
        <v/>
      </c>
      <c r="B91" s="29">
        <f>IF(('MiT Strom Pipeline'!R22="offered")+('MiT Strom Pipeline'!R22="to be offered")+('MiT Strom Pipeline'!R22="on hold")&gt;0,'MiT Strom Pipeline'!B22,"")</f>
        <v/>
      </c>
      <c r="C91" s="28">
        <f>IF(('MiT Strom Pipeline'!R22="offered")+('MiT Strom Pipeline'!R22="to be offered")+('MiT Strom Pipeline'!R22="on hold")&gt;0,'MiT Strom Pipeline'!C22,"")</f>
        <v/>
      </c>
      <c r="D91" s="29">
        <f>IF(('MiT Strom Pipeline'!R22="offered")+('MiT Strom Pipeline'!R22="to be offered")+('MiT Strom Pipeline'!R22="on hold")&gt;0,'MiT Strom Pipeline'!D22,"")</f>
        <v/>
      </c>
      <c r="E91" s="29">
        <f>IF(('MiT Strom Pipeline'!R22="offered")+('MiT Strom Pipeline'!R22="to be offered")+('MiT Strom Pipeline'!R22="on hold")&gt;0,'MiT Strom Pipeline'!E22,"")</f>
        <v/>
      </c>
      <c r="F91" s="52">
        <f>IF(('MiT Strom Pipeline'!R22="offered")+('MiT Strom Pipeline'!R22="to be offered")+('MiT Strom Pipeline'!R22="on hold")&gt;0,IF(ISNUMBER('MiT Strom Pipeline'!I22),'MiT Strom Pipeline'!I22,0),"")</f>
        <v/>
      </c>
      <c r="G91" s="52">
        <f>IF(('MiT Strom Pipeline'!R22="offered")+('MiT Strom Pipeline'!R22="to be offered")+('MiT Strom Pipeline'!R22="on hold")&gt;0,IF(ISNUMBER('MiT Strom Pipeline'!Q22),'MiT Strom Pipeline'!Q22,0),"")</f>
        <v/>
      </c>
      <c r="H91" s="28">
        <f>IF(('MiT Strom Pipeline'!R22="offered")+('MiT Strom Pipeline'!R22="to be offered")+('MiT Strom Pipeline'!R22="on hold")&gt;0,'MiT Strom Pipeline'!R22,"")</f>
        <v/>
      </c>
      <c r="I91" s="28">
        <f>IF(('MiT Strom Pipeline'!R22="offered")+('MiT Strom Pipeline'!R22="to be offered")+('MiT Strom Pipeline'!R22="on hold")&gt;0,'MiT Strom Pipeline'!S22,"")</f>
        <v/>
      </c>
      <c r="J91" s="29">
        <f>IF(('MiT Strom Pipeline'!R22="offered")+('MiT Strom Pipeline'!R22="to be offered")+('MiT Strom Pipeline'!R22="on hold")&gt;0,IF(LEN('MiT Strom Pipeline'!V22)&gt;0,LEFT('MiT Strom Pipeline'!V22,55),""),"")</f>
        <v/>
      </c>
    </row>
    <row r="92" hidden="1" ht="15.75" customHeight="1">
      <c r="A92" s="22">
        <f>IF(('MiT Strom Pipeline'!R23="offered")+('MiT Strom Pipeline'!R23="to be offered")+('MiT Strom Pipeline'!R23="on hold")&gt;0,IF(ISNUMBER('MiT Strom Pipeline'!A23),'MiT Strom Pipeline'!A23,""),"")</f>
        <v/>
      </c>
      <c r="B92" s="23">
        <f>IF(('MiT Strom Pipeline'!R23="offered")+('MiT Strom Pipeline'!R23="to be offered")+('MiT Strom Pipeline'!R23="on hold")&gt;0,'MiT Strom Pipeline'!B23,"")</f>
        <v/>
      </c>
      <c r="C92" s="22">
        <f>IF(('MiT Strom Pipeline'!R23="offered")+('MiT Strom Pipeline'!R23="to be offered")+('MiT Strom Pipeline'!R23="on hold")&gt;0,'MiT Strom Pipeline'!C23,"")</f>
        <v/>
      </c>
      <c r="D92" s="23">
        <f>IF(('MiT Strom Pipeline'!R23="offered")+('MiT Strom Pipeline'!R23="to be offered")+('MiT Strom Pipeline'!R23="on hold")&gt;0,'MiT Strom Pipeline'!D23,"")</f>
        <v/>
      </c>
      <c r="E92" s="23">
        <f>IF(('MiT Strom Pipeline'!R23="offered")+('MiT Strom Pipeline'!R23="to be offered")+('MiT Strom Pipeline'!R23="on hold")&gt;0,'MiT Strom Pipeline'!E23,"")</f>
        <v/>
      </c>
      <c r="F92" s="49">
        <f>IF(('MiT Strom Pipeline'!R23="offered")+('MiT Strom Pipeline'!R23="to be offered")+('MiT Strom Pipeline'!R23="on hold")&gt;0,IF(ISNUMBER('MiT Strom Pipeline'!I23),'MiT Strom Pipeline'!I23,0),"")</f>
        <v/>
      </c>
      <c r="G92" s="49">
        <f>IF(('MiT Strom Pipeline'!R23="offered")+('MiT Strom Pipeline'!R23="to be offered")+('MiT Strom Pipeline'!R23="on hold")&gt;0,IF(ISNUMBER('MiT Strom Pipeline'!Q23),'MiT Strom Pipeline'!Q23,0),"")</f>
        <v/>
      </c>
      <c r="H92" s="22">
        <f>IF(('MiT Strom Pipeline'!R23="offered")+('MiT Strom Pipeline'!R23="to be offered")+('MiT Strom Pipeline'!R23="on hold")&gt;0,'MiT Strom Pipeline'!R23,"")</f>
        <v/>
      </c>
      <c r="I92" s="22">
        <f>IF(('MiT Strom Pipeline'!R23="offered")+('MiT Strom Pipeline'!R23="to be offered")+('MiT Strom Pipeline'!R23="on hold")&gt;0,'MiT Strom Pipeline'!S23,"")</f>
        <v/>
      </c>
      <c r="J92" s="23">
        <f>IF(('MiT Strom Pipeline'!R23="offered")+('MiT Strom Pipeline'!R23="to be offered")+('MiT Strom Pipeline'!R23="on hold")&gt;0,IF(LEN('MiT Strom Pipeline'!V23)&gt;0,LEFT('MiT Strom Pipeline'!V23,55),""),"")</f>
        <v/>
      </c>
    </row>
    <row r="93" hidden="1" ht="15.75" customHeight="1">
      <c r="A93" s="28">
        <f>IF(('MiT Strom Pipeline'!R24="offered")+('MiT Strom Pipeline'!R24="to be offered")+('MiT Strom Pipeline'!R24="on hold")&gt;0,IF(ISNUMBER('MiT Strom Pipeline'!A24),'MiT Strom Pipeline'!A24,""),"")</f>
        <v/>
      </c>
      <c r="B93" s="29">
        <f>IF(('MiT Strom Pipeline'!R24="offered")+('MiT Strom Pipeline'!R24="to be offered")+('MiT Strom Pipeline'!R24="on hold")&gt;0,'MiT Strom Pipeline'!B24,"")</f>
        <v/>
      </c>
      <c r="C93" s="28">
        <f>IF(('MiT Strom Pipeline'!R24="offered")+('MiT Strom Pipeline'!R24="to be offered")+('MiT Strom Pipeline'!R24="on hold")&gt;0,'MiT Strom Pipeline'!C24,"")</f>
        <v/>
      </c>
      <c r="D93" s="29">
        <f>IF(('MiT Strom Pipeline'!R24="offered")+('MiT Strom Pipeline'!R24="to be offered")+('MiT Strom Pipeline'!R24="on hold")&gt;0,'MiT Strom Pipeline'!D24,"")</f>
        <v/>
      </c>
      <c r="E93" s="29">
        <f>IF(('MiT Strom Pipeline'!R24="offered")+('MiT Strom Pipeline'!R24="to be offered")+('MiT Strom Pipeline'!R24="on hold")&gt;0,'MiT Strom Pipeline'!E24,"")</f>
        <v/>
      </c>
      <c r="F93" s="52">
        <f>IF(('MiT Strom Pipeline'!R24="offered")+('MiT Strom Pipeline'!R24="to be offered")+('MiT Strom Pipeline'!R24="on hold")&gt;0,IF(ISNUMBER('MiT Strom Pipeline'!I24),'MiT Strom Pipeline'!I24,0),"")</f>
        <v/>
      </c>
      <c r="G93" s="52">
        <f>IF(('MiT Strom Pipeline'!R24="offered")+('MiT Strom Pipeline'!R24="to be offered")+('MiT Strom Pipeline'!R24="on hold")&gt;0,IF(ISNUMBER('MiT Strom Pipeline'!Q24),'MiT Strom Pipeline'!Q24,0),"")</f>
        <v/>
      </c>
      <c r="H93" s="28">
        <f>IF(('MiT Strom Pipeline'!R24="offered")+('MiT Strom Pipeline'!R24="to be offered")+('MiT Strom Pipeline'!R24="on hold")&gt;0,'MiT Strom Pipeline'!R24,"")</f>
        <v/>
      </c>
      <c r="I93" s="28">
        <f>IF(('MiT Strom Pipeline'!R24="offered")+('MiT Strom Pipeline'!R24="to be offered")+('MiT Strom Pipeline'!R24="on hold")&gt;0,'MiT Strom Pipeline'!S24,"")</f>
        <v/>
      </c>
      <c r="J93" s="29">
        <f>IF(('MiT Strom Pipeline'!R24="offered")+('MiT Strom Pipeline'!R24="to be offered")+('MiT Strom Pipeline'!R24="on hold")&gt;0,IF(LEN('MiT Strom Pipeline'!V24)&gt;0,LEFT('MiT Strom Pipeline'!V24,55),""),"")</f>
        <v/>
      </c>
    </row>
    <row r="94" hidden="1" ht="15.75" customHeight="1">
      <c r="A94" s="22">
        <f>IF(('MiT Strom Pipeline'!R25="offered")+('MiT Strom Pipeline'!R25="to be offered")+('MiT Strom Pipeline'!R25="on hold")&gt;0,IF(ISNUMBER('MiT Strom Pipeline'!A25),'MiT Strom Pipeline'!A25,""),"")</f>
        <v/>
      </c>
      <c r="B94" s="23">
        <f>IF(('MiT Strom Pipeline'!R25="offered")+('MiT Strom Pipeline'!R25="to be offered")+('MiT Strom Pipeline'!R25="on hold")&gt;0,'MiT Strom Pipeline'!B25,"")</f>
        <v/>
      </c>
      <c r="C94" s="22">
        <f>IF(('MiT Strom Pipeline'!R25="offered")+('MiT Strom Pipeline'!R25="to be offered")+('MiT Strom Pipeline'!R25="on hold")&gt;0,'MiT Strom Pipeline'!C25,"")</f>
        <v/>
      </c>
      <c r="D94" s="23">
        <f>IF(('MiT Strom Pipeline'!R25="offered")+('MiT Strom Pipeline'!R25="to be offered")+('MiT Strom Pipeline'!R25="on hold")&gt;0,'MiT Strom Pipeline'!D25,"")</f>
        <v/>
      </c>
      <c r="E94" s="23">
        <f>IF(('MiT Strom Pipeline'!R25="offered")+('MiT Strom Pipeline'!R25="to be offered")+('MiT Strom Pipeline'!R25="on hold")&gt;0,'MiT Strom Pipeline'!E25,"")</f>
        <v/>
      </c>
      <c r="F94" s="49">
        <f>IF(('MiT Strom Pipeline'!R25="offered")+('MiT Strom Pipeline'!R25="to be offered")+('MiT Strom Pipeline'!R25="on hold")&gt;0,IF(ISNUMBER('MiT Strom Pipeline'!I25),'MiT Strom Pipeline'!I25,0),"")</f>
        <v/>
      </c>
      <c r="G94" s="49">
        <f>IF(('MiT Strom Pipeline'!R25="offered")+('MiT Strom Pipeline'!R25="to be offered")+('MiT Strom Pipeline'!R25="on hold")&gt;0,IF(ISNUMBER('MiT Strom Pipeline'!Q25),'MiT Strom Pipeline'!Q25,0),"")</f>
        <v/>
      </c>
      <c r="H94" s="22">
        <f>IF(('MiT Strom Pipeline'!R25="offered")+('MiT Strom Pipeline'!R25="to be offered")+('MiT Strom Pipeline'!R25="on hold")&gt;0,'MiT Strom Pipeline'!R25,"")</f>
        <v/>
      </c>
      <c r="I94" s="22">
        <f>IF(('MiT Strom Pipeline'!R25="offered")+('MiT Strom Pipeline'!R25="to be offered")+('MiT Strom Pipeline'!R25="on hold")&gt;0,'MiT Strom Pipeline'!S25,"")</f>
        <v/>
      </c>
      <c r="J94" s="23">
        <f>IF(('MiT Strom Pipeline'!R25="offered")+('MiT Strom Pipeline'!R25="to be offered")+('MiT Strom Pipeline'!R25="on hold")&gt;0,IF(LEN('MiT Strom Pipeline'!V25)&gt;0,LEFT('MiT Strom Pipeline'!V25,55),""),"")</f>
        <v/>
      </c>
    </row>
    <row r="95" hidden="1" ht="15.75" customHeight="1">
      <c r="A95" s="28">
        <f>IF(('MiT Strom Pipeline'!R26="offered")+('MiT Strom Pipeline'!R26="to be offered")+('MiT Strom Pipeline'!R26="on hold")&gt;0,IF(ISNUMBER('MiT Strom Pipeline'!A26),'MiT Strom Pipeline'!A26,""),"")</f>
        <v/>
      </c>
      <c r="B95" s="29">
        <f>IF(('MiT Strom Pipeline'!R26="offered")+('MiT Strom Pipeline'!R26="to be offered")+('MiT Strom Pipeline'!R26="on hold")&gt;0,'MiT Strom Pipeline'!B26,"")</f>
        <v/>
      </c>
      <c r="C95" s="28">
        <f>IF(('MiT Strom Pipeline'!R26="offered")+('MiT Strom Pipeline'!R26="to be offered")+('MiT Strom Pipeline'!R26="on hold")&gt;0,'MiT Strom Pipeline'!C26,"")</f>
        <v/>
      </c>
      <c r="D95" s="29">
        <f>IF(('MiT Strom Pipeline'!R26="offered")+('MiT Strom Pipeline'!R26="to be offered")+('MiT Strom Pipeline'!R26="on hold")&gt;0,'MiT Strom Pipeline'!D26,"")</f>
        <v/>
      </c>
      <c r="E95" s="29">
        <f>IF(('MiT Strom Pipeline'!R26="offered")+('MiT Strom Pipeline'!R26="to be offered")+('MiT Strom Pipeline'!R26="on hold")&gt;0,'MiT Strom Pipeline'!E26,"")</f>
        <v/>
      </c>
      <c r="F95" s="52">
        <f>IF(('MiT Strom Pipeline'!R26="offered")+('MiT Strom Pipeline'!R26="to be offered")+('MiT Strom Pipeline'!R26="on hold")&gt;0,IF(ISNUMBER('MiT Strom Pipeline'!I26),'MiT Strom Pipeline'!I26,0),"")</f>
        <v/>
      </c>
      <c r="G95" s="52">
        <f>IF(('MiT Strom Pipeline'!R26="offered")+('MiT Strom Pipeline'!R26="to be offered")+('MiT Strom Pipeline'!R26="on hold")&gt;0,IF(ISNUMBER('MiT Strom Pipeline'!Q26),'MiT Strom Pipeline'!Q26,0),"")</f>
        <v/>
      </c>
      <c r="H95" s="28">
        <f>IF(('MiT Strom Pipeline'!R26="offered")+('MiT Strom Pipeline'!R26="to be offered")+('MiT Strom Pipeline'!R26="on hold")&gt;0,'MiT Strom Pipeline'!R26,"")</f>
        <v/>
      </c>
      <c r="I95" s="28">
        <f>IF(('MiT Strom Pipeline'!R26="offered")+('MiT Strom Pipeline'!R26="to be offered")+('MiT Strom Pipeline'!R26="on hold")&gt;0,'MiT Strom Pipeline'!S26,"")</f>
        <v/>
      </c>
      <c r="J95" s="29">
        <f>IF(('MiT Strom Pipeline'!R26="offered")+('MiT Strom Pipeline'!R26="to be offered")+('MiT Strom Pipeline'!R26="on hold")&gt;0,IF(LEN('MiT Strom Pipeline'!V26)&gt;0,LEFT('MiT Strom Pipeline'!V26,55),""),"")</f>
        <v/>
      </c>
    </row>
    <row r="96" hidden="1" ht="15.75" customHeight="1">
      <c r="A96" s="22">
        <f>IF(('MiT Strom Pipeline'!R27="offered")+('MiT Strom Pipeline'!R27="to be offered")+('MiT Strom Pipeline'!R27="on hold")&gt;0,IF(ISNUMBER('MiT Strom Pipeline'!A27),'MiT Strom Pipeline'!A27,""),"")</f>
        <v/>
      </c>
      <c r="B96" s="23">
        <f>IF(('MiT Strom Pipeline'!R27="offered")+('MiT Strom Pipeline'!R27="to be offered")+('MiT Strom Pipeline'!R27="on hold")&gt;0,'MiT Strom Pipeline'!B27,"")</f>
        <v/>
      </c>
      <c r="C96" s="22">
        <f>IF(('MiT Strom Pipeline'!R27="offered")+('MiT Strom Pipeline'!R27="to be offered")+('MiT Strom Pipeline'!R27="on hold")&gt;0,'MiT Strom Pipeline'!C27,"")</f>
        <v/>
      </c>
      <c r="D96" s="23">
        <f>IF(('MiT Strom Pipeline'!R27="offered")+('MiT Strom Pipeline'!R27="to be offered")+('MiT Strom Pipeline'!R27="on hold")&gt;0,'MiT Strom Pipeline'!D27,"")</f>
        <v/>
      </c>
      <c r="E96" s="23">
        <f>IF(('MiT Strom Pipeline'!R27="offered")+('MiT Strom Pipeline'!R27="to be offered")+('MiT Strom Pipeline'!R27="on hold")&gt;0,'MiT Strom Pipeline'!E27,"")</f>
        <v/>
      </c>
      <c r="F96" s="49">
        <f>IF(('MiT Strom Pipeline'!R27="offered")+('MiT Strom Pipeline'!R27="to be offered")+('MiT Strom Pipeline'!R27="on hold")&gt;0,IF(ISNUMBER('MiT Strom Pipeline'!I27),'MiT Strom Pipeline'!I27,0),"")</f>
        <v/>
      </c>
      <c r="G96" s="49">
        <f>IF(('MiT Strom Pipeline'!R27="offered")+('MiT Strom Pipeline'!R27="to be offered")+('MiT Strom Pipeline'!R27="on hold")&gt;0,IF(ISNUMBER('MiT Strom Pipeline'!Q27),'MiT Strom Pipeline'!Q27,0),"")</f>
        <v/>
      </c>
      <c r="H96" s="22">
        <f>IF(('MiT Strom Pipeline'!R27="offered")+('MiT Strom Pipeline'!R27="to be offered")+('MiT Strom Pipeline'!R27="on hold")&gt;0,'MiT Strom Pipeline'!R27,"")</f>
        <v/>
      </c>
      <c r="I96" s="22">
        <f>IF(('MiT Strom Pipeline'!R27="offered")+('MiT Strom Pipeline'!R27="to be offered")+('MiT Strom Pipeline'!R27="on hold")&gt;0,'MiT Strom Pipeline'!S27,"")</f>
        <v/>
      </c>
      <c r="J96" s="23">
        <f>IF(('MiT Strom Pipeline'!R27="offered")+('MiT Strom Pipeline'!R27="to be offered")+('MiT Strom Pipeline'!R27="on hold")&gt;0,IF(LEN('MiT Strom Pipeline'!V27)&gt;0,LEFT('MiT Strom Pipeline'!V27,55),""),"")</f>
        <v/>
      </c>
    </row>
    <row r="97" ht="15.75" customHeight="1">
      <c r="A97" s="28">
        <f>IF(('MiT Strom Pipeline'!R28="offered")+('MiT Strom Pipeline'!R28="to be offered")+('MiT Strom Pipeline'!R28="on hold")&gt;0,IF(ISNUMBER('MiT Strom Pipeline'!A28),'MiT Strom Pipeline'!A28,""),"")</f>
        <v/>
      </c>
      <c r="B97" s="29">
        <f>IF(('MiT Strom Pipeline'!R28="offered")+('MiT Strom Pipeline'!R28="to be offered")+('MiT Strom Pipeline'!R28="on hold")&gt;0,'MiT Strom Pipeline'!B28,"")</f>
        <v/>
      </c>
      <c r="C97" s="28">
        <f>IF(('MiT Strom Pipeline'!R28="offered")+('MiT Strom Pipeline'!R28="to be offered")+('MiT Strom Pipeline'!R28="on hold")&gt;0,'MiT Strom Pipeline'!C28,"")</f>
        <v/>
      </c>
      <c r="D97" s="29">
        <f>IF(('MiT Strom Pipeline'!R28="offered")+('MiT Strom Pipeline'!R28="to be offered")+('MiT Strom Pipeline'!R28="on hold")&gt;0,'MiT Strom Pipeline'!D28,"")</f>
        <v/>
      </c>
      <c r="E97" s="29">
        <f>IF(('MiT Strom Pipeline'!R28="offered")+('MiT Strom Pipeline'!R28="to be offered")+('MiT Strom Pipeline'!R28="on hold")&gt;0,'MiT Strom Pipeline'!E28,"")</f>
        <v/>
      </c>
      <c r="F97" s="52">
        <f>IF(('MiT Strom Pipeline'!R28="offered")+('MiT Strom Pipeline'!R28="to be offered")+('MiT Strom Pipeline'!R28="on hold")&gt;0,IF(ISNUMBER('MiT Strom Pipeline'!I28),'MiT Strom Pipeline'!I28,0),"")</f>
        <v/>
      </c>
      <c r="G97" s="52">
        <f>IF(('MiT Strom Pipeline'!R28="offered")+('MiT Strom Pipeline'!R28="to be offered")+('MiT Strom Pipeline'!R28="on hold")&gt;0,IF(ISNUMBER('MiT Strom Pipeline'!Q28),'MiT Strom Pipeline'!Q28,0),"")</f>
        <v/>
      </c>
      <c r="H97" s="28">
        <f>IF(('MiT Strom Pipeline'!R28="offered")+('MiT Strom Pipeline'!R28="to be offered")+('MiT Strom Pipeline'!R28="on hold")&gt;0,'MiT Strom Pipeline'!R28,"")</f>
        <v/>
      </c>
      <c r="I97" s="28">
        <f>IF(('MiT Strom Pipeline'!R28="offered")+('MiT Strom Pipeline'!R28="to be offered")+('MiT Strom Pipeline'!R28="on hold")&gt;0,'MiT Strom Pipeline'!S28,"")</f>
        <v/>
      </c>
      <c r="J97" s="29">
        <f>IF(('MiT Strom Pipeline'!R28="offered")+('MiT Strom Pipeline'!R28="to be offered")+('MiT Strom Pipeline'!R28="on hold")&gt;0,IF(LEN('MiT Strom Pipeline'!V28)&gt;0,LEFT('MiT Strom Pipeline'!V28,55),""),"")</f>
        <v/>
      </c>
    </row>
    <row r="98" hidden="1" ht="15.75" customHeight="1">
      <c r="A98" s="22">
        <f>IF(('MiT Strom Pipeline'!R29="offered")+('MiT Strom Pipeline'!R29="to be offered")+('MiT Strom Pipeline'!R29="on hold")&gt;0,IF(ISNUMBER('MiT Strom Pipeline'!A29),'MiT Strom Pipeline'!A29,""),"")</f>
        <v/>
      </c>
      <c r="B98" s="23">
        <f>IF(('MiT Strom Pipeline'!R29="offered")+('MiT Strom Pipeline'!R29="to be offered")+('MiT Strom Pipeline'!R29="on hold")&gt;0,'MiT Strom Pipeline'!B29,"")</f>
        <v/>
      </c>
      <c r="C98" s="22">
        <f>IF(('MiT Strom Pipeline'!R29="offered")+('MiT Strom Pipeline'!R29="to be offered")+('MiT Strom Pipeline'!R29="on hold")&gt;0,'MiT Strom Pipeline'!C29,"")</f>
        <v/>
      </c>
      <c r="D98" s="23">
        <f>IF(('MiT Strom Pipeline'!R29="offered")+('MiT Strom Pipeline'!R29="to be offered")+('MiT Strom Pipeline'!R29="on hold")&gt;0,'MiT Strom Pipeline'!D29,"")</f>
        <v/>
      </c>
      <c r="E98" s="23">
        <f>IF(('MiT Strom Pipeline'!R29="offered")+('MiT Strom Pipeline'!R29="to be offered")+('MiT Strom Pipeline'!R29="on hold")&gt;0,'MiT Strom Pipeline'!E29,"")</f>
        <v/>
      </c>
      <c r="F98" s="49">
        <f>IF(('MiT Strom Pipeline'!R29="offered")+('MiT Strom Pipeline'!R29="to be offered")+('MiT Strom Pipeline'!R29="on hold")&gt;0,IF(ISNUMBER('MiT Strom Pipeline'!I29),'MiT Strom Pipeline'!I29,0),"")</f>
        <v/>
      </c>
      <c r="G98" s="49">
        <f>IF(('MiT Strom Pipeline'!R29="offered")+('MiT Strom Pipeline'!R29="to be offered")+('MiT Strom Pipeline'!R29="on hold")&gt;0,IF(ISNUMBER('MiT Strom Pipeline'!Q29),'MiT Strom Pipeline'!Q29,0),"")</f>
        <v/>
      </c>
      <c r="H98" s="22">
        <f>IF(('MiT Strom Pipeline'!R29="offered")+('MiT Strom Pipeline'!R29="to be offered")+('MiT Strom Pipeline'!R29="on hold")&gt;0,'MiT Strom Pipeline'!R29,"")</f>
        <v/>
      </c>
      <c r="I98" s="22">
        <f>IF(('MiT Strom Pipeline'!R29="offered")+('MiT Strom Pipeline'!R29="to be offered")+('MiT Strom Pipeline'!R29="on hold")&gt;0,'MiT Strom Pipeline'!S29,"")</f>
        <v/>
      </c>
      <c r="J98" s="23">
        <f>IF(('MiT Strom Pipeline'!R29="offered")+('MiT Strom Pipeline'!R29="to be offered")+('MiT Strom Pipeline'!R29="on hold")&gt;0,IF(LEN('MiT Strom Pipeline'!V29)&gt;0,LEFT('MiT Strom Pipeline'!V29,55),""),"")</f>
        <v/>
      </c>
    </row>
    <row r="99" hidden="1" ht="15" customHeight="1">
      <c r="A99" s="28">
        <f>IF(('MiT Strom Pipeline'!R30="offered")+('MiT Strom Pipeline'!R30="to be offered")+('MiT Strom Pipeline'!R30="on hold")&gt;0,IF(ISNUMBER('MiT Strom Pipeline'!A30),'MiT Strom Pipeline'!A30,""),"")</f>
        <v/>
      </c>
      <c r="B99" s="29">
        <f>IF(('MiT Strom Pipeline'!R30="offered")+('MiT Strom Pipeline'!R30="to be offered")+('MiT Strom Pipeline'!R30="on hold")&gt;0,'MiT Strom Pipeline'!B30,"")</f>
        <v/>
      </c>
      <c r="C99" s="28">
        <f>IF(('MiT Strom Pipeline'!R30="offered")+('MiT Strom Pipeline'!R30="to be offered")+('MiT Strom Pipeline'!R30="on hold")&gt;0,'MiT Strom Pipeline'!C30,"")</f>
        <v/>
      </c>
      <c r="D99" s="29">
        <f>IF(('MiT Strom Pipeline'!R30="offered")+('MiT Strom Pipeline'!R30="to be offered")+('MiT Strom Pipeline'!R30="on hold")&gt;0,'MiT Strom Pipeline'!D30,"")</f>
        <v/>
      </c>
      <c r="E99" s="29">
        <f>IF(('MiT Strom Pipeline'!R30="offered")+('MiT Strom Pipeline'!R30="to be offered")+('MiT Strom Pipeline'!R30="on hold")&gt;0,'MiT Strom Pipeline'!E30,"")</f>
        <v/>
      </c>
      <c r="F99" s="52">
        <f>IF(('MiT Strom Pipeline'!R30="offered")+('MiT Strom Pipeline'!R30="to be offered")+('MiT Strom Pipeline'!R30="on hold")&gt;0,IF(ISNUMBER('MiT Strom Pipeline'!I30),'MiT Strom Pipeline'!I30,0),"")</f>
        <v/>
      </c>
      <c r="G99" s="52">
        <f>IF(('MiT Strom Pipeline'!R30="offered")+('MiT Strom Pipeline'!R30="to be offered")+('MiT Strom Pipeline'!R30="on hold")&gt;0,IF(ISNUMBER('MiT Strom Pipeline'!Q30),'MiT Strom Pipeline'!Q30,0),"")</f>
        <v/>
      </c>
      <c r="H99" s="28">
        <f>IF(('MiT Strom Pipeline'!R30="offered")+('MiT Strom Pipeline'!R30="to be offered")+('MiT Strom Pipeline'!R30="on hold")&gt;0,'MiT Strom Pipeline'!R30,"")</f>
        <v/>
      </c>
      <c r="I99" s="28">
        <f>IF(('MiT Strom Pipeline'!R30="offered")+('MiT Strom Pipeline'!R30="to be offered")+('MiT Strom Pipeline'!R30="on hold")&gt;0,'MiT Strom Pipeline'!S30,"")</f>
        <v/>
      </c>
      <c r="J99" s="29">
        <f>IF(('MiT Strom Pipeline'!R30="offered")+('MiT Strom Pipeline'!R30="to be offered")+('MiT Strom Pipeline'!R30="on hold")&gt;0,IF(LEN('MiT Strom Pipeline'!V30)&gt;0,LEFT('MiT Strom Pipeline'!V30,55),""),"")</f>
        <v/>
      </c>
    </row>
    <row r="100" ht="23.25" customHeight="1">
      <c r="A100" s="22">
        <f>IF(('MiT Strom Pipeline'!R31="offered")+('MiT Strom Pipeline'!R31="to be offered")+('MiT Strom Pipeline'!R31="on hold")&gt;0,IF(ISNUMBER('MiT Strom Pipeline'!A31),'MiT Strom Pipeline'!A31,""),"")</f>
        <v/>
      </c>
      <c r="B100" s="23">
        <f>IF(('MiT Strom Pipeline'!R31="offered")+('MiT Strom Pipeline'!R31="to be offered")+('MiT Strom Pipeline'!R31="on hold")&gt;0,'MiT Strom Pipeline'!B31,"")</f>
        <v/>
      </c>
      <c r="C100" s="22">
        <f>IF(('MiT Strom Pipeline'!R31="offered")+('MiT Strom Pipeline'!R31="to be offered")+('MiT Strom Pipeline'!R31="on hold")&gt;0,'MiT Strom Pipeline'!C31,"")</f>
        <v/>
      </c>
      <c r="D100" s="23">
        <f>IF(('MiT Strom Pipeline'!R31="offered")+('MiT Strom Pipeline'!R31="to be offered")+('MiT Strom Pipeline'!R31="on hold")&gt;0,'MiT Strom Pipeline'!D31,"")</f>
        <v/>
      </c>
      <c r="E100" s="23">
        <f>IF(('MiT Strom Pipeline'!R31="offered")+('MiT Strom Pipeline'!R31="to be offered")+('MiT Strom Pipeline'!R31="on hold")&gt;0,'MiT Strom Pipeline'!E31,"")</f>
        <v/>
      </c>
      <c r="F100" s="49">
        <f>IF(('MiT Strom Pipeline'!R31="offered")+('MiT Strom Pipeline'!R31="to be offered")+('MiT Strom Pipeline'!R31="on hold")&gt;0,IF(ISNUMBER('MiT Strom Pipeline'!I31),'MiT Strom Pipeline'!I31,0),"")</f>
        <v/>
      </c>
      <c r="G100" s="49">
        <f>IF(('MiT Strom Pipeline'!R31="offered")+('MiT Strom Pipeline'!R31="to be offered")+('MiT Strom Pipeline'!R31="on hold")&gt;0,IF(ISNUMBER('MiT Strom Pipeline'!Q31),'MiT Strom Pipeline'!Q31,0),"")</f>
        <v/>
      </c>
      <c r="H100" s="22">
        <f>IF(('MiT Strom Pipeline'!R31="offered")+('MiT Strom Pipeline'!R31="to be offered")+('MiT Strom Pipeline'!R31="on hold")&gt;0,'MiT Strom Pipeline'!R31,"")</f>
        <v/>
      </c>
      <c r="I100" s="22">
        <f>IF(('MiT Strom Pipeline'!R31="offered")+('MiT Strom Pipeline'!R31="to be offered")+('MiT Strom Pipeline'!R31="on hold")&gt;0,'MiT Strom Pipeline'!S31,"")</f>
        <v/>
      </c>
      <c r="J100" s="25">
        <f>IF(('MiT Strom Pipeline'!R31="offered")+('MiT Strom Pipeline'!R31="to be offered")+('MiT Strom Pipeline'!R31="on hold")&gt;0,IF(LEN('MiT Strom Pipeline'!V31)&gt;0,LEFT('MiT Strom Pipeline'!V31,55),""),"")</f>
        <v/>
      </c>
    </row>
    <row r="101" ht="23.25" customHeight="1">
      <c r="A101" s="28">
        <f>IF(('MiT Strom Pipeline'!R32="offered")+('MiT Strom Pipeline'!R32="to be offered")+('MiT Strom Pipeline'!R32="on hold")&gt;0,IF(ISNUMBER('MiT Strom Pipeline'!A32),'MiT Strom Pipeline'!A32,""),"")</f>
        <v/>
      </c>
      <c r="B101" s="29">
        <f>IF(('MiT Strom Pipeline'!R32="offered")+('MiT Strom Pipeline'!R32="to be offered")+('MiT Strom Pipeline'!R32="on hold")&gt;0,'MiT Strom Pipeline'!B32,"")</f>
        <v/>
      </c>
      <c r="C101" s="28">
        <f>IF(('MiT Strom Pipeline'!R32="offered")+('MiT Strom Pipeline'!R32="to be offered")+('MiT Strom Pipeline'!R32="on hold")&gt;0,'MiT Strom Pipeline'!C32,"")</f>
        <v/>
      </c>
      <c r="D101" s="29">
        <f>IF(('MiT Strom Pipeline'!R32="offered")+('MiT Strom Pipeline'!R32="to be offered")+('MiT Strom Pipeline'!R32="on hold")&gt;0,'MiT Strom Pipeline'!D32,"")</f>
        <v/>
      </c>
      <c r="E101" s="29">
        <f>IF(('MiT Strom Pipeline'!R32="offered")+('MiT Strom Pipeline'!R32="to be offered")+('MiT Strom Pipeline'!R32="on hold")&gt;0,'MiT Strom Pipeline'!E32,"")</f>
        <v/>
      </c>
      <c r="F101" s="52">
        <f>IF(('MiT Strom Pipeline'!R32="offered")+('MiT Strom Pipeline'!R32="to be offered")+('MiT Strom Pipeline'!R32="on hold")&gt;0,IF(ISNUMBER('MiT Strom Pipeline'!I32),'MiT Strom Pipeline'!I32,0),"")</f>
        <v/>
      </c>
      <c r="G101" s="52">
        <f>IF(('MiT Strom Pipeline'!R32="offered")+('MiT Strom Pipeline'!R32="to be offered")+('MiT Strom Pipeline'!R32="on hold")&gt;0,IF(ISNUMBER('MiT Strom Pipeline'!Q32),'MiT Strom Pipeline'!Q32,0),"")</f>
        <v/>
      </c>
      <c r="H101" s="28">
        <f>IF(('MiT Strom Pipeline'!R32="offered")+('MiT Strom Pipeline'!R32="to be offered")+('MiT Strom Pipeline'!R32="on hold")&gt;0,'MiT Strom Pipeline'!R32,"")</f>
        <v/>
      </c>
      <c r="I101" s="28">
        <f>IF(('MiT Strom Pipeline'!R32="offered")+('MiT Strom Pipeline'!R32="to be offered")+('MiT Strom Pipeline'!R32="on hold")&gt;0,'MiT Strom Pipeline'!S32,"")</f>
        <v/>
      </c>
      <c r="J101" s="31">
        <f>IF(('MiT Strom Pipeline'!R32="offered")+('MiT Strom Pipeline'!R32="to be offered")+('MiT Strom Pipeline'!R32="on hold")&gt;0,IF(LEN('MiT Strom Pipeline'!V32)&gt;0,LEFT('MiT Strom Pipeline'!V32,55),""),"")</f>
        <v/>
      </c>
    </row>
    <row r="102" hidden="1" ht="15" customHeight="1">
      <c r="A102" s="22">
        <f>IF(('MiT Strom Pipeline'!R33="offered")+('MiT Strom Pipeline'!R33="to be offered")+('MiT Strom Pipeline'!R33="on hold")&gt;0,IF(ISNUMBER('MiT Strom Pipeline'!A33),'MiT Strom Pipeline'!A33,""),"")</f>
        <v/>
      </c>
      <c r="B102" s="23">
        <f>IF(('MiT Strom Pipeline'!R33="offered")+('MiT Strom Pipeline'!R33="to be offered")+('MiT Strom Pipeline'!R33="on hold")&gt;0,'MiT Strom Pipeline'!B33,"")</f>
        <v/>
      </c>
      <c r="C102" s="22">
        <f>IF(('MiT Strom Pipeline'!R33="offered")+('MiT Strom Pipeline'!R33="to be offered")+('MiT Strom Pipeline'!R33="on hold")&gt;0,'MiT Strom Pipeline'!C33,"")</f>
        <v/>
      </c>
      <c r="D102" s="23">
        <f>IF(('MiT Strom Pipeline'!R33="offered")+('MiT Strom Pipeline'!R33="to be offered")+('MiT Strom Pipeline'!R33="on hold")&gt;0,'MiT Strom Pipeline'!D33,"")</f>
        <v/>
      </c>
      <c r="E102" s="23">
        <f>IF(('MiT Strom Pipeline'!R33="offered")+('MiT Strom Pipeline'!R33="to be offered")+('MiT Strom Pipeline'!R33="on hold")&gt;0,'MiT Strom Pipeline'!E33,"")</f>
        <v/>
      </c>
      <c r="F102" s="49">
        <f>IF(('MiT Strom Pipeline'!R33="offered")+('MiT Strom Pipeline'!R33="to be offered")+('MiT Strom Pipeline'!R33="on hold")&gt;0,IF(ISNUMBER('MiT Strom Pipeline'!I33),'MiT Strom Pipeline'!I33,0),"")</f>
        <v/>
      </c>
      <c r="G102" s="49">
        <f>IF(('MiT Strom Pipeline'!R33="offered")+('MiT Strom Pipeline'!R33="to be offered")+('MiT Strom Pipeline'!R33="on hold")&gt;0,IF(ISNUMBER('MiT Strom Pipeline'!Q33),'MiT Strom Pipeline'!Q33,0),"")</f>
        <v/>
      </c>
      <c r="H102" s="22">
        <f>IF(('MiT Strom Pipeline'!R33="offered")+('MiT Strom Pipeline'!R33="to be offered")+('MiT Strom Pipeline'!R33="on hold")&gt;0,'MiT Strom Pipeline'!R33,"")</f>
        <v/>
      </c>
      <c r="I102" s="22">
        <f>IF(('MiT Strom Pipeline'!R33="offered")+('MiT Strom Pipeline'!R33="to be offered")+('MiT Strom Pipeline'!R33="on hold")&gt;0,'MiT Strom Pipeline'!S33,"")</f>
        <v/>
      </c>
      <c r="J102" s="23">
        <f>IF(('MiT Strom Pipeline'!R33="offered")+('MiT Strom Pipeline'!R33="to be offered")+('MiT Strom Pipeline'!R33="on hold")&gt;0,IF(LEN('MiT Strom Pipeline'!V33)&gt;0,LEFT('MiT Strom Pipeline'!V33,55),""),"")</f>
        <v/>
      </c>
    </row>
    <row r="103" ht="23.25" customHeight="1">
      <c r="A103" s="28">
        <f>IF(('MiT Strom Pipeline'!R34="offered")+('MiT Strom Pipeline'!R34="to be offered")+('MiT Strom Pipeline'!R34="on hold")&gt;0,IF(ISNUMBER('MiT Strom Pipeline'!A34),'MiT Strom Pipeline'!A34,""),"")</f>
        <v/>
      </c>
      <c r="B103" s="29">
        <f>IF(('MiT Strom Pipeline'!R34="offered")+('MiT Strom Pipeline'!R34="to be offered")+('MiT Strom Pipeline'!R34="on hold")&gt;0,'MiT Strom Pipeline'!B34,"")</f>
        <v/>
      </c>
      <c r="C103" s="28">
        <f>IF(('MiT Strom Pipeline'!R34="offered")+('MiT Strom Pipeline'!R34="to be offered")+('MiT Strom Pipeline'!R34="on hold")&gt;0,'MiT Strom Pipeline'!C34,"")</f>
        <v/>
      </c>
      <c r="D103" s="29">
        <f>IF(('MiT Strom Pipeline'!R34="offered")+('MiT Strom Pipeline'!R34="to be offered")+('MiT Strom Pipeline'!R34="on hold")&gt;0,'MiT Strom Pipeline'!D34,"")</f>
        <v/>
      </c>
      <c r="E103" s="29">
        <f>IF(('MiT Strom Pipeline'!R34="offered")+('MiT Strom Pipeline'!R34="to be offered")+('MiT Strom Pipeline'!R34="on hold")&gt;0,'MiT Strom Pipeline'!E34,"")</f>
        <v/>
      </c>
      <c r="F103" s="52">
        <f>IF(('MiT Strom Pipeline'!R34="offered")+('MiT Strom Pipeline'!R34="to be offered")+('MiT Strom Pipeline'!R34="on hold")&gt;0,IF(ISNUMBER('MiT Strom Pipeline'!I34),'MiT Strom Pipeline'!I34,0),"")</f>
        <v/>
      </c>
      <c r="G103" s="52">
        <f>IF(('MiT Strom Pipeline'!R34="offered")+('MiT Strom Pipeline'!R34="to be offered")+('MiT Strom Pipeline'!R34="on hold")&gt;0,IF(ISNUMBER('MiT Strom Pipeline'!Q34),'MiT Strom Pipeline'!Q34,0),"")</f>
        <v/>
      </c>
      <c r="H103" s="28">
        <f>IF(('MiT Strom Pipeline'!R34="offered")+('MiT Strom Pipeline'!R34="to be offered")+('MiT Strom Pipeline'!R34="on hold")&gt;0,'MiT Strom Pipeline'!R34,"")</f>
        <v/>
      </c>
      <c r="I103" s="28">
        <f>IF(('MiT Strom Pipeline'!R34="offered")+('MiT Strom Pipeline'!R34="to be offered")+('MiT Strom Pipeline'!R34="on hold")&gt;0,'MiT Strom Pipeline'!S34,"")</f>
        <v/>
      </c>
      <c r="J103" s="31">
        <f>IF(('MiT Strom Pipeline'!R34="offered")+('MiT Strom Pipeline'!R34="to be offered")+('MiT Strom Pipeline'!R34="on hold")&gt;0,IF(LEN('MiT Strom Pipeline'!V34)&gt;0,LEFT('MiT Strom Pipeline'!V34,55),""),"")</f>
        <v/>
      </c>
    </row>
    <row r="104" ht="23.25" customHeight="1">
      <c r="A104" s="22">
        <f>IF(('MiT Strom Pipeline'!R35="offered")+('MiT Strom Pipeline'!R35="to be offered")+('MiT Strom Pipeline'!R35="on hold")&gt;0,IF(ISNUMBER('MiT Strom Pipeline'!A35),'MiT Strom Pipeline'!A35,""),"")</f>
        <v/>
      </c>
      <c r="B104" s="23">
        <f>IF(('MiT Strom Pipeline'!R35="offered")+('MiT Strom Pipeline'!R35="to be offered")+('MiT Strom Pipeline'!R35="on hold")&gt;0,'MiT Strom Pipeline'!B35,"")</f>
        <v/>
      </c>
      <c r="C104" s="22">
        <f>IF(('MiT Strom Pipeline'!R35="offered")+('MiT Strom Pipeline'!R35="to be offered")+('MiT Strom Pipeline'!R35="on hold")&gt;0,'MiT Strom Pipeline'!C35,"")</f>
        <v/>
      </c>
      <c r="D104" s="23">
        <f>IF(('MiT Strom Pipeline'!R35="offered")+('MiT Strom Pipeline'!R35="to be offered")+('MiT Strom Pipeline'!R35="on hold")&gt;0,'MiT Strom Pipeline'!D35,"")</f>
        <v/>
      </c>
      <c r="E104" s="23">
        <f>IF(('MiT Strom Pipeline'!R35="offered")+('MiT Strom Pipeline'!R35="to be offered")+('MiT Strom Pipeline'!R35="on hold")&gt;0,'MiT Strom Pipeline'!E35,"")</f>
        <v/>
      </c>
      <c r="F104" s="49">
        <f>IF(('MiT Strom Pipeline'!R35="offered")+('MiT Strom Pipeline'!R35="to be offered")+('MiT Strom Pipeline'!R35="on hold")&gt;0,IF(ISNUMBER('MiT Strom Pipeline'!I35),'MiT Strom Pipeline'!I35,0),"")</f>
        <v/>
      </c>
      <c r="G104" s="49">
        <f>IF(('MiT Strom Pipeline'!R35="offered")+('MiT Strom Pipeline'!R35="to be offered")+('MiT Strom Pipeline'!R35="on hold")&gt;0,IF(ISNUMBER('MiT Strom Pipeline'!Q35),'MiT Strom Pipeline'!Q35,0),"")</f>
        <v/>
      </c>
      <c r="H104" s="22">
        <f>IF(('MiT Strom Pipeline'!R35="offered")+('MiT Strom Pipeline'!R35="to be offered")+('MiT Strom Pipeline'!R35="on hold")&gt;0,'MiT Strom Pipeline'!R35,"")</f>
        <v/>
      </c>
      <c r="I104" s="22">
        <f>IF(('MiT Strom Pipeline'!R35="offered")+('MiT Strom Pipeline'!R35="to be offered")+('MiT Strom Pipeline'!R35="on hold")&gt;0,'MiT Strom Pipeline'!S35,"")</f>
        <v/>
      </c>
      <c r="J104" s="25">
        <f>IF(('MiT Strom Pipeline'!R35="offered")+('MiT Strom Pipeline'!R35="to be offered")+('MiT Strom Pipeline'!R35="on hold")&gt;0,IF(LEN('MiT Strom Pipeline'!V35)&gt;0,LEFT('MiT Strom Pipeline'!V35,55),""),"")</f>
        <v/>
      </c>
    </row>
    <row r="105" ht="23.25" customHeight="1">
      <c r="A105" s="28">
        <f>IF(('MiT Strom Pipeline'!R36="offered")+('MiT Strom Pipeline'!R36="to be offered")+('MiT Strom Pipeline'!R36="on hold")&gt;0,IF(ISNUMBER('MiT Strom Pipeline'!A36),'MiT Strom Pipeline'!A36,""),"")</f>
        <v/>
      </c>
      <c r="B105" s="29">
        <f>IF(('MiT Strom Pipeline'!R36="offered")+('MiT Strom Pipeline'!R36="to be offered")+('MiT Strom Pipeline'!R36="on hold")&gt;0,'MiT Strom Pipeline'!B36,"")</f>
        <v/>
      </c>
      <c r="C105" s="28">
        <f>IF(('MiT Strom Pipeline'!R36="offered")+('MiT Strom Pipeline'!R36="to be offered")+('MiT Strom Pipeline'!R36="on hold")&gt;0,'MiT Strom Pipeline'!C36,"")</f>
        <v/>
      </c>
      <c r="D105" s="29">
        <f>IF(('MiT Strom Pipeline'!R36="offered")+('MiT Strom Pipeline'!R36="to be offered")+('MiT Strom Pipeline'!R36="on hold")&gt;0,'MiT Strom Pipeline'!D36,"")</f>
        <v/>
      </c>
      <c r="E105" s="29">
        <f>IF(('MiT Strom Pipeline'!R36="offered")+('MiT Strom Pipeline'!R36="to be offered")+('MiT Strom Pipeline'!R36="on hold")&gt;0,'MiT Strom Pipeline'!E36,"")</f>
        <v/>
      </c>
      <c r="F105" s="52">
        <f>IF(('MiT Strom Pipeline'!R36="offered")+('MiT Strom Pipeline'!R36="to be offered")+('MiT Strom Pipeline'!R36="on hold")&gt;0,IF(ISNUMBER('MiT Strom Pipeline'!I36),'MiT Strom Pipeline'!I36,0),"")</f>
        <v/>
      </c>
      <c r="G105" s="52">
        <f>IF(('MiT Strom Pipeline'!R36="offered")+('MiT Strom Pipeline'!R36="to be offered")+('MiT Strom Pipeline'!R36="on hold")&gt;0,IF(ISNUMBER('MiT Strom Pipeline'!Q36),'MiT Strom Pipeline'!Q36,0),"")</f>
        <v/>
      </c>
      <c r="H105" s="28">
        <f>IF(('MiT Strom Pipeline'!R36="offered")+('MiT Strom Pipeline'!R36="to be offered")+('MiT Strom Pipeline'!R36="on hold")&gt;0,'MiT Strom Pipeline'!R36,"")</f>
        <v/>
      </c>
      <c r="I105" s="28">
        <f>IF(('MiT Strom Pipeline'!R36="offered")+('MiT Strom Pipeline'!R36="to be offered")+('MiT Strom Pipeline'!R36="on hold")&gt;0,'MiT Strom Pipeline'!S36,"")</f>
        <v/>
      </c>
      <c r="J105" s="31">
        <f>IF(('MiT Strom Pipeline'!R36="offered")+('MiT Strom Pipeline'!R36="to be offered")+('MiT Strom Pipeline'!R36="on hold")&gt;0,IF(LEN('MiT Strom Pipeline'!V36)&gt;0,LEFT('MiT Strom Pipeline'!V36,55),""),"")</f>
        <v/>
      </c>
    </row>
    <row r="106" ht="15" customHeight="1">
      <c r="A106" s="22">
        <f>IF(('MiT Strom Pipeline'!R37="offered")+('MiT Strom Pipeline'!R37="to be offered")+('MiT Strom Pipeline'!R37="on hold")&gt;0,IF(ISNUMBER('MiT Strom Pipeline'!A37),'MiT Strom Pipeline'!A37,""),"")</f>
        <v/>
      </c>
      <c r="B106" s="23">
        <f>IF(('MiT Strom Pipeline'!R37="offered")+('MiT Strom Pipeline'!R37="to be offered")+('MiT Strom Pipeline'!R37="on hold")&gt;0,'MiT Strom Pipeline'!B37,"")</f>
        <v/>
      </c>
      <c r="C106" s="22">
        <f>IF(('MiT Strom Pipeline'!R37="offered")+('MiT Strom Pipeline'!R37="to be offered")+('MiT Strom Pipeline'!R37="on hold")&gt;0,'MiT Strom Pipeline'!C37,"")</f>
        <v/>
      </c>
      <c r="D106" s="23">
        <f>IF(('MiT Strom Pipeline'!R37="offered")+('MiT Strom Pipeline'!R37="to be offered")+('MiT Strom Pipeline'!R37="on hold")&gt;0,'MiT Strom Pipeline'!D37,"")</f>
        <v/>
      </c>
      <c r="E106" s="23">
        <f>IF(('MiT Strom Pipeline'!R37="offered")+('MiT Strom Pipeline'!R37="to be offered")+('MiT Strom Pipeline'!R37="on hold")&gt;0,'MiT Strom Pipeline'!E37,"")</f>
        <v/>
      </c>
      <c r="F106" s="49">
        <f>IF(('MiT Strom Pipeline'!R37="offered")+('MiT Strom Pipeline'!R37="to be offered")+('MiT Strom Pipeline'!R37="on hold")&gt;0,IF(ISNUMBER('MiT Strom Pipeline'!I37),'MiT Strom Pipeline'!I37,0),"")</f>
        <v/>
      </c>
      <c r="G106" s="49">
        <f>IF(('MiT Strom Pipeline'!R37="offered")+('MiT Strom Pipeline'!R37="to be offered")+('MiT Strom Pipeline'!R37="on hold")&gt;0,IF(ISNUMBER('MiT Strom Pipeline'!Q37),'MiT Strom Pipeline'!Q37,0),"")</f>
        <v/>
      </c>
      <c r="H106" s="22">
        <f>IF(('MiT Strom Pipeline'!R37="offered")+('MiT Strom Pipeline'!R37="to be offered")+('MiT Strom Pipeline'!R37="on hold")&gt;0,'MiT Strom Pipeline'!R37,"")</f>
        <v/>
      </c>
      <c r="I106" s="22">
        <f>IF(('MiT Strom Pipeline'!R37="offered")+('MiT Strom Pipeline'!R37="to be offered")+('MiT Strom Pipeline'!R37="on hold")&gt;0,'MiT Strom Pipeline'!S37,"")</f>
        <v/>
      </c>
      <c r="J106" s="23">
        <f>IF(('MiT Strom Pipeline'!R37="offered")+('MiT Strom Pipeline'!R37="to be offered")+('MiT Strom Pipeline'!R37="on hold")&gt;0,IF(LEN('MiT Strom Pipeline'!V37)&gt;0,LEFT('MiT Strom Pipeline'!V37,55),""),"")</f>
        <v/>
      </c>
    </row>
    <row r="107" hidden="1" ht="15.75" customHeight="1">
      <c r="A107" s="28">
        <f>IF(('MiT Strom Pipeline'!R38="offered")+('MiT Strom Pipeline'!R38="to be offered")+('MiT Strom Pipeline'!R38="on hold")&gt;0,IF(ISNUMBER('MiT Strom Pipeline'!A38),'MiT Strom Pipeline'!A38,""),"")</f>
        <v/>
      </c>
      <c r="B107" s="29">
        <f>IF(('MiT Strom Pipeline'!R38="offered")+('MiT Strom Pipeline'!R38="to be offered")+('MiT Strom Pipeline'!R38="on hold")&gt;0,'MiT Strom Pipeline'!B38,"")</f>
        <v/>
      </c>
      <c r="C107" s="28">
        <f>IF(('MiT Strom Pipeline'!R38="offered")+('MiT Strom Pipeline'!R38="to be offered")+('MiT Strom Pipeline'!R38="on hold")&gt;0,'MiT Strom Pipeline'!C38,"")</f>
        <v/>
      </c>
      <c r="D107" s="29">
        <f>IF(('MiT Strom Pipeline'!R38="offered")+('MiT Strom Pipeline'!R38="to be offered")+('MiT Strom Pipeline'!R38="on hold")&gt;0,'MiT Strom Pipeline'!D38,"")</f>
        <v/>
      </c>
      <c r="E107" s="29">
        <f>IF(('MiT Strom Pipeline'!R38="offered")+('MiT Strom Pipeline'!R38="to be offered")+('MiT Strom Pipeline'!R38="on hold")&gt;0,'MiT Strom Pipeline'!E38,"")</f>
        <v/>
      </c>
      <c r="F107" s="52">
        <f>IF(('MiT Strom Pipeline'!R38="offered")+('MiT Strom Pipeline'!R38="to be offered")+('MiT Strom Pipeline'!R38="on hold")&gt;0,IF(ISNUMBER('MiT Strom Pipeline'!I38),'MiT Strom Pipeline'!I38,0),"")</f>
        <v/>
      </c>
      <c r="G107" s="52">
        <f>IF(('MiT Strom Pipeline'!R38="offered")+('MiT Strom Pipeline'!R38="to be offered")+('MiT Strom Pipeline'!R38="on hold")&gt;0,IF(ISNUMBER('MiT Strom Pipeline'!Q38),'MiT Strom Pipeline'!Q38,0),"")</f>
        <v/>
      </c>
      <c r="H107" s="28">
        <f>IF(('MiT Strom Pipeline'!R38="offered")+('MiT Strom Pipeline'!R38="to be offered")+('MiT Strom Pipeline'!R38="on hold")&gt;0,'MiT Strom Pipeline'!R38,"")</f>
        <v/>
      </c>
      <c r="I107" s="28">
        <f>IF(('MiT Strom Pipeline'!R38="offered")+('MiT Strom Pipeline'!R38="to be offered")+('MiT Strom Pipeline'!R38="on hold")&gt;0,'MiT Strom Pipeline'!S38,"")</f>
        <v/>
      </c>
      <c r="J107" s="29">
        <f>IF(('MiT Strom Pipeline'!R38="offered")+('MiT Strom Pipeline'!R38="to be offered")+('MiT Strom Pipeline'!R38="on hold")&gt;0,IF(LEN('MiT Strom Pipeline'!V38)&gt;0,LEFT('MiT Strom Pipeline'!V38,55),""),"")</f>
        <v/>
      </c>
    </row>
    <row r="108" hidden="1" ht="15.75" customHeight="1">
      <c r="A108" s="22">
        <f>IF(('MiT Strom Pipeline'!R39="offered")+('MiT Strom Pipeline'!R39="to be offered")+('MiT Strom Pipeline'!R39="on hold")&gt;0,IF(ISNUMBER('MiT Strom Pipeline'!A39),'MiT Strom Pipeline'!A39,""),"")</f>
        <v/>
      </c>
      <c r="B108" s="23">
        <f>IF(('MiT Strom Pipeline'!R39="offered")+('MiT Strom Pipeline'!R39="to be offered")+('MiT Strom Pipeline'!R39="on hold")&gt;0,'MiT Strom Pipeline'!B39,"")</f>
        <v/>
      </c>
      <c r="C108" s="22">
        <f>IF(('MiT Strom Pipeline'!R39="offered")+('MiT Strom Pipeline'!R39="to be offered")+('MiT Strom Pipeline'!R39="on hold")&gt;0,'MiT Strom Pipeline'!C39,"")</f>
        <v/>
      </c>
      <c r="D108" s="23">
        <f>IF(('MiT Strom Pipeline'!R39="offered")+('MiT Strom Pipeline'!R39="to be offered")+('MiT Strom Pipeline'!R39="on hold")&gt;0,'MiT Strom Pipeline'!D39,"")</f>
        <v/>
      </c>
      <c r="E108" s="23">
        <f>IF(('MiT Strom Pipeline'!R39="offered")+('MiT Strom Pipeline'!R39="to be offered")+('MiT Strom Pipeline'!R39="on hold")&gt;0,'MiT Strom Pipeline'!E39,"")</f>
        <v/>
      </c>
      <c r="F108" s="49">
        <f>IF(('MiT Strom Pipeline'!R39="offered")+('MiT Strom Pipeline'!R39="to be offered")+('MiT Strom Pipeline'!R39="on hold")&gt;0,IF(ISNUMBER('MiT Strom Pipeline'!I39),'MiT Strom Pipeline'!I39,0),"")</f>
        <v/>
      </c>
      <c r="G108" s="49">
        <f>IF(('MiT Strom Pipeline'!R39="offered")+('MiT Strom Pipeline'!R39="to be offered")+('MiT Strom Pipeline'!R39="on hold")&gt;0,IF(ISNUMBER('MiT Strom Pipeline'!Q39),'MiT Strom Pipeline'!Q39,0),"")</f>
        <v/>
      </c>
      <c r="H108" s="22">
        <f>IF(('MiT Strom Pipeline'!R39="offered")+('MiT Strom Pipeline'!R39="to be offered")+('MiT Strom Pipeline'!R39="on hold")&gt;0,'MiT Strom Pipeline'!R39,"")</f>
        <v/>
      </c>
      <c r="I108" s="22">
        <f>IF(('MiT Strom Pipeline'!R39="offered")+('MiT Strom Pipeline'!R39="to be offered")+('MiT Strom Pipeline'!R39="on hold")&gt;0,'MiT Strom Pipeline'!S39,"")</f>
        <v/>
      </c>
      <c r="J108" s="23">
        <f>IF(('MiT Strom Pipeline'!R39="offered")+('MiT Strom Pipeline'!R39="to be offered")+('MiT Strom Pipeline'!R39="on hold")&gt;0,IF(LEN('MiT Strom Pipeline'!V39)&gt;0,LEFT('MiT Strom Pipeline'!V39,55),""),"")</f>
        <v/>
      </c>
    </row>
    <row r="109" hidden="1" ht="15.75" customHeight="1">
      <c r="A109" s="28">
        <f>IF(('MiT Strom Pipeline'!R40="offered")+('MiT Strom Pipeline'!R40="to be offered")+('MiT Strom Pipeline'!R40="on hold")&gt;0,IF(ISNUMBER('MiT Strom Pipeline'!A40),'MiT Strom Pipeline'!A40,""),"")</f>
        <v/>
      </c>
      <c r="B109" s="29">
        <f>IF(('MiT Strom Pipeline'!R40="offered")+('MiT Strom Pipeline'!R40="to be offered")+('MiT Strom Pipeline'!R40="on hold")&gt;0,'MiT Strom Pipeline'!B40,"")</f>
        <v/>
      </c>
      <c r="C109" s="28">
        <f>IF(('MiT Strom Pipeline'!R40="offered")+('MiT Strom Pipeline'!R40="to be offered")+('MiT Strom Pipeline'!R40="on hold")&gt;0,'MiT Strom Pipeline'!C40,"")</f>
        <v/>
      </c>
      <c r="D109" s="29">
        <f>IF(('MiT Strom Pipeline'!R40="offered")+('MiT Strom Pipeline'!R40="to be offered")+('MiT Strom Pipeline'!R40="on hold")&gt;0,'MiT Strom Pipeline'!D40,"")</f>
        <v/>
      </c>
      <c r="E109" s="29">
        <f>IF(('MiT Strom Pipeline'!R40="offered")+('MiT Strom Pipeline'!R40="to be offered")+('MiT Strom Pipeline'!R40="on hold")&gt;0,'MiT Strom Pipeline'!E40,"")</f>
        <v/>
      </c>
      <c r="F109" s="52">
        <f>IF(('MiT Strom Pipeline'!R40="offered")+('MiT Strom Pipeline'!R40="to be offered")+('MiT Strom Pipeline'!R40="on hold")&gt;0,IF(ISNUMBER('MiT Strom Pipeline'!I40),'MiT Strom Pipeline'!I40,0),"")</f>
        <v/>
      </c>
      <c r="G109" s="52">
        <f>IF(('MiT Strom Pipeline'!R40="offered")+('MiT Strom Pipeline'!R40="to be offered")+('MiT Strom Pipeline'!R40="on hold")&gt;0,IF(ISNUMBER('MiT Strom Pipeline'!Q40),'MiT Strom Pipeline'!Q40,0),"")</f>
        <v/>
      </c>
      <c r="H109" s="28">
        <f>IF(('MiT Strom Pipeline'!R40="offered")+('MiT Strom Pipeline'!R40="to be offered")+('MiT Strom Pipeline'!R40="on hold")&gt;0,'MiT Strom Pipeline'!R40,"")</f>
        <v/>
      </c>
      <c r="I109" s="28">
        <f>IF(('MiT Strom Pipeline'!R40="offered")+('MiT Strom Pipeline'!R40="to be offered")+('MiT Strom Pipeline'!R40="on hold")&gt;0,'MiT Strom Pipeline'!S40,"")</f>
        <v/>
      </c>
      <c r="J109" s="29">
        <f>IF(('MiT Strom Pipeline'!R40="offered")+('MiT Strom Pipeline'!R40="to be offered")+('MiT Strom Pipeline'!R40="on hold")&gt;0,IF(LEN('MiT Strom Pipeline'!V40)&gt;0,LEFT('MiT Strom Pipeline'!V40,55),""),"")</f>
        <v/>
      </c>
    </row>
    <row r="110" hidden="1" ht="15.75" customHeight="1">
      <c r="A110" s="22">
        <f>IF(('MiT Strom Pipeline'!R41="offered")+('MiT Strom Pipeline'!R41="to be offered")+('MiT Strom Pipeline'!R41="on hold")&gt;0,IF(ISNUMBER('MiT Strom Pipeline'!A41),'MiT Strom Pipeline'!A41,""),"")</f>
        <v/>
      </c>
      <c r="B110" s="23">
        <f>IF(('MiT Strom Pipeline'!R41="offered")+('MiT Strom Pipeline'!R41="to be offered")+('MiT Strom Pipeline'!R41="on hold")&gt;0,'MiT Strom Pipeline'!B41,"")</f>
        <v/>
      </c>
      <c r="C110" s="22">
        <f>IF(('MiT Strom Pipeline'!R41="offered")+('MiT Strom Pipeline'!R41="to be offered")+('MiT Strom Pipeline'!R41="on hold")&gt;0,'MiT Strom Pipeline'!C41,"")</f>
        <v/>
      </c>
      <c r="D110" s="23">
        <f>IF(('MiT Strom Pipeline'!R41="offered")+('MiT Strom Pipeline'!R41="to be offered")+('MiT Strom Pipeline'!R41="on hold")&gt;0,'MiT Strom Pipeline'!D41,"")</f>
        <v/>
      </c>
      <c r="E110" s="23">
        <f>IF(('MiT Strom Pipeline'!R41="offered")+('MiT Strom Pipeline'!R41="to be offered")+('MiT Strom Pipeline'!R41="on hold")&gt;0,'MiT Strom Pipeline'!E41,"")</f>
        <v/>
      </c>
      <c r="F110" s="49">
        <f>IF(('MiT Strom Pipeline'!R41="offered")+('MiT Strom Pipeline'!R41="to be offered")+('MiT Strom Pipeline'!R41="on hold")&gt;0,IF(ISNUMBER('MiT Strom Pipeline'!I41),'MiT Strom Pipeline'!I41,0),"")</f>
        <v/>
      </c>
      <c r="G110" s="49">
        <f>IF(('MiT Strom Pipeline'!R41="offered")+('MiT Strom Pipeline'!R41="to be offered")+('MiT Strom Pipeline'!R41="on hold")&gt;0,IF(ISNUMBER('MiT Strom Pipeline'!Q41),'MiT Strom Pipeline'!Q41,0),"")</f>
        <v/>
      </c>
      <c r="H110" s="22">
        <f>IF(('MiT Strom Pipeline'!R41="offered")+('MiT Strom Pipeline'!R41="to be offered")+('MiT Strom Pipeline'!R41="on hold")&gt;0,'MiT Strom Pipeline'!R41,"")</f>
        <v/>
      </c>
      <c r="I110" s="22">
        <f>IF(('MiT Strom Pipeline'!R41="offered")+('MiT Strom Pipeline'!R41="to be offered")+('MiT Strom Pipeline'!R41="on hold")&gt;0,'MiT Strom Pipeline'!S41,"")</f>
        <v/>
      </c>
      <c r="J110" s="23">
        <f>IF(('MiT Strom Pipeline'!R41="offered")+('MiT Strom Pipeline'!R41="to be offered")+('MiT Strom Pipeline'!R41="on hold")&gt;0,IF(LEN('MiT Strom Pipeline'!V41)&gt;0,LEFT('MiT Strom Pipeline'!V41,55),""),"")</f>
        <v/>
      </c>
    </row>
    <row r="111" ht="15.75" customHeight="1">
      <c r="A111" s="28">
        <f>IF(('MiT Strom Pipeline'!R42="offered")+('MiT Strom Pipeline'!R42="to be offered")+('MiT Strom Pipeline'!R42="on hold")&gt;0,IF(ISNUMBER('MiT Strom Pipeline'!A42),'MiT Strom Pipeline'!A42,""),"")</f>
        <v/>
      </c>
      <c r="B111" s="29">
        <f>IF(('MiT Strom Pipeline'!R42="offered")+('MiT Strom Pipeline'!R42="to be offered")+('MiT Strom Pipeline'!R42="on hold")&gt;0,'MiT Strom Pipeline'!B42,"")</f>
        <v/>
      </c>
      <c r="C111" s="28">
        <f>IF(('MiT Strom Pipeline'!R42="offered")+('MiT Strom Pipeline'!R42="to be offered")+('MiT Strom Pipeline'!R42="on hold")&gt;0,'MiT Strom Pipeline'!C42,"")</f>
        <v/>
      </c>
      <c r="D111" s="29">
        <f>IF(('MiT Strom Pipeline'!R42="offered")+('MiT Strom Pipeline'!R42="to be offered")+('MiT Strom Pipeline'!R42="on hold")&gt;0,'MiT Strom Pipeline'!D42,"")</f>
        <v/>
      </c>
      <c r="E111" s="29">
        <f>IF(('MiT Strom Pipeline'!R42="offered")+('MiT Strom Pipeline'!R42="to be offered")+('MiT Strom Pipeline'!R42="on hold")&gt;0,'MiT Strom Pipeline'!E42,"")</f>
        <v/>
      </c>
      <c r="F111" s="52">
        <f>IF(('MiT Strom Pipeline'!R42="offered")+('MiT Strom Pipeline'!R42="to be offered")+('MiT Strom Pipeline'!R42="on hold")&gt;0,IF(ISNUMBER('MiT Strom Pipeline'!I42),'MiT Strom Pipeline'!I42,0),"")</f>
        <v/>
      </c>
      <c r="G111" s="52">
        <f>IF(('MiT Strom Pipeline'!R42="offered")+('MiT Strom Pipeline'!R42="to be offered")+('MiT Strom Pipeline'!R42="on hold")&gt;0,IF(ISNUMBER('MiT Strom Pipeline'!Q42),'MiT Strom Pipeline'!Q42,0),"")</f>
        <v/>
      </c>
      <c r="H111" s="28">
        <f>IF(('MiT Strom Pipeline'!R42="offered")+('MiT Strom Pipeline'!R42="to be offered")+('MiT Strom Pipeline'!R42="on hold")&gt;0,'MiT Strom Pipeline'!R42,"")</f>
        <v/>
      </c>
      <c r="I111" s="28">
        <f>IF(('MiT Strom Pipeline'!R42="offered")+('MiT Strom Pipeline'!R42="to be offered")+('MiT Strom Pipeline'!R42="on hold")&gt;0,'MiT Strom Pipeline'!S42,"")</f>
        <v/>
      </c>
      <c r="J111" s="29">
        <f>IF(('MiT Strom Pipeline'!R42="offered")+('MiT Strom Pipeline'!R42="to be offered")+('MiT Strom Pipeline'!R42="on hold")&gt;0,IF(LEN('MiT Strom Pipeline'!V42)&gt;0,LEFT('MiT Strom Pipeline'!V42,55),""),"")</f>
        <v/>
      </c>
    </row>
    <row r="112" ht="15.75" customHeight="1">
      <c r="A112" s="22">
        <f>IF(('MiT Strom Pipeline'!R43="offered")+('MiT Strom Pipeline'!R43="to be offered")+('MiT Strom Pipeline'!R43="on hold")&gt;0,IF(ISNUMBER('MiT Strom Pipeline'!A43),'MiT Strom Pipeline'!A43,""),"")</f>
        <v/>
      </c>
      <c r="B112" s="23">
        <f>IF(('MiT Strom Pipeline'!R43="offered")+('MiT Strom Pipeline'!R43="to be offered")+('MiT Strom Pipeline'!R43="on hold")&gt;0,'MiT Strom Pipeline'!B43,"")</f>
        <v/>
      </c>
      <c r="C112" s="22">
        <f>IF(('MiT Strom Pipeline'!R43="offered")+('MiT Strom Pipeline'!R43="to be offered")+('MiT Strom Pipeline'!R43="on hold")&gt;0,'MiT Strom Pipeline'!C43,"")</f>
        <v/>
      </c>
      <c r="D112" s="23">
        <f>IF(('MiT Strom Pipeline'!R43="offered")+('MiT Strom Pipeline'!R43="to be offered")+('MiT Strom Pipeline'!R43="on hold")&gt;0,'MiT Strom Pipeline'!D43,"")</f>
        <v/>
      </c>
      <c r="E112" s="23">
        <f>IF(('MiT Strom Pipeline'!R43="offered")+('MiT Strom Pipeline'!R43="to be offered")+('MiT Strom Pipeline'!R43="on hold")&gt;0,'MiT Strom Pipeline'!E43,"")</f>
        <v/>
      </c>
      <c r="F112" s="49">
        <f>IF(('MiT Strom Pipeline'!R43="offered")+('MiT Strom Pipeline'!R43="to be offered")+('MiT Strom Pipeline'!R43="on hold")&gt;0,IF(ISNUMBER('MiT Strom Pipeline'!I43),'MiT Strom Pipeline'!I43,0),"")</f>
        <v/>
      </c>
      <c r="G112" s="49">
        <f>IF(('MiT Strom Pipeline'!R43="offered")+('MiT Strom Pipeline'!R43="to be offered")+('MiT Strom Pipeline'!R43="on hold")&gt;0,IF(ISNUMBER('MiT Strom Pipeline'!Q43),'MiT Strom Pipeline'!Q43,0),"")</f>
        <v/>
      </c>
      <c r="H112" s="22">
        <f>IF(('MiT Strom Pipeline'!R43="offered")+('MiT Strom Pipeline'!R43="to be offered")+('MiT Strom Pipeline'!R43="on hold")&gt;0,'MiT Strom Pipeline'!R43,"")</f>
        <v/>
      </c>
      <c r="I112" s="22">
        <f>IF(('MiT Strom Pipeline'!R43="offered")+('MiT Strom Pipeline'!R43="to be offered")+('MiT Strom Pipeline'!R43="on hold")&gt;0,'MiT Strom Pipeline'!S43,"")</f>
        <v/>
      </c>
      <c r="J112" s="23">
        <f>IF(('MiT Strom Pipeline'!R43="offered")+('MiT Strom Pipeline'!R43="to be offered")+('MiT Strom Pipeline'!R43="on hold")&gt;0,IF(LEN('MiT Strom Pipeline'!V43)&gt;0,LEFT('MiT Strom Pipeline'!V43,55),""),"")</f>
        <v/>
      </c>
    </row>
    <row r="113" hidden="1" ht="15.75" customHeight="1">
      <c r="A113" s="28">
        <f>IF(('MiT Strom Pipeline'!R44="offered")+('MiT Strom Pipeline'!R44="to be offered")+('MiT Strom Pipeline'!R44="on hold")&gt;0,IF(ISNUMBER('MiT Strom Pipeline'!A44),'MiT Strom Pipeline'!A44,""),"")</f>
        <v/>
      </c>
      <c r="B113" s="29">
        <f>IF(('MiT Strom Pipeline'!R44="offered")+('MiT Strom Pipeline'!R44="to be offered")+('MiT Strom Pipeline'!R44="on hold")&gt;0,'MiT Strom Pipeline'!B44,"")</f>
        <v/>
      </c>
      <c r="C113" s="28">
        <f>IF(('MiT Strom Pipeline'!R44="offered")+('MiT Strom Pipeline'!R44="to be offered")+('MiT Strom Pipeline'!R44="on hold")&gt;0,'MiT Strom Pipeline'!C44,"")</f>
        <v/>
      </c>
      <c r="D113" s="29">
        <f>IF(('MiT Strom Pipeline'!R44="offered")+('MiT Strom Pipeline'!R44="to be offered")+('MiT Strom Pipeline'!R44="on hold")&gt;0,'MiT Strom Pipeline'!D44,"")</f>
        <v/>
      </c>
      <c r="E113" s="29">
        <f>IF(('MiT Strom Pipeline'!R44="offered")+('MiT Strom Pipeline'!R44="to be offered")+('MiT Strom Pipeline'!R44="on hold")&gt;0,'MiT Strom Pipeline'!E44,"")</f>
        <v/>
      </c>
      <c r="F113" s="52">
        <f>IF(('MiT Strom Pipeline'!R44="offered")+('MiT Strom Pipeline'!R44="to be offered")+('MiT Strom Pipeline'!R44="on hold")&gt;0,IF(ISNUMBER('MiT Strom Pipeline'!I44),'MiT Strom Pipeline'!I44,0),"")</f>
        <v/>
      </c>
      <c r="G113" s="52">
        <f>IF(('MiT Strom Pipeline'!R44="offered")+('MiT Strom Pipeline'!R44="to be offered")+('MiT Strom Pipeline'!R44="on hold")&gt;0,IF(ISNUMBER('MiT Strom Pipeline'!Q44),'MiT Strom Pipeline'!Q44,0),"")</f>
        <v/>
      </c>
      <c r="H113" s="28">
        <f>IF(('MiT Strom Pipeline'!R44="offered")+('MiT Strom Pipeline'!R44="to be offered")+('MiT Strom Pipeline'!R44="on hold")&gt;0,'MiT Strom Pipeline'!R44,"")</f>
        <v/>
      </c>
      <c r="I113" s="28">
        <f>IF(('MiT Strom Pipeline'!R44="offered")+('MiT Strom Pipeline'!R44="to be offered")+('MiT Strom Pipeline'!R44="on hold")&gt;0,'MiT Strom Pipeline'!S44,"")</f>
        <v/>
      </c>
      <c r="J113" s="29">
        <f>IF(('MiT Strom Pipeline'!R44="offered")+('MiT Strom Pipeline'!R44="to be offered")+('MiT Strom Pipeline'!R44="on hold")&gt;0,IF(LEN('MiT Strom Pipeline'!V44)&gt;0,LEFT('MiT Strom Pipeline'!V44,55),""),"")</f>
        <v/>
      </c>
    </row>
    <row r="114" ht="15.75" customHeight="1">
      <c r="A114" s="22">
        <f>IF(('MiT Strom Pipeline'!R45="offered")+('MiT Strom Pipeline'!R45="to be offered")+('MiT Strom Pipeline'!R45="on hold")&gt;0,IF(ISNUMBER('MiT Strom Pipeline'!A45),'MiT Strom Pipeline'!A45,""),"")</f>
        <v/>
      </c>
      <c r="B114" s="23">
        <f>IF(('MiT Strom Pipeline'!R45="offered")+('MiT Strom Pipeline'!R45="to be offered")+('MiT Strom Pipeline'!R45="on hold")&gt;0,'MiT Strom Pipeline'!B45,"")</f>
        <v/>
      </c>
      <c r="C114" s="22">
        <f>IF(('MiT Strom Pipeline'!R45="offered")+('MiT Strom Pipeline'!R45="to be offered")+('MiT Strom Pipeline'!R45="on hold")&gt;0,'MiT Strom Pipeline'!C45,"")</f>
        <v/>
      </c>
      <c r="D114" s="23">
        <f>IF(('MiT Strom Pipeline'!R45="offered")+('MiT Strom Pipeline'!R45="to be offered")+('MiT Strom Pipeline'!R45="on hold")&gt;0,'MiT Strom Pipeline'!D45,"")</f>
        <v/>
      </c>
      <c r="E114" s="23">
        <f>IF(('MiT Strom Pipeline'!R45="offered")+('MiT Strom Pipeline'!R45="to be offered")+('MiT Strom Pipeline'!R45="on hold")&gt;0,'MiT Strom Pipeline'!E45,"")</f>
        <v/>
      </c>
      <c r="F114" s="49">
        <f>IF(('MiT Strom Pipeline'!R45="offered")+('MiT Strom Pipeline'!R45="to be offered")+('MiT Strom Pipeline'!R45="on hold")&gt;0,IF(ISNUMBER('MiT Strom Pipeline'!I45),'MiT Strom Pipeline'!I45,0),"")</f>
        <v/>
      </c>
      <c r="G114" s="49">
        <f>IF(('MiT Strom Pipeline'!R45="offered")+('MiT Strom Pipeline'!R45="to be offered")+('MiT Strom Pipeline'!R45="on hold")&gt;0,IF(ISNUMBER('MiT Strom Pipeline'!Q45),'MiT Strom Pipeline'!Q45,0),"")</f>
        <v/>
      </c>
      <c r="H114" s="22">
        <f>IF(('MiT Strom Pipeline'!R45="offered")+('MiT Strom Pipeline'!R45="to be offered")+('MiT Strom Pipeline'!R45="on hold")&gt;0,'MiT Strom Pipeline'!R45,"")</f>
        <v/>
      </c>
      <c r="I114" s="22">
        <f>IF(('MiT Strom Pipeline'!R45="offered")+('MiT Strom Pipeline'!R45="to be offered")+('MiT Strom Pipeline'!R45="on hold")&gt;0,'MiT Strom Pipeline'!S45,"")</f>
        <v/>
      </c>
      <c r="J114" s="23">
        <f>IF(('MiT Strom Pipeline'!R45="offered")+('MiT Strom Pipeline'!R45="to be offered")+('MiT Strom Pipeline'!R45="on hold")&gt;0,IF(LEN('MiT Strom Pipeline'!V45)&gt;0,LEFT('MiT Strom Pipeline'!V45,55),""),"")</f>
        <v/>
      </c>
    </row>
    <row r="115" hidden="1" ht="15.75" customHeight="1">
      <c r="A115" s="28">
        <f>IF(('MiT Strom Pipeline'!R46="offered")+('MiT Strom Pipeline'!R46="to be offered")+('MiT Strom Pipeline'!R46="on hold")&gt;0,IF(ISNUMBER('MiT Strom Pipeline'!A46),'MiT Strom Pipeline'!A46,""),"")</f>
        <v/>
      </c>
      <c r="B115" s="29">
        <f>IF(('MiT Strom Pipeline'!R46="offered")+('MiT Strom Pipeline'!R46="to be offered")+('MiT Strom Pipeline'!R46="on hold")&gt;0,'MiT Strom Pipeline'!B46,"")</f>
        <v/>
      </c>
      <c r="C115" s="28">
        <f>IF(('MiT Strom Pipeline'!R46="offered")+('MiT Strom Pipeline'!R46="to be offered")+('MiT Strom Pipeline'!R46="on hold")&gt;0,'MiT Strom Pipeline'!C46,"")</f>
        <v/>
      </c>
      <c r="D115" s="29">
        <f>IF(('MiT Strom Pipeline'!R46="offered")+('MiT Strom Pipeline'!R46="to be offered")+('MiT Strom Pipeline'!R46="on hold")&gt;0,'MiT Strom Pipeline'!D46,"")</f>
        <v/>
      </c>
      <c r="E115" s="29">
        <f>IF(('MiT Strom Pipeline'!R46="offered")+('MiT Strom Pipeline'!R46="to be offered")+('MiT Strom Pipeline'!R46="on hold")&gt;0,'MiT Strom Pipeline'!E46,"")</f>
        <v/>
      </c>
      <c r="F115" s="52">
        <f>IF(('MiT Strom Pipeline'!R46="offered")+('MiT Strom Pipeline'!R46="to be offered")+('MiT Strom Pipeline'!R46="on hold")&gt;0,IF(ISNUMBER('MiT Strom Pipeline'!I46),'MiT Strom Pipeline'!I46,0),"")</f>
        <v/>
      </c>
      <c r="G115" s="52">
        <f>IF(('MiT Strom Pipeline'!R46="offered")+('MiT Strom Pipeline'!R46="to be offered")+('MiT Strom Pipeline'!R46="on hold")&gt;0,IF(ISNUMBER('MiT Strom Pipeline'!Q46),'MiT Strom Pipeline'!Q46,0),"")</f>
        <v/>
      </c>
      <c r="H115" s="28">
        <f>IF(('MiT Strom Pipeline'!R46="offered")+('MiT Strom Pipeline'!R46="to be offered")+('MiT Strom Pipeline'!R46="on hold")&gt;0,'MiT Strom Pipeline'!R46,"")</f>
        <v/>
      </c>
      <c r="I115" s="28">
        <f>IF(('MiT Strom Pipeline'!R46="offered")+('MiT Strom Pipeline'!R46="to be offered")+('MiT Strom Pipeline'!R46="on hold")&gt;0,'MiT Strom Pipeline'!S46,"")</f>
        <v/>
      </c>
      <c r="J115" s="29">
        <f>IF(('MiT Strom Pipeline'!R46="offered")+('MiT Strom Pipeline'!R46="to be offered")+('MiT Strom Pipeline'!R46="on hold")&gt;0,IF(LEN('MiT Strom Pipeline'!V46)&gt;0,LEFT('MiT Strom Pipeline'!V46,55),""),"")</f>
        <v/>
      </c>
    </row>
    <row r="116" ht="15.75" customHeight="1">
      <c r="A116" s="22">
        <f>IF(('MiT Strom Pipeline'!R47="offered")+('MiT Strom Pipeline'!R47="to be offered")+('MiT Strom Pipeline'!R47="on hold")&gt;0,IF(ISNUMBER('MiT Strom Pipeline'!A47),'MiT Strom Pipeline'!A47,""),"")</f>
        <v/>
      </c>
      <c r="B116" s="23">
        <f>IF(('MiT Strom Pipeline'!R47="offered")+('MiT Strom Pipeline'!R47="to be offered")+('MiT Strom Pipeline'!R47="on hold")&gt;0,'MiT Strom Pipeline'!B47,"")</f>
        <v/>
      </c>
      <c r="C116" s="22">
        <f>IF(('MiT Strom Pipeline'!R47="offered")+('MiT Strom Pipeline'!R47="to be offered")+('MiT Strom Pipeline'!R47="on hold")&gt;0,'MiT Strom Pipeline'!C47,"")</f>
        <v/>
      </c>
      <c r="D116" s="23">
        <f>IF(('MiT Strom Pipeline'!R47="offered")+('MiT Strom Pipeline'!R47="to be offered")+('MiT Strom Pipeline'!R47="on hold")&gt;0,'MiT Strom Pipeline'!D47,"")</f>
        <v/>
      </c>
      <c r="E116" s="23">
        <f>IF(('MiT Strom Pipeline'!R47="offered")+('MiT Strom Pipeline'!R47="to be offered")+('MiT Strom Pipeline'!R47="on hold")&gt;0,'MiT Strom Pipeline'!E47,"")</f>
        <v/>
      </c>
      <c r="F116" s="49">
        <f>IF(('MiT Strom Pipeline'!R47="offered")+('MiT Strom Pipeline'!R47="to be offered")+('MiT Strom Pipeline'!R47="on hold")&gt;0,IF(ISNUMBER('MiT Strom Pipeline'!I47),'MiT Strom Pipeline'!I47,0),"")</f>
        <v/>
      </c>
      <c r="G116" s="49">
        <f>IF(('MiT Strom Pipeline'!R47="offered")+('MiT Strom Pipeline'!R47="to be offered")+('MiT Strom Pipeline'!R47="on hold")&gt;0,IF(ISNUMBER('MiT Strom Pipeline'!Q47),'MiT Strom Pipeline'!Q47,0),"")</f>
        <v/>
      </c>
      <c r="H116" s="22">
        <f>IF(('MiT Strom Pipeline'!R47="offered")+('MiT Strom Pipeline'!R47="to be offered")+('MiT Strom Pipeline'!R47="on hold")&gt;0,'MiT Strom Pipeline'!R47,"")</f>
        <v/>
      </c>
      <c r="I116" s="22">
        <f>IF(('MiT Strom Pipeline'!R47="offered")+('MiT Strom Pipeline'!R47="to be offered")+('MiT Strom Pipeline'!R47="on hold")&gt;0,'MiT Strom Pipeline'!S47,"")</f>
        <v/>
      </c>
      <c r="J116" s="23">
        <f>IF(('MiT Strom Pipeline'!R47="offered")+('MiT Strom Pipeline'!R47="to be offered")+('MiT Strom Pipeline'!R47="on hold")&gt;0,IF(LEN('MiT Strom Pipeline'!V47)&gt;0,LEFT('MiT Strom Pipeline'!V47,55),""),"")</f>
        <v/>
      </c>
    </row>
    <row r="117" hidden="1" ht="15.75" customHeight="1">
      <c r="A117" s="28">
        <f>IF(('MiT Strom Pipeline'!R48="offered")+('MiT Strom Pipeline'!R48="to be offered")+('MiT Strom Pipeline'!R48="on hold")&gt;0,IF(ISNUMBER('MiT Strom Pipeline'!A48),'MiT Strom Pipeline'!A48,""),"")</f>
        <v/>
      </c>
      <c r="B117" s="29">
        <f>IF(('MiT Strom Pipeline'!R48="offered")+('MiT Strom Pipeline'!R48="to be offered")+('MiT Strom Pipeline'!R48="on hold")&gt;0,'MiT Strom Pipeline'!B48,"")</f>
        <v/>
      </c>
      <c r="C117" s="28">
        <f>IF(('MiT Strom Pipeline'!R48="offered")+('MiT Strom Pipeline'!R48="to be offered")+('MiT Strom Pipeline'!R48="on hold")&gt;0,'MiT Strom Pipeline'!C48,"")</f>
        <v/>
      </c>
      <c r="D117" s="29">
        <f>IF(('MiT Strom Pipeline'!R48="offered")+('MiT Strom Pipeline'!R48="to be offered")+('MiT Strom Pipeline'!R48="on hold")&gt;0,'MiT Strom Pipeline'!D48,"")</f>
        <v/>
      </c>
      <c r="E117" s="29">
        <f>IF(('MiT Strom Pipeline'!R48="offered")+('MiT Strom Pipeline'!R48="to be offered")+('MiT Strom Pipeline'!R48="on hold")&gt;0,'MiT Strom Pipeline'!E48,"")</f>
        <v/>
      </c>
      <c r="F117" s="52">
        <f>IF(('MiT Strom Pipeline'!R48="offered")+('MiT Strom Pipeline'!R48="to be offered")+('MiT Strom Pipeline'!R48="on hold")&gt;0,IF(ISNUMBER('MiT Strom Pipeline'!I48),'MiT Strom Pipeline'!I48,0),"")</f>
        <v/>
      </c>
      <c r="G117" s="52">
        <f>IF(('MiT Strom Pipeline'!R48="offered")+('MiT Strom Pipeline'!R48="to be offered")+('MiT Strom Pipeline'!R48="on hold")&gt;0,IF(ISNUMBER('MiT Strom Pipeline'!Q48),'MiT Strom Pipeline'!Q48,0),"")</f>
        <v/>
      </c>
      <c r="H117" s="28">
        <f>IF(('MiT Strom Pipeline'!R48="offered")+('MiT Strom Pipeline'!R48="to be offered")+('MiT Strom Pipeline'!R48="on hold")&gt;0,'MiT Strom Pipeline'!R48,"")</f>
        <v/>
      </c>
      <c r="I117" s="28">
        <f>IF(('MiT Strom Pipeline'!R48="offered")+('MiT Strom Pipeline'!R48="to be offered")+('MiT Strom Pipeline'!R48="on hold")&gt;0,'MiT Strom Pipeline'!S48,"")</f>
        <v/>
      </c>
      <c r="J117" s="29">
        <f>IF(('MiT Strom Pipeline'!R48="offered")+('MiT Strom Pipeline'!R48="to be offered")+('MiT Strom Pipeline'!R48="on hold")&gt;0,IF(LEN('MiT Strom Pipeline'!V48)&gt;0,LEFT('MiT Strom Pipeline'!V48,55),""),"")</f>
        <v/>
      </c>
    </row>
    <row r="118" hidden="1" ht="15.75" customHeight="1">
      <c r="A118" s="22">
        <f>IF(('MiT Strom Pipeline'!R49="offered")+('MiT Strom Pipeline'!R49="to be offered")+('MiT Strom Pipeline'!R49="on hold")&gt;0,IF(ISNUMBER('MiT Strom Pipeline'!A49),'MiT Strom Pipeline'!A49,""),"")</f>
        <v/>
      </c>
      <c r="B118" s="23">
        <f>IF(('MiT Strom Pipeline'!R49="offered")+('MiT Strom Pipeline'!R49="to be offered")+('MiT Strom Pipeline'!R49="on hold")&gt;0,'MiT Strom Pipeline'!B49,"")</f>
        <v/>
      </c>
      <c r="C118" s="22">
        <f>IF(('MiT Strom Pipeline'!R49="offered")+('MiT Strom Pipeline'!R49="to be offered")+('MiT Strom Pipeline'!R49="on hold")&gt;0,'MiT Strom Pipeline'!C49,"")</f>
        <v/>
      </c>
      <c r="D118" s="23">
        <f>IF(('MiT Strom Pipeline'!R49="offered")+('MiT Strom Pipeline'!R49="to be offered")+('MiT Strom Pipeline'!R49="on hold")&gt;0,'MiT Strom Pipeline'!D49,"")</f>
        <v/>
      </c>
      <c r="E118" s="23">
        <f>IF(('MiT Strom Pipeline'!R49="offered")+('MiT Strom Pipeline'!R49="to be offered")+('MiT Strom Pipeline'!R49="on hold")&gt;0,'MiT Strom Pipeline'!E49,"")</f>
        <v/>
      </c>
      <c r="F118" s="49">
        <f>IF(('MiT Strom Pipeline'!R49="offered")+('MiT Strom Pipeline'!R49="to be offered")+('MiT Strom Pipeline'!R49="on hold")&gt;0,IF(ISNUMBER('MiT Strom Pipeline'!I49),'MiT Strom Pipeline'!I49,0),"")</f>
        <v/>
      </c>
      <c r="G118" s="49">
        <f>IF(('MiT Strom Pipeline'!R49="offered")+('MiT Strom Pipeline'!R49="to be offered")+('MiT Strom Pipeline'!R49="on hold")&gt;0,IF(ISNUMBER('MiT Strom Pipeline'!Q49),'MiT Strom Pipeline'!Q49,0),"")</f>
        <v/>
      </c>
      <c r="H118" s="22">
        <f>IF(('MiT Strom Pipeline'!R49="offered")+('MiT Strom Pipeline'!R49="to be offered")+('MiT Strom Pipeline'!R49="on hold")&gt;0,'MiT Strom Pipeline'!R49,"")</f>
        <v/>
      </c>
      <c r="I118" s="22">
        <f>IF(('MiT Strom Pipeline'!R49="offered")+('MiT Strom Pipeline'!R49="to be offered")+('MiT Strom Pipeline'!R49="on hold")&gt;0,'MiT Strom Pipeline'!S49,"")</f>
        <v/>
      </c>
      <c r="J118" s="23">
        <f>IF(('MiT Strom Pipeline'!R49="offered")+('MiT Strom Pipeline'!R49="to be offered")+('MiT Strom Pipeline'!R49="on hold")&gt;0,IF(LEN('MiT Strom Pipeline'!V49)&gt;0,LEFT('MiT Strom Pipeline'!V49,55),""),"")</f>
        <v/>
      </c>
    </row>
    <row r="119" hidden="1" ht="15.75" customHeight="1">
      <c r="A119" s="28">
        <f>IF(('MiT Strom Pipeline'!R50="offered")+('MiT Strom Pipeline'!R50="to be offered")+('MiT Strom Pipeline'!R50="on hold")&gt;0,IF(ISNUMBER('MiT Strom Pipeline'!A50),'MiT Strom Pipeline'!A50,""),"")</f>
        <v/>
      </c>
      <c r="B119" s="29">
        <f>IF(('MiT Strom Pipeline'!R50="offered")+('MiT Strom Pipeline'!R50="to be offered")+('MiT Strom Pipeline'!R50="on hold")&gt;0,'MiT Strom Pipeline'!B50,"")</f>
        <v/>
      </c>
      <c r="C119" s="28">
        <f>IF(('MiT Strom Pipeline'!R50="offered")+('MiT Strom Pipeline'!R50="to be offered")+('MiT Strom Pipeline'!R50="on hold")&gt;0,'MiT Strom Pipeline'!C50,"")</f>
        <v/>
      </c>
      <c r="D119" s="29">
        <f>IF(('MiT Strom Pipeline'!R50="offered")+('MiT Strom Pipeline'!R50="to be offered")+('MiT Strom Pipeline'!R50="on hold")&gt;0,'MiT Strom Pipeline'!D50,"")</f>
        <v/>
      </c>
      <c r="E119" s="29">
        <f>IF(('MiT Strom Pipeline'!R50="offered")+('MiT Strom Pipeline'!R50="to be offered")+('MiT Strom Pipeline'!R50="on hold")&gt;0,'MiT Strom Pipeline'!E50,"")</f>
        <v/>
      </c>
      <c r="F119" s="52">
        <f>IF(('MiT Strom Pipeline'!R50="offered")+('MiT Strom Pipeline'!R50="to be offered")+('MiT Strom Pipeline'!R50="on hold")&gt;0,IF(ISNUMBER('MiT Strom Pipeline'!I50),'MiT Strom Pipeline'!I50,0),"")</f>
        <v/>
      </c>
      <c r="G119" s="52">
        <f>IF(('MiT Strom Pipeline'!R50="offered")+('MiT Strom Pipeline'!R50="to be offered")+('MiT Strom Pipeline'!R50="on hold")&gt;0,IF(ISNUMBER('MiT Strom Pipeline'!Q50),'MiT Strom Pipeline'!Q50,0),"")</f>
        <v/>
      </c>
      <c r="H119" s="28">
        <f>IF(('MiT Strom Pipeline'!R50="offered")+('MiT Strom Pipeline'!R50="to be offered")+('MiT Strom Pipeline'!R50="on hold")&gt;0,'MiT Strom Pipeline'!R50,"")</f>
        <v/>
      </c>
      <c r="I119" s="28">
        <f>IF(('MiT Strom Pipeline'!R50="offered")+('MiT Strom Pipeline'!R50="to be offered")+('MiT Strom Pipeline'!R50="on hold")&gt;0,'MiT Strom Pipeline'!S50,"")</f>
        <v/>
      </c>
      <c r="J119" s="29">
        <f>IF(('MiT Strom Pipeline'!R50="offered")+('MiT Strom Pipeline'!R50="to be offered")+('MiT Strom Pipeline'!R50="on hold")&gt;0,IF(LEN('MiT Strom Pipeline'!V50)&gt;0,LEFT('MiT Strom Pipeline'!V50,55),""),"")</f>
        <v/>
      </c>
    </row>
    <row r="120" hidden="1" ht="15.75" customHeight="1">
      <c r="A120" s="22">
        <f>IF(('MiT Strom Pipeline'!R51="offered")+('MiT Strom Pipeline'!R51="to be offered")+('MiT Strom Pipeline'!R51="on hold")&gt;0,IF(ISNUMBER('MiT Strom Pipeline'!A51),'MiT Strom Pipeline'!A51,""),"")</f>
        <v/>
      </c>
      <c r="B120" s="23">
        <f>IF(('MiT Strom Pipeline'!R51="offered")+('MiT Strom Pipeline'!R51="to be offered")+('MiT Strom Pipeline'!R51="on hold")&gt;0,'MiT Strom Pipeline'!B51,"")</f>
        <v/>
      </c>
      <c r="C120" s="22">
        <f>IF(('MiT Strom Pipeline'!R51="offered")+('MiT Strom Pipeline'!R51="to be offered")+('MiT Strom Pipeline'!R51="on hold")&gt;0,'MiT Strom Pipeline'!C51,"")</f>
        <v/>
      </c>
      <c r="D120" s="23">
        <f>IF(('MiT Strom Pipeline'!R51="offered")+('MiT Strom Pipeline'!R51="to be offered")+('MiT Strom Pipeline'!R51="on hold")&gt;0,'MiT Strom Pipeline'!D51,"")</f>
        <v/>
      </c>
      <c r="E120" s="23">
        <f>IF(('MiT Strom Pipeline'!R51="offered")+('MiT Strom Pipeline'!R51="to be offered")+('MiT Strom Pipeline'!R51="on hold")&gt;0,'MiT Strom Pipeline'!E51,"")</f>
        <v/>
      </c>
      <c r="F120" s="49">
        <f>IF(('MiT Strom Pipeline'!R51="offered")+('MiT Strom Pipeline'!R51="to be offered")+('MiT Strom Pipeline'!R51="on hold")&gt;0,IF(ISNUMBER('MiT Strom Pipeline'!I51),'MiT Strom Pipeline'!I51,0),"")</f>
        <v/>
      </c>
      <c r="G120" s="49">
        <f>IF(('MiT Strom Pipeline'!R51="offered")+('MiT Strom Pipeline'!R51="to be offered")+('MiT Strom Pipeline'!R51="on hold")&gt;0,IF(ISNUMBER('MiT Strom Pipeline'!Q51),'MiT Strom Pipeline'!Q51,0),"")</f>
        <v/>
      </c>
      <c r="H120" s="22">
        <f>IF(('MiT Strom Pipeline'!R51="offered")+('MiT Strom Pipeline'!R51="to be offered")+('MiT Strom Pipeline'!R51="on hold")&gt;0,'MiT Strom Pipeline'!R51,"")</f>
        <v/>
      </c>
      <c r="I120" s="22">
        <f>IF(('MiT Strom Pipeline'!R51="offered")+('MiT Strom Pipeline'!R51="to be offered")+('MiT Strom Pipeline'!R51="on hold")&gt;0,'MiT Strom Pipeline'!S51,"")</f>
        <v/>
      </c>
      <c r="J120" s="23">
        <f>IF(('MiT Strom Pipeline'!R51="offered")+('MiT Strom Pipeline'!R51="to be offered")+('MiT Strom Pipeline'!R51="on hold")&gt;0,IF(LEN('MiT Strom Pipeline'!V51)&gt;0,LEFT('MiT Strom Pipeline'!V51,55),""),"")</f>
        <v/>
      </c>
    </row>
    <row r="121" hidden="1" ht="15.75" customHeight="1">
      <c r="A121" s="28">
        <f>IF(('MiT Strom Pipeline'!R52="offered")+('MiT Strom Pipeline'!R52="to be offered")+('MiT Strom Pipeline'!R52="on hold")&gt;0,IF(ISNUMBER('MiT Strom Pipeline'!A52),'MiT Strom Pipeline'!A52,""),"")</f>
        <v/>
      </c>
      <c r="B121" s="29">
        <f>IF(('MiT Strom Pipeline'!R52="offered")+('MiT Strom Pipeline'!R52="to be offered")+('MiT Strom Pipeline'!R52="on hold")&gt;0,'MiT Strom Pipeline'!B52,"")</f>
        <v/>
      </c>
      <c r="C121" s="28">
        <f>IF(('MiT Strom Pipeline'!R52="offered")+('MiT Strom Pipeline'!R52="to be offered")+('MiT Strom Pipeline'!R52="on hold")&gt;0,'MiT Strom Pipeline'!C52,"")</f>
        <v/>
      </c>
      <c r="D121" s="29">
        <f>IF(('MiT Strom Pipeline'!R52="offered")+('MiT Strom Pipeline'!R52="to be offered")+('MiT Strom Pipeline'!R52="on hold")&gt;0,'MiT Strom Pipeline'!D52,"")</f>
        <v/>
      </c>
      <c r="E121" s="29">
        <f>IF(('MiT Strom Pipeline'!R52="offered")+('MiT Strom Pipeline'!R52="to be offered")+('MiT Strom Pipeline'!R52="on hold")&gt;0,'MiT Strom Pipeline'!E52,"")</f>
        <v/>
      </c>
      <c r="F121" s="52">
        <f>IF(('MiT Strom Pipeline'!R52="offered")+('MiT Strom Pipeline'!R52="to be offered")+('MiT Strom Pipeline'!R52="on hold")&gt;0,IF(ISNUMBER('MiT Strom Pipeline'!I52),'MiT Strom Pipeline'!I52,0),"")</f>
        <v/>
      </c>
      <c r="G121" s="52">
        <f>IF(('MiT Strom Pipeline'!R52="offered")+('MiT Strom Pipeline'!R52="to be offered")+('MiT Strom Pipeline'!R52="on hold")&gt;0,IF(ISNUMBER('MiT Strom Pipeline'!Q52),'MiT Strom Pipeline'!Q52,0),"")</f>
        <v/>
      </c>
      <c r="H121" s="28">
        <f>IF(('MiT Strom Pipeline'!R52="offered")+('MiT Strom Pipeline'!R52="to be offered")+('MiT Strom Pipeline'!R52="on hold")&gt;0,'MiT Strom Pipeline'!R52,"")</f>
        <v/>
      </c>
      <c r="I121" s="28">
        <f>IF(('MiT Strom Pipeline'!R52="offered")+('MiT Strom Pipeline'!R52="to be offered")+('MiT Strom Pipeline'!R52="on hold")&gt;0,'MiT Strom Pipeline'!S52,"")</f>
        <v/>
      </c>
      <c r="J121" s="29">
        <f>IF(('MiT Strom Pipeline'!R52="offered")+('MiT Strom Pipeline'!R52="to be offered")+('MiT Strom Pipeline'!R52="on hold")&gt;0,IF(LEN('MiT Strom Pipeline'!V52)&gt;0,LEFT('MiT Strom Pipeline'!V52,55),""),"")</f>
        <v/>
      </c>
    </row>
    <row r="122" hidden="1" ht="15.75" customHeight="1">
      <c r="A122" s="22">
        <f>IF(('MiT Strom Pipeline'!R53="offered")+('MiT Strom Pipeline'!R53="to be offered")+('MiT Strom Pipeline'!R53="on hold")&gt;0,IF(ISNUMBER('MiT Strom Pipeline'!A53),'MiT Strom Pipeline'!A53,""),"")</f>
        <v/>
      </c>
      <c r="B122" s="23">
        <f>IF(('MiT Strom Pipeline'!R53="offered")+('MiT Strom Pipeline'!R53="to be offered")+('MiT Strom Pipeline'!R53="on hold")&gt;0,'MiT Strom Pipeline'!B53,"")</f>
        <v/>
      </c>
      <c r="C122" s="22">
        <f>IF(('MiT Strom Pipeline'!R53="offered")+('MiT Strom Pipeline'!R53="to be offered")+('MiT Strom Pipeline'!R53="on hold")&gt;0,'MiT Strom Pipeline'!C53,"")</f>
        <v/>
      </c>
      <c r="D122" s="23">
        <f>IF(('MiT Strom Pipeline'!R53="offered")+('MiT Strom Pipeline'!R53="to be offered")+('MiT Strom Pipeline'!R53="on hold")&gt;0,'MiT Strom Pipeline'!D53,"")</f>
        <v/>
      </c>
      <c r="E122" s="23">
        <f>IF(('MiT Strom Pipeline'!R53="offered")+('MiT Strom Pipeline'!R53="to be offered")+('MiT Strom Pipeline'!R53="on hold")&gt;0,'MiT Strom Pipeline'!E53,"")</f>
        <v/>
      </c>
      <c r="F122" s="49">
        <f>IF(('MiT Strom Pipeline'!R53="offered")+('MiT Strom Pipeline'!R53="to be offered")+('MiT Strom Pipeline'!R53="on hold")&gt;0,IF(ISNUMBER('MiT Strom Pipeline'!I53),'MiT Strom Pipeline'!I53,0),"")</f>
        <v/>
      </c>
      <c r="G122" s="49">
        <f>IF(('MiT Strom Pipeline'!R53="offered")+('MiT Strom Pipeline'!R53="to be offered")+('MiT Strom Pipeline'!R53="on hold")&gt;0,IF(ISNUMBER('MiT Strom Pipeline'!Q53),'MiT Strom Pipeline'!Q53,0),"")</f>
        <v/>
      </c>
      <c r="H122" s="22">
        <f>IF(('MiT Strom Pipeline'!R53="offered")+('MiT Strom Pipeline'!R53="to be offered")+('MiT Strom Pipeline'!R53="on hold")&gt;0,'MiT Strom Pipeline'!R53,"")</f>
        <v/>
      </c>
      <c r="I122" s="22">
        <f>IF(('MiT Strom Pipeline'!R53="offered")+('MiT Strom Pipeline'!R53="to be offered")+('MiT Strom Pipeline'!R53="on hold")&gt;0,'MiT Strom Pipeline'!S53,"")</f>
        <v/>
      </c>
      <c r="J122" s="23">
        <f>IF(('MiT Strom Pipeline'!R53="offered")+('MiT Strom Pipeline'!R53="to be offered")+('MiT Strom Pipeline'!R53="on hold")&gt;0,IF(LEN('MiT Strom Pipeline'!V53)&gt;0,LEFT('MiT Strom Pipeline'!V53,55),""),"")</f>
        <v/>
      </c>
    </row>
    <row r="123" hidden="1" ht="15.75" customHeight="1">
      <c r="A123" s="28">
        <f>IF(('MiT Strom Pipeline'!R54="offered")+('MiT Strom Pipeline'!R54="to be offered")+('MiT Strom Pipeline'!R54="on hold")&gt;0,IF(ISNUMBER('MiT Strom Pipeline'!A54),'MiT Strom Pipeline'!A54,""),"")</f>
        <v/>
      </c>
      <c r="B123" s="29">
        <f>IF(('MiT Strom Pipeline'!R54="offered")+('MiT Strom Pipeline'!R54="to be offered")+('MiT Strom Pipeline'!R54="on hold")&gt;0,'MiT Strom Pipeline'!B54,"")</f>
        <v/>
      </c>
      <c r="C123" s="28">
        <f>IF(('MiT Strom Pipeline'!R54="offered")+('MiT Strom Pipeline'!R54="to be offered")+('MiT Strom Pipeline'!R54="on hold")&gt;0,'MiT Strom Pipeline'!C54,"")</f>
        <v/>
      </c>
      <c r="D123" s="29">
        <f>IF(('MiT Strom Pipeline'!R54="offered")+('MiT Strom Pipeline'!R54="to be offered")+('MiT Strom Pipeline'!R54="on hold")&gt;0,'MiT Strom Pipeline'!D54,"")</f>
        <v/>
      </c>
      <c r="E123" s="29">
        <f>IF(('MiT Strom Pipeline'!R54="offered")+('MiT Strom Pipeline'!R54="to be offered")+('MiT Strom Pipeline'!R54="on hold")&gt;0,'MiT Strom Pipeline'!E54,"")</f>
        <v/>
      </c>
      <c r="F123" s="52">
        <f>IF(('MiT Strom Pipeline'!R54="offered")+('MiT Strom Pipeline'!R54="to be offered")+('MiT Strom Pipeline'!R54="on hold")&gt;0,IF(ISNUMBER('MiT Strom Pipeline'!I54),'MiT Strom Pipeline'!I54,0),"")</f>
        <v/>
      </c>
      <c r="G123" s="52">
        <f>IF(('MiT Strom Pipeline'!R54="offered")+('MiT Strom Pipeline'!R54="to be offered")+('MiT Strom Pipeline'!R54="on hold")&gt;0,IF(ISNUMBER('MiT Strom Pipeline'!Q54),'MiT Strom Pipeline'!Q54,0),"")</f>
        <v/>
      </c>
      <c r="H123" s="28">
        <f>IF(('MiT Strom Pipeline'!R54="offered")+('MiT Strom Pipeline'!R54="to be offered")+('MiT Strom Pipeline'!R54="on hold")&gt;0,'MiT Strom Pipeline'!R54,"")</f>
        <v/>
      </c>
      <c r="I123" s="28">
        <f>IF(('MiT Strom Pipeline'!R54="offered")+('MiT Strom Pipeline'!R54="to be offered")+('MiT Strom Pipeline'!R54="on hold")&gt;0,'MiT Strom Pipeline'!S54,"")</f>
        <v/>
      </c>
      <c r="J123" s="29">
        <f>IF(('MiT Strom Pipeline'!R54="offered")+('MiT Strom Pipeline'!R54="to be offered")+('MiT Strom Pipeline'!R54="on hold")&gt;0,IF(LEN('MiT Strom Pipeline'!V54)&gt;0,LEFT('MiT Strom Pipeline'!V54,55),""),"")</f>
        <v/>
      </c>
    </row>
    <row r="124" hidden="1" ht="15.75" customHeight="1">
      <c r="A124" s="22">
        <f>IF(('MiT Strom Pipeline'!R55="offered")+('MiT Strom Pipeline'!R55="to be offered")+('MiT Strom Pipeline'!R55="on hold")&gt;0,IF(ISNUMBER('MiT Strom Pipeline'!A55),'MiT Strom Pipeline'!A55,""),"")</f>
        <v/>
      </c>
      <c r="B124" s="23">
        <f>IF(('MiT Strom Pipeline'!R55="offered")+('MiT Strom Pipeline'!R55="to be offered")+('MiT Strom Pipeline'!R55="on hold")&gt;0,'MiT Strom Pipeline'!B55,"")</f>
        <v/>
      </c>
      <c r="C124" s="22">
        <f>IF(('MiT Strom Pipeline'!R55="offered")+('MiT Strom Pipeline'!R55="to be offered")+('MiT Strom Pipeline'!R55="on hold")&gt;0,'MiT Strom Pipeline'!C55,"")</f>
        <v/>
      </c>
      <c r="D124" s="23">
        <f>IF(('MiT Strom Pipeline'!R55="offered")+('MiT Strom Pipeline'!R55="to be offered")+('MiT Strom Pipeline'!R55="on hold")&gt;0,'MiT Strom Pipeline'!D55,"")</f>
        <v/>
      </c>
      <c r="E124" s="23">
        <f>IF(('MiT Strom Pipeline'!R55="offered")+('MiT Strom Pipeline'!R55="to be offered")+('MiT Strom Pipeline'!R55="on hold")&gt;0,'MiT Strom Pipeline'!E55,"")</f>
        <v/>
      </c>
      <c r="F124" s="49">
        <f>IF(('MiT Strom Pipeline'!R55="offered")+('MiT Strom Pipeline'!R55="to be offered")+('MiT Strom Pipeline'!R55="on hold")&gt;0,IF(ISNUMBER('MiT Strom Pipeline'!I55),'MiT Strom Pipeline'!I55,0),"")</f>
        <v/>
      </c>
      <c r="G124" s="49">
        <f>IF(('MiT Strom Pipeline'!R55="offered")+('MiT Strom Pipeline'!R55="to be offered")+('MiT Strom Pipeline'!R55="on hold")&gt;0,IF(ISNUMBER('MiT Strom Pipeline'!Q55),'MiT Strom Pipeline'!Q55,0),"")</f>
        <v/>
      </c>
      <c r="H124" s="22">
        <f>IF(('MiT Strom Pipeline'!R55="offered")+('MiT Strom Pipeline'!R55="to be offered")+('MiT Strom Pipeline'!R55="on hold")&gt;0,'MiT Strom Pipeline'!R55,"")</f>
        <v/>
      </c>
      <c r="I124" s="22">
        <f>IF(('MiT Strom Pipeline'!R55="offered")+('MiT Strom Pipeline'!R55="to be offered")+('MiT Strom Pipeline'!R55="on hold")&gt;0,'MiT Strom Pipeline'!S55,"")</f>
        <v/>
      </c>
      <c r="J124" s="23">
        <f>IF(('MiT Strom Pipeline'!R55="offered")+('MiT Strom Pipeline'!R55="to be offered")+('MiT Strom Pipeline'!R55="on hold")&gt;0,IF(LEN('MiT Strom Pipeline'!V55)&gt;0,LEFT('MiT Strom Pipeline'!V55,55),""),"")</f>
        <v/>
      </c>
    </row>
    <row r="125" hidden="1" ht="15.75" customHeight="1">
      <c r="A125" s="28">
        <f>IF(('MiT Strom Pipeline'!R56="offered")+('MiT Strom Pipeline'!R56="to be offered")+('MiT Strom Pipeline'!R56="on hold")&gt;0,IF(ISNUMBER('MiT Strom Pipeline'!A56),'MiT Strom Pipeline'!A56,""),"")</f>
        <v/>
      </c>
      <c r="B125" s="29">
        <f>IF(('MiT Strom Pipeline'!R56="offered")+('MiT Strom Pipeline'!R56="to be offered")+('MiT Strom Pipeline'!R56="on hold")&gt;0,'MiT Strom Pipeline'!B56,"")</f>
        <v/>
      </c>
      <c r="C125" s="28">
        <f>IF(('MiT Strom Pipeline'!R56="offered")+('MiT Strom Pipeline'!R56="to be offered")+('MiT Strom Pipeline'!R56="on hold")&gt;0,'MiT Strom Pipeline'!C56,"")</f>
        <v/>
      </c>
      <c r="D125" s="29">
        <f>IF(('MiT Strom Pipeline'!R56="offered")+('MiT Strom Pipeline'!R56="to be offered")+('MiT Strom Pipeline'!R56="on hold")&gt;0,'MiT Strom Pipeline'!D56,"")</f>
        <v/>
      </c>
      <c r="E125" s="29">
        <f>IF(('MiT Strom Pipeline'!R56="offered")+('MiT Strom Pipeline'!R56="to be offered")+('MiT Strom Pipeline'!R56="on hold")&gt;0,'MiT Strom Pipeline'!E56,"")</f>
        <v/>
      </c>
      <c r="F125" s="52">
        <f>IF(('MiT Strom Pipeline'!R56="offered")+('MiT Strom Pipeline'!R56="to be offered")+('MiT Strom Pipeline'!R56="on hold")&gt;0,IF(ISNUMBER('MiT Strom Pipeline'!I56),'MiT Strom Pipeline'!I56,0),"")</f>
        <v/>
      </c>
      <c r="G125" s="52">
        <f>IF(('MiT Strom Pipeline'!R56="offered")+('MiT Strom Pipeline'!R56="to be offered")+('MiT Strom Pipeline'!R56="on hold")&gt;0,IF(ISNUMBER('MiT Strom Pipeline'!Q56),'MiT Strom Pipeline'!Q56,0),"")</f>
        <v/>
      </c>
      <c r="H125" s="28">
        <f>IF(('MiT Strom Pipeline'!R56="offered")+('MiT Strom Pipeline'!R56="to be offered")+('MiT Strom Pipeline'!R56="on hold")&gt;0,'MiT Strom Pipeline'!R56,"")</f>
        <v/>
      </c>
      <c r="I125" s="28">
        <f>IF(('MiT Strom Pipeline'!R56="offered")+('MiT Strom Pipeline'!R56="to be offered")+('MiT Strom Pipeline'!R56="on hold")&gt;0,'MiT Strom Pipeline'!S56,"")</f>
        <v/>
      </c>
      <c r="J125" s="29">
        <f>IF(('MiT Strom Pipeline'!R56="offered")+('MiT Strom Pipeline'!R56="to be offered")+('MiT Strom Pipeline'!R56="on hold")&gt;0,IF(LEN('MiT Strom Pipeline'!V56)&gt;0,LEFT('MiT Strom Pipeline'!V56,55),""),"")</f>
        <v/>
      </c>
    </row>
    <row r="126" hidden="1" ht="15.75" customHeight="1">
      <c r="A126" s="22">
        <f>IF(('MiT Strom Pipeline'!R57="offered")+('MiT Strom Pipeline'!R57="to be offered")+('MiT Strom Pipeline'!R57="on hold")&gt;0,IF(ISNUMBER('MiT Strom Pipeline'!A57),'MiT Strom Pipeline'!A57,""),"")</f>
        <v/>
      </c>
      <c r="B126" s="23">
        <f>IF(('MiT Strom Pipeline'!R57="offered")+('MiT Strom Pipeline'!R57="to be offered")+('MiT Strom Pipeline'!R57="on hold")&gt;0,'MiT Strom Pipeline'!B57,"")</f>
        <v/>
      </c>
      <c r="C126" s="22">
        <f>IF(('MiT Strom Pipeline'!R57="offered")+('MiT Strom Pipeline'!R57="to be offered")+('MiT Strom Pipeline'!R57="on hold")&gt;0,'MiT Strom Pipeline'!C57,"")</f>
        <v/>
      </c>
      <c r="D126" s="23">
        <f>IF(('MiT Strom Pipeline'!R57="offered")+('MiT Strom Pipeline'!R57="to be offered")+('MiT Strom Pipeline'!R57="on hold")&gt;0,'MiT Strom Pipeline'!D57,"")</f>
        <v/>
      </c>
      <c r="E126" s="23">
        <f>IF(('MiT Strom Pipeline'!R57="offered")+('MiT Strom Pipeline'!R57="to be offered")+('MiT Strom Pipeline'!R57="on hold")&gt;0,'MiT Strom Pipeline'!E57,"")</f>
        <v/>
      </c>
      <c r="F126" s="49">
        <f>IF(('MiT Strom Pipeline'!R57="offered")+('MiT Strom Pipeline'!R57="to be offered")+('MiT Strom Pipeline'!R57="on hold")&gt;0,IF(ISNUMBER('MiT Strom Pipeline'!I57),'MiT Strom Pipeline'!I57,0),"")</f>
        <v/>
      </c>
      <c r="G126" s="49">
        <f>IF(('MiT Strom Pipeline'!R57="offered")+('MiT Strom Pipeline'!R57="to be offered")+('MiT Strom Pipeline'!R57="on hold")&gt;0,IF(ISNUMBER('MiT Strom Pipeline'!Q57),'MiT Strom Pipeline'!Q57,0),"")</f>
        <v/>
      </c>
      <c r="H126" s="22">
        <f>IF(('MiT Strom Pipeline'!R57="offered")+('MiT Strom Pipeline'!R57="to be offered")+('MiT Strom Pipeline'!R57="on hold")&gt;0,'MiT Strom Pipeline'!R57,"")</f>
        <v/>
      </c>
      <c r="I126" s="22">
        <f>IF(('MiT Strom Pipeline'!R57="offered")+('MiT Strom Pipeline'!R57="to be offered")+('MiT Strom Pipeline'!R57="on hold")&gt;0,'MiT Strom Pipeline'!S57,"")</f>
        <v/>
      </c>
      <c r="J126" s="23">
        <f>IF(('MiT Strom Pipeline'!R57="offered")+('MiT Strom Pipeline'!R57="to be offered")+('MiT Strom Pipeline'!R57="on hold")&gt;0,IF(LEN('MiT Strom Pipeline'!V57)&gt;0,LEFT('MiT Strom Pipeline'!V57,55),""),"")</f>
        <v/>
      </c>
    </row>
    <row r="127" hidden="1" ht="15.75" customHeight="1">
      <c r="A127" s="28">
        <f>IF(('MiT Strom Pipeline'!R58="offered")+('MiT Strom Pipeline'!R58="to be offered")+('MiT Strom Pipeline'!R58="on hold")&gt;0,IF(ISNUMBER('MiT Strom Pipeline'!A58),'MiT Strom Pipeline'!A58,""),"")</f>
        <v/>
      </c>
      <c r="B127" s="29">
        <f>IF(('MiT Strom Pipeline'!R58="offered")+('MiT Strom Pipeline'!R58="to be offered")+('MiT Strom Pipeline'!R58="on hold")&gt;0,'MiT Strom Pipeline'!B58,"")</f>
        <v/>
      </c>
      <c r="C127" s="28">
        <f>IF(('MiT Strom Pipeline'!R58="offered")+('MiT Strom Pipeline'!R58="to be offered")+('MiT Strom Pipeline'!R58="on hold")&gt;0,'MiT Strom Pipeline'!C58,"")</f>
        <v/>
      </c>
      <c r="D127" s="29">
        <f>IF(('MiT Strom Pipeline'!R58="offered")+('MiT Strom Pipeline'!R58="to be offered")+('MiT Strom Pipeline'!R58="on hold")&gt;0,'MiT Strom Pipeline'!D58,"")</f>
        <v/>
      </c>
      <c r="E127" s="29">
        <f>IF(('MiT Strom Pipeline'!R58="offered")+('MiT Strom Pipeline'!R58="to be offered")+('MiT Strom Pipeline'!R58="on hold")&gt;0,'MiT Strom Pipeline'!E58,"")</f>
        <v/>
      </c>
      <c r="F127" s="52">
        <f>IF(('MiT Strom Pipeline'!R58="offered")+('MiT Strom Pipeline'!R58="to be offered")+('MiT Strom Pipeline'!R58="on hold")&gt;0,IF(ISNUMBER('MiT Strom Pipeline'!I58),'MiT Strom Pipeline'!I58,0),"")</f>
        <v/>
      </c>
      <c r="G127" s="52">
        <f>IF(('MiT Strom Pipeline'!R58="offered")+('MiT Strom Pipeline'!R58="to be offered")+('MiT Strom Pipeline'!R58="on hold")&gt;0,IF(ISNUMBER('MiT Strom Pipeline'!Q58),'MiT Strom Pipeline'!Q58,0),"")</f>
        <v/>
      </c>
      <c r="H127" s="28">
        <f>IF(('MiT Strom Pipeline'!R58="offered")+('MiT Strom Pipeline'!R58="to be offered")+('MiT Strom Pipeline'!R58="on hold")&gt;0,'MiT Strom Pipeline'!R58,"")</f>
        <v/>
      </c>
      <c r="I127" s="28">
        <f>IF(('MiT Strom Pipeline'!R58="offered")+('MiT Strom Pipeline'!R58="to be offered")+('MiT Strom Pipeline'!R58="on hold")&gt;0,'MiT Strom Pipeline'!S58,"")</f>
        <v/>
      </c>
      <c r="J127" s="29">
        <f>IF(('MiT Strom Pipeline'!R58="offered")+('MiT Strom Pipeline'!R58="to be offered")+('MiT Strom Pipeline'!R58="on hold")&gt;0,IF(LEN('MiT Strom Pipeline'!V58)&gt;0,LEFT('MiT Strom Pipeline'!V58,55),""),"")</f>
        <v/>
      </c>
    </row>
    <row r="128" hidden="1" ht="15.75" customHeight="1">
      <c r="A128" s="22">
        <f>IF(('MiT Strom Pipeline'!R59="offered")+('MiT Strom Pipeline'!R59="to be offered")+('MiT Strom Pipeline'!R59="on hold")&gt;0,IF(ISNUMBER('MiT Strom Pipeline'!A59),'MiT Strom Pipeline'!A59,""),"")</f>
        <v/>
      </c>
      <c r="B128" s="23">
        <f>IF(('MiT Strom Pipeline'!R59="offered")+('MiT Strom Pipeline'!R59="to be offered")+('MiT Strom Pipeline'!R59="on hold")&gt;0,'MiT Strom Pipeline'!B59,"")</f>
        <v/>
      </c>
      <c r="C128" s="22">
        <f>IF(('MiT Strom Pipeline'!R59="offered")+('MiT Strom Pipeline'!R59="to be offered")+('MiT Strom Pipeline'!R59="on hold")&gt;0,'MiT Strom Pipeline'!C59,"")</f>
        <v/>
      </c>
      <c r="D128" s="23">
        <f>IF(('MiT Strom Pipeline'!R59="offered")+('MiT Strom Pipeline'!R59="to be offered")+('MiT Strom Pipeline'!R59="on hold")&gt;0,'MiT Strom Pipeline'!D59,"")</f>
        <v/>
      </c>
      <c r="E128" s="23">
        <f>IF(('MiT Strom Pipeline'!R59="offered")+('MiT Strom Pipeline'!R59="to be offered")+('MiT Strom Pipeline'!R59="on hold")&gt;0,'MiT Strom Pipeline'!E59,"")</f>
        <v/>
      </c>
      <c r="F128" s="49">
        <f>IF(('MiT Strom Pipeline'!R59="offered")+('MiT Strom Pipeline'!R59="to be offered")+('MiT Strom Pipeline'!R59="on hold")&gt;0,IF(ISNUMBER('MiT Strom Pipeline'!I59),'MiT Strom Pipeline'!I59,0),"")</f>
        <v/>
      </c>
      <c r="G128" s="49">
        <f>IF(('MiT Strom Pipeline'!R59="offered")+('MiT Strom Pipeline'!R59="to be offered")+('MiT Strom Pipeline'!R59="on hold")&gt;0,IF(ISNUMBER('MiT Strom Pipeline'!Q59),'MiT Strom Pipeline'!Q59,0),"")</f>
        <v/>
      </c>
      <c r="H128" s="22">
        <f>IF(('MiT Strom Pipeline'!R59="offered")+('MiT Strom Pipeline'!R59="to be offered")+('MiT Strom Pipeline'!R59="on hold")&gt;0,'MiT Strom Pipeline'!R59,"")</f>
        <v/>
      </c>
      <c r="I128" s="22">
        <f>IF(('MiT Strom Pipeline'!R59="offered")+('MiT Strom Pipeline'!R59="to be offered")+('MiT Strom Pipeline'!R59="on hold")&gt;0,'MiT Strom Pipeline'!S59,"")</f>
        <v/>
      </c>
      <c r="J128" s="23">
        <f>IF(('MiT Strom Pipeline'!R59="offered")+('MiT Strom Pipeline'!R59="to be offered")+('MiT Strom Pipeline'!R59="on hold")&gt;0,IF(LEN('MiT Strom Pipeline'!V59)&gt;0,LEFT('MiT Strom Pipeline'!V59,55),""),"")</f>
        <v/>
      </c>
    </row>
    <row r="129" hidden="1" ht="15.75" customHeight="1">
      <c r="A129" s="28">
        <f>IF(('MiT Strom Pipeline'!R60="offered")+('MiT Strom Pipeline'!R60="to be offered")+('MiT Strom Pipeline'!R60="on hold")&gt;0,IF(ISNUMBER('MiT Strom Pipeline'!A60),'MiT Strom Pipeline'!A60,""),"")</f>
        <v/>
      </c>
      <c r="B129" s="29">
        <f>IF(('MiT Strom Pipeline'!R60="offered")+('MiT Strom Pipeline'!R60="to be offered")+('MiT Strom Pipeline'!R60="on hold")&gt;0,'MiT Strom Pipeline'!B60,"")</f>
        <v/>
      </c>
      <c r="C129" s="28">
        <f>IF(('MiT Strom Pipeline'!R60="offered")+('MiT Strom Pipeline'!R60="to be offered")+('MiT Strom Pipeline'!R60="on hold")&gt;0,'MiT Strom Pipeline'!C60,"")</f>
        <v/>
      </c>
      <c r="D129" s="29">
        <f>IF(('MiT Strom Pipeline'!R60="offered")+('MiT Strom Pipeline'!R60="to be offered")+('MiT Strom Pipeline'!R60="on hold")&gt;0,'MiT Strom Pipeline'!D60,"")</f>
        <v/>
      </c>
      <c r="E129" s="29">
        <f>IF(('MiT Strom Pipeline'!R60="offered")+('MiT Strom Pipeline'!R60="to be offered")+('MiT Strom Pipeline'!R60="on hold")&gt;0,'MiT Strom Pipeline'!E60,"")</f>
        <v/>
      </c>
      <c r="F129" s="52">
        <f>IF(('MiT Strom Pipeline'!R60="offered")+('MiT Strom Pipeline'!R60="to be offered")+('MiT Strom Pipeline'!R60="on hold")&gt;0,IF(ISNUMBER('MiT Strom Pipeline'!I60),'MiT Strom Pipeline'!I60,0),"")</f>
        <v/>
      </c>
      <c r="G129" s="52">
        <f>IF(('MiT Strom Pipeline'!R60="offered")+('MiT Strom Pipeline'!R60="to be offered")+('MiT Strom Pipeline'!R60="on hold")&gt;0,IF(ISNUMBER('MiT Strom Pipeline'!Q60),'MiT Strom Pipeline'!Q60,0),"")</f>
        <v/>
      </c>
      <c r="H129" s="28">
        <f>IF(('MiT Strom Pipeline'!R60="offered")+('MiT Strom Pipeline'!R60="to be offered")+('MiT Strom Pipeline'!R60="on hold")&gt;0,'MiT Strom Pipeline'!R60,"")</f>
        <v/>
      </c>
      <c r="I129" s="28">
        <f>IF(('MiT Strom Pipeline'!R60="offered")+('MiT Strom Pipeline'!R60="to be offered")+('MiT Strom Pipeline'!R60="on hold")&gt;0,'MiT Strom Pipeline'!S60,"")</f>
        <v/>
      </c>
      <c r="J129" s="29">
        <f>IF(('MiT Strom Pipeline'!R60="offered")+('MiT Strom Pipeline'!R60="to be offered")+('MiT Strom Pipeline'!R60="on hold")&gt;0,IF(LEN('MiT Strom Pipeline'!V60)&gt;0,LEFT('MiT Strom Pipeline'!V60,55),""),"")</f>
        <v/>
      </c>
    </row>
    <row r="130" hidden="1" ht="15.75" customHeight="1">
      <c r="A130" s="22">
        <f>IF(('MiT Strom Pipeline'!R61="offered")+('MiT Strom Pipeline'!R61="to be offered")+('MiT Strom Pipeline'!R61="on hold")&gt;0,IF(ISNUMBER('MiT Strom Pipeline'!A61),'MiT Strom Pipeline'!A61,""),"")</f>
        <v/>
      </c>
      <c r="B130" s="23">
        <f>IF(('MiT Strom Pipeline'!R61="offered")+('MiT Strom Pipeline'!R61="to be offered")+('MiT Strom Pipeline'!R61="on hold")&gt;0,'MiT Strom Pipeline'!B61,"")</f>
        <v/>
      </c>
      <c r="C130" s="22">
        <f>IF(('MiT Strom Pipeline'!R61="offered")+('MiT Strom Pipeline'!R61="to be offered")+('MiT Strom Pipeline'!R61="on hold")&gt;0,'MiT Strom Pipeline'!C61,"")</f>
        <v/>
      </c>
      <c r="D130" s="23">
        <f>IF(('MiT Strom Pipeline'!R61="offered")+('MiT Strom Pipeline'!R61="to be offered")+('MiT Strom Pipeline'!R61="on hold")&gt;0,'MiT Strom Pipeline'!D61,"")</f>
        <v/>
      </c>
      <c r="E130" s="23">
        <f>IF(('MiT Strom Pipeline'!R61="offered")+('MiT Strom Pipeline'!R61="to be offered")+('MiT Strom Pipeline'!R61="on hold")&gt;0,'MiT Strom Pipeline'!E61,"")</f>
        <v/>
      </c>
      <c r="F130" s="49">
        <f>IF(('MiT Strom Pipeline'!R61="offered")+('MiT Strom Pipeline'!R61="to be offered")+('MiT Strom Pipeline'!R61="on hold")&gt;0,IF(ISNUMBER('MiT Strom Pipeline'!I61),'MiT Strom Pipeline'!I61,0),"")</f>
        <v/>
      </c>
      <c r="G130" s="49">
        <f>IF(('MiT Strom Pipeline'!R61="offered")+('MiT Strom Pipeline'!R61="to be offered")+('MiT Strom Pipeline'!R61="on hold")&gt;0,IF(ISNUMBER('MiT Strom Pipeline'!Q61),'MiT Strom Pipeline'!Q61,0),"")</f>
        <v/>
      </c>
      <c r="H130" s="22">
        <f>IF(('MiT Strom Pipeline'!R61="offered")+('MiT Strom Pipeline'!R61="to be offered")+('MiT Strom Pipeline'!R61="on hold")&gt;0,'MiT Strom Pipeline'!R61,"")</f>
        <v/>
      </c>
      <c r="I130" s="22">
        <f>IF(('MiT Strom Pipeline'!R61="offered")+('MiT Strom Pipeline'!R61="to be offered")+('MiT Strom Pipeline'!R61="on hold")&gt;0,'MiT Strom Pipeline'!S61,"")</f>
        <v/>
      </c>
      <c r="J130" s="23">
        <f>IF(('MiT Strom Pipeline'!R61="offered")+('MiT Strom Pipeline'!R61="to be offered")+('MiT Strom Pipeline'!R61="on hold")&gt;0,IF(LEN('MiT Strom Pipeline'!V61)&gt;0,LEFT('MiT Strom Pipeline'!V61,55),""),"")</f>
        <v/>
      </c>
    </row>
    <row r="131" hidden="1" ht="15.75" customHeight="1">
      <c r="A131" s="28">
        <f>IF(('MiT Strom Pipeline'!R62="offered")+('MiT Strom Pipeline'!R62="to be offered")+('MiT Strom Pipeline'!R62="on hold")&gt;0,IF(ISNUMBER('MiT Strom Pipeline'!A62),'MiT Strom Pipeline'!A62,""),"")</f>
        <v/>
      </c>
      <c r="B131" s="29">
        <f>IF(('MiT Strom Pipeline'!R62="offered")+('MiT Strom Pipeline'!R62="to be offered")+('MiT Strom Pipeline'!R62="on hold")&gt;0,'MiT Strom Pipeline'!B62,"")</f>
        <v/>
      </c>
      <c r="C131" s="28">
        <f>IF(('MiT Strom Pipeline'!R62="offered")+('MiT Strom Pipeline'!R62="to be offered")+('MiT Strom Pipeline'!R62="on hold")&gt;0,'MiT Strom Pipeline'!C62,"")</f>
        <v/>
      </c>
      <c r="D131" s="29">
        <f>IF(('MiT Strom Pipeline'!R62="offered")+('MiT Strom Pipeline'!R62="to be offered")+('MiT Strom Pipeline'!R62="on hold")&gt;0,'MiT Strom Pipeline'!D62,"")</f>
        <v/>
      </c>
      <c r="E131" s="29">
        <f>IF(('MiT Strom Pipeline'!R62="offered")+('MiT Strom Pipeline'!R62="to be offered")+('MiT Strom Pipeline'!R62="on hold")&gt;0,'MiT Strom Pipeline'!E62,"")</f>
        <v/>
      </c>
      <c r="F131" s="52">
        <f>IF(('MiT Strom Pipeline'!R62="offered")+('MiT Strom Pipeline'!R62="to be offered")+('MiT Strom Pipeline'!R62="on hold")&gt;0,IF(ISNUMBER('MiT Strom Pipeline'!I62),'MiT Strom Pipeline'!I62,0),"")</f>
        <v/>
      </c>
      <c r="G131" s="52">
        <f>IF(('MiT Strom Pipeline'!R62="offered")+('MiT Strom Pipeline'!R62="to be offered")+('MiT Strom Pipeline'!R62="on hold")&gt;0,IF(ISNUMBER('MiT Strom Pipeline'!Q62),'MiT Strom Pipeline'!Q62,0),"")</f>
        <v/>
      </c>
      <c r="H131" s="28">
        <f>IF(('MiT Strom Pipeline'!R62="offered")+('MiT Strom Pipeline'!R62="to be offered")+('MiT Strom Pipeline'!R62="on hold")&gt;0,'MiT Strom Pipeline'!R62,"")</f>
        <v/>
      </c>
      <c r="I131" s="28">
        <f>IF(('MiT Strom Pipeline'!R62="offered")+('MiT Strom Pipeline'!R62="to be offered")+('MiT Strom Pipeline'!R62="on hold")&gt;0,'MiT Strom Pipeline'!S62,"")</f>
        <v/>
      </c>
      <c r="J131" s="29">
        <f>IF(('MiT Strom Pipeline'!R62="offered")+('MiT Strom Pipeline'!R62="to be offered")+('MiT Strom Pipeline'!R62="on hold")&gt;0,IF(LEN('MiT Strom Pipeline'!V62)&gt;0,LEFT('MiT Strom Pipeline'!V62,55),""),"")</f>
        <v/>
      </c>
    </row>
    <row r="132" hidden="1" ht="15.75" customHeight="1">
      <c r="A132" s="22">
        <f>IF(('MiT Strom Pipeline'!R63="offered")+('MiT Strom Pipeline'!R63="to be offered")+('MiT Strom Pipeline'!R63="on hold")&gt;0,IF(ISNUMBER('MiT Strom Pipeline'!A63),'MiT Strom Pipeline'!A63,""),"")</f>
        <v/>
      </c>
      <c r="B132" s="23">
        <f>IF(('MiT Strom Pipeline'!R63="offered")+('MiT Strom Pipeline'!R63="to be offered")+('MiT Strom Pipeline'!R63="on hold")&gt;0,'MiT Strom Pipeline'!B63,"")</f>
        <v/>
      </c>
      <c r="C132" s="22">
        <f>IF(('MiT Strom Pipeline'!R63="offered")+('MiT Strom Pipeline'!R63="to be offered")+('MiT Strom Pipeline'!R63="on hold")&gt;0,'MiT Strom Pipeline'!C63,"")</f>
        <v/>
      </c>
      <c r="D132" s="23">
        <f>IF(('MiT Strom Pipeline'!R63="offered")+('MiT Strom Pipeline'!R63="to be offered")+('MiT Strom Pipeline'!R63="on hold")&gt;0,'MiT Strom Pipeline'!D63,"")</f>
        <v/>
      </c>
      <c r="E132" s="23">
        <f>IF(('MiT Strom Pipeline'!R63="offered")+('MiT Strom Pipeline'!R63="to be offered")+('MiT Strom Pipeline'!R63="on hold")&gt;0,'MiT Strom Pipeline'!E63,"")</f>
        <v/>
      </c>
      <c r="F132" s="49">
        <f>IF(('MiT Strom Pipeline'!R63="offered")+('MiT Strom Pipeline'!R63="to be offered")+('MiT Strom Pipeline'!R63="on hold")&gt;0,IF(ISNUMBER('MiT Strom Pipeline'!I63),'MiT Strom Pipeline'!I63,0),"")</f>
        <v/>
      </c>
      <c r="G132" s="49">
        <f>IF(('MiT Strom Pipeline'!R63="offered")+('MiT Strom Pipeline'!R63="to be offered")+('MiT Strom Pipeline'!R63="on hold")&gt;0,IF(ISNUMBER('MiT Strom Pipeline'!Q63),'MiT Strom Pipeline'!Q63,0),"")</f>
        <v/>
      </c>
      <c r="H132" s="22">
        <f>IF(('MiT Strom Pipeline'!R63="offered")+('MiT Strom Pipeline'!R63="to be offered")+('MiT Strom Pipeline'!R63="on hold")&gt;0,'MiT Strom Pipeline'!R63,"")</f>
        <v/>
      </c>
      <c r="I132" s="22">
        <f>IF(('MiT Strom Pipeline'!R63="offered")+('MiT Strom Pipeline'!R63="to be offered")+('MiT Strom Pipeline'!R63="on hold")&gt;0,'MiT Strom Pipeline'!S63,"")</f>
        <v/>
      </c>
      <c r="J132" s="23">
        <f>IF(('MiT Strom Pipeline'!R63="offered")+('MiT Strom Pipeline'!R63="to be offered")+('MiT Strom Pipeline'!R63="on hold")&gt;0,IF(LEN('MiT Strom Pipeline'!V63)&gt;0,LEFT('MiT Strom Pipeline'!V63,55),""),"")</f>
        <v/>
      </c>
    </row>
    <row r="133" hidden="1" ht="15.75" customHeight="1">
      <c r="A133" s="28">
        <f>IF(('MiT Strom Pipeline'!R64="offered")+('MiT Strom Pipeline'!R64="to be offered")+('MiT Strom Pipeline'!R64="on hold")&gt;0,IF(ISNUMBER('MiT Strom Pipeline'!A64),'MiT Strom Pipeline'!A64,""),"")</f>
        <v/>
      </c>
      <c r="B133" s="29">
        <f>IF(('MiT Strom Pipeline'!R64="offered")+('MiT Strom Pipeline'!R64="to be offered")+('MiT Strom Pipeline'!R64="on hold")&gt;0,'MiT Strom Pipeline'!B64,"")</f>
        <v/>
      </c>
      <c r="C133" s="28">
        <f>IF(('MiT Strom Pipeline'!R64="offered")+('MiT Strom Pipeline'!R64="to be offered")+('MiT Strom Pipeline'!R64="on hold")&gt;0,'MiT Strom Pipeline'!C64,"")</f>
        <v/>
      </c>
      <c r="D133" s="29">
        <f>IF(('MiT Strom Pipeline'!R64="offered")+('MiT Strom Pipeline'!R64="to be offered")+('MiT Strom Pipeline'!R64="on hold")&gt;0,'MiT Strom Pipeline'!D64,"")</f>
        <v/>
      </c>
      <c r="E133" s="29">
        <f>IF(('MiT Strom Pipeline'!R64="offered")+('MiT Strom Pipeline'!R64="to be offered")+('MiT Strom Pipeline'!R64="on hold")&gt;0,'MiT Strom Pipeline'!E64,"")</f>
        <v/>
      </c>
      <c r="F133" s="52">
        <f>IF(('MiT Strom Pipeline'!R64="offered")+('MiT Strom Pipeline'!R64="to be offered")+('MiT Strom Pipeline'!R64="on hold")&gt;0,IF(ISNUMBER('MiT Strom Pipeline'!I64),'MiT Strom Pipeline'!I64,0),"")</f>
        <v/>
      </c>
      <c r="G133" s="52">
        <f>IF(('MiT Strom Pipeline'!R64="offered")+('MiT Strom Pipeline'!R64="to be offered")+('MiT Strom Pipeline'!R64="on hold")&gt;0,IF(ISNUMBER('MiT Strom Pipeline'!Q64),'MiT Strom Pipeline'!Q64,0),"")</f>
        <v/>
      </c>
      <c r="H133" s="28">
        <f>IF(('MiT Strom Pipeline'!R64="offered")+('MiT Strom Pipeline'!R64="to be offered")+('MiT Strom Pipeline'!R64="on hold")&gt;0,'MiT Strom Pipeline'!R64,"")</f>
        <v/>
      </c>
      <c r="I133" s="28">
        <f>IF(('MiT Strom Pipeline'!R64="offered")+('MiT Strom Pipeline'!R64="to be offered")+('MiT Strom Pipeline'!R64="on hold")&gt;0,'MiT Strom Pipeline'!S64,"")</f>
        <v/>
      </c>
      <c r="J133" s="29">
        <f>IF(('MiT Strom Pipeline'!R64="offered")+('MiT Strom Pipeline'!R64="to be offered")+('MiT Strom Pipeline'!R64="on hold")&gt;0,IF(LEN('MiT Strom Pipeline'!V64)&gt;0,LEFT('MiT Strom Pipeline'!V64,55),""),"")</f>
        <v/>
      </c>
    </row>
    <row r="134" hidden="1" ht="15.75" customHeight="1">
      <c r="A134" s="22">
        <f>IF(('MiT Strom Pipeline'!R65="offered")+('MiT Strom Pipeline'!R65="to be offered")+('MiT Strom Pipeline'!R65="on hold")&gt;0,IF(ISNUMBER('MiT Strom Pipeline'!A65),'MiT Strom Pipeline'!A65,""),"")</f>
        <v/>
      </c>
      <c r="B134" s="23">
        <f>IF(('MiT Strom Pipeline'!R65="offered")+('MiT Strom Pipeline'!R65="to be offered")+('MiT Strom Pipeline'!R65="on hold")&gt;0,'MiT Strom Pipeline'!B65,"")</f>
        <v/>
      </c>
      <c r="C134" s="22">
        <f>IF(('MiT Strom Pipeline'!R65="offered")+('MiT Strom Pipeline'!R65="to be offered")+('MiT Strom Pipeline'!R65="on hold")&gt;0,'MiT Strom Pipeline'!C65,"")</f>
        <v/>
      </c>
      <c r="D134" s="23">
        <f>IF(('MiT Strom Pipeline'!R65="offered")+('MiT Strom Pipeline'!R65="to be offered")+('MiT Strom Pipeline'!R65="on hold")&gt;0,'MiT Strom Pipeline'!D65,"")</f>
        <v/>
      </c>
      <c r="E134" s="23">
        <f>IF(('MiT Strom Pipeline'!R65="offered")+('MiT Strom Pipeline'!R65="to be offered")+('MiT Strom Pipeline'!R65="on hold")&gt;0,'MiT Strom Pipeline'!E65,"")</f>
        <v/>
      </c>
      <c r="F134" s="49">
        <f>IF(('MiT Strom Pipeline'!R65="offered")+('MiT Strom Pipeline'!R65="to be offered")+('MiT Strom Pipeline'!R65="on hold")&gt;0,IF(ISNUMBER('MiT Strom Pipeline'!I65),'MiT Strom Pipeline'!I65,0),"")</f>
        <v/>
      </c>
      <c r="G134" s="49">
        <f>IF(('MiT Strom Pipeline'!R65="offered")+('MiT Strom Pipeline'!R65="to be offered")+('MiT Strom Pipeline'!R65="on hold")&gt;0,IF(ISNUMBER('MiT Strom Pipeline'!Q65),'MiT Strom Pipeline'!Q65,0),"")</f>
        <v/>
      </c>
      <c r="H134" s="22">
        <f>IF(('MiT Strom Pipeline'!R65="offered")+('MiT Strom Pipeline'!R65="to be offered")+('MiT Strom Pipeline'!R65="on hold")&gt;0,'MiT Strom Pipeline'!R65,"")</f>
        <v/>
      </c>
      <c r="I134" s="22">
        <f>IF(('MiT Strom Pipeline'!R65="offered")+('MiT Strom Pipeline'!R65="to be offered")+('MiT Strom Pipeline'!R65="on hold")&gt;0,'MiT Strom Pipeline'!S65,"")</f>
        <v/>
      </c>
      <c r="J134" s="23">
        <f>IF(('MiT Strom Pipeline'!R65="offered")+('MiT Strom Pipeline'!R65="to be offered")+('MiT Strom Pipeline'!R65="on hold")&gt;0,IF(LEN('MiT Strom Pipeline'!V65)&gt;0,LEFT('MiT Strom Pipeline'!V65,55),""),"")</f>
        <v/>
      </c>
    </row>
    <row r="135" hidden="1" ht="21.75" customHeight="1">
      <c r="A135" s="32">
        <f>IF(('MiT Strom Pipeline'!R66="offered")+('MiT Strom Pipeline'!R66="to be offered")+('MiT Strom Pipeline'!R66="on hold")&gt;0,IF(ISNUMBER('MiT Strom Pipeline'!A66),'MiT Strom Pipeline'!A66,""),"")</f>
        <v/>
      </c>
      <c r="B135" s="114">
        <f>IF(('MiT Strom Pipeline'!R66="offered")+('MiT Strom Pipeline'!R66="to be offered")+('MiT Strom Pipeline'!R66="on hold")&gt;0,'MiT Strom Pipeline'!B66,"")</f>
        <v/>
      </c>
      <c r="C135" s="166" t="n"/>
      <c r="D135" s="166" t="n"/>
      <c r="E135" s="167" t="n"/>
      <c r="F135" s="53">
        <f>IF(('MiT Strom Pipeline'!R66="offered")+('MiT Strom Pipeline'!R66="to be offered")+('MiT Strom Pipeline'!R66="on hold")&gt;0,IF(ISNUMBER('MiT Strom Pipeline'!I66),'MiT Strom Pipeline'!I66,0),"")</f>
        <v/>
      </c>
      <c r="G135" s="54">
        <f>IF(('MiT Strom Pipeline'!R66="offered")+('MiT Strom Pipeline'!R66="to be offered")+('MiT Strom Pipeline'!R66="on hold")&gt;0,IF(ISNUMBER('MiT Strom Pipeline'!Q66),'MiT Strom Pipeline'!Q66,0),"")</f>
        <v/>
      </c>
      <c r="H135" s="32">
        <f>IF(('MiT Strom Pipeline'!R66="offered")+('MiT Strom Pipeline'!R66="to be offered")+('MiT Strom Pipeline'!R66="on hold")&gt;0,'MiT Strom Pipeline'!R66,"")</f>
        <v/>
      </c>
      <c r="I135" s="32">
        <f>IF(('MiT Strom Pipeline'!R66="offered")+('MiT Strom Pipeline'!R66="to be offered")+('MiT Strom Pipeline'!R66="on hold")&gt;0,'MiT Strom Pipeline'!S66,"")</f>
        <v/>
      </c>
      <c r="J135" s="32">
        <f>IF(('MiT Strom Pipeline'!R66="offered")+('MiT Strom Pipeline'!R66="to be offered")+('MiT Strom Pipeline'!R66="on hold")&gt;0,IF(LEN('MiT Strom Pipeline'!V66)&gt;0,LEFT('MiT Strom Pipeline'!V66,55),""),"")</f>
        <v/>
      </c>
    </row>
    <row r="136" hidden="1" ht="3.75" customHeight="1">
      <c r="A136">
        <f>IF(('MiT Strom Pipeline'!R67="offered")+('MiT Strom Pipeline'!R67="to be offered")+('MiT Strom Pipeline'!R67="on hold")&gt;0,IF(ISNUMBER('MiT Strom Pipeline'!A67),'MiT Strom Pipeline'!A67,""),"")</f>
        <v/>
      </c>
      <c r="B136">
        <f>IF(('MiT Strom Pipeline'!R67="offered")+('MiT Strom Pipeline'!R67="to be offered")+('MiT Strom Pipeline'!R67="on hold")&gt;0,'MiT Strom Pipeline'!B67,"")</f>
        <v/>
      </c>
      <c r="C136">
        <f>IF(('MiT Strom Pipeline'!R67="offered")+('MiT Strom Pipeline'!R67="to be offered")+('MiT Strom Pipeline'!R67="on hold")&gt;0,'MiT Strom Pipeline'!C67,"")</f>
        <v/>
      </c>
      <c r="D136">
        <f>IF(('MiT Strom Pipeline'!R67="offered")+('MiT Strom Pipeline'!R67="to be offered")+('MiT Strom Pipeline'!R67="on hold")&gt;0,'MiT Strom Pipeline'!D67,"")</f>
        <v/>
      </c>
      <c r="E136">
        <f>IF(('MiT Strom Pipeline'!R67="offered")+('MiT Strom Pipeline'!R67="to be offered")+('MiT Strom Pipeline'!R67="on hold")&gt;0,'MiT Strom Pipeline'!E67,"")</f>
        <v/>
      </c>
      <c r="F136" s="45">
        <f>IF(('MiT Strom Pipeline'!R67="offered")+('MiT Strom Pipeline'!R67="to be offered")+('MiT Strom Pipeline'!R67="on hold")&gt;0,IF(ISNUMBER('MiT Strom Pipeline'!I67),'MiT Strom Pipeline'!I67,0),"")</f>
        <v/>
      </c>
      <c r="G136" s="45">
        <f>IF(('MiT Strom Pipeline'!R67="offered")+('MiT Strom Pipeline'!R67="to be offered")+('MiT Strom Pipeline'!R67="on hold")&gt;0,IF(ISNUMBER('MiT Strom Pipeline'!Q67),'MiT Strom Pipeline'!Q67,0),"")</f>
        <v/>
      </c>
      <c r="H136">
        <f>IF(('MiT Strom Pipeline'!R67="offered")+('MiT Strom Pipeline'!R67="to be offered")+('MiT Strom Pipeline'!R67="on hold")&gt;0,'MiT Strom Pipeline'!R67,"")</f>
        <v/>
      </c>
      <c r="I136">
        <f>IF(('MiT Strom Pipeline'!R67="offered")+('MiT Strom Pipeline'!R67="to be offered")+('MiT Strom Pipeline'!R67="on hold")&gt;0,'MiT Strom Pipeline'!S67,"")</f>
        <v/>
      </c>
      <c r="J136">
        <f>IF(('MiT Strom Pipeline'!R67="offered")+('MiT Strom Pipeline'!R67="to be offered")+('MiT Strom Pipeline'!R67="on hold")&gt;0,IF(LEN('MiT Strom Pipeline'!V67)&gt;0,LEFT('MiT Strom Pipeline'!V67,55),""),"")</f>
        <v/>
      </c>
    </row>
    <row r="137" hidden="1" ht="24" customHeight="1">
      <c r="A137" s="115" t="inlineStr">
        <is>
          <t>🎯  3. OPPORTUNITÄT — Qualifizierte Leads</t>
        </is>
      </c>
      <c r="B137" s="166" t="n"/>
      <c r="C137" s="166" t="n"/>
      <c r="D137" s="166" t="n"/>
      <c r="E137" s="166" t="n"/>
      <c r="F137" s="166" t="n"/>
      <c r="G137" s="166" t="n"/>
      <c r="H137" s="166" t="n"/>
      <c r="I137" s="166" t="n"/>
      <c r="J137" s="167" t="n"/>
    </row>
    <row r="138" ht="19.5" customHeight="1">
      <c r="A138" s="16" t="inlineStr">
        <is>
          <t>#</t>
        </is>
      </c>
      <c r="B138" s="17" t="inlineStr">
        <is>
          <t>Kunde / Unternehmen</t>
        </is>
      </c>
      <c r="C138" s="16" t="inlineStr">
        <is>
          <t>Kt.</t>
        </is>
      </c>
      <c r="D138" s="17" t="inlineStr">
        <is>
          <t>Segment</t>
        </is>
      </c>
      <c r="E138" s="17" t="inlineStr">
        <is>
          <t>Leistung / Fleet</t>
        </is>
      </c>
      <c r="F138" s="47" t="inlineStr">
        <is>
          <t>Volumen CHF</t>
        </is>
      </c>
      <c r="G138" s="47" t="inlineStr">
        <is>
          <t>Gew.Wert CHF</t>
        </is>
      </c>
      <c r="H138" s="16" t="inlineStr">
        <is>
          <t>Status</t>
        </is>
      </c>
      <c r="I138" s="16" t="inlineStr">
        <is>
          <t>Wahr.%</t>
        </is>
      </c>
      <c r="J138" s="17" t="inlineStr">
        <is>
          <t>Nächster Schritt</t>
        </is>
      </c>
    </row>
    <row r="139" hidden="1" ht="15.75" customHeight="1">
      <c r="A139" s="34">
        <f>IF(('MiT Strom Pipeline'!R6="follow-up")+('MiT Strom Pipeline'!R6="Evaluation")+('MiT Strom Pipeline'!R6="tbd")+('MiT Strom Pipeline'!R6="In evaluation")&gt;0,IF(ISNUMBER('MiT Strom Pipeline'!A6),'MiT Strom Pipeline'!A6,""),"")</f>
        <v/>
      </c>
      <c r="B139" s="35">
        <f>IF(('MiT Strom Pipeline'!R6="follow-up")+('MiT Strom Pipeline'!R6="Evaluation")+('MiT Strom Pipeline'!R6="tbd")+('MiT Strom Pipeline'!R6="In evaluation")&gt;0,'MiT Strom Pipeline'!B6,"")</f>
        <v/>
      </c>
      <c r="C139" s="34">
        <f>IF(('MiT Strom Pipeline'!R6="follow-up")+('MiT Strom Pipeline'!R6="Evaluation")+('MiT Strom Pipeline'!R6="tbd")+('MiT Strom Pipeline'!R6="In evaluation")&gt;0,'MiT Strom Pipeline'!C6,"")</f>
        <v/>
      </c>
      <c r="D139" s="35">
        <f>IF(('MiT Strom Pipeline'!R6="follow-up")+('MiT Strom Pipeline'!R6="Evaluation")+('MiT Strom Pipeline'!R6="tbd")+('MiT Strom Pipeline'!R6="In evaluation")&gt;0,'MiT Strom Pipeline'!D6,"")</f>
        <v/>
      </c>
      <c r="E139" s="35">
        <f>IF(('MiT Strom Pipeline'!R6="follow-up")+('MiT Strom Pipeline'!R6="Evaluation")+('MiT Strom Pipeline'!R6="tbd")+('MiT Strom Pipeline'!R6="In evaluation")&gt;0,'MiT Strom Pipeline'!E6,"")</f>
        <v/>
      </c>
      <c r="F139" s="55">
        <f>IF(('MiT Strom Pipeline'!R6="follow-up")+('MiT Strom Pipeline'!R6="Evaluation")+('MiT Strom Pipeline'!R6="tbd")+('MiT Strom Pipeline'!R6="In evaluation")&gt;0,IF(ISNUMBER('MiT Strom Pipeline'!I6),'MiT Strom Pipeline'!I6,0),"")</f>
        <v/>
      </c>
      <c r="G139" s="55">
        <f>IF(('MiT Strom Pipeline'!R6="follow-up")+('MiT Strom Pipeline'!R6="Evaluation")+('MiT Strom Pipeline'!R6="tbd")+('MiT Strom Pipeline'!R6="In evaluation")&gt;0,IF(ISNUMBER('MiT Strom Pipeline'!Q6),'MiT Strom Pipeline'!Q6,0),"")</f>
        <v/>
      </c>
      <c r="H139" s="34">
        <f>IF(('MiT Strom Pipeline'!R6="follow-up")+('MiT Strom Pipeline'!R6="Evaluation")+('MiT Strom Pipeline'!R6="tbd")+('MiT Strom Pipeline'!R6="In evaluation")&gt;0,'MiT Strom Pipeline'!R6,"")</f>
        <v/>
      </c>
      <c r="I139" s="34">
        <f>IF(('MiT Strom Pipeline'!R6="follow-up")+('MiT Strom Pipeline'!R6="Evaluation")+('MiT Strom Pipeline'!R6="tbd")+('MiT Strom Pipeline'!R6="In evaluation")&gt;0,'MiT Strom Pipeline'!S6,"")</f>
        <v/>
      </c>
      <c r="J139" s="35">
        <f>IF(('MiT Strom Pipeline'!R6="follow-up")+('MiT Strom Pipeline'!R6="Evaluation")+('MiT Strom Pipeline'!R6="tbd")+('MiT Strom Pipeline'!R6="In evaluation")&gt;0,IF(LEN('MiT Strom Pipeline'!V6)&gt;0,LEFT('MiT Strom Pipeline'!V6,55),""),"")</f>
        <v/>
      </c>
    </row>
    <row r="140" hidden="1" ht="15.75" customHeight="1">
      <c r="A140" s="22">
        <f>IF(('MiT Strom Pipeline'!R7="follow-up")+('MiT Strom Pipeline'!R7="Evaluation")+('MiT Strom Pipeline'!R7="tbd")+('MiT Strom Pipeline'!R7="In evaluation")&gt;0,IF(ISNUMBER('MiT Strom Pipeline'!A7),'MiT Strom Pipeline'!A7,""),"")</f>
        <v/>
      </c>
      <c r="B140" s="23">
        <f>IF(('MiT Strom Pipeline'!R7="follow-up")+('MiT Strom Pipeline'!R7="Evaluation")+('MiT Strom Pipeline'!R7="tbd")+('MiT Strom Pipeline'!R7="In evaluation")&gt;0,'MiT Strom Pipeline'!B7,"")</f>
        <v/>
      </c>
      <c r="C140" s="22">
        <f>IF(('MiT Strom Pipeline'!R7="follow-up")+('MiT Strom Pipeline'!R7="Evaluation")+('MiT Strom Pipeline'!R7="tbd")+('MiT Strom Pipeline'!R7="In evaluation")&gt;0,'MiT Strom Pipeline'!C7,"")</f>
        <v/>
      </c>
      <c r="D140" s="23">
        <f>IF(('MiT Strom Pipeline'!R7="follow-up")+('MiT Strom Pipeline'!R7="Evaluation")+('MiT Strom Pipeline'!R7="tbd")+('MiT Strom Pipeline'!R7="In evaluation")&gt;0,'MiT Strom Pipeline'!D7,"")</f>
        <v/>
      </c>
      <c r="E140" s="23">
        <f>IF(('MiT Strom Pipeline'!R7="follow-up")+('MiT Strom Pipeline'!R7="Evaluation")+('MiT Strom Pipeline'!R7="tbd")+('MiT Strom Pipeline'!R7="In evaluation")&gt;0,'MiT Strom Pipeline'!E7,"")</f>
        <v/>
      </c>
      <c r="F140" s="49">
        <f>IF(('MiT Strom Pipeline'!R7="follow-up")+('MiT Strom Pipeline'!R7="Evaluation")+('MiT Strom Pipeline'!R7="tbd")+('MiT Strom Pipeline'!R7="In evaluation")&gt;0,IF(ISNUMBER('MiT Strom Pipeline'!I7),'MiT Strom Pipeline'!I7,0),"")</f>
        <v/>
      </c>
      <c r="G140" s="49">
        <f>IF(('MiT Strom Pipeline'!R7="follow-up")+('MiT Strom Pipeline'!R7="Evaluation")+('MiT Strom Pipeline'!R7="tbd")+('MiT Strom Pipeline'!R7="In evaluation")&gt;0,IF(ISNUMBER('MiT Strom Pipeline'!Q7),'MiT Strom Pipeline'!Q7,0),"")</f>
        <v/>
      </c>
      <c r="H140" s="22">
        <f>IF(('MiT Strom Pipeline'!R7="follow-up")+('MiT Strom Pipeline'!R7="Evaluation")+('MiT Strom Pipeline'!R7="tbd")+('MiT Strom Pipeline'!R7="In evaluation")&gt;0,'MiT Strom Pipeline'!R7,"")</f>
        <v/>
      </c>
      <c r="I140" s="22">
        <f>IF(('MiT Strom Pipeline'!R7="follow-up")+('MiT Strom Pipeline'!R7="Evaluation")+('MiT Strom Pipeline'!R7="tbd")+('MiT Strom Pipeline'!R7="In evaluation")&gt;0,'MiT Strom Pipeline'!S7,"")</f>
        <v/>
      </c>
      <c r="J140" s="23">
        <f>IF(('MiT Strom Pipeline'!R7="follow-up")+('MiT Strom Pipeline'!R7="Evaluation")+('MiT Strom Pipeline'!R7="tbd")+('MiT Strom Pipeline'!R7="In evaluation")&gt;0,IF(LEN('MiT Strom Pipeline'!V7)&gt;0,LEFT('MiT Strom Pipeline'!V7,55),""),"")</f>
        <v/>
      </c>
    </row>
    <row r="141" hidden="1" ht="15.75" customHeight="1">
      <c r="A141" s="34">
        <f>IF(('MiT Strom Pipeline'!R8="follow-up")+('MiT Strom Pipeline'!R8="Evaluation")+('MiT Strom Pipeline'!R8="tbd")+('MiT Strom Pipeline'!R8="In evaluation")&gt;0,IF(ISNUMBER('MiT Strom Pipeline'!A8),'MiT Strom Pipeline'!A8,""),"")</f>
        <v/>
      </c>
      <c r="B141" s="35">
        <f>IF(('MiT Strom Pipeline'!R8="follow-up")+('MiT Strom Pipeline'!R8="Evaluation")+('MiT Strom Pipeline'!R8="tbd")+('MiT Strom Pipeline'!R8="In evaluation")&gt;0,'MiT Strom Pipeline'!B8,"")</f>
        <v/>
      </c>
      <c r="C141" s="34">
        <f>IF(('MiT Strom Pipeline'!R8="follow-up")+('MiT Strom Pipeline'!R8="Evaluation")+('MiT Strom Pipeline'!R8="tbd")+('MiT Strom Pipeline'!R8="In evaluation")&gt;0,'MiT Strom Pipeline'!C8,"")</f>
        <v/>
      </c>
      <c r="D141" s="35">
        <f>IF(('MiT Strom Pipeline'!R8="follow-up")+('MiT Strom Pipeline'!R8="Evaluation")+('MiT Strom Pipeline'!R8="tbd")+('MiT Strom Pipeline'!R8="In evaluation")&gt;0,'MiT Strom Pipeline'!D8,"")</f>
        <v/>
      </c>
      <c r="E141" s="35">
        <f>IF(('MiT Strom Pipeline'!R8="follow-up")+('MiT Strom Pipeline'!R8="Evaluation")+('MiT Strom Pipeline'!R8="tbd")+('MiT Strom Pipeline'!R8="In evaluation")&gt;0,'MiT Strom Pipeline'!E8,"")</f>
        <v/>
      </c>
      <c r="F141" s="55">
        <f>IF(('MiT Strom Pipeline'!R8="follow-up")+('MiT Strom Pipeline'!R8="Evaluation")+('MiT Strom Pipeline'!R8="tbd")+('MiT Strom Pipeline'!R8="In evaluation")&gt;0,IF(ISNUMBER('MiT Strom Pipeline'!I8),'MiT Strom Pipeline'!I8,0),"")</f>
        <v/>
      </c>
      <c r="G141" s="55">
        <f>IF(('MiT Strom Pipeline'!R8="follow-up")+('MiT Strom Pipeline'!R8="Evaluation")+('MiT Strom Pipeline'!R8="tbd")+('MiT Strom Pipeline'!R8="In evaluation")&gt;0,IF(ISNUMBER('MiT Strom Pipeline'!Q8),'MiT Strom Pipeline'!Q8,0),"")</f>
        <v/>
      </c>
      <c r="H141" s="34">
        <f>IF(('MiT Strom Pipeline'!R8="follow-up")+('MiT Strom Pipeline'!R8="Evaluation")+('MiT Strom Pipeline'!R8="tbd")+('MiT Strom Pipeline'!R8="In evaluation")&gt;0,'MiT Strom Pipeline'!R8,"")</f>
        <v/>
      </c>
      <c r="I141" s="34">
        <f>IF(('MiT Strom Pipeline'!R8="follow-up")+('MiT Strom Pipeline'!R8="Evaluation")+('MiT Strom Pipeline'!R8="tbd")+('MiT Strom Pipeline'!R8="In evaluation")&gt;0,'MiT Strom Pipeline'!S8,"")</f>
        <v/>
      </c>
      <c r="J141" s="35">
        <f>IF(('MiT Strom Pipeline'!R8="follow-up")+('MiT Strom Pipeline'!R8="Evaluation")+('MiT Strom Pipeline'!R8="tbd")+('MiT Strom Pipeline'!R8="In evaluation")&gt;0,IF(LEN('MiT Strom Pipeline'!V8)&gt;0,LEFT('MiT Strom Pipeline'!V8,55),""),"")</f>
        <v/>
      </c>
    </row>
    <row r="142" hidden="1" ht="15.75" customHeight="1">
      <c r="A142" s="22">
        <f>IF(('MiT Strom Pipeline'!R9="follow-up")+('MiT Strom Pipeline'!R9="Evaluation")+('MiT Strom Pipeline'!R9="tbd")+('MiT Strom Pipeline'!R9="In evaluation")&gt;0,IF(ISNUMBER('MiT Strom Pipeline'!A9),'MiT Strom Pipeline'!A9,""),"")</f>
        <v/>
      </c>
      <c r="B142" s="23">
        <f>IF(('MiT Strom Pipeline'!R9="follow-up")+('MiT Strom Pipeline'!R9="Evaluation")+('MiT Strom Pipeline'!R9="tbd")+('MiT Strom Pipeline'!R9="In evaluation")&gt;0,'MiT Strom Pipeline'!B9,"")</f>
        <v/>
      </c>
      <c r="C142" s="22">
        <f>IF(('MiT Strom Pipeline'!R9="follow-up")+('MiT Strom Pipeline'!R9="Evaluation")+('MiT Strom Pipeline'!R9="tbd")+('MiT Strom Pipeline'!R9="In evaluation")&gt;0,'MiT Strom Pipeline'!C9,"")</f>
        <v/>
      </c>
      <c r="D142" s="23">
        <f>IF(('MiT Strom Pipeline'!R9="follow-up")+('MiT Strom Pipeline'!R9="Evaluation")+('MiT Strom Pipeline'!R9="tbd")+('MiT Strom Pipeline'!R9="In evaluation")&gt;0,'MiT Strom Pipeline'!D9,"")</f>
        <v/>
      </c>
      <c r="E142" s="23">
        <f>IF(('MiT Strom Pipeline'!R9="follow-up")+('MiT Strom Pipeline'!R9="Evaluation")+('MiT Strom Pipeline'!R9="tbd")+('MiT Strom Pipeline'!R9="In evaluation")&gt;0,'MiT Strom Pipeline'!E9,"")</f>
        <v/>
      </c>
      <c r="F142" s="49">
        <f>IF(('MiT Strom Pipeline'!R9="follow-up")+('MiT Strom Pipeline'!R9="Evaluation")+('MiT Strom Pipeline'!R9="tbd")+('MiT Strom Pipeline'!R9="In evaluation")&gt;0,IF(ISNUMBER('MiT Strom Pipeline'!I9),'MiT Strom Pipeline'!I9,0),"")</f>
        <v/>
      </c>
      <c r="G142" s="49">
        <f>IF(('MiT Strom Pipeline'!R9="follow-up")+('MiT Strom Pipeline'!R9="Evaluation")+('MiT Strom Pipeline'!R9="tbd")+('MiT Strom Pipeline'!R9="In evaluation")&gt;0,IF(ISNUMBER('MiT Strom Pipeline'!Q9),'MiT Strom Pipeline'!Q9,0),"")</f>
        <v/>
      </c>
      <c r="H142" s="22">
        <f>IF(('MiT Strom Pipeline'!R9="follow-up")+('MiT Strom Pipeline'!R9="Evaluation")+('MiT Strom Pipeline'!R9="tbd")+('MiT Strom Pipeline'!R9="In evaluation")&gt;0,'MiT Strom Pipeline'!R9,"")</f>
        <v/>
      </c>
      <c r="I142" s="22">
        <f>IF(('MiT Strom Pipeline'!R9="follow-up")+('MiT Strom Pipeline'!R9="Evaluation")+('MiT Strom Pipeline'!R9="tbd")+('MiT Strom Pipeline'!R9="In evaluation")&gt;0,'MiT Strom Pipeline'!S9,"")</f>
        <v/>
      </c>
      <c r="J142" s="23">
        <f>IF(('MiT Strom Pipeline'!R9="follow-up")+('MiT Strom Pipeline'!R9="Evaluation")+('MiT Strom Pipeline'!R9="tbd")+('MiT Strom Pipeline'!R9="In evaluation")&gt;0,IF(LEN('MiT Strom Pipeline'!V9)&gt;0,LEFT('MiT Strom Pipeline'!V9,55),""),"")</f>
        <v/>
      </c>
    </row>
    <row r="143" hidden="1" ht="15.75" customHeight="1">
      <c r="A143" s="34">
        <f>IF(('MiT Strom Pipeline'!R10="follow-up")+('MiT Strom Pipeline'!R10="Evaluation")+('MiT Strom Pipeline'!R10="tbd")+('MiT Strom Pipeline'!R10="In evaluation")&gt;0,IF(ISNUMBER('MiT Strom Pipeline'!A10),'MiT Strom Pipeline'!A10,""),"")</f>
        <v/>
      </c>
      <c r="B143" s="35">
        <f>IF(('MiT Strom Pipeline'!R10="follow-up")+('MiT Strom Pipeline'!R10="Evaluation")+('MiT Strom Pipeline'!R10="tbd")+('MiT Strom Pipeline'!R10="In evaluation")&gt;0,'MiT Strom Pipeline'!B10,"")</f>
        <v/>
      </c>
      <c r="C143" s="34">
        <f>IF(('MiT Strom Pipeline'!R10="follow-up")+('MiT Strom Pipeline'!R10="Evaluation")+('MiT Strom Pipeline'!R10="tbd")+('MiT Strom Pipeline'!R10="In evaluation")&gt;0,'MiT Strom Pipeline'!C10,"")</f>
        <v/>
      </c>
      <c r="D143" s="35">
        <f>IF(('MiT Strom Pipeline'!R10="follow-up")+('MiT Strom Pipeline'!R10="Evaluation")+('MiT Strom Pipeline'!R10="tbd")+('MiT Strom Pipeline'!R10="In evaluation")&gt;0,'MiT Strom Pipeline'!D10,"")</f>
        <v/>
      </c>
      <c r="E143" s="35">
        <f>IF(('MiT Strom Pipeline'!R10="follow-up")+('MiT Strom Pipeline'!R10="Evaluation")+('MiT Strom Pipeline'!R10="tbd")+('MiT Strom Pipeline'!R10="In evaluation")&gt;0,'MiT Strom Pipeline'!E10,"")</f>
        <v/>
      </c>
      <c r="F143" s="55">
        <f>IF(('MiT Strom Pipeline'!R10="follow-up")+('MiT Strom Pipeline'!R10="Evaluation")+('MiT Strom Pipeline'!R10="tbd")+('MiT Strom Pipeline'!R10="In evaluation")&gt;0,IF(ISNUMBER('MiT Strom Pipeline'!I10),'MiT Strom Pipeline'!I10,0),"")</f>
        <v/>
      </c>
      <c r="G143" s="55">
        <f>IF(('MiT Strom Pipeline'!R10="follow-up")+('MiT Strom Pipeline'!R10="Evaluation")+('MiT Strom Pipeline'!R10="tbd")+('MiT Strom Pipeline'!R10="In evaluation")&gt;0,IF(ISNUMBER('MiT Strom Pipeline'!Q10),'MiT Strom Pipeline'!Q10,0),"")</f>
        <v/>
      </c>
      <c r="H143" s="34">
        <f>IF(('MiT Strom Pipeline'!R10="follow-up")+('MiT Strom Pipeline'!R10="Evaluation")+('MiT Strom Pipeline'!R10="tbd")+('MiT Strom Pipeline'!R10="In evaluation")&gt;0,'MiT Strom Pipeline'!R10,"")</f>
        <v/>
      </c>
      <c r="I143" s="34">
        <f>IF(('MiT Strom Pipeline'!R10="follow-up")+('MiT Strom Pipeline'!R10="Evaluation")+('MiT Strom Pipeline'!R10="tbd")+('MiT Strom Pipeline'!R10="In evaluation")&gt;0,'MiT Strom Pipeline'!S10,"")</f>
        <v/>
      </c>
      <c r="J143" s="35">
        <f>IF(('MiT Strom Pipeline'!R10="follow-up")+('MiT Strom Pipeline'!R10="Evaluation")+('MiT Strom Pipeline'!R10="tbd")+('MiT Strom Pipeline'!R10="In evaluation")&gt;0,IF(LEN('MiT Strom Pipeline'!V10)&gt;0,LEFT('MiT Strom Pipeline'!V10,55),""),"")</f>
        <v/>
      </c>
    </row>
    <row r="144" hidden="1" ht="15.75" customHeight="1">
      <c r="A144" s="22">
        <f>IF(('MiT Strom Pipeline'!R11="follow-up")+('MiT Strom Pipeline'!R11="Evaluation")+('MiT Strom Pipeline'!R11="tbd")+('MiT Strom Pipeline'!R11="In evaluation")&gt;0,IF(ISNUMBER('MiT Strom Pipeline'!A11),'MiT Strom Pipeline'!A11,""),"")</f>
        <v/>
      </c>
      <c r="B144" s="23">
        <f>IF(('MiT Strom Pipeline'!R11="follow-up")+('MiT Strom Pipeline'!R11="Evaluation")+('MiT Strom Pipeline'!R11="tbd")+('MiT Strom Pipeline'!R11="In evaluation")&gt;0,'MiT Strom Pipeline'!B11,"")</f>
        <v/>
      </c>
      <c r="C144" s="22">
        <f>IF(('MiT Strom Pipeline'!R11="follow-up")+('MiT Strom Pipeline'!R11="Evaluation")+('MiT Strom Pipeline'!R11="tbd")+('MiT Strom Pipeline'!R11="In evaluation")&gt;0,'MiT Strom Pipeline'!C11,"")</f>
        <v/>
      </c>
      <c r="D144" s="23">
        <f>IF(('MiT Strom Pipeline'!R11="follow-up")+('MiT Strom Pipeline'!R11="Evaluation")+('MiT Strom Pipeline'!R11="tbd")+('MiT Strom Pipeline'!R11="In evaluation")&gt;0,'MiT Strom Pipeline'!D11,"")</f>
        <v/>
      </c>
      <c r="E144" s="23">
        <f>IF(('MiT Strom Pipeline'!R11="follow-up")+('MiT Strom Pipeline'!R11="Evaluation")+('MiT Strom Pipeline'!R11="tbd")+('MiT Strom Pipeline'!R11="In evaluation")&gt;0,'MiT Strom Pipeline'!E11,"")</f>
        <v/>
      </c>
      <c r="F144" s="49">
        <f>IF(('MiT Strom Pipeline'!R11="follow-up")+('MiT Strom Pipeline'!R11="Evaluation")+('MiT Strom Pipeline'!R11="tbd")+('MiT Strom Pipeline'!R11="In evaluation")&gt;0,IF(ISNUMBER('MiT Strom Pipeline'!I11),'MiT Strom Pipeline'!I11,0),"")</f>
        <v/>
      </c>
      <c r="G144" s="49">
        <f>IF(('MiT Strom Pipeline'!R11="follow-up")+('MiT Strom Pipeline'!R11="Evaluation")+('MiT Strom Pipeline'!R11="tbd")+('MiT Strom Pipeline'!R11="In evaluation")&gt;0,IF(ISNUMBER('MiT Strom Pipeline'!Q11),'MiT Strom Pipeline'!Q11,0),"")</f>
        <v/>
      </c>
      <c r="H144" s="22">
        <f>IF(('MiT Strom Pipeline'!R11="follow-up")+('MiT Strom Pipeline'!R11="Evaluation")+('MiT Strom Pipeline'!R11="tbd")+('MiT Strom Pipeline'!R11="In evaluation")&gt;0,'MiT Strom Pipeline'!R11,"")</f>
        <v/>
      </c>
      <c r="I144" s="22">
        <f>IF(('MiT Strom Pipeline'!R11="follow-up")+('MiT Strom Pipeline'!R11="Evaluation")+('MiT Strom Pipeline'!R11="tbd")+('MiT Strom Pipeline'!R11="In evaluation")&gt;0,'MiT Strom Pipeline'!S11,"")</f>
        <v/>
      </c>
      <c r="J144" s="23">
        <f>IF(('MiT Strom Pipeline'!R11="follow-up")+('MiT Strom Pipeline'!R11="Evaluation")+('MiT Strom Pipeline'!R11="tbd")+('MiT Strom Pipeline'!R11="In evaluation")&gt;0,IF(LEN('MiT Strom Pipeline'!V11)&gt;0,LEFT('MiT Strom Pipeline'!V11,55),""),"")</f>
        <v/>
      </c>
    </row>
    <row r="145" ht="15.75" customHeight="1">
      <c r="A145" s="34">
        <f>IF(('MiT Strom Pipeline'!R12="follow-up")+('MiT Strom Pipeline'!R12="Evaluation")+('MiT Strom Pipeline'!R12="tbd")+('MiT Strom Pipeline'!R12="In evaluation")&gt;0,IF(ISNUMBER('MiT Strom Pipeline'!A12),'MiT Strom Pipeline'!A12,""),"")</f>
        <v/>
      </c>
      <c r="B145" s="35">
        <f>IF(('MiT Strom Pipeline'!R12="follow-up")+('MiT Strom Pipeline'!R12="Evaluation")+('MiT Strom Pipeline'!R12="tbd")+('MiT Strom Pipeline'!R12="In evaluation")&gt;0,'MiT Strom Pipeline'!B12,"")</f>
        <v/>
      </c>
      <c r="C145" s="34">
        <f>IF(('MiT Strom Pipeline'!R12="follow-up")+('MiT Strom Pipeline'!R12="Evaluation")+('MiT Strom Pipeline'!R12="tbd")+('MiT Strom Pipeline'!R12="In evaluation")&gt;0,'MiT Strom Pipeline'!C12,"")</f>
        <v/>
      </c>
      <c r="D145" s="35">
        <f>IF(('MiT Strom Pipeline'!R12="follow-up")+('MiT Strom Pipeline'!R12="Evaluation")+('MiT Strom Pipeline'!R12="tbd")+('MiT Strom Pipeline'!R12="In evaluation")&gt;0,'MiT Strom Pipeline'!D12,"")</f>
        <v/>
      </c>
      <c r="E145" s="35">
        <f>IF(('MiT Strom Pipeline'!R12="follow-up")+('MiT Strom Pipeline'!R12="Evaluation")+('MiT Strom Pipeline'!R12="tbd")+('MiT Strom Pipeline'!R12="In evaluation")&gt;0,'MiT Strom Pipeline'!E12,"")</f>
        <v/>
      </c>
      <c r="F145" s="55">
        <f>IF(('MiT Strom Pipeline'!R12="follow-up")+('MiT Strom Pipeline'!R12="Evaluation")+('MiT Strom Pipeline'!R12="tbd")+('MiT Strom Pipeline'!R12="In evaluation")&gt;0,IF(ISNUMBER('MiT Strom Pipeline'!I12),'MiT Strom Pipeline'!I12,0),"")</f>
        <v/>
      </c>
      <c r="G145" s="55">
        <f>IF(('MiT Strom Pipeline'!R12="follow-up")+('MiT Strom Pipeline'!R12="Evaluation")+('MiT Strom Pipeline'!R12="tbd")+('MiT Strom Pipeline'!R12="In evaluation")&gt;0,IF(ISNUMBER('MiT Strom Pipeline'!Q12),'MiT Strom Pipeline'!Q12,0),"")</f>
        <v/>
      </c>
      <c r="H145" s="34">
        <f>IF(('MiT Strom Pipeline'!R12="follow-up")+('MiT Strom Pipeline'!R12="Evaluation")+('MiT Strom Pipeline'!R12="tbd")+('MiT Strom Pipeline'!R12="In evaluation")&gt;0,'MiT Strom Pipeline'!R12,"")</f>
        <v/>
      </c>
      <c r="I145" s="34">
        <f>IF(('MiT Strom Pipeline'!R12="follow-up")+('MiT Strom Pipeline'!R12="Evaluation")+('MiT Strom Pipeline'!R12="tbd")+('MiT Strom Pipeline'!R12="In evaluation")&gt;0,'MiT Strom Pipeline'!S12,"")</f>
        <v/>
      </c>
      <c r="J145" s="35">
        <f>IF(('MiT Strom Pipeline'!R12="follow-up")+('MiT Strom Pipeline'!R12="Evaluation")+('MiT Strom Pipeline'!R12="tbd")+('MiT Strom Pipeline'!R12="In evaluation")&gt;0,IF(LEN('MiT Strom Pipeline'!V12)&gt;0,LEFT('MiT Strom Pipeline'!V12,55),""),"")</f>
        <v/>
      </c>
    </row>
    <row r="146" ht="15.75" customHeight="1">
      <c r="A146" s="22">
        <f>IF(('MiT Strom Pipeline'!R13="follow-up")+('MiT Strom Pipeline'!R13="Evaluation")+('MiT Strom Pipeline'!R13="tbd")+('MiT Strom Pipeline'!R13="In evaluation")&gt;0,IF(ISNUMBER('MiT Strom Pipeline'!A13),'MiT Strom Pipeline'!A13,""),"")</f>
        <v/>
      </c>
      <c r="B146" s="23">
        <f>IF(('MiT Strom Pipeline'!R13="follow-up")+('MiT Strom Pipeline'!R13="Evaluation")+('MiT Strom Pipeline'!R13="tbd")+('MiT Strom Pipeline'!R13="In evaluation")&gt;0,'MiT Strom Pipeline'!B13,"")</f>
        <v/>
      </c>
      <c r="C146" s="22">
        <f>IF(('MiT Strom Pipeline'!R13="follow-up")+('MiT Strom Pipeline'!R13="Evaluation")+('MiT Strom Pipeline'!R13="tbd")+('MiT Strom Pipeline'!R13="In evaluation")&gt;0,'MiT Strom Pipeline'!C13,"")</f>
        <v/>
      </c>
      <c r="D146" s="23">
        <f>IF(('MiT Strom Pipeline'!R13="follow-up")+('MiT Strom Pipeline'!R13="Evaluation")+('MiT Strom Pipeline'!R13="tbd")+('MiT Strom Pipeline'!R13="In evaluation")&gt;0,'MiT Strom Pipeline'!D13,"")</f>
        <v/>
      </c>
      <c r="E146" s="23">
        <f>IF(('MiT Strom Pipeline'!R13="follow-up")+('MiT Strom Pipeline'!R13="Evaluation")+('MiT Strom Pipeline'!R13="tbd")+('MiT Strom Pipeline'!R13="In evaluation")&gt;0,'MiT Strom Pipeline'!E13,"")</f>
        <v/>
      </c>
      <c r="F146" s="49">
        <f>IF(('MiT Strom Pipeline'!R13="follow-up")+('MiT Strom Pipeline'!R13="Evaluation")+('MiT Strom Pipeline'!R13="tbd")+('MiT Strom Pipeline'!R13="In evaluation")&gt;0,IF(ISNUMBER('MiT Strom Pipeline'!I13),'MiT Strom Pipeline'!I13,0),"")</f>
        <v/>
      </c>
      <c r="G146" s="49">
        <f>IF(('MiT Strom Pipeline'!R13="follow-up")+('MiT Strom Pipeline'!R13="Evaluation")+('MiT Strom Pipeline'!R13="tbd")+('MiT Strom Pipeline'!R13="In evaluation")&gt;0,IF(ISNUMBER('MiT Strom Pipeline'!Q13),'MiT Strom Pipeline'!Q13,0),"")</f>
        <v/>
      </c>
      <c r="H146" s="22">
        <f>IF(('MiT Strom Pipeline'!R13="follow-up")+('MiT Strom Pipeline'!R13="Evaluation")+('MiT Strom Pipeline'!R13="tbd")+('MiT Strom Pipeline'!R13="In evaluation")&gt;0,'MiT Strom Pipeline'!R13,"")</f>
        <v/>
      </c>
      <c r="I146" s="22">
        <f>IF(('MiT Strom Pipeline'!R13="follow-up")+('MiT Strom Pipeline'!R13="Evaluation")+('MiT Strom Pipeline'!R13="tbd")+('MiT Strom Pipeline'!R13="In evaluation")&gt;0,'MiT Strom Pipeline'!S13,"")</f>
        <v/>
      </c>
      <c r="J146" s="23">
        <f>IF(('MiT Strom Pipeline'!R13="follow-up")+('MiT Strom Pipeline'!R13="Evaluation")+('MiT Strom Pipeline'!R13="tbd")+('MiT Strom Pipeline'!R13="In evaluation")&gt;0,IF(LEN('MiT Strom Pipeline'!V13)&gt;0,LEFT('MiT Strom Pipeline'!V13,55),""),"")</f>
        <v/>
      </c>
    </row>
    <row r="147" hidden="1" ht="15.75" customHeight="1">
      <c r="A147" s="34">
        <f>IF(('MiT Strom Pipeline'!R14="follow-up")+('MiT Strom Pipeline'!R14="Evaluation")+('MiT Strom Pipeline'!R14="tbd")+('MiT Strom Pipeline'!R14="In evaluation")&gt;0,IF(ISNUMBER('MiT Strom Pipeline'!A14),'MiT Strom Pipeline'!A14,""),"")</f>
        <v/>
      </c>
      <c r="B147" s="35">
        <f>IF(('MiT Strom Pipeline'!R14="follow-up")+('MiT Strom Pipeline'!R14="Evaluation")+('MiT Strom Pipeline'!R14="tbd")+('MiT Strom Pipeline'!R14="In evaluation")&gt;0,'MiT Strom Pipeline'!B14,"")</f>
        <v/>
      </c>
      <c r="C147" s="34">
        <f>IF(('MiT Strom Pipeline'!R14="follow-up")+('MiT Strom Pipeline'!R14="Evaluation")+('MiT Strom Pipeline'!R14="tbd")+('MiT Strom Pipeline'!R14="In evaluation")&gt;0,'MiT Strom Pipeline'!C14,"")</f>
        <v/>
      </c>
      <c r="D147" s="35">
        <f>IF(('MiT Strom Pipeline'!R14="follow-up")+('MiT Strom Pipeline'!R14="Evaluation")+('MiT Strom Pipeline'!R14="tbd")+('MiT Strom Pipeline'!R14="In evaluation")&gt;0,'MiT Strom Pipeline'!D14,"")</f>
        <v/>
      </c>
      <c r="E147" s="35">
        <f>IF(('MiT Strom Pipeline'!R14="follow-up")+('MiT Strom Pipeline'!R14="Evaluation")+('MiT Strom Pipeline'!R14="tbd")+('MiT Strom Pipeline'!R14="In evaluation")&gt;0,'MiT Strom Pipeline'!E14,"")</f>
        <v/>
      </c>
      <c r="F147" s="55">
        <f>IF(('MiT Strom Pipeline'!R14="follow-up")+('MiT Strom Pipeline'!R14="Evaluation")+('MiT Strom Pipeline'!R14="tbd")+('MiT Strom Pipeline'!R14="In evaluation")&gt;0,IF(ISNUMBER('MiT Strom Pipeline'!I14),'MiT Strom Pipeline'!I14,0),"")</f>
        <v/>
      </c>
      <c r="G147" s="55">
        <f>IF(('MiT Strom Pipeline'!R14="follow-up")+('MiT Strom Pipeline'!R14="Evaluation")+('MiT Strom Pipeline'!R14="tbd")+('MiT Strom Pipeline'!R14="In evaluation")&gt;0,IF(ISNUMBER('MiT Strom Pipeline'!Q14),'MiT Strom Pipeline'!Q14,0),"")</f>
        <v/>
      </c>
      <c r="H147" s="34">
        <f>IF(('MiT Strom Pipeline'!R14="follow-up")+('MiT Strom Pipeline'!R14="Evaluation")+('MiT Strom Pipeline'!R14="tbd")+('MiT Strom Pipeline'!R14="In evaluation")&gt;0,'MiT Strom Pipeline'!R14,"")</f>
        <v/>
      </c>
      <c r="I147" s="34">
        <f>IF(('MiT Strom Pipeline'!R14="follow-up")+('MiT Strom Pipeline'!R14="Evaluation")+('MiT Strom Pipeline'!R14="tbd")+('MiT Strom Pipeline'!R14="In evaluation")&gt;0,'MiT Strom Pipeline'!S14,"")</f>
        <v/>
      </c>
      <c r="J147" s="35">
        <f>IF(('MiT Strom Pipeline'!R14="follow-up")+('MiT Strom Pipeline'!R14="Evaluation")+('MiT Strom Pipeline'!R14="tbd")+('MiT Strom Pipeline'!R14="In evaluation")&gt;0,IF(LEN('MiT Strom Pipeline'!V14)&gt;0,LEFT('MiT Strom Pipeline'!V14,55),""),"")</f>
        <v/>
      </c>
    </row>
    <row r="148" hidden="1" ht="15.75" customHeight="1">
      <c r="A148" s="22">
        <f>IF(('MiT Strom Pipeline'!R15="follow-up")+('MiT Strom Pipeline'!R15="Evaluation")+('MiT Strom Pipeline'!R15="tbd")+('MiT Strom Pipeline'!R15="In evaluation")&gt;0,IF(ISNUMBER('MiT Strom Pipeline'!A15),'MiT Strom Pipeline'!A15,""),"")</f>
        <v/>
      </c>
      <c r="B148" s="23">
        <f>IF(('MiT Strom Pipeline'!R15="follow-up")+('MiT Strom Pipeline'!R15="Evaluation")+('MiT Strom Pipeline'!R15="tbd")+('MiT Strom Pipeline'!R15="In evaluation")&gt;0,'MiT Strom Pipeline'!B15,"")</f>
        <v/>
      </c>
      <c r="C148" s="22">
        <f>IF(('MiT Strom Pipeline'!R15="follow-up")+('MiT Strom Pipeline'!R15="Evaluation")+('MiT Strom Pipeline'!R15="tbd")+('MiT Strom Pipeline'!R15="In evaluation")&gt;0,'MiT Strom Pipeline'!C15,"")</f>
        <v/>
      </c>
      <c r="D148" s="23">
        <f>IF(('MiT Strom Pipeline'!R15="follow-up")+('MiT Strom Pipeline'!R15="Evaluation")+('MiT Strom Pipeline'!R15="tbd")+('MiT Strom Pipeline'!R15="In evaluation")&gt;0,'MiT Strom Pipeline'!D15,"")</f>
        <v/>
      </c>
      <c r="E148" s="23">
        <f>IF(('MiT Strom Pipeline'!R15="follow-up")+('MiT Strom Pipeline'!R15="Evaluation")+('MiT Strom Pipeline'!R15="tbd")+('MiT Strom Pipeline'!R15="In evaluation")&gt;0,'MiT Strom Pipeline'!E15,"")</f>
        <v/>
      </c>
      <c r="F148" s="49">
        <f>IF(('MiT Strom Pipeline'!R15="follow-up")+('MiT Strom Pipeline'!R15="Evaluation")+('MiT Strom Pipeline'!R15="tbd")+('MiT Strom Pipeline'!R15="In evaluation")&gt;0,IF(ISNUMBER('MiT Strom Pipeline'!I15),'MiT Strom Pipeline'!I15,0),"")</f>
        <v/>
      </c>
      <c r="G148" s="49">
        <f>IF(('MiT Strom Pipeline'!R15="follow-up")+('MiT Strom Pipeline'!R15="Evaluation")+('MiT Strom Pipeline'!R15="tbd")+('MiT Strom Pipeline'!R15="In evaluation")&gt;0,IF(ISNUMBER('MiT Strom Pipeline'!Q15),'MiT Strom Pipeline'!Q15,0),"")</f>
        <v/>
      </c>
      <c r="H148" s="22">
        <f>IF(('MiT Strom Pipeline'!R15="follow-up")+('MiT Strom Pipeline'!R15="Evaluation")+('MiT Strom Pipeline'!R15="tbd")+('MiT Strom Pipeline'!R15="In evaluation")&gt;0,'MiT Strom Pipeline'!R15,"")</f>
        <v/>
      </c>
      <c r="I148" s="22">
        <f>IF(('MiT Strom Pipeline'!R15="follow-up")+('MiT Strom Pipeline'!R15="Evaluation")+('MiT Strom Pipeline'!R15="tbd")+('MiT Strom Pipeline'!R15="In evaluation")&gt;0,'MiT Strom Pipeline'!S15,"")</f>
        <v/>
      </c>
      <c r="J148" s="23">
        <f>IF(('MiT Strom Pipeline'!R15="follow-up")+('MiT Strom Pipeline'!R15="Evaluation")+('MiT Strom Pipeline'!R15="tbd")+('MiT Strom Pipeline'!R15="In evaluation")&gt;0,IF(LEN('MiT Strom Pipeline'!V15)&gt;0,LEFT('MiT Strom Pipeline'!V15,55),""),"")</f>
        <v/>
      </c>
    </row>
    <row r="149" hidden="1" ht="15.75" customHeight="1">
      <c r="A149" s="34">
        <f>IF(('MiT Strom Pipeline'!R16="follow-up")+('MiT Strom Pipeline'!R16="Evaluation")+('MiT Strom Pipeline'!R16="tbd")+('MiT Strom Pipeline'!R16="In evaluation")&gt;0,IF(ISNUMBER('MiT Strom Pipeline'!A16),'MiT Strom Pipeline'!A16,""),"")</f>
        <v/>
      </c>
      <c r="B149" s="35">
        <f>IF(('MiT Strom Pipeline'!R16="follow-up")+('MiT Strom Pipeline'!R16="Evaluation")+('MiT Strom Pipeline'!R16="tbd")+('MiT Strom Pipeline'!R16="In evaluation")&gt;0,'MiT Strom Pipeline'!B16,"")</f>
        <v/>
      </c>
      <c r="C149" s="34">
        <f>IF(('MiT Strom Pipeline'!R16="follow-up")+('MiT Strom Pipeline'!R16="Evaluation")+('MiT Strom Pipeline'!R16="tbd")+('MiT Strom Pipeline'!R16="In evaluation")&gt;0,'MiT Strom Pipeline'!C16,"")</f>
        <v/>
      </c>
      <c r="D149" s="35">
        <f>IF(('MiT Strom Pipeline'!R16="follow-up")+('MiT Strom Pipeline'!R16="Evaluation")+('MiT Strom Pipeline'!R16="tbd")+('MiT Strom Pipeline'!R16="In evaluation")&gt;0,'MiT Strom Pipeline'!D16,"")</f>
        <v/>
      </c>
      <c r="E149" s="35">
        <f>IF(('MiT Strom Pipeline'!R16="follow-up")+('MiT Strom Pipeline'!R16="Evaluation")+('MiT Strom Pipeline'!R16="tbd")+('MiT Strom Pipeline'!R16="In evaluation")&gt;0,'MiT Strom Pipeline'!E16,"")</f>
        <v/>
      </c>
      <c r="F149" s="55">
        <f>IF(('MiT Strom Pipeline'!R16="follow-up")+('MiT Strom Pipeline'!R16="Evaluation")+('MiT Strom Pipeline'!R16="tbd")+('MiT Strom Pipeline'!R16="In evaluation")&gt;0,IF(ISNUMBER('MiT Strom Pipeline'!I16),'MiT Strom Pipeline'!I16,0),"")</f>
        <v/>
      </c>
      <c r="G149" s="55">
        <f>IF(('MiT Strom Pipeline'!R16="follow-up")+('MiT Strom Pipeline'!R16="Evaluation")+('MiT Strom Pipeline'!R16="tbd")+('MiT Strom Pipeline'!R16="In evaluation")&gt;0,IF(ISNUMBER('MiT Strom Pipeline'!Q16),'MiT Strom Pipeline'!Q16,0),"")</f>
        <v/>
      </c>
      <c r="H149" s="34">
        <f>IF(('MiT Strom Pipeline'!R16="follow-up")+('MiT Strom Pipeline'!R16="Evaluation")+('MiT Strom Pipeline'!R16="tbd")+('MiT Strom Pipeline'!R16="In evaluation")&gt;0,'MiT Strom Pipeline'!R16,"")</f>
        <v/>
      </c>
      <c r="I149" s="34">
        <f>IF(('MiT Strom Pipeline'!R16="follow-up")+('MiT Strom Pipeline'!R16="Evaluation")+('MiT Strom Pipeline'!R16="tbd")+('MiT Strom Pipeline'!R16="In evaluation")&gt;0,'MiT Strom Pipeline'!S16,"")</f>
        <v/>
      </c>
      <c r="J149" s="35">
        <f>IF(('MiT Strom Pipeline'!R16="follow-up")+('MiT Strom Pipeline'!R16="Evaluation")+('MiT Strom Pipeline'!R16="tbd")+('MiT Strom Pipeline'!R16="In evaluation")&gt;0,IF(LEN('MiT Strom Pipeline'!V16)&gt;0,LEFT('MiT Strom Pipeline'!V16,55),""),"")</f>
        <v/>
      </c>
    </row>
    <row r="150" hidden="1" ht="15.75" customHeight="1">
      <c r="A150" s="22">
        <f>IF(('MiT Strom Pipeline'!R17="follow-up")+('MiT Strom Pipeline'!R17="Evaluation")+('MiT Strom Pipeline'!R17="tbd")+('MiT Strom Pipeline'!R17="In evaluation")&gt;0,IF(ISNUMBER('MiT Strom Pipeline'!A17),'MiT Strom Pipeline'!A17,""),"")</f>
        <v/>
      </c>
      <c r="B150" s="23">
        <f>IF(('MiT Strom Pipeline'!R17="follow-up")+('MiT Strom Pipeline'!R17="Evaluation")+('MiT Strom Pipeline'!R17="tbd")+('MiT Strom Pipeline'!R17="In evaluation")&gt;0,'MiT Strom Pipeline'!B17,"")</f>
        <v/>
      </c>
      <c r="C150" s="22">
        <f>IF(('MiT Strom Pipeline'!R17="follow-up")+('MiT Strom Pipeline'!R17="Evaluation")+('MiT Strom Pipeline'!R17="tbd")+('MiT Strom Pipeline'!R17="In evaluation")&gt;0,'MiT Strom Pipeline'!C17,"")</f>
        <v/>
      </c>
      <c r="D150" s="23">
        <f>IF(('MiT Strom Pipeline'!R17="follow-up")+('MiT Strom Pipeline'!R17="Evaluation")+('MiT Strom Pipeline'!R17="tbd")+('MiT Strom Pipeline'!R17="In evaluation")&gt;0,'MiT Strom Pipeline'!D17,"")</f>
        <v/>
      </c>
      <c r="E150" s="23">
        <f>IF(('MiT Strom Pipeline'!R17="follow-up")+('MiT Strom Pipeline'!R17="Evaluation")+('MiT Strom Pipeline'!R17="tbd")+('MiT Strom Pipeline'!R17="In evaluation")&gt;0,'MiT Strom Pipeline'!E17,"")</f>
        <v/>
      </c>
      <c r="F150" s="49">
        <f>IF(('MiT Strom Pipeline'!R17="follow-up")+('MiT Strom Pipeline'!R17="Evaluation")+('MiT Strom Pipeline'!R17="tbd")+('MiT Strom Pipeline'!R17="In evaluation")&gt;0,IF(ISNUMBER('MiT Strom Pipeline'!I17),'MiT Strom Pipeline'!I17,0),"")</f>
        <v/>
      </c>
      <c r="G150" s="49">
        <f>IF(('MiT Strom Pipeline'!R17="follow-up")+('MiT Strom Pipeline'!R17="Evaluation")+('MiT Strom Pipeline'!R17="tbd")+('MiT Strom Pipeline'!R17="In evaluation")&gt;0,IF(ISNUMBER('MiT Strom Pipeline'!Q17),'MiT Strom Pipeline'!Q17,0),"")</f>
        <v/>
      </c>
      <c r="H150" s="22">
        <f>IF(('MiT Strom Pipeline'!R17="follow-up")+('MiT Strom Pipeline'!R17="Evaluation")+('MiT Strom Pipeline'!R17="tbd")+('MiT Strom Pipeline'!R17="In evaluation")&gt;0,'MiT Strom Pipeline'!R17,"")</f>
        <v/>
      </c>
      <c r="I150" s="22">
        <f>IF(('MiT Strom Pipeline'!R17="follow-up")+('MiT Strom Pipeline'!R17="Evaluation")+('MiT Strom Pipeline'!R17="tbd")+('MiT Strom Pipeline'!R17="In evaluation")&gt;0,'MiT Strom Pipeline'!S17,"")</f>
        <v/>
      </c>
      <c r="J150" s="23">
        <f>IF(('MiT Strom Pipeline'!R17="follow-up")+('MiT Strom Pipeline'!R17="Evaluation")+('MiT Strom Pipeline'!R17="tbd")+('MiT Strom Pipeline'!R17="In evaluation")&gt;0,IF(LEN('MiT Strom Pipeline'!V17)&gt;0,LEFT('MiT Strom Pipeline'!V17,55),""),"")</f>
        <v/>
      </c>
    </row>
    <row r="151" hidden="1" ht="15.75" customHeight="1">
      <c r="A151" s="34">
        <f>IF(('MiT Strom Pipeline'!R18="follow-up")+('MiT Strom Pipeline'!R18="Evaluation")+('MiT Strom Pipeline'!R18="tbd")+('MiT Strom Pipeline'!R18="In evaluation")&gt;0,IF(ISNUMBER('MiT Strom Pipeline'!A18),'MiT Strom Pipeline'!A18,""),"")</f>
        <v/>
      </c>
      <c r="B151" s="35">
        <f>IF(('MiT Strom Pipeline'!R18="follow-up")+('MiT Strom Pipeline'!R18="Evaluation")+('MiT Strom Pipeline'!R18="tbd")+('MiT Strom Pipeline'!R18="In evaluation")&gt;0,'MiT Strom Pipeline'!B18,"")</f>
        <v/>
      </c>
      <c r="C151" s="34">
        <f>IF(('MiT Strom Pipeline'!R18="follow-up")+('MiT Strom Pipeline'!R18="Evaluation")+('MiT Strom Pipeline'!R18="tbd")+('MiT Strom Pipeline'!R18="In evaluation")&gt;0,'MiT Strom Pipeline'!C18,"")</f>
        <v/>
      </c>
      <c r="D151" s="35">
        <f>IF(('MiT Strom Pipeline'!R18="follow-up")+('MiT Strom Pipeline'!R18="Evaluation")+('MiT Strom Pipeline'!R18="tbd")+('MiT Strom Pipeline'!R18="In evaluation")&gt;0,'MiT Strom Pipeline'!D18,"")</f>
        <v/>
      </c>
      <c r="E151" s="35">
        <f>IF(('MiT Strom Pipeline'!R18="follow-up")+('MiT Strom Pipeline'!R18="Evaluation")+('MiT Strom Pipeline'!R18="tbd")+('MiT Strom Pipeline'!R18="In evaluation")&gt;0,'MiT Strom Pipeline'!E18,"")</f>
        <v/>
      </c>
      <c r="F151" s="55">
        <f>IF(('MiT Strom Pipeline'!R18="follow-up")+('MiT Strom Pipeline'!R18="Evaluation")+('MiT Strom Pipeline'!R18="tbd")+('MiT Strom Pipeline'!R18="In evaluation")&gt;0,IF(ISNUMBER('MiT Strom Pipeline'!I18),'MiT Strom Pipeline'!I18,0),"")</f>
        <v/>
      </c>
      <c r="G151" s="55">
        <f>IF(('MiT Strom Pipeline'!R18="follow-up")+('MiT Strom Pipeline'!R18="Evaluation")+('MiT Strom Pipeline'!R18="tbd")+('MiT Strom Pipeline'!R18="In evaluation")&gt;0,IF(ISNUMBER('MiT Strom Pipeline'!Q18),'MiT Strom Pipeline'!Q18,0),"")</f>
        <v/>
      </c>
      <c r="H151" s="34">
        <f>IF(('MiT Strom Pipeline'!R18="follow-up")+('MiT Strom Pipeline'!R18="Evaluation")+('MiT Strom Pipeline'!R18="tbd")+('MiT Strom Pipeline'!R18="In evaluation")&gt;0,'MiT Strom Pipeline'!R18,"")</f>
        <v/>
      </c>
      <c r="I151" s="34">
        <f>IF(('MiT Strom Pipeline'!R18="follow-up")+('MiT Strom Pipeline'!R18="Evaluation")+('MiT Strom Pipeline'!R18="tbd")+('MiT Strom Pipeline'!R18="In evaluation")&gt;0,'MiT Strom Pipeline'!S18,"")</f>
        <v/>
      </c>
      <c r="J151" s="35">
        <f>IF(('MiT Strom Pipeline'!R18="follow-up")+('MiT Strom Pipeline'!R18="Evaluation")+('MiT Strom Pipeline'!R18="tbd")+('MiT Strom Pipeline'!R18="In evaluation")&gt;0,IF(LEN('MiT Strom Pipeline'!V18)&gt;0,LEFT('MiT Strom Pipeline'!V18,55),""),"")</f>
        <v/>
      </c>
    </row>
    <row r="152" hidden="1" ht="15.75" customHeight="1">
      <c r="A152" s="22">
        <f>IF(('MiT Strom Pipeline'!R19="follow-up")+('MiT Strom Pipeline'!R19="Evaluation")+('MiT Strom Pipeline'!R19="tbd")+('MiT Strom Pipeline'!R19="In evaluation")&gt;0,IF(ISNUMBER('MiT Strom Pipeline'!A19),'MiT Strom Pipeline'!A19,""),"")</f>
        <v/>
      </c>
      <c r="B152" s="23">
        <f>IF(('MiT Strom Pipeline'!R19="follow-up")+('MiT Strom Pipeline'!R19="Evaluation")+('MiT Strom Pipeline'!R19="tbd")+('MiT Strom Pipeline'!R19="In evaluation")&gt;0,'MiT Strom Pipeline'!B19,"")</f>
        <v/>
      </c>
      <c r="C152" s="22">
        <f>IF(('MiT Strom Pipeline'!R19="follow-up")+('MiT Strom Pipeline'!R19="Evaluation")+('MiT Strom Pipeline'!R19="tbd")+('MiT Strom Pipeline'!R19="In evaluation")&gt;0,'MiT Strom Pipeline'!C19,"")</f>
        <v/>
      </c>
      <c r="D152" s="23">
        <f>IF(('MiT Strom Pipeline'!R19="follow-up")+('MiT Strom Pipeline'!R19="Evaluation")+('MiT Strom Pipeline'!R19="tbd")+('MiT Strom Pipeline'!R19="In evaluation")&gt;0,'MiT Strom Pipeline'!D19,"")</f>
        <v/>
      </c>
      <c r="E152" s="23">
        <f>IF(('MiT Strom Pipeline'!R19="follow-up")+('MiT Strom Pipeline'!R19="Evaluation")+('MiT Strom Pipeline'!R19="tbd")+('MiT Strom Pipeline'!R19="In evaluation")&gt;0,'MiT Strom Pipeline'!E19,"")</f>
        <v/>
      </c>
      <c r="F152" s="49">
        <f>IF(('MiT Strom Pipeline'!R19="follow-up")+('MiT Strom Pipeline'!R19="Evaluation")+('MiT Strom Pipeline'!R19="tbd")+('MiT Strom Pipeline'!R19="In evaluation")&gt;0,IF(ISNUMBER('MiT Strom Pipeline'!I19),'MiT Strom Pipeline'!I19,0),"")</f>
        <v/>
      </c>
      <c r="G152" s="49">
        <f>IF(('MiT Strom Pipeline'!R19="follow-up")+('MiT Strom Pipeline'!R19="Evaluation")+('MiT Strom Pipeline'!R19="tbd")+('MiT Strom Pipeline'!R19="In evaluation")&gt;0,IF(ISNUMBER('MiT Strom Pipeline'!Q19),'MiT Strom Pipeline'!Q19,0),"")</f>
        <v/>
      </c>
      <c r="H152" s="22">
        <f>IF(('MiT Strom Pipeline'!R19="follow-up")+('MiT Strom Pipeline'!R19="Evaluation")+('MiT Strom Pipeline'!R19="tbd")+('MiT Strom Pipeline'!R19="In evaluation")&gt;0,'MiT Strom Pipeline'!R19,"")</f>
        <v/>
      </c>
      <c r="I152" s="22">
        <f>IF(('MiT Strom Pipeline'!R19="follow-up")+('MiT Strom Pipeline'!R19="Evaluation")+('MiT Strom Pipeline'!R19="tbd")+('MiT Strom Pipeline'!R19="In evaluation")&gt;0,'MiT Strom Pipeline'!S19,"")</f>
        <v/>
      </c>
      <c r="J152" s="23">
        <f>IF(('MiT Strom Pipeline'!R19="follow-up")+('MiT Strom Pipeline'!R19="Evaluation")+('MiT Strom Pipeline'!R19="tbd")+('MiT Strom Pipeline'!R19="In evaluation")&gt;0,IF(LEN('MiT Strom Pipeline'!V19)&gt;0,LEFT('MiT Strom Pipeline'!V19,55),""),"")</f>
        <v/>
      </c>
    </row>
    <row r="153" hidden="1" ht="15.75" customHeight="1">
      <c r="A153" s="34">
        <f>IF(('MiT Strom Pipeline'!R20="follow-up")+('MiT Strom Pipeline'!R20="Evaluation")+('MiT Strom Pipeline'!R20="tbd")+('MiT Strom Pipeline'!R20="In evaluation")&gt;0,IF(ISNUMBER('MiT Strom Pipeline'!A20),'MiT Strom Pipeline'!A20,""),"")</f>
        <v/>
      </c>
      <c r="B153" s="35">
        <f>IF(('MiT Strom Pipeline'!R20="follow-up")+('MiT Strom Pipeline'!R20="Evaluation")+('MiT Strom Pipeline'!R20="tbd")+('MiT Strom Pipeline'!R20="In evaluation")&gt;0,'MiT Strom Pipeline'!B20,"")</f>
        <v/>
      </c>
      <c r="C153" s="34">
        <f>IF(('MiT Strom Pipeline'!R20="follow-up")+('MiT Strom Pipeline'!R20="Evaluation")+('MiT Strom Pipeline'!R20="tbd")+('MiT Strom Pipeline'!R20="In evaluation")&gt;0,'MiT Strom Pipeline'!C20,"")</f>
        <v/>
      </c>
      <c r="D153" s="35">
        <f>IF(('MiT Strom Pipeline'!R20="follow-up")+('MiT Strom Pipeline'!R20="Evaluation")+('MiT Strom Pipeline'!R20="tbd")+('MiT Strom Pipeline'!R20="In evaluation")&gt;0,'MiT Strom Pipeline'!D20,"")</f>
        <v/>
      </c>
      <c r="E153" s="35">
        <f>IF(('MiT Strom Pipeline'!R20="follow-up")+('MiT Strom Pipeline'!R20="Evaluation")+('MiT Strom Pipeline'!R20="tbd")+('MiT Strom Pipeline'!R20="In evaluation")&gt;0,'MiT Strom Pipeline'!E20,"")</f>
        <v/>
      </c>
      <c r="F153" s="55">
        <f>IF(('MiT Strom Pipeline'!R20="follow-up")+('MiT Strom Pipeline'!R20="Evaluation")+('MiT Strom Pipeline'!R20="tbd")+('MiT Strom Pipeline'!R20="In evaluation")&gt;0,IF(ISNUMBER('MiT Strom Pipeline'!I20),'MiT Strom Pipeline'!I20,0),"")</f>
        <v/>
      </c>
      <c r="G153" s="55">
        <f>IF(('MiT Strom Pipeline'!R20="follow-up")+('MiT Strom Pipeline'!R20="Evaluation")+('MiT Strom Pipeline'!R20="tbd")+('MiT Strom Pipeline'!R20="In evaluation")&gt;0,IF(ISNUMBER('MiT Strom Pipeline'!Q20),'MiT Strom Pipeline'!Q20,0),"")</f>
        <v/>
      </c>
      <c r="H153" s="34">
        <f>IF(('MiT Strom Pipeline'!R20="follow-up")+('MiT Strom Pipeline'!R20="Evaluation")+('MiT Strom Pipeline'!R20="tbd")+('MiT Strom Pipeline'!R20="In evaluation")&gt;0,'MiT Strom Pipeline'!R20,"")</f>
        <v/>
      </c>
      <c r="I153" s="34">
        <f>IF(('MiT Strom Pipeline'!R20="follow-up")+('MiT Strom Pipeline'!R20="Evaluation")+('MiT Strom Pipeline'!R20="tbd")+('MiT Strom Pipeline'!R20="In evaluation")&gt;0,'MiT Strom Pipeline'!S20,"")</f>
        <v/>
      </c>
      <c r="J153" s="35">
        <f>IF(('MiT Strom Pipeline'!R20="follow-up")+('MiT Strom Pipeline'!R20="Evaluation")+('MiT Strom Pipeline'!R20="tbd")+('MiT Strom Pipeline'!R20="In evaluation")&gt;0,IF(LEN('MiT Strom Pipeline'!V20)&gt;0,LEFT('MiT Strom Pipeline'!V20,55),""),"")</f>
        <v/>
      </c>
    </row>
    <row r="154" ht="15.75" customHeight="1">
      <c r="A154" s="22">
        <f>IF(('MiT Strom Pipeline'!R21="follow-up")+('MiT Strom Pipeline'!R21="Evaluation")+('MiT Strom Pipeline'!R21="tbd")+('MiT Strom Pipeline'!R21="In evaluation")&gt;0,IF(ISNUMBER('MiT Strom Pipeline'!A21),'MiT Strom Pipeline'!A21,""),"")</f>
        <v/>
      </c>
      <c r="B154" s="23">
        <f>IF(('MiT Strom Pipeline'!R21="follow-up")+('MiT Strom Pipeline'!R21="Evaluation")+('MiT Strom Pipeline'!R21="tbd")+('MiT Strom Pipeline'!R21="In evaluation")&gt;0,'MiT Strom Pipeline'!B21,"")</f>
        <v/>
      </c>
      <c r="C154" s="22">
        <f>IF(('MiT Strom Pipeline'!R21="follow-up")+('MiT Strom Pipeline'!R21="Evaluation")+('MiT Strom Pipeline'!R21="tbd")+('MiT Strom Pipeline'!R21="In evaluation")&gt;0,'MiT Strom Pipeline'!C21,"")</f>
        <v/>
      </c>
      <c r="D154" s="23">
        <f>IF(('MiT Strom Pipeline'!R21="follow-up")+('MiT Strom Pipeline'!R21="Evaluation")+('MiT Strom Pipeline'!R21="tbd")+('MiT Strom Pipeline'!R21="In evaluation")&gt;0,'MiT Strom Pipeline'!D21,"")</f>
        <v/>
      </c>
      <c r="E154" s="23">
        <f>IF(('MiT Strom Pipeline'!R21="follow-up")+('MiT Strom Pipeline'!R21="Evaluation")+('MiT Strom Pipeline'!R21="tbd")+('MiT Strom Pipeline'!R21="In evaluation")&gt;0,'MiT Strom Pipeline'!E21,"")</f>
        <v/>
      </c>
      <c r="F154" s="49">
        <f>IF(('MiT Strom Pipeline'!R21="follow-up")+('MiT Strom Pipeline'!R21="Evaluation")+('MiT Strom Pipeline'!R21="tbd")+('MiT Strom Pipeline'!R21="In evaluation")&gt;0,IF(ISNUMBER('MiT Strom Pipeline'!I21),'MiT Strom Pipeline'!I21,0),"")</f>
        <v/>
      </c>
      <c r="G154" s="49">
        <f>IF(('MiT Strom Pipeline'!R21="follow-up")+('MiT Strom Pipeline'!R21="Evaluation")+('MiT Strom Pipeline'!R21="tbd")+('MiT Strom Pipeline'!R21="In evaluation")&gt;0,IF(ISNUMBER('MiT Strom Pipeline'!Q21),'MiT Strom Pipeline'!Q21,0),"")</f>
        <v/>
      </c>
      <c r="H154" s="22">
        <f>IF(('MiT Strom Pipeline'!R21="follow-up")+('MiT Strom Pipeline'!R21="Evaluation")+('MiT Strom Pipeline'!R21="tbd")+('MiT Strom Pipeline'!R21="In evaluation")&gt;0,'MiT Strom Pipeline'!R21,"")</f>
        <v/>
      </c>
      <c r="I154" s="22">
        <f>IF(('MiT Strom Pipeline'!R21="follow-up")+('MiT Strom Pipeline'!R21="Evaluation")+('MiT Strom Pipeline'!R21="tbd")+('MiT Strom Pipeline'!R21="In evaluation")&gt;0,'MiT Strom Pipeline'!S21,"")</f>
        <v/>
      </c>
      <c r="J154" s="23">
        <f>IF(('MiT Strom Pipeline'!R21="follow-up")+('MiT Strom Pipeline'!R21="Evaluation")+('MiT Strom Pipeline'!R21="tbd")+('MiT Strom Pipeline'!R21="In evaluation")&gt;0,IF(LEN('MiT Strom Pipeline'!V21)&gt;0,LEFT('MiT Strom Pipeline'!V21,55),""),"")</f>
        <v/>
      </c>
    </row>
    <row r="155" hidden="1" ht="15.75" customHeight="1">
      <c r="A155" s="34">
        <f>IF(('MiT Strom Pipeline'!R22="follow-up")+('MiT Strom Pipeline'!R22="Evaluation")+('MiT Strom Pipeline'!R22="tbd")+('MiT Strom Pipeline'!R22="In evaluation")&gt;0,IF(ISNUMBER('MiT Strom Pipeline'!A22),'MiT Strom Pipeline'!A22,""),"")</f>
        <v/>
      </c>
      <c r="B155" s="35">
        <f>IF(('MiT Strom Pipeline'!R22="follow-up")+('MiT Strom Pipeline'!R22="Evaluation")+('MiT Strom Pipeline'!R22="tbd")+('MiT Strom Pipeline'!R22="In evaluation")&gt;0,'MiT Strom Pipeline'!B22,"")</f>
        <v/>
      </c>
      <c r="C155" s="34">
        <f>IF(('MiT Strom Pipeline'!R22="follow-up")+('MiT Strom Pipeline'!R22="Evaluation")+('MiT Strom Pipeline'!R22="tbd")+('MiT Strom Pipeline'!R22="In evaluation")&gt;0,'MiT Strom Pipeline'!C22,"")</f>
        <v/>
      </c>
      <c r="D155" s="35">
        <f>IF(('MiT Strom Pipeline'!R22="follow-up")+('MiT Strom Pipeline'!R22="Evaluation")+('MiT Strom Pipeline'!R22="tbd")+('MiT Strom Pipeline'!R22="In evaluation")&gt;0,'MiT Strom Pipeline'!D22,"")</f>
        <v/>
      </c>
      <c r="E155" s="35">
        <f>IF(('MiT Strom Pipeline'!R22="follow-up")+('MiT Strom Pipeline'!R22="Evaluation")+('MiT Strom Pipeline'!R22="tbd")+('MiT Strom Pipeline'!R22="In evaluation")&gt;0,'MiT Strom Pipeline'!E22,"")</f>
        <v/>
      </c>
      <c r="F155" s="55">
        <f>IF(('MiT Strom Pipeline'!R22="follow-up")+('MiT Strom Pipeline'!R22="Evaluation")+('MiT Strom Pipeline'!R22="tbd")+('MiT Strom Pipeline'!R22="In evaluation")&gt;0,IF(ISNUMBER('MiT Strom Pipeline'!I22),'MiT Strom Pipeline'!I22,0),"")</f>
        <v/>
      </c>
      <c r="G155" s="55">
        <f>IF(('MiT Strom Pipeline'!R22="follow-up")+('MiT Strom Pipeline'!R22="Evaluation")+('MiT Strom Pipeline'!R22="tbd")+('MiT Strom Pipeline'!R22="In evaluation")&gt;0,IF(ISNUMBER('MiT Strom Pipeline'!Q22),'MiT Strom Pipeline'!Q22,0),"")</f>
        <v/>
      </c>
      <c r="H155" s="34">
        <f>IF(('MiT Strom Pipeline'!R22="follow-up")+('MiT Strom Pipeline'!R22="Evaluation")+('MiT Strom Pipeline'!R22="tbd")+('MiT Strom Pipeline'!R22="In evaluation")&gt;0,'MiT Strom Pipeline'!R22,"")</f>
        <v/>
      </c>
      <c r="I155" s="34">
        <f>IF(('MiT Strom Pipeline'!R22="follow-up")+('MiT Strom Pipeline'!R22="Evaluation")+('MiT Strom Pipeline'!R22="tbd")+('MiT Strom Pipeline'!R22="In evaluation")&gt;0,'MiT Strom Pipeline'!S22,"")</f>
        <v/>
      </c>
      <c r="J155" s="35">
        <f>IF(('MiT Strom Pipeline'!R22="follow-up")+('MiT Strom Pipeline'!R22="Evaluation")+('MiT Strom Pipeline'!R22="tbd")+('MiT Strom Pipeline'!R22="In evaluation")&gt;0,IF(LEN('MiT Strom Pipeline'!V22)&gt;0,LEFT('MiT Strom Pipeline'!V22,55),""),"")</f>
        <v/>
      </c>
    </row>
    <row r="156" hidden="1" ht="15.75" customHeight="1">
      <c r="A156" s="22">
        <f>IF(('MiT Strom Pipeline'!R23="follow-up")+('MiT Strom Pipeline'!R23="Evaluation")+('MiT Strom Pipeline'!R23="tbd")+('MiT Strom Pipeline'!R23="In evaluation")&gt;0,IF(ISNUMBER('MiT Strom Pipeline'!A23),'MiT Strom Pipeline'!A23,""),"")</f>
        <v/>
      </c>
      <c r="B156" s="23">
        <f>IF(('MiT Strom Pipeline'!R23="follow-up")+('MiT Strom Pipeline'!R23="Evaluation")+('MiT Strom Pipeline'!R23="tbd")+('MiT Strom Pipeline'!R23="In evaluation")&gt;0,'MiT Strom Pipeline'!B23,"")</f>
        <v/>
      </c>
      <c r="C156" s="22">
        <f>IF(('MiT Strom Pipeline'!R23="follow-up")+('MiT Strom Pipeline'!R23="Evaluation")+('MiT Strom Pipeline'!R23="tbd")+('MiT Strom Pipeline'!R23="In evaluation")&gt;0,'MiT Strom Pipeline'!C23,"")</f>
        <v/>
      </c>
      <c r="D156" s="23">
        <f>IF(('MiT Strom Pipeline'!R23="follow-up")+('MiT Strom Pipeline'!R23="Evaluation")+('MiT Strom Pipeline'!R23="tbd")+('MiT Strom Pipeline'!R23="In evaluation")&gt;0,'MiT Strom Pipeline'!D23,"")</f>
        <v/>
      </c>
      <c r="E156" s="23">
        <f>IF(('MiT Strom Pipeline'!R23="follow-up")+('MiT Strom Pipeline'!R23="Evaluation")+('MiT Strom Pipeline'!R23="tbd")+('MiT Strom Pipeline'!R23="In evaluation")&gt;0,'MiT Strom Pipeline'!E23,"")</f>
        <v/>
      </c>
      <c r="F156" s="49">
        <f>IF(('MiT Strom Pipeline'!R23="follow-up")+('MiT Strom Pipeline'!R23="Evaluation")+('MiT Strom Pipeline'!R23="tbd")+('MiT Strom Pipeline'!R23="In evaluation")&gt;0,IF(ISNUMBER('MiT Strom Pipeline'!I23),'MiT Strom Pipeline'!I23,0),"")</f>
        <v/>
      </c>
      <c r="G156" s="49">
        <f>IF(('MiT Strom Pipeline'!R23="follow-up")+('MiT Strom Pipeline'!R23="Evaluation")+('MiT Strom Pipeline'!R23="tbd")+('MiT Strom Pipeline'!R23="In evaluation")&gt;0,IF(ISNUMBER('MiT Strom Pipeline'!Q23),'MiT Strom Pipeline'!Q23,0),"")</f>
        <v/>
      </c>
      <c r="H156" s="22">
        <f>IF(('MiT Strom Pipeline'!R23="follow-up")+('MiT Strom Pipeline'!R23="Evaluation")+('MiT Strom Pipeline'!R23="tbd")+('MiT Strom Pipeline'!R23="In evaluation")&gt;0,'MiT Strom Pipeline'!R23,"")</f>
        <v/>
      </c>
      <c r="I156" s="22">
        <f>IF(('MiT Strom Pipeline'!R23="follow-up")+('MiT Strom Pipeline'!R23="Evaluation")+('MiT Strom Pipeline'!R23="tbd")+('MiT Strom Pipeline'!R23="In evaluation")&gt;0,'MiT Strom Pipeline'!S23,"")</f>
        <v/>
      </c>
      <c r="J156" s="23">
        <f>IF(('MiT Strom Pipeline'!R23="follow-up")+('MiT Strom Pipeline'!R23="Evaluation")+('MiT Strom Pipeline'!R23="tbd")+('MiT Strom Pipeline'!R23="In evaluation")&gt;0,IF(LEN('MiT Strom Pipeline'!V23)&gt;0,LEFT('MiT Strom Pipeline'!V23,55),""),"")</f>
        <v/>
      </c>
    </row>
    <row r="157" hidden="1" ht="15.75" customHeight="1">
      <c r="A157" s="34">
        <f>IF(('MiT Strom Pipeline'!R24="follow-up")+('MiT Strom Pipeline'!R24="Evaluation")+('MiT Strom Pipeline'!R24="tbd")+('MiT Strom Pipeline'!R24="In evaluation")&gt;0,IF(ISNUMBER('MiT Strom Pipeline'!A24),'MiT Strom Pipeline'!A24,""),"")</f>
        <v/>
      </c>
      <c r="B157" s="35">
        <f>IF(('MiT Strom Pipeline'!R24="follow-up")+('MiT Strom Pipeline'!R24="Evaluation")+('MiT Strom Pipeline'!R24="tbd")+('MiT Strom Pipeline'!R24="In evaluation")&gt;0,'MiT Strom Pipeline'!B24,"")</f>
        <v/>
      </c>
      <c r="C157" s="34">
        <f>IF(('MiT Strom Pipeline'!R24="follow-up")+('MiT Strom Pipeline'!R24="Evaluation")+('MiT Strom Pipeline'!R24="tbd")+('MiT Strom Pipeline'!R24="In evaluation")&gt;0,'MiT Strom Pipeline'!C24,"")</f>
        <v/>
      </c>
      <c r="D157" s="35">
        <f>IF(('MiT Strom Pipeline'!R24="follow-up")+('MiT Strom Pipeline'!R24="Evaluation")+('MiT Strom Pipeline'!R24="tbd")+('MiT Strom Pipeline'!R24="In evaluation")&gt;0,'MiT Strom Pipeline'!D24,"")</f>
        <v/>
      </c>
      <c r="E157" s="35">
        <f>IF(('MiT Strom Pipeline'!R24="follow-up")+('MiT Strom Pipeline'!R24="Evaluation")+('MiT Strom Pipeline'!R24="tbd")+('MiT Strom Pipeline'!R24="In evaluation")&gt;0,'MiT Strom Pipeline'!E24,"")</f>
        <v/>
      </c>
      <c r="F157" s="55">
        <f>IF(('MiT Strom Pipeline'!R24="follow-up")+('MiT Strom Pipeline'!R24="Evaluation")+('MiT Strom Pipeline'!R24="tbd")+('MiT Strom Pipeline'!R24="In evaluation")&gt;0,IF(ISNUMBER('MiT Strom Pipeline'!I24),'MiT Strom Pipeline'!I24,0),"")</f>
        <v/>
      </c>
      <c r="G157" s="55">
        <f>IF(('MiT Strom Pipeline'!R24="follow-up")+('MiT Strom Pipeline'!R24="Evaluation")+('MiT Strom Pipeline'!R24="tbd")+('MiT Strom Pipeline'!R24="In evaluation")&gt;0,IF(ISNUMBER('MiT Strom Pipeline'!Q24),'MiT Strom Pipeline'!Q24,0),"")</f>
        <v/>
      </c>
      <c r="H157" s="34">
        <f>IF(('MiT Strom Pipeline'!R24="follow-up")+('MiT Strom Pipeline'!R24="Evaluation")+('MiT Strom Pipeline'!R24="tbd")+('MiT Strom Pipeline'!R24="In evaluation")&gt;0,'MiT Strom Pipeline'!R24,"")</f>
        <v/>
      </c>
      <c r="I157" s="34">
        <f>IF(('MiT Strom Pipeline'!R24="follow-up")+('MiT Strom Pipeline'!R24="Evaluation")+('MiT Strom Pipeline'!R24="tbd")+('MiT Strom Pipeline'!R24="In evaluation")&gt;0,'MiT Strom Pipeline'!S24,"")</f>
        <v/>
      </c>
      <c r="J157" s="35">
        <f>IF(('MiT Strom Pipeline'!R24="follow-up")+('MiT Strom Pipeline'!R24="Evaluation")+('MiT Strom Pipeline'!R24="tbd")+('MiT Strom Pipeline'!R24="In evaluation")&gt;0,IF(LEN('MiT Strom Pipeline'!V24)&gt;0,LEFT('MiT Strom Pipeline'!V24,55),""),"")</f>
        <v/>
      </c>
    </row>
    <row r="158" hidden="1" ht="15.75" customHeight="1">
      <c r="A158" s="22">
        <f>IF(('MiT Strom Pipeline'!R25="follow-up")+('MiT Strom Pipeline'!R25="Evaluation")+('MiT Strom Pipeline'!R25="tbd")+('MiT Strom Pipeline'!R25="In evaluation")&gt;0,IF(ISNUMBER('MiT Strom Pipeline'!A25),'MiT Strom Pipeline'!A25,""),"")</f>
        <v/>
      </c>
      <c r="B158" s="23">
        <f>IF(('MiT Strom Pipeline'!R25="follow-up")+('MiT Strom Pipeline'!R25="Evaluation")+('MiT Strom Pipeline'!R25="tbd")+('MiT Strom Pipeline'!R25="In evaluation")&gt;0,'MiT Strom Pipeline'!B25,"")</f>
        <v/>
      </c>
      <c r="C158" s="22">
        <f>IF(('MiT Strom Pipeline'!R25="follow-up")+('MiT Strom Pipeline'!R25="Evaluation")+('MiT Strom Pipeline'!R25="tbd")+('MiT Strom Pipeline'!R25="In evaluation")&gt;0,'MiT Strom Pipeline'!C25,"")</f>
        <v/>
      </c>
      <c r="D158" s="23">
        <f>IF(('MiT Strom Pipeline'!R25="follow-up")+('MiT Strom Pipeline'!R25="Evaluation")+('MiT Strom Pipeline'!R25="tbd")+('MiT Strom Pipeline'!R25="In evaluation")&gt;0,'MiT Strom Pipeline'!D25,"")</f>
        <v/>
      </c>
      <c r="E158" s="23">
        <f>IF(('MiT Strom Pipeline'!R25="follow-up")+('MiT Strom Pipeline'!R25="Evaluation")+('MiT Strom Pipeline'!R25="tbd")+('MiT Strom Pipeline'!R25="In evaluation")&gt;0,'MiT Strom Pipeline'!E25,"")</f>
        <v/>
      </c>
      <c r="F158" s="49">
        <f>IF(('MiT Strom Pipeline'!R25="follow-up")+('MiT Strom Pipeline'!R25="Evaluation")+('MiT Strom Pipeline'!R25="tbd")+('MiT Strom Pipeline'!R25="In evaluation")&gt;0,IF(ISNUMBER('MiT Strom Pipeline'!I25),'MiT Strom Pipeline'!I25,0),"")</f>
        <v/>
      </c>
      <c r="G158" s="49">
        <f>IF(('MiT Strom Pipeline'!R25="follow-up")+('MiT Strom Pipeline'!R25="Evaluation")+('MiT Strom Pipeline'!R25="tbd")+('MiT Strom Pipeline'!R25="In evaluation")&gt;0,IF(ISNUMBER('MiT Strom Pipeline'!Q25),'MiT Strom Pipeline'!Q25,0),"")</f>
        <v/>
      </c>
      <c r="H158" s="22">
        <f>IF(('MiT Strom Pipeline'!R25="follow-up")+('MiT Strom Pipeline'!R25="Evaluation")+('MiT Strom Pipeline'!R25="tbd")+('MiT Strom Pipeline'!R25="In evaluation")&gt;0,'MiT Strom Pipeline'!R25,"")</f>
        <v/>
      </c>
      <c r="I158" s="22">
        <f>IF(('MiT Strom Pipeline'!R25="follow-up")+('MiT Strom Pipeline'!R25="Evaluation")+('MiT Strom Pipeline'!R25="tbd")+('MiT Strom Pipeline'!R25="In evaluation")&gt;0,'MiT Strom Pipeline'!S25,"")</f>
        <v/>
      </c>
      <c r="J158" s="23">
        <f>IF(('MiT Strom Pipeline'!R25="follow-up")+('MiT Strom Pipeline'!R25="Evaluation")+('MiT Strom Pipeline'!R25="tbd")+('MiT Strom Pipeline'!R25="In evaluation")&gt;0,IF(LEN('MiT Strom Pipeline'!V25)&gt;0,LEFT('MiT Strom Pipeline'!V25,55),""),"")</f>
        <v/>
      </c>
    </row>
    <row r="159" hidden="1" ht="15.75" customHeight="1">
      <c r="A159" s="34">
        <f>IF(('MiT Strom Pipeline'!R26="follow-up")+('MiT Strom Pipeline'!R26="Evaluation")+('MiT Strom Pipeline'!R26="tbd")+('MiT Strom Pipeline'!R26="In evaluation")&gt;0,IF(ISNUMBER('MiT Strom Pipeline'!A26),'MiT Strom Pipeline'!A26,""),"")</f>
        <v/>
      </c>
      <c r="B159" s="35">
        <f>IF(('MiT Strom Pipeline'!R26="follow-up")+('MiT Strom Pipeline'!R26="Evaluation")+('MiT Strom Pipeline'!R26="tbd")+('MiT Strom Pipeline'!R26="In evaluation")&gt;0,'MiT Strom Pipeline'!B26,"")</f>
        <v/>
      </c>
      <c r="C159" s="34">
        <f>IF(('MiT Strom Pipeline'!R26="follow-up")+('MiT Strom Pipeline'!R26="Evaluation")+('MiT Strom Pipeline'!R26="tbd")+('MiT Strom Pipeline'!R26="In evaluation")&gt;0,'MiT Strom Pipeline'!C26,"")</f>
        <v/>
      </c>
      <c r="D159" s="35">
        <f>IF(('MiT Strom Pipeline'!R26="follow-up")+('MiT Strom Pipeline'!R26="Evaluation")+('MiT Strom Pipeline'!R26="tbd")+('MiT Strom Pipeline'!R26="In evaluation")&gt;0,'MiT Strom Pipeline'!D26,"")</f>
        <v/>
      </c>
      <c r="E159" s="35">
        <f>IF(('MiT Strom Pipeline'!R26="follow-up")+('MiT Strom Pipeline'!R26="Evaluation")+('MiT Strom Pipeline'!R26="tbd")+('MiT Strom Pipeline'!R26="In evaluation")&gt;0,'MiT Strom Pipeline'!E26,"")</f>
        <v/>
      </c>
      <c r="F159" s="55">
        <f>IF(('MiT Strom Pipeline'!R26="follow-up")+('MiT Strom Pipeline'!R26="Evaluation")+('MiT Strom Pipeline'!R26="tbd")+('MiT Strom Pipeline'!R26="In evaluation")&gt;0,IF(ISNUMBER('MiT Strom Pipeline'!I26),'MiT Strom Pipeline'!I26,0),"")</f>
        <v/>
      </c>
      <c r="G159" s="55">
        <f>IF(('MiT Strom Pipeline'!R26="follow-up")+('MiT Strom Pipeline'!R26="Evaluation")+('MiT Strom Pipeline'!R26="tbd")+('MiT Strom Pipeline'!R26="In evaluation")&gt;0,IF(ISNUMBER('MiT Strom Pipeline'!Q26),'MiT Strom Pipeline'!Q26,0),"")</f>
        <v/>
      </c>
      <c r="H159" s="34">
        <f>IF(('MiT Strom Pipeline'!R26="follow-up")+('MiT Strom Pipeline'!R26="Evaluation")+('MiT Strom Pipeline'!R26="tbd")+('MiT Strom Pipeline'!R26="In evaluation")&gt;0,'MiT Strom Pipeline'!R26,"")</f>
        <v/>
      </c>
      <c r="I159" s="34">
        <f>IF(('MiT Strom Pipeline'!R26="follow-up")+('MiT Strom Pipeline'!R26="Evaluation")+('MiT Strom Pipeline'!R26="tbd")+('MiT Strom Pipeline'!R26="In evaluation")&gt;0,'MiT Strom Pipeline'!S26,"")</f>
        <v/>
      </c>
      <c r="J159" s="35">
        <f>IF(('MiT Strom Pipeline'!R26="follow-up")+('MiT Strom Pipeline'!R26="Evaluation")+('MiT Strom Pipeline'!R26="tbd")+('MiT Strom Pipeline'!R26="In evaluation")&gt;0,IF(LEN('MiT Strom Pipeline'!V26)&gt;0,LEFT('MiT Strom Pipeline'!V26,55),""),"")</f>
        <v/>
      </c>
    </row>
    <row r="160" hidden="1" ht="15.75" customHeight="1">
      <c r="A160" s="22">
        <f>IF(('MiT Strom Pipeline'!R27="follow-up")+('MiT Strom Pipeline'!R27="Evaluation")+('MiT Strom Pipeline'!R27="tbd")+('MiT Strom Pipeline'!R27="In evaluation")&gt;0,IF(ISNUMBER('MiT Strom Pipeline'!A27),'MiT Strom Pipeline'!A27,""),"")</f>
        <v/>
      </c>
      <c r="B160" s="23">
        <f>IF(('MiT Strom Pipeline'!R27="follow-up")+('MiT Strom Pipeline'!R27="Evaluation")+('MiT Strom Pipeline'!R27="tbd")+('MiT Strom Pipeline'!R27="In evaluation")&gt;0,'MiT Strom Pipeline'!B27,"")</f>
        <v/>
      </c>
      <c r="C160" s="22">
        <f>IF(('MiT Strom Pipeline'!R27="follow-up")+('MiT Strom Pipeline'!R27="Evaluation")+('MiT Strom Pipeline'!R27="tbd")+('MiT Strom Pipeline'!R27="In evaluation")&gt;0,'MiT Strom Pipeline'!C27,"")</f>
        <v/>
      </c>
      <c r="D160" s="23">
        <f>IF(('MiT Strom Pipeline'!R27="follow-up")+('MiT Strom Pipeline'!R27="Evaluation")+('MiT Strom Pipeline'!R27="tbd")+('MiT Strom Pipeline'!R27="In evaluation")&gt;0,'MiT Strom Pipeline'!D27,"")</f>
        <v/>
      </c>
      <c r="E160" s="23">
        <f>IF(('MiT Strom Pipeline'!R27="follow-up")+('MiT Strom Pipeline'!R27="Evaluation")+('MiT Strom Pipeline'!R27="tbd")+('MiT Strom Pipeline'!R27="In evaluation")&gt;0,'MiT Strom Pipeline'!E27,"")</f>
        <v/>
      </c>
      <c r="F160" s="49">
        <f>IF(('MiT Strom Pipeline'!R27="follow-up")+('MiT Strom Pipeline'!R27="Evaluation")+('MiT Strom Pipeline'!R27="tbd")+('MiT Strom Pipeline'!R27="In evaluation")&gt;0,IF(ISNUMBER('MiT Strom Pipeline'!I27),'MiT Strom Pipeline'!I27,0),"")</f>
        <v/>
      </c>
      <c r="G160" s="49">
        <f>IF(('MiT Strom Pipeline'!R27="follow-up")+('MiT Strom Pipeline'!R27="Evaluation")+('MiT Strom Pipeline'!R27="tbd")+('MiT Strom Pipeline'!R27="In evaluation")&gt;0,IF(ISNUMBER('MiT Strom Pipeline'!Q27),'MiT Strom Pipeline'!Q27,0),"")</f>
        <v/>
      </c>
      <c r="H160" s="22">
        <f>IF(('MiT Strom Pipeline'!R27="follow-up")+('MiT Strom Pipeline'!R27="Evaluation")+('MiT Strom Pipeline'!R27="tbd")+('MiT Strom Pipeline'!R27="In evaluation")&gt;0,'MiT Strom Pipeline'!R27,"")</f>
        <v/>
      </c>
      <c r="I160" s="22">
        <f>IF(('MiT Strom Pipeline'!R27="follow-up")+('MiT Strom Pipeline'!R27="Evaluation")+('MiT Strom Pipeline'!R27="tbd")+('MiT Strom Pipeline'!R27="In evaluation")&gt;0,'MiT Strom Pipeline'!S27,"")</f>
        <v/>
      </c>
      <c r="J160" s="23">
        <f>IF(('MiT Strom Pipeline'!R27="follow-up")+('MiT Strom Pipeline'!R27="Evaluation")+('MiT Strom Pipeline'!R27="tbd")+('MiT Strom Pipeline'!R27="In evaluation")&gt;0,IF(LEN('MiT Strom Pipeline'!V27)&gt;0,LEFT('MiT Strom Pipeline'!V27,55),""),"")</f>
        <v/>
      </c>
    </row>
    <row r="161" hidden="1" ht="15.75" customHeight="1">
      <c r="A161" s="34">
        <f>IF(('MiT Strom Pipeline'!R28="follow-up")+('MiT Strom Pipeline'!R28="Evaluation")+('MiT Strom Pipeline'!R28="tbd")+('MiT Strom Pipeline'!R28="In evaluation")&gt;0,IF(ISNUMBER('MiT Strom Pipeline'!A28),'MiT Strom Pipeline'!A28,""),"")</f>
        <v/>
      </c>
      <c r="B161" s="35">
        <f>IF(('MiT Strom Pipeline'!R28="follow-up")+('MiT Strom Pipeline'!R28="Evaluation")+('MiT Strom Pipeline'!R28="tbd")+('MiT Strom Pipeline'!R28="In evaluation")&gt;0,'MiT Strom Pipeline'!B28,"")</f>
        <v/>
      </c>
      <c r="C161" s="34">
        <f>IF(('MiT Strom Pipeline'!R28="follow-up")+('MiT Strom Pipeline'!R28="Evaluation")+('MiT Strom Pipeline'!R28="tbd")+('MiT Strom Pipeline'!R28="In evaluation")&gt;0,'MiT Strom Pipeline'!C28,"")</f>
        <v/>
      </c>
      <c r="D161" s="35">
        <f>IF(('MiT Strom Pipeline'!R28="follow-up")+('MiT Strom Pipeline'!R28="Evaluation")+('MiT Strom Pipeline'!R28="tbd")+('MiT Strom Pipeline'!R28="In evaluation")&gt;0,'MiT Strom Pipeline'!D28,"")</f>
        <v/>
      </c>
      <c r="E161" s="35">
        <f>IF(('MiT Strom Pipeline'!R28="follow-up")+('MiT Strom Pipeline'!R28="Evaluation")+('MiT Strom Pipeline'!R28="tbd")+('MiT Strom Pipeline'!R28="In evaluation")&gt;0,'MiT Strom Pipeline'!E28,"")</f>
        <v/>
      </c>
      <c r="F161" s="55">
        <f>IF(('MiT Strom Pipeline'!R28="follow-up")+('MiT Strom Pipeline'!R28="Evaluation")+('MiT Strom Pipeline'!R28="tbd")+('MiT Strom Pipeline'!R28="In evaluation")&gt;0,IF(ISNUMBER('MiT Strom Pipeline'!I28),'MiT Strom Pipeline'!I28,0),"")</f>
        <v/>
      </c>
      <c r="G161" s="55">
        <f>IF(('MiT Strom Pipeline'!R28="follow-up")+('MiT Strom Pipeline'!R28="Evaluation")+('MiT Strom Pipeline'!R28="tbd")+('MiT Strom Pipeline'!R28="In evaluation")&gt;0,IF(ISNUMBER('MiT Strom Pipeline'!Q28),'MiT Strom Pipeline'!Q28,0),"")</f>
        <v/>
      </c>
      <c r="H161" s="34">
        <f>IF(('MiT Strom Pipeline'!R28="follow-up")+('MiT Strom Pipeline'!R28="Evaluation")+('MiT Strom Pipeline'!R28="tbd")+('MiT Strom Pipeline'!R28="In evaluation")&gt;0,'MiT Strom Pipeline'!R28,"")</f>
        <v/>
      </c>
      <c r="I161" s="34">
        <f>IF(('MiT Strom Pipeline'!R28="follow-up")+('MiT Strom Pipeline'!R28="Evaluation")+('MiT Strom Pipeline'!R28="tbd")+('MiT Strom Pipeline'!R28="In evaluation")&gt;0,'MiT Strom Pipeline'!S28,"")</f>
        <v/>
      </c>
      <c r="J161" s="35">
        <f>IF(('MiT Strom Pipeline'!R28="follow-up")+('MiT Strom Pipeline'!R28="Evaluation")+('MiT Strom Pipeline'!R28="tbd")+('MiT Strom Pipeline'!R28="In evaluation")&gt;0,IF(LEN('MiT Strom Pipeline'!V28)&gt;0,LEFT('MiT Strom Pipeline'!V28,55),""),"")</f>
        <v/>
      </c>
    </row>
    <row r="162" ht="15.75" customHeight="1">
      <c r="A162" s="22">
        <f>IF(('MiT Strom Pipeline'!R29="follow-up")+('MiT Strom Pipeline'!R29="Evaluation")+('MiT Strom Pipeline'!R29="tbd")+('MiT Strom Pipeline'!R29="In evaluation")&gt;0,IF(ISNUMBER('MiT Strom Pipeline'!A29),'MiT Strom Pipeline'!A29,""),"")</f>
        <v/>
      </c>
      <c r="B162" s="23">
        <f>IF(('MiT Strom Pipeline'!R29="follow-up")+('MiT Strom Pipeline'!R29="Evaluation")+('MiT Strom Pipeline'!R29="tbd")+('MiT Strom Pipeline'!R29="In evaluation")&gt;0,'MiT Strom Pipeline'!B29,"")</f>
        <v/>
      </c>
      <c r="C162" s="22">
        <f>IF(('MiT Strom Pipeline'!R29="follow-up")+('MiT Strom Pipeline'!R29="Evaluation")+('MiT Strom Pipeline'!R29="tbd")+('MiT Strom Pipeline'!R29="In evaluation")&gt;0,'MiT Strom Pipeline'!C29,"")</f>
        <v/>
      </c>
      <c r="D162" s="23">
        <f>IF(('MiT Strom Pipeline'!R29="follow-up")+('MiT Strom Pipeline'!R29="Evaluation")+('MiT Strom Pipeline'!R29="tbd")+('MiT Strom Pipeline'!R29="In evaluation")&gt;0,'MiT Strom Pipeline'!D29,"")</f>
        <v/>
      </c>
      <c r="E162" s="23">
        <f>IF(('MiT Strom Pipeline'!R29="follow-up")+('MiT Strom Pipeline'!R29="Evaluation")+('MiT Strom Pipeline'!R29="tbd")+('MiT Strom Pipeline'!R29="In evaluation")&gt;0,'MiT Strom Pipeline'!E29,"")</f>
        <v/>
      </c>
      <c r="F162" s="49">
        <f>IF(('MiT Strom Pipeline'!R29="follow-up")+('MiT Strom Pipeline'!R29="Evaluation")+('MiT Strom Pipeline'!R29="tbd")+('MiT Strom Pipeline'!R29="In evaluation")&gt;0,IF(ISNUMBER('MiT Strom Pipeline'!I29),'MiT Strom Pipeline'!I29,0),"")</f>
        <v/>
      </c>
      <c r="G162" s="49">
        <f>IF(('MiT Strom Pipeline'!R29="follow-up")+('MiT Strom Pipeline'!R29="Evaluation")+('MiT Strom Pipeline'!R29="tbd")+('MiT Strom Pipeline'!R29="In evaluation")&gt;0,IF(ISNUMBER('MiT Strom Pipeline'!Q29),'MiT Strom Pipeline'!Q29,0),"")</f>
        <v/>
      </c>
      <c r="H162" s="22">
        <f>IF(('MiT Strom Pipeline'!R29="follow-up")+('MiT Strom Pipeline'!R29="Evaluation")+('MiT Strom Pipeline'!R29="tbd")+('MiT Strom Pipeline'!R29="In evaluation")&gt;0,'MiT Strom Pipeline'!R29,"")</f>
        <v/>
      </c>
      <c r="I162" s="22">
        <f>IF(('MiT Strom Pipeline'!R29="follow-up")+('MiT Strom Pipeline'!R29="Evaluation")+('MiT Strom Pipeline'!R29="tbd")+('MiT Strom Pipeline'!R29="In evaluation")&gt;0,'MiT Strom Pipeline'!S29,"")</f>
        <v/>
      </c>
      <c r="J162" s="23">
        <f>IF(('MiT Strom Pipeline'!R29="follow-up")+('MiT Strom Pipeline'!R29="Evaluation")+('MiT Strom Pipeline'!R29="tbd")+('MiT Strom Pipeline'!R29="In evaluation")&gt;0,IF(LEN('MiT Strom Pipeline'!V29)&gt;0,LEFT('MiT Strom Pipeline'!V29,55),""),"")</f>
        <v/>
      </c>
    </row>
    <row r="163" ht="15.75" customHeight="1">
      <c r="A163" s="34">
        <f>IF(('MiT Strom Pipeline'!R30="follow-up")+('MiT Strom Pipeline'!R30="Evaluation")+('MiT Strom Pipeline'!R30="tbd")+('MiT Strom Pipeline'!R30="In evaluation")&gt;0,IF(ISNUMBER('MiT Strom Pipeline'!A30),'MiT Strom Pipeline'!A30,""),"")</f>
        <v/>
      </c>
      <c r="B163" s="35">
        <f>IF(('MiT Strom Pipeline'!R30="follow-up")+('MiT Strom Pipeline'!R30="Evaluation")+('MiT Strom Pipeline'!R30="tbd")+('MiT Strom Pipeline'!R30="In evaluation")&gt;0,'MiT Strom Pipeline'!B30,"")</f>
        <v/>
      </c>
      <c r="C163" s="34">
        <f>IF(('MiT Strom Pipeline'!R30="follow-up")+('MiT Strom Pipeline'!R30="Evaluation")+('MiT Strom Pipeline'!R30="tbd")+('MiT Strom Pipeline'!R30="In evaluation")&gt;0,'MiT Strom Pipeline'!C30,"")</f>
        <v/>
      </c>
      <c r="D163" s="35">
        <f>IF(('MiT Strom Pipeline'!R30="follow-up")+('MiT Strom Pipeline'!R30="Evaluation")+('MiT Strom Pipeline'!R30="tbd")+('MiT Strom Pipeline'!R30="In evaluation")&gt;0,'MiT Strom Pipeline'!D30,"")</f>
        <v/>
      </c>
      <c r="E163" s="35">
        <f>IF(('MiT Strom Pipeline'!R30="follow-up")+('MiT Strom Pipeline'!R30="Evaluation")+('MiT Strom Pipeline'!R30="tbd")+('MiT Strom Pipeline'!R30="In evaluation")&gt;0,'MiT Strom Pipeline'!E30,"")</f>
        <v/>
      </c>
      <c r="F163" s="55">
        <f>IF(('MiT Strom Pipeline'!R30="follow-up")+('MiT Strom Pipeline'!R30="Evaluation")+('MiT Strom Pipeline'!R30="tbd")+('MiT Strom Pipeline'!R30="In evaluation")&gt;0,IF(ISNUMBER('MiT Strom Pipeline'!I30),'MiT Strom Pipeline'!I30,0),"")</f>
        <v/>
      </c>
      <c r="G163" s="55">
        <f>IF(('MiT Strom Pipeline'!R30="follow-up")+('MiT Strom Pipeline'!R30="Evaluation")+('MiT Strom Pipeline'!R30="tbd")+('MiT Strom Pipeline'!R30="In evaluation")&gt;0,IF(ISNUMBER('MiT Strom Pipeline'!Q30),'MiT Strom Pipeline'!Q30,0),"")</f>
        <v/>
      </c>
      <c r="H163" s="34">
        <f>IF(('MiT Strom Pipeline'!R30="follow-up")+('MiT Strom Pipeline'!R30="Evaluation")+('MiT Strom Pipeline'!R30="tbd")+('MiT Strom Pipeline'!R30="In evaluation")&gt;0,'MiT Strom Pipeline'!R30,"")</f>
        <v/>
      </c>
      <c r="I163" s="34">
        <f>IF(('MiT Strom Pipeline'!R30="follow-up")+('MiT Strom Pipeline'!R30="Evaluation")+('MiT Strom Pipeline'!R30="tbd")+('MiT Strom Pipeline'!R30="In evaluation")&gt;0,'MiT Strom Pipeline'!S30,"")</f>
        <v/>
      </c>
      <c r="J163" s="35">
        <f>IF(('MiT Strom Pipeline'!R30="follow-up")+('MiT Strom Pipeline'!R30="Evaluation")+('MiT Strom Pipeline'!R30="tbd")+('MiT Strom Pipeline'!R30="In evaluation")&gt;0,IF(LEN('MiT Strom Pipeline'!V30)&gt;0,LEFT('MiT Strom Pipeline'!V30,55),""),"")</f>
        <v/>
      </c>
    </row>
    <row r="164" hidden="1" ht="15.75" customHeight="1">
      <c r="A164" s="22">
        <f>IF(('MiT Strom Pipeline'!R31="follow-up")+('MiT Strom Pipeline'!R31="Evaluation")+('MiT Strom Pipeline'!R31="tbd")+('MiT Strom Pipeline'!R31="In evaluation")&gt;0,IF(ISNUMBER('MiT Strom Pipeline'!A31),'MiT Strom Pipeline'!A31,""),"")</f>
        <v/>
      </c>
      <c r="B164" s="23">
        <f>IF(('MiT Strom Pipeline'!R31="follow-up")+('MiT Strom Pipeline'!R31="Evaluation")+('MiT Strom Pipeline'!R31="tbd")+('MiT Strom Pipeline'!R31="In evaluation")&gt;0,'MiT Strom Pipeline'!B31,"")</f>
        <v/>
      </c>
      <c r="C164" s="22">
        <f>IF(('MiT Strom Pipeline'!R31="follow-up")+('MiT Strom Pipeline'!R31="Evaluation")+('MiT Strom Pipeline'!R31="tbd")+('MiT Strom Pipeline'!R31="In evaluation")&gt;0,'MiT Strom Pipeline'!C31,"")</f>
        <v/>
      </c>
      <c r="D164" s="23">
        <f>IF(('MiT Strom Pipeline'!R31="follow-up")+('MiT Strom Pipeline'!R31="Evaluation")+('MiT Strom Pipeline'!R31="tbd")+('MiT Strom Pipeline'!R31="In evaluation")&gt;0,'MiT Strom Pipeline'!D31,"")</f>
        <v/>
      </c>
      <c r="E164" s="23">
        <f>IF(('MiT Strom Pipeline'!R31="follow-up")+('MiT Strom Pipeline'!R31="Evaluation")+('MiT Strom Pipeline'!R31="tbd")+('MiT Strom Pipeline'!R31="In evaluation")&gt;0,'MiT Strom Pipeline'!E31,"")</f>
        <v/>
      </c>
      <c r="F164" s="49">
        <f>IF(('MiT Strom Pipeline'!R31="follow-up")+('MiT Strom Pipeline'!R31="Evaluation")+('MiT Strom Pipeline'!R31="tbd")+('MiT Strom Pipeline'!R31="In evaluation")&gt;0,IF(ISNUMBER('MiT Strom Pipeline'!I31),'MiT Strom Pipeline'!I31,0),"")</f>
        <v/>
      </c>
      <c r="G164" s="49">
        <f>IF(('MiT Strom Pipeline'!R31="follow-up")+('MiT Strom Pipeline'!R31="Evaluation")+('MiT Strom Pipeline'!R31="tbd")+('MiT Strom Pipeline'!R31="In evaluation")&gt;0,IF(ISNUMBER('MiT Strom Pipeline'!Q31),'MiT Strom Pipeline'!Q31,0),"")</f>
        <v/>
      </c>
      <c r="H164" s="22">
        <f>IF(('MiT Strom Pipeline'!R31="follow-up")+('MiT Strom Pipeline'!R31="Evaluation")+('MiT Strom Pipeline'!R31="tbd")+('MiT Strom Pipeline'!R31="In evaluation")&gt;0,'MiT Strom Pipeline'!R31,"")</f>
        <v/>
      </c>
      <c r="I164" s="22">
        <f>IF(('MiT Strom Pipeline'!R31="follow-up")+('MiT Strom Pipeline'!R31="Evaluation")+('MiT Strom Pipeline'!R31="tbd")+('MiT Strom Pipeline'!R31="In evaluation")&gt;0,'MiT Strom Pipeline'!S31,"")</f>
        <v/>
      </c>
      <c r="J164" s="23">
        <f>IF(('MiT Strom Pipeline'!R31="follow-up")+('MiT Strom Pipeline'!R31="Evaluation")+('MiT Strom Pipeline'!R31="tbd")+('MiT Strom Pipeline'!R31="In evaluation")&gt;0,IF(LEN('MiT Strom Pipeline'!V31)&gt;0,LEFT('MiT Strom Pipeline'!V31,55),""),"")</f>
        <v/>
      </c>
    </row>
    <row r="165" hidden="1" ht="15.75" customHeight="1">
      <c r="A165" s="34">
        <f>IF(('MiT Strom Pipeline'!R32="follow-up")+('MiT Strom Pipeline'!R32="Evaluation")+('MiT Strom Pipeline'!R32="tbd")+('MiT Strom Pipeline'!R32="In evaluation")&gt;0,IF(ISNUMBER('MiT Strom Pipeline'!A32),'MiT Strom Pipeline'!A32,""),"")</f>
        <v/>
      </c>
      <c r="B165" s="35">
        <f>IF(('MiT Strom Pipeline'!R32="follow-up")+('MiT Strom Pipeline'!R32="Evaluation")+('MiT Strom Pipeline'!R32="tbd")+('MiT Strom Pipeline'!R32="In evaluation")&gt;0,'MiT Strom Pipeline'!B32,"")</f>
        <v/>
      </c>
      <c r="C165" s="34">
        <f>IF(('MiT Strom Pipeline'!R32="follow-up")+('MiT Strom Pipeline'!R32="Evaluation")+('MiT Strom Pipeline'!R32="tbd")+('MiT Strom Pipeline'!R32="In evaluation")&gt;0,'MiT Strom Pipeline'!C32,"")</f>
        <v/>
      </c>
      <c r="D165" s="35">
        <f>IF(('MiT Strom Pipeline'!R32="follow-up")+('MiT Strom Pipeline'!R32="Evaluation")+('MiT Strom Pipeline'!R32="tbd")+('MiT Strom Pipeline'!R32="In evaluation")&gt;0,'MiT Strom Pipeline'!D32,"")</f>
        <v/>
      </c>
      <c r="E165" s="35">
        <f>IF(('MiT Strom Pipeline'!R32="follow-up")+('MiT Strom Pipeline'!R32="Evaluation")+('MiT Strom Pipeline'!R32="tbd")+('MiT Strom Pipeline'!R32="In evaluation")&gt;0,'MiT Strom Pipeline'!E32,"")</f>
        <v/>
      </c>
      <c r="F165" s="55">
        <f>IF(('MiT Strom Pipeline'!R32="follow-up")+('MiT Strom Pipeline'!R32="Evaluation")+('MiT Strom Pipeline'!R32="tbd")+('MiT Strom Pipeline'!R32="In evaluation")&gt;0,IF(ISNUMBER('MiT Strom Pipeline'!I32),'MiT Strom Pipeline'!I32,0),"")</f>
        <v/>
      </c>
      <c r="G165" s="55">
        <f>IF(('MiT Strom Pipeline'!R32="follow-up")+('MiT Strom Pipeline'!R32="Evaluation")+('MiT Strom Pipeline'!R32="tbd")+('MiT Strom Pipeline'!R32="In evaluation")&gt;0,IF(ISNUMBER('MiT Strom Pipeline'!Q32),'MiT Strom Pipeline'!Q32,0),"")</f>
        <v/>
      </c>
      <c r="H165" s="34">
        <f>IF(('MiT Strom Pipeline'!R32="follow-up")+('MiT Strom Pipeline'!R32="Evaluation")+('MiT Strom Pipeline'!R32="tbd")+('MiT Strom Pipeline'!R32="In evaluation")&gt;0,'MiT Strom Pipeline'!R32,"")</f>
        <v/>
      </c>
      <c r="I165" s="34">
        <f>IF(('MiT Strom Pipeline'!R32="follow-up")+('MiT Strom Pipeline'!R32="Evaluation")+('MiT Strom Pipeline'!R32="tbd")+('MiT Strom Pipeline'!R32="In evaluation")&gt;0,'MiT Strom Pipeline'!S32,"")</f>
        <v/>
      </c>
      <c r="J165" s="35">
        <f>IF(('MiT Strom Pipeline'!R32="follow-up")+('MiT Strom Pipeline'!R32="Evaluation")+('MiT Strom Pipeline'!R32="tbd")+('MiT Strom Pipeline'!R32="In evaluation")&gt;0,IF(LEN('MiT Strom Pipeline'!V32)&gt;0,LEFT('MiT Strom Pipeline'!V32,55),""),"")</f>
        <v/>
      </c>
    </row>
    <row r="166" hidden="1" ht="15.75" customHeight="1">
      <c r="A166" s="22">
        <f>IF(('MiT Strom Pipeline'!R33="follow-up")+('MiT Strom Pipeline'!R33="Evaluation")+('MiT Strom Pipeline'!R33="tbd")+('MiT Strom Pipeline'!R33="In evaluation")&gt;0,IF(ISNUMBER('MiT Strom Pipeline'!A33),'MiT Strom Pipeline'!A33,""),"")</f>
        <v/>
      </c>
      <c r="B166" s="23">
        <f>IF(('MiT Strom Pipeline'!R33="follow-up")+('MiT Strom Pipeline'!R33="Evaluation")+('MiT Strom Pipeline'!R33="tbd")+('MiT Strom Pipeline'!R33="In evaluation")&gt;0,'MiT Strom Pipeline'!B33,"")</f>
        <v/>
      </c>
      <c r="C166" s="22">
        <f>IF(('MiT Strom Pipeline'!R33="follow-up")+('MiT Strom Pipeline'!R33="Evaluation")+('MiT Strom Pipeline'!R33="tbd")+('MiT Strom Pipeline'!R33="In evaluation")&gt;0,'MiT Strom Pipeline'!C33,"")</f>
        <v/>
      </c>
      <c r="D166" s="23">
        <f>IF(('MiT Strom Pipeline'!R33="follow-up")+('MiT Strom Pipeline'!R33="Evaluation")+('MiT Strom Pipeline'!R33="tbd")+('MiT Strom Pipeline'!R33="In evaluation")&gt;0,'MiT Strom Pipeline'!D33,"")</f>
        <v/>
      </c>
      <c r="E166" s="23">
        <f>IF(('MiT Strom Pipeline'!R33="follow-up")+('MiT Strom Pipeline'!R33="Evaluation")+('MiT Strom Pipeline'!R33="tbd")+('MiT Strom Pipeline'!R33="In evaluation")&gt;0,'MiT Strom Pipeline'!E33,"")</f>
        <v/>
      </c>
      <c r="F166" s="49">
        <f>IF(('MiT Strom Pipeline'!R33="follow-up")+('MiT Strom Pipeline'!R33="Evaluation")+('MiT Strom Pipeline'!R33="tbd")+('MiT Strom Pipeline'!R33="In evaluation")&gt;0,IF(ISNUMBER('MiT Strom Pipeline'!I33),'MiT Strom Pipeline'!I33,0),"")</f>
        <v/>
      </c>
      <c r="G166" s="49">
        <f>IF(('MiT Strom Pipeline'!R33="follow-up")+('MiT Strom Pipeline'!R33="Evaluation")+('MiT Strom Pipeline'!R33="tbd")+('MiT Strom Pipeline'!R33="In evaluation")&gt;0,IF(ISNUMBER('MiT Strom Pipeline'!Q33),'MiT Strom Pipeline'!Q33,0),"")</f>
        <v/>
      </c>
      <c r="H166" s="22">
        <f>IF(('MiT Strom Pipeline'!R33="follow-up")+('MiT Strom Pipeline'!R33="Evaluation")+('MiT Strom Pipeline'!R33="tbd")+('MiT Strom Pipeline'!R33="In evaluation")&gt;0,'MiT Strom Pipeline'!R33,"")</f>
        <v/>
      </c>
      <c r="I166" s="22">
        <f>IF(('MiT Strom Pipeline'!R33="follow-up")+('MiT Strom Pipeline'!R33="Evaluation")+('MiT Strom Pipeline'!R33="tbd")+('MiT Strom Pipeline'!R33="In evaluation")&gt;0,'MiT Strom Pipeline'!S33,"")</f>
        <v/>
      </c>
      <c r="J166" s="23">
        <f>IF(('MiT Strom Pipeline'!R33="follow-up")+('MiT Strom Pipeline'!R33="Evaluation")+('MiT Strom Pipeline'!R33="tbd")+('MiT Strom Pipeline'!R33="In evaluation")&gt;0,IF(LEN('MiT Strom Pipeline'!V33)&gt;0,LEFT('MiT Strom Pipeline'!V33,55),""),"")</f>
        <v/>
      </c>
    </row>
    <row r="167" hidden="1" ht="15.75" customHeight="1">
      <c r="A167" s="34">
        <f>IF(('MiT Strom Pipeline'!R34="follow-up")+('MiT Strom Pipeline'!R34="Evaluation")+('MiT Strom Pipeline'!R34="tbd")+('MiT Strom Pipeline'!R34="In evaluation")&gt;0,IF(ISNUMBER('MiT Strom Pipeline'!A34),'MiT Strom Pipeline'!A34,""),"")</f>
        <v/>
      </c>
      <c r="B167" s="35">
        <f>IF(('MiT Strom Pipeline'!R34="follow-up")+('MiT Strom Pipeline'!R34="Evaluation")+('MiT Strom Pipeline'!R34="tbd")+('MiT Strom Pipeline'!R34="In evaluation")&gt;0,'MiT Strom Pipeline'!B34,"")</f>
        <v/>
      </c>
      <c r="C167" s="34">
        <f>IF(('MiT Strom Pipeline'!R34="follow-up")+('MiT Strom Pipeline'!R34="Evaluation")+('MiT Strom Pipeline'!R34="tbd")+('MiT Strom Pipeline'!R34="In evaluation")&gt;0,'MiT Strom Pipeline'!C34,"")</f>
        <v/>
      </c>
      <c r="D167" s="35">
        <f>IF(('MiT Strom Pipeline'!R34="follow-up")+('MiT Strom Pipeline'!R34="Evaluation")+('MiT Strom Pipeline'!R34="tbd")+('MiT Strom Pipeline'!R34="In evaluation")&gt;0,'MiT Strom Pipeline'!D34,"")</f>
        <v/>
      </c>
      <c r="E167" s="35">
        <f>IF(('MiT Strom Pipeline'!R34="follow-up")+('MiT Strom Pipeline'!R34="Evaluation")+('MiT Strom Pipeline'!R34="tbd")+('MiT Strom Pipeline'!R34="In evaluation")&gt;0,'MiT Strom Pipeline'!E34,"")</f>
        <v/>
      </c>
      <c r="F167" s="55">
        <f>IF(('MiT Strom Pipeline'!R34="follow-up")+('MiT Strom Pipeline'!R34="Evaluation")+('MiT Strom Pipeline'!R34="tbd")+('MiT Strom Pipeline'!R34="In evaluation")&gt;0,IF(ISNUMBER('MiT Strom Pipeline'!I34),'MiT Strom Pipeline'!I34,0),"")</f>
        <v/>
      </c>
      <c r="G167" s="55">
        <f>IF(('MiT Strom Pipeline'!R34="follow-up")+('MiT Strom Pipeline'!R34="Evaluation")+('MiT Strom Pipeline'!R34="tbd")+('MiT Strom Pipeline'!R34="In evaluation")&gt;0,IF(ISNUMBER('MiT Strom Pipeline'!Q34),'MiT Strom Pipeline'!Q34,0),"")</f>
        <v/>
      </c>
      <c r="H167" s="34">
        <f>IF(('MiT Strom Pipeline'!R34="follow-up")+('MiT Strom Pipeline'!R34="Evaluation")+('MiT Strom Pipeline'!R34="tbd")+('MiT Strom Pipeline'!R34="In evaluation")&gt;0,'MiT Strom Pipeline'!R34,"")</f>
        <v/>
      </c>
      <c r="I167" s="34">
        <f>IF(('MiT Strom Pipeline'!R34="follow-up")+('MiT Strom Pipeline'!R34="Evaluation")+('MiT Strom Pipeline'!R34="tbd")+('MiT Strom Pipeline'!R34="In evaluation")&gt;0,'MiT Strom Pipeline'!S34,"")</f>
        <v/>
      </c>
      <c r="J167" s="35">
        <f>IF(('MiT Strom Pipeline'!R34="follow-up")+('MiT Strom Pipeline'!R34="Evaluation")+('MiT Strom Pipeline'!R34="tbd")+('MiT Strom Pipeline'!R34="In evaluation")&gt;0,IF(LEN('MiT Strom Pipeline'!V34)&gt;0,LEFT('MiT Strom Pipeline'!V34,55),""),"")</f>
        <v/>
      </c>
    </row>
    <row r="168" hidden="1" ht="15.75" customHeight="1">
      <c r="A168" s="22">
        <f>IF(('MiT Strom Pipeline'!R35="follow-up")+('MiT Strom Pipeline'!R35="Evaluation")+('MiT Strom Pipeline'!R35="tbd")+('MiT Strom Pipeline'!R35="In evaluation")&gt;0,IF(ISNUMBER('MiT Strom Pipeline'!A35),'MiT Strom Pipeline'!A35,""),"")</f>
        <v/>
      </c>
      <c r="B168" s="23">
        <f>IF(('MiT Strom Pipeline'!R35="follow-up")+('MiT Strom Pipeline'!R35="Evaluation")+('MiT Strom Pipeline'!R35="tbd")+('MiT Strom Pipeline'!R35="In evaluation")&gt;0,'MiT Strom Pipeline'!B35,"")</f>
        <v/>
      </c>
      <c r="C168" s="22">
        <f>IF(('MiT Strom Pipeline'!R35="follow-up")+('MiT Strom Pipeline'!R35="Evaluation")+('MiT Strom Pipeline'!R35="tbd")+('MiT Strom Pipeline'!R35="In evaluation")&gt;0,'MiT Strom Pipeline'!C35,"")</f>
        <v/>
      </c>
      <c r="D168" s="23">
        <f>IF(('MiT Strom Pipeline'!R35="follow-up")+('MiT Strom Pipeline'!R35="Evaluation")+('MiT Strom Pipeline'!R35="tbd")+('MiT Strom Pipeline'!R35="In evaluation")&gt;0,'MiT Strom Pipeline'!D35,"")</f>
        <v/>
      </c>
      <c r="E168" s="23">
        <f>IF(('MiT Strom Pipeline'!R35="follow-up")+('MiT Strom Pipeline'!R35="Evaluation")+('MiT Strom Pipeline'!R35="tbd")+('MiT Strom Pipeline'!R35="In evaluation")&gt;0,'MiT Strom Pipeline'!E35,"")</f>
        <v/>
      </c>
      <c r="F168" s="49">
        <f>IF(('MiT Strom Pipeline'!R35="follow-up")+('MiT Strom Pipeline'!R35="Evaluation")+('MiT Strom Pipeline'!R35="tbd")+('MiT Strom Pipeline'!R35="In evaluation")&gt;0,IF(ISNUMBER('MiT Strom Pipeline'!I35),'MiT Strom Pipeline'!I35,0),"")</f>
        <v/>
      </c>
      <c r="G168" s="49">
        <f>IF(('MiT Strom Pipeline'!R35="follow-up")+('MiT Strom Pipeline'!R35="Evaluation")+('MiT Strom Pipeline'!R35="tbd")+('MiT Strom Pipeline'!R35="In evaluation")&gt;0,IF(ISNUMBER('MiT Strom Pipeline'!Q35),'MiT Strom Pipeline'!Q35,0),"")</f>
        <v/>
      </c>
      <c r="H168" s="22">
        <f>IF(('MiT Strom Pipeline'!R35="follow-up")+('MiT Strom Pipeline'!R35="Evaluation")+('MiT Strom Pipeline'!R35="tbd")+('MiT Strom Pipeline'!R35="In evaluation")&gt;0,'MiT Strom Pipeline'!R35,"")</f>
        <v/>
      </c>
      <c r="I168" s="22">
        <f>IF(('MiT Strom Pipeline'!R35="follow-up")+('MiT Strom Pipeline'!R35="Evaluation")+('MiT Strom Pipeline'!R35="tbd")+('MiT Strom Pipeline'!R35="In evaluation")&gt;0,'MiT Strom Pipeline'!S35,"")</f>
        <v/>
      </c>
      <c r="J168" s="23">
        <f>IF(('MiT Strom Pipeline'!R35="follow-up")+('MiT Strom Pipeline'!R35="Evaluation")+('MiT Strom Pipeline'!R35="tbd")+('MiT Strom Pipeline'!R35="In evaluation")&gt;0,IF(LEN('MiT Strom Pipeline'!V35)&gt;0,LEFT('MiT Strom Pipeline'!V35,55),""),"")</f>
        <v/>
      </c>
    </row>
    <row r="169" hidden="1" ht="15.75" customHeight="1">
      <c r="A169" s="34">
        <f>IF(('MiT Strom Pipeline'!R36="follow-up")+('MiT Strom Pipeline'!R36="Evaluation")+('MiT Strom Pipeline'!R36="tbd")+('MiT Strom Pipeline'!R36="In evaluation")&gt;0,IF(ISNUMBER('MiT Strom Pipeline'!A36),'MiT Strom Pipeline'!A36,""),"")</f>
        <v/>
      </c>
      <c r="B169" s="35">
        <f>IF(('MiT Strom Pipeline'!R36="follow-up")+('MiT Strom Pipeline'!R36="Evaluation")+('MiT Strom Pipeline'!R36="tbd")+('MiT Strom Pipeline'!R36="In evaluation")&gt;0,'MiT Strom Pipeline'!B36,"")</f>
        <v/>
      </c>
      <c r="C169" s="34">
        <f>IF(('MiT Strom Pipeline'!R36="follow-up")+('MiT Strom Pipeline'!R36="Evaluation")+('MiT Strom Pipeline'!R36="tbd")+('MiT Strom Pipeline'!R36="In evaluation")&gt;0,'MiT Strom Pipeline'!C36,"")</f>
        <v/>
      </c>
      <c r="D169" s="35">
        <f>IF(('MiT Strom Pipeline'!R36="follow-up")+('MiT Strom Pipeline'!R36="Evaluation")+('MiT Strom Pipeline'!R36="tbd")+('MiT Strom Pipeline'!R36="In evaluation")&gt;0,'MiT Strom Pipeline'!D36,"")</f>
        <v/>
      </c>
      <c r="E169" s="35">
        <f>IF(('MiT Strom Pipeline'!R36="follow-up")+('MiT Strom Pipeline'!R36="Evaluation")+('MiT Strom Pipeline'!R36="tbd")+('MiT Strom Pipeline'!R36="In evaluation")&gt;0,'MiT Strom Pipeline'!E36,"")</f>
        <v/>
      </c>
      <c r="F169" s="55">
        <f>IF(('MiT Strom Pipeline'!R36="follow-up")+('MiT Strom Pipeline'!R36="Evaluation")+('MiT Strom Pipeline'!R36="tbd")+('MiT Strom Pipeline'!R36="In evaluation")&gt;0,IF(ISNUMBER('MiT Strom Pipeline'!I36),'MiT Strom Pipeline'!I36,0),"")</f>
        <v/>
      </c>
      <c r="G169" s="55">
        <f>IF(('MiT Strom Pipeline'!R36="follow-up")+('MiT Strom Pipeline'!R36="Evaluation")+('MiT Strom Pipeline'!R36="tbd")+('MiT Strom Pipeline'!R36="In evaluation")&gt;0,IF(ISNUMBER('MiT Strom Pipeline'!Q36),'MiT Strom Pipeline'!Q36,0),"")</f>
        <v/>
      </c>
      <c r="H169" s="34">
        <f>IF(('MiT Strom Pipeline'!R36="follow-up")+('MiT Strom Pipeline'!R36="Evaluation")+('MiT Strom Pipeline'!R36="tbd")+('MiT Strom Pipeline'!R36="In evaluation")&gt;0,'MiT Strom Pipeline'!R36,"")</f>
        <v/>
      </c>
      <c r="I169" s="34">
        <f>IF(('MiT Strom Pipeline'!R36="follow-up")+('MiT Strom Pipeline'!R36="Evaluation")+('MiT Strom Pipeline'!R36="tbd")+('MiT Strom Pipeline'!R36="In evaluation")&gt;0,'MiT Strom Pipeline'!S36,"")</f>
        <v/>
      </c>
      <c r="J169" s="35">
        <f>IF(('MiT Strom Pipeline'!R36="follow-up")+('MiT Strom Pipeline'!R36="Evaluation")+('MiT Strom Pipeline'!R36="tbd")+('MiT Strom Pipeline'!R36="In evaluation")&gt;0,IF(LEN('MiT Strom Pipeline'!V36)&gt;0,LEFT('MiT Strom Pipeline'!V36,55),""),"")</f>
        <v/>
      </c>
    </row>
    <row r="170" hidden="1" ht="15.75" customHeight="1">
      <c r="A170" s="22">
        <f>IF(('MiT Strom Pipeline'!R37="follow-up")+('MiT Strom Pipeline'!R37="Evaluation")+('MiT Strom Pipeline'!R37="tbd")+('MiT Strom Pipeline'!R37="In evaluation")&gt;0,IF(ISNUMBER('MiT Strom Pipeline'!A37),'MiT Strom Pipeline'!A37,""),"")</f>
        <v/>
      </c>
      <c r="B170" s="23">
        <f>IF(('MiT Strom Pipeline'!R37="follow-up")+('MiT Strom Pipeline'!R37="Evaluation")+('MiT Strom Pipeline'!R37="tbd")+('MiT Strom Pipeline'!R37="In evaluation")&gt;0,'MiT Strom Pipeline'!B37,"")</f>
        <v/>
      </c>
      <c r="C170" s="22">
        <f>IF(('MiT Strom Pipeline'!R37="follow-up")+('MiT Strom Pipeline'!R37="Evaluation")+('MiT Strom Pipeline'!R37="tbd")+('MiT Strom Pipeline'!R37="In evaluation")&gt;0,'MiT Strom Pipeline'!C37,"")</f>
        <v/>
      </c>
      <c r="D170" s="23">
        <f>IF(('MiT Strom Pipeline'!R37="follow-up")+('MiT Strom Pipeline'!R37="Evaluation")+('MiT Strom Pipeline'!R37="tbd")+('MiT Strom Pipeline'!R37="In evaluation")&gt;0,'MiT Strom Pipeline'!D37,"")</f>
        <v/>
      </c>
      <c r="E170" s="23">
        <f>IF(('MiT Strom Pipeline'!R37="follow-up")+('MiT Strom Pipeline'!R37="Evaluation")+('MiT Strom Pipeline'!R37="tbd")+('MiT Strom Pipeline'!R37="In evaluation")&gt;0,'MiT Strom Pipeline'!E37,"")</f>
        <v/>
      </c>
      <c r="F170" s="49">
        <f>IF(('MiT Strom Pipeline'!R37="follow-up")+('MiT Strom Pipeline'!R37="Evaluation")+('MiT Strom Pipeline'!R37="tbd")+('MiT Strom Pipeline'!R37="In evaluation")&gt;0,IF(ISNUMBER('MiT Strom Pipeline'!I37),'MiT Strom Pipeline'!I37,0),"")</f>
        <v/>
      </c>
      <c r="G170" s="49">
        <f>IF(('MiT Strom Pipeline'!R37="follow-up")+('MiT Strom Pipeline'!R37="Evaluation")+('MiT Strom Pipeline'!R37="tbd")+('MiT Strom Pipeline'!R37="In evaluation")&gt;0,IF(ISNUMBER('MiT Strom Pipeline'!Q37),'MiT Strom Pipeline'!Q37,0),"")</f>
        <v/>
      </c>
      <c r="H170" s="22">
        <f>IF(('MiT Strom Pipeline'!R37="follow-up")+('MiT Strom Pipeline'!R37="Evaluation")+('MiT Strom Pipeline'!R37="tbd")+('MiT Strom Pipeline'!R37="In evaluation")&gt;0,'MiT Strom Pipeline'!R37,"")</f>
        <v/>
      </c>
      <c r="I170" s="22">
        <f>IF(('MiT Strom Pipeline'!R37="follow-up")+('MiT Strom Pipeline'!R37="Evaluation")+('MiT Strom Pipeline'!R37="tbd")+('MiT Strom Pipeline'!R37="In evaluation")&gt;0,'MiT Strom Pipeline'!S37,"")</f>
        <v/>
      </c>
      <c r="J170" s="23">
        <f>IF(('MiT Strom Pipeline'!R37="follow-up")+('MiT Strom Pipeline'!R37="Evaluation")+('MiT Strom Pipeline'!R37="tbd")+('MiT Strom Pipeline'!R37="In evaluation")&gt;0,IF(LEN('MiT Strom Pipeline'!V37)&gt;0,LEFT('MiT Strom Pipeline'!V37,55),""),"")</f>
        <v/>
      </c>
    </row>
    <row r="171" ht="15.75" customHeight="1">
      <c r="A171" s="34">
        <f>IF(('MiT Strom Pipeline'!R38="follow-up")+('MiT Strom Pipeline'!R38="Evaluation")+('MiT Strom Pipeline'!R38="tbd")+('MiT Strom Pipeline'!R38="In evaluation")&gt;0,IF(ISNUMBER('MiT Strom Pipeline'!A38),'MiT Strom Pipeline'!A38,""),"")</f>
        <v/>
      </c>
      <c r="B171" s="35">
        <f>IF(('MiT Strom Pipeline'!R38="follow-up")+('MiT Strom Pipeline'!R38="Evaluation")+('MiT Strom Pipeline'!R38="tbd")+('MiT Strom Pipeline'!R38="In evaluation")&gt;0,'MiT Strom Pipeline'!B38,"")</f>
        <v/>
      </c>
      <c r="C171" s="34">
        <f>IF(('MiT Strom Pipeline'!R38="follow-up")+('MiT Strom Pipeline'!R38="Evaluation")+('MiT Strom Pipeline'!R38="tbd")+('MiT Strom Pipeline'!R38="In evaluation")&gt;0,'MiT Strom Pipeline'!C38,"")</f>
        <v/>
      </c>
      <c r="D171" s="35">
        <f>IF(('MiT Strom Pipeline'!R38="follow-up")+('MiT Strom Pipeline'!R38="Evaluation")+('MiT Strom Pipeline'!R38="tbd")+('MiT Strom Pipeline'!R38="In evaluation")&gt;0,'MiT Strom Pipeline'!D38,"")</f>
        <v/>
      </c>
      <c r="E171" s="35">
        <f>IF(('MiT Strom Pipeline'!R38="follow-up")+('MiT Strom Pipeline'!R38="Evaluation")+('MiT Strom Pipeline'!R38="tbd")+('MiT Strom Pipeline'!R38="In evaluation")&gt;0,'MiT Strom Pipeline'!E38,"")</f>
        <v/>
      </c>
      <c r="F171" s="55">
        <f>IF(('MiT Strom Pipeline'!R38="follow-up")+('MiT Strom Pipeline'!R38="Evaluation")+('MiT Strom Pipeline'!R38="tbd")+('MiT Strom Pipeline'!R38="In evaluation")&gt;0,IF(ISNUMBER('MiT Strom Pipeline'!I38),'MiT Strom Pipeline'!I38,0),"")</f>
        <v/>
      </c>
      <c r="G171" s="55">
        <f>IF(('MiT Strom Pipeline'!R38="follow-up")+('MiT Strom Pipeline'!R38="Evaluation")+('MiT Strom Pipeline'!R38="tbd")+('MiT Strom Pipeline'!R38="In evaluation")&gt;0,IF(ISNUMBER('MiT Strom Pipeline'!Q38),'MiT Strom Pipeline'!Q38,0),"")</f>
        <v/>
      </c>
      <c r="H171" s="34">
        <f>IF(('MiT Strom Pipeline'!R38="follow-up")+('MiT Strom Pipeline'!R38="Evaluation")+('MiT Strom Pipeline'!R38="tbd")+('MiT Strom Pipeline'!R38="In evaluation")&gt;0,'MiT Strom Pipeline'!R38,"")</f>
        <v/>
      </c>
      <c r="I171" s="34">
        <f>IF(('MiT Strom Pipeline'!R38="follow-up")+('MiT Strom Pipeline'!R38="Evaluation")+('MiT Strom Pipeline'!R38="tbd")+('MiT Strom Pipeline'!R38="In evaluation")&gt;0,'MiT Strom Pipeline'!S38,"")</f>
        <v/>
      </c>
      <c r="J171" s="35">
        <f>IF(('MiT Strom Pipeline'!R38="follow-up")+('MiT Strom Pipeline'!R38="Evaluation")+('MiT Strom Pipeline'!R38="tbd")+('MiT Strom Pipeline'!R38="In evaluation")&gt;0,IF(LEN('MiT Strom Pipeline'!V38)&gt;0,LEFT('MiT Strom Pipeline'!V38,55),""),"")</f>
        <v/>
      </c>
    </row>
    <row r="172" ht="15.75" customHeight="1">
      <c r="A172" s="22">
        <f>IF(('MiT Strom Pipeline'!R39="follow-up")+('MiT Strom Pipeline'!R39="Evaluation")+('MiT Strom Pipeline'!R39="tbd")+('MiT Strom Pipeline'!R39="In evaluation")&gt;0,IF(ISNUMBER('MiT Strom Pipeline'!A39),'MiT Strom Pipeline'!A39,""),"")</f>
        <v/>
      </c>
      <c r="B172" s="23">
        <f>IF(('MiT Strom Pipeline'!R39="follow-up")+('MiT Strom Pipeline'!R39="Evaluation")+('MiT Strom Pipeline'!R39="tbd")+('MiT Strom Pipeline'!R39="In evaluation")&gt;0,'MiT Strom Pipeline'!B39,"")</f>
        <v/>
      </c>
      <c r="C172" s="22">
        <f>IF(('MiT Strom Pipeline'!R39="follow-up")+('MiT Strom Pipeline'!R39="Evaluation")+('MiT Strom Pipeline'!R39="tbd")+('MiT Strom Pipeline'!R39="In evaluation")&gt;0,'MiT Strom Pipeline'!C39,"")</f>
        <v/>
      </c>
      <c r="D172" s="23">
        <f>IF(('MiT Strom Pipeline'!R39="follow-up")+('MiT Strom Pipeline'!R39="Evaluation")+('MiT Strom Pipeline'!R39="tbd")+('MiT Strom Pipeline'!R39="In evaluation")&gt;0,'MiT Strom Pipeline'!D39,"")</f>
        <v/>
      </c>
      <c r="E172" s="23">
        <f>IF(('MiT Strom Pipeline'!R39="follow-up")+('MiT Strom Pipeline'!R39="Evaluation")+('MiT Strom Pipeline'!R39="tbd")+('MiT Strom Pipeline'!R39="In evaluation")&gt;0,'MiT Strom Pipeline'!E39,"")</f>
        <v/>
      </c>
      <c r="F172" s="49">
        <f>IF(('MiT Strom Pipeline'!R39="follow-up")+('MiT Strom Pipeline'!R39="Evaluation")+('MiT Strom Pipeline'!R39="tbd")+('MiT Strom Pipeline'!R39="In evaluation")&gt;0,IF(ISNUMBER('MiT Strom Pipeline'!I39),'MiT Strom Pipeline'!I39,0),"")</f>
        <v/>
      </c>
      <c r="G172" s="49">
        <f>IF(('MiT Strom Pipeline'!R39="follow-up")+('MiT Strom Pipeline'!R39="Evaluation")+('MiT Strom Pipeline'!R39="tbd")+('MiT Strom Pipeline'!R39="In evaluation")&gt;0,IF(ISNUMBER('MiT Strom Pipeline'!Q39),'MiT Strom Pipeline'!Q39,0),"")</f>
        <v/>
      </c>
      <c r="H172" s="22">
        <f>IF(('MiT Strom Pipeline'!R39="follow-up")+('MiT Strom Pipeline'!R39="Evaluation")+('MiT Strom Pipeline'!R39="tbd")+('MiT Strom Pipeline'!R39="In evaluation")&gt;0,'MiT Strom Pipeline'!R39,"")</f>
        <v/>
      </c>
      <c r="I172" s="22">
        <f>IF(('MiT Strom Pipeline'!R39="follow-up")+('MiT Strom Pipeline'!R39="Evaluation")+('MiT Strom Pipeline'!R39="tbd")+('MiT Strom Pipeline'!R39="In evaluation")&gt;0,'MiT Strom Pipeline'!S39,"")</f>
        <v/>
      </c>
      <c r="J172" s="23">
        <f>IF(('MiT Strom Pipeline'!R39="follow-up")+('MiT Strom Pipeline'!R39="Evaluation")+('MiT Strom Pipeline'!R39="tbd")+('MiT Strom Pipeline'!R39="In evaluation")&gt;0,IF(LEN('MiT Strom Pipeline'!V39)&gt;0,LEFT('MiT Strom Pipeline'!V39,55),""),"")</f>
        <v/>
      </c>
    </row>
    <row r="173" ht="15.75" customHeight="1">
      <c r="A173" s="34">
        <f>IF(('MiT Strom Pipeline'!R40="follow-up")+('MiT Strom Pipeline'!R40="Evaluation")+('MiT Strom Pipeline'!R40="tbd")+('MiT Strom Pipeline'!R40="In evaluation")&gt;0,IF(ISNUMBER('MiT Strom Pipeline'!A40),'MiT Strom Pipeline'!A40,""),"")</f>
        <v/>
      </c>
      <c r="B173" s="35">
        <f>IF(('MiT Strom Pipeline'!R40="follow-up")+('MiT Strom Pipeline'!R40="Evaluation")+('MiT Strom Pipeline'!R40="tbd")+('MiT Strom Pipeline'!R40="In evaluation")&gt;0,'MiT Strom Pipeline'!B40,"")</f>
        <v/>
      </c>
      <c r="C173" s="34">
        <f>IF(('MiT Strom Pipeline'!R40="follow-up")+('MiT Strom Pipeline'!R40="Evaluation")+('MiT Strom Pipeline'!R40="tbd")+('MiT Strom Pipeline'!R40="In evaluation")&gt;0,'MiT Strom Pipeline'!C40,"")</f>
        <v/>
      </c>
      <c r="D173" s="35">
        <f>IF(('MiT Strom Pipeline'!R40="follow-up")+('MiT Strom Pipeline'!R40="Evaluation")+('MiT Strom Pipeline'!R40="tbd")+('MiT Strom Pipeline'!R40="In evaluation")&gt;0,'MiT Strom Pipeline'!D40,"")</f>
        <v/>
      </c>
      <c r="E173" s="35">
        <f>IF(('MiT Strom Pipeline'!R40="follow-up")+('MiT Strom Pipeline'!R40="Evaluation")+('MiT Strom Pipeline'!R40="tbd")+('MiT Strom Pipeline'!R40="In evaluation")&gt;0,'MiT Strom Pipeline'!E40,"")</f>
        <v/>
      </c>
      <c r="F173" s="55">
        <f>IF(('MiT Strom Pipeline'!R40="follow-up")+('MiT Strom Pipeline'!R40="Evaluation")+('MiT Strom Pipeline'!R40="tbd")+('MiT Strom Pipeline'!R40="In evaluation")&gt;0,IF(ISNUMBER('MiT Strom Pipeline'!I40),'MiT Strom Pipeline'!I40,0),"")</f>
        <v/>
      </c>
      <c r="G173" s="55">
        <f>IF(('MiT Strom Pipeline'!R40="follow-up")+('MiT Strom Pipeline'!R40="Evaluation")+('MiT Strom Pipeline'!R40="tbd")+('MiT Strom Pipeline'!R40="In evaluation")&gt;0,IF(ISNUMBER('MiT Strom Pipeline'!Q40),'MiT Strom Pipeline'!Q40,0),"")</f>
        <v/>
      </c>
      <c r="H173" s="34">
        <f>IF(('MiT Strom Pipeline'!R40="follow-up")+('MiT Strom Pipeline'!R40="Evaluation")+('MiT Strom Pipeline'!R40="tbd")+('MiT Strom Pipeline'!R40="In evaluation")&gt;0,'MiT Strom Pipeline'!R40,"")</f>
        <v/>
      </c>
      <c r="I173" s="34">
        <f>IF(('MiT Strom Pipeline'!R40="follow-up")+('MiT Strom Pipeline'!R40="Evaluation")+('MiT Strom Pipeline'!R40="tbd")+('MiT Strom Pipeline'!R40="In evaluation")&gt;0,'MiT Strom Pipeline'!S40,"")</f>
        <v/>
      </c>
      <c r="J173" s="35">
        <f>IF(('MiT Strom Pipeline'!R40="follow-up")+('MiT Strom Pipeline'!R40="Evaluation")+('MiT Strom Pipeline'!R40="tbd")+('MiT Strom Pipeline'!R40="In evaluation")&gt;0,IF(LEN('MiT Strom Pipeline'!V40)&gt;0,LEFT('MiT Strom Pipeline'!V40,55),""),"")</f>
        <v/>
      </c>
    </row>
    <row r="174" ht="15.75" customHeight="1">
      <c r="A174" s="22">
        <f>IF(('MiT Strom Pipeline'!R41="follow-up")+('MiT Strom Pipeline'!R41="Evaluation")+('MiT Strom Pipeline'!R41="tbd")+('MiT Strom Pipeline'!R41="In evaluation")&gt;0,IF(ISNUMBER('MiT Strom Pipeline'!A41),'MiT Strom Pipeline'!A41,""),"")</f>
        <v/>
      </c>
      <c r="B174" s="23">
        <f>IF(('MiT Strom Pipeline'!R41="follow-up")+('MiT Strom Pipeline'!R41="Evaluation")+('MiT Strom Pipeline'!R41="tbd")+('MiT Strom Pipeline'!R41="In evaluation")&gt;0,'MiT Strom Pipeline'!B41,"")</f>
        <v/>
      </c>
      <c r="C174" s="22">
        <f>IF(('MiT Strom Pipeline'!R41="follow-up")+('MiT Strom Pipeline'!R41="Evaluation")+('MiT Strom Pipeline'!R41="tbd")+('MiT Strom Pipeline'!R41="In evaluation")&gt;0,'MiT Strom Pipeline'!C41,"")</f>
        <v/>
      </c>
      <c r="D174" s="23">
        <f>IF(('MiT Strom Pipeline'!R41="follow-up")+('MiT Strom Pipeline'!R41="Evaluation")+('MiT Strom Pipeline'!R41="tbd")+('MiT Strom Pipeline'!R41="In evaluation")&gt;0,'MiT Strom Pipeline'!D41,"")</f>
        <v/>
      </c>
      <c r="E174" s="23">
        <f>IF(('MiT Strom Pipeline'!R41="follow-up")+('MiT Strom Pipeline'!R41="Evaluation")+('MiT Strom Pipeline'!R41="tbd")+('MiT Strom Pipeline'!R41="In evaluation")&gt;0,'MiT Strom Pipeline'!E41,"")</f>
        <v/>
      </c>
      <c r="F174" s="49">
        <f>IF(('MiT Strom Pipeline'!R41="follow-up")+('MiT Strom Pipeline'!R41="Evaluation")+('MiT Strom Pipeline'!R41="tbd")+('MiT Strom Pipeline'!R41="In evaluation")&gt;0,IF(ISNUMBER('MiT Strom Pipeline'!I41),'MiT Strom Pipeline'!I41,0),"")</f>
        <v/>
      </c>
      <c r="G174" s="49">
        <f>IF(('MiT Strom Pipeline'!R41="follow-up")+('MiT Strom Pipeline'!R41="Evaluation")+('MiT Strom Pipeline'!R41="tbd")+('MiT Strom Pipeline'!R41="In evaluation")&gt;0,IF(ISNUMBER('MiT Strom Pipeline'!Q41),'MiT Strom Pipeline'!Q41,0),"")</f>
        <v/>
      </c>
      <c r="H174" s="22">
        <f>IF(('MiT Strom Pipeline'!R41="follow-up")+('MiT Strom Pipeline'!R41="Evaluation")+('MiT Strom Pipeline'!R41="tbd")+('MiT Strom Pipeline'!R41="In evaluation")&gt;0,'MiT Strom Pipeline'!R41,"")</f>
        <v/>
      </c>
      <c r="I174" s="22">
        <f>IF(('MiT Strom Pipeline'!R41="follow-up")+('MiT Strom Pipeline'!R41="Evaluation")+('MiT Strom Pipeline'!R41="tbd")+('MiT Strom Pipeline'!R41="In evaluation")&gt;0,'MiT Strom Pipeline'!S41,"")</f>
        <v/>
      </c>
      <c r="J174" s="23">
        <f>IF(('MiT Strom Pipeline'!R41="follow-up")+('MiT Strom Pipeline'!R41="Evaluation")+('MiT Strom Pipeline'!R41="tbd")+('MiT Strom Pipeline'!R41="In evaluation")&gt;0,IF(LEN('MiT Strom Pipeline'!V41)&gt;0,LEFT('MiT Strom Pipeline'!V41,55),""),"")</f>
        <v/>
      </c>
    </row>
    <row r="175" hidden="1" ht="15.75" customHeight="1">
      <c r="A175" s="34">
        <f>IF(('MiT Strom Pipeline'!R42="follow-up")+('MiT Strom Pipeline'!R42="Evaluation")+('MiT Strom Pipeline'!R42="tbd")+('MiT Strom Pipeline'!R42="In evaluation")&gt;0,IF(ISNUMBER('MiT Strom Pipeline'!A42),'MiT Strom Pipeline'!A42,""),"")</f>
        <v/>
      </c>
      <c r="B175" s="35">
        <f>IF(('MiT Strom Pipeline'!R42="follow-up")+('MiT Strom Pipeline'!R42="Evaluation")+('MiT Strom Pipeline'!R42="tbd")+('MiT Strom Pipeline'!R42="In evaluation")&gt;0,'MiT Strom Pipeline'!B42,"")</f>
        <v/>
      </c>
      <c r="C175" s="34">
        <f>IF(('MiT Strom Pipeline'!R42="follow-up")+('MiT Strom Pipeline'!R42="Evaluation")+('MiT Strom Pipeline'!R42="tbd")+('MiT Strom Pipeline'!R42="In evaluation")&gt;0,'MiT Strom Pipeline'!C42,"")</f>
        <v/>
      </c>
      <c r="D175" s="35">
        <f>IF(('MiT Strom Pipeline'!R42="follow-up")+('MiT Strom Pipeline'!R42="Evaluation")+('MiT Strom Pipeline'!R42="tbd")+('MiT Strom Pipeline'!R42="In evaluation")&gt;0,'MiT Strom Pipeline'!D42,"")</f>
        <v/>
      </c>
      <c r="E175" s="35">
        <f>IF(('MiT Strom Pipeline'!R42="follow-up")+('MiT Strom Pipeline'!R42="Evaluation")+('MiT Strom Pipeline'!R42="tbd")+('MiT Strom Pipeline'!R42="In evaluation")&gt;0,'MiT Strom Pipeline'!E42,"")</f>
        <v/>
      </c>
      <c r="F175" s="55">
        <f>IF(('MiT Strom Pipeline'!R42="follow-up")+('MiT Strom Pipeline'!R42="Evaluation")+('MiT Strom Pipeline'!R42="tbd")+('MiT Strom Pipeline'!R42="In evaluation")&gt;0,IF(ISNUMBER('MiT Strom Pipeline'!I42),'MiT Strom Pipeline'!I42,0),"")</f>
        <v/>
      </c>
      <c r="G175" s="55">
        <f>IF(('MiT Strom Pipeline'!R42="follow-up")+('MiT Strom Pipeline'!R42="Evaluation")+('MiT Strom Pipeline'!R42="tbd")+('MiT Strom Pipeline'!R42="In evaluation")&gt;0,IF(ISNUMBER('MiT Strom Pipeline'!Q42),'MiT Strom Pipeline'!Q42,0),"")</f>
        <v/>
      </c>
      <c r="H175" s="34">
        <f>IF(('MiT Strom Pipeline'!R42="follow-up")+('MiT Strom Pipeline'!R42="Evaluation")+('MiT Strom Pipeline'!R42="tbd")+('MiT Strom Pipeline'!R42="In evaluation")&gt;0,'MiT Strom Pipeline'!R42,"")</f>
        <v/>
      </c>
      <c r="I175" s="34">
        <f>IF(('MiT Strom Pipeline'!R42="follow-up")+('MiT Strom Pipeline'!R42="Evaluation")+('MiT Strom Pipeline'!R42="tbd")+('MiT Strom Pipeline'!R42="In evaluation")&gt;0,'MiT Strom Pipeline'!S42,"")</f>
        <v/>
      </c>
      <c r="J175" s="35">
        <f>IF(('MiT Strom Pipeline'!R42="follow-up")+('MiT Strom Pipeline'!R42="Evaluation")+('MiT Strom Pipeline'!R42="tbd")+('MiT Strom Pipeline'!R42="In evaluation")&gt;0,IF(LEN('MiT Strom Pipeline'!V42)&gt;0,LEFT('MiT Strom Pipeline'!V42,55),""),"")</f>
        <v/>
      </c>
    </row>
    <row r="176" hidden="1" ht="15.75" customHeight="1">
      <c r="A176" s="22">
        <f>IF(('MiT Strom Pipeline'!R43="follow-up")+('MiT Strom Pipeline'!R43="Evaluation")+('MiT Strom Pipeline'!R43="tbd")+('MiT Strom Pipeline'!R43="In evaluation")&gt;0,IF(ISNUMBER('MiT Strom Pipeline'!A43),'MiT Strom Pipeline'!A43,""),"")</f>
        <v/>
      </c>
      <c r="B176" s="23">
        <f>IF(('MiT Strom Pipeline'!R43="follow-up")+('MiT Strom Pipeline'!R43="Evaluation")+('MiT Strom Pipeline'!R43="tbd")+('MiT Strom Pipeline'!R43="In evaluation")&gt;0,'MiT Strom Pipeline'!B43,"")</f>
        <v/>
      </c>
      <c r="C176" s="22">
        <f>IF(('MiT Strom Pipeline'!R43="follow-up")+('MiT Strom Pipeline'!R43="Evaluation")+('MiT Strom Pipeline'!R43="tbd")+('MiT Strom Pipeline'!R43="In evaluation")&gt;0,'MiT Strom Pipeline'!C43,"")</f>
        <v/>
      </c>
      <c r="D176" s="23">
        <f>IF(('MiT Strom Pipeline'!R43="follow-up")+('MiT Strom Pipeline'!R43="Evaluation")+('MiT Strom Pipeline'!R43="tbd")+('MiT Strom Pipeline'!R43="In evaluation")&gt;0,'MiT Strom Pipeline'!D43,"")</f>
        <v/>
      </c>
      <c r="E176" s="23">
        <f>IF(('MiT Strom Pipeline'!R43="follow-up")+('MiT Strom Pipeline'!R43="Evaluation")+('MiT Strom Pipeline'!R43="tbd")+('MiT Strom Pipeline'!R43="In evaluation")&gt;0,'MiT Strom Pipeline'!E43,"")</f>
        <v/>
      </c>
      <c r="F176" s="49">
        <f>IF(('MiT Strom Pipeline'!R43="follow-up")+('MiT Strom Pipeline'!R43="Evaluation")+('MiT Strom Pipeline'!R43="tbd")+('MiT Strom Pipeline'!R43="In evaluation")&gt;0,IF(ISNUMBER('MiT Strom Pipeline'!I43),'MiT Strom Pipeline'!I43,0),"")</f>
        <v/>
      </c>
      <c r="G176" s="49">
        <f>IF(('MiT Strom Pipeline'!R43="follow-up")+('MiT Strom Pipeline'!R43="Evaluation")+('MiT Strom Pipeline'!R43="tbd")+('MiT Strom Pipeline'!R43="In evaluation")&gt;0,IF(ISNUMBER('MiT Strom Pipeline'!Q43),'MiT Strom Pipeline'!Q43,0),"")</f>
        <v/>
      </c>
      <c r="H176" s="22">
        <f>IF(('MiT Strom Pipeline'!R43="follow-up")+('MiT Strom Pipeline'!R43="Evaluation")+('MiT Strom Pipeline'!R43="tbd")+('MiT Strom Pipeline'!R43="In evaluation")&gt;0,'MiT Strom Pipeline'!R43,"")</f>
        <v/>
      </c>
      <c r="I176" s="22">
        <f>IF(('MiT Strom Pipeline'!R43="follow-up")+('MiT Strom Pipeline'!R43="Evaluation")+('MiT Strom Pipeline'!R43="tbd")+('MiT Strom Pipeline'!R43="In evaluation")&gt;0,'MiT Strom Pipeline'!S43,"")</f>
        <v/>
      </c>
      <c r="J176" s="23">
        <f>IF(('MiT Strom Pipeline'!R43="follow-up")+('MiT Strom Pipeline'!R43="Evaluation")+('MiT Strom Pipeline'!R43="tbd")+('MiT Strom Pipeline'!R43="In evaluation")&gt;0,IF(LEN('MiT Strom Pipeline'!V43)&gt;0,LEFT('MiT Strom Pipeline'!V43,55),""),"")</f>
        <v/>
      </c>
    </row>
    <row r="177" hidden="1" ht="15.75" customHeight="1">
      <c r="A177" s="34">
        <f>IF(('MiT Strom Pipeline'!R44="follow-up")+('MiT Strom Pipeline'!R44="Evaluation")+('MiT Strom Pipeline'!R44="tbd")+('MiT Strom Pipeline'!R44="In evaluation")&gt;0,IF(ISNUMBER('MiT Strom Pipeline'!A44),'MiT Strom Pipeline'!A44,""),"")</f>
        <v/>
      </c>
      <c r="B177" s="35">
        <f>IF(('MiT Strom Pipeline'!R44="follow-up")+('MiT Strom Pipeline'!R44="Evaluation")+('MiT Strom Pipeline'!R44="tbd")+('MiT Strom Pipeline'!R44="In evaluation")&gt;0,'MiT Strom Pipeline'!B44,"")</f>
        <v/>
      </c>
      <c r="C177" s="34">
        <f>IF(('MiT Strom Pipeline'!R44="follow-up")+('MiT Strom Pipeline'!R44="Evaluation")+('MiT Strom Pipeline'!R44="tbd")+('MiT Strom Pipeline'!R44="In evaluation")&gt;0,'MiT Strom Pipeline'!C44,"")</f>
        <v/>
      </c>
      <c r="D177" s="35">
        <f>IF(('MiT Strom Pipeline'!R44="follow-up")+('MiT Strom Pipeline'!R44="Evaluation")+('MiT Strom Pipeline'!R44="tbd")+('MiT Strom Pipeline'!R44="In evaluation")&gt;0,'MiT Strom Pipeline'!D44,"")</f>
        <v/>
      </c>
      <c r="E177" s="35">
        <f>IF(('MiT Strom Pipeline'!R44="follow-up")+('MiT Strom Pipeline'!R44="Evaluation")+('MiT Strom Pipeline'!R44="tbd")+('MiT Strom Pipeline'!R44="In evaluation")&gt;0,'MiT Strom Pipeline'!E44,"")</f>
        <v/>
      </c>
      <c r="F177" s="55">
        <f>IF(('MiT Strom Pipeline'!R44="follow-up")+('MiT Strom Pipeline'!R44="Evaluation")+('MiT Strom Pipeline'!R44="tbd")+('MiT Strom Pipeline'!R44="In evaluation")&gt;0,IF(ISNUMBER('MiT Strom Pipeline'!I44),'MiT Strom Pipeline'!I44,0),"")</f>
        <v/>
      </c>
      <c r="G177" s="55">
        <f>IF(('MiT Strom Pipeline'!R44="follow-up")+('MiT Strom Pipeline'!R44="Evaluation")+('MiT Strom Pipeline'!R44="tbd")+('MiT Strom Pipeline'!R44="In evaluation")&gt;0,IF(ISNUMBER('MiT Strom Pipeline'!Q44),'MiT Strom Pipeline'!Q44,0),"")</f>
        <v/>
      </c>
      <c r="H177" s="34">
        <f>IF(('MiT Strom Pipeline'!R44="follow-up")+('MiT Strom Pipeline'!R44="Evaluation")+('MiT Strom Pipeline'!R44="tbd")+('MiT Strom Pipeline'!R44="In evaluation")&gt;0,'MiT Strom Pipeline'!R44,"")</f>
        <v/>
      </c>
      <c r="I177" s="34">
        <f>IF(('MiT Strom Pipeline'!R44="follow-up")+('MiT Strom Pipeline'!R44="Evaluation")+('MiT Strom Pipeline'!R44="tbd")+('MiT Strom Pipeline'!R44="In evaluation")&gt;0,'MiT Strom Pipeline'!S44,"")</f>
        <v/>
      </c>
      <c r="J177" s="35">
        <f>IF(('MiT Strom Pipeline'!R44="follow-up")+('MiT Strom Pipeline'!R44="Evaluation")+('MiT Strom Pipeline'!R44="tbd")+('MiT Strom Pipeline'!R44="In evaluation")&gt;0,IF(LEN('MiT Strom Pipeline'!V44)&gt;0,LEFT('MiT Strom Pipeline'!V44,55),""),"")</f>
        <v/>
      </c>
    </row>
    <row r="178" hidden="1" ht="15.75" customHeight="1">
      <c r="A178" s="22">
        <f>IF(('MiT Strom Pipeline'!R45="follow-up")+('MiT Strom Pipeline'!R45="Evaluation")+('MiT Strom Pipeline'!R45="tbd")+('MiT Strom Pipeline'!R45="In evaluation")&gt;0,IF(ISNUMBER('MiT Strom Pipeline'!A45),'MiT Strom Pipeline'!A45,""),"")</f>
        <v/>
      </c>
      <c r="B178" s="23">
        <f>IF(('MiT Strom Pipeline'!R45="follow-up")+('MiT Strom Pipeline'!R45="Evaluation")+('MiT Strom Pipeline'!R45="tbd")+('MiT Strom Pipeline'!R45="In evaluation")&gt;0,'MiT Strom Pipeline'!B45,"")</f>
        <v/>
      </c>
      <c r="C178" s="22">
        <f>IF(('MiT Strom Pipeline'!R45="follow-up")+('MiT Strom Pipeline'!R45="Evaluation")+('MiT Strom Pipeline'!R45="tbd")+('MiT Strom Pipeline'!R45="In evaluation")&gt;0,'MiT Strom Pipeline'!C45,"")</f>
        <v/>
      </c>
      <c r="D178" s="23">
        <f>IF(('MiT Strom Pipeline'!R45="follow-up")+('MiT Strom Pipeline'!R45="Evaluation")+('MiT Strom Pipeline'!R45="tbd")+('MiT Strom Pipeline'!R45="In evaluation")&gt;0,'MiT Strom Pipeline'!D45,"")</f>
        <v/>
      </c>
      <c r="E178" s="23">
        <f>IF(('MiT Strom Pipeline'!R45="follow-up")+('MiT Strom Pipeline'!R45="Evaluation")+('MiT Strom Pipeline'!R45="tbd")+('MiT Strom Pipeline'!R45="In evaluation")&gt;0,'MiT Strom Pipeline'!E45,"")</f>
        <v/>
      </c>
      <c r="F178" s="49">
        <f>IF(('MiT Strom Pipeline'!R45="follow-up")+('MiT Strom Pipeline'!R45="Evaluation")+('MiT Strom Pipeline'!R45="tbd")+('MiT Strom Pipeline'!R45="In evaluation")&gt;0,IF(ISNUMBER('MiT Strom Pipeline'!I45),'MiT Strom Pipeline'!I45,0),"")</f>
        <v/>
      </c>
      <c r="G178" s="49">
        <f>IF(('MiT Strom Pipeline'!R45="follow-up")+('MiT Strom Pipeline'!R45="Evaluation")+('MiT Strom Pipeline'!R45="tbd")+('MiT Strom Pipeline'!R45="In evaluation")&gt;0,IF(ISNUMBER('MiT Strom Pipeline'!Q45),'MiT Strom Pipeline'!Q45,0),"")</f>
        <v/>
      </c>
      <c r="H178" s="22">
        <f>IF(('MiT Strom Pipeline'!R45="follow-up")+('MiT Strom Pipeline'!R45="Evaluation")+('MiT Strom Pipeline'!R45="tbd")+('MiT Strom Pipeline'!R45="In evaluation")&gt;0,'MiT Strom Pipeline'!R45,"")</f>
        <v/>
      </c>
      <c r="I178" s="22">
        <f>IF(('MiT Strom Pipeline'!R45="follow-up")+('MiT Strom Pipeline'!R45="Evaluation")+('MiT Strom Pipeline'!R45="tbd")+('MiT Strom Pipeline'!R45="In evaluation")&gt;0,'MiT Strom Pipeline'!S45,"")</f>
        <v/>
      </c>
      <c r="J178" s="23">
        <f>IF(('MiT Strom Pipeline'!R45="follow-up")+('MiT Strom Pipeline'!R45="Evaluation")+('MiT Strom Pipeline'!R45="tbd")+('MiT Strom Pipeline'!R45="In evaluation")&gt;0,IF(LEN('MiT Strom Pipeline'!V45)&gt;0,LEFT('MiT Strom Pipeline'!V45,55),""),"")</f>
        <v/>
      </c>
    </row>
    <row r="179" hidden="1" ht="15.75" customHeight="1">
      <c r="A179" s="34">
        <f>IF(('MiT Strom Pipeline'!R46="follow-up")+('MiT Strom Pipeline'!R46="Evaluation")+('MiT Strom Pipeline'!R46="tbd")+('MiT Strom Pipeline'!R46="In evaluation")&gt;0,IF(ISNUMBER('MiT Strom Pipeline'!A46),'MiT Strom Pipeline'!A46,""),"")</f>
        <v/>
      </c>
      <c r="B179" s="35">
        <f>IF(('MiT Strom Pipeline'!R46="follow-up")+('MiT Strom Pipeline'!R46="Evaluation")+('MiT Strom Pipeline'!R46="tbd")+('MiT Strom Pipeline'!R46="In evaluation")&gt;0,'MiT Strom Pipeline'!B46,"")</f>
        <v/>
      </c>
      <c r="C179" s="34">
        <f>IF(('MiT Strom Pipeline'!R46="follow-up")+('MiT Strom Pipeline'!R46="Evaluation")+('MiT Strom Pipeline'!R46="tbd")+('MiT Strom Pipeline'!R46="In evaluation")&gt;0,'MiT Strom Pipeline'!C46,"")</f>
        <v/>
      </c>
      <c r="D179" s="35">
        <f>IF(('MiT Strom Pipeline'!R46="follow-up")+('MiT Strom Pipeline'!R46="Evaluation")+('MiT Strom Pipeline'!R46="tbd")+('MiT Strom Pipeline'!R46="In evaluation")&gt;0,'MiT Strom Pipeline'!D46,"")</f>
        <v/>
      </c>
      <c r="E179" s="35">
        <f>IF(('MiT Strom Pipeline'!R46="follow-up")+('MiT Strom Pipeline'!R46="Evaluation")+('MiT Strom Pipeline'!R46="tbd")+('MiT Strom Pipeline'!R46="In evaluation")&gt;0,'MiT Strom Pipeline'!E46,"")</f>
        <v/>
      </c>
      <c r="F179" s="55">
        <f>IF(('MiT Strom Pipeline'!R46="follow-up")+('MiT Strom Pipeline'!R46="Evaluation")+('MiT Strom Pipeline'!R46="tbd")+('MiT Strom Pipeline'!R46="In evaluation")&gt;0,IF(ISNUMBER('MiT Strom Pipeline'!I46),'MiT Strom Pipeline'!I46,0),"")</f>
        <v/>
      </c>
      <c r="G179" s="55">
        <f>IF(('MiT Strom Pipeline'!R46="follow-up")+('MiT Strom Pipeline'!R46="Evaluation")+('MiT Strom Pipeline'!R46="tbd")+('MiT Strom Pipeline'!R46="In evaluation")&gt;0,IF(ISNUMBER('MiT Strom Pipeline'!Q46),'MiT Strom Pipeline'!Q46,0),"")</f>
        <v/>
      </c>
      <c r="H179" s="34">
        <f>IF(('MiT Strom Pipeline'!R46="follow-up")+('MiT Strom Pipeline'!R46="Evaluation")+('MiT Strom Pipeline'!R46="tbd")+('MiT Strom Pipeline'!R46="In evaluation")&gt;0,'MiT Strom Pipeline'!R46,"")</f>
        <v/>
      </c>
      <c r="I179" s="34">
        <f>IF(('MiT Strom Pipeline'!R46="follow-up")+('MiT Strom Pipeline'!R46="Evaluation")+('MiT Strom Pipeline'!R46="tbd")+('MiT Strom Pipeline'!R46="In evaluation")&gt;0,'MiT Strom Pipeline'!S46,"")</f>
        <v/>
      </c>
      <c r="J179" s="35">
        <f>IF(('MiT Strom Pipeline'!R46="follow-up")+('MiT Strom Pipeline'!R46="Evaluation")+('MiT Strom Pipeline'!R46="tbd")+('MiT Strom Pipeline'!R46="In evaluation")&gt;0,IF(LEN('MiT Strom Pipeline'!V46)&gt;0,LEFT('MiT Strom Pipeline'!V46,55),""),"")</f>
        <v/>
      </c>
    </row>
    <row r="180" hidden="1" ht="15.75" customHeight="1">
      <c r="A180" s="22">
        <f>IF(('MiT Strom Pipeline'!R47="follow-up")+('MiT Strom Pipeline'!R47="Evaluation")+('MiT Strom Pipeline'!R47="tbd")+('MiT Strom Pipeline'!R47="In evaluation")&gt;0,IF(ISNUMBER('MiT Strom Pipeline'!A47),'MiT Strom Pipeline'!A47,""),"")</f>
        <v/>
      </c>
      <c r="B180" s="23">
        <f>IF(('MiT Strom Pipeline'!R47="follow-up")+('MiT Strom Pipeline'!R47="Evaluation")+('MiT Strom Pipeline'!R47="tbd")+('MiT Strom Pipeline'!R47="In evaluation")&gt;0,'MiT Strom Pipeline'!B47,"")</f>
        <v/>
      </c>
      <c r="C180" s="22">
        <f>IF(('MiT Strom Pipeline'!R47="follow-up")+('MiT Strom Pipeline'!R47="Evaluation")+('MiT Strom Pipeline'!R47="tbd")+('MiT Strom Pipeline'!R47="In evaluation")&gt;0,'MiT Strom Pipeline'!C47,"")</f>
        <v/>
      </c>
      <c r="D180" s="23">
        <f>IF(('MiT Strom Pipeline'!R47="follow-up")+('MiT Strom Pipeline'!R47="Evaluation")+('MiT Strom Pipeline'!R47="tbd")+('MiT Strom Pipeline'!R47="In evaluation")&gt;0,'MiT Strom Pipeline'!D47,"")</f>
        <v/>
      </c>
      <c r="E180" s="23">
        <f>IF(('MiT Strom Pipeline'!R47="follow-up")+('MiT Strom Pipeline'!R47="Evaluation")+('MiT Strom Pipeline'!R47="tbd")+('MiT Strom Pipeline'!R47="In evaluation")&gt;0,'MiT Strom Pipeline'!E47,"")</f>
        <v/>
      </c>
      <c r="F180" s="49">
        <f>IF(('MiT Strom Pipeline'!R47="follow-up")+('MiT Strom Pipeline'!R47="Evaluation")+('MiT Strom Pipeline'!R47="tbd")+('MiT Strom Pipeline'!R47="In evaluation")&gt;0,IF(ISNUMBER('MiT Strom Pipeline'!I47),'MiT Strom Pipeline'!I47,0),"")</f>
        <v/>
      </c>
      <c r="G180" s="49">
        <f>IF(('MiT Strom Pipeline'!R47="follow-up")+('MiT Strom Pipeline'!R47="Evaluation")+('MiT Strom Pipeline'!R47="tbd")+('MiT Strom Pipeline'!R47="In evaluation")&gt;0,IF(ISNUMBER('MiT Strom Pipeline'!Q47),'MiT Strom Pipeline'!Q47,0),"")</f>
        <v/>
      </c>
      <c r="H180" s="22">
        <f>IF(('MiT Strom Pipeline'!R47="follow-up")+('MiT Strom Pipeline'!R47="Evaluation")+('MiT Strom Pipeline'!R47="tbd")+('MiT Strom Pipeline'!R47="In evaluation")&gt;0,'MiT Strom Pipeline'!R47,"")</f>
        <v/>
      </c>
      <c r="I180" s="22">
        <f>IF(('MiT Strom Pipeline'!R47="follow-up")+('MiT Strom Pipeline'!R47="Evaluation")+('MiT Strom Pipeline'!R47="tbd")+('MiT Strom Pipeline'!R47="In evaluation")&gt;0,'MiT Strom Pipeline'!S47,"")</f>
        <v/>
      </c>
      <c r="J180" s="23">
        <f>IF(('MiT Strom Pipeline'!R47="follow-up")+('MiT Strom Pipeline'!R47="Evaluation")+('MiT Strom Pipeline'!R47="tbd")+('MiT Strom Pipeline'!R47="In evaluation")&gt;0,IF(LEN('MiT Strom Pipeline'!V47)&gt;0,LEFT('MiT Strom Pipeline'!V47,55),""),"")</f>
        <v/>
      </c>
    </row>
    <row r="181" hidden="1" ht="15.75" customHeight="1">
      <c r="A181" s="34">
        <f>IF(('MiT Strom Pipeline'!R48="follow-up")+('MiT Strom Pipeline'!R48="Evaluation")+('MiT Strom Pipeline'!R48="tbd")+('MiT Strom Pipeline'!R48="In evaluation")&gt;0,IF(ISNUMBER('MiT Strom Pipeline'!A48),'MiT Strom Pipeline'!A48,""),"")</f>
        <v/>
      </c>
      <c r="B181" s="35">
        <f>IF(('MiT Strom Pipeline'!R48="follow-up")+('MiT Strom Pipeline'!R48="Evaluation")+('MiT Strom Pipeline'!R48="tbd")+('MiT Strom Pipeline'!R48="In evaluation")&gt;0,'MiT Strom Pipeline'!B48,"")</f>
        <v/>
      </c>
      <c r="C181" s="34">
        <f>IF(('MiT Strom Pipeline'!R48="follow-up")+('MiT Strom Pipeline'!R48="Evaluation")+('MiT Strom Pipeline'!R48="tbd")+('MiT Strom Pipeline'!R48="In evaluation")&gt;0,'MiT Strom Pipeline'!C48,"")</f>
        <v/>
      </c>
      <c r="D181" s="35">
        <f>IF(('MiT Strom Pipeline'!R48="follow-up")+('MiT Strom Pipeline'!R48="Evaluation")+('MiT Strom Pipeline'!R48="tbd")+('MiT Strom Pipeline'!R48="In evaluation")&gt;0,'MiT Strom Pipeline'!D48,"")</f>
        <v/>
      </c>
      <c r="E181" s="35">
        <f>IF(('MiT Strom Pipeline'!R48="follow-up")+('MiT Strom Pipeline'!R48="Evaluation")+('MiT Strom Pipeline'!R48="tbd")+('MiT Strom Pipeline'!R48="In evaluation")&gt;0,'MiT Strom Pipeline'!E48,"")</f>
        <v/>
      </c>
      <c r="F181" s="55">
        <f>IF(('MiT Strom Pipeline'!R48="follow-up")+('MiT Strom Pipeline'!R48="Evaluation")+('MiT Strom Pipeline'!R48="tbd")+('MiT Strom Pipeline'!R48="In evaluation")&gt;0,IF(ISNUMBER('MiT Strom Pipeline'!I48),'MiT Strom Pipeline'!I48,0),"")</f>
        <v/>
      </c>
      <c r="G181" s="55">
        <f>IF(('MiT Strom Pipeline'!R48="follow-up")+('MiT Strom Pipeline'!R48="Evaluation")+('MiT Strom Pipeline'!R48="tbd")+('MiT Strom Pipeline'!R48="In evaluation")&gt;0,IF(ISNUMBER('MiT Strom Pipeline'!Q48),'MiT Strom Pipeline'!Q48,0),"")</f>
        <v/>
      </c>
      <c r="H181" s="34">
        <f>IF(('MiT Strom Pipeline'!R48="follow-up")+('MiT Strom Pipeline'!R48="Evaluation")+('MiT Strom Pipeline'!R48="tbd")+('MiT Strom Pipeline'!R48="In evaluation")&gt;0,'MiT Strom Pipeline'!R48,"")</f>
        <v/>
      </c>
      <c r="I181" s="34">
        <f>IF(('MiT Strom Pipeline'!R48="follow-up")+('MiT Strom Pipeline'!R48="Evaluation")+('MiT Strom Pipeline'!R48="tbd")+('MiT Strom Pipeline'!R48="In evaluation")&gt;0,'MiT Strom Pipeline'!S48,"")</f>
        <v/>
      </c>
      <c r="J181" s="35">
        <f>IF(('MiT Strom Pipeline'!R48="follow-up")+('MiT Strom Pipeline'!R48="Evaluation")+('MiT Strom Pipeline'!R48="tbd")+('MiT Strom Pipeline'!R48="In evaluation")&gt;0,IF(LEN('MiT Strom Pipeline'!V48)&gt;0,LEFT('MiT Strom Pipeline'!V48,55),""),"")</f>
        <v/>
      </c>
    </row>
    <row r="182" hidden="1" ht="15.75" customHeight="1">
      <c r="A182" s="22">
        <f>IF(('MiT Strom Pipeline'!R49="follow-up")+('MiT Strom Pipeline'!R49="Evaluation")+('MiT Strom Pipeline'!R49="tbd")+('MiT Strom Pipeline'!R49="In evaluation")&gt;0,IF(ISNUMBER('MiT Strom Pipeline'!A49),'MiT Strom Pipeline'!A49,""),"")</f>
        <v/>
      </c>
      <c r="B182" s="23">
        <f>IF(('MiT Strom Pipeline'!R49="follow-up")+('MiT Strom Pipeline'!R49="Evaluation")+('MiT Strom Pipeline'!R49="tbd")+('MiT Strom Pipeline'!R49="In evaluation")&gt;0,'MiT Strom Pipeline'!B49,"")</f>
        <v/>
      </c>
      <c r="C182" s="22">
        <f>IF(('MiT Strom Pipeline'!R49="follow-up")+('MiT Strom Pipeline'!R49="Evaluation")+('MiT Strom Pipeline'!R49="tbd")+('MiT Strom Pipeline'!R49="In evaluation")&gt;0,'MiT Strom Pipeline'!C49,"")</f>
        <v/>
      </c>
      <c r="D182" s="23">
        <f>IF(('MiT Strom Pipeline'!R49="follow-up")+('MiT Strom Pipeline'!R49="Evaluation")+('MiT Strom Pipeline'!R49="tbd")+('MiT Strom Pipeline'!R49="In evaluation")&gt;0,'MiT Strom Pipeline'!D49,"")</f>
        <v/>
      </c>
      <c r="E182" s="23">
        <f>IF(('MiT Strom Pipeline'!R49="follow-up")+('MiT Strom Pipeline'!R49="Evaluation")+('MiT Strom Pipeline'!R49="tbd")+('MiT Strom Pipeline'!R49="In evaluation")&gt;0,'MiT Strom Pipeline'!E49,"")</f>
        <v/>
      </c>
      <c r="F182" s="49">
        <f>IF(('MiT Strom Pipeline'!R49="follow-up")+('MiT Strom Pipeline'!R49="Evaluation")+('MiT Strom Pipeline'!R49="tbd")+('MiT Strom Pipeline'!R49="In evaluation")&gt;0,IF(ISNUMBER('MiT Strom Pipeline'!I49),'MiT Strom Pipeline'!I49,0),"")</f>
        <v/>
      </c>
      <c r="G182" s="49">
        <f>IF(('MiT Strom Pipeline'!R49="follow-up")+('MiT Strom Pipeline'!R49="Evaluation")+('MiT Strom Pipeline'!R49="tbd")+('MiT Strom Pipeline'!R49="In evaluation")&gt;0,IF(ISNUMBER('MiT Strom Pipeline'!Q49),'MiT Strom Pipeline'!Q49,0),"")</f>
        <v/>
      </c>
      <c r="H182" s="22">
        <f>IF(('MiT Strom Pipeline'!R49="follow-up")+('MiT Strom Pipeline'!R49="Evaluation")+('MiT Strom Pipeline'!R49="tbd")+('MiT Strom Pipeline'!R49="In evaluation")&gt;0,'MiT Strom Pipeline'!R49,"")</f>
        <v/>
      </c>
      <c r="I182" s="22">
        <f>IF(('MiT Strom Pipeline'!R49="follow-up")+('MiT Strom Pipeline'!R49="Evaluation")+('MiT Strom Pipeline'!R49="tbd")+('MiT Strom Pipeline'!R49="In evaluation")&gt;0,'MiT Strom Pipeline'!S49,"")</f>
        <v/>
      </c>
      <c r="J182" s="23">
        <f>IF(('MiT Strom Pipeline'!R49="follow-up")+('MiT Strom Pipeline'!R49="Evaluation")+('MiT Strom Pipeline'!R49="tbd")+('MiT Strom Pipeline'!R49="In evaluation")&gt;0,IF(LEN('MiT Strom Pipeline'!V49)&gt;0,LEFT('MiT Strom Pipeline'!V49,55),""),"")</f>
        <v/>
      </c>
    </row>
    <row r="183" hidden="1" ht="15.75" customHeight="1">
      <c r="A183" s="34">
        <f>IF(('MiT Strom Pipeline'!R50="follow-up")+('MiT Strom Pipeline'!R50="Evaluation")+('MiT Strom Pipeline'!R50="tbd")+('MiT Strom Pipeline'!R50="In evaluation")&gt;0,IF(ISNUMBER('MiT Strom Pipeline'!A50),'MiT Strom Pipeline'!A50,""),"")</f>
        <v/>
      </c>
      <c r="B183" s="35">
        <f>IF(('MiT Strom Pipeline'!R50="follow-up")+('MiT Strom Pipeline'!R50="Evaluation")+('MiT Strom Pipeline'!R50="tbd")+('MiT Strom Pipeline'!R50="In evaluation")&gt;0,'MiT Strom Pipeline'!B50,"")</f>
        <v/>
      </c>
      <c r="C183" s="34">
        <f>IF(('MiT Strom Pipeline'!R50="follow-up")+('MiT Strom Pipeline'!R50="Evaluation")+('MiT Strom Pipeline'!R50="tbd")+('MiT Strom Pipeline'!R50="In evaluation")&gt;0,'MiT Strom Pipeline'!C50,"")</f>
        <v/>
      </c>
      <c r="D183" s="35">
        <f>IF(('MiT Strom Pipeline'!R50="follow-up")+('MiT Strom Pipeline'!R50="Evaluation")+('MiT Strom Pipeline'!R50="tbd")+('MiT Strom Pipeline'!R50="In evaluation")&gt;0,'MiT Strom Pipeline'!D50,"")</f>
        <v/>
      </c>
      <c r="E183" s="35">
        <f>IF(('MiT Strom Pipeline'!R50="follow-up")+('MiT Strom Pipeline'!R50="Evaluation")+('MiT Strom Pipeline'!R50="tbd")+('MiT Strom Pipeline'!R50="In evaluation")&gt;0,'MiT Strom Pipeline'!E50,"")</f>
        <v/>
      </c>
      <c r="F183" s="55">
        <f>IF(('MiT Strom Pipeline'!R50="follow-up")+('MiT Strom Pipeline'!R50="Evaluation")+('MiT Strom Pipeline'!R50="tbd")+('MiT Strom Pipeline'!R50="In evaluation")&gt;0,IF(ISNUMBER('MiT Strom Pipeline'!I50),'MiT Strom Pipeline'!I50,0),"")</f>
        <v/>
      </c>
      <c r="G183" s="55">
        <f>IF(('MiT Strom Pipeline'!R50="follow-up")+('MiT Strom Pipeline'!R50="Evaluation")+('MiT Strom Pipeline'!R50="tbd")+('MiT Strom Pipeline'!R50="In evaluation")&gt;0,IF(ISNUMBER('MiT Strom Pipeline'!Q50),'MiT Strom Pipeline'!Q50,0),"")</f>
        <v/>
      </c>
      <c r="H183" s="34">
        <f>IF(('MiT Strom Pipeline'!R50="follow-up")+('MiT Strom Pipeline'!R50="Evaluation")+('MiT Strom Pipeline'!R50="tbd")+('MiT Strom Pipeline'!R50="In evaluation")&gt;0,'MiT Strom Pipeline'!R50,"")</f>
        <v/>
      </c>
      <c r="I183" s="34">
        <f>IF(('MiT Strom Pipeline'!R50="follow-up")+('MiT Strom Pipeline'!R50="Evaluation")+('MiT Strom Pipeline'!R50="tbd")+('MiT Strom Pipeline'!R50="In evaluation")&gt;0,'MiT Strom Pipeline'!S50,"")</f>
        <v/>
      </c>
      <c r="J183" s="35">
        <f>IF(('MiT Strom Pipeline'!R50="follow-up")+('MiT Strom Pipeline'!R50="Evaluation")+('MiT Strom Pipeline'!R50="tbd")+('MiT Strom Pipeline'!R50="In evaluation")&gt;0,IF(LEN('MiT Strom Pipeline'!V50)&gt;0,LEFT('MiT Strom Pipeline'!V50,55),""),"")</f>
        <v/>
      </c>
    </row>
    <row r="184" hidden="1" ht="15.75" customHeight="1">
      <c r="A184" s="22">
        <f>IF(('MiT Strom Pipeline'!R51="follow-up")+('MiT Strom Pipeline'!R51="Evaluation")+('MiT Strom Pipeline'!R51="tbd")+('MiT Strom Pipeline'!R51="In evaluation")&gt;0,IF(ISNUMBER('MiT Strom Pipeline'!A51),'MiT Strom Pipeline'!A51,""),"")</f>
        <v/>
      </c>
      <c r="B184" s="23">
        <f>IF(('MiT Strom Pipeline'!R51="follow-up")+('MiT Strom Pipeline'!R51="Evaluation")+('MiT Strom Pipeline'!R51="tbd")+('MiT Strom Pipeline'!R51="In evaluation")&gt;0,'MiT Strom Pipeline'!B51,"")</f>
        <v/>
      </c>
      <c r="C184" s="22">
        <f>IF(('MiT Strom Pipeline'!R51="follow-up")+('MiT Strom Pipeline'!R51="Evaluation")+('MiT Strom Pipeline'!R51="tbd")+('MiT Strom Pipeline'!R51="In evaluation")&gt;0,'MiT Strom Pipeline'!C51,"")</f>
        <v/>
      </c>
      <c r="D184" s="23">
        <f>IF(('MiT Strom Pipeline'!R51="follow-up")+('MiT Strom Pipeline'!R51="Evaluation")+('MiT Strom Pipeline'!R51="tbd")+('MiT Strom Pipeline'!R51="In evaluation")&gt;0,'MiT Strom Pipeline'!D51,"")</f>
        <v/>
      </c>
      <c r="E184" s="23">
        <f>IF(('MiT Strom Pipeline'!R51="follow-up")+('MiT Strom Pipeline'!R51="Evaluation")+('MiT Strom Pipeline'!R51="tbd")+('MiT Strom Pipeline'!R51="In evaluation")&gt;0,'MiT Strom Pipeline'!E51,"")</f>
        <v/>
      </c>
      <c r="F184" s="49">
        <f>IF(('MiT Strom Pipeline'!R51="follow-up")+('MiT Strom Pipeline'!R51="Evaluation")+('MiT Strom Pipeline'!R51="tbd")+('MiT Strom Pipeline'!R51="In evaluation")&gt;0,IF(ISNUMBER('MiT Strom Pipeline'!I51),'MiT Strom Pipeline'!I51,0),"")</f>
        <v/>
      </c>
      <c r="G184" s="49">
        <f>IF(('MiT Strom Pipeline'!R51="follow-up")+('MiT Strom Pipeline'!R51="Evaluation")+('MiT Strom Pipeline'!R51="tbd")+('MiT Strom Pipeline'!R51="In evaluation")&gt;0,IF(ISNUMBER('MiT Strom Pipeline'!Q51),'MiT Strom Pipeline'!Q51,0),"")</f>
        <v/>
      </c>
      <c r="H184" s="22">
        <f>IF(('MiT Strom Pipeline'!R51="follow-up")+('MiT Strom Pipeline'!R51="Evaluation")+('MiT Strom Pipeline'!R51="tbd")+('MiT Strom Pipeline'!R51="In evaluation")&gt;0,'MiT Strom Pipeline'!R51,"")</f>
        <v/>
      </c>
      <c r="I184" s="22">
        <f>IF(('MiT Strom Pipeline'!R51="follow-up")+('MiT Strom Pipeline'!R51="Evaluation")+('MiT Strom Pipeline'!R51="tbd")+('MiT Strom Pipeline'!R51="In evaluation")&gt;0,'MiT Strom Pipeline'!S51,"")</f>
        <v/>
      </c>
      <c r="J184" s="23">
        <f>IF(('MiT Strom Pipeline'!R51="follow-up")+('MiT Strom Pipeline'!R51="Evaluation")+('MiT Strom Pipeline'!R51="tbd")+('MiT Strom Pipeline'!R51="In evaluation")&gt;0,IF(LEN('MiT Strom Pipeline'!V51)&gt;0,LEFT('MiT Strom Pipeline'!V51,55),""),"")</f>
        <v/>
      </c>
    </row>
    <row r="185" hidden="1" ht="15.75" customHeight="1">
      <c r="A185" s="34">
        <f>IF(('MiT Strom Pipeline'!R52="follow-up")+('MiT Strom Pipeline'!R52="Evaluation")+('MiT Strom Pipeline'!R52="tbd")+('MiT Strom Pipeline'!R52="In evaluation")&gt;0,IF(ISNUMBER('MiT Strom Pipeline'!A52),'MiT Strom Pipeline'!A52,""),"")</f>
        <v/>
      </c>
      <c r="B185" s="35">
        <f>IF(('MiT Strom Pipeline'!R52="follow-up")+('MiT Strom Pipeline'!R52="Evaluation")+('MiT Strom Pipeline'!R52="tbd")+('MiT Strom Pipeline'!R52="In evaluation")&gt;0,'MiT Strom Pipeline'!B52,"")</f>
        <v/>
      </c>
      <c r="C185" s="34">
        <f>IF(('MiT Strom Pipeline'!R52="follow-up")+('MiT Strom Pipeline'!R52="Evaluation")+('MiT Strom Pipeline'!R52="tbd")+('MiT Strom Pipeline'!R52="In evaluation")&gt;0,'MiT Strom Pipeline'!C52,"")</f>
        <v/>
      </c>
      <c r="D185" s="35">
        <f>IF(('MiT Strom Pipeline'!R52="follow-up")+('MiT Strom Pipeline'!R52="Evaluation")+('MiT Strom Pipeline'!R52="tbd")+('MiT Strom Pipeline'!R52="In evaluation")&gt;0,'MiT Strom Pipeline'!D52,"")</f>
        <v/>
      </c>
      <c r="E185" s="35">
        <f>IF(('MiT Strom Pipeline'!R52="follow-up")+('MiT Strom Pipeline'!R52="Evaluation")+('MiT Strom Pipeline'!R52="tbd")+('MiT Strom Pipeline'!R52="In evaluation")&gt;0,'MiT Strom Pipeline'!E52,"")</f>
        <v/>
      </c>
      <c r="F185" s="55">
        <f>IF(('MiT Strom Pipeline'!R52="follow-up")+('MiT Strom Pipeline'!R52="Evaluation")+('MiT Strom Pipeline'!R52="tbd")+('MiT Strom Pipeline'!R52="In evaluation")&gt;0,IF(ISNUMBER('MiT Strom Pipeline'!I52),'MiT Strom Pipeline'!I52,0),"")</f>
        <v/>
      </c>
      <c r="G185" s="55">
        <f>IF(('MiT Strom Pipeline'!R52="follow-up")+('MiT Strom Pipeline'!R52="Evaluation")+('MiT Strom Pipeline'!R52="tbd")+('MiT Strom Pipeline'!R52="In evaluation")&gt;0,IF(ISNUMBER('MiT Strom Pipeline'!Q52),'MiT Strom Pipeline'!Q52,0),"")</f>
        <v/>
      </c>
      <c r="H185" s="34">
        <f>IF(('MiT Strom Pipeline'!R52="follow-up")+('MiT Strom Pipeline'!R52="Evaluation")+('MiT Strom Pipeline'!R52="tbd")+('MiT Strom Pipeline'!R52="In evaluation")&gt;0,'MiT Strom Pipeline'!R52,"")</f>
        <v/>
      </c>
      <c r="I185" s="34">
        <f>IF(('MiT Strom Pipeline'!R52="follow-up")+('MiT Strom Pipeline'!R52="Evaluation")+('MiT Strom Pipeline'!R52="tbd")+('MiT Strom Pipeline'!R52="In evaluation")&gt;0,'MiT Strom Pipeline'!S52,"")</f>
        <v/>
      </c>
      <c r="J185" s="35">
        <f>IF(('MiT Strom Pipeline'!R52="follow-up")+('MiT Strom Pipeline'!R52="Evaluation")+('MiT Strom Pipeline'!R52="tbd")+('MiT Strom Pipeline'!R52="In evaluation")&gt;0,IF(LEN('MiT Strom Pipeline'!V52)&gt;0,LEFT('MiT Strom Pipeline'!V52,55),""),"")</f>
        <v/>
      </c>
    </row>
    <row r="186" hidden="1" ht="15.75" customHeight="1">
      <c r="A186" s="22">
        <f>IF(('MiT Strom Pipeline'!R53="follow-up")+('MiT Strom Pipeline'!R53="Evaluation")+('MiT Strom Pipeline'!R53="tbd")+('MiT Strom Pipeline'!R53="In evaluation")&gt;0,IF(ISNUMBER('MiT Strom Pipeline'!A53),'MiT Strom Pipeline'!A53,""),"")</f>
        <v/>
      </c>
      <c r="B186" s="23">
        <f>IF(('MiT Strom Pipeline'!R53="follow-up")+('MiT Strom Pipeline'!R53="Evaluation")+('MiT Strom Pipeline'!R53="tbd")+('MiT Strom Pipeline'!R53="In evaluation")&gt;0,'MiT Strom Pipeline'!B53,"")</f>
        <v/>
      </c>
      <c r="C186" s="22">
        <f>IF(('MiT Strom Pipeline'!R53="follow-up")+('MiT Strom Pipeline'!R53="Evaluation")+('MiT Strom Pipeline'!R53="tbd")+('MiT Strom Pipeline'!R53="In evaluation")&gt;0,'MiT Strom Pipeline'!C53,"")</f>
        <v/>
      </c>
      <c r="D186" s="23">
        <f>IF(('MiT Strom Pipeline'!R53="follow-up")+('MiT Strom Pipeline'!R53="Evaluation")+('MiT Strom Pipeline'!R53="tbd")+('MiT Strom Pipeline'!R53="In evaluation")&gt;0,'MiT Strom Pipeline'!D53,"")</f>
        <v/>
      </c>
      <c r="E186" s="23">
        <f>IF(('MiT Strom Pipeline'!R53="follow-up")+('MiT Strom Pipeline'!R53="Evaluation")+('MiT Strom Pipeline'!R53="tbd")+('MiT Strom Pipeline'!R53="In evaluation")&gt;0,'MiT Strom Pipeline'!E53,"")</f>
        <v/>
      </c>
      <c r="F186" s="49">
        <f>IF(('MiT Strom Pipeline'!R53="follow-up")+('MiT Strom Pipeline'!R53="Evaluation")+('MiT Strom Pipeline'!R53="tbd")+('MiT Strom Pipeline'!R53="In evaluation")&gt;0,IF(ISNUMBER('MiT Strom Pipeline'!I53),'MiT Strom Pipeline'!I53,0),"")</f>
        <v/>
      </c>
      <c r="G186" s="49">
        <f>IF(('MiT Strom Pipeline'!R53="follow-up")+('MiT Strom Pipeline'!R53="Evaluation")+('MiT Strom Pipeline'!R53="tbd")+('MiT Strom Pipeline'!R53="In evaluation")&gt;0,IF(ISNUMBER('MiT Strom Pipeline'!Q53),'MiT Strom Pipeline'!Q53,0),"")</f>
        <v/>
      </c>
      <c r="H186" s="22">
        <f>IF(('MiT Strom Pipeline'!R53="follow-up")+('MiT Strom Pipeline'!R53="Evaluation")+('MiT Strom Pipeline'!R53="tbd")+('MiT Strom Pipeline'!R53="In evaluation")&gt;0,'MiT Strom Pipeline'!R53,"")</f>
        <v/>
      </c>
      <c r="I186" s="22">
        <f>IF(('MiT Strom Pipeline'!R53="follow-up")+('MiT Strom Pipeline'!R53="Evaluation")+('MiT Strom Pipeline'!R53="tbd")+('MiT Strom Pipeline'!R53="In evaluation")&gt;0,'MiT Strom Pipeline'!S53,"")</f>
        <v/>
      </c>
      <c r="J186" s="23">
        <f>IF(('MiT Strom Pipeline'!R53="follow-up")+('MiT Strom Pipeline'!R53="Evaluation")+('MiT Strom Pipeline'!R53="tbd")+('MiT Strom Pipeline'!R53="In evaluation")&gt;0,IF(LEN('MiT Strom Pipeline'!V53)&gt;0,LEFT('MiT Strom Pipeline'!V53,55),""),"")</f>
        <v/>
      </c>
    </row>
    <row r="187" hidden="1" ht="15.75" customHeight="1">
      <c r="A187" s="34">
        <f>IF(('MiT Strom Pipeline'!R54="follow-up")+('MiT Strom Pipeline'!R54="Evaluation")+('MiT Strom Pipeline'!R54="tbd")+('MiT Strom Pipeline'!R54="In evaluation")&gt;0,IF(ISNUMBER('MiT Strom Pipeline'!A54),'MiT Strom Pipeline'!A54,""),"")</f>
        <v/>
      </c>
      <c r="B187" s="35">
        <f>IF(('MiT Strom Pipeline'!R54="follow-up")+('MiT Strom Pipeline'!R54="Evaluation")+('MiT Strom Pipeline'!R54="tbd")+('MiT Strom Pipeline'!R54="In evaluation")&gt;0,'MiT Strom Pipeline'!B54,"")</f>
        <v/>
      </c>
      <c r="C187" s="34">
        <f>IF(('MiT Strom Pipeline'!R54="follow-up")+('MiT Strom Pipeline'!R54="Evaluation")+('MiT Strom Pipeline'!R54="tbd")+('MiT Strom Pipeline'!R54="In evaluation")&gt;0,'MiT Strom Pipeline'!C54,"")</f>
        <v/>
      </c>
      <c r="D187" s="35">
        <f>IF(('MiT Strom Pipeline'!R54="follow-up")+('MiT Strom Pipeline'!R54="Evaluation")+('MiT Strom Pipeline'!R54="tbd")+('MiT Strom Pipeline'!R54="In evaluation")&gt;0,'MiT Strom Pipeline'!D54,"")</f>
        <v/>
      </c>
      <c r="E187" s="35">
        <f>IF(('MiT Strom Pipeline'!R54="follow-up")+('MiT Strom Pipeline'!R54="Evaluation")+('MiT Strom Pipeline'!R54="tbd")+('MiT Strom Pipeline'!R54="In evaluation")&gt;0,'MiT Strom Pipeline'!E54,"")</f>
        <v/>
      </c>
      <c r="F187" s="55">
        <f>IF(('MiT Strom Pipeline'!R54="follow-up")+('MiT Strom Pipeline'!R54="Evaluation")+('MiT Strom Pipeline'!R54="tbd")+('MiT Strom Pipeline'!R54="In evaluation")&gt;0,IF(ISNUMBER('MiT Strom Pipeline'!I54),'MiT Strom Pipeline'!I54,0),"")</f>
        <v/>
      </c>
      <c r="G187" s="55">
        <f>IF(('MiT Strom Pipeline'!R54="follow-up")+('MiT Strom Pipeline'!R54="Evaluation")+('MiT Strom Pipeline'!R54="tbd")+('MiT Strom Pipeline'!R54="In evaluation")&gt;0,IF(ISNUMBER('MiT Strom Pipeline'!Q54),'MiT Strom Pipeline'!Q54,0),"")</f>
        <v/>
      </c>
      <c r="H187" s="34">
        <f>IF(('MiT Strom Pipeline'!R54="follow-up")+('MiT Strom Pipeline'!R54="Evaluation")+('MiT Strom Pipeline'!R54="tbd")+('MiT Strom Pipeline'!R54="In evaluation")&gt;0,'MiT Strom Pipeline'!R54,"")</f>
        <v/>
      </c>
      <c r="I187" s="34">
        <f>IF(('MiT Strom Pipeline'!R54="follow-up")+('MiT Strom Pipeline'!R54="Evaluation")+('MiT Strom Pipeline'!R54="tbd")+('MiT Strom Pipeline'!R54="In evaluation")&gt;0,'MiT Strom Pipeline'!S54,"")</f>
        <v/>
      </c>
      <c r="J187" s="35">
        <f>IF(('MiT Strom Pipeline'!R54="follow-up")+('MiT Strom Pipeline'!R54="Evaluation")+('MiT Strom Pipeline'!R54="tbd")+('MiT Strom Pipeline'!R54="In evaluation")&gt;0,IF(LEN('MiT Strom Pipeline'!V54)&gt;0,LEFT('MiT Strom Pipeline'!V54,55),""),"")</f>
        <v/>
      </c>
    </row>
    <row r="188" hidden="1" ht="15.75" customHeight="1">
      <c r="A188" s="22">
        <f>IF(('MiT Strom Pipeline'!R55="follow-up")+('MiT Strom Pipeline'!R55="Evaluation")+('MiT Strom Pipeline'!R55="tbd")+('MiT Strom Pipeline'!R55="In evaluation")&gt;0,IF(ISNUMBER('MiT Strom Pipeline'!A55),'MiT Strom Pipeline'!A55,""),"")</f>
        <v/>
      </c>
      <c r="B188" s="23">
        <f>IF(('MiT Strom Pipeline'!R55="follow-up")+('MiT Strom Pipeline'!R55="Evaluation")+('MiT Strom Pipeline'!R55="tbd")+('MiT Strom Pipeline'!R55="In evaluation")&gt;0,'MiT Strom Pipeline'!B55,"")</f>
        <v/>
      </c>
      <c r="C188" s="22">
        <f>IF(('MiT Strom Pipeline'!R55="follow-up")+('MiT Strom Pipeline'!R55="Evaluation")+('MiT Strom Pipeline'!R55="tbd")+('MiT Strom Pipeline'!R55="In evaluation")&gt;0,'MiT Strom Pipeline'!C55,"")</f>
        <v/>
      </c>
      <c r="D188" s="23">
        <f>IF(('MiT Strom Pipeline'!R55="follow-up")+('MiT Strom Pipeline'!R55="Evaluation")+('MiT Strom Pipeline'!R55="tbd")+('MiT Strom Pipeline'!R55="In evaluation")&gt;0,'MiT Strom Pipeline'!D55,"")</f>
        <v/>
      </c>
      <c r="E188" s="23">
        <f>IF(('MiT Strom Pipeline'!R55="follow-up")+('MiT Strom Pipeline'!R55="Evaluation")+('MiT Strom Pipeline'!R55="tbd")+('MiT Strom Pipeline'!R55="In evaluation")&gt;0,'MiT Strom Pipeline'!E55,"")</f>
        <v/>
      </c>
      <c r="F188" s="49">
        <f>IF(('MiT Strom Pipeline'!R55="follow-up")+('MiT Strom Pipeline'!R55="Evaluation")+('MiT Strom Pipeline'!R55="tbd")+('MiT Strom Pipeline'!R55="In evaluation")&gt;0,IF(ISNUMBER('MiT Strom Pipeline'!I55),'MiT Strom Pipeline'!I55,0),"")</f>
        <v/>
      </c>
      <c r="G188" s="49">
        <f>IF(('MiT Strom Pipeline'!R55="follow-up")+('MiT Strom Pipeline'!R55="Evaluation")+('MiT Strom Pipeline'!R55="tbd")+('MiT Strom Pipeline'!R55="In evaluation")&gt;0,IF(ISNUMBER('MiT Strom Pipeline'!Q55),'MiT Strom Pipeline'!Q55,0),"")</f>
        <v/>
      </c>
      <c r="H188" s="22">
        <f>IF(('MiT Strom Pipeline'!R55="follow-up")+('MiT Strom Pipeline'!R55="Evaluation")+('MiT Strom Pipeline'!R55="tbd")+('MiT Strom Pipeline'!R55="In evaluation")&gt;0,'MiT Strom Pipeline'!R55,"")</f>
        <v/>
      </c>
      <c r="I188" s="22">
        <f>IF(('MiT Strom Pipeline'!R55="follow-up")+('MiT Strom Pipeline'!R55="Evaluation")+('MiT Strom Pipeline'!R55="tbd")+('MiT Strom Pipeline'!R55="In evaluation")&gt;0,'MiT Strom Pipeline'!S55,"")</f>
        <v/>
      </c>
      <c r="J188" s="23">
        <f>IF(('MiT Strom Pipeline'!R55="follow-up")+('MiT Strom Pipeline'!R55="Evaluation")+('MiT Strom Pipeline'!R55="tbd")+('MiT Strom Pipeline'!R55="In evaluation")&gt;0,IF(LEN('MiT Strom Pipeline'!V55)&gt;0,LEFT('MiT Strom Pipeline'!V55,55),""),"")</f>
        <v/>
      </c>
    </row>
    <row r="189" hidden="1" ht="15.75" customHeight="1">
      <c r="A189" s="34">
        <f>IF(('MiT Strom Pipeline'!R56="follow-up")+('MiT Strom Pipeline'!R56="Evaluation")+('MiT Strom Pipeline'!R56="tbd")+('MiT Strom Pipeline'!R56="In evaluation")&gt;0,IF(ISNUMBER('MiT Strom Pipeline'!A56),'MiT Strom Pipeline'!A56,""),"")</f>
        <v/>
      </c>
      <c r="B189" s="35">
        <f>IF(('MiT Strom Pipeline'!R56="follow-up")+('MiT Strom Pipeline'!R56="Evaluation")+('MiT Strom Pipeline'!R56="tbd")+('MiT Strom Pipeline'!R56="In evaluation")&gt;0,'MiT Strom Pipeline'!B56,"")</f>
        <v/>
      </c>
      <c r="C189" s="34">
        <f>IF(('MiT Strom Pipeline'!R56="follow-up")+('MiT Strom Pipeline'!R56="Evaluation")+('MiT Strom Pipeline'!R56="tbd")+('MiT Strom Pipeline'!R56="In evaluation")&gt;0,'MiT Strom Pipeline'!C56,"")</f>
        <v/>
      </c>
      <c r="D189" s="35">
        <f>IF(('MiT Strom Pipeline'!R56="follow-up")+('MiT Strom Pipeline'!R56="Evaluation")+('MiT Strom Pipeline'!R56="tbd")+('MiT Strom Pipeline'!R56="In evaluation")&gt;0,'MiT Strom Pipeline'!D56,"")</f>
        <v/>
      </c>
      <c r="E189" s="35">
        <f>IF(('MiT Strom Pipeline'!R56="follow-up")+('MiT Strom Pipeline'!R56="Evaluation")+('MiT Strom Pipeline'!R56="tbd")+('MiT Strom Pipeline'!R56="In evaluation")&gt;0,'MiT Strom Pipeline'!E56,"")</f>
        <v/>
      </c>
      <c r="F189" s="55">
        <f>IF(('MiT Strom Pipeline'!R56="follow-up")+('MiT Strom Pipeline'!R56="Evaluation")+('MiT Strom Pipeline'!R56="tbd")+('MiT Strom Pipeline'!R56="In evaluation")&gt;0,IF(ISNUMBER('MiT Strom Pipeline'!I56),'MiT Strom Pipeline'!I56,0),"")</f>
        <v/>
      </c>
      <c r="G189" s="55">
        <f>IF(('MiT Strom Pipeline'!R56="follow-up")+('MiT Strom Pipeline'!R56="Evaluation")+('MiT Strom Pipeline'!R56="tbd")+('MiT Strom Pipeline'!R56="In evaluation")&gt;0,IF(ISNUMBER('MiT Strom Pipeline'!Q56),'MiT Strom Pipeline'!Q56,0),"")</f>
        <v/>
      </c>
      <c r="H189" s="34">
        <f>IF(('MiT Strom Pipeline'!R56="follow-up")+('MiT Strom Pipeline'!R56="Evaluation")+('MiT Strom Pipeline'!R56="tbd")+('MiT Strom Pipeline'!R56="In evaluation")&gt;0,'MiT Strom Pipeline'!R56,"")</f>
        <v/>
      </c>
      <c r="I189" s="34">
        <f>IF(('MiT Strom Pipeline'!R56="follow-up")+('MiT Strom Pipeline'!R56="Evaluation")+('MiT Strom Pipeline'!R56="tbd")+('MiT Strom Pipeline'!R56="In evaluation")&gt;0,'MiT Strom Pipeline'!S56,"")</f>
        <v/>
      </c>
      <c r="J189" s="35">
        <f>IF(('MiT Strom Pipeline'!R56="follow-up")+('MiT Strom Pipeline'!R56="Evaluation")+('MiT Strom Pipeline'!R56="tbd")+('MiT Strom Pipeline'!R56="In evaluation")&gt;0,IF(LEN('MiT Strom Pipeline'!V56)&gt;0,LEFT('MiT Strom Pipeline'!V56,55),""),"")</f>
        <v/>
      </c>
    </row>
    <row r="190" hidden="1" ht="15.75" customHeight="1">
      <c r="A190" s="22">
        <f>IF(('MiT Strom Pipeline'!R57="follow-up")+('MiT Strom Pipeline'!R57="Evaluation")+('MiT Strom Pipeline'!R57="tbd")+('MiT Strom Pipeline'!R57="In evaluation")&gt;0,IF(ISNUMBER('MiT Strom Pipeline'!A57),'MiT Strom Pipeline'!A57,""),"")</f>
        <v/>
      </c>
      <c r="B190" s="23">
        <f>IF(('MiT Strom Pipeline'!R57="follow-up")+('MiT Strom Pipeline'!R57="Evaluation")+('MiT Strom Pipeline'!R57="tbd")+('MiT Strom Pipeline'!R57="In evaluation")&gt;0,'MiT Strom Pipeline'!B57,"")</f>
        <v/>
      </c>
      <c r="C190" s="22">
        <f>IF(('MiT Strom Pipeline'!R57="follow-up")+('MiT Strom Pipeline'!R57="Evaluation")+('MiT Strom Pipeline'!R57="tbd")+('MiT Strom Pipeline'!R57="In evaluation")&gt;0,'MiT Strom Pipeline'!C57,"")</f>
        <v/>
      </c>
      <c r="D190" s="23">
        <f>IF(('MiT Strom Pipeline'!R57="follow-up")+('MiT Strom Pipeline'!R57="Evaluation")+('MiT Strom Pipeline'!R57="tbd")+('MiT Strom Pipeline'!R57="In evaluation")&gt;0,'MiT Strom Pipeline'!D57,"")</f>
        <v/>
      </c>
      <c r="E190" s="23">
        <f>IF(('MiT Strom Pipeline'!R57="follow-up")+('MiT Strom Pipeline'!R57="Evaluation")+('MiT Strom Pipeline'!R57="tbd")+('MiT Strom Pipeline'!R57="In evaluation")&gt;0,'MiT Strom Pipeline'!E57,"")</f>
        <v/>
      </c>
      <c r="F190" s="49">
        <f>IF(('MiT Strom Pipeline'!R57="follow-up")+('MiT Strom Pipeline'!R57="Evaluation")+('MiT Strom Pipeline'!R57="tbd")+('MiT Strom Pipeline'!R57="In evaluation")&gt;0,IF(ISNUMBER('MiT Strom Pipeline'!I57),'MiT Strom Pipeline'!I57,0),"")</f>
        <v/>
      </c>
      <c r="G190" s="49">
        <f>IF(('MiT Strom Pipeline'!R57="follow-up")+('MiT Strom Pipeline'!R57="Evaluation")+('MiT Strom Pipeline'!R57="tbd")+('MiT Strom Pipeline'!R57="In evaluation")&gt;0,IF(ISNUMBER('MiT Strom Pipeline'!Q57),'MiT Strom Pipeline'!Q57,0),"")</f>
        <v/>
      </c>
      <c r="H190" s="22">
        <f>IF(('MiT Strom Pipeline'!R57="follow-up")+('MiT Strom Pipeline'!R57="Evaluation")+('MiT Strom Pipeline'!R57="tbd")+('MiT Strom Pipeline'!R57="In evaluation")&gt;0,'MiT Strom Pipeline'!R57,"")</f>
        <v/>
      </c>
      <c r="I190" s="22">
        <f>IF(('MiT Strom Pipeline'!R57="follow-up")+('MiT Strom Pipeline'!R57="Evaluation")+('MiT Strom Pipeline'!R57="tbd")+('MiT Strom Pipeline'!R57="In evaluation")&gt;0,'MiT Strom Pipeline'!S57,"")</f>
        <v/>
      </c>
      <c r="J190" s="23">
        <f>IF(('MiT Strom Pipeline'!R57="follow-up")+('MiT Strom Pipeline'!R57="Evaluation")+('MiT Strom Pipeline'!R57="tbd")+('MiT Strom Pipeline'!R57="In evaluation")&gt;0,IF(LEN('MiT Strom Pipeline'!V57)&gt;0,LEFT('MiT Strom Pipeline'!V57,55),""),"")</f>
        <v/>
      </c>
    </row>
    <row r="191" hidden="1" ht="15.75" customHeight="1">
      <c r="A191" s="34">
        <f>IF(('MiT Strom Pipeline'!R58="follow-up")+('MiT Strom Pipeline'!R58="Evaluation")+('MiT Strom Pipeline'!R58="tbd")+('MiT Strom Pipeline'!R58="In evaluation")&gt;0,IF(ISNUMBER('MiT Strom Pipeline'!A58),'MiT Strom Pipeline'!A58,""),"")</f>
        <v/>
      </c>
      <c r="B191" s="35">
        <f>IF(('MiT Strom Pipeline'!R58="follow-up")+('MiT Strom Pipeline'!R58="Evaluation")+('MiT Strom Pipeline'!R58="tbd")+('MiT Strom Pipeline'!R58="In evaluation")&gt;0,'MiT Strom Pipeline'!B58,"")</f>
        <v/>
      </c>
      <c r="C191" s="34">
        <f>IF(('MiT Strom Pipeline'!R58="follow-up")+('MiT Strom Pipeline'!R58="Evaluation")+('MiT Strom Pipeline'!R58="tbd")+('MiT Strom Pipeline'!R58="In evaluation")&gt;0,'MiT Strom Pipeline'!C58,"")</f>
        <v/>
      </c>
      <c r="D191" s="35">
        <f>IF(('MiT Strom Pipeline'!R58="follow-up")+('MiT Strom Pipeline'!R58="Evaluation")+('MiT Strom Pipeline'!R58="tbd")+('MiT Strom Pipeline'!R58="In evaluation")&gt;0,'MiT Strom Pipeline'!D58,"")</f>
        <v/>
      </c>
      <c r="E191" s="35">
        <f>IF(('MiT Strom Pipeline'!R58="follow-up")+('MiT Strom Pipeline'!R58="Evaluation")+('MiT Strom Pipeline'!R58="tbd")+('MiT Strom Pipeline'!R58="In evaluation")&gt;0,'MiT Strom Pipeline'!E58,"")</f>
        <v/>
      </c>
      <c r="F191" s="55">
        <f>IF(('MiT Strom Pipeline'!R58="follow-up")+('MiT Strom Pipeline'!R58="Evaluation")+('MiT Strom Pipeline'!R58="tbd")+('MiT Strom Pipeline'!R58="In evaluation")&gt;0,IF(ISNUMBER('MiT Strom Pipeline'!I58),'MiT Strom Pipeline'!I58,0),"")</f>
        <v/>
      </c>
      <c r="G191" s="55">
        <f>IF(('MiT Strom Pipeline'!R58="follow-up")+('MiT Strom Pipeline'!R58="Evaluation")+('MiT Strom Pipeline'!R58="tbd")+('MiT Strom Pipeline'!R58="In evaluation")&gt;0,IF(ISNUMBER('MiT Strom Pipeline'!Q58),'MiT Strom Pipeline'!Q58,0),"")</f>
        <v/>
      </c>
      <c r="H191" s="34">
        <f>IF(('MiT Strom Pipeline'!R58="follow-up")+('MiT Strom Pipeline'!R58="Evaluation")+('MiT Strom Pipeline'!R58="tbd")+('MiT Strom Pipeline'!R58="In evaluation")&gt;0,'MiT Strom Pipeline'!R58,"")</f>
        <v/>
      </c>
      <c r="I191" s="34">
        <f>IF(('MiT Strom Pipeline'!R58="follow-up")+('MiT Strom Pipeline'!R58="Evaluation")+('MiT Strom Pipeline'!R58="tbd")+('MiT Strom Pipeline'!R58="In evaluation")&gt;0,'MiT Strom Pipeline'!S58,"")</f>
        <v/>
      </c>
      <c r="J191" s="35">
        <f>IF(('MiT Strom Pipeline'!R58="follow-up")+('MiT Strom Pipeline'!R58="Evaluation")+('MiT Strom Pipeline'!R58="tbd")+('MiT Strom Pipeline'!R58="In evaluation")&gt;0,IF(LEN('MiT Strom Pipeline'!V58)&gt;0,LEFT('MiT Strom Pipeline'!V58,55),""),"")</f>
        <v/>
      </c>
    </row>
    <row r="192" hidden="1" ht="15.75" customHeight="1">
      <c r="A192" s="22">
        <f>IF(('MiT Strom Pipeline'!R59="follow-up")+('MiT Strom Pipeline'!R59="Evaluation")+('MiT Strom Pipeline'!R59="tbd")+('MiT Strom Pipeline'!R59="In evaluation")&gt;0,IF(ISNUMBER('MiT Strom Pipeline'!A59),'MiT Strom Pipeline'!A59,""),"")</f>
        <v/>
      </c>
      <c r="B192" s="23">
        <f>IF(('MiT Strom Pipeline'!R59="follow-up")+('MiT Strom Pipeline'!R59="Evaluation")+('MiT Strom Pipeline'!R59="tbd")+('MiT Strom Pipeline'!R59="In evaluation")&gt;0,'MiT Strom Pipeline'!B59,"")</f>
        <v/>
      </c>
      <c r="C192" s="22">
        <f>IF(('MiT Strom Pipeline'!R59="follow-up")+('MiT Strom Pipeline'!R59="Evaluation")+('MiT Strom Pipeline'!R59="tbd")+('MiT Strom Pipeline'!R59="In evaluation")&gt;0,'MiT Strom Pipeline'!C59,"")</f>
        <v/>
      </c>
      <c r="D192" s="23">
        <f>IF(('MiT Strom Pipeline'!R59="follow-up")+('MiT Strom Pipeline'!R59="Evaluation")+('MiT Strom Pipeline'!R59="tbd")+('MiT Strom Pipeline'!R59="In evaluation")&gt;0,'MiT Strom Pipeline'!D59,"")</f>
        <v/>
      </c>
      <c r="E192" s="23">
        <f>IF(('MiT Strom Pipeline'!R59="follow-up")+('MiT Strom Pipeline'!R59="Evaluation")+('MiT Strom Pipeline'!R59="tbd")+('MiT Strom Pipeline'!R59="In evaluation")&gt;0,'MiT Strom Pipeline'!E59,"")</f>
        <v/>
      </c>
      <c r="F192" s="49">
        <f>IF(('MiT Strom Pipeline'!R59="follow-up")+('MiT Strom Pipeline'!R59="Evaluation")+('MiT Strom Pipeline'!R59="tbd")+('MiT Strom Pipeline'!R59="In evaluation")&gt;0,IF(ISNUMBER('MiT Strom Pipeline'!I59),'MiT Strom Pipeline'!I59,0),"")</f>
        <v/>
      </c>
      <c r="G192" s="49">
        <f>IF(('MiT Strom Pipeline'!R59="follow-up")+('MiT Strom Pipeline'!R59="Evaluation")+('MiT Strom Pipeline'!R59="tbd")+('MiT Strom Pipeline'!R59="In evaluation")&gt;0,IF(ISNUMBER('MiT Strom Pipeline'!Q59),'MiT Strom Pipeline'!Q59,0),"")</f>
        <v/>
      </c>
      <c r="H192" s="22">
        <f>IF(('MiT Strom Pipeline'!R59="follow-up")+('MiT Strom Pipeline'!R59="Evaluation")+('MiT Strom Pipeline'!R59="tbd")+('MiT Strom Pipeline'!R59="In evaluation")&gt;0,'MiT Strom Pipeline'!R59,"")</f>
        <v/>
      </c>
      <c r="I192" s="22">
        <f>IF(('MiT Strom Pipeline'!R59="follow-up")+('MiT Strom Pipeline'!R59="Evaluation")+('MiT Strom Pipeline'!R59="tbd")+('MiT Strom Pipeline'!R59="In evaluation")&gt;0,'MiT Strom Pipeline'!S59,"")</f>
        <v/>
      </c>
      <c r="J192" s="23">
        <f>IF(('MiT Strom Pipeline'!R59="follow-up")+('MiT Strom Pipeline'!R59="Evaluation")+('MiT Strom Pipeline'!R59="tbd")+('MiT Strom Pipeline'!R59="In evaluation")&gt;0,IF(LEN('MiT Strom Pipeline'!V59)&gt;0,LEFT('MiT Strom Pipeline'!V59,55),""),"")</f>
        <v/>
      </c>
    </row>
    <row r="193" hidden="1" ht="15.75" customHeight="1">
      <c r="A193" s="34">
        <f>IF(('MiT Strom Pipeline'!R60="follow-up")+('MiT Strom Pipeline'!R60="Evaluation")+('MiT Strom Pipeline'!R60="tbd")+('MiT Strom Pipeline'!R60="In evaluation")&gt;0,IF(ISNUMBER('MiT Strom Pipeline'!A60),'MiT Strom Pipeline'!A60,""),"")</f>
        <v/>
      </c>
      <c r="B193" s="35">
        <f>IF(('MiT Strom Pipeline'!R60="follow-up")+('MiT Strom Pipeline'!R60="Evaluation")+('MiT Strom Pipeline'!R60="tbd")+('MiT Strom Pipeline'!R60="In evaluation")&gt;0,'MiT Strom Pipeline'!B60,"")</f>
        <v/>
      </c>
      <c r="C193" s="34">
        <f>IF(('MiT Strom Pipeline'!R60="follow-up")+('MiT Strom Pipeline'!R60="Evaluation")+('MiT Strom Pipeline'!R60="tbd")+('MiT Strom Pipeline'!R60="In evaluation")&gt;0,'MiT Strom Pipeline'!C60,"")</f>
        <v/>
      </c>
      <c r="D193" s="35">
        <f>IF(('MiT Strom Pipeline'!R60="follow-up")+('MiT Strom Pipeline'!R60="Evaluation")+('MiT Strom Pipeline'!R60="tbd")+('MiT Strom Pipeline'!R60="In evaluation")&gt;0,'MiT Strom Pipeline'!D60,"")</f>
        <v/>
      </c>
      <c r="E193" s="35">
        <f>IF(('MiT Strom Pipeline'!R60="follow-up")+('MiT Strom Pipeline'!R60="Evaluation")+('MiT Strom Pipeline'!R60="tbd")+('MiT Strom Pipeline'!R60="In evaluation")&gt;0,'MiT Strom Pipeline'!E60,"")</f>
        <v/>
      </c>
      <c r="F193" s="55">
        <f>IF(('MiT Strom Pipeline'!R60="follow-up")+('MiT Strom Pipeline'!R60="Evaluation")+('MiT Strom Pipeline'!R60="tbd")+('MiT Strom Pipeline'!R60="In evaluation")&gt;0,IF(ISNUMBER('MiT Strom Pipeline'!I60),'MiT Strom Pipeline'!I60,0),"")</f>
        <v/>
      </c>
      <c r="G193" s="55">
        <f>IF(('MiT Strom Pipeline'!R60="follow-up")+('MiT Strom Pipeline'!R60="Evaluation")+('MiT Strom Pipeline'!R60="tbd")+('MiT Strom Pipeline'!R60="In evaluation")&gt;0,IF(ISNUMBER('MiT Strom Pipeline'!Q60),'MiT Strom Pipeline'!Q60,0),"")</f>
        <v/>
      </c>
      <c r="H193" s="34">
        <f>IF(('MiT Strom Pipeline'!R60="follow-up")+('MiT Strom Pipeline'!R60="Evaluation")+('MiT Strom Pipeline'!R60="tbd")+('MiT Strom Pipeline'!R60="In evaluation")&gt;0,'MiT Strom Pipeline'!R60,"")</f>
        <v/>
      </c>
      <c r="I193" s="34">
        <f>IF(('MiT Strom Pipeline'!R60="follow-up")+('MiT Strom Pipeline'!R60="Evaluation")+('MiT Strom Pipeline'!R60="tbd")+('MiT Strom Pipeline'!R60="In evaluation")&gt;0,'MiT Strom Pipeline'!S60,"")</f>
        <v/>
      </c>
      <c r="J193" s="35">
        <f>IF(('MiT Strom Pipeline'!R60="follow-up")+('MiT Strom Pipeline'!R60="Evaluation")+('MiT Strom Pipeline'!R60="tbd")+('MiT Strom Pipeline'!R60="In evaluation")&gt;0,IF(LEN('MiT Strom Pipeline'!V60)&gt;0,LEFT('MiT Strom Pipeline'!V60,55),""),"")</f>
        <v/>
      </c>
    </row>
    <row r="194" hidden="1" ht="15.75" customHeight="1">
      <c r="A194" s="22">
        <f>IF(('MiT Strom Pipeline'!R61="follow-up")+('MiT Strom Pipeline'!R61="Evaluation")+('MiT Strom Pipeline'!R61="tbd")+('MiT Strom Pipeline'!R61="In evaluation")&gt;0,IF(ISNUMBER('MiT Strom Pipeline'!A61),'MiT Strom Pipeline'!A61,""),"")</f>
        <v/>
      </c>
      <c r="B194" s="23">
        <f>IF(('MiT Strom Pipeline'!R61="follow-up")+('MiT Strom Pipeline'!R61="Evaluation")+('MiT Strom Pipeline'!R61="tbd")+('MiT Strom Pipeline'!R61="In evaluation")&gt;0,'MiT Strom Pipeline'!B61,"")</f>
        <v/>
      </c>
      <c r="C194" s="22">
        <f>IF(('MiT Strom Pipeline'!R61="follow-up")+('MiT Strom Pipeline'!R61="Evaluation")+('MiT Strom Pipeline'!R61="tbd")+('MiT Strom Pipeline'!R61="In evaluation")&gt;0,'MiT Strom Pipeline'!C61,"")</f>
        <v/>
      </c>
      <c r="D194" s="23">
        <f>IF(('MiT Strom Pipeline'!R61="follow-up")+('MiT Strom Pipeline'!R61="Evaluation")+('MiT Strom Pipeline'!R61="tbd")+('MiT Strom Pipeline'!R61="In evaluation")&gt;0,'MiT Strom Pipeline'!D61,"")</f>
        <v/>
      </c>
      <c r="E194" s="23">
        <f>IF(('MiT Strom Pipeline'!R61="follow-up")+('MiT Strom Pipeline'!R61="Evaluation")+('MiT Strom Pipeline'!R61="tbd")+('MiT Strom Pipeline'!R61="In evaluation")&gt;0,'MiT Strom Pipeline'!E61,"")</f>
        <v/>
      </c>
      <c r="F194" s="49">
        <f>IF(('MiT Strom Pipeline'!R61="follow-up")+('MiT Strom Pipeline'!R61="Evaluation")+('MiT Strom Pipeline'!R61="tbd")+('MiT Strom Pipeline'!R61="In evaluation")&gt;0,IF(ISNUMBER('MiT Strom Pipeline'!I61),'MiT Strom Pipeline'!I61,0),"")</f>
        <v/>
      </c>
      <c r="G194" s="49">
        <f>IF(('MiT Strom Pipeline'!R61="follow-up")+('MiT Strom Pipeline'!R61="Evaluation")+('MiT Strom Pipeline'!R61="tbd")+('MiT Strom Pipeline'!R61="In evaluation")&gt;0,IF(ISNUMBER('MiT Strom Pipeline'!Q61),'MiT Strom Pipeline'!Q61,0),"")</f>
        <v/>
      </c>
      <c r="H194" s="22">
        <f>IF(('MiT Strom Pipeline'!R61="follow-up")+('MiT Strom Pipeline'!R61="Evaluation")+('MiT Strom Pipeline'!R61="tbd")+('MiT Strom Pipeline'!R61="In evaluation")&gt;0,'MiT Strom Pipeline'!R61,"")</f>
        <v/>
      </c>
      <c r="I194" s="22">
        <f>IF(('MiT Strom Pipeline'!R61="follow-up")+('MiT Strom Pipeline'!R61="Evaluation")+('MiT Strom Pipeline'!R61="tbd")+('MiT Strom Pipeline'!R61="In evaluation")&gt;0,'MiT Strom Pipeline'!S61,"")</f>
        <v/>
      </c>
      <c r="J194" s="23">
        <f>IF(('MiT Strom Pipeline'!R61="follow-up")+('MiT Strom Pipeline'!R61="Evaluation")+('MiT Strom Pipeline'!R61="tbd")+('MiT Strom Pipeline'!R61="In evaluation")&gt;0,IF(LEN('MiT Strom Pipeline'!V61)&gt;0,LEFT('MiT Strom Pipeline'!V61,55),""),"")</f>
        <v/>
      </c>
    </row>
    <row r="195" hidden="1" ht="15.75" customHeight="1">
      <c r="A195" s="34">
        <f>IF(('MiT Strom Pipeline'!R62="follow-up")+('MiT Strom Pipeline'!R62="Evaluation")+('MiT Strom Pipeline'!R62="tbd")+('MiT Strom Pipeline'!R62="In evaluation")&gt;0,IF(ISNUMBER('MiT Strom Pipeline'!A62),'MiT Strom Pipeline'!A62,""),"")</f>
        <v/>
      </c>
      <c r="B195" s="35">
        <f>IF(('MiT Strom Pipeline'!R62="follow-up")+('MiT Strom Pipeline'!R62="Evaluation")+('MiT Strom Pipeline'!R62="tbd")+('MiT Strom Pipeline'!R62="In evaluation")&gt;0,'MiT Strom Pipeline'!B62,"")</f>
        <v/>
      </c>
      <c r="C195" s="34">
        <f>IF(('MiT Strom Pipeline'!R62="follow-up")+('MiT Strom Pipeline'!R62="Evaluation")+('MiT Strom Pipeline'!R62="tbd")+('MiT Strom Pipeline'!R62="In evaluation")&gt;0,'MiT Strom Pipeline'!C62,"")</f>
        <v/>
      </c>
      <c r="D195" s="35">
        <f>IF(('MiT Strom Pipeline'!R62="follow-up")+('MiT Strom Pipeline'!R62="Evaluation")+('MiT Strom Pipeline'!R62="tbd")+('MiT Strom Pipeline'!R62="In evaluation")&gt;0,'MiT Strom Pipeline'!D62,"")</f>
        <v/>
      </c>
      <c r="E195" s="35">
        <f>IF(('MiT Strom Pipeline'!R62="follow-up")+('MiT Strom Pipeline'!R62="Evaluation")+('MiT Strom Pipeline'!R62="tbd")+('MiT Strom Pipeline'!R62="In evaluation")&gt;0,'MiT Strom Pipeline'!E62,"")</f>
        <v/>
      </c>
      <c r="F195" s="55">
        <f>IF(('MiT Strom Pipeline'!R62="follow-up")+('MiT Strom Pipeline'!R62="Evaluation")+('MiT Strom Pipeline'!R62="tbd")+('MiT Strom Pipeline'!R62="In evaluation")&gt;0,IF(ISNUMBER('MiT Strom Pipeline'!I62),'MiT Strom Pipeline'!I62,0),"")</f>
        <v/>
      </c>
      <c r="G195" s="55">
        <f>IF(('MiT Strom Pipeline'!R62="follow-up")+('MiT Strom Pipeline'!R62="Evaluation")+('MiT Strom Pipeline'!R62="tbd")+('MiT Strom Pipeline'!R62="In evaluation")&gt;0,IF(ISNUMBER('MiT Strom Pipeline'!Q62),'MiT Strom Pipeline'!Q62,0),"")</f>
        <v/>
      </c>
      <c r="H195" s="34">
        <f>IF(('MiT Strom Pipeline'!R62="follow-up")+('MiT Strom Pipeline'!R62="Evaluation")+('MiT Strom Pipeline'!R62="tbd")+('MiT Strom Pipeline'!R62="In evaluation")&gt;0,'MiT Strom Pipeline'!R62,"")</f>
        <v/>
      </c>
      <c r="I195" s="34">
        <f>IF(('MiT Strom Pipeline'!R62="follow-up")+('MiT Strom Pipeline'!R62="Evaluation")+('MiT Strom Pipeline'!R62="tbd")+('MiT Strom Pipeline'!R62="In evaluation")&gt;0,'MiT Strom Pipeline'!S62,"")</f>
        <v/>
      </c>
      <c r="J195" s="35">
        <f>IF(('MiT Strom Pipeline'!R62="follow-up")+('MiT Strom Pipeline'!R62="Evaluation")+('MiT Strom Pipeline'!R62="tbd")+('MiT Strom Pipeline'!R62="In evaluation")&gt;0,IF(LEN('MiT Strom Pipeline'!V62)&gt;0,LEFT('MiT Strom Pipeline'!V62,55),""),"")</f>
        <v/>
      </c>
    </row>
    <row r="196" hidden="1" ht="15.75" customHeight="1">
      <c r="A196" s="22">
        <f>IF(('MiT Strom Pipeline'!R63="follow-up")+('MiT Strom Pipeline'!R63="Evaluation")+('MiT Strom Pipeline'!R63="tbd")+('MiT Strom Pipeline'!R63="In evaluation")&gt;0,IF(ISNUMBER('MiT Strom Pipeline'!A63),'MiT Strom Pipeline'!A63,""),"")</f>
        <v/>
      </c>
      <c r="B196" s="23">
        <f>IF(('MiT Strom Pipeline'!R63="follow-up")+('MiT Strom Pipeline'!R63="Evaluation")+('MiT Strom Pipeline'!R63="tbd")+('MiT Strom Pipeline'!R63="In evaluation")&gt;0,'MiT Strom Pipeline'!B63,"")</f>
        <v/>
      </c>
      <c r="C196" s="22">
        <f>IF(('MiT Strom Pipeline'!R63="follow-up")+('MiT Strom Pipeline'!R63="Evaluation")+('MiT Strom Pipeline'!R63="tbd")+('MiT Strom Pipeline'!R63="In evaluation")&gt;0,'MiT Strom Pipeline'!C63,"")</f>
        <v/>
      </c>
      <c r="D196" s="23">
        <f>IF(('MiT Strom Pipeline'!R63="follow-up")+('MiT Strom Pipeline'!R63="Evaluation")+('MiT Strom Pipeline'!R63="tbd")+('MiT Strom Pipeline'!R63="In evaluation")&gt;0,'MiT Strom Pipeline'!D63,"")</f>
        <v/>
      </c>
      <c r="E196" s="23">
        <f>IF(('MiT Strom Pipeline'!R63="follow-up")+('MiT Strom Pipeline'!R63="Evaluation")+('MiT Strom Pipeline'!R63="tbd")+('MiT Strom Pipeline'!R63="In evaluation")&gt;0,'MiT Strom Pipeline'!E63,"")</f>
        <v/>
      </c>
      <c r="F196" s="49">
        <f>IF(('MiT Strom Pipeline'!R63="follow-up")+('MiT Strom Pipeline'!R63="Evaluation")+('MiT Strom Pipeline'!R63="tbd")+('MiT Strom Pipeline'!R63="In evaluation")&gt;0,IF(ISNUMBER('MiT Strom Pipeline'!I63),'MiT Strom Pipeline'!I63,0),"")</f>
        <v/>
      </c>
      <c r="G196" s="49">
        <f>IF(('MiT Strom Pipeline'!R63="follow-up")+('MiT Strom Pipeline'!R63="Evaluation")+('MiT Strom Pipeline'!R63="tbd")+('MiT Strom Pipeline'!R63="In evaluation")&gt;0,IF(ISNUMBER('MiT Strom Pipeline'!Q63),'MiT Strom Pipeline'!Q63,0),"")</f>
        <v/>
      </c>
      <c r="H196" s="22">
        <f>IF(('MiT Strom Pipeline'!R63="follow-up")+('MiT Strom Pipeline'!R63="Evaluation")+('MiT Strom Pipeline'!R63="tbd")+('MiT Strom Pipeline'!R63="In evaluation")&gt;0,'MiT Strom Pipeline'!R63,"")</f>
        <v/>
      </c>
      <c r="I196" s="22">
        <f>IF(('MiT Strom Pipeline'!R63="follow-up")+('MiT Strom Pipeline'!R63="Evaluation")+('MiT Strom Pipeline'!R63="tbd")+('MiT Strom Pipeline'!R63="In evaluation")&gt;0,'MiT Strom Pipeline'!S63,"")</f>
        <v/>
      </c>
      <c r="J196" s="23">
        <f>IF(('MiT Strom Pipeline'!R63="follow-up")+('MiT Strom Pipeline'!R63="Evaluation")+('MiT Strom Pipeline'!R63="tbd")+('MiT Strom Pipeline'!R63="In evaluation")&gt;0,IF(LEN('MiT Strom Pipeline'!V63)&gt;0,LEFT('MiT Strom Pipeline'!V63,55),""),"")</f>
        <v/>
      </c>
    </row>
    <row r="197" hidden="1" ht="15.75" customHeight="1">
      <c r="A197" s="34">
        <f>IF(('MiT Strom Pipeline'!R64="follow-up")+('MiT Strom Pipeline'!R64="Evaluation")+('MiT Strom Pipeline'!R64="tbd")+('MiT Strom Pipeline'!R64="In evaluation")&gt;0,IF(ISNUMBER('MiT Strom Pipeline'!A64),'MiT Strom Pipeline'!A64,""),"")</f>
        <v/>
      </c>
      <c r="B197" s="35">
        <f>IF(('MiT Strom Pipeline'!R64="follow-up")+('MiT Strom Pipeline'!R64="Evaluation")+('MiT Strom Pipeline'!R64="tbd")+('MiT Strom Pipeline'!R64="In evaluation")&gt;0,'MiT Strom Pipeline'!B64,"")</f>
        <v/>
      </c>
      <c r="C197" s="34">
        <f>IF(('MiT Strom Pipeline'!R64="follow-up")+('MiT Strom Pipeline'!R64="Evaluation")+('MiT Strom Pipeline'!R64="tbd")+('MiT Strom Pipeline'!R64="In evaluation")&gt;0,'MiT Strom Pipeline'!C64,"")</f>
        <v/>
      </c>
      <c r="D197" s="35">
        <f>IF(('MiT Strom Pipeline'!R64="follow-up")+('MiT Strom Pipeline'!R64="Evaluation")+('MiT Strom Pipeline'!R64="tbd")+('MiT Strom Pipeline'!R64="In evaluation")&gt;0,'MiT Strom Pipeline'!D64,"")</f>
        <v/>
      </c>
      <c r="E197" s="35">
        <f>IF(('MiT Strom Pipeline'!R64="follow-up")+('MiT Strom Pipeline'!R64="Evaluation")+('MiT Strom Pipeline'!R64="tbd")+('MiT Strom Pipeline'!R64="In evaluation")&gt;0,'MiT Strom Pipeline'!E64,"")</f>
        <v/>
      </c>
      <c r="F197" s="55">
        <f>IF(('MiT Strom Pipeline'!R64="follow-up")+('MiT Strom Pipeline'!R64="Evaluation")+('MiT Strom Pipeline'!R64="tbd")+('MiT Strom Pipeline'!R64="In evaluation")&gt;0,IF(ISNUMBER('MiT Strom Pipeline'!I64),'MiT Strom Pipeline'!I64,0),"")</f>
        <v/>
      </c>
      <c r="G197" s="55">
        <f>IF(('MiT Strom Pipeline'!R64="follow-up")+('MiT Strom Pipeline'!R64="Evaluation")+('MiT Strom Pipeline'!R64="tbd")+('MiT Strom Pipeline'!R64="In evaluation")&gt;0,IF(ISNUMBER('MiT Strom Pipeline'!Q64),'MiT Strom Pipeline'!Q64,0),"")</f>
        <v/>
      </c>
      <c r="H197" s="34">
        <f>IF(('MiT Strom Pipeline'!R64="follow-up")+('MiT Strom Pipeline'!R64="Evaluation")+('MiT Strom Pipeline'!R64="tbd")+('MiT Strom Pipeline'!R64="In evaluation")&gt;0,'MiT Strom Pipeline'!R64,"")</f>
        <v/>
      </c>
      <c r="I197" s="34">
        <f>IF(('MiT Strom Pipeline'!R64="follow-up")+('MiT Strom Pipeline'!R64="Evaluation")+('MiT Strom Pipeline'!R64="tbd")+('MiT Strom Pipeline'!R64="In evaluation")&gt;0,'MiT Strom Pipeline'!S64,"")</f>
        <v/>
      </c>
      <c r="J197" s="35">
        <f>IF(('MiT Strom Pipeline'!R64="follow-up")+('MiT Strom Pipeline'!R64="Evaluation")+('MiT Strom Pipeline'!R64="tbd")+('MiT Strom Pipeline'!R64="In evaluation")&gt;0,IF(LEN('MiT Strom Pipeline'!V64)&gt;0,LEFT('MiT Strom Pipeline'!V64,55),""),"")</f>
        <v/>
      </c>
    </row>
    <row r="198" hidden="1" ht="15.75" customHeight="1">
      <c r="A198" s="22">
        <f>IF(('MiT Strom Pipeline'!R65="follow-up")+('MiT Strom Pipeline'!R65="Evaluation")+('MiT Strom Pipeline'!R65="tbd")+('MiT Strom Pipeline'!R65="In evaluation")&gt;0,IF(ISNUMBER('MiT Strom Pipeline'!A65),'MiT Strom Pipeline'!A65,""),"")</f>
        <v/>
      </c>
      <c r="B198" s="23">
        <f>IF(('MiT Strom Pipeline'!R65="follow-up")+('MiT Strom Pipeline'!R65="Evaluation")+('MiT Strom Pipeline'!R65="tbd")+('MiT Strom Pipeline'!R65="In evaluation")&gt;0,'MiT Strom Pipeline'!B65,"")</f>
        <v/>
      </c>
      <c r="C198" s="22">
        <f>IF(('MiT Strom Pipeline'!R65="follow-up")+('MiT Strom Pipeline'!R65="Evaluation")+('MiT Strom Pipeline'!R65="tbd")+('MiT Strom Pipeline'!R65="In evaluation")&gt;0,'MiT Strom Pipeline'!C65,"")</f>
        <v/>
      </c>
      <c r="D198" s="23">
        <f>IF(('MiT Strom Pipeline'!R65="follow-up")+('MiT Strom Pipeline'!R65="Evaluation")+('MiT Strom Pipeline'!R65="tbd")+('MiT Strom Pipeline'!R65="In evaluation")&gt;0,'MiT Strom Pipeline'!D65,"")</f>
        <v/>
      </c>
      <c r="E198" s="23">
        <f>IF(('MiT Strom Pipeline'!R65="follow-up")+('MiT Strom Pipeline'!R65="Evaluation")+('MiT Strom Pipeline'!R65="tbd")+('MiT Strom Pipeline'!R65="In evaluation")&gt;0,'MiT Strom Pipeline'!E65,"")</f>
        <v/>
      </c>
      <c r="F198" s="49">
        <f>IF(('MiT Strom Pipeline'!R65="follow-up")+('MiT Strom Pipeline'!R65="Evaluation")+('MiT Strom Pipeline'!R65="tbd")+('MiT Strom Pipeline'!R65="In evaluation")&gt;0,IF(ISNUMBER('MiT Strom Pipeline'!I65),'MiT Strom Pipeline'!I65,0),"")</f>
        <v/>
      </c>
      <c r="G198" s="49">
        <f>IF(('MiT Strom Pipeline'!R65="follow-up")+('MiT Strom Pipeline'!R65="Evaluation")+('MiT Strom Pipeline'!R65="tbd")+('MiT Strom Pipeline'!R65="In evaluation")&gt;0,IF(ISNUMBER('MiT Strom Pipeline'!Q65),'MiT Strom Pipeline'!Q65,0),"")</f>
        <v/>
      </c>
      <c r="H198" s="22">
        <f>IF(('MiT Strom Pipeline'!R65="follow-up")+('MiT Strom Pipeline'!R65="Evaluation")+('MiT Strom Pipeline'!R65="tbd")+('MiT Strom Pipeline'!R65="In evaluation")&gt;0,'MiT Strom Pipeline'!R65,"")</f>
        <v/>
      </c>
      <c r="I198" s="22">
        <f>IF(('MiT Strom Pipeline'!R65="follow-up")+('MiT Strom Pipeline'!R65="Evaluation")+('MiT Strom Pipeline'!R65="tbd")+('MiT Strom Pipeline'!R65="In evaluation")&gt;0,'MiT Strom Pipeline'!S65,"")</f>
        <v/>
      </c>
      <c r="J198" s="23">
        <f>IF(('MiT Strom Pipeline'!R65="follow-up")+('MiT Strom Pipeline'!R65="Evaluation")+('MiT Strom Pipeline'!R65="tbd")+('MiT Strom Pipeline'!R65="In evaluation")&gt;0,IF(LEN('MiT Strom Pipeline'!V65)&gt;0,LEFT('MiT Strom Pipeline'!V65,55),""),"")</f>
        <v/>
      </c>
    </row>
    <row r="199" hidden="1" ht="21.75" customHeight="1">
      <c r="A199" s="37">
        <f>IF(('MiT Strom Pipeline'!R66="follow-up")+('MiT Strom Pipeline'!R66="Evaluation")+('MiT Strom Pipeline'!R66="tbd")+('MiT Strom Pipeline'!R66="In evaluation")&gt;0,IF(ISNUMBER('MiT Strom Pipeline'!A66),'MiT Strom Pipeline'!A66,""),"")</f>
        <v/>
      </c>
      <c r="B199" s="116">
        <f>IF(('MiT Strom Pipeline'!R66="follow-up")+('MiT Strom Pipeline'!R66="Evaluation")+('MiT Strom Pipeline'!R66="tbd")+('MiT Strom Pipeline'!R66="In evaluation")&gt;0,'MiT Strom Pipeline'!B66,"")</f>
        <v/>
      </c>
      <c r="C199" s="166" t="n"/>
      <c r="D199" s="166" t="n"/>
      <c r="E199" s="167" t="n"/>
      <c r="F199" s="56">
        <f>IF(('MiT Strom Pipeline'!R66="follow-up")+('MiT Strom Pipeline'!R66="Evaluation")+('MiT Strom Pipeline'!R66="tbd")+('MiT Strom Pipeline'!R66="In evaluation")&gt;0,IF(ISNUMBER('MiT Strom Pipeline'!I66),'MiT Strom Pipeline'!I66,0),"")</f>
        <v/>
      </c>
      <c r="G199" s="57">
        <f>IF(('MiT Strom Pipeline'!R66="follow-up")+('MiT Strom Pipeline'!R66="Evaluation")+('MiT Strom Pipeline'!R66="tbd")+('MiT Strom Pipeline'!R66="In evaluation")&gt;0,IF(ISNUMBER('MiT Strom Pipeline'!Q66),'MiT Strom Pipeline'!Q66,0),"")</f>
        <v/>
      </c>
      <c r="H199" s="37">
        <f>IF(('MiT Strom Pipeline'!R66="follow-up")+('MiT Strom Pipeline'!R66="Evaluation")+('MiT Strom Pipeline'!R66="tbd")+('MiT Strom Pipeline'!R66="In evaluation")&gt;0,'MiT Strom Pipeline'!R66,"")</f>
        <v/>
      </c>
      <c r="I199" s="37">
        <f>IF(('MiT Strom Pipeline'!R66="follow-up")+('MiT Strom Pipeline'!R66="Evaluation")+('MiT Strom Pipeline'!R66="tbd")+('MiT Strom Pipeline'!R66="In evaluation")&gt;0,'MiT Strom Pipeline'!S66,"")</f>
        <v/>
      </c>
      <c r="J199" s="37">
        <f>IF(('MiT Strom Pipeline'!R66="follow-up")+('MiT Strom Pipeline'!R66="Evaluation")+('MiT Strom Pipeline'!R66="tbd")+('MiT Strom Pipeline'!R66="In evaluation")&gt;0,IF(LEN('MiT Strom Pipeline'!V66)&gt;0,LEFT('MiT Strom Pipeline'!V66,55),""),"")</f>
        <v/>
      </c>
    </row>
    <row r="200" hidden="1" ht="3.75" customHeight="1">
      <c r="A200">
        <f>IF(('MiT Strom Pipeline'!R67="follow-up")+('MiT Strom Pipeline'!R67="Evaluation")+('MiT Strom Pipeline'!R67="tbd")+('MiT Strom Pipeline'!R67="In evaluation")&gt;0,IF(ISNUMBER('MiT Strom Pipeline'!A67),'MiT Strom Pipeline'!A67,""),"")</f>
        <v/>
      </c>
      <c r="B200">
        <f>IF(('MiT Strom Pipeline'!R67="follow-up")+('MiT Strom Pipeline'!R67="Evaluation")+('MiT Strom Pipeline'!R67="tbd")+('MiT Strom Pipeline'!R67="In evaluation")&gt;0,'MiT Strom Pipeline'!B67,"")</f>
        <v/>
      </c>
      <c r="C200">
        <f>IF(('MiT Strom Pipeline'!R67="follow-up")+('MiT Strom Pipeline'!R67="Evaluation")+('MiT Strom Pipeline'!R67="tbd")+('MiT Strom Pipeline'!R67="In evaluation")&gt;0,'MiT Strom Pipeline'!C67,"")</f>
        <v/>
      </c>
      <c r="D200">
        <f>IF(('MiT Strom Pipeline'!R67="follow-up")+('MiT Strom Pipeline'!R67="Evaluation")+('MiT Strom Pipeline'!R67="tbd")+('MiT Strom Pipeline'!R67="In evaluation")&gt;0,'MiT Strom Pipeline'!D67,"")</f>
        <v/>
      </c>
      <c r="E200">
        <f>IF(('MiT Strom Pipeline'!R67="follow-up")+('MiT Strom Pipeline'!R67="Evaluation")+('MiT Strom Pipeline'!R67="tbd")+('MiT Strom Pipeline'!R67="In evaluation")&gt;0,'MiT Strom Pipeline'!E67,"")</f>
        <v/>
      </c>
      <c r="F200" s="45">
        <f>IF(('MiT Strom Pipeline'!R67="follow-up")+('MiT Strom Pipeline'!R67="Evaluation")+('MiT Strom Pipeline'!R67="tbd")+('MiT Strom Pipeline'!R67="In evaluation")&gt;0,IF(ISNUMBER('MiT Strom Pipeline'!I67),'MiT Strom Pipeline'!I67,0),"")</f>
        <v/>
      </c>
      <c r="G200" s="45">
        <f>IF(('MiT Strom Pipeline'!R67="follow-up")+('MiT Strom Pipeline'!R67="Evaluation")+('MiT Strom Pipeline'!R67="tbd")+('MiT Strom Pipeline'!R67="In evaluation")&gt;0,IF(ISNUMBER('MiT Strom Pipeline'!Q67),'MiT Strom Pipeline'!Q67,0),"")</f>
        <v/>
      </c>
      <c r="H200">
        <f>IF(('MiT Strom Pipeline'!R67="follow-up")+('MiT Strom Pipeline'!R67="Evaluation")+('MiT Strom Pipeline'!R67="tbd")+('MiT Strom Pipeline'!R67="In evaluation")&gt;0,'MiT Strom Pipeline'!R67,"")</f>
        <v/>
      </c>
      <c r="I200">
        <f>IF(('MiT Strom Pipeline'!R67="follow-up")+('MiT Strom Pipeline'!R67="Evaluation")+('MiT Strom Pipeline'!R67="tbd")+('MiT Strom Pipeline'!R67="In evaluation")&gt;0,'MiT Strom Pipeline'!S67,"")</f>
        <v/>
      </c>
      <c r="J200">
        <f>IF(('MiT Strom Pipeline'!R67="follow-up")+('MiT Strom Pipeline'!R67="Evaluation")+('MiT Strom Pipeline'!R67="tbd")+('MiT Strom Pipeline'!R67="In evaluation")&gt;0,IF(LEN('MiT Strom Pipeline'!V67)&gt;0,LEFT('MiT Strom Pipeline'!V67,55),""),"")</f>
        <v/>
      </c>
    </row>
    <row r="201" hidden="1" ht="27.75" customHeight="1">
      <c r="A201" s="117" t="inlineStr">
        <is>
          <t>📊  GESAMTTOTAL — Aktive Pipeline (exkl. Declined / LOST)</t>
        </is>
      </c>
      <c r="B201" s="166" t="n"/>
      <c r="C201" s="166" t="n"/>
      <c r="D201" s="166" t="n"/>
      <c r="E201" s="167" t="n"/>
      <c r="F201" s="58">
        <f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/>
      </c>
      <c r="G201" s="59" t="n"/>
      <c r="H201" s="40" t="n"/>
      <c r="I201" s="40" t="n"/>
      <c r="J201" s="40" t="n"/>
    </row>
    <row r="202" hidden="1" ht="18" customHeight="1">
      <c r="A202" s="118" t="inlineStr">
        <is>
          <t xml:space="preserve">  → WON</t>
        </is>
      </c>
      <c r="F202" s="60">
        <f>SUMIFS('MiT Strom Pipeline'!I$6:I$904,'MiT Strom Pipeline'!R$6:R$904,"WON")</f>
        <v/>
      </c>
      <c r="G202" s="61" t="n"/>
      <c r="H202" s="42" t="n"/>
      <c r="I202" s="42" t="n"/>
      <c r="J202" s="42" t="n"/>
    </row>
    <row r="203" hidden="1" ht="18" customHeight="1">
      <c r="A203" s="118" t="inlineStr">
        <is>
          <t xml:space="preserve">  → Offerte</t>
        </is>
      </c>
      <c r="F203" s="62">
        <f>SUMIFS('MiT Strom Pipeline'!I$6:I$904,'MiT Strom Pipeline'!R$6:R$904,"offered")+SUMIFS('MiT Strom Pipeline'!I$6:I$904,'MiT Strom Pipeline'!R$6:R$904,"to be offered")+SUMIFS('MiT Strom Pipeline'!I$6:I$904,'MiT Strom Pipeline'!R$6:R$904,"on hold")</f>
        <v/>
      </c>
      <c r="G203" s="61" t="n"/>
      <c r="H203" s="42" t="n"/>
      <c r="I203" s="42" t="n"/>
      <c r="J203" s="42" t="n"/>
    </row>
    <row r="204" hidden="1" ht="18" customHeight="1">
      <c r="A204" s="118" t="inlineStr">
        <is>
          <t xml:space="preserve">  → Opportunität</t>
        </is>
      </c>
      <c r="F204" s="63">
        <f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/>
      </c>
      <c r="G204" s="61" t="n"/>
      <c r="H204" s="42" t="n"/>
      <c r="I204" s="42" t="n"/>
      <c r="J204" s="42" t="n"/>
    </row>
    <row r="205" hidden="1"/>
    <row r="206" hidden="1" ht="13.5" customHeight="1">
      <c r="A206" s="119" t="inlineStr">
        <is>
          <t>Stand: Mai 2026  |  Burak Ücöz  |  Mobil in Time AG – An Aggreko Company  |  VERTRAULICH</t>
        </is>
      </c>
    </row>
  </sheetData>
  <autoFilter ref="A13:J206"/>
  <mergeCells count="26">
    <mergeCell ref="I6:J6"/>
    <mergeCell ref="A201:E201"/>
    <mergeCell ref="A206:J206"/>
    <mergeCell ref="D7:F7"/>
    <mergeCell ref="G7:H7"/>
    <mergeCell ref="A5:C5"/>
    <mergeCell ref="A9:J9"/>
    <mergeCell ref="B135:E135"/>
    <mergeCell ref="I7:J7"/>
    <mergeCell ref="A73:J73"/>
    <mergeCell ref="G6:H6"/>
    <mergeCell ref="B199:E199"/>
    <mergeCell ref="A1:J1"/>
    <mergeCell ref="B71:E71"/>
    <mergeCell ref="D5:F5"/>
    <mergeCell ref="A204:E204"/>
    <mergeCell ref="G5:H5"/>
    <mergeCell ref="I5:J5"/>
    <mergeCell ref="A203:E203"/>
    <mergeCell ref="A137:J137"/>
    <mergeCell ref="A6:C6"/>
    <mergeCell ref="A3:J3"/>
    <mergeCell ref="A2:J2"/>
    <mergeCell ref="A7:C7"/>
    <mergeCell ref="D6:F6"/>
    <mergeCell ref="A202:E202"/>
  </mergeCells>
  <printOptions horizontalCentered="1"/>
  <pageMargins left="0.3" right="0.3" top="0.5" bottom="0.5" header="0.511811023622047" footer="0.511811023622047"/>
  <pageSetup orientation="landscape" paperSize="9" scale="13" fitToHeight="0" fitToWidth="1" horizontalDpi="300" verticalDpi="300"/>
  <headerFooter>
    <oddHeader>&amp;C&amp;"Calibri,Bold"&amp;14 MiT Strom Schweiz — Dashboard</oddHeader>
    <oddFooter>&amp;LMobil in Time AG · An Aggreko Company&amp;RSeite &amp;P von &amp;N</oddFooter>
    <evenHeader/>
    <evenFooter/>
    <firstHeader/>
    <firstFooter/>
  </headerFooter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tabColor rgb="00F57C00"/>
    <outlinePr summaryBelow="1" summaryRight="1"/>
    <pageSetUpPr fitToPage="1"/>
  </sheetPr>
  <dimension ref="A1:R45"/>
  <sheetViews>
    <sheetView topLeftCell="A11" zoomScale="85" zoomScaleNormal="85" workbookViewId="0">
      <selection activeCell="F22" sqref="F22"/>
    </sheetView>
  </sheetViews>
  <sheetFormatPr baseColWidth="10" defaultColWidth="8.5703125" defaultRowHeight="15"/>
  <cols>
    <col width="18" customWidth="1" min="1" max="1"/>
    <col width="10" customWidth="1" min="2" max="2"/>
    <col width="16" customWidth="1" min="3" max="3"/>
    <col width="2" customWidth="1" min="4" max="4"/>
    <col width="10" customWidth="1" min="5" max="5"/>
    <col width="16" customWidth="1" min="6" max="6"/>
    <col width="10" customWidth="1" min="7" max="7"/>
    <col width="2" customWidth="1" min="8" max="8"/>
    <col width="22" customWidth="1" min="9" max="9"/>
    <col width="16" customWidth="1" min="10" max="10"/>
    <col width="10" customWidth="1" min="11" max="11"/>
  </cols>
  <sheetData>
    <row r="1" ht="31.5" customHeight="1">
      <c r="A1" s="130" t="inlineStr">
        <is>
          <t>📊  MiT Strom Schweiz — Diagramme &amp; Visualisierungen</t>
        </is>
      </c>
    </row>
    <row r="2" ht="15" customHeight="1">
      <c r="A2" s="131" t="inlineStr">
        <is>
          <t xml:space="preserve">  Auto-Update aus «MiT Strom Pipeline» — keine Datenpflege hier nötig</t>
        </is>
      </c>
    </row>
    <row r="20" ht="15" customHeight="1">
      <c r="A20" s="64" t="inlineStr">
        <is>
          <t>Status-Übersicht</t>
        </is>
      </c>
      <c r="E20" s="64" t="inlineStr">
        <is>
          <t>Volumen nach Kanton</t>
        </is>
      </c>
      <c r="I20" s="64" t="inlineStr">
        <is>
          <t>Volumen nach Segment</t>
        </is>
      </c>
    </row>
    <row r="21" ht="15" customHeight="1">
      <c r="A21" s="65" t="inlineStr">
        <is>
          <t>Status</t>
        </is>
      </c>
      <c r="B21" s="65" t="inlineStr">
        <is>
          <t>Anzahl</t>
        </is>
      </c>
      <c r="C21" s="65" t="inlineStr">
        <is>
          <t>Volumen CHF</t>
        </is>
      </c>
      <c r="E21" s="65" t="inlineStr">
        <is>
          <t>Kanton</t>
        </is>
      </c>
      <c r="F21" s="65" t="inlineStr">
        <is>
          <t>Volumen CHF</t>
        </is>
      </c>
      <c r="G21" s="65" t="inlineStr">
        <is>
          <t>Deals</t>
        </is>
      </c>
      <c r="I21" s="65" t="inlineStr">
        <is>
          <t>Segment</t>
        </is>
      </c>
      <c r="J21" s="65" t="inlineStr">
        <is>
          <t>Volumen CHF</t>
        </is>
      </c>
      <c r="K21" s="65" t="inlineStr">
        <is>
          <t>Deals</t>
        </is>
      </c>
    </row>
    <row r="22" ht="15" customHeight="1">
      <c r="A22" t="inlineStr">
        <is>
          <t>✅ WON</t>
        </is>
      </c>
      <c r="B22">
        <f>COUNTIF('MiT Strom Pipeline'!R$6:R$904,"WON")</f>
        <v/>
      </c>
      <c r="C22" s="172">
        <f>SUMIFS('MiT Strom Pipeline'!I$6:I$904,'MiT Strom Pipeline'!R$6:R$904,"WON")</f>
        <v/>
      </c>
      <c r="E22" t="inlineStr">
        <is>
          <t>AG</t>
        </is>
      </c>
      <c r="F22" s="172">
        <f>SUMIFS('MiT Strom Pipeline'!I$6:I$904,'MiT Strom Pipeline'!C$6:C$904,"AG")</f>
        <v/>
      </c>
      <c r="G22">
        <f>COUNTIF('MiT Strom Pipeline'!C$6:C$904,"AG")</f>
        <v/>
      </c>
      <c r="I22" t="inlineStr">
        <is>
          <t>Events &amp; Kultur</t>
        </is>
      </c>
      <c r="J22" s="172">
        <f>SUMIFS('MiT Strom Pipeline'!I$6:I$904,'MiT Strom Pipeline'!D$6:D$904,"Events &amp; Kultur")</f>
        <v/>
      </c>
      <c r="K22">
        <f>COUNTIF('MiT Strom Pipeline'!D$6:D$904,"Events &amp; Kultur")</f>
        <v/>
      </c>
    </row>
    <row r="23" ht="15" customHeight="1">
      <c r="A23" t="inlineStr">
        <is>
          <t>📄 Offerte</t>
        </is>
      </c>
      <c r="B23">
        <f>COUNTIF('MiT Strom Pipeline'!R$6:R$904,"offered")</f>
        <v/>
      </c>
      <c r="C23" s="172">
        <f>SUMIFS('MiT Strom Pipeline'!I$6:I$904,'MiT Strom Pipeline'!R$6:R$904,"offered")</f>
        <v/>
      </c>
      <c r="E23" t="inlineStr">
        <is>
          <t>BE</t>
        </is>
      </c>
      <c r="F23" s="172">
        <f>SUMIFS('MiT Strom Pipeline'!I$6:I$904,'MiT Strom Pipeline'!C$6:C$904,"BE")</f>
        <v/>
      </c>
      <c r="G23">
        <f>COUNTIF('MiT Strom Pipeline'!C$6:C$904,"BE")</f>
        <v/>
      </c>
      <c r="I23" t="inlineStr">
        <is>
          <t>Events &amp; Kongress</t>
        </is>
      </c>
      <c r="J23" s="172">
        <f>SUMIFS('MiT Strom Pipeline'!I$6:I$904,'MiT Strom Pipeline'!D$6:D$904,"Events &amp; Kongress")</f>
        <v/>
      </c>
      <c r="K23">
        <f>COUNTIF('MiT Strom Pipeline'!D$6:D$904,"Events &amp; Kongress")</f>
        <v/>
      </c>
    </row>
    <row r="24" ht="15" customHeight="1">
      <c r="A24" t="inlineStr">
        <is>
          <t>📝 To Offer</t>
        </is>
      </c>
      <c r="B24">
        <f>COUNTIF('MiT Strom Pipeline'!R$6:R$904,"to be offered")</f>
        <v/>
      </c>
      <c r="C24" s="172">
        <f>SUMIFS('MiT Strom Pipeline'!I$6:I$904,'MiT Strom Pipeline'!R$6:R$904,"to be offered")</f>
        <v/>
      </c>
      <c r="E24" t="inlineStr">
        <is>
          <t>BS</t>
        </is>
      </c>
      <c r="F24" s="172">
        <f>SUMIFS('MiT Strom Pipeline'!I$6:I$904,'MiT Strom Pipeline'!C$6:C$904,"BS")</f>
        <v/>
      </c>
      <c r="G24">
        <f>COUNTIF('MiT Strom Pipeline'!C$6:C$904,"BS")</f>
        <v/>
      </c>
      <c r="I24" t="inlineStr">
        <is>
          <t>Events / Medien</t>
        </is>
      </c>
      <c r="J24" s="172">
        <f>SUMIFS('MiT Strom Pipeline'!I$6:I$904,'MiT Strom Pipeline'!D$6:D$904,"Events / Medien")</f>
        <v/>
      </c>
      <c r="K24">
        <f>COUNTIF('MiT Strom Pipeline'!D$6:D$904,"Events / Medien")</f>
        <v/>
      </c>
    </row>
    <row r="25" ht="15" customHeight="1">
      <c r="A25" t="inlineStr">
        <is>
          <t>🎯 Follow-Up</t>
        </is>
      </c>
      <c r="B25">
        <f>COUNTIF('MiT Strom Pipeline'!R$6:R$904,"follow-up")</f>
        <v/>
      </c>
      <c r="C25" s="172">
        <f>SUMIFS('MiT Strom Pipeline'!I$6:I$904,'MiT Strom Pipeline'!R$6:R$904,"follow-up")</f>
        <v/>
      </c>
      <c r="E25" t="inlineStr">
        <is>
          <t>GE</t>
        </is>
      </c>
      <c r="F25" s="172">
        <f>SUMIFS('MiT Strom Pipeline'!I$6:I$904,'MiT Strom Pipeline'!C$6:C$904,"GE")</f>
        <v/>
      </c>
      <c r="G25">
        <f>COUNTIF('MiT Strom Pipeline'!C$6:C$904,"GE")</f>
        <v/>
      </c>
      <c r="I25" t="inlineStr">
        <is>
          <t>EVU / Energie</t>
        </is>
      </c>
      <c r="J25" s="172">
        <f>SUMIFS('MiT Strom Pipeline'!I$6:I$904,'MiT Strom Pipeline'!D$6:D$904,"EVU / Energie")</f>
        <v/>
      </c>
      <c r="K25">
        <f>COUNTIF('MiT Strom Pipeline'!D$6:D$904,"EVU / Energie")</f>
        <v/>
      </c>
    </row>
    <row r="26" ht="15" customHeight="1">
      <c r="A26" t="inlineStr">
        <is>
          <t>🔍 Evaluation (gesamt)</t>
        </is>
      </c>
      <c r="B26">
        <f>COUNTIF('MiT Strom Pipeline'!R$6:R$904,"Evaluation")+COUNTIF('MiT Strom Pipeline'!R$6:R$904,"In evaluation")</f>
        <v/>
      </c>
      <c r="C26" s="172">
        <f>SUMIFS('MiT Strom Pipeline'!I$6:I$904,'MiT Strom Pipeline'!R$6:R$904,"Evaluation")+SUMIFS('MiT Strom Pipeline'!I$6:I$904,'MiT Strom Pipeline'!R$6:R$904,"In evaluation")</f>
        <v/>
      </c>
      <c r="E26" t="inlineStr">
        <is>
          <t>GR</t>
        </is>
      </c>
      <c r="F26" s="172">
        <f>SUMIFS('MiT Strom Pipeline'!I$6:I$904,'MiT Strom Pipeline'!C$6:C$904,"GR")</f>
        <v/>
      </c>
      <c r="G26">
        <f>COUNTIF('MiT Strom Pipeline'!C$6:C$904,"GR")</f>
        <v/>
      </c>
      <c r="I26" t="inlineStr">
        <is>
          <t>Industrie / Elektro</t>
        </is>
      </c>
      <c r="J26" s="172">
        <f>SUMIFS('MiT Strom Pipeline'!I$6:I$904,'MiT Strom Pipeline'!D$6:D$904,"Industrie / Elektro")</f>
        <v/>
      </c>
      <c r="K26">
        <f>COUNTIF('MiT Strom Pipeline'!D$6:D$904,"Industrie / Elektro")</f>
        <v/>
      </c>
    </row>
    <row r="27" ht="15" customHeight="1">
      <c r="A27" t="inlineStr">
        <is>
          <t>🔍 In Eval.</t>
        </is>
      </c>
      <c r="B27">
        <f>COUNTIF('MiT Strom Pipeline'!R$6:R$904,"In evaluation")</f>
        <v/>
      </c>
      <c r="C27" s="172">
        <f>SUMIFS('MiT Strom Pipeline'!I$6:I$904,'MiT Strom Pipeline'!R$6:R$904,"In evaluation")</f>
        <v/>
      </c>
      <c r="E27" t="inlineStr">
        <is>
          <t>LU</t>
        </is>
      </c>
      <c r="F27" s="172">
        <f>SUMIFS('MiT Strom Pipeline'!I$6:I$904,'MiT Strom Pipeline'!C$6:C$904,"LU")</f>
        <v/>
      </c>
      <c r="G27">
        <f>COUNTIF('MiT Strom Pipeline'!C$6:C$904,"LU")</f>
        <v/>
      </c>
      <c r="I27" t="inlineStr">
        <is>
          <t>Industrie / Messtechnik</t>
        </is>
      </c>
      <c r="J27" s="172">
        <f>SUMIFS('MiT Strom Pipeline'!I$6:I$904,'MiT Strom Pipeline'!D$6:D$904,"Industrie / Messtechnik")</f>
        <v/>
      </c>
      <c r="K27">
        <f>COUNTIF('MiT Strom Pipeline'!D$6:D$904,"Industrie / Messtechnik")</f>
        <v/>
      </c>
    </row>
    <row r="28" ht="15" customHeight="1">
      <c r="A28" t="inlineStr">
        <is>
          <t>⏸ On Hold</t>
        </is>
      </c>
      <c r="B28">
        <f>COUNTIF('MiT Strom Pipeline'!R$6:R$904,"on hold")</f>
        <v/>
      </c>
      <c r="C28" s="172">
        <f>SUMIFS('MiT Strom Pipeline'!I$6:I$904,'MiT Strom Pipeline'!R$6:R$904,"on hold")</f>
        <v/>
      </c>
      <c r="E28" t="inlineStr">
        <is>
          <t>SG</t>
        </is>
      </c>
      <c r="F28" s="172">
        <f>SUMIFS('MiT Strom Pipeline'!I$6:I$904,'MiT Strom Pipeline'!C$6:C$904,"SG")</f>
        <v/>
      </c>
      <c r="G28">
        <f>COUNTIF('MiT Strom Pipeline'!C$6:C$904,"SG")</f>
        <v/>
      </c>
      <c r="I28" t="inlineStr">
        <is>
          <t>Industrie / Metall</t>
        </is>
      </c>
      <c r="J28" s="172">
        <f>SUMIFS('MiT Strom Pipeline'!I$6:I$904,'MiT Strom Pipeline'!D$6:D$904,"Industrie / Metall")</f>
        <v/>
      </c>
      <c r="K28">
        <f>COUNTIF('MiT Strom Pipeline'!D$6:D$904,"Industrie / Metall")</f>
        <v/>
      </c>
    </row>
    <row r="29" ht="15" customHeight="1">
      <c r="A29" t="inlineStr">
        <is>
          <t>❓ TBD</t>
        </is>
      </c>
      <c r="B29">
        <f>COUNTIF('MiT Strom Pipeline'!R$6:R$904,"tbd")</f>
        <v/>
      </c>
      <c r="C29" s="172">
        <f>SUMIFS('MiT Strom Pipeline'!I$6:I$904,'MiT Strom Pipeline'!R$6:R$904,"tbd")</f>
        <v/>
      </c>
      <c r="E29" t="inlineStr">
        <is>
          <t>SH</t>
        </is>
      </c>
      <c r="F29" s="172">
        <f>SUMIFS('MiT Strom Pipeline'!I$6:I$904,'MiT Strom Pipeline'!C$6:C$904,"SH")</f>
        <v/>
      </c>
      <c r="G29">
        <f>COUNTIF('MiT Strom Pipeline'!C$6:C$904,"SH")</f>
        <v/>
      </c>
      <c r="I29" t="inlineStr">
        <is>
          <t>Industrie / Oberfläche</t>
        </is>
      </c>
      <c r="J29" s="172">
        <f>SUMIFS('MiT Strom Pipeline'!I$6:I$904,'MiT Strom Pipeline'!D$6:D$904,"Industrie / Oberfläche")</f>
        <v/>
      </c>
      <c r="K29">
        <f>COUNTIF('MiT Strom Pipeline'!D$6:D$904,"Industrie / Oberfläche")</f>
        <v/>
      </c>
    </row>
    <row r="30" ht="15" customHeight="1">
      <c r="A30" t="inlineStr">
        <is>
          <t>❌ LOST</t>
        </is>
      </c>
      <c r="B30">
        <f>COUNTIF('MiT Strom Pipeline'!R$6:R$904,"LOST")</f>
        <v/>
      </c>
      <c r="C30" s="172">
        <f>SUMIFS('MiT Strom Pipeline'!I$6:I$904,'MiT Strom Pipeline'!R$6:R$904,"LOST")</f>
        <v/>
      </c>
      <c r="E30" t="inlineStr">
        <is>
          <t>SO</t>
        </is>
      </c>
      <c r="F30" s="172">
        <f>SUMIFS('MiT Strom Pipeline'!I$6:I$904,'MiT Strom Pipeline'!C$6:C$904,"SO")</f>
        <v/>
      </c>
      <c r="G30">
        <f>COUNTIF('MiT Strom Pipeline'!C$6:C$904,"SO")</f>
        <v/>
      </c>
      <c r="I30" t="inlineStr">
        <is>
          <t>Industrie</t>
        </is>
      </c>
      <c r="J30" s="172">
        <f>SUMIFS('MiT Strom Pipeline'!I$6:I$904,'MiT Strom Pipeline'!D$6:D$904,"Industrie")</f>
        <v/>
      </c>
      <c r="K30">
        <f>COUNTIF('MiT Strom Pipeline'!D$6:D$904,"Industrie")</f>
        <v/>
      </c>
    </row>
    <row r="31" ht="15" customHeight="1">
      <c r="A31" t="inlineStr">
        <is>
          <t>🚫 Declined</t>
        </is>
      </c>
      <c r="B31">
        <f>COUNTIF('MiT Strom Pipeline'!R$6:R$904,"Declined")</f>
        <v/>
      </c>
      <c r="C31" s="172">
        <f>SUMIFS('MiT Strom Pipeline'!I$6:I$904,'MiT Strom Pipeline'!R$6:R$904,"Declined")</f>
        <v/>
      </c>
      <c r="E31" t="inlineStr">
        <is>
          <t>TG</t>
        </is>
      </c>
      <c r="F31" s="172">
        <f>SUMIFS('MiT Strom Pipeline'!I$6:I$904,'MiT Strom Pipeline'!C$6:C$904,"TG")</f>
        <v/>
      </c>
      <c r="G31">
        <f>COUNTIF('MiT Strom Pipeline'!C$6:C$904,"TG")</f>
        <v/>
      </c>
      <c r="I31" t="inlineStr">
        <is>
          <t>Infrastruktur / Bau</t>
        </is>
      </c>
      <c r="J31" s="172">
        <f>SUMIFS('MiT Strom Pipeline'!I$6:I$904,'MiT Strom Pipeline'!D$6:D$904,"Infrastruktur / Bau")</f>
        <v/>
      </c>
      <c r="K31">
        <f>COUNTIF('MiT Strom Pipeline'!D$6:D$904,"Infrastruktur / Bau")</f>
        <v/>
      </c>
    </row>
    <row r="32" ht="15" customHeight="1">
      <c r="E32" t="inlineStr">
        <is>
          <t>UR</t>
        </is>
      </c>
      <c r="F32" s="172">
        <f>SUMIFS('MiT Strom Pipeline'!I$6:I$904,'MiT Strom Pipeline'!C$6:C$904,"UR")</f>
        <v/>
      </c>
      <c r="G32">
        <f>COUNTIF('MiT Strom Pipeline'!C$6:C$904,"UR")</f>
        <v/>
      </c>
      <c r="I32" t="inlineStr">
        <is>
          <t>Infrastruktur / Bahn</t>
        </is>
      </c>
      <c r="J32" s="172">
        <f>SUMIFS('MiT Strom Pipeline'!I$6:I$904,'MiT Strom Pipeline'!D$6:D$904,"Infrastruktur / Bahn")</f>
        <v/>
      </c>
      <c r="K32">
        <f>COUNTIF('MiT Strom Pipeline'!D$6:D$904,"Infrastruktur / Bahn")</f>
        <v/>
      </c>
    </row>
    <row r="33" ht="15" customHeight="1">
      <c r="E33" t="inlineStr">
        <is>
          <t>VD</t>
        </is>
      </c>
      <c r="F33" s="172">
        <f>SUMIFS('MiT Strom Pipeline'!I$6:I$904,'MiT Strom Pipeline'!C$6:C$904,"VD")</f>
        <v/>
      </c>
      <c r="G33">
        <f>COUNTIF('MiT Strom Pipeline'!C$6:C$904,"VD")</f>
        <v/>
      </c>
      <c r="I33" t="inlineStr">
        <is>
          <t>Forschung / Hightech</t>
        </is>
      </c>
      <c r="J33" s="172">
        <f>SUMIFS('MiT Strom Pipeline'!I$6:I$904,'MiT Strom Pipeline'!D$6:D$904,"Forschung / Hightech")</f>
        <v/>
      </c>
      <c r="K33">
        <f>COUNTIF('MiT Strom Pipeline'!D$6:D$904,"Forschung / Hightech")</f>
        <v/>
      </c>
    </row>
    <row r="34" ht="15" customHeight="1">
      <c r="E34" t="inlineStr">
        <is>
          <t>VS</t>
        </is>
      </c>
      <c r="F34" s="172">
        <f>SUMIFS('MiT Strom Pipeline'!I$6:I$904,'MiT Strom Pipeline'!C$6:C$904,"VS")</f>
        <v/>
      </c>
      <c r="G34">
        <f>COUNTIF('MiT Strom Pipeline'!C$6:C$904,"VS")</f>
        <v/>
      </c>
      <c r="I34" t="inlineStr">
        <is>
          <t>Elektroinstallation</t>
        </is>
      </c>
      <c r="J34" s="172">
        <f>SUMIFS('MiT Strom Pipeline'!I$6:I$904,'MiT Strom Pipeline'!D$6:D$904,"Elektroinstallation")</f>
        <v/>
      </c>
      <c r="K34">
        <f>COUNTIF('MiT Strom Pipeline'!D$6:D$904,"Elektroinstallation")</f>
        <v/>
      </c>
    </row>
    <row r="35" ht="15" customHeight="1">
      <c r="E35" t="inlineStr">
        <is>
          <t>ZG</t>
        </is>
      </c>
      <c r="F35" s="172">
        <f>SUMIFS('MiT Strom Pipeline'!I$6:I$904,'MiT Strom Pipeline'!C$6:C$904,"ZG")</f>
        <v/>
      </c>
      <c r="G35">
        <f>COUNTIF('MiT Strom Pipeline'!C$6:C$904,"ZG")</f>
        <v/>
      </c>
      <c r="I35" t="inlineStr">
        <is>
          <t>Hochschule</t>
        </is>
      </c>
      <c r="J35" s="172">
        <f>SUMIFS('MiT Strom Pipeline'!I$6:I$904,'MiT Strom Pipeline'!D$6:D$904,"Hochschule")</f>
        <v/>
      </c>
      <c r="K35">
        <f>COUNTIF('MiT Strom Pipeline'!D$6:D$904,"Hochschule")</f>
        <v/>
      </c>
    </row>
    <row r="36" ht="15" customHeight="1">
      <c r="E36" t="inlineStr">
        <is>
          <t>ZH</t>
        </is>
      </c>
      <c r="F36" s="172">
        <f>SUMIFS('MiT Strom Pipeline'!I$6:I$904,'MiT Strom Pipeline'!C$6:C$904,"ZH")</f>
        <v/>
      </c>
      <c r="G36">
        <f>COUNTIF('MiT Strom Pipeline'!C$6:C$904,"ZH")</f>
        <v/>
      </c>
      <c r="I36" t="inlineStr">
        <is>
          <t>Kühlung / Konkurrenz</t>
        </is>
      </c>
      <c r="J36" s="172">
        <f>SUMIFS('MiT Strom Pipeline'!I$6:I$904,'MiT Strom Pipeline'!D$6:D$904,"Kühlung / Konkurrenz")</f>
        <v/>
      </c>
      <c r="K36">
        <f>COUNTIF('MiT Strom Pipeline'!D$6:D$904,"Kühlung / Konkurrenz")</f>
        <v/>
      </c>
    </row>
    <row r="37" ht="15" customHeight="1">
      <c r="I37" t="inlineStr">
        <is>
          <t>Immobilien / FM</t>
        </is>
      </c>
      <c r="J37" s="172">
        <f>SUMIFS('MiT Strom Pipeline'!I$6:I$904,'MiT Strom Pipeline'!D$6:D$904,"Immobilien / FM")</f>
        <v/>
      </c>
      <c r="K37">
        <f>COUNTIF('MiT Strom Pipeline'!D$6:D$904,"Immobilien / FM")</f>
        <v/>
      </c>
    </row>
    <row r="38" ht="15" customHeight="1">
      <c r="I38" t="inlineStr">
        <is>
          <t>Gemeinde</t>
        </is>
      </c>
      <c r="J38" s="172">
        <f>SUMIFS('MiT Strom Pipeline'!I$6:I$904,'MiT Strom Pipeline'!D$6:D$904,"Gemeinde")</f>
        <v/>
      </c>
      <c r="K38">
        <f>COUNTIF('MiT Strom Pipeline'!D$6:D$904,"Gemeinde")</f>
        <v/>
      </c>
    </row>
    <row r="39" ht="15" customHeight="1">
      <c r="I39" t="inlineStr">
        <is>
          <t>Bildung / Forschung</t>
        </is>
      </c>
      <c r="J39" s="172">
        <f>SUMIFS('MiT Strom Pipeline'!I$6:I$904,'MiT Strom Pipeline'!D$6:D$904,"Bildung / Forschung")</f>
        <v/>
      </c>
      <c r="K39">
        <f>COUNTIF('MiT Strom Pipeline'!D$6:D$904,"Bildung / Forschung")</f>
        <v/>
      </c>
    </row>
    <row r="40" ht="15" customHeight="1">
      <c r="I40" t="inlineStr">
        <is>
          <t>Events &amp; Sport</t>
        </is>
      </c>
      <c r="J40" s="172">
        <f>SUMIFS('MiT Strom Pipeline'!$I$6:$I$904,'MiT Strom Pipeline'!$D$6:$D$904,"Events &amp; Sport")</f>
        <v/>
      </c>
      <c r="K40">
        <f>COUNTIF('MiT Strom Pipeline'!$D$6:$D$904,"Events &amp; Sport")</f>
        <v/>
      </c>
    </row>
    <row r="41" ht="15" customHeight="1">
      <c r="I41" t="inlineStr">
        <is>
          <t>Industrie / Allgemein</t>
        </is>
      </c>
      <c r="J41" s="172">
        <f>SUMIFS('MiT Strom Pipeline'!$I$6:$I$904,'MiT Strom Pipeline'!$D$6:$D$904,"Industrie / Allgemein")</f>
        <v/>
      </c>
      <c r="K41">
        <f>COUNTIF('MiT Strom Pipeline'!$D$6:$D$904,"Industrie / Allgemein")</f>
        <v/>
      </c>
    </row>
    <row r="42" ht="15" customHeight="1">
      <c r="I42" t="inlineStr">
        <is>
          <t>Industrie / Generatoren</t>
        </is>
      </c>
      <c r="J42" s="172">
        <f>SUMIFS('MiT Strom Pipeline'!$I$6:$I$904,'MiT Strom Pipeline'!$D$6:$D$904,"Industrie / Generatoren")</f>
        <v/>
      </c>
      <c r="K42">
        <f>COUNTIF('MiT Strom Pipeline'!$D$6:$D$904,"Industrie / Generatoren")</f>
        <v/>
      </c>
    </row>
    <row r="43" ht="15" customHeight="1">
      <c r="I43" t="inlineStr">
        <is>
          <t>Ingenieure / Planung</t>
        </is>
      </c>
      <c r="J43" s="172">
        <f>SUMIFS('MiT Strom Pipeline'!$I$6:$I$904,'MiT Strom Pipeline'!$D$6:$D$904,"Ingenieure / Planung")</f>
        <v/>
      </c>
      <c r="K43">
        <f>COUNTIF('MiT Strom Pipeline'!$D$6:$D$904,"Ingenieure / Planung")</f>
        <v/>
      </c>
    </row>
    <row r="44" ht="15" customHeight="1">
      <c r="I44" t="inlineStr">
        <is>
          <t>Event</t>
        </is>
      </c>
      <c r="J44" s="172">
        <f>SUMIFS('MiT Strom Pipeline'!$I$6:$I$904,'MiT Strom Pipeline'!$D$6:$D$904,"Event")</f>
        <v/>
      </c>
      <c r="K44">
        <f>COUNTIF('MiT Strom Pipeline'!$D$6:$D$904,"Event")</f>
        <v/>
      </c>
    </row>
    <row r="45" ht="15" customHeight="1">
      <c r="I45" t="inlineStr">
        <is>
          <t>tbd</t>
        </is>
      </c>
      <c r="J45" s="172">
        <f>SUMIFS('MiT Strom Pipeline'!$I$6:$I$904,'MiT Strom Pipeline'!$D$6:$D$904,"tbd")</f>
        <v/>
      </c>
      <c r="K45">
        <f>COUNTIF('MiT Strom Pipeline'!$D$6:$D$904,"tbd")</f>
        <v/>
      </c>
    </row>
  </sheetData>
  <mergeCells count="2">
    <mergeCell ref="A2:R2"/>
    <mergeCell ref="A1:R1"/>
  </mergeCells>
  <printOptions horizontalCentered="1"/>
  <pageMargins left="0.75" right="0.75" top="1" bottom="1" header="0.511811023622047" footer="0.511811023622047"/>
  <pageSetup orientation="landscape" paperSize="9" fitToHeight="1" fitToWidth="1" horizontalDpi="300" verticalDpi="300"/>
  <headerFooter>
    <oddHeader>&amp;C&amp;"Calibri,Bold"&amp;14 MiT Strom Schweiz — Visualisierungen</oddHeader>
    <oddFooter>&amp;R&amp;P/&amp;N</oddFooter>
    <evenHeader/>
    <evenFooter/>
    <firstHeader/>
    <firstFooter/>
  </headerFooter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tabColor rgb="00555555"/>
    <outlinePr summaryBelow="1" summaryRight="1"/>
    <pageSetUpPr/>
  </sheetPr>
  <dimension ref="A1:AA904"/>
  <sheetViews>
    <sheetView tabSelected="1" zoomScaleNormal="100" workbookViewId="0">
      <pane xSplit="2" ySplit="5" topLeftCell="C6" activePane="bottomRight" state="frozen"/>
      <selection pane="topRight" activeCell="A1" sqref="A1"/>
      <selection pane="bottomLeft" activeCell="A1" sqref="A1"/>
      <selection pane="bottomRight" activeCell="A42" sqref="A42:XFD42"/>
      <selection pane="topRight" activeCell="A42" sqref="A42:XFD42"/>
      <selection pane="bottomLeft" activeCell="A42" sqref="A42:XFD42"/>
      <selection pane="bottomRight" activeCell="S49" sqref="S49"/>
    </sheetView>
  </sheetViews>
  <sheetFormatPr baseColWidth="10" defaultColWidth="9.140625" defaultRowHeight="15"/>
  <cols>
    <col width="5" customWidth="1" min="1" max="1"/>
    <col width="28" customWidth="1" min="2" max="2"/>
    <col width="7" customWidth="1" min="3" max="3"/>
    <col width="22" customWidth="1" min="4" max="4"/>
    <col width="79.42578125" bestFit="1" customWidth="1" min="5" max="5"/>
    <col width="21.85546875" customWidth="1" min="6" max="6"/>
    <col width="11" customWidth="1" min="7" max="7"/>
    <col width="12" customWidth="1" min="8" max="8"/>
    <col width="14" customWidth="1" style="45" min="9" max="9"/>
    <col width="12" customWidth="1" style="45" min="10" max="10"/>
    <col width="11" customWidth="1" style="45" min="11" max="14"/>
    <col width="12.42578125" bestFit="1" customWidth="1" style="45" min="15" max="15"/>
    <col width="9" customWidth="1" min="16" max="16"/>
    <col width="14" customWidth="1" style="45" min="17" max="17"/>
    <col width="16" customWidth="1" min="18" max="18"/>
    <col width="9" customWidth="1" min="19" max="19"/>
    <col width="15" bestFit="1" customWidth="1" min="20" max="20"/>
    <col width="38.140625" bestFit="1" customWidth="1" min="21" max="21"/>
    <col width="145.85546875" customWidth="1" min="22" max="22"/>
    <col width="17.28515625" customWidth="1" min="23" max="23"/>
    <col width="137.7109375" bestFit="1" customWidth="1" min="24" max="24"/>
    <col hidden="1" width="13" customWidth="1" min="26" max="27"/>
  </cols>
  <sheetData>
    <row r="1" ht="36" customHeight="1">
      <c r="A1" s="137" t="inlineStr">
        <is>
          <t>⚡  MiT Strom Schweiz — Pipeline &amp; Deal Tracking  |  Mobil in Time AG – An Aggreko Company</t>
        </is>
      </c>
    </row>
    <row r="2" ht="15.75" customHeight="1">
      <c r="A2" s="138" t="inlineStr">
        <is>
          <t xml:space="preserve">  ✏️  Nur in diesem Sheet Daten erfassen — Dashboard, CEO Report und Kantone aktualisieren sich automatisch.</t>
        </is>
      </c>
    </row>
    <row r="3" ht="4.5" customHeight="1">
      <c r="A3" s="12" t="n"/>
    </row>
    <row r="4" ht="25.5" customHeight="1">
      <c r="A4" s="139" t="inlineStr">
        <is>
          <t>✅  WON Umsatz</t>
        </is>
      </c>
      <c r="C4" s="140">
        <f>SUMIFS(I$6:I$904,R$6:R$904,"WON")</f>
        <v/>
      </c>
      <c r="G4" s="141" t="inlineStr">
        <is>
          <t>📋  Anzahl Deals (aktiv)</t>
        </is>
      </c>
      <c r="I4" s="142">
        <f>COUNTIF(R$6:R$904,"WON")+COUNTIF(R$6:R$904,"offered")+COUNTIF(R$6:R$904,"to be offered")+COUNTIF(R$6:R$904,"on hold")+COUNTIF(R$6:R$904,"follow-up")+COUNTIF(R$6:R$904,"Evaluation")+COUNTIF(R$6:R$904,"tbd")+COUNTIF(R$6:R$904,"In evaluation")</f>
        <v/>
      </c>
      <c r="M4" s="143" t="inlineStr">
        <is>
          <t>💼  Offene Pipeline</t>
        </is>
      </c>
      <c r="O4" s="142">
        <f>SUMIFS(I$6:I$904,R$6:R$904,"offered")+SUMIFS(I$6:I$904,R$6:R$904,"to be offered")+SUMIFS(I$6:I$904,R$6:R$904,"on hold")</f>
        <v/>
      </c>
      <c r="S4" s="144" t="inlineStr">
        <is>
          <t>⚖️  Gewichteter Wert</t>
        </is>
      </c>
      <c r="U4" s="145">
        <f>SUMIFS(I$6:I$904,R$6:R$904,"follow-up")+SUMIFS(I$6:I$904,R$6:R$904,"Evaluation")+SUMIFS(I$6:I$904,R$6:R$904,"tbd")+SUMIFS(I$6:I$904,R$6:R$904,"In evaluation")</f>
        <v/>
      </c>
    </row>
    <row r="5" ht="30" customHeight="1">
      <c r="A5" s="80" t="inlineStr">
        <is>
          <t>#</t>
        </is>
      </c>
      <c r="B5" s="80" t="inlineStr">
        <is>
          <t>Kunde / Unternehmen</t>
        </is>
      </c>
      <c r="C5" s="80" t="inlineStr">
        <is>
          <t>Kt.</t>
        </is>
      </c>
      <c r="D5" s="80" t="inlineStr">
        <is>
          <t>Segment</t>
        </is>
      </c>
      <c r="E5" s="80" t="inlineStr">
        <is>
          <t>Leistung / Fleet</t>
        </is>
      </c>
      <c r="F5" s="80" t="inlineStr">
        <is>
          <t>kW</t>
        </is>
      </c>
      <c r="G5" s="80" t="inlineStr">
        <is>
          <t>Dauer</t>
        </is>
      </c>
      <c r="H5" s="80" t="inlineStr">
        <is>
          <t>Start</t>
        </is>
      </c>
      <c r="I5" s="81" t="inlineStr">
        <is>
          <t>Volumen
CHF</t>
        </is>
      </c>
      <c r="J5" s="81" t="inlineStr">
        <is>
          <t>Equip.
CHF</t>
        </is>
      </c>
      <c r="K5" s="81" t="inlineStr">
        <is>
          <t>Transport
CHF</t>
        </is>
      </c>
      <c r="L5" s="81" t="inlineStr">
        <is>
          <t>Treibst.
CHF</t>
        </is>
      </c>
      <c r="M5" s="81" t="inlineStr">
        <is>
          <t>Technik.
CHF</t>
        </is>
      </c>
      <c r="N5" s="81" t="inlineStr">
        <is>
          <t>Übrige
CHF</t>
        </is>
      </c>
      <c r="O5" s="81" t="inlineStr">
        <is>
          <t>Marge
CHF</t>
        </is>
      </c>
      <c r="P5" s="80" t="inlineStr">
        <is>
          <t>Marge
%</t>
        </is>
      </c>
      <c r="Q5" s="81" t="inlineStr">
        <is>
          <t>Gew.Wert
CHF</t>
        </is>
      </c>
      <c r="R5" s="80" t="inlineStr">
        <is>
          <t>Status</t>
        </is>
      </c>
      <c r="S5" s="80" t="inlineStr">
        <is>
          <t>Wahr.
%</t>
        </is>
      </c>
      <c r="T5" s="80" t="inlineStr">
        <is>
          <t>Akquise
Typ</t>
        </is>
      </c>
      <c r="U5" s="80" t="inlineStr">
        <is>
          <t>USP-Argument</t>
        </is>
      </c>
      <c r="V5" s="80" t="inlineStr">
        <is>
          <t>Nächster Schritt</t>
        </is>
      </c>
      <c r="W5" s="80" t="inlineStr">
        <is>
          <t>Follow-Up</t>
        </is>
      </c>
      <c r="X5" s="80" t="inlineStr">
        <is>
          <t>Notiz intern</t>
        </is>
      </c>
      <c r="Z5" s="82" t="inlineStr">
        <is>
          <t>_WON_Sort</t>
        </is>
      </c>
      <c r="AA5" s="82" t="inlineStr">
        <is>
          <t>_I_Num</t>
        </is>
      </c>
    </row>
    <row r="6" ht="19.5" customHeight="1">
      <c r="A6" s="83" t="n">
        <v>1</v>
      </c>
      <c r="B6" s="84" t="inlineStr">
        <is>
          <t>Ice Hockey Championship</t>
        </is>
      </c>
      <c r="C6" s="83" t="inlineStr">
        <is>
          <t>ZH</t>
        </is>
      </c>
      <c r="D6" s="84" t="inlineStr">
        <is>
          <t>Events &amp; Sport</t>
        </is>
      </c>
      <c r="E6" s="84" t="inlineStr">
        <is>
          <t>2×600+2×200 kVA</t>
        </is>
      </c>
      <c r="F6" s="85" t="n">
        <v>1600</v>
      </c>
      <c r="G6" s="83" t="n">
        <v>28</v>
      </c>
      <c r="H6" s="181" t="inlineStr">
        <is>
          <t>02.05.2026</t>
        </is>
      </c>
      <c r="I6" s="85" t="n">
        <v>310000</v>
      </c>
      <c r="J6" s="85" t="n">
        <v>195000</v>
      </c>
      <c r="K6" s="85" t="n">
        <v>8000</v>
      </c>
      <c r="L6" s="85" t="n">
        <v>12000</v>
      </c>
      <c r="M6" s="85" t="n">
        <v>15000</v>
      </c>
      <c r="N6" s="85" t="n">
        <v>5000</v>
      </c>
      <c r="O6" s="87">
        <f>IFERROR(I6-(J6+K6+L6+M6+N6),"")</f>
        <v/>
      </c>
      <c r="P6" s="87">
        <f>IFERROR(O6/I6,"")</f>
        <v/>
      </c>
      <c r="Q6" s="87">
        <f>IFERROR(IF(OR(I6="",S6="",S6="tbd"),"tbd",I6*IF(S6&lt;=1,S6,S6/100)),"–")</f>
        <v/>
      </c>
      <c r="R6" s="88" t="inlineStr">
        <is>
          <t>WON</t>
        </is>
      </c>
      <c r="S6" s="83" t="inlineStr">
        <is>
          <t>100%</t>
        </is>
      </c>
      <c r="T6" s="84" t="inlineStr">
        <is>
          <t>Warm – Aggreko</t>
        </is>
      </c>
      <c r="U6" s="84" t="inlineStr">
        <is>
          <t>Aggreko Event-Power + Redundanz</t>
        </is>
      </c>
      <c r="V6" s="84" t="inlineStr">
        <is>
          <t>✅ Einsatzplanung läuft – Logistik finalisieren</t>
        </is>
      </c>
      <c r="W6" s="83" t="inlineStr">
        <is>
          <t>–</t>
        </is>
      </c>
      <c r="X6" s="84" t="inlineStr">
        <is>
          <t>Grossreferenz CH Events – öffentlich nutzbar</t>
        </is>
      </c>
      <c r="Z6">
        <f>IF(AND(R6="WON",ISNUMBER(I6)),AA6,"")</f>
        <v/>
      </c>
      <c r="AA6">
        <f>IFERROR(I6*1,0)</f>
        <v/>
      </c>
    </row>
    <row r="7" ht="19.5" customHeight="1">
      <c r="A7" s="83" t="n">
        <v>2</v>
      </c>
      <c r="B7" s="84" t="inlineStr">
        <is>
          <t>Oerlikon Metco Wohlen</t>
        </is>
      </c>
      <c r="C7" s="83" t="inlineStr">
        <is>
          <t>AG</t>
        </is>
      </c>
      <c r="D7" s="84" t="inlineStr">
        <is>
          <t>Industrie / Oberfläche</t>
        </is>
      </c>
      <c r="E7" s="84" t="inlineStr">
        <is>
          <t>240 kVA Generator</t>
        </is>
      </c>
      <c r="F7" s="85" t="n">
        <v>240</v>
      </c>
      <c r="G7" s="83" t="n">
        <v>21</v>
      </c>
      <c r="H7" s="181" t="inlineStr">
        <is>
          <t>08.04.2026</t>
        </is>
      </c>
      <c r="I7" s="85" t="n">
        <v>13100</v>
      </c>
      <c r="J7" s="85" t="n">
        <v>7500</v>
      </c>
      <c r="K7" s="85" t="n">
        <v>800</v>
      </c>
      <c r="L7" s="85" t="n">
        <v>600</v>
      </c>
      <c r="M7" s="85" t="n">
        <v>900</v>
      </c>
      <c r="N7" s="85" t="n">
        <v>300</v>
      </c>
      <c r="O7" s="87">
        <f>IFERROR(I7-(J7+K7+L7+M7+N7),"")</f>
        <v/>
      </c>
      <c r="P7" s="87">
        <f>IFERROR(O7/I7,"")</f>
        <v/>
      </c>
      <c r="Q7" s="87">
        <f>IFERROR(IF(OR(I7="",S7="",S7="tbd"),"tbd",I7*IF(S7&lt;=1,S7,S7/100)),"–")</f>
        <v/>
      </c>
      <c r="R7" s="88" t="inlineStr">
        <is>
          <t>WON</t>
        </is>
      </c>
      <c r="S7" s="83" t="inlineStr">
        <is>
          <t>100%</t>
        </is>
      </c>
      <c r="T7" s="84" t="inlineStr">
        <is>
          <t>Kalt</t>
        </is>
      </c>
      <c r="U7" s="84" t="inlineStr">
        <is>
          <t>Schnelle Lieferung 24/7</t>
        </is>
      </c>
      <c r="V7" s="84" t="inlineStr">
        <is>
          <t>✅ Abgeschlossen – Invoice prüfen, Referenz sichern</t>
        </is>
      </c>
      <c r="W7" s="83" t="inlineStr">
        <is>
          <t>–</t>
        </is>
      </c>
      <c r="X7" s="84" t="inlineStr">
        <is>
          <t>Erste Referenz Kanton AG</t>
        </is>
      </c>
      <c r="Z7">
        <f>IF(AND(R7="WON",ISNUMBER(I7)),AA7,"")</f>
        <v/>
      </c>
      <c r="AA7">
        <f>IFERROR(I7*1,0)</f>
        <v/>
      </c>
    </row>
    <row r="8" ht="19.5" customHeight="1">
      <c r="A8" s="83" t="n">
        <v>3</v>
      </c>
      <c r="B8" s="84" t="inlineStr">
        <is>
          <t>Siemens</t>
        </is>
      </c>
      <c r="C8" s="83" t="inlineStr">
        <is>
          <t>ZH</t>
        </is>
      </c>
      <c r="D8" s="84" t="inlineStr">
        <is>
          <t>Industrie / Elektro</t>
        </is>
      </c>
      <c r="E8" s="84" t="inlineStr">
        <is>
          <t>600 kVA Generator</t>
        </is>
      </c>
      <c r="F8" s="85" t="n">
        <v>600</v>
      </c>
      <c r="G8" s="83" t="n">
        <v>21</v>
      </c>
      <c r="H8" s="83" t="inlineStr">
        <is>
          <t>tbd</t>
        </is>
      </c>
      <c r="I8" s="85" t="n">
        <v>10000</v>
      </c>
      <c r="J8" s="87" t="n"/>
      <c r="K8" s="87" t="n"/>
      <c r="L8" s="87" t="n"/>
      <c r="M8" s="87" t="n"/>
      <c r="N8" s="87" t="n"/>
      <c r="O8" s="87">
        <f>IFERROR(I8-(J8+K8+L8+M8+N8),"")</f>
        <v/>
      </c>
      <c r="P8" s="87">
        <f>IFERROR(O8/I8,"")</f>
        <v/>
      </c>
      <c r="Q8" s="87">
        <f>IFERROR(IF(OR(I8="",S8="",S8="tbd"),"tbd",I8*IF(S8&lt;=1,S8,S8/100)),"–")</f>
        <v/>
      </c>
      <c r="R8" s="88" t="inlineStr">
        <is>
          <t>WON</t>
        </is>
      </c>
      <c r="S8" s="83" t="inlineStr">
        <is>
          <t>100%</t>
        </is>
      </c>
      <c r="T8" s="84" t="inlineStr">
        <is>
          <t>Warm</t>
        </is>
      </c>
      <c r="U8" s="84" t="inlineStr">
        <is>
          <t>Aggreko-Backbone + Verfügbarkeit</t>
        </is>
      </c>
      <c r="V8" s="84" t="inlineStr">
        <is>
          <t>✅ Referenzschreiben anfordern</t>
        </is>
      </c>
      <c r="W8" s="83" t="inlineStr">
        <is>
          <t>–</t>
        </is>
      </c>
      <c r="X8" s="84" t="inlineStr">
        <is>
          <t>Referenz Industriebereich – sehr wertvoll</t>
        </is>
      </c>
      <c r="Z8">
        <f>IF(AND(R8="WON",ISNUMBER(I8)),AA8,"")</f>
        <v/>
      </c>
      <c r="AA8">
        <f>IFERROR(I8*1,0)</f>
        <v/>
      </c>
    </row>
    <row r="9" ht="19.5" customHeight="1">
      <c r="A9" s="22" t="n">
        <v>4</v>
      </c>
      <c r="B9" s="23" t="inlineStr">
        <is>
          <t>Stagelight – OpenAir Frauenfeld</t>
        </is>
      </c>
      <c r="C9" s="22" t="inlineStr">
        <is>
          <t>TG</t>
        </is>
      </c>
      <c r="D9" s="23" t="inlineStr">
        <is>
          <t>Events &amp; Kultur</t>
        </is>
      </c>
      <c r="E9" s="23" t="inlineStr">
        <is>
          <t>~500 kVA Generator</t>
        </is>
      </c>
      <c r="F9" s="24" t="n">
        <v>500</v>
      </c>
      <c r="G9" s="22" t="n">
        <v>14</v>
      </c>
      <c r="H9" s="22" t="inlineStr">
        <is>
          <t>Jul. 2026</t>
        </is>
      </c>
      <c r="I9" s="49" t="n">
        <v>150000</v>
      </c>
      <c r="J9" s="49" t="n">
        <v>88000</v>
      </c>
      <c r="K9" s="49" t="n">
        <v>4500</v>
      </c>
      <c r="L9" s="49" t="n">
        <v>7000</v>
      </c>
      <c r="M9" s="49" t="n">
        <v>9000</v>
      </c>
      <c r="N9" s="49" t="n">
        <v>2000</v>
      </c>
      <c r="O9" s="49">
        <f>IFERROR(I9-(J9+K9+L9+M9+N9),"")</f>
        <v/>
      </c>
      <c r="P9" s="89">
        <f>IFERROR(O9/I9,"")</f>
        <v/>
      </c>
      <c r="Q9" s="49">
        <f>IFERROR(IF(OR(I9="",S9="",S9="tbd"),"tbd",I9*IF(S9&lt;=1,S9,S9/100)),"–")</f>
        <v/>
      </c>
      <c r="R9" s="88" t="inlineStr">
        <is>
          <t>WON</t>
        </is>
      </c>
      <c r="S9" s="83" t="inlineStr">
        <is>
          <t>100%</t>
        </is>
      </c>
      <c r="T9" s="23" t="inlineStr">
        <is>
          <t>Kalt</t>
        </is>
      </c>
      <c r="U9" s="23" t="inlineStr">
        <is>
          <t>Reaktionszeit &lt; 24h, Zuverlässigkeit</t>
        </is>
      </c>
      <c r="V9" s="23" t="inlineStr">
        <is>
          <t>Follow-up + Vertragsverhandlung initiieren</t>
        </is>
      </c>
      <c r="W9" s="91" t="inlineStr">
        <is>
          <t>Juni</t>
        </is>
      </c>
      <c r="X9" s="23" t="inlineStr">
        <is>
          <t>OpenAir Festival – jährlich → Rahmenvertrag prüfen, Nicht umgehen den Ansprechpartner, Teams Meeting mit Aggreko Deutschland</t>
        </is>
      </c>
      <c r="Z9">
        <f>IF(AND(R9="WON",ISNUMBER(I9)),AA9,"")</f>
        <v/>
      </c>
      <c r="AA9">
        <f>IFERROR(I9*1,0)</f>
        <v/>
      </c>
    </row>
    <row r="10" ht="19.5" customHeight="1">
      <c r="A10" s="91" t="n">
        <v>6</v>
      </c>
      <c r="B10" s="92" t="inlineStr">
        <is>
          <t>Wincasa Solothurn</t>
        </is>
      </c>
      <c r="C10" s="91" t="inlineStr">
        <is>
          <t>SO</t>
        </is>
      </c>
      <c r="D10" s="92" t="inlineStr">
        <is>
          <t>Immobilien / FM</t>
        </is>
      </c>
      <c r="E10" s="92" t="inlineStr">
        <is>
          <t>BESS 1 MWh</t>
        </is>
      </c>
      <c r="F10" s="93" t="n">
        <v>1000</v>
      </c>
      <c r="G10" s="91" t="n">
        <v>365</v>
      </c>
      <c r="H10" s="182" t="inlineStr">
        <is>
          <t>01.05.2026</t>
        </is>
      </c>
      <c r="I10" s="95" t="n">
        <v>390000</v>
      </c>
      <c r="J10" s="95" t="n">
        <v>240000</v>
      </c>
      <c r="K10" s="95" t="n">
        <v>6000</v>
      </c>
      <c r="L10" s="95" t="n"/>
      <c r="M10" s="95" t="n">
        <v>18000</v>
      </c>
      <c r="N10" s="95" t="n">
        <v>8000</v>
      </c>
      <c r="O10" s="95">
        <f>IFERROR(I10-(J10+K10+L10+M10+N10),"")</f>
        <v/>
      </c>
      <c r="P10" s="96">
        <f>IFERROR(O10/I10,"")</f>
        <v/>
      </c>
      <c r="Q10" s="95">
        <f>IFERROR(IF(OR(I10="",S10="",S10="tbd"),"tbd",I10*IF(S10&lt;=1,S10,S10/100)),"–")</f>
        <v/>
      </c>
      <c r="R10" s="97" t="inlineStr">
        <is>
          <t>on hold</t>
        </is>
      </c>
      <c r="S10" s="91" t="inlineStr">
        <is>
          <t>50%</t>
        </is>
      </c>
      <c r="T10" s="92" t="inlineStr">
        <is>
          <t>Kalt</t>
        </is>
      </c>
      <c r="U10" s="92" t="inlineStr">
        <is>
          <t>BESS-Hybridlösung, Energiekostensenkung</t>
        </is>
      </c>
      <c r="V10" s="92" t="inlineStr">
        <is>
          <t>Entscheider-Meeting anfordern, Businesscase Energie-ROI</t>
        </is>
      </c>
      <c r="W10" s="91" t="inlineStr">
        <is>
          <t>Juni</t>
        </is>
      </c>
      <c r="X10" s="92" t="inlineStr">
        <is>
          <t>Grösster offener Lead – Geduld + ROI-Argumentation</t>
        </is>
      </c>
      <c r="Z10">
        <f>IF(AND(R10="WON",ISNUMBER(I10)),AA10,"")</f>
        <v/>
      </c>
      <c r="AA10">
        <f>IFERROR(I10*1,0)</f>
        <v/>
      </c>
    </row>
    <row r="11" ht="19.5" customHeight="1">
      <c r="A11" s="98" t="n">
        <v>7</v>
      </c>
      <c r="B11" s="99" t="inlineStr">
        <is>
          <t>Avia Volt Suisse AG</t>
        </is>
      </c>
      <c r="C11" s="98" t="inlineStr">
        <is>
          <t>ZH</t>
        </is>
      </c>
      <c r="D11" s="99" t="inlineStr">
        <is>
          <t>EVU / Energie</t>
        </is>
      </c>
      <c r="E11" s="99" t="inlineStr">
        <is>
          <t>5×200 kVA Generator</t>
        </is>
      </c>
      <c r="F11" s="100" t="n">
        <v>1000</v>
      </c>
      <c r="G11" s="98" t="n">
        <v>30</v>
      </c>
      <c r="H11" s="183" t="inlineStr">
        <is>
          <t>01.05.2026</t>
        </is>
      </c>
      <c r="I11" s="100" t="n">
        <v>41000</v>
      </c>
      <c r="J11" s="100" t="n">
        <v>24000</v>
      </c>
      <c r="K11" s="100" t="n">
        <v>2000</v>
      </c>
      <c r="L11" s="100" t="n">
        <v>2500</v>
      </c>
      <c r="M11" s="100" t="n">
        <v>3000</v>
      </c>
      <c r="N11" s="100" t="n">
        <v>500</v>
      </c>
      <c r="O11" s="102">
        <f>IFERROR(I11-(J11+K11+L11+M11+N11),"")</f>
        <v/>
      </c>
      <c r="P11" s="102">
        <f>IFERROR(O11/I11,"")</f>
        <v/>
      </c>
      <c r="Q11" s="102">
        <f>IFERROR(IF(OR(I11="",S11="",S11="tbd"),"tbd",I11*IF(S11&lt;=1,S11,S11/100)),"–")</f>
        <v/>
      </c>
      <c r="R11" s="103" t="inlineStr">
        <is>
          <t>Declined</t>
        </is>
      </c>
      <c r="S11" s="91" t="inlineStr">
        <is>
          <t>50%</t>
        </is>
      </c>
      <c r="T11" s="99" t="inlineStr">
        <is>
          <t>Warm</t>
        </is>
      </c>
      <c r="U11" s="99" t="inlineStr">
        <is>
          <t>PQ-Monitoring inkl. – einzigartig in CH</t>
        </is>
      </c>
      <c r="V11" s="99" t="inlineStr">
        <is>
          <t>Angebotspräsentation Termin diese Woche</t>
        </is>
      </c>
      <c r="W11" s="91" t="inlineStr">
        <is>
          <t>Juni</t>
        </is>
      </c>
      <c r="X11" s="99" t="inlineStr">
        <is>
          <t>EVU mit PQ-Bedarf – USP passt perfekt, Kunde hat kein bedarf zur Zeit</t>
        </is>
      </c>
      <c r="Z11">
        <f>IF(AND(R11="WON",ISNUMBER(I11)),AA11,"")</f>
        <v/>
      </c>
      <c r="AA11">
        <f>IFERROR(I11*1,0)</f>
        <v/>
      </c>
    </row>
    <row r="12" ht="19.5" customHeight="1">
      <c r="A12" s="91" t="n">
        <v>8</v>
      </c>
      <c r="B12" s="92" t="inlineStr">
        <is>
          <t>Sade CGTH (Schweiz)</t>
        </is>
      </c>
      <c r="C12" s="91" t="inlineStr">
        <is>
          <t>GE</t>
        </is>
      </c>
      <c r="D12" s="92" t="inlineStr">
        <is>
          <t>Infrastruktur / Bau</t>
        </is>
      </c>
      <c r="E12" s="92" t="inlineStr">
        <is>
          <t>750 kVA Generator</t>
        </is>
      </c>
      <c r="F12" s="93" t="n">
        <v>750</v>
      </c>
      <c r="G12" s="91" t="n">
        <v>42</v>
      </c>
      <c r="H12" s="182" t="inlineStr">
        <is>
          <t>06.04.2026</t>
        </is>
      </c>
      <c r="I12" s="95" t="n">
        <v>38885</v>
      </c>
      <c r="J12" s="95" t="n">
        <v>22000</v>
      </c>
      <c r="K12" s="95" t="n">
        <v>2500</v>
      </c>
      <c r="L12" s="95" t="n">
        <v>3500</v>
      </c>
      <c r="M12" s="95" t="n">
        <v>3000</v>
      </c>
      <c r="N12" s="95" t="n">
        <v>800</v>
      </c>
      <c r="O12" s="95">
        <f>IFERROR(I12-(J12+K12+L12+M12+N12),"")</f>
        <v/>
      </c>
      <c r="P12" s="96">
        <f>IFERROR(O12/I12,"")</f>
        <v/>
      </c>
      <c r="Q12" s="95">
        <f>IFERROR(IF(OR(I12="",S12="",S12="tbd"),"tbd",I12*IF(S12&lt;=1,S12,S12/100)),"–")</f>
        <v/>
      </c>
      <c r="R12" s="104" t="inlineStr">
        <is>
          <t>follow-up</t>
        </is>
      </c>
      <c r="S12" s="154" t="n">
        <v>0.5</v>
      </c>
      <c r="T12" s="92" t="inlineStr">
        <is>
          <t>Kalt</t>
        </is>
      </c>
      <c r="U12" s="92" t="inlineStr">
        <is>
          <t>24/7 Service, Aggreko-Zuverlässigkeit</t>
        </is>
      </c>
      <c r="V12" s="92" t="inlineStr">
        <is>
          <t>Auftragsbestätigung anfordern – Entscheid steht bevor</t>
        </is>
      </c>
      <c r="W12" s="91" t="inlineStr">
        <is>
          <t>Juni</t>
        </is>
      </c>
      <c r="X12" s="92" t="inlineStr">
        <is>
          <t>Infrastrukturprojekt Romandie – Türöffner GE/VD</t>
        </is>
      </c>
      <c r="Z12">
        <f>IF(AND(R12="WON",ISNUMBER(I12)),AA12,"")</f>
        <v/>
      </c>
      <c r="AA12">
        <f>IFERROR(I12*1,0)</f>
        <v/>
      </c>
    </row>
    <row r="13" ht="19.5" customHeight="1">
      <c r="A13" s="22" t="n">
        <v>9</v>
      </c>
      <c r="B13" s="23" t="inlineStr">
        <is>
          <t>Badermetaux Sàrl (Schweiz)</t>
        </is>
      </c>
      <c r="C13" s="22" t="inlineStr">
        <is>
          <t>ZH</t>
        </is>
      </c>
      <c r="D13" s="23" t="inlineStr">
        <is>
          <t>Industrie / Metall</t>
        </is>
      </c>
      <c r="E13" s="23" t="inlineStr">
        <is>
          <t>600 kVA Langzeitmiete</t>
        </is>
      </c>
      <c r="F13" s="24" t="n">
        <v>600</v>
      </c>
      <c r="G13" s="22" t="inlineStr">
        <is>
          <t>5 Jahre</t>
        </is>
      </c>
      <c r="H13" s="22" t="inlineStr">
        <is>
          <t>Apr./Mai 2026</t>
        </is>
      </c>
      <c r="I13" s="49" t="n">
        <v>500000</v>
      </c>
      <c r="J13" s="49" t="n">
        <v>300000</v>
      </c>
      <c r="K13" s="49" t="n">
        <v>5000</v>
      </c>
      <c r="L13" s="49" t="n">
        <v>25000</v>
      </c>
      <c r="M13" s="49" t="n">
        <v>30000</v>
      </c>
      <c r="N13" s="49" t="n">
        <v>10000</v>
      </c>
      <c r="O13" s="49">
        <f>IFERROR(I13-(J13+K13+L13+M13+N13),"")</f>
        <v/>
      </c>
      <c r="P13" s="89">
        <f>IFERROR(O13/I13,"")</f>
        <v/>
      </c>
      <c r="Q13" s="49">
        <f>IFERROR(IF(OR(I13="",S13="",S13="tbd"),"tbd",I13*IF(S13&lt;=1,S13,S13/100)),"–")</f>
        <v/>
      </c>
      <c r="R13" s="104" t="inlineStr">
        <is>
          <t>follow-up</t>
        </is>
      </c>
      <c r="S13" s="153" t="n">
        <v>0.1</v>
      </c>
      <c r="T13" s="23" t="inlineStr">
        <is>
          <t>Kalt</t>
        </is>
      </c>
      <c r="U13" s="23" t="inlineStr">
        <is>
          <t>EN 50160-Zertifizierung, all-inclusive</t>
        </is>
      </c>
      <c r="V13" s="23" t="inlineStr">
        <is>
          <t>PQ-Analyse + Langzeitkonzept vorlegen</t>
        </is>
      </c>
      <c r="W13" s="91" t="inlineStr">
        <is>
          <t>Juni</t>
        </is>
      </c>
      <c r="X13" s="23" t="inlineStr">
        <is>
          <t>500k CHF Potenzial – langer Zyklus, jetzt Vertrauen aufbauen</t>
        </is>
      </c>
      <c r="Z13">
        <f>IF(AND(R13="WON",ISNUMBER(I13)),AA13,"")</f>
        <v/>
      </c>
      <c r="AA13">
        <f>IFERROR(I13*1,0)</f>
        <v/>
      </c>
    </row>
    <row r="14" ht="19.5" customHeight="1">
      <c r="A14" s="91" t="n">
        <v>10</v>
      </c>
      <c r="B14" s="92" t="inlineStr">
        <is>
          <t>Murg Flums Energie</t>
        </is>
      </c>
      <c r="C14" s="91" t="inlineStr">
        <is>
          <t>SG</t>
        </is>
      </c>
      <c r="D14" s="92" t="inlineStr">
        <is>
          <t>EVU / Energie</t>
        </is>
      </c>
      <c r="E14" s="92" t="inlineStr">
        <is>
          <t>250 kVA Generator</t>
        </is>
      </c>
      <c r="F14" s="93" t="n">
        <v>250</v>
      </c>
      <c r="G14" s="91" t="n">
        <v>365</v>
      </c>
      <c r="H14" s="91" t="inlineStr">
        <is>
          <t>Auf Abruf</t>
        </is>
      </c>
      <c r="I14" s="95" t="n">
        <v>96658.69</v>
      </c>
      <c r="J14" s="95" t="n">
        <v>83232</v>
      </c>
      <c r="K14" s="95" t="n">
        <v>3100</v>
      </c>
      <c r="L14" s="49" t="n">
        <v>0</v>
      </c>
      <c r="M14" s="95" t="n">
        <v>870</v>
      </c>
      <c r="N14" s="95" t="n">
        <v>2214</v>
      </c>
      <c r="O14" s="95">
        <f>IFERROR(I14-(J14+K14+L14+M14+N14),"")</f>
        <v/>
      </c>
      <c r="P14" s="96">
        <f>IFERROR(O14/I14,"")</f>
        <v/>
      </c>
      <c r="Q14" s="95">
        <f>IFERROR(IF(OR(I14="",S14="",S14="tbd"),"tbd",I14*IF(S14&lt;=1,S14,S14/100)),"–")</f>
        <v/>
      </c>
      <c r="R14" s="88" t="inlineStr">
        <is>
          <t>WON</t>
        </is>
      </c>
      <c r="S14" s="154" t="n">
        <v>1</v>
      </c>
      <c r="T14" s="92" t="inlineStr">
        <is>
          <t>Kalt</t>
        </is>
      </c>
      <c r="U14" s="92" t="inlineStr">
        <is>
          <t>PQ-Expertise, NIV Art. 13 Compliance</t>
        </is>
      </c>
      <c r="V14" s="92" t="inlineStr">
        <is>
          <t>Bedarfsanalyse, NEA-Konzept vorschlagen, Termin vor Ort, Termin vor Ort wahrgenommen</t>
        </is>
      </c>
      <c r="W14" s="91" t="inlineStr">
        <is>
          <t>Juni</t>
        </is>
      </c>
      <c r="X14" s="92" t="inlineStr">
        <is>
          <t>EVU SG – NEA-Bedarf qualifizieren, Alles ermittelt und Konzept erstellt und nur noch Offerte schicken mit dem Konzept</t>
        </is>
      </c>
      <c r="Z14">
        <f>IF(AND(R14="WON",ISNUMBER(I14)),AA14,"")</f>
        <v/>
      </c>
      <c r="AA14">
        <f>IFERROR(I14*1,0)</f>
        <v/>
      </c>
    </row>
    <row r="15" ht="19.5" customHeight="1">
      <c r="A15" s="22" t="n">
        <v>11</v>
      </c>
      <c r="B15" s="23" t="inlineStr">
        <is>
          <t>Burkhalter Technics AG</t>
        </is>
      </c>
      <c r="C15" s="22" t="inlineStr">
        <is>
          <t>ZH</t>
        </is>
      </c>
      <c r="D15" s="23" t="inlineStr">
        <is>
          <t>Elektroinstallation</t>
        </is>
      </c>
      <c r="E15" s="23" t="inlineStr">
        <is>
          <t>150 kVA Generator</t>
        </is>
      </c>
      <c r="F15" s="24" t="n">
        <v>150</v>
      </c>
      <c r="G15" s="22" t="n">
        <v>14</v>
      </c>
      <c r="H15" s="184" t="inlineStr">
        <is>
          <t>10.05.2026</t>
        </is>
      </c>
      <c r="I15" s="49" t="n"/>
      <c r="J15" s="49" t="n"/>
      <c r="K15" s="49" t="n"/>
      <c r="L15" s="49" t="n"/>
      <c r="M15" s="49" t="n"/>
      <c r="N15" s="49" t="n"/>
      <c r="O15" s="49">
        <f>IFERROR(I15-(J15+K15+L15+M15+N15),"")</f>
        <v/>
      </c>
      <c r="P15" s="89">
        <f>IFERROR(O15/I15,"")</f>
        <v/>
      </c>
      <c r="Q15" s="49">
        <f>IFERROR(IF(OR(I15="",S15="",S15="tbd"),"tbd",I15*IF(S15&lt;=1,S15,S15/100)),"–")</f>
        <v/>
      </c>
      <c r="R15" s="106" t="inlineStr">
        <is>
          <t>on hold</t>
        </is>
      </c>
      <c r="S15" s="22" t="inlineStr">
        <is>
          <t>40%</t>
        </is>
      </c>
      <c r="T15" s="23" t="inlineStr">
        <is>
          <t>Warm – CBM</t>
        </is>
      </c>
      <c r="U15" s="23" t="inlineStr">
        <is>
          <t>Bestehende Beziehung, schnelle Lieferung</t>
        </is>
      </c>
      <c r="V15" s="23" t="inlineStr">
        <is>
          <t>Angebot finalisieren – CBM-Beziehung nutzen, Abrufbereit und Vertrag unterschreiben</t>
        </is>
      </c>
      <c r="W15" s="91" t="inlineStr">
        <is>
          <t>Juni</t>
        </is>
      </c>
      <c r="X15" s="23" t="inlineStr">
        <is>
          <t>Bekannt aus CBM – Cross-Sell PQ-Monitoring möglich</t>
        </is>
      </c>
      <c r="Z15">
        <f>IF(AND(R15="WON",ISNUMBER(I15)),AA15,"")</f>
        <v/>
      </c>
      <c r="AA15">
        <f>IFERROR(I15*1,0)</f>
        <v/>
      </c>
    </row>
    <row r="16" ht="19.5" customHeight="1">
      <c r="A16" s="91" t="n">
        <v>12</v>
      </c>
      <c r="B16" s="92" t="inlineStr">
        <is>
          <t>Show-Concept.ch AG</t>
        </is>
      </c>
      <c r="C16" s="91" t="inlineStr">
        <is>
          <t>ZH</t>
        </is>
      </c>
      <c r="D16" s="92" t="inlineStr">
        <is>
          <t>Events / Medien</t>
        </is>
      </c>
      <c r="E16" s="92" t="inlineStr">
        <is>
          <t>200 kW Lastbank</t>
        </is>
      </c>
      <c r="F16" s="93" t="n">
        <v>200</v>
      </c>
      <c r="G16" s="91" t="inlineStr">
        <is>
          <t>tbd</t>
        </is>
      </c>
      <c r="H16" s="91" t="inlineStr">
        <is>
          <t>tbd</t>
        </is>
      </c>
      <c r="I16" s="95" t="n"/>
      <c r="J16" s="95" t="n"/>
      <c r="K16" s="95" t="n"/>
      <c r="L16" s="95" t="n"/>
      <c r="M16" s="95" t="n"/>
      <c r="N16" s="95" t="n"/>
      <c r="O16" s="95">
        <f>IFERROR(I16-(J16+K16+L16+M16+N16),"")</f>
        <v/>
      </c>
      <c r="P16" s="96">
        <f>IFERROR(O16/I16,"")</f>
        <v/>
      </c>
      <c r="Q16" s="95">
        <f>IFERROR(IF(OR(I16="",S16="",S16="tbd"),"tbd",I16*IF(S16&lt;=1,S16,S16/100)),"–")</f>
        <v/>
      </c>
      <c r="R16" s="106" t="inlineStr">
        <is>
          <t>on hold</t>
        </is>
      </c>
      <c r="S16" s="91" t="inlineStr">
        <is>
          <t>35%</t>
        </is>
      </c>
      <c r="T16" s="92" t="inlineStr">
        <is>
          <t>Kalt</t>
        </is>
      </c>
      <c r="U16" s="92" t="inlineStr">
        <is>
          <t>Lastbank-Testing – Spezialprodukt MiT</t>
        </is>
      </c>
      <c r="V16" s="92" t="inlineStr">
        <is>
          <t>Use-Case klären – Lastbank oder Generator?</t>
        </is>
      </c>
      <c r="W16" s="91" t="inlineStr">
        <is>
          <t>Juni</t>
        </is>
      </c>
      <c r="X16" s="92" t="inlineStr">
        <is>
          <t>Spezialanfrage – konkreten Bedarf erst verstehen</t>
        </is>
      </c>
      <c r="Z16">
        <f>IF(AND(R16="WON",ISNUMBER(I16)),AA16,"")</f>
        <v/>
      </c>
      <c r="AA16">
        <f>IFERROR(I16*1,0)</f>
        <v/>
      </c>
    </row>
    <row r="17" ht="19.5" customHeight="1">
      <c r="A17" s="22" t="n">
        <v>13</v>
      </c>
      <c r="B17" s="23" t="inlineStr">
        <is>
          <t>Proxima Fusion AG</t>
        </is>
      </c>
      <c r="C17" s="22" t="inlineStr">
        <is>
          <t>ZH</t>
        </is>
      </c>
      <c r="D17" s="23" t="inlineStr">
        <is>
          <t>Forschung / Hightech</t>
        </is>
      </c>
      <c r="E17" s="23" t="inlineStr">
        <is>
          <t>BESS 1 MWh</t>
        </is>
      </c>
      <c r="F17" s="24" t="n">
        <v>1000</v>
      </c>
      <c r="G17" s="22" t="n">
        <v>365</v>
      </c>
      <c r="H17" s="184" t="n">
        <v>46204</v>
      </c>
      <c r="I17" s="49" t="n">
        <v>365003</v>
      </c>
      <c r="J17" s="49" t="n">
        <v>326376</v>
      </c>
      <c r="K17" s="49" t="n">
        <v>6900</v>
      </c>
      <c r="L17" s="49" t="inlineStr">
        <is>
          <t>-</t>
        </is>
      </c>
      <c r="M17" s="49" t="n">
        <v>1160</v>
      </c>
      <c r="N17" s="49" t="n">
        <v>480</v>
      </c>
      <c r="O17" s="49">
        <f>IFERROR(I17-(J17+K17+L17+M17+N17),"")</f>
        <v/>
      </c>
      <c r="P17" s="89">
        <f>IFERROR(O17/I17,"")</f>
        <v/>
      </c>
      <c r="Q17" s="49">
        <f>IFERROR(IF(OR(I17="",S17="",S17="tbd"),"tbd",I17*IF(S17&lt;=1,S17,S17/100)),"–")</f>
        <v/>
      </c>
      <c r="R17" s="90" t="inlineStr">
        <is>
          <t>offered</t>
        </is>
      </c>
      <c r="S17" s="153" t="n">
        <v>0.7</v>
      </c>
      <c r="T17" s="23" t="inlineStr">
        <is>
          <t>Kalt</t>
        </is>
      </c>
      <c r="U17" s="23" t="inlineStr">
        <is>
          <t>USV + PQ-Monitoring für Präzisionsanlagen</t>
        </is>
      </c>
      <c r="V17" s="23" t="inlineStr">
        <is>
          <t>Technisches Gespräch – USV + PQ-Anforderungen klären, Kunde hat Angebot und Technische Ausführung erhalten warten auf Feedback</t>
        </is>
      </c>
      <c r="W17" s="91" t="inlineStr">
        <is>
          <t>Juni</t>
        </is>
      </c>
      <c r="X17" s="23" t="inlineStr">
        <is>
          <t>Fusionsforschung – sehr sensibler Strombedarf</t>
        </is>
      </c>
      <c r="Z17">
        <f>IF(AND(R17="WON",ISNUMBER(I17)),AA17,"")</f>
        <v/>
      </c>
      <c r="AA17">
        <f>IFERROR(I17*1,0)</f>
        <v/>
      </c>
    </row>
    <row r="18" ht="19.5" customHeight="1">
      <c r="A18" s="91" t="n">
        <v>14</v>
      </c>
      <c r="B18" s="92" t="inlineStr">
        <is>
          <t>Trafag AG</t>
        </is>
      </c>
      <c r="C18" s="91" t="inlineStr">
        <is>
          <t>ZH</t>
        </is>
      </c>
      <c r="D18" s="92" t="inlineStr">
        <is>
          <t>Industrie / Messtechnik</t>
        </is>
      </c>
      <c r="E18" s="92" t="inlineStr">
        <is>
          <t>450 kVA Generator</t>
        </is>
      </c>
      <c r="F18" s="93" t="n">
        <v>450</v>
      </c>
      <c r="G18" s="91" t="inlineStr">
        <is>
          <t>tbd</t>
        </is>
      </c>
      <c r="H18" s="91" t="inlineStr">
        <is>
          <t>tbd</t>
        </is>
      </c>
      <c r="I18" s="95" t="n">
        <v>17300</v>
      </c>
      <c r="J18" s="95" t="n"/>
      <c r="K18" s="95" t="n"/>
      <c r="L18" s="95" t="n"/>
      <c r="M18" s="95" t="n"/>
      <c r="N18" s="95" t="n"/>
      <c r="O18" s="95">
        <f>IFERROR(I18-(J18+K18+L18+M18+N18),"")</f>
        <v/>
      </c>
      <c r="P18" s="96">
        <f>IFERROR(O18/I18,"")</f>
        <v/>
      </c>
      <c r="Q18" s="95">
        <f>IFERROR(IF(OR(I18="",S18="",S18="tbd"),"tbd",I18*IF(S18&lt;=1,S18,S18/100)),"–")</f>
        <v/>
      </c>
      <c r="R18" s="90" t="inlineStr">
        <is>
          <t>offered</t>
        </is>
      </c>
      <c r="S18" s="154" t="n">
        <v>0.5</v>
      </c>
      <c r="T18" s="92" t="inlineStr">
        <is>
          <t>Kalt</t>
        </is>
      </c>
      <c r="U18" s="92" t="inlineStr">
        <is>
          <t>PQ-zertifiziert für sensible Messtechnik</t>
        </is>
      </c>
      <c r="V18" s="92" t="inlineStr">
        <is>
          <t>Angebot vorbereiten – PQ-Argument für Messtechnik, Stefanie Hintermann kontaktieren für weiteren Ablauf, Kontakt aufgenommen und warten für die Zusage / Preisklärung</t>
        </is>
      </c>
      <c r="W18" s="91" t="inlineStr">
        <is>
          <t>Juni</t>
        </is>
      </c>
      <c r="X18" s="92" t="inlineStr">
        <is>
          <t>Messtechnikhersteller – PQ-Argument optimal, Kunde hat alle Daten und Offerten</t>
        </is>
      </c>
      <c r="Z18">
        <f>IF(AND(R18="WON",ISNUMBER(I18)),AA18,"")</f>
        <v/>
      </c>
      <c r="AA18">
        <f>IFERROR(I18*1,0)</f>
        <v/>
      </c>
    </row>
    <row r="19" ht="19.5" customHeight="1">
      <c r="A19" s="22" t="n">
        <v>14</v>
      </c>
      <c r="B19" s="23" t="inlineStr">
        <is>
          <t>Trafag AG</t>
        </is>
      </c>
      <c r="C19" s="22" t="inlineStr">
        <is>
          <t>ZH</t>
        </is>
      </c>
      <c r="D19" s="23" t="inlineStr">
        <is>
          <t>Industrie / Messtechnik</t>
        </is>
      </c>
      <c r="E19" s="23" t="inlineStr">
        <is>
          <t>BESS 500 kVA</t>
        </is>
      </c>
      <c r="F19" s="24" t="n">
        <v>450</v>
      </c>
      <c r="G19" s="22" t="inlineStr">
        <is>
          <t>tbd</t>
        </is>
      </c>
      <c r="H19" s="22" t="inlineStr">
        <is>
          <t>tbd</t>
        </is>
      </c>
      <c r="I19" s="49" t="n">
        <v>21025</v>
      </c>
      <c r="J19" s="49" t="n"/>
      <c r="K19" s="49" t="n"/>
      <c r="L19" s="49" t="n"/>
      <c r="M19" s="49" t="n"/>
      <c r="N19" s="49" t="n"/>
      <c r="O19" s="49">
        <f>IFERROR(I19-(J19+K19+L19+M19+N19),"")</f>
        <v/>
      </c>
      <c r="P19" s="89">
        <f>IFERROR(O19/I19,"")</f>
        <v/>
      </c>
      <c r="Q19" s="49">
        <f>IFERROR(IF(OR(I19="",S19="",S19="tbd"),"tbd",I19*IF(S19&lt;=1,S19,S19/100)),"–")</f>
        <v/>
      </c>
      <c r="R19" s="90" t="inlineStr">
        <is>
          <t>offered</t>
        </is>
      </c>
      <c r="S19" s="153" t="n">
        <v>0.5</v>
      </c>
      <c r="T19" s="23" t="inlineStr">
        <is>
          <t>Kalt</t>
        </is>
      </c>
      <c r="U19" s="23" t="inlineStr">
        <is>
          <t>PQ-zertifiziert für sensible Messtechnik</t>
        </is>
      </c>
      <c r="V19" s="23" t="inlineStr">
        <is>
          <t>Angebot vorbereiten – PQ-Argument für Messtechnik, Stefanie Hintermann kontaktieren für weiteren Ablauf, Kontakt aufgenommen und warten für die Zusage / Preisklärung</t>
        </is>
      </c>
      <c r="W19" s="91" t="inlineStr">
        <is>
          <t>Juni</t>
        </is>
      </c>
      <c r="X19" s="23" t="inlineStr">
        <is>
          <t>Messtechnikhersteller – PQ-Argument optimal, Kunde hat alle Daten und Offerten</t>
        </is>
      </c>
      <c r="Z19">
        <f>IF(AND(R19="WON",ISNUMBER(I19)),AA19,"")</f>
        <v/>
      </c>
      <c r="AA19">
        <f>IFERROR(I19*1,0)</f>
        <v/>
      </c>
    </row>
    <row r="20" ht="19.5" customHeight="1">
      <c r="A20" s="91" t="n">
        <v>14</v>
      </c>
      <c r="B20" s="92" t="inlineStr">
        <is>
          <t>Trafag AG</t>
        </is>
      </c>
      <c r="C20" s="91" t="inlineStr">
        <is>
          <t>ZH</t>
        </is>
      </c>
      <c r="D20" s="92" t="inlineStr">
        <is>
          <t>Industrie / Messtechnik</t>
        </is>
      </c>
      <c r="E20" s="92" t="inlineStr">
        <is>
          <t>Kombi 450 kVA Generator / BESS 500 kVA</t>
        </is>
      </c>
      <c r="F20" s="93" t="n">
        <v>450</v>
      </c>
      <c r="G20" s="91" t="inlineStr">
        <is>
          <t>tbd</t>
        </is>
      </c>
      <c r="H20" s="91" t="inlineStr">
        <is>
          <t>tbd</t>
        </is>
      </c>
      <c r="I20" s="95" t="n">
        <v>37444</v>
      </c>
      <c r="J20" s="95" t="n"/>
      <c r="K20" s="95" t="n"/>
      <c r="L20" s="95" t="n"/>
      <c r="M20" s="95" t="n"/>
      <c r="N20" s="95" t="n"/>
      <c r="O20" s="95">
        <f>IFERROR(I20-(J20+K20+L20+M20+N20),"")</f>
        <v/>
      </c>
      <c r="P20" s="96">
        <f>IFERROR(O20/I20,"")</f>
        <v/>
      </c>
      <c r="Q20" s="95">
        <f>IFERROR(IF(OR(I20="",S20="",S20="tbd"),"tbd",I20*IF(S20&lt;=1,S20,S20/100)),"–")</f>
        <v/>
      </c>
      <c r="R20" s="106" t="inlineStr">
        <is>
          <t>offered</t>
        </is>
      </c>
      <c r="S20" s="154" t="n">
        <v>0.5</v>
      </c>
      <c r="T20" s="92" t="inlineStr">
        <is>
          <t>Kalt</t>
        </is>
      </c>
      <c r="U20" s="92" t="inlineStr">
        <is>
          <t>PQ-zertifiziert für sensible Messtechnik</t>
        </is>
      </c>
      <c r="V20" s="92" t="inlineStr">
        <is>
          <t>Angebot vorbereiten – PQ-Argument für Messtechnik, Stefanie Hintermann kontaktieren für weiteren Ablauf, Kontakt aufgenommen und warten für die Zusage / Preisklärung</t>
        </is>
      </c>
      <c r="W20" s="91" t="inlineStr">
        <is>
          <t>Juni</t>
        </is>
      </c>
      <c r="X20" s="92" t="inlineStr">
        <is>
          <t>Messtechnikhersteller – PQ-Argument optimal, Kunde hat alle Daten und Offerten</t>
        </is>
      </c>
      <c r="Z20">
        <f>IF(AND(R20="WON",ISNUMBER(I20)),AA20,"")</f>
        <v/>
      </c>
      <c r="AA20">
        <f>IFERROR(I20*1,0)</f>
        <v/>
      </c>
    </row>
    <row r="21" ht="19.5" customHeight="1">
      <c r="A21" s="22" t="n">
        <v>15</v>
      </c>
      <c r="B21" s="23" t="inlineStr">
        <is>
          <t>Gotthard Base Tunnel</t>
        </is>
      </c>
      <c r="C21" s="22" t="inlineStr">
        <is>
          <t>UR</t>
        </is>
      </c>
      <c r="D21" s="23" t="inlineStr">
        <is>
          <t>Infrastruktur / Bahn</t>
        </is>
      </c>
      <c r="E21" s="23" t="inlineStr">
        <is>
          <t>Grossanlage tbd</t>
        </is>
      </c>
      <c r="F21" s="89" t="n"/>
      <c r="G21" s="22" t="inlineStr">
        <is>
          <t>Jahre</t>
        </is>
      </c>
      <c r="H21" s="22" t="inlineStr">
        <is>
          <t>tbd</t>
        </is>
      </c>
      <c r="I21" s="49" t="n"/>
      <c r="J21" s="49" t="n"/>
      <c r="K21" s="49" t="n"/>
      <c r="L21" s="49" t="n"/>
      <c r="M21" s="49" t="n"/>
      <c r="N21" s="49" t="n"/>
      <c r="O21" s="49">
        <f>IFERROR(I21-(J21+K21+L21+M21+N21),"")</f>
        <v/>
      </c>
      <c r="P21" s="89">
        <f>IFERROR(O21/I21,"")</f>
        <v/>
      </c>
      <c r="Q21" s="49">
        <f>IFERROR(IF(OR(I21="",S21="",S21="tbd"),"tbd",I21*IF(S21&lt;=1,S21,S21/100)),"–")</f>
        <v/>
      </c>
      <c r="R21" s="106" t="inlineStr">
        <is>
          <t>In evaluation</t>
        </is>
      </c>
      <c r="S21" s="22" t="inlineStr">
        <is>
          <t>20%</t>
        </is>
      </c>
      <c r="T21" s="23" t="inlineStr">
        <is>
          <t>Kalt</t>
        </is>
      </c>
      <c r="U21" s="23" t="inlineStr">
        <is>
          <t>NEA-Pflicht, kritische Infra (NIV Art. 13)</t>
        </is>
      </c>
      <c r="V21" s="23" t="inlineStr">
        <is>
          <t>Stakeholder identifizieren – AlpTransit/SBB kontaktieren</t>
        </is>
      </c>
      <c r="W21" s="91" t="inlineStr">
        <is>
          <t>Juni</t>
        </is>
      </c>
      <c r="X21" s="23" t="inlineStr">
        <is>
          <t>Langfristig strategisch – Türöffner Bahnbereich</t>
        </is>
      </c>
      <c r="Z21">
        <f>IF(AND(R21="WON",ISNUMBER(I21)),AA21,"")</f>
        <v/>
      </c>
      <c r="AA21">
        <f>IFERROR(I21*1,0)</f>
        <v/>
      </c>
    </row>
    <row r="22" ht="19.5" customHeight="1">
      <c r="A22" s="91" t="n">
        <v>16</v>
      </c>
      <c r="B22" s="92" t="inlineStr">
        <is>
          <t>Etavis Gossenbacher AG</t>
        </is>
      </c>
      <c r="C22" s="91" t="inlineStr">
        <is>
          <t>ZH</t>
        </is>
      </c>
      <c r="D22" s="92" t="inlineStr">
        <is>
          <t>Elektroinstallation</t>
        </is>
      </c>
      <c r="E22" s="92" t="inlineStr">
        <is>
          <t>30 kVA USV/Generator</t>
        </is>
      </c>
      <c r="F22" s="93" t="n">
        <v>30</v>
      </c>
      <c r="G22" s="91" t="n">
        <v>90</v>
      </c>
      <c r="H22" s="91" t="inlineStr">
        <is>
          <t>tbd</t>
        </is>
      </c>
      <c r="I22" s="95" t="n"/>
      <c r="J22" s="95" t="n"/>
      <c r="K22" s="95" t="n"/>
      <c r="L22" s="95" t="n"/>
      <c r="M22" s="95" t="n"/>
      <c r="N22" s="95" t="n"/>
      <c r="O22" s="95">
        <f>IFERROR(I22-(J22+K22+L22+M22+N22),"")</f>
        <v/>
      </c>
      <c r="P22" s="96">
        <f>IFERROR(O22/I22,"")</f>
        <v/>
      </c>
      <c r="Q22" s="95">
        <f>IFERROR(IF(OR(I22="",S22="",S22="tbd"),"tbd",I22*IF(S22&lt;=1,S22,S22/100)),"–")</f>
        <v/>
      </c>
      <c r="R22" s="103" t="inlineStr">
        <is>
          <t>Declined</t>
        </is>
      </c>
      <c r="S22" s="91" t="inlineStr">
        <is>
          <t>30%</t>
        </is>
      </c>
      <c r="T22" s="92" t="inlineStr">
        <is>
          <t>Kalt</t>
        </is>
      </c>
      <c r="U22" s="92" t="inlineStr">
        <is>
          <t>Flexibilität, kleines Setup schnell verfügbar</t>
        </is>
      </c>
      <c r="V22" s="92" t="inlineStr">
        <is>
          <t>Erstkontakt vertiefen – Bedarf qualifizieren, Kein bedarf mehr</t>
        </is>
      </c>
      <c r="W22" s="91" t="inlineStr">
        <is>
          <t>Juni</t>
        </is>
      </c>
      <c r="X22" s="92" t="inlineStr">
        <is>
          <t>Erstkontakt vertiefen – Bedarf qualifizieren, Kein bedarf mehr</t>
        </is>
      </c>
      <c r="Z22">
        <f>IF(AND(R22="WON",ISNUMBER(I22)),AA22,"")</f>
        <v/>
      </c>
      <c r="AA22">
        <f>IFERROR(I22*1,0)</f>
        <v/>
      </c>
    </row>
    <row r="23" ht="19.5" customHeight="1">
      <c r="A23" s="22" t="n">
        <v>17</v>
      </c>
      <c r="B23" s="23" t="inlineStr">
        <is>
          <t>MAS ETH Architektur</t>
        </is>
      </c>
      <c r="C23" s="22" t="inlineStr">
        <is>
          <t>ZH</t>
        </is>
      </c>
      <c r="D23" s="23" t="inlineStr">
        <is>
          <t>Bildung / Forschung</t>
        </is>
      </c>
      <c r="E23" s="23" t="inlineStr">
        <is>
          <t>tbd</t>
        </is>
      </c>
      <c r="F23" s="89" t="n"/>
      <c r="G23" s="22" t="inlineStr">
        <is>
          <t>tbd</t>
        </is>
      </c>
      <c r="H23" s="22" t="inlineStr">
        <is>
          <t>tbd</t>
        </is>
      </c>
      <c r="I23" s="49" t="n"/>
      <c r="J23" s="49" t="n"/>
      <c r="K23" s="49" t="n"/>
      <c r="L23" s="49" t="n"/>
      <c r="M23" s="49" t="n"/>
      <c r="N23" s="49" t="n"/>
      <c r="O23" s="49">
        <f>IFERROR(I23-(J23+K23+L23+M23+N23),"")</f>
        <v/>
      </c>
      <c r="P23" s="89">
        <f>IFERROR(O23/I23,"")</f>
        <v/>
      </c>
      <c r="Q23" s="49">
        <f>IFERROR(IF(OR(I23="",S23="",S23="tbd"),"tbd",I23*IF(S23&lt;=1,S23,S23/100)),"–")</f>
        <v/>
      </c>
      <c r="R23" s="103" t="inlineStr">
        <is>
          <t>Declined</t>
        </is>
      </c>
      <c r="S23" s="22" t="inlineStr">
        <is>
          <t>20%</t>
        </is>
      </c>
      <c r="T23" s="23" t="inlineStr">
        <is>
          <t>Kalt</t>
        </is>
      </c>
      <c r="U23" s="23" t="inlineStr">
        <is>
          <t>tbd</t>
        </is>
      </c>
      <c r="V23" s="92" t="inlineStr">
        <is>
          <t>Erstkontakt vertiefen – Bedarf qualifizieren, Kein bedarf mehr</t>
        </is>
      </c>
      <c r="W23" s="91" t="inlineStr">
        <is>
          <t>Juni</t>
        </is>
      </c>
      <c r="X23" s="92" t="inlineStr">
        <is>
          <t>Erstkontakt vertiefen – Bedarf qualifizieren, Kein bedarf mehr</t>
        </is>
      </c>
      <c r="Z23">
        <f>IF(AND(R23="WON",ISNUMBER(I23)),AA23,"")</f>
        <v/>
      </c>
      <c r="AA23">
        <f>IFERROR(I23*1,0)</f>
        <v/>
      </c>
    </row>
    <row r="24" ht="19.5" customHeight="1">
      <c r="A24" s="91" t="n">
        <v>18</v>
      </c>
      <c r="B24" s="92" t="inlineStr">
        <is>
          <t>FIP ISA</t>
        </is>
      </c>
      <c r="C24" s="91" t="inlineStr">
        <is>
          <t>tbd</t>
        </is>
      </c>
      <c r="D24" s="92" t="inlineStr">
        <is>
          <t>tbd</t>
        </is>
      </c>
      <c r="E24" s="92" t="inlineStr">
        <is>
          <t>tbd</t>
        </is>
      </c>
      <c r="F24" s="96" t="n"/>
      <c r="G24" s="91" t="inlineStr">
        <is>
          <t>tbd</t>
        </is>
      </c>
      <c r="H24" s="91" t="inlineStr">
        <is>
          <t>tbd</t>
        </is>
      </c>
      <c r="I24" s="95" t="n"/>
      <c r="J24" s="95" t="n"/>
      <c r="K24" s="95" t="n"/>
      <c r="L24" s="95" t="n"/>
      <c r="M24" s="95" t="n"/>
      <c r="N24" s="95" t="n"/>
      <c r="O24" s="95">
        <f>IFERROR(I24-(J24+K24+L24+M24+N24),"")</f>
        <v/>
      </c>
      <c r="P24" s="96">
        <f>IFERROR(O24/I24,"")</f>
        <v/>
      </c>
      <c r="Q24" s="95">
        <f>IFERROR(IF(OR(I24="",S24="",S24="tbd"),"tbd",I24*IF(S24&lt;=1,S24,S24/100)),"–")</f>
        <v/>
      </c>
      <c r="R24" s="103" t="inlineStr">
        <is>
          <t>Declined</t>
        </is>
      </c>
      <c r="S24" s="91" t="inlineStr">
        <is>
          <t>20%</t>
        </is>
      </c>
      <c r="T24" s="92" t="inlineStr">
        <is>
          <t>Kalt</t>
        </is>
      </c>
      <c r="U24" s="92" t="inlineStr">
        <is>
          <t>tbd</t>
        </is>
      </c>
      <c r="V24" s="92" t="inlineStr">
        <is>
          <t>Erstkontakt vertiefen – Bedarf qualifizieren, Kein bedarf mehr</t>
        </is>
      </c>
      <c r="W24" s="91" t="inlineStr">
        <is>
          <t>Juni</t>
        </is>
      </c>
      <c r="X24" s="92" t="inlineStr">
        <is>
          <t>Erstkontakt vertiefen – Bedarf qualifizieren, Kein bedarf mehr</t>
        </is>
      </c>
      <c r="Z24">
        <f>IF(AND(R24="WON",ISNUMBER(I24)),AA24,"")</f>
        <v/>
      </c>
      <c r="AA24">
        <f>IFERROR(I24*1,0)</f>
        <v/>
      </c>
    </row>
    <row r="25" ht="19.5" customHeight="1">
      <c r="A25" s="98" t="n">
        <v>19</v>
      </c>
      <c r="B25" s="99" t="inlineStr">
        <is>
          <t>AKSA Würenlos</t>
        </is>
      </c>
      <c r="C25" s="98" t="inlineStr">
        <is>
          <t>AG</t>
        </is>
      </c>
      <c r="D25" s="99" t="inlineStr">
        <is>
          <t>Industrie / Generatoren</t>
        </is>
      </c>
      <c r="E25" s="99" t="inlineStr">
        <is>
          <t>1500 kVA Generator</t>
        </is>
      </c>
      <c r="F25" s="100" t="n">
        <v>1500</v>
      </c>
      <c r="G25" s="98" t="n">
        <v>19</v>
      </c>
      <c r="H25" s="183" t="inlineStr">
        <is>
          <t>20.04.2026</t>
        </is>
      </c>
      <c r="I25" s="100" t="n">
        <v>48950</v>
      </c>
      <c r="J25" s="102" t="n"/>
      <c r="K25" s="102" t="n"/>
      <c r="L25" s="102" t="n"/>
      <c r="M25" s="102" t="n"/>
      <c r="N25" s="102" t="n"/>
      <c r="O25" s="102">
        <f>IFERROR(I25-(J25+K25+L25+M25+N25),"")</f>
        <v/>
      </c>
      <c r="P25" s="102">
        <f>IFERROR(O25/I25,"")</f>
        <v/>
      </c>
      <c r="Q25" s="102">
        <f>IFERROR(IF(OR(I25="",S25="",S25="tbd"),"tbd",I25*IF(S25&lt;=1,S25,S25/100)),"–")</f>
        <v/>
      </c>
      <c r="R25" s="103" t="inlineStr">
        <is>
          <t>Declined</t>
        </is>
      </c>
      <c r="S25" s="98" t="inlineStr">
        <is>
          <t>0%</t>
        </is>
      </c>
      <c r="T25" s="99" t="inlineStr">
        <is>
          <t>Kalt</t>
        </is>
      </c>
      <c r="U25" s="99" t="inlineStr">
        <is>
          <t>–</t>
        </is>
      </c>
      <c r="V25" s="99" t="inlineStr">
        <is>
          <t>Kunden angeschrieben 27.04.2026</t>
        </is>
      </c>
      <c r="W25" s="91" t="inlineStr">
        <is>
          <t>Juni</t>
        </is>
      </c>
      <c r="X25" s="99" t="inlineStr">
        <is>
          <t>Wirtschaftlich nicht tragbar laut Kunde / Warten auf Rückmeldung</t>
        </is>
      </c>
      <c r="Z25">
        <f>IF(AND(R25="WON",ISNUMBER(I25)),AA25,"")</f>
        <v/>
      </c>
      <c r="AA25">
        <f>IFERROR(I25*1,0)</f>
        <v/>
      </c>
    </row>
    <row r="26" ht="19.5" customHeight="1">
      <c r="A26" s="98" t="n">
        <v>20</v>
      </c>
      <c r="B26" s="99" t="inlineStr">
        <is>
          <t>Holinger</t>
        </is>
      </c>
      <c r="C26" s="98" t="inlineStr">
        <is>
          <t>BE</t>
        </is>
      </c>
      <c r="D26" s="99" t="inlineStr">
        <is>
          <t>Ingenieure / Planung</t>
        </is>
      </c>
      <c r="E26" s="99" t="inlineStr">
        <is>
          <t>250 kVA Generator</t>
        </is>
      </c>
      <c r="F26" s="100" t="n">
        <v>250</v>
      </c>
      <c r="G26" s="98" t="n">
        <v>90</v>
      </c>
      <c r="H26" s="183" t="inlineStr">
        <is>
          <t>07.05.2026</t>
        </is>
      </c>
      <c r="I26" s="100" t="n">
        <v>39000</v>
      </c>
      <c r="J26" s="102" t="n"/>
      <c r="K26" s="102" t="n"/>
      <c r="L26" s="102" t="n"/>
      <c r="M26" s="102" t="n"/>
      <c r="N26" s="102" t="n"/>
      <c r="O26" s="102">
        <f>IFERROR(I26-(J26+K26+L26+M26+N26),"")</f>
        <v/>
      </c>
      <c r="P26" s="102">
        <f>IFERROR(O26/I26,"")</f>
        <v/>
      </c>
      <c r="Q26" s="102">
        <f>IFERROR(IF(OR(I26="",S26="",S26="tbd"),"tbd",I26*IF(S26&lt;=1,S26,S26/100)),"–")</f>
        <v/>
      </c>
      <c r="R26" s="160" t="inlineStr">
        <is>
          <t>LOST</t>
        </is>
      </c>
      <c r="S26" s="98" t="inlineStr">
        <is>
          <t>0%</t>
        </is>
      </c>
      <c r="T26" s="99" t="inlineStr">
        <is>
          <t>Kalt</t>
        </is>
      </c>
      <c r="U26" s="99" t="inlineStr">
        <is>
          <t>–</t>
        </is>
      </c>
      <c r="V26" s="99" t="inlineStr">
        <is>
          <t>❌ Closed – in 12 Monaten wieder kontaktieren</t>
        </is>
      </c>
      <c r="W26" s="91" t="inlineStr">
        <is>
          <t>Juni</t>
        </is>
      </c>
      <c r="X26" s="99" t="inlineStr">
        <is>
          <t>Bauherr Entscheid gegen MiT – kein Preisproblem</t>
        </is>
      </c>
      <c r="Z26">
        <f>IF(AND(R26="WON",ISNUMBER(I26)),AA26,"")</f>
        <v/>
      </c>
      <c r="AA26">
        <f>IFERROR(I26*1,0)</f>
        <v/>
      </c>
    </row>
    <row r="27" ht="25.5" customHeight="1">
      <c r="A27" s="83" t="n">
        <v>21</v>
      </c>
      <c r="B27" s="84" t="inlineStr">
        <is>
          <t>X-Event</t>
        </is>
      </c>
      <c r="C27" s="83" t="inlineStr">
        <is>
          <t>SH</t>
        </is>
      </c>
      <c r="D27" s="84" t="inlineStr">
        <is>
          <t>Events / Medien</t>
        </is>
      </c>
      <c r="E27" s="84" t="inlineStr">
        <is>
          <t>100 kVA Generator</t>
        </is>
      </c>
      <c r="F27" s="85" t="n">
        <v>150</v>
      </c>
      <c r="G27" s="83" t="n">
        <v>1</v>
      </c>
      <c r="H27" s="181" t="n">
        <v>46179</v>
      </c>
      <c r="I27" s="87" t="inlineStr">
        <is>
          <t>Sponsoring</t>
        </is>
      </c>
      <c r="J27" s="87" t="inlineStr">
        <is>
          <t>Sponsoring</t>
        </is>
      </c>
      <c r="K27" s="87" t="inlineStr">
        <is>
          <t>Sponsoring</t>
        </is>
      </c>
      <c r="L27" s="87" t="inlineStr">
        <is>
          <t>Sponsoring</t>
        </is>
      </c>
      <c r="M27" s="87" t="inlineStr">
        <is>
          <t>Sponsoring</t>
        </is>
      </c>
      <c r="N27" s="87" t="inlineStr">
        <is>
          <t>Sponsoring</t>
        </is>
      </c>
      <c r="O27" s="87">
        <f>IFERROR(I27-(J27+K27+L27+M27+N27),"")</f>
        <v/>
      </c>
      <c r="P27" s="87">
        <f>IFERROR(O27/I27,"")</f>
        <v/>
      </c>
      <c r="Q27" s="87">
        <f>IFERROR(IF(OR(I27="",S27="",S27="tbd"),"tbd",I27*IF(S27&lt;=1,S27,S27/100)),"–")</f>
        <v/>
      </c>
      <c r="R27" s="88" t="inlineStr">
        <is>
          <t>WON</t>
        </is>
      </c>
      <c r="S27" s="154" t="n">
        <v>1</v>
      </c>
      <c r="T27" s="84" t="inlineStr">
        <is>
          <t>Kalt</t>
        </is>
      </c>
      <c r="U27" s="84" t="inlineStr">
        <is>
          <t>Flexibilität, kleines Setup schnell verfügbar</t>
        </is>
      </c>
      <c r="V27" s="108" t="inlineStr">
        <is>
          <t>Kunde Telefon Kontaktiert und Vor Ort 
Besichtigung und Aufbauort</t>
        </is>
      </c>
      <c r="W27" s="91" t="inlineStr">
        <is>
          <t>Juni</t>
        </is>
      </c>
      <c r="X27" s="84" t="inlineStr">
        <is>
          <t>Kunde hat Angebot angenommen, im Gegenzug Starte er eine Social Media Kampagne für uns und sind jetzt ein Partner für seine Events</t>
        </is>
      </c>
      <c r="Z27">
        <f>IF(AND(R27="WON",ISNUMBER(I27)),AA27,"")</f>
        <v/>
      </c>
      <c r="AA27">
        <f>IFERROR(I27*1,0)</f>
        <v/>
      </c>
    </row>
    <row r="28" ht="19.5" customHeight="1">
      <c r="A28" s="91" t="n">
        <v>22</v>
      </c>
      <c r="B28" s="92" t="inlineStr">
        <is>
          <t>Coolworld Rentals</t>
        </is>
      </c>
      <c r="C28" s="91" t="inlineStr">
        <is>
          <t>SH</t>
        </is>
      </c>
      <c r="D28" s="92" t="inlineStr">
        <is>
          <t>Kühlung / Konkurrenz</t>
        </is>
      </c>
      <c r="E28" s="92" t="inlineStr">
        <is>
          <t>400 kVA Generator</t>
        </is>
      </c>
      <c r="F28" s="93" t="n">
        <v>400</v>
      </c>
      <c r="G28" s="91" t="n">
        <v>21</v>
      </c>
      <c r="H28" s="182" t="n">
        <v>46204</v>
      </c>
      <c r="I28" s="95" t="n"/>
      <c r="J28" s="95" t="n"/>
      <c r="K28" s="95" t="n"/>
      <c r="L28" s="95" t="n"/>
      <c r="M28" s="95" t="n"/>
      <c r="N28" s="95" t="n"/>
      <c r="O28" s="95">
        <f>IFERROR(I28-(J28+K28+L28+M28+N28),"")</f>
        <v/>
      </c>
      <c r="P28" s="96">
        <f>IFERROR(O28/I28,"")</f>
        <v/>
      </c>
      <c r="Q28" s="95">
        <f>IFERROR(IF(OR(I28="",S28="",S28="tbd"),"tbd",I28*IF(S28&lt;=1,S28,S28/100)),"–")</f>
        <v/>
      </c>
      <c r="R28" s="90" t="inlineStr">
        <is>
          <t>offered</t>
        </is>
      </c>
      <c r="S28" s="154" t="n">
        <v>0.5</v>
      </c>
      <c r="T28" s="92" t="inlineStr">
        <is>
          <t>Kalt</t>
        </is>
      </c>
      <c r="U28" s="92" t="inlineStr">
        <is>
          <t>Flexibilität, Einfaches Setup</t>
        </is>
      </c>
      <c r="V28" s="156" t="inlineStr">
        <is>
          <t>Email Kontaktiert, Telefoniert, Warten auf Rückmeldung erneut</t>
        </is>
      </c>
      <c r="W28" s="91" t="inlineStr">
        <is>
          <t>Juni</t>
        </is>
      </c>
      <c r="X28" s="92" t="inlineStr">
        <is>
          <t>Kunde klärt ab und meldet sich was der Kunde sagt</t>
        </is>
      </c>
      <c r="Z28">
        <f>IF(AND(R28="WON",ISNUMBER(I28)),AA28,"")</f>
        <v/>
      </c>
      <c r="AA28">
        <f>IFERROR(I28*1,0)</f>
        <v/>
      </c>
    </row>
    <row r="29" ht="19.5" customHeight="1">
      <c r="A29" s="22" t="n">
        <v>23</v>
      </c>
      <c r="B29" s="23" t="inlineStr">
        <is>
          <t>Etavis Chur</t>
        </is>
      </c>
      <c r="C29" s="22" t="inlineStr">
        <is>
          <t>GR</t>
        </is>
      </c>
      <c r="D29" s="23" t="inlineStr">
        <is>
          <t>Elektroinstallation</t>
        </is>
      </c>
      <c r="E29" s="23" t="inlineStr">
        <is>
          <t>30 kVA Generator</t>
        </is>
      </c>
      <c r="F29" s="24" t="n">
        <v>30</v>
      </c>
      <c r="G29" s="22" t="inlineStr">
        <is>
          <t>tbd</t>
        </is>
      </c>
      <c r="H29" s="22" t="inlineStr">
        <is>
          <t>tbd</t>
        </is>
      </c>
      <c r="I29" s="49" t="n"/>
      <c r="J29" s="49" t="n"/>
      <c r="K29" s="49" t="n"/>
      <c r="L29" s="49" t="n"/>
      <c r="M29" s="49" t="n"/>
      <c r="N29" s="49" t="n"/>
      <c r="O29" s="49">
        <f>IFERROR(I29-(J29+K29+L29+M29+N29),"")</f>
        <v/>
      </c>
      <c r="P29" s="89">
        <f>IFERROR(O29/I29,"")</f>
        <v/>
      </c>
      <c r="Q29" s="49">
        <f>IFERROR(IF(OR(I29="",S29="",S29="tbd"),"tbd",I29*IF(S29&lt;=1,S29,S29/100)),"–")</f>
        <v/>
      </c>
      <c r="R29" s="106" t="inlineStr">
        <is>
          <t>Evaluation</t>
        </is>
      </c>
      <c r="S29" s="153" t="n">
        <v>0</v>
      </c>
      <c r="T29" s="23" t="inlineStr">
        <is>
          <t>Warm – Aggreko</t>
        </is>
      </c>
      <c r="U29" s="23" t="n"/>
      <c r="V29" s="23" t="inlineStr">
        <is>
          <t>Email Kontaktiert</t>
        </is>
      </c>
      <c r="W29" s="91" t="inlineStr">
        <is>
          <t>Juni</t>
        </is>
      </c>
      <c r="X29" s="23" t="inlineStr">
        <is>
          <t>Kunde angeschrieben</t>
        </is>
      </c>
      <c r="Z29">
        <f>IF(AND(R29="WON",ISNUMBER(I29)),AA29,"")</f>
        <v/>
      </c>
      <c r="AA29">
        <f>IFERROR(I29*1,0)</f>
        <v/>
      </c>
    </row>
    <row r="30" ht="19.5" customHeight="1">
      <c r="A30" s="91" t="n">
        <v>24</v>
      </c>
      <c r="B30" s="92" t="inlineStr">
        <is>
          <t>Wetzikon</t>
        </is>
      </c>
      <c r="C30" s="91" t="inlineStr">
        <is>
          <t>ZH</t>
        </is>
      </c>
      <c r="D30" s="92" t="inlineStr">
        <is>
          <t>Gemeinde</t>
        </is>
      </c>
      <c r="E30" s="92" t="inlineStr">
        <is>
          <t>tbd (PQ-kritisch)</t>
        </is>
      </c>
      <c r="F30" s="96" t="inlineStr">
        <is>
          <t>tbd</t>
        </is>
      </c>
      <c r="G30" s="91" t="inlineStr">
        <is>
          <t>tbd</t>
        </is>
      </c>
      <c r="H30" s="91" t="inlineStr">
        <is>
          <t>tbd</t>
        </is>
      </c>
      <c r="I30" s="95" t="n"/>
      <c r="J30" s="95" t="n"/>
      <c r="K30" s="95" t="n"/>
      <c r="L30" s="95" t="n"/>
      <c r="M30" s="95" t="n"/>
      <c r="N30" s="95" t="n"/>
      <c r="O30" s="95">
        <f>IFERROR(I30-(J30+K30+L30+M30+N30),"")</f>
        <v/>
      </c>
      <c r="P30" s="96">
        <f>IFERROR(O30/I30,"")</f>
        <v/>
      </c>
      <c r="Q30" s="95">
        <f>IFERROR(IF(OR(I30="",S30="",S30="tbd"),"tbd",I30*IF(S30&lt;=1,S30,S30/100)),"–")</f>
        <v/>
      </c>
      <c r="R30" s="106" t="inlineStr">
        <is>
          <t>Evaluation</t>
        </is>
      </c>
      <c r="S30" s="91" t="inlineStr">
        <is>
          <t>tbd</t>
        </is>
      </c>
      <c r="T30" s="92" t="inlineStr">
        <is>
          <t>Warm – Aggreko</t>
        </is>
      </c>
      <c r="U30" s="92" t="inlineStr">
        <is>
          <t>Machbarkeitsstudei</t>
        </is>
      </c>
      <c r="V30" s="92" t="inlineStr">
        <is>
          <t>Email Kontaktiert</t>
        </is>
      </c>
      <c r="W30" s="91" t="inlineStr">
        <is>
          <t>Juni</t>
        </is>
      </c>
      <c r="X30" s="92" t="inlineStr">
        <is>
          <t>Kunde angeschrieben</t>
        </is>
      </c>
      <c r="Z30">
        <f>IF(AND(R30="WON",ISNUMBER(I30)),AA30,"")</f>
        <v/>
      </c>
      <c r="AA30">
        <f>IFERROR(I30*1,0)</f>
        <v/>
      </c>
    </row>
    <row r="31" ht="25.5" customHeight="1">
      <c r="A31" s="22" t="n">
        <v>25</v>
      </c>
      <c r="B31" s="23" t="inlineStr">
        <is>
          <t>Reto EKAG</t>
        </is>
      </c>
      <c r="C31" s="22" t="inlineStr">
        <is>
          <t>AG</t>
        </is>
      </c>
      <c r="D31" s="23" t="inlineStr">
        <is>
          <t>Elektroinstallation</t>
        </is>
      </c>
      <c r="E31" s="23" t="inlineStr">
        <is>
          <t>Option A 2x 6000 kVA Lastbank, 2x Trafo 6300 kVA</t>
        </is>
      </c>
      <c r="F31" s="89" t="inlineStr">
        <is>
          <t>12000 kVA + 13200 kVA</t>
        </is>
      </c>
      <c r="G31" s="22" t="n">
        <v>21</v>
      </c>
      <c r="H31" s="184" t="n">
        <v>46427</v>
      </c>
      <c r="I31" s="49" t="n">
        <v>117860</v>
      </c>
      <c r="J31" s="49">
        <f>22000+44000+120+60</f>
        <v/>
      </c>
      <c r="K31" s="49" t="n">
        <v>4000</v>
      </c>
      <c r="L31" s="49" t="inlineStr">
        <is>
          <t>-</t>
        </is>
      </c>
      <c r="M31" s="49" t="n">
        <v>24000</v>
      </c>
      <c r="N31" s="49">
        <f>4800+8400</f>
        <v/>
      </c>
      <c r="O31" s="49">
        <f>IFERROR(I31-(J31+K31+L31+M31+N31),"")</f>
        <v/>
      </c>
      <c r="P31" s="89">
        <f>IFERROR(O31/I31,"")</f>
        <v/>
      </c>
      <c r="Q31" s="49">
        <f>IFERROR(IF(OR(I31="",S31="",S31="tbd"),"tbd",I31*IF(S31&lt;=1,S31,S31/100)),"–")</f>
        <v/>
      </c>
      <c r="R31" s="90" t="inlineStr">
        <is>
          <t>offered</t>
        </is>
      </c>
      <c r="S31" s="153" t="n">
        <v>0.7</v>
      </c>
      <c r="T31" s="23" t="inlineStr">
        <is>
          <t>Warm – Aggreko</t>
        </is>
      </c>
      <c r="U31" s="23" t="inlineStr">
        <is>
          <t>USV + PQ-Monitoring für Präzisionsanlagen</t>
        </is>
      </c>
      <c r="V31" s="25" t="inlineStr">
        <is>
          <t>Kunde Telefon Kontaktiert und Vor Ort 
Besichtigung und Aufbauort</t>
        </is>
      </c>
      <c r="W31" s="91" t="inlineStr">
        <is>
          <t>Juni</t>
        </is>
      </c>
      <c r="X31" s="23" t="inlineStr">
        <is>
          <t>Kunde angeschrieben, Kundentermin vor Ort in Mai 26, Termin Perfekt, Kunde benötigt Offerte, Kunde hat Offerte erhalten</t>
        </is>
      </c>
      <c r="Z31">
        <f>IF(AND(R31="WON",ISNUMBER(I31)),AA31,"")</f>
        <v/>
      </c>
      <c r="AA31">
        <f>IFERROR(I31*1,0)</f>
        <v/>
      </c>
    </row>
    <row r="32" ht="25.5" customHeight="1">
      <c r="A32" s="91" t="n">
        <v>25</v>
      </c>
      <c r="B32" s="92" t="inlineStr">
        <is>
          <t>Reto EKAG</t>
        </is>
      </c>
      <c r="C32" s="91" t="inlineStr">
        <is>
          <t>AG</t>
        </is>
      </c>
      <c r="D32" s="92" t="inlineStr">
        <is>
          <t>Elektroinstallation</t>
        </is>
      </c>
      <c r="E32" s="92" t="inlineStr">
        <is>
          <t>Option B 1x 6 kVA Trafo, 1x 3000 kVA Trafo, 1x 6000 kVA Lastbank, 1x 3300 kVA Lastbank</t>
        </is>
      </c>
      <c r="F32" s="96" t="inlineStr">
        <is>
          <t>9000 kVA + 9300 kVA</t>
        </is>
      </c>
      <c r="G32" s="91" t="n">
        <v>21</v>
      </c>
      <c r="H32" s="182" t="n">
        <v>46427</v>
      </c>
      <c r="I32" s="95" t="n">
        <v>102800</v>
      </c>
      <c r="J32" s="95">
        <f>23600+6000+22000+12000+1240+600+56+44+60</f>
        <v/>
      </c>
      <c r="K32" s="95" t="n">
        <v>4000</v>
      </c>
      <c r="L32" s="95" t="inlineStr">
        <is>
          <t>-</t>
        </is>
      </c>
      <c r="M32" s="95" t="n">
        <v>24000</v>
      </c>
      <c r="N32" s="95">
        <f>4800+8400</f>
        <v/>
      </c>
      <c r="O32" s="95">
        <f>IFERROR(I32-(J32+K32+L32+M32+N32),"")</f>
        <v/>
      </c>
      <c r="P32" s="96">
        <f>IFERROR(O32/I32,"")</f>
        <v/>
      </c>
      <c r="Q32" s="95">
        <f>IFERROR(IF(OR(I32="",S32="",S32="tbd"),"tbd",I32*IF(S32&lt;=1,S32,S32/100)),"–")</f>
        <v/>
      </c>
      <c r="R32" s="90" t="inlineStr">
        <is>
          <t>offered</t>
        </is>
      </c>
      <c r="S32" s="154" t="n">
        <v>0.7</v>
      </c>
      <c r="T32" s="92" t="inlineStr">
        <is>
          <t>Warm – Aggreko</t>
        </is>
      </c>
      <c r="U32" s="92" t="inlineStr">
        <is>
          <t>USV + PQ-Monitoring für Präzisionsanlagen</t>
        </is>
      </c>
      <c r="V32" s="109" t="inlineStr">
        <is>
          <t>Kunde Telefon Kontaktiert und Vor Ort 
Besichtigung und Aufbauort</t>
        </is>
      </c>
      <c r="W32" s="91" t="inlineStr">
        <is>
          <t>Juni</t>
        </is>
      </c>
      <c r="X32" s="92" t="inlineStr">
        <is>
          <t>Kunde angeschrieben, Kundentermin vor Ort in Mai 26, Termin Perfekt, Kunde benötigt Offerte, Kunde hat Offerte erhalten</t>
        </is>
      </c>
      <c r="Z32">
        <f>IF(AND(R32="WON",ISNUMBER(I32)),AA32,"")</f>
        <v/>
      </c>
      <c r="AA32">
        <f>IFERROR(I32*1,0)</f>
        <v/>
      </c>
    </row>
    <row r="33" ht="19.5" customHeight="1">
      <c r="A33" s="22" t="n">
        <v>26</v>
      </c>
      <c r="B33" s="23" t="inlineStr">
        <is>
          <t>OST Fachhochschule</t>
        </is>
      </c>
      <c r="C33" s="22" t="inlineStr">
        <is>
          <t>SG</t>
        </is>
      </c>
      <c r="D33" s="23" t="inlineStr">
        <is>
          <t>Hochschule</t>
        </is>
      </c>
      <c r="E33" s="23" t="inlineStr">
        <is>
          <t>200 kVA Lastbank</t>
        </is>
      </c>
      <c r="F33" s="24" t="n">
        <v>200</v>
      </c>
      <c r="G33" s="22" t="n">
        <v>0</v>
      </c>
      <c r="H33" s="22" t="n">
        <v>0</v>
      </c>
      <c r="I33" s="49" t="n">
        <v>0</v>
      </c>
      <c r="J33" s="49" t="n">
        <v>0</v>
      </c>
      <c r="K33" s="49" t="n">
        <v>0</v>
      </c>
      <c r="L33" s="49" t="n">
        <v>0</v>
      </c>
      <c r="M33" s="49" t="n">
        <v>0</v>
      </c>
      <c r="N33" s="49" t="n">
        <v>0</v>
      </c>
      <c r="O33" s="49">
        <f>IFERROR(I33-(J33+K33+L33+M33+N33),"")</f>
        <v/>
      </c>
      <c r="P33" s="89">
        <f>IFERROR(O33/I33,"")</f>
        <v/>
      </c>
      <c r="Q33" s="49">
        <f>IFERROR(IF(OR(I33="",S33="",S33="tbd"),"tbd",I33*IF(S33&lt;=1,S33,S33/100)),"–")</f>
        <v/>
      </c>
      <c r="R33" s="104" t="inlineStr">
        <is>
          <t>Declined</t>
        </is>
      </c>
      <c r="S33" s="153" t="n">
        <v>0</v>
      </c>
      <c r="T33" s="23" t="inlineStr">
        <is>
          <t>Warm – Aggreko</t>
        </is>
      </c>
      <c r="U33" s="23" t="inlineStr">
        <is>
          <t>Flexibilität, Einfaches Setup</t>
        </is>
      </c>
      <c r="V33" s="23" t="inlineStr">
        <is>
          <t>Email Kontaktiert, Telefoniert, Kunde hat kein bedarf mehr</t>
        </is>
      </c>
      <c r="W33" s="91" t="inlineStr">
        <is>
          <t>Juni</t>
        </is>
      </c>
      <c r="X33" s="23" t="inlineStr">
        <is>
          <t>Kunde angeschrieben, Kunde aus altem Netzwerk bekannt von CMB-Zeiten, Kunde hat kein Bedarf mehr</t>
        </is>
      </c>
      <c r="Z33">
        <f>IF(AND(R33="WON",ISNUMBER(I33)),AA33,"")</f>
        <v/>
      </c>
      <c r="AA33">
        <f>IFERROR(I33*1,0)</f>
        <v/>
      </c>
    </row>
    <row r="34" ht="25.5" customHeight="1">
      <c r="A34" s="91" t="n">
        <v>27</v>
      </c>
      <c r="B34" s="92" t="inlineStr">
        <is>
          <t>Rimus &amp; Sstrada</t>
        </is>
      </c>
      <c r="C34" s="91" t="inlineStr">
        <is>
          <t>SH</t>
        </is>
      </c>
      <c r="D34" s="92" t="inlineStr">
        <is>
          <t>Industrie</t>
        </is>
      </c>
      <c r="E34" s="92" t="inlineStr">
        <is>
          <t>500 kWh Small BESS</t>
        </is>
      </c>
      <c r="F34" s="96" t="inlineStr">
        <is>
          <t>500 kWh</t>
        </is>
      </c>
      <c r="G34" s="91" t="inlineStr">
        <is>
          <t>inf</t>
        </is>
      </c>
      <c r="H34" s="91" t="inlineStr">
        <is>
          <t>tbd</t>
        </is>
      </c>
      <c r="I34" s="95">
        <f>416100+7665+2190</f>
        <v/>
      </c>
      <c r="J34" s="95" t="n">
        <v>416100</v>
      </c>
      <c r="K34" s="95" t="n">
        <v>7620</v>
      </c>
      <c r="L34" s="95" t="inlineStr">
        <is>
          <t>-</t>
        </is>
      </c>
      <c r="M34" s="95" t="inlineStr">
        <is>
          <t>-</t>
        </is>
      </c>
      <c r="N34" s="95" t="inlineStr">
        <is>
          <t>-</t>
        </is>
      </c>
      <c r="O34" s="95">
        <f>IFERROR(I34-(J34+K34+L34+M34+N34),"")</f>
        <v/>
      </c>
      <c r="P34" s="96">
        <f>IFERROR(O34/I34,"")</f>
        <v/>
      </c>
      <c r="Q34" s="95">
        <f>IFERROR(IF(OR(I34="",S34="",S34="tbd"),"tbd",I34*IF(S34&lt;=1,S34,S34/100)),"–")</f>
        <v/>
      </c>
      <c r="R34" s="90" t="inlineStr">
        <is>
          <t>offered</t>
        </is>
      </c>
      <c r="S34" s="154" t="n">
        <v>0.5</v>
      </c>
      <c r="T34" s="92" t="inlineStr">
        <is>
          <t>Inbound</t>
        </is>
      </c>
      <c r="U34" s="92" t="inlineStr">
        <is>
          <t>USV + PQ-Monitoring für Präzisionsanlagen</t>
        </is>
      </c>
      <c r="V34" s="109" t="inlineStr">
        <is>
          <t>Kunde Telefon Kontaktiert und Vor Ort 
Besichtigung und Aufbauort</t>
        </is>
      </c>
      <c r="W34" s="91" t="inlineStr">
        <is>
          <t>Juni</t>
        </is>
      </c>
      <c r="X34" s="92" t="inlineStr">
        <is>
          <t>Kunde angeschrieben, Kundentermin vor Ort in Mai 26, Termin Perfekt, Kunde benötigt Offerte, Kunde hat Offerte erhalten</t>
        </is>
      </c>
      <c r="Z34">
        <f>IF(AND(R34="WON",ISNUMBER(I34)),AA34,"")</f>
        <v/>
      </c>
      <c r="AA34">
        <f>IFERROR(I34*1,0)</f>
        <v/>
      </c>
    </row>
    <row r="35" ht="19.5" customHeight="1">
      <c r="A35" s="22" t="n">
        <v>27</v>
      </c>
      <c r="B35" s="23" t="inlineStr">
        <is>
          <t>Rimus &amp; Sstrada</t>
        </is>
      </c>
      <c r="C35" s="22" t="inlineStr">
        <is>
          <t>SH</t>
        </is>
      </c>
      <c r="D35" s="23" t="inlineStr">
        <is>
          <t>Industrie</t>
        </is>
      </c>
      <c r="E35" s="23" t="inlineStr">
        <is>
          <t>1 MWh Medium BESS</t>
        </is>
      </c>
      <c r="F35" s="89" t="inlineStr">
        <is>
          <t>1 MWh</t>
        </is>
      </c>
      <c r="G35" s="22" t="inlineStr">
        <is>
          <t>inf</t>
        </is>
      </c>
      <c r="H35" s="22" t="inlineStr">
        <is>
          <t>tbd</t>
        </is>
      </c>
      <c r="I35" s="49">
        <f>873810+15330+2190</f>
        <v/>
      </c>
      <c r="J35" s="49" t="n">
        <v>873810</v>
      </c>
      <c r="K35" s="49" t="n">
        <v>7620</v>
      </c>
      <c r="L35" s="49" t="inlineStr">
        <is>
          <t>-</t>
        </is>
      </c>
      <c r="M35" s="49" t="inlineStr">
        <is>
          <t>-</t>
        </is>
      </c>
      <c r="N35" s="49" t="inlineStr">
        <is>
          <t>-</t>
        </is>
      </c>
      <c r="O35" s="49">
        <f>IFERROR(I35-(J35+K35+L35+M35+N35),"")</f>
        <v/>
      </c>
      <c r="P35" s="89">
        <f>IFERROR(O35/I35,"")</f>
        <v/>
      </c>
      <c r="Q35" s="49">
        <f>IFERROR(IF(OR(I35="",S35="",S35="tbd"),"tbd",I35*IF(S35&lt;=1,S35,S35/100)),"–")</f>
        <v/>
      </c>
      <c r="R35" s="90" t="inlineStr">
        <is>
          <t>offered</t>
        </is>
      </c>
      <c r="S35" s="154" t="n">
        <v>0.5</v>
      </c>
      <c r="T35" s="23" t="inlineStr">
        <is>
          <t>Inbound</t>
        </is>
      </c>
      <c r="U35" s="23" t="inlineStr">
        <is>
          <t>USV + PQ-Monitoring für Präzisionsanlagen</t>
        </is>
      </c>
      <c r="V35" s="25" t="inlineStr">
        <is>
          <t>Kunde Telefon Kontaktiert und Vor Ort 
Besichtigung und Aufbauort</t>
        </is>
      </c>
      <c r="W35" s="22" t="inlineStr">
        <is>
          <t>Juni</t>
        </is>
      </c>
      <c r="X35" s="23" t="inlineStr">
        <is>
          <t>Kunde angeschrieben, Kundentermin vor Ort in Mai 26, Termin Perfekt, Kunde benötigt Offerte, Kunde hat Offerte erhalten</t>
        </is>
      </c>
      <c r="Z35">
        <f>IF(AND(R35="WON",ISNUMBER(I35)),AA35,"")</f>
        <v/>
      </c>
      <c r="AA35">
        <f>IFERROR(I35*1,0)</f>
        <v/>
      </c>
    </row>
    <row r="36" ht="19.5" customHeight="1">
      <c r="A36" s="91" t="n">
        <v>27</v>
      </c>
      <c r="B36" s="92" t="inlineStr">
        <is>
          <t>Rimus &amp; Sstrada</t>
        </is>
      </c>
      <c r="C36" s="91" t="inlineStr">
        <is>
          <t>SH</t>
        </is>
      </c>
      <c r="D36" s="92" t="inlineStr">
        <is>
          <t>Industrie</t>
        </is>
      </c>
      <c r="E36" s="92" t="inlineStr">
        <is>
          <t>1,5 MWh Large BESS</t>
        </is>
      </c>
      <c r="F36" s="96" t="inlineStr">
        <is>
          <t>1,5 MWh</t>
        </is>
      </c>
      <c r="G36" s="91" t="inlineStr">
        <is>
          <t>inf</t>
        </is>
      </c>
      <c r="H36" s="91" t="inlineStr">
        <is>
          <t>tbd</t>
        </is>
      </c>
      <c r="I36" s="95">
        <f>1289910+15330+2190</f>
        <v/>
      </c>
      <c r="J36" s="95" t="n">
        <v>1289910</v>
      </c>
      <c r="K36" s="95" t="n">
        <v>7620</v>
      </c>
      <c r="L36" s="95" t="inlineStr">
        <is>
          <t>-</t>
        </is>
      </c>
      <c r="M36" s="95" t="inlineStr">
        <is>
          <t>-</t>
        </is>
      </c>
      <c r="N36" s="95" t="inlineStr">
        <is>
          <t>-</t>
        </is>
      </c>
      <c r="O36" s="95">
        <f>IFERROR(I36-(J36+K36+L36+M36+N36),"")</f>
        <v/>
      </c>
      <c r="P36" s="96">
        <f>IFERROR(O36/I36,"")</f>
        <v/>
      </c>
      <c r="Q36" s="95">
        <f>IFERROR(IF(OR(I36="",S36="",S36="tbd"),"tbd",I36*IF(S36&lt;=1,S36,S36/100)),"–")</f>
        <v/>
      </c>
      <c r="R36" s="90" t="inlineStr">
        <is>
          <t>offered</t>
        </is>
      </c>
      <c r="S36" s="154" t="n">
        <v>0.5</v>
      </c>
      <c r="T36" s="92" t="inlineStr">
        <is>
          <t>Inbound</t>
        </is>
      </c>
      <c r="U36" s="92" t="inlineStr">
        <is>
          <t>USV + PQ-Monitoring für Präzisionsanlagen</t>
        </is>
      </c>
      <c r="V36" s="109" t="inlineStr">
        <is>
          <t>Kunde Telefon Kontaktiert und Vor Ort 
Besichtigung und Aufbauort</t>
        </is>
      </c>
      <c r="W36" s="91" t="inlineStr">
        <is>
          <t>Juni</t>
        </is>
      </c>
      <c r="X36" s="92" t="inlineStr">
        <is>
          <t>Kunde angeschrieben, Kundentermin vor Ort in Mai 26, Termin Perfekt, Kunde benötigt Offerte, Kunde hat Offerte erhalten</t>
        </is>
      </c>
      <c r="Z36">
        <f>IF(AND(R36="WON",ISNUMBER(I36)),AA36,"")</f>
        <v/>
      </c>
      <c r="AA36">
        <f>IFERROR(I36*1,0)</f>
        <v/>
      </c>
    </row>
    <row r="37" ht="19.5" customHeight="1">
      <c r="A37" s="22" t="n">
        <v>28</v>
      </c>
      <c r="B37" s="23" t="inlineStr">
        <is>
          <t>WEF</t>
        </is>
      </c>
      <c r="C37" s="22" t="inlineStr">
        <is>
          <t>GR</t>
        </is>
      </c>
      <c r="D37" s="23" t="inlineStr">
        <is>
          <t>Event</t>
        </is>
      </c>
      <c r="E37" s="23" t="inlineStr">
        <is>
          <t>1500 kVA, 600 kVA, 450 kVA, 450 kVA</t>
        </is>
      </c>
      <c r="F37" s="24" t="inlineStr">
        <is>
          <t>3000 kVA</t>
        </is>
      </c>
      <c r="G37" s="22" t="n">
        <v>28</v>
      </c>
      <c r="H37" s="184" t="n">
        <v>46030</v>
      </c>
      <c r="I37" s="49" t="n">
        <v>77325.62</v>
      </c>
      <c r="J37" s="49" t="n">
        <v>54334.56</v>
      </c>
      <c r="K37" s="49" t="inlineStr">
        <is>
          <t>tbd</t>
        </is>
      </c>
      <c r="L37" s="49" t="n">
        <v>0</v>
      </c>
      <c r="M37" s="49" t="n">
        <v>10353</v>
      </c>
      <c r="N37" s="49" t="n">
        <v>6844</v>
      </c>
      <c r="O37" s="49">
        <f>IFERROR(I37-(J37+K37+L37+M37+N37),"")</f>
        <v/>
      </c>
      <c r="P37" s="89">
        <f>IFERROR(O37/I37,"")</f>
        <v/>
      </c>
      <c r="Q37" s="49">
        <f>IFERROR(IF(OR(I37="",S37="",S37="tbd"),"tbd",I37*IF(S37&lt;=1,S37,S37/100)),"–")</f>
        <v/>
      </c>
      <c r="R37" s="90" t="inlineStr">
        <is>
          <t>offered</t>
        </is>
      </c>
      <c r="S37" s="154" t="n">
        <v>0.7</v>
      </c>
      <c r="T37" s="23" t="inlineStr">
        <is>
          <t>Inbound</t>
        </is>
      </c>
      <c r="U37" s="23" t="inlineStr">
        <is>
          <t>Schnelle Lieferung 24/7</t>
        </is>
      </c>
      <c r="V37" s="161" t="inlineStr">
        <is>
          <t>Offerte erstellt, Stefan hat die Offerte bekommen, Stefan muss alles weitere klären mit den Kunden</t>
        </is>
      </c>
      <c r="W37" s="162" t="inlineStr">
        <is>
          <t>Juni (Stefan)</t>
        </is>
      </c>
      <c r="X37" s="23" t="inlineStr">
        <is>
          <t>Anfrage von Stefan über kontakt, Kunde braucht Offerte und wir müssen in der Range bei 85K Chf bleiben, Wir sind unter 80K CHF</t>
        </is>
      </c>
      <c r="Z37">
        <f>IF(AND(R37="WON",ISNUMBER(I37)),AA37,"")</f>
        <v/>
      </c>
      <c r="AA37">
        <f>IFERROR(I37*1,0)</f>
        <v/>
      </c>
    </row>
    <row r="38" ht="19.5" customHeight="1">
      <c r="A38" s="91" t="n">
        <v>29</v>
      </c>
      <c r="B38" s="92" t="inlineStr">
        <is>
          <t>Gampeln</t>
        </is>
      </c>
      <c r="C38" s="91" t="inlineStr">
        <is>
          <t>VS</t>
        </is>
      </c>
      <c r="D38" s="92" t="inlineStr">
        <is>
          <t>Event</t>
        </is>
      </c>
      <c r="E38" s="92" t="inlineStr">
        <is>
          <t>6x300 kVA, 10x200 kVA, 1x100 kVA Generator</t>
        </is>
      </c>
      <c r="F38" s="96" t="inlineStr">
        <is>
          <t>3900 kVA</t>
        </is>
      </c>
      <c r="G38" s="91" t="n">
        <v>3</v>
      </c>
      <c r="H38" s="155" t="n">
        <v>46250</v>
      </c>
      <c r="I38" s="95" t="n">
        <v>115045</v>
      </c>
      <c r="J38" s="95" t="n">
        <v>48865</v>
      </c>
      <c r="K38" s="95" t="n">
        <v>59800</v>
      </c>
      <c r="L38" s="49" t="n">
        <v>0</v>
      </c>
      <c r="M38" s="95" t="n">
        <v>6380</v>
      </c>
      <c r="N38" s="95" t="n">
        <v>0</v>
      </c>
      <c r="O38" s="95">
        <f>IFERROR(I38-(J38+K38+L38+M38+N38),"")</f>
        <v/>
      </c>
      <c r="P38" s="96">
        <f>IFERROR(O38/I38,"")</f>
        <v/>
      </c>
      <c r="Q38" s="95">
        <f>IFERROR(IF(OR(I38="",S38="",S38="tbd"),"tbd",I38*IF(S38&lt;=1,S38,S38/100)),"–")</f>
        <v/>
      </c>
      <c r="R38" s="107" t="inlineStr">
        <is>
          <t>In evaluation</t>
        </is>
      </c>
      <c r="S38" s="154" t="n">
        <v>0.7</v>
      </c>
      <c r="T38" s="92" t="inlineStr">
        <is>
          <t>Warm</t>
        </is>
      </c>
      <c r="U38" s="92" t="inlineStr">
        <is>
          <t>USV + PQ-Monitoring für Präzisionsanlagen</t>
        </is>
      </c>
      <c r="V38" s="92" t="inlineStr">
        <is>
          <t>Kunde angeschrieben, Kunde besucht, Kunde zufrieden mit der Vorarbeit, Transportkosten zu hoch</t>
        </is>
      </c>
      <c r="W38" s="91" t="inlineStr">
        <is>
          <t>Juni</t>
        </is>
      </c>
      <c r="X38" s="92" t="inlineStr">
        <is>
          <t>Preis klären wegen Transport</t>
        </is>
      </c>
      <c r="Z38">
        <f>IF(AND(R38="WON",ISNUMBER(I38)),AA38,"")</f>
        <v/>
      </c>
      <c r="AA38">
        <f>IFERROR(I38*1,0)</f>
        <v/>
      </c>
    </row>
    <row r="39" ht="19.5" customHeight="1">
      <c r="A39" s="22" t="n">
        <v>30</v>
      </c>
      <c r="B39" s="23" t="inlineStr">
        <is>
          <t>Nestle</t>
        </is>
      </c>
      <c r="C39" s="22" t="inlineStr">
        <is>
          <t>BE</t>
        </is>
      </c>
      <c r="D39" s="23" t="inlineStr">
        <is>
          <t>Industrie</t>
        </is>
      </c>
      <c r="E39" s="23" t="inlineStr">
        <is>
          <t>tbd</t>
        </is>
      </c>
      <c r="F39" s="89" t="inlineStr">
        <is>
          <t>tbd</t>
        </is>
      </c>
      <c r="G39" s="22" t="inlineStr">
        <is>
          <t>tbd</t>
        </is>
      </c>
      <c r="H39" s="22" t="inlineStr">
        <is>
          <t>tbd</t>
        </is>
      </c>
      <c r="I39" s="49" t="inlineStr">
        <is>
          <t>tbd</t>
        </is>
      </c>
      <c r="J39" s="49" t="inlineStr">
        <is>
          <t>tbd</t>
        </is>
      </c>
      <c r="K39" s="49" t="inlineStr">
        <is>
          <t>tbd</t>
        </is>
      </c>
      <c r="L39" s="49" t="n">
        <v>0</v>
      </c>
      <c r="M39" s="49" t="inlineStr">
        <is>
          <t>tbd</t>
        </is>
      </c>
      <c r="N39" s="49" t="inlineStr">
        <is>
          <t>tbd</t>
        </is>
      </c>
      <c r="O39" s="49">
        <f>IFERROR(I39-(J39+K39+L39+M39+N39),"")</f>
        <v/>
      </c>
      <c r="P39" s="89">
        <f>IFERROR(O39/I39,"")</f>
        <v/>
      </c>
      <c r="Q39" s="49">
        <f>IFERROR(IF(OR(I39="",S39="",S39="tbd"),"tbd",I39*IF(S39&lt;=1,S39,S39/100)),"–")</f>
        <v/>
      </c>
      <c r="R39" s="107" t="inlineStr">
        <is>
          <t>tbd</t>
        </is>
      </c>
      <c r="S39" s="153" t="n">
        <v>0</v>
      </c>
      <c r="T39" s="23" t="inlineStr">
        <is>
          <t>Warm – Aggreko</t>
        </is>
      </c>
      <c r="U39" s="23" t="inlineStr">
        <is>
          <t>tbd</t>
        </is>
      </c>
      <c r="V39" s="92" t="inlineStr">
        <is>
          <t>Kunde angeschrieben, Telefoniert noch kein bedarf</t>
        </is>
      </c>
      <c r="W39" s="22" t="inlineStr">
        <is>
          <t>Juni</t>
        </is>
      </c>
      <c r="X39" s="92" t="inlineStr">
        <is>
          <t>Kunde angeschrieben, Telefoniert noch kein bedarf</t>
        </is>
      </c>
      <c r="Z39">
        <f>IF(AND(R39="WON",ISNUMBER(I39)),AA39,"")</f>
        <v/>
      </c>
      <c r="AA39">
        <f>IFERROR(I39*1,0)</f>
        <v/>
      </c>
    </row>
    <row r="40" ht="19.5" customHeight="1">
      <c r="A40" s="91" t="n">
        <v>31</v>
      </c>
      <c r="B40" s="92" t="inlineStr">
        <is>
          <t>VD</t>
        </is>
      </c>
      <c r="C40" s="91" t="inlineStr">
        <is>
          <t>VD</t>
        </is>
      </c>
      <c r="D40" s="92" t="inlineStr">
        <is>
          <t>Industrie</t>
        </is>
      </c>
      <c r="E40" s="92" t="inlineStr">
        <is>
          <t>tbd</t>
        </is>
      </c>
      <c r="F40" s="96" t="inlineStr">
        <is>
          <t>tbd</t>
        </is>
      </c>
      <c r="G40" s="91" t="inlineStr">
        <is>
          <t>tbd</t>
        </is>
      </c>
      <c r="H40" s="91" t="inlineStr">
        <is>
          <t>tbd</t>
        </is>
      </c>
      <c r="I40" s="95" t="inlineStr">
        <is>
          <t>tbd</t>
        </is>
      </c>
      <c r="J40" s="95" t="inlineStr">
        <is>
          <t>tbd</t>
        </is>
      </c>
      <c r="K40" s="95" t="inlineStr">
        <is>
          <t>tbd</t>
        </is>
      </c>
      <c r="L40" s="49" t="n">
        <v>0</v>
      </c>
      <c r="M40" s="95" t="inlineStr">
        <is>
          <t>tbd</t>
        </is>
      </c>
      <c r="N40" s="95" t="inlineStr">
        <is>
          <t>tbd</t>
        </is>
      </c>
      <c r="O40" s="95">
        <f>IFERROR(I40-(J40+K40+L40+M40+N40),"")</f>
        <v/>
      </c>
      <c r="P40" s="96">
        <f>IFERROR(O40/I40,"")</f>
        <v/>
      </c>
      <c r="Q40" s="95">
        <f>IFERROR(IF(OR(I40="",S40="",S40="tbd"),"tbd",I40*IF(S40&lt;=1,S40,S40/100)),"–")</f>
        <v/>
      </c>
      <c r="R40" s="107" t="inlineStr">
        <is>
          <t>tbd</t>
        </is>
      </c>
      <c r="S40" s="153" t="n">
        <v>0</v>
      </c>
      <c r="T40" s="92" t="inlineStr">
        <is>
          <t>Warm – Aggreko</t>
        </is>
      </c>
      <c r="U40" s="92" t="inlineStr">
        <is>
          <t>tbd</t>
        </is>
      </c>
      <c r="V40" s="92" t="inlineStr">
        <is>
          <t>Kunde angeschrieben, Telefoniert noch kein bedarf</t>
        </is>
      </c>
      <c r="W40" s="91" t="inlineStr">
        <is>
          <t>Juni</t>
        </is>
      </c>
      <c r="X40" s="92" t="inlineStr">
        <is>
          <t>Kunde angeschrieben, Telefoniert noch kein bedarf</t>
        </is>
      </c>
      <c r="Z40">
        <f>IF(AND(R40="WON",ISNUMBER(I40)),AA40,"")</f>
        <v/>
      </c>
      <c r="AA40">
        <f>IFERROR(I40*1,0)</f>
        <v/>
      </c>
    </row>
    <row r="41" ht="19.5" customHeight="1">
      <c r="A41" s="22" t="n">
        <v>32</v>
      </c>
      <c r="B41" s="23" t="inlineStr">
        <is>
          <t>WSP</t>
        </is>
      </c>
      <c r="C41" s="22" t="inlineStr">
        <is>
          <t>VD</t>
        </is>
      </c>
      <c r="D41" s="23" t="inlineStr">
        <is>
          <t>Industrie</t>
        </is>
      </c>
      <c r="E41" s="23" t="inlineStr">
        <is>
          <t>tbd</t>
        </is>
      </c>
      <c r="F41" s="89" t="inlineStr">
        <is>
          <t>tbd</t>
        </is>
      </c>
      <c r="G41" s="22" t="inlineStr">
        <is>
          <t>tbd</t>
        </is>
      </c>
      <c r="H41" s="22" t="inlineStr">
        <is>
          <t>tbd</t>
        </is>
      </c>
      <c r="I41" s="49" t="inlineStr">
        <is>
          <t>tbd</t>
        </is>
      </c>
      <c r="J41" s="49" t="inlineStr">
        <is>
          <t>tbd</t>
        </is>
      </c>
      <c r="K41" s="49" t="inlineStr">
        <is>
          <t>tbd</t>
        </is>
      </c>
      <c r="L41" s="49" t="n">
        <v>0</v>
      </c>
      <c r="M41" s="49" t="inlineStr">
        <is>
          <t>tbd</t>
        </is>
      </c>
      <c r="N41" s="49" t="inlineStr">
        <is>
          <t>tbd</t>
        </is>
      </c>
      <c r="O41" s="49">
        <f>IFERROR(I41-(J41+K41+L41+M41+N41),"")</f>
        <v/>
      </c>
      <c r="P41" s="89">
        <f>IFERROR(O41/I41,"")</f>
        <v/>
      </c>
      <c r="Q41" s="49">
        <f>IFERROR(IF(OR(I41="",S41="",S41="tbd"),"tbd",I41*IF(S41&lt;=1,S41,S41/100)),"–")</f>
        <v/>
      </c>
      <c r="R41" s="107" t="inlineStr">
        <is>
          <t>tbd</t>
        </is>
      </c>
      <c r="S41" s="153" t="n">
        <v>0</v>
      </c>
      <c r="T41" s="23" t="inlineStr">
        <is>
          <t>Warm – Aggreko</t>
        </is>
      </c>
      <c r="U41" s="23" t="inlineStr">
        <is>
          <t>tbd</t>
        </is>
      </c>
      <c r="V41" s="92" t="inlineStr">
        <is>
          <t>Kunde angeschrieben, Telefoniert noch kein bedarf</t>
        </is>
      </c>
      <c r="W41" s="22" t="inlineStr">
        <is>
          <t>Juni</t>
        </is>
      </c>
      <c r="X41" s="92" t="inlineStr">
        <is>
          <t>Kunde angeschrieben, Telefoniert noch kein bedarf</t>
        </is>
      </c>
      <c r="Z41">
        <f>IF(AND(R41="WON",ISNUMBER(I41)),AA41,"")</f>
        <v/>
      </c>
      <c r="AA41">
        <f>IFERROR(I41*1,0)</f>
        <v/>
      </c>
    </row>
    <row r="42" ht="19.5" customHeight="1">
      <c r="A42" s="22" t="n">
        <v>33</v>
      </c>
      <c r="B42" s="23" t="inlineStr">
        <is>
          <t>Oerlikon Metco Wohlen</t>
        </is>
      </c>
      <c r="C42" s="22" t="inlineStr">
        <is>
          <t>AG</t>
        </is>
      </c>
      <c r="D42" s="23" t="inlineStr">
        <is>
          <t>Industrie</t>
        </is>
      </c>
      <c r="E42" s="23" t="inlineStr">
        <is>
          <t>300 kVA</t>
        </is>
      </c>
      <c r="F42" s="89" t="n">
        <v>300</v>
      </c>
      <c r="G42" s="22" t="n">
        <v>365</v>
      </c>
      <c r="H42" s="146" t="n">
        <v>46180</v>
      </c>
      <c r="I42" s="49" t="n">
        <v>193598.12</v>
      </c>
      <c r="J42" s="49" t="inlineStr">
        <is>
          <t>173039,20</t>
        </is>
      </c>
      <c r="K42" s="49" t="n">
        <v>2950</v>
      </c>
      <c r="L42" s="49" t="n">
        <v>0</v>
      </c>
      <c r="M42" s="49" t="n">
        <v>1232.5</v>
      </c>
      <c r="N42" s="49">
        <f>370+1500</f>
        <v/>
      </c>
      <c r="O42" s="49" t="n"/>
      <c r="P42" s="89" t="n"/>
      <c r="Q42" s="49" t="n">
        <v>193598.12</v>
      </c>
      <c r="R42" s="90" t="inlineStr">
        <is>
          <t>offered</t>
        </is>
      </c>
      <c r="S42" s="153" t="n">
        <v>0.7</v>
      </c>
      <c r="T42" s="23" t="inlineStr">
        <is>
          <t>Warm</t>
        </is>
      </c>
      <c r="U42" s="92" t="inlineStr">
        <is>
          <t>USV + PQ-Monitoring für Präzisionsanlagen</t>
        </is>
      </c>
      <c r="V42" s="23" t="inlineStr">
        <is>
          <t>Kunde wahr sehr Zufrieden mit dem 1. Auftrag und im Anschluss Folgeauftrag durch meine Aktivät</t>
        </is>
      </c>
      <c r="W42" s="22" t="inlineStr">
        <is>
          <t>Juni</t>
        </is>
      </c>
      <c r="X42" s="92" t="inlineStr">
        <is>
          <t>Kunde angeschrieben, Kundentermin vor Ort in Juni 26, Termin Perfekt, Kunde benötigt Offerte, Kunde hat Offerte erhalteny, Kunde muss nur noch unterschreiben</t>
        </is>
      </c>
    </row>
    <row r="43" ht="19.5" customHeight="1">
      <c r="A43" s="22" t="n">
        <v>34</v>
      </c>
      <c r="B43" s="23" t="inlineStr">
        <is>
          <t>Creabeton</t>
        </is>
      </c>
      <c r="C43" s="22" t="inlineStr">
        <is>
          <t>BE</t>
        </is>
      </c>
      <c r="D43" s="92" t="inlineStr">
        <is>
          <t>Infrastruktur / Bau</t>
        </is>
      </c>
      <c r="E43" s="23" t="inlineStr">
        <is>
          <t>100 kVA Generator</t>
        </is>
      </c>
      <c r="F43" s="89" t="inlineStr">
        <is>
          <t>100 kVA</t>
        </is>
      </c>
      <c r="G43" s="22" t="n">
        <v>4</v>
      </c>
      <c r="H43" s="146" t="n">
        <v>46226</v>
      </c>
      <c r="I43" s="49" t="n">
        <v>3232.41</v>
      </c>
      <c r="J43" s="49">
        <f>435.2+102.4</f>
        <v/>
      </c>
      <c r="K43" s="49" t="n">
        <v>1300</v>
      </c>
      <c r="L43" s="49" t="n">
        <v>0</v>
      </c>
      <c r="M43" s="49">
        <f>725+57.6</f>
        <v/>
      </c>
      <c r="N43" s="49">
        <f>I43-J43-K43-M43</f>
        <v/>
      </c>
      <c r="O43" s="49" t="n"/>
      <c r="P43" s="89" t="n"/>
      <c r="Q43" s="49" t="n"/>
      <c r="R43" s="90" t="inlineStr">
        <is>
          <t>offered</t>
        </is>
      </c>
      <c r="S43" s="153" t="n">
        <v>0.5</v>
      </c>
      <c r="T43" s="23" t="inlineStr">
        <is>
          <t>Warm</t>
        </is>
      </c>
      <c r="U43" s="92" t="inlineStr">
        <is>
          <t>USV + PQ-Monitoring für Präzisionsanlagen</t>
        </is>
      </c>
      <c r="V43" s="92" t="inlineStr">
        <is>
          <t>Kunde angeschrieben, Warten auf Rückmeldung</t>
        </is>
      </c>
      <c r="W43" s="22" t="inlineStr">
        <is>
          <t>Juni</t>
        </is>
      </c>
      <c r="X43" s="92" t="inlineStr">
        <is>
          <t>Kunde angeschrieben, Warten auf Rückmeldung</t>
        </is>
      </c>
    </row>
    <row r="44" ht="15" customHeight="1">
      <c r="A44" s="91" t="n">
        <v>35</v>
      </c>
      <c r="B44" s="92" t="inlineStr">
        <is>
          <t>Holzplaner GmbH</t>
        </is>
      </c>
      <c r="C44" s="22" t="inlineStr">
        <is>
          <t>BE</t>
        </is>
      </c>
      <c r="D44" s="92" t="inlineStr">
        <is>
          <t>Infrastruktur / Bau</t>
        </is>
      </c>
      <c r="E44" s="92" t="inlineStr">
        <is>
          <t>90 kWH Batterie</t>
        </is>
      </c>
      <c r="F44" s="93" t="inlineStr">
        <is>
          <t>90 kWH</t>
        </is>
      </c>
      <c r="G44" s="91" t="n">
        <v>6</v>
      </c>
      <c r="H44" s="182" t="n">
        <v>46539</v>
      </c>
      <c r="I44" s="93" t="n">
        <v>7205</v>
      </c>
      <c r="J44" s="93">
        <f>1132.8+57.6+90</f>
        <v/>
      </c>
      <c r="K44" s="93" t="n">
        <v>3500</v>
      </c>
      <c r="L44" s="49" t="n">
        <v>0</v>
      </c>
      <c r="M44" s="93" t="n">
        <v>1885</v>
      </c>
      <c r="N44" s="93">
        <f>I44-M44-L44-K44-J44</f>
        <v/>
      </c>
      <c r="O44" s="96">
        <f>IFERROR(I44-(J44+K44+L44+M44+N44),"")</f>
        <v/>
      </c>
      <c r="P44" s="96">
        <f>IFERROR(O44/I44,"")</f>
        <v/>
      </c>
      <c r="Q44" s="96">
        <f>IFERROR(IF(OR(I44="",S44="",S44="tbd"),"tbd",I44*IF(S44&lt;=1,S44,S44/100)),"–")</f>
        <v/>
      </c>
      <c r="R44" s="160" t="inlineStr">
        <is>
          <t>LOST</t>
        </is>
      </c>
      <c r="S44" s="154" t="n">
        <v>0</v>
      </c>
      <c r="T44" s="92" t="inlineStr">
        <is>
          <t>Warm</t>
        </is>
      </c>
      <c r="U44" s="92" t="inlineStr">
        <is>
          <t>USV + PQ-Monitoring für Präzisionsanlagen</t>
        </is>
      </c>
      <c r="V44" s="92" t="inlineStr">
        <is>
          <t>Kunde angeschrieben, Offerte erstellt, Kunde hat Offerte bekommen, Transportkosten zu Hoch daher die Absage</t>
        </is>
      </c>
      <c r="W44" s="91" t="inlineStr">
        <is>
          <t>Juni</t>
        </is>
      </c>
      <c r="X44" s="92" t="inlineStr">
        <is>
          <t>Kunde angeschrieben, Offerte erstellt, Kunde hat Offerte bekommen, Transportkosten zu Hoch daher die Absage</t>
        </is>
      </c>
      <c r="Z44">
        <f>IF(AND(R44="WON",ISNUMBER(I44)),AA44,"")</f>
        <v/>
      </c>
      <c r="AA44">
        <f>IFERROR(I44*1,0)</f>
        <v/>
      </c>
    </row>
    <row r="45" ht="15" customHeight="1">
      <c r="A45" s="91" t="n">
        <v>36</v>
      </c>
      <c r="B45" s="156" t="inlineStr">
        <is>
          <t>Basler Haustechnik AG</t>
        </is>
      </c>
      <c r="C45" s="157" t="inlineStr">
        <is>
          <t>BE</t>
        </is>
      </c>
      <c r="D45" s="92" t="inlineStr">
        <is>
          <t>Infrastruktur / Bau</t>
        </is>
      </c>
      <c r="E45" s="156" t="inlineStr">
        <is>
          <t>45 kWH Batterie</t>
        </is>
      </c>
      <c r="F45" s="158" t="inlineStr">
        <is>
          <t>45 kWH</t>
        </is>
      </c>
      <c r="G45" s="91" t="n">
        <v>28</v>
      </c>
      <c r="H45" s="185" t="n">
        <v>46174</v>
      </c>
      <c r="I45" s="93" t="n">
        <v>8574.709999999999</v>
      </c>
      <c r="J45" s="93" t="n">
        <v>3427.2</v>
      </c>
      <c r="K45" s="93" t="n">
        <v>3200</v>
      </c>
      <c r="L45" s="49" t="n">
        <v>0</v>
      </c>
      <c r="M45" s="93" t="n">
        <v>1305</v>
      </c>
      <c r="N45" s="93">
        <f>I45-J45-K45-M45</f>
        <v/>
      </c>
      <c r="O45" s="96">
        <f>IFERROR(I45-(J45+K45+L45+M45+N45),"")</f>
        <v/>
      </c>
      <c r="P45" s="96">
        <f>IFERROR(O45/I45,"")</f>
        <v/>
      </c>
      <c r="Q45" s="96">
        <f>IFERROR(IF(OR(I45="",S45="",S45="tbd"),"tbd",I45*IF(S45&lt;=1,S45,S45/100)),"–")</f>
        <v/>
      </c>
      <c r="R45" s="90" t="inlineStr">
        <is>
          <t>offered</t>
        </is>
      </c>
      <c r="S45" s="154" t="n">
        <v>0.5</v>
      </c>
      <c r="T45" s="156" t="inlineStr">
        <is>
          <t>Warm</t>
        </is>
      </c>
      <c r="U45" s="92" t="inlineStr">
        <is>
          <t>USV + PQ-Monitoring für Präzisionsanlagen</t>
        </is>
      </c>
      <c r="V45" s="156" t="inlineStr">
        <is>
          <t>Kunde angeschrieben, Offerte erstellt, Kunde hat Offerte bekommen, Warten auf Rückmeldung</t>
        </is>
      </c>
      <c r="W45" s="157" t="inlineStr">
        <is>
          <t>Juni</t>
        </is>
      </c>
      <c r="X45" s="156" t="inlineStr">
        <is>
          <t>Kunde angeschrieben, Offerte erstellt, Kunde hat Offerte bekommen, Warten auf Rückmeldung</t>
        </is>
      </c>
      <c r="Z45">
        <f>IF(AND(R45="WON",ISNUMBER(I45)),AA45,"")</f>
        <v/>
      </c>
      <c r="AA45">
        <f>IFERROR(I45*1,0)</f>
        <v/>
      </c>
    </row>
    <row r="46" ht="15" customHeight="1">
      <c r="A46" s="91" t="n">
        <v>37</v>
      </c>
      <c r="B46" s="156" t="inlineStr">
        <is>
          <t>Swisspro AG</t>
        </is>
      </c>
      <c r="C46" s="157" t="inlineStr">
        <is>
          <t>ZH</t>
        </is>
      </c>
      <c r="D46" s="23" t="inlineStr">
        <is>
          <t>Elektroinstallation</t>
        </is>
      </c>
      <c r="E46" s="156" t="inlineStr">
        <is>
          <t>30 kVA Generator</t>
        </is>
      </c>
      <c r="F46" s="158" t="inlineStr">
        <is>
          <t>30 kVA</t>
        </is>
      </c>
      <c r="G46" s="91" t="n">
        <v>4</v>
      </c>
      <c r="H46" s="182" t="n">
        <v>46206</v>
      </c>
      <c r="I46" s="93" t="n">
        <v>6365.35</v>
      </c>
      <c r="J46" s="93">
        <f>320.4+10.8+25.2+115.2</f>
        <v/>
      </c>
      <c r="K46" s="93" t="n">
        <v>2400</v>
      </c>
      <c r="L46" s="49" t="n">
        <v>0</v>
      </c>
      <c r="M46" s="93">
        <f>1740+1276.8</f>
        <v/>
      </c>
      <c r="N46" s="93">
        <f>I46-J46-K46-L46-L46-M46</f>
        <v/>
      </c>
      <c r="O46" s="96">
        <f>IFERROR(I46-(J46+K46+L46+M46+N46),"")</f>
        <v/>
      </c>
      <c r="P46" s="96">
        <f>IFERROR(O46/I46,"")</f>
        <v/>
      </c>
      <c r="Q46" s="96">
        <f>IFERROR(IF(OR(I46="",S46="",S46="tbd"),"tbd",I46*IF(S46&lt;=1,S46,S46/100)),"–")</f>
        <v/>
      </c>
      <c r="R46" s="160" t="inlineStr">
        <is>
          <t>LOST</t>
        </is>
      </c>
      <c r="S46" s="154" t="n">
        <v>0</v>
      </c>
      <c r="T46" s="156" t="inlineStr">
        <is>
          <t>Warm</t>
        </is>
      </c>
      <c r="U46" s="92" t="inlineStr">
        <is>
          <t>USV + PQ-Monitoring für Präzisionsanlagen</t>
        </is>
      </c>
      <c r="V46" s="92" t="inlineStr">
        <is>
          <t>Kunde angeschrieben, Offerte erstellt, Kunde hat Offerte bekommen, Transportkosten zu Hoch daher die Absage</t>
        </is>
      </c>
      <c r="W46" s="157" t="inlineStr">
        <is>
          <t>Juni</t>
        </is>
      </c>
      <c r="X46" s="92" t="inlineStr">
        <is>
          <t>Kunde angeschrieben, Offerte erstellt, Kunde hat Offerte bekommen, Transportkosten zu Hoch daher die Absage</t>
        </is>
      </c>
      <c r="Z46">
        <f>IF(AND(R46="WON",ISNUMBER(I46)),AA46,"")</f>
        <v/>
      </c>
      <c r="AA46">
        <f>IFERROR(I46*1,0)</f>
        <v/>
      </c>
    </row>
    <row r="47" ht="15" customHeight="1">
      <c r="A47" s="91" t="n">
        <v>38</v>
      </c>
      <c r="B47" s="156" t="inlineStr">
        <is>
          <t>Linde Gas Schweiz AG</t>
        </is>
      </c>
      <c r="C47" s="157" t="inlineStr">
        <is>
          <t>LU</t>
        </is>
      </c>
      <c r="D47" s="23" t="inlineStr">
        <is>
          <t>Industrie</t>
        </is>
      </c>
      <c r="E47" s="156" t="inlineStr">
        <is>
          <t>60 kVA Generator</t>
        </is>
      </c>
      <c r="F47" s="158" t="inlineStr">
        <is>
          <t>60 kVA</t>
        </is>
      </c>
      <c r="G47" s="91" t="n">
        <v>7</v>
      </c>
      <c r="H47" s="182" t="n">
        <v>46389</v>
      </c>
      <c r="I47" s="93" t="n">
        <v>3686.2</v>
      </c>
      <c r="J47" s="93">
        <f>699.3+21.6+12.6+18.9+6.3+44.1</f>
        <v/>
      </c>
      <c r="K47" s="93" t="n">
        <v>1200</v>
      </c>
      <c r="L47" s="93" t="n">
        <v>0</v>
      </c>
      <c r="M47" s="93">
        <f>1160+67.2</f>
        <v/>
      </c>
      <c r="N47" s="93">
        <f>I47-M47-L47-K47-J47</f>
        <v/>
      </c>
      <c r="O47" s="96">
        <f>IFERROR(I47-(J47+K47+L47+M47+N47),"")</f>
        <v/>
      </c>
      <c r="P47" s="96">
        <f>IFERROR(O47/I47,"")</f>
        <v/>
      </c>
      <c r="Q47" s="96">
        <f>IFERROR(IF(OR(I47="",S47="",S47="tbd"),"tbd",I47*IF(S47&lt;=1,S47,S47/100)),"–")</f>
        <v/>
      </c>
      <c r="R47" s="90" t="inlineStr">
        <is>
          <t>offered</t>
        </is>
      </c>
      <c r="S47" s="154" t="n">
        <v>0.5</v>
      </c>
      <c r="T47" s="156" t="inlineStr">
        <is>
          <t>Warm</t>
        </is>
      </c>
      <c r="U47" s="92" t="inlineStr">
        <is>
          <t>USV + PQ-Monitoring für Präzisionsanlagen</t>
        </is>
      </c>
      <c r="W47" s="157" t="inlineStr">
        <is>
          <t>Juni</t>
        </is>
      </c>
      <c r="X47" s="156" t="inlineStr">
        <is>
          <t>Kunde angeschrieben, Offerte erstellt, Kunde hat Offerte bekommen, Warten auf Rückmeldung</t>
        </is>
      </c>
      <c r="Z47">
        <f>IF(AND(R47="WON",ISNUMBER(I47)),AA47,"")</f>
        <v/>
      </c>
      <c r="AA47">
        <f>IFERROR(I47*1,0)</f>
        <v/>
      </c>
    </row>
    <row r="48" ht="15" customHeight="1">
      <c r="A48" s="91" t="n"/>
      <c r="B48" s="92" t="n"/>
      <c r="C48" s="91" t="n"/>
      <c r="D48" s="92" t="n"/>
      <c r="E48" s="92" t="n"/>
      <c r="F48" s="93" t="n"/>
      <c r="G48" s="91" t="n"/>
      <c r="H48" s="182" t="n"/>
      <c r="I48" s="93" t="n"/>
      <c r="J48" s="93" t="n"/>
      <c r="K48" s="93" t="n"/>
      <c r="L48" s="93" t="n"/>
      <c r="M48" s="93" t="n"/>
      <c r="N48" s="93" t="n"/>
      <c r="O48" s="96">
        <f>IFERROR(I48-(J48+K48+L48+M48+N48),"")</f>
        <v/>
      </c>
      <c r="P48" s="96">
        <f>IFERROR(O48/I48,"")</f>
        <v/>
      </c>
      <c r="Q48" s="96">
        <f>IFERROR(IF(OR(I48="",S48="",S48="tbd"),"tbd",I48*IF(S48&lt;=1,S48,S48/100)),"–")</f>
        <v/>
      </c>
      <c r="R48" s="107" t="inlineStr">
        <is>
          <t>tbd</t>
        </is>
      </c>
      <c r="S48" s="91" t="n"/>
      <c r="T48" s="92" t="n"/>
      <c r="U48" s="92" t="n"/>
      <c r="V48" s="156" t="inlineStr">
        <is>
          <t>Kunde angeschrieben, Offerte erstellt, Kunde hat Offerte bekommen, Warten auf Rückmeldung</t>
        </is>
      </c>
      <c r="W48" s="91" t="n"/>
      <c r="X48" s="92" t="n"/>
      <c r="Z48">
        <f>IF(AND(R48="WON",ISNUMBER(I48)),AA48,"")</f>
        <v/>
      </c>
      <c r="AA48">
        <f>IFERROR(I48*1,0)</f>
        <v/>
      </c>
    </row>
    <row r="49" ht="15" customHeight="1">
      <c r="A49" s="91" t="n"/>
      <c r="B49" s="92" t="n"/>
      <c r="C49" s="91" t="n"/>
      <c r="D49" s="92" t="n"/>
      <c r="E49" s="92" t="n"/>
      <c r="F49" s="93" t="n"/>
      <c r="G49" s="91" t="n"/>
      <c r="H49" s="182" t="n"/>
      <c r="I49" s="93" t="n"/>
      <c r="J49" s="93" t="n"/>
      <c r="K49" s="93" t="n"/>
      <c r="L49" s="93" t="n"/>
      <c r="M49" s="93" t="n"/>
      <c r="N49" s="93" t="n"/>
      <c r="O49" s="96">
        <f>IFERROR(I49-(J49+K49+L49+M49+N49),"")</f>
        <v/>
      </c>
      <c r="P49" s="96">
        <f>IFERROR(O49/I49,"")</f>
        <v/>
      </c>
      <c r="Q49" s="96">
        <f>IFERROR(IF(OR(I49="",S49="",S49="tbd"),"tbd",I49*IF(S49&lt;=1,S49,S49/100)),"–")</f>
        <v/>
      </c>
      <c r="R49" s="107" t="inlineStr">
        <is>
          <t>tbd</t>
        </is>
      </c>
      <c r="S49" s="91" t="n"/>
      <c r="T49" s="92" t="n"/>
      <c r="U49" s="92" t="n"/>
      <c r="V49" s="92" t="n"/>
      <c r="W49" s="91" t="n"/>
      <c r="X49" s="92" t="n"/>
      <c r="Z49">
        <f>IF(AND(R49="WON",ISNUMBER(I49)),AA49,"")</f>
        <v/>
      </c>
      <c r="AA49">
        <f>IFERROR(I49*1,0)</f>
        <v/>
      </c>
    </row>
    <row r="50" ht="15" customHeight="1">
      <c r="A50" s="91" t="n"/>
      <c r="B50" s="92" t="n"/>
      <c r="C50" s="91" t="n"/>
      <c r="D50" s="92" t="n"/>
      <c r="E50" s="92" t="n"/>
      <c r="F50" s="93" t="n"/>
      <c r="G50" s="91" t="n"/>
      <c r="H50" s="182" t="n"/>
      <c r="I50" s="93" t="n"/>
      <c r="J50" s="93" t="n"/>
      <c r="K50" s="93" t="n"/>
      <c r="L50" s="93" t="n"/>
      <c r="M50" s="93" t="n"/>
      <c r="N50" s="93" t="n"/>
      <c r="O50" s="96">
        <f>IFERROR(I50-(J50+K50+L50+M50+N50),"")</f>
        <v/>
      </c>
      <c r="P50" s="96">
        <f>IFERROR(O50/I50,"")</f>
        <v/>
      </c>
      <c r="Q50" s="96">
        <f>IFERROR(IF(OR(I50="",S50="",S50="tbd"),"tbd",I50*IF(S50&lt;=1,S50,S50/100)),"–")</f>
        <v/>
      </c>
      <c r="R50" s="107" t="inlineStr">
        <is>
          <t>tbd</t>
        </is>
      </c>
      <c r="S50" s="91" t="n"/>
      <c r="T50" s="92" t="n"/>
      <c r="U50" s="92" t="n"/>
      <c r="V50" s="92" t="n"/>
      <c r="W50" s="91" t="n"/>
      <c r="X50" s="92" t="n"/>
      <c r="Z50">
        <f>IF(AND(R50="WON",ISNUMBER(I50)),AA50,"")</f>
        <v/>
      </c>
      <c r="AA50">
        <f>IFERROR(I50*1,0)</f>
        <v/>
      </c>
    </row>
    <row r="51" ht="15" customHeight="1">
      <c r="A51" s="91" t="n"/>
      <c r="B51" s="92" t="n"/>
      <c r="C51" s="91" t="n"/>
      <c r="D51" s="92" t="n"/>
      <c r="E51" s="92" t="n"/>
      <c r="F51" s="93" t="n"/>
      <c r="G51" s="91" t="n"/>
      <c r="H51" s="182" t="n"/>
      <c r="I51" s="93" t="n"/>
      <c r="J51" s="93" t="n"/>
      <c r="K51" s="93" t="n"/>
      <c r="L51" s="93" t="n"/>
      <c r="M51" s="93" t="n"/>
      <c r="N51" s="93" t="n"/>
      <c r="O51" s="96">
        <f>IFERROR(I51-(J51+K51+L51+M51+N51),"")</f>
        <v/>
      </c>
      <c r="P51" s="96">
        <f>IFERROR(O51/I51,"")</f>
        <v/>
      </c>
      <c r="Q51" s="96">
        <f>IFERROR(IF(OR(I51="",S51="",S51="tbd"),"tbd",I51*IF(S51&lt;=1,S51,S51/100)),"–")</f>
        <v/>
      </c>
      <c r="R51" s="107" t="inlineStr">
        <is>
          <t>tbd</t>
        </is>
      </c>
      <c r="S51" s="91" t="n"/>
      <c r="T51" s="92" t="n"/>
      <c r="U51" s="92" t="n"/>
      <c r="V51" s="92" t="n"/>
      <c r="W51" s="91" t="n"/>
      <c r="X51" s="92" t="n"/>
      <c r="Z51">
        <f>IF(AND(R51="WON",ISNUMBER(I51)),AA51,"")</f>
        <v/>
      </c>
      <c r="AA51">
        <f>IFERROR(I51*1,0)</f>
        <v/>
      </c>
    </row>
    <row r="52" ht="15" customHeight="1">
      <c r="A52" s="91" t="n"/>
      <c r="B52" s="92" t="n"/>
      <c r="C52" s="91" t="n"/>
      <c r="D52" s="92" t="n"/>
      <c r="E52" s="92" t="n"/>
      <c r="F52" s="93" t="n"/>
      <c r="G52" s="91" t="n"/>
      <c r="H52" s="182" t="n"/>
      <c r="I52" s="93" t="n"/>
      <c r="J52" s="93" t="n"/>
      <c r="K52" s="93" t="n"/>
      <c r="L52" s="93" t="n"/>
      <c r="M52" s="93" t="n"/>
      <c r="N52" s="93" t="n"/>
      <c r="O52" s="96">
        <f>IFERROR(I52-(J52+K52+L52+M52+N52),"")</f>
        <v/>
      </c>
      <c r="P52" s="96">
        <f>IFERROR(O52/I52,"")</f>
        <v/>
      </c>
      <c r="Q52" s="96">
        <f>IFERROR(IF(OR(I52="",S52="",S52="tbd"),"tbd",I52*IF(S52&lt;=1,S52,S52/100)),"–")</f>
        <v/>
      </c>
      <c r="R52" s="107" t="inlineStr">
        <is>
          <t>tbd</t>
        </is>
      </c>
      <c r="S52" s="91" t="n"/>
      <c r="T52" s="92" t="n"/>
      <c r="U52" s="92" t="n"/>
      <c r="V52" s="92" t="n"/>
      <c r="W52" s="91" t="n"/>
      <c r="X52" s="92" t="n"/>
      <c r="Z52">
        <f>IF(AND(R52="WON",ISNUMBER(I52)),AA52,"")</f>
        <v/>
      </c>
      <c r="AA52">
        <f>IFERROR(I52*1,0)</f>
        <v/>
      </c>
    </row>
    <row r="53" ht="15" customHeight="1">
      <c r="A53" s="91" t="n"/>
      <c r="B53" s="92" t="n"/>
      <c r="C53" s="91" t="n"/>
      <c r="D53" s="92" t="n"/>
      <c r="E53" s="92" t="n"/>
      <c r="F53" s="93" t="n"/>
      <c r="G53" s="91" t="n"/>
      <c r="H53" s="182" t="n"/>
      <c r="I53" s="93" t="n"/>
      <c r="J53" s="93" t="n"/>
      <c r="K53" s="93" t="n"/>
      <c r="L53" s="93" t="n"/>
      <c r="M53" s="93" t="n"/>
      <c r="N53" s="93" t="n"/>
      <c r="O53" s="96">
        <f>IFERROR(I53-(J53+K53+L53+M53+N53),"")</f>
        <v/>
      </c>
      <c r="P53" s="96">
        <f>IFERROR(O53/I53,"")</f>
        <v/>
      </c>
      <c r="Q53" s="96">
        <f>IFERROR(IF(OR(I53="",S53="",S53="tbd"),"tbd",I53*IF(S53&lt;=1,S53,S53/100)),"–")</f>
        <v/>
      </c>
      <c r="R53" s="107" t="inlineStr">
        <is>
          <t>tbd</t>
        </is>
      </c>
      <c r="S53" s="91" t="n"/>
      <c r="T53" s="92" t="n"/>
      <c r="U53" s="92" t="n"/>
      <c r="V53" s="92" t="n"/>
      <c r="W53" s="91" t="n"/>
      <c r="X53" s="92" t="n"/>
      <c r="Z53">
        <f>IF(AND(R53="WON",ISNUMBER(I53)),AA53,"")</f>
        <v/>
      </c>
      <c r="AA53">
        <f>IFERROR(I53*1,0)</f>
        <v/>
      </c>
    </row>
    <row r="54" ht="15" customHeight="1">
      <c r="A54" s="91" t="n"/>
      <c r="B54" s="92" t="n"/>
      <c r="C54" s="91" t="n"/>
      <c r="D54" s="92" t="n"/>
      <c r="E54" s="92" t="n"/>
      <c r="F54" s="93" t="n"/>
      <c r="G54" s="91" t="n"/>
      <c r="H54" s="182" t="n"/>
      <c r="I54" s="93" t="n"/>
      <c r="J54" s="93" t="n"/>
      <c r="K54" s="93" t="n"/>
      <c r="L54" s="93" t="n"/>
      <c r="M54" s="93" t="n"/>
      <c r="N54" s="93" t="n"/>
      <c r="O54" s="96">
        <f>IFERROR(I54-(J54+K54+L54+M54+N54),"")</f>
        <v/>
      </c>
      <c r="P54" s="96">
        <f>IFERROR(O54/I54,"")</f>
        <v/>
      </c>
      <c r="Q54" s="96">
        <f>IFERROR(IF(OR(I54="",S54="",S54="tbd"),"tbd",I54*IF(S54&lt;=1,S54,S54/100)),"–")</f>
        <v/>
      </c>
      <c r="R54" s="107" t="inlineStr">
        <is>
          <t>tbd</t>
        </is>
      </c>
      <c r="S54" s="91" t="n"/>
      <c r="T54" s="92" t="n"/>
      <c r="U54" s="92" t="n"/>
      <c r="V54" s="92" t="n"/>
      <c r="W54" s="91" t="n"/>
      <c r="X54" s="92" t="n"/>
      <c r="Z54">
        <f>IF(AND(R54="WON",ISNUMBER(I54)),AA54,"")</f>
        <v/>
      </c>
      <c r="AA54">
        <f>IFERROR(I54*1,0)</f>
        <v/>
      </c>
    </row>
    <row r="55" ht="15" customHeight="1">
      <c r="A55" s="91" t="n"/>
      <c r="B55" s="92" t="n"/>
      <c r="C55" s="91" t="n"/>
      <c r="D55" s="92" t="n"/>
      <c r="E55" s="92" t="n"/>
      <c r="F55" s="93" t="n"/>
      <c r="G55" s="91" t="n"/>
      <c r="H55" s="182" t="n"/>
      <c r="I55" s="93" t="n"/>
      <c r="J55" s="93" t="n"/>
      <c r="K55" s="93" t="n"/>
      <c r="L55" s="93" t="n"/>
      <c r="M55" s="93" t="n"/>
      <c r="N55" s="93" t="n"/>
      <c r="O55" s="96">
        <f>IFERROR(I55-(J55+K55+L55+M55+N55),"")</f>
        <v/>
      </c>
      <c r="P55" s="96">
        <f>IFERROR(O55/I55,"")</f>
        <v/>
      </c>
      <c r="Q55" s="96">
        <f>IFERROR(IF(OR(I55="",S55="",S55="tbd"),"tbd",I55*IF(S55&lt;=1,S55,S55/100)),"–")</f>
        <v/>
      </c>
      <c r="R55" s="107" t="inlineStr">
        <is>
          <t>tbd</t>
        </is>
      </c>
      <c r="S55" s="91" t="n"/>
      <c r="T55" s="92" t="n"/>
      <c r="U55" s="92" t="n"/>
      <c r="V55" s="92" t="n"/>
      <c r="W55" s="91" t="n"/>
      <c r="X55" s="92" t="n"/>
      <c r="Z55">
        <f>IF(AND(R55="WON",ISNUMBER(I55)),AA55,"")</f>
        <v/>
      </c>
      <c r="AA55">
        <f>IFERROR(I55*1,0)</f>
        <v/>
      </c>
    </row>
    <row r="56" ht="15" customHeight="1">
      <c r="A56" s="91" t="n"/>
      <c r="B56" s="92" t="n"/>
      <c r="C56" s="91" t="n"/>
      <c r="D56" s="92" t="n"/>
      <c r="E56" s="92" t="n"/>
      <c r="F56" s="93" t="n"/>
      <c r="G56" s="91" t="n"/>
      <c r="H56" s="182" t="n"/>
      <c r="I56" s="93" t="n"/>
      <c r="J56" s="93" t="n"/>
      <c r="K56" s="93" t="n"/>
      <c r="L56" s="93" t="n"/>
      <c r="M56" s="93" t="n"/>
      <c r="N56" s="93" t="n"/>
      <c r="O56" s="96">
        <f>IFERROR(I56-(J56+K56+L56+M56+N56),"")</f>
        <v/>
      </c>
      <c r="P56" s="96">
        <f>IFERROR(O56/I56,"")</f>
        <v/>
      </c>
      <c r="Q56" s="96">
        <f>IFERROR(IF(OR(I56="",S56="",S56="tbd"),"tbd",I56*IF(S56&lt;=1,S56,S56/100)),"–")</f>
        <v/>
      </c>
      <c r="R56" s="107" t="inlineStr">
        <is>
          <t>tbd</t>
        </is>
      </c>
      <c r="S56" s="91" t="n"/>
      <c r="T56" s="92" t="n"/>
      <c r="U56" s="92" t="n"/>
      <c r="V56" s="92" t="n"/>
      <c r="W56" s="91" t="n"/>
      <c r="X56" s="92" t="n"/>
      <c r="Z56">
        <f>IF(AND(R56="WON",ISNUMBER(I56)),AA56,"")</f>
        <v/>
      </c>
      <c r="AA56">
        <f>IFERROR(I56*1,0)</f>
        <v/>
      </c>
    </row>
    <row r="57" ht="15" customHeight="1">
      <c r="A57" s="91" t="n"/>
      <c r="B57" s="92" t="n"/>
      <c r="C57" s="91" t="n"/>
      <c r="D57" s="92" t="n"/>
      <c r="E57" s="92" t="n"/>
      <c r="F57" s="93" t="n"/>
      <c r="G57" s="91" t="n"/>
      <c r="H57" s="182" t="n"/>
      <c r="I57" s="93" t="n"/>
      <c r="J57" s="93" t="n"/>
      <c r="K57" s="93" t="n"/>
      <c r="L57" s="93" t="n"/>
      <c r="M57" s="93" t="n"/>
      <c r="N57" s="93" t="n"/>
      <c r="O57" s="96">
        <f>IFERROR(I57-(J57+K57+L57+M57+N57),"")</f>
        <v/>
      </c>
      <c r="P57" s="96">
        <f>IFERROR(O57/I57,"")</f>
        <v/>
      </c>
      <c r="Q57" s="96">
        <f>IFERROR(IF(OR(I57="",S57="",S57="tbd"),"tbd",I57*IF(S57&lt;=1,S57,S57/100)),"–")</f>
        <v/>
      </c>
      <c r="R57" s="107" t="inlineStr">
        <is>
          <t>tbd</t>
        </is>
      </c>
      <c r="S57" s="91" t="n"/>
      <c r="T57" s="92" t="n"/>
      <c r="U57" s="92" t="n"/>
      <c r="V57" s="92" t="n"/>
      <c r="W57" s="91" t="n"/>
      <c r="X57" s="92" t="n"/>
      <c r="Z57">
        <f>IF(AND(R57="WON",ISNUMBER(I57)),AA57,"")</f>
        <v/>
      </c>
      <c r="AA57">
        <f>IFERROR(I57*1,0)</f>
        <v/>
      </c>
    </row>
    <row r="58" ht="15" customHeight="1">
      <c r="A58" s="91" t="n"/>
      <c r="B58" s="92" t="n"/>
      <c r="C58" s="91" t="n"/>
      <c r="D58" s="92" t="n"/>
      <c r="E58" s="92" t="n"/>
      <c r="F58" s="93" t="n"/>
      <c r="G58" s="91" t="n"/>
      <c r="H58" s="182" t="n"/>
      <c r="I58" s="93" t="n"/>
      <c r="J58" s="93" t="n"/>
      <c r="K58" s="93" t="n"/>
      <c r="L58" s="93" t="n"/>
      <c r="M58" s="93" t="n"/>
      <c r="N58" s="93" t="n"/>
      <c r="O58" s="96">
        <f>IFERROR(I58-(J58+K58+L58+M58+N58),"")</f>
        <v/>
      </c>
      <c r="P58" s="96">
        <f>IFERROR(O58/I58,"")</f>
        <v/>
      </c>
      <c r="Q58" s="96">
        <f>IFERROR(IF(OR(I58="",S58="",S58="tbd"),"tbd",I58*IF(S58&lt;=1,S58,S58/100)),"–")</f>
        <v/>
      </c>
      <c r="R58" s="107" t="inlineStr">
        <is>
          <t>tbd</t>
        </is>
      </c>
      <c r="S58" s="91" t="n"/>
      <c r="T58" s="92" t="n"/>
      <c r="U58" s="92" t="n"/>
      <c r="V58" s="92" t="n"/>
      <c r="W58" s="91" t="n"/>
      <c r="X58" s="92" t="n"/>
      <c r="Z58">
        <f>IF(AND(R58="WON",ISNUMBER(I58)),AA58,"")</f>
        <v/>
      </c>
      <c r="AA58">
        <f>IFERROR(I58*1,0)</f>
        <v/>
      </c>
    </row>
    <row r="59" ht="15" customHeight="1">
      <c r="A59" s="91" t="n"/>
      <c r="B59" s="92" t="n"/>
      <c r="C59" s="91" t="n"/>
      <c r="D59" s="92" t="n"/>
      <c r="E59" s="92" t="n"/>
      <c r="F59" s="93" t="n"/>
      <c r="G59" s="91" t="n"/>
      <c r="H59" s="182" t="n"/>
      <c r="I59" s="93" t="n"/>
      <c r="J59" s="93" t="n"/>
      <c r="K59" s="93" t="n"/>
      <c r="L59" s="93" t="n"/>
      <c r="M59" s="93" t="n"/>
      <c r="N59" s="93" t="n"/>
      <c r="O59" s="96">
        <f>IFERROR(I59-(J59+K59+L59+M59+N59),"")</f>
        <v/>
      </c>
      <c r="P59" s="96">
        <f>IFERROR(O59/I59,"")</f>
        <v/>
      </c>
      <c r="Q59" s="96">
        <f>IFERROR(IF(OR(I59="",S59="",S59="tbd"),"tbd",I59*IF(S59&lt;=1,S59,S59/100)),"–")</f>
        <v/>
      </c>
      <c r="R59" s="91" t="n"/>
      <c r="S59" s="91" t="n"/>
      <c r="T59" s="92" t="n"/>
      <c r="U59" s="92" t="n"/>
      <c r="V59" s="92" t="n"/>
      <c r="W59" s="91" t="n"/>
      <c r="X59" s="92" t="n"/>
      <c r="Z59">
        <f>IF(AND(R59="WON",ISNUMBER(I59)),AA59,"")</f>
        <v/>
      </c>
      <c r="AA59">
        <f>IFERROR(I59*1,0)</f>
        <v/>
      </c>
    </row>
    <row r="60" ht="15" customHeight="1">
      <c r="A60" s="91" t="n"/>
      <c r="B60" s="92" t="n"/>
      <c r="C60" s="91" t="n"/>
      <c r="D60" s="92" t="n"/>
      <c r="E60" s="92" t="n"/>
      <c r="F60" s="93" t="n"/>
      <c r="G60" s="91" t="n"/>
      <c r="H60" s="182" t="n"/>
      <c r="I60" s="93" t="n"/>
      <c r="J60" s="93" t="n"/>
      <c r="K60" s="93" t="n"/>
      <c r="L60" s="93" t="n"/>
      <c r="M60" s="93" t="n"/>
      <c r="N60" s="93" t="n"/>
      <c r="O60" s="96">
        <f>IFERROR(I60-(J60+K60+L60+M60+N60),"")</f>
        <v/>
      </c>
      <c r="P60" s="96">
        <f>IFERROR(O60/I60,"")</f>
        <v/>
      </c>
      <c r="Q60" s="96">
        <f>IFERROR(IF(OR(I60="",S60="",S60="tbd"),"tbd",I60*IF(S60&lt;=1,S60,S60/100)),"–")</f>
        <v/>
      </c>
      <c r="R60" s="91" t="n"/>
      <c r="S60" s="91" t="n"/>
      <c r="T60" s="92" t="n"/>
      <c r="U60" s="92" t="n"/>
      <c r="V60" s="92" t="n"/>
      <c r="W60" s="91" t="n"/>
      <c r="X60" s="92" t="n"/>
      <c r="Z60">
        <f>IF(AND(R60="WON",ISNUMBER(I60)),AA60,"")</f>
        <v/>
      </c>
      <c r="AA60">
        <f>IFERROR(I60*1,0)</f>
        <v/>
      </c>
    </row>
    <row r="61" ht="15" customHeight="1">
      <c r="A61" s="91" t="n"/>
      <c r="B61" s="92" t="n"/>
      <c r="C61" s="91" t="n"/>
      <c r="D61" s="92" t="n"/>
      <c r="E61" s="92" t="n"/>
      <c r="F61" s="93" t="n"/>
      <c r="G61" s="91" t="n"/>
      <c r="H61" s="182" t="n"/>
      <c r="I61" s="93" t="n"/>
      <c r="J61" s="93" t="n"/>
      <c r="K61" s="93" t="n"/>
      <c r="L61" s="93" t="n"/>
      <c r="M61" s="93" t="n"/>
      <c r="N61" s="93" t="n"/>
      <c r="O61" s="96">
        <f>IFERROR(I61-(J61+K61+L61+M61+N61),"")</f>
        <v/>
      </c>
      <c r="P61" s="96">
        <f>IFERROR(O61/I61,"")</f>
        <v/>
      </c>
      <c r="Q61" s="96">
        <f>IFERROR(IF(OR(I61="",S61="",S61="tbd"),"tbd",I61*IF(S61&lt;=1,S61,S61/100)),"–")</f>
        <v/>
      </c>
      <c r="R61" s="91" t="n"/>
      <c r="S61" s="91" t="n"/>
      <c r="T61" s="92" t="n"/>
      <c r="U61" s="92" t="n"/>
      <c r="V61" s="92" t="n"/>
      <c r="W61" s="91" t="n"/>
      <c r="X61" s="92" t="n"/>
      <c r="Z61">
        <f>IF(AND(R61="WON",ISNUMBER(I61)),AA61,"")</f>
        <v/>
      </c>
      <c r="AA61">
        <f>IFERROR(I61*1,0)</f>
        <v/>
      </c>
    </row>
    <row r="62" ht="15" customHeight="1">
      <c r="A62" s="91" t="n"/>
      <c r="B62" s="92" t="n"/>
      <c r="C62" s="91" t="n"/>
      <c r="D62" s="92" t="n"/>
      <c r="E62" s="92" t="n"/>
      <c r="F62" s="93" t="n"/>
      <c r="G62" s="91" t="n"/>
      <c r="H62" s="182" t="n"/>
      <c r="I62" s="93" t="n"/>
      <c r="J62" s="93" t="n"/>
      <c r="K62" s="93" t="n"/>
      <c r="L62" s="93" t="n"/>
      <c r="M62" s="93" t="n"/>
      <c r="N62" s="93" t="n"/>
      <c r="O62" s="96">
        <f>IFERROR(I62-(J62+K62+L62+M62+N62),"")</f>
        <v/>
      </c>
      <c r="P62" s="96">
        <f>IFERROR(O62/I62,"")</f>
        <v/>
      </c>
      <c r="Q62" s="96">
        <f>IFERROR(IF(OR(I62="",S62="",S62="tbd"),"tbd",I62*IF(S62&lt;=1,S62,S62/100)),"–")</f>
        <v/>
      </c>
      <c r="R62" s="91" t="n"/>
      <c r="S62" s="91" t="n"/>
      <c r="T62" s="92" t="n"/>
      <c r="U62" s="92" t="n"/>
      <c r="V62" s="92" t="n"/>
      <c r="W62" s="91" t="n"/>
      <c r="X62" s="92" t="n"/>
      <c r="Z62">
        <f>IF(AND(R62="WON",ISNUMBER(I62)),AA62,"")</f>
        <v/>
      </c>
      <c r="AA62">
        <f>IFERROR(I62*1,0)</f>
        <v/>
      </c>
    </row>
    <row r="63" ht="15" customHeight="1">
      <c r="A63" s="91" t="n"/>
      <c r="B63" s="92" t="n"/>
      <c r="C63" s="91" t="n"/>
      <c r="D63" s="92" t="n"/>
      <c r="E63" s="92" t="n"/>
      <c r="F63" s="93" t="n"/>
      <c r="G63" s="91" t="n"/>
      <c r="H63" s="182" t="n"/>
      <c r="I63" s="93" t="n"/>
      <c r="J63" s="93" t="n"/>
      <c r="K63" s="93" t="n"/>
      <c r="L63" s="93" t="n"/>
      <c r="M63" s="93" t="n"/>
      <c r="N63" s="93" t="n"/>
      <c r="O63" s="96">
        <f>IFERROR(I63-(J63+K63+L63+M63+N63),"")</f>
        <v/>
      </c>
      <c r="P63" s="96">
        <f>IFERROR(O63/I63,"")</f>
        <v/>
      </c>
      <c r="Q63" s="96">
        <f>IFERROR(IF(OR(I63="",S63="",S63="tbd"),"tbd",I63*IF(S63&lt;=1,S63,S63/100)),"–")</f>
        <v/>
      </c>
      <c r="R63" s="91" t="n"/>
      <c r="S63" s="91" t="n"/>
      <c r="T63" s="92" t="n"/>
      <c r="U63" s="92" t="n"/>
      <c r="V63" s="92" t="n"/>
      <c r="W63" s="91" t="n"/>
      <c r="X63" s="92" t="n"/>
      <c r="Z63">
        <f>IF(AND(R63="WON",ISNUMBER(I63)),AA63,"")</f>
        <v/>
      </c>
      <c r="AA63">
        <f>IFERROR(I63*1,0)</f>
        <v/>
      </c>
    </row>
    <row r="64" ht="15" customHeight="1">
      <c r="A64" s="91" t="n"/>
      <c r="B64" s="92" t="n"/>
      <c r="C64" s="91" t="n"/>
      <c r="D64" s="92" t="n"/>
      <c r="E64" s="92" t="n"/>
      <c r="F64" s="93" t="n"/>
      <c r="G64" s="91" t="n"/>
      <c r="H64" s="182" t="n"/>
      <c r="I64" s="93" t="n"/>
      <c r="J64" s="93" t="n"/>
      <c r="K64" s="93" t="n"/>
      <c r="L64" s="93" t="n"/>
      <c r="M64" s="93" t="n"/>
      <c r="N64" s="93" t="n"/>
      <c r="O64" s="96">
        <f>IFERROR(I64-(J64+K64+L64+M64+N64),"")</f>
        <v/>
      </c>
      <c r="P64" s="96">
        <f>IFERROR(O64/I64,"")</f>
        <v/>
      </c>
      <c r="Q64" s="96">
        <f>IFERROR(IF(OR(I64="",S64="",S64="tbd"),"tbd",I64*IF(S64&lt;=1,S64,S64/100)),"–")</f>
        <v/>
      </c>
      <c r="R64" s="91" t="n"/>
      <c r="S64" s="91" t="n"/>
      <c r="T64" s="92" t="n"/>
      <c r="U64" s="92" t="n"/>
      <c r="V64" s="92" t="n"/>
      <c r="W64" s="91" t="n"/>
      <c r="X64" s="92" t="n"/>
      <c r="Z64">
        <f>IF(AND(R64="WON",ISNUMBER(I64)),AA64,"")</f>
        <v/>
      </c>
      <c r="AA64">
        <f>IFERROR(I64*1,0)</f>
        <v/>
      </c>
    </row>
    <row r="65" ht="15" customHeight="1">
      <c r="A65" s="91" t="n"/>
      <c r="B65" s="92" t="n"/>
      <c r="C65" s="91" t="n"/>
      <c r="D65" s="92" t="n"/>
      <c r="E65" s="92" t="n"/>
      <c r="F65" s="93" t="n"/>
      <c r="G65" s="91" t="n"/>
      <c r="H65" s="182" t="n"/>
      <c r="I65" s="93" t="n"/>
      <c r="J65" s="93" t="n"/>
      <c r="K65" s="93" t="n"/>
      <c r="L65" s="93" t="n"/>
      <c r="M65" s="93" t="n"/>
      <c r="N65" s="93" t="n"/>
      <c r="O65" s="96">
        <f>IFERROR(I65-(J65+K65+L65+M65+N65),"")</f>
        <v/>
      </c>
      <c r="P65" s="96">
        <f>IFERROR(O65/I65,"")</f>
        <v/>
      </c>
      <c r="Q65" s="96">
        <f>IFERROR(IF(OR(I65="",S65="",S65="tbd"),"tbd",I65*IF(S65&lt;=1,S65,S65/100)),"–")</f>
        <v/>
      </c>
      <c r="R65" s="91" t="n"/>
      <c r="S65" s="91" t="n"/>
      <c r="T65" s="92" t="n"/>
      <c r="U65" s="92" t="n"/>
      <c r="V65" s="92" t="n"/>
      <c r="W65" s="91" t="n"/>
      <c r="X65" s="92" t="n"/>
      <c r="Z65">
        <f>IF(AND(R65="WON",ISNUMBER(I65)),AA65,"")</f>
        <v/>
      </c>
      <c r="AA65">
        <f>IFERROR(I65*1,0)</f>
        <v/>
      </c>
    </row>
    <row r="66" ht="15" customHeight="1">
      <c r="A66" s="91" t="n"/>
      <c r="B66" s="92" t="n"/>
      <c r="C66" s="91" t="n"/>
      <c r="D66" s="92" t="n"/>
      <c r="E66" s="92" t="n"/>
      <c r="F66" s="93" t="n"/>
      <c r="G66" s="91" t="n"/>
      <c r="H66" s="182" t="n"/>
      <c r="I66" s="93" t="n"/>
      <c r="J66" s="93" t="n"/>
      <c r="K66" s="93" t="n"/>
      <c r="L66" s="93" t="n"/>
      <c r="M66" s="93" t="n"/>
      <c r="N66" s="93" t="n"/>
      <c r="O66" s="96">
        <f>IFERROR(I66-(J66+K66+L66+M66+N66),"")</f>
        <v/>
      </c>
      <c r="P66" s="96">
        <f>IFERROR(O66/I66,"")</f>
        <v/>
      </c>
      <c r="Q66" s="96">
        <f>IFERROR(IF(OR(I66="",S66="",S66="tbd"),"tbd",I66*IF(S66&lt;=1,S66,S66/100)),"–")</f>
        <v/>
      </c>
      <c r="R66" s="91" t="n"/>
      <c r="S66" s="91" t="n"/>
      <c r="T66" s="92" t="n"/>
      <c r="U66" s="92" t="n"/>
      <c r="V66" s="92" t="n"/>
      <c r="W66" s="91" t="n"/>
      <c r="X66" s="92" t="n"/>
      <c r="Z66">
        <f>IF(AND(R66="WON",ISNUMBER(I66)),AA66,"")</f>
        <v/>
      </c>
      <c r="AA66">
        <f>IFERROR(I66*1,0)</f>
        <v/>
      </c>
    </row>
    <row r="67" ht="15" customHeight="1">
      <c r="A67" s="91" t="n"/>
      <c r="B67" s="92" t="n"/>
      <c r="C67" s="91" t="n"/>
      <c r="D67" s="92" t="n"/>
      <c r="E67" s="92" t="n"/>
      <c r="F67" s="93" t="n"/>
      <c r="G67" s="91" t="n"/>
      <c r="H67" s="182" t="n"/>
      <c r="I67" s="93" t="n"/>
      <c r="J67" s="93" t="n"/>
      <c r="K67" s="93" t="n"/>
      <c r="L67" s="93" t="n"/>
      <c r="M67" s="93" t="n"/>
      <c r="N67" s="93" t="n"/>
      <c r="O67" s="96">
        <f>IFERROR(I67-(J67+K67+L67+M67+N67),"")</f>
        <v/>
      </c>
      <c r="P67" s="96">
        <f>IFERROR(O67/I67,"")</f>
        <v/>
      </c>
      <c r="Q67" s="96">
        <f>IFERROR(IF(OR(I67="",S67="",S67="tbd"),"tbd",I67*IF(S67&lt;=1,S67,S67/100)),"–")</f>
        <v/>
      </c>
      <c r="R67" s="91" t="n"/>
      <c r="S67" s="91" t="n"/>
      <c r="T67" s="92" t="n"/>
      <c r="U67" s="92" t="n"/>
      <c r="V67" s="92" t="n"/>
      <c r="W67" s="91" t="n"/>
      <c r="X67" s="92" t="n"/>
      <c r="Z67">
        <f>IF(AND(R67="WON",ISNUMBER(I67)),AA67,"")</f>
        <v/>
      </c>
      <c r="AA67">
        <f>IFERROR(I67*1,0)</f>
        <v/>
      </c>
    </row>
    <row r="68" ht="15" customHeight="1">
      <c r="A68" s="91" t="n"/>
      <c r="B68" s="92" t="n"/>
      <c r="C68" s="91" t="n"/>
      <c r="D68" s="92" t="n"/>
      <c r="E68" s="92" t="n"/>
      <c r="F68" s="93" t="n"/>
      <c r="G68" s="91" t="n"/>
      <c r="H68" s="182" t="n"/>
      <c r="I68" s="93" t="n"/>
      <c r="J68" s="93" t="n"/>
      <c r="K68" s="93" t="n"/>
      <c r="L68" s="93" t="n"/>
      <c r="M68" s="93" t="n"/>
      <c r="N68" s="93" t="n"/>
      <c r="O68" s="96">
        <f>IFERROR(I68-(J68+K68+L68+M68+N68),"")</f>
        <v/>
      </c>
      <c r="P68" s="96">
        <f>IFERROR(O68/I68,"")</f>
        <v/>
      </c>
      <c r="Q68" s="96">
        <f>IFERROR(IF(OR(I68="",S68="",S68="tbd"),"tbd",I68*IF(S68&lt;=1,S68,S68/100)),"–")</f>
        <v/>
      </c>
      <c r="R68" s="91" t="n"/>
      <c r="S68" s="91" t="n"/>
      <c r="T68" s="92" t="n"/>
      <c r="U68" s="92" t="n"/>
      <c r="V68" s="92" t="n"/>
      <c r="W68" s="91" t="n"/>
      <c r="X68" s="92" t="n"/>
      <c r="Z68">
        <f>IF(AND(R68="WON",ISNUMBER(I68)),AA68,"")</f>
        <v/>
      </c>
      <c r="AA68">
        <f>IFERROR(I68*1,0)</f>
        <v/>
      </c>
    </row>
    <row r="69" ht="15" customHeight="1">
      <c r="A69" s="91" t="n"/>
      <c r="B69" s="92" t="n"/>
      <c r="C69" s="91" t="n"/>
      <c r="D69" s="92" t="n"/>
      <c r="E69" s="92" t="n"/>
      <c r="F69" s="93" t="n"/>
      <c r="G69" s="91" t="n"/>
      <c r="H69" s="182" t="n"/>
      <c r="I69" s="93" t="n"/>
      <c r="J69" s="93" t="n"/>
      <c r="K69" s="93" t="n"/>
      <c r="L69" s="93" t="n"/>
      <c r="M69" s="93" t="n"/>
      <c r="N69" s="93" t="n"/>
      <c r="O69" s="96">
        <f>IFERROR(I69-(J69+K69+L69+M69+N69),"")</f>
        <v/>
      </c>
      <c r="P69" s="96">
        <f>IFERROR(O69/I69,"")</f>
        <v/>
      </c>
      <c r="Q69" s="96">
        <f>IFERROR(IF(OR(I69="",S69="",S69="tbd"),"tbd",I69*IF(S69&lt;=1,S69,S69/100)),"–")</f>
        <v/>
      </c>
      <c r="R69" s="91" t="n"/>
      <c r="S69" s="91" t="n"/>
      <c r="T69" s="92" t="n"/>
      <c r="U69" s="92" t="n"/>
      <c r="V69" s="92" t="n"/>
      <c r="W69" s="91" t="n"/>
      <c r="X69" s="92" t="n"/>
      <c r="Z69">
        <f>IF(AND(R69="WON",ISNUMBER(I69)),AA69,"")</f>
        <v/>
      </c>
      <c r="AA69">
        <f>IFERROR(I69*1,0)</f>
        <v/>
      </c>
    </row>
    <row r="70" ht="15" customHeight="1">
      <c r="A70" s="91" t="n"/>
      <c r="B70" s="92" t="n"/>
      <c r="C70" s="91" t="n"/>
      <c r="D70" s="92" t="n"/>
      <c r="E70" s="92" t="n"/>
      <c r="F70" s="93" t="n"/>
      <c r="G70" s="91" t="n"/>
      <c r="H70" s="182" t="n"/>
      <c r="I70" s="93" t="n"/>
      <c r="J70" s="93" t="n"/>
      <c r="K70" s="93" t="n"/>
      <c r="L70" s="93" t="n"/>
      <c r="M70" s="93" t="n"/>
      <c r="N70" s="93" t="n"/>
      <c r="O70" s="96">
        <f>IFERROR(I70-(J70+K70+L70+M70+N70),"")</f>
        <v/>
      </c>
      <c r="P70" s="96">
        <f>IFERROR(O70/I70,"")</f>
        <v/>
      </c>
      <c r="Q70" s="96">
        <f>IFERROR(IF(OR(I70="",S70="",S70="tbd"),"tbd",I70*IF(S70&lt;=1,S70,S70/100)),"–")</f>
        <v/>
      </c>
      <c r="R70" s="91" t="n"/>
      <c r="S70" s="91" t="n"/>
      <c r="T70" s="92" t="n"/>
      <c r="U70" s="92" t="n"/>
      <c r="V70" s="92" t="n"/>
      <c r="W70" s="91" t="n"/>
      <c r="X70" s="92" t="n"/>
      <c r="Z70">
        <f>IF(AND(R70="WON",ISNUMBER(I70)),AA70,"")</f>
        <v/>
      </c>
      <c r="AA70">
        <f>IFERROR(I70*1,0)</f>
        <v/>
      </c>
    </row>
    <row r="71" ht="15" customHeight="1">
      <c r="A71" s="91" t="n"/>
      <c r="B71" s="92" t="n"/>
      <c r="C71" s="91" t="n"/>
      <c r="D71" s="92" t="n"/>
      <c r="E71" s="92" t="n"/>
      <c r="F71" s="93" t="n"/>
      <c r="G71" s="91" t="n"/>
      <c r="H71" s="182" t="n"/>
      <c r="I71" s="93" t="n"/>
      <c r="J71" s="93" t="n"/>
      <c r="K71" s="93" t="n"/>
      <c r="L71" s="93" t="n"/>
      <c r="M71" s="93" t="n"/>
      <c r="N71" s="93" t="n"/>
      <c r="O71" s="96">
        <f>IFERROR(I71-(J71+K71+L71+M71+N71),"")</f>
        <v/>
      </c>
      <c r="P71" s="96">
        <f>IFERROR(O71/I71,"")</f>
        <v/>
      </c>
      <c r="Q71" s="96">
        <f>IFERROR(IF(OR(I71="",S71="",S71="tbd"),"tbd",I71*IF(S71&lt;=1,S71,S71/100)),"–")</f>
        <v/>
      </c>
      <c r="R71" s="91" t="n"/>
      <c r="S71" s="91" t="n"/>
      <c r="T71" s="92" t="n"/>
      <c r="U71" s="92" t="n"/>
      <c r="V71" s="92" t="n"/>
      <c r="W71" s="91" t="n"/>
      <c r="X71" s="92" t="n"/>
      <c r="Z71">
        <f>IF(AND(R71="WON",ISNUMBER(I71)),AA71,"")</f>
        <v/>
      </c>
      <c r="AA71">
        <f>IFERROR(I71*1,0)</f>
        <v/>
      </c>
    </row>
    <row r="72" ht="15" customHeight="1">
      <c r="A72" s="91" t="n"/>
      <c r="B72" s="92" t="n"/>
      <c r="C72" s="91" t="n"/>
      <c r="D72" s="92" t="n"/>
      <c r="E72" s="92" t="n"/>
      <c r="F72" s="93" t="n"/>
      <c r="G72" s="91" t="n"/>
      <c r="H72" s="182" t="n"/>
      <c r="I72" s="93" t="n"/>
      <c r="J72" s="93" t="n"/>
      <c r="K72" s="93" t="n"/>
      <c r="L72" s="93" t="n"/>
      <c r="M72" s="93" t="n"/>
      <c r="N72" s="93" t="n"/>
      <c r="O72" s="96">
        <f>IFERROR(I72-(J72+K72+L72+M72+N72),"")</f>
        <v/>
      </c>
      <c r="P72" s="96">
        <f>IFERROR(O72/I72,"")</f>
        <v/>
      </c>
      <c r="Q72" s="96">
        <f>IFERROR(IF(OR(I72="",S72="",S72="tbd"),"tbd",I72*IF(S72&lt;=1,S72,S72/100)),"–")</f>
        <v/>
      </c>
      <c r="R72" s="91" t="n"/>
      <c r="S72" s="91" t="n"/>
      <c r="T72" s="92" t="n"/>
      <c r="U72" s="92" t="n"/>
      <c r="V72" s="92" t="n"/>
      <c r="W72" s="91" t="n"/>
      <c r="X72" s="92" t="n"/>
      <c r="Z72">
        <f>IF(AND(R72="WON",ISNUMBER(I72)),AA72,"")</f>
        <v/>
      </c>
      <c r="AA72">
        <f>IFERROR(I72*1,0)</f>
        <v/>
      </c>
    </row>
    <row r="73" ht="15" customHeight="1">
      <c r="A73" s="91" t="n"/>
      <c r="B73" s="92" t="n"/>
      <c r="C73" s="91" t="n"/>
      <c r="D73" s="92" t="n"/>
      <c r="E73" s="92" t="n"/>
      <c r="F73" s="93" t="n"/>
      <c r="G73" s="91" t="n"/>
      <c r="H73" s="182" t="n"/>
      <c r="I73" s="93" t="n"/>
      <c r="J73" s="93" t="n"/>
      <c r="K73" s="93" t="n"/>
      <c r="L73" s="93" t="n"/>
      <c r="M73" s="93" t="n"/>
      <c r="N73" s="93" t="n"/>
      <c r="O73" s="96">
        <f>IFERROR(I73-(J73+K73+L73+M73+N73),"")</f>
        <v/>
      </c>
      <c r="P73" s="96">
        <f>IFERROR(O73/I73,"")</f>
        <v/>
      </c>
      <c r="Q73" s="96">
        <f>IFERROR(IF(OR(I73="",S73="",S73="tbd"),"tbd",I73*IF(S73&lt;=1,S73,S73/100)),"–")</f>
        <v/>
      </c>
      <c r="R73" s="91" t="n"/>
      <c r="S73" s="91" t="n"/>
      <c r="T73" s="92" t="n"/>
      <c r="U73" s="92" t="n"/>
      <c r="V73" s="92" t="n"/>
      <c r="W73" s="91" t="n"/>
      <c r="X73" s="92" t="n"/>
      <c r="Z73">
        <f>IF(AND(R73="WON",ISNUMBER(I73)),AA73,"")</f>
        <v/>
      </c>
      <c r="AA73">
        <f>IFERROR(I73*1,0)</f>
        <v/>
      </c>
    </row>
    <row r="74" ht="15" customHeight="1">
      <c r="A74" s="91" t="n"/>
      <c r="B74" s="92" t="n"/>
      <c r="C74" s="91" t="n"/>
      <c r="D74" s="92" t="n"/>
      <c r="E74" s="92" t="n"/>
      <c r="F74" s="93" t="n"/>
      <c r="G74" s="91" t="n"/>
      <c r="H74" s="182" t="n"/>
      <c r="I74" s="93" t="n"/>
      <c r="J74" s="93" t="n"/>
      <c r="K74" s="93" t="n"/>
      <c r="L74" s="93" t="n"/>
      <c r="M74" s="93" t="n"/>
      <c r="N74" s="93" t="n"/>
      <c r="O74" s="96">
        <f>IFERROR(I74-(J74+K74+L74+M74+N74),"")</f>
        <v/>
      </c>
      <c r="P74" s="96">
        <f>IFERROR(O74/I74,"")</f>
        <v/>
      </c>
      <c r="Q74" s="96">
        <f>IFERROR(IF(OR(I74="",S74="",S74="tbd"),"tbd",I74*IF(S74&lt;=1,S74,S74/100)),"–")</f>
        <v/>
      </c>
      <c r="R74" s="91" t="n"/>
      <c r="S74" s="91" t="n"/>
      <c r="T74" s="92" t="n"/>
      <c r="U74" s="92" t="n"/>
      <c r="V74" s="92" t="n"/>
      <c r="W74" s="91" t="n"/>
      <c r="X74" s="92" t="n"/>
      <c r="Z74">
        <f>IF(AND(R74="WON",ISNUMBER(I74)),AA74,"")</f>
        <v/>
      </c>
      <c r="AA74">
        <f>IFERROR(I74*1,0)</f>
        <v/>
      </c>
    </row>
    <row r="75" ht="15" customHeight="1">
      <c r="A75" s="91" t="n"/>
      <c r="B75" s="92" t="n"/>
      <c r="C75" s="91" t="n"/>
      <c r="D75" s="92" t="n"/>
      <c r="E75" s="92" t="n"/>
      <c r="F75" s="93" t="n"/>
      <c r="G75" s="91" t="n"/>
      <c r="H75" s="182" t="n"/>
      <c r="I75" s="93" t="n"/>
      <c r="J75" s="93" t="n"/>
      <c r="K75" s="93" t="n"/>
      <c r="L75" s="93" t="n"/>
      <c r="M75" s="93" t="n"/>
      <c r="N75" s="93" t="n"/>
      <c r="O75" s="96">
        <f>IFERROR(I75-(J75+K75+L75+M75+N75),"")</f>
        <v/>
      </c>
      <c r="P75" s="96">
        <f>IFERROR(O75/I75,"")</f>
        <v/>
      </c>
      <c r="Q75" s="96">
        <f>IFERROR(IF(OR(I75="",S75="",S75="tbd"),"tbd",I75*IF(S75&lt;=1,S75,S75/100)),"–")</f>
        <v/>
      </c>
      <c r="R75" s="91" t="n"/>
      <c r="S75" s="91" t="n"/>
      <c r="T75" s="92" t="n"/>
      <c r="U75" s="92" t="n"/>
      <c r="V75" s="92" t="n"/>
      <c r="W75" s="91" t="n"/>
      <c r="X75" s="92" t="n"/>
      <c r="Z75">
        <f>IF(AND(R75="WON",ISNUMBER(I75)),AA75,"")</f>
        <v/>
      </c>
      <c r="AA75">
        <f>IFERROR(I75*1,0)</f>
        <v/>
      </c>
    </row>
    <row r="76" ht="15" customHeight="1">
      <c r="A76" s="91" t="n"/>
      <c r="B76" s="92" t="n"/>
      <c r="C76" s="91" t="n"/>
      <c r="D76" s="92" t="n"/>
      <c r="E76" s="92" t="n"/>
      <c r="F76" s="93" t="n"/>
      <c r="G76" s="91" t="n"/>
      <c r="H76" s="182" t="n"/>
      <c r="I76" s="93" t="n"/>
      <c r="J76" s="93" t="n"/>
      <c r="K76" s="93" t="n"/>
      <c r="L76" s="93" t="n"/>
      <c r="M76" s="93" t="n"/>
      <c r="N76" s="93" t="n"/>
      <c r="O76" s="96">
        <f>IFERROR(I76-(J76+K76+L76+M76+N76),"")</f>
        <v/>
      </c>
      <c r="P76" s="96">
        <f>IFERROR(O76/I76,"")</f>
        <v/>
      </c>
      <c r="Q76" s="96">
        <f>IFERROR(IF(OR(I76="",S76="",S76="tbd"),"tbd",I76*IF(S76&lt;=1,S76,S76/100)),"–")</f>
        <v/>
      </c>
      <c r="R76" s="91" t="n"/>
      <c r="S76" s="91" t="n"/>
      <c r="T76" s="92" t="n"/>
      <c r="U76" s="92" t="n"/>
      <c r="V76" s="92" t="n"/>
      <c r="W76" s="91" t="n"/>
      <c r="X76" s="92" t="n"/>
      <c r="Z76">
        <f>IF(AND(R76="WON",ISNUMBER(I76)),AA76,"")</f>
        <v/>
      </c>
      <c r="AA76">
        <f>IFERROR(I76*1,0)</f>
        <v/>
      </c>
    </row>
    <row r="77" ht="15" customHeight="1">
      <c r="A77" s="91" t="n"/>
      <c r="B77" s="92" t="n"/>
      <c r="C77" s="91" t="n"/>
      <c r="D77" s="92" t="n"/>
      <c r="E77" s="92" t="n"/>
      <c r="F77" s="93" t="n"/>
      <c r="G77" s="91" t="n"/>
      <c r="H77" s="182" t="n"/>
      <c r="I77" s="93" t="n"/>
      <c r="J77" s="93" t="n"/>
      <c r="K77" s="93" t="n"/>
      <c r="L77" s="93" t="n"/>
      <c r="M77" s="93" t="n"/>
      <c r="N77" s="93" t="n"/>
      <c r="O77" s="96">
        <f>IFERROR(I77-(J77+K77+L77+M77+N77),"")</f>
        <v/>
      </c>
      <c r="P77" s="96">
        <f>IFERROR(O77/I77,"")</f>
        <v/>
      </c>
      <c r="Q77" s="96">
        <f>IFERROR(IF(OR(I77="",S77="",S77="tbd"),"tbd",I77*IF(S77&lt;=1,S77,S77/100)),"–")</f>
        <v/>
      </c>
      <c r="R77" s="91" t="n"/>
      <c r="S77" s="91" t="n"/>
      <c r="T77" s="92" t="n"/>
      <c r="U77" s="92" t="n"/>
      <c r="V77" s="92" t="n"/>
      <c r="W77" s="91" t="n"/>
      <c r="X77" s="92" t="n"/>
      <c r="Z77">
        <f>IF(AND(R77="WON",ISNUMBER(I77)),AA77,"")</f>
        <v/>
      </c>
      <c r="AA77">
        <f>IFERROR(I77*1,0)</f>
        <v/>
      </c>
    </row>
    <row r="78" ht="15" customHeight="1">
      <c r="A78" s="91" t="n"/>
      <c r="B78" s="92" t="n"/>
      <c r="C78" s="91" t="n"/>
      <c r="D78" s="92" t="n"/>
      <c r="E78" s="92" t="n"/>
      <c r="F78" s="93" t="n"/>
      <c r="G78" s="91" t="n"/>
      <c r="H78" s="182" t="n"/>
      <c r="I78" s="93" t="n"/>
      <c r="J78" s="93" t="n"/>
      <c r="K78" s="93" t="n"/>
      <c r="L78" s="93" t="n"/>
      <c r="M78" s="93" t="n"/>
      <c r="N78" s="93" t="n"/>
      <c r="O78" s="96">
        <f>IFERROR(I78-(J78+K78+L78+M78+N78),"")</f>
        <v/>
      </c>
      <c r="P78" s="96">
        <f>IFERROR(O78/I78,"")</f>
        <v/>
      </c>
      <c r="Q78" s="96">
        <f>IFERROR(IF(OR(I78="",S78="",S78="tbd"),"tbd",I78*IF(S78&lt;=1,S78,S78/100)),"–")</f>
        <v/>
      </c>
      <c r="R78" s="91" t="n"/>
      <c r="S78" s="91" t="n"/>
      <c r="T78" s="92" t="n"/>
      <c r="U78" s="92" t="n"/>
      <c r="V78" s="92" t="n"/>
      <c r="W78" s="91" t="n"/>
      <c r="X78" s="92" t="n"/>
      <c r="Z78">
        <f>IF(AND(R78="WON",ISNUMBER(I78)),AA78,"")</f>
        <v/>
      </c>
      <c r="AA78">
        <f>IFERROR(I78*1,0)</f>
        <v/>
      </c>
    </row>
    <row r="79" ht="15" customHeight="1">
      <c r="A79" s="91" t="n"/>
      <c r="B79" s="92" t="n"/>
      <c r="C79" s="91" t="n"/>
      <c r="D79" s="92" t="n"/>
      <c r="E79" s="92" t="n"/>
      <c r="F79" s="93" t="n"/>
      <c r="G79" s="91" t="n"/>
      <c r="H79" s="182" t="n"/>
      <c r="I79" s="93" t="n"/>
      <c r="J79" s="93" t="n"/>
      <c r="K79" s="93" t="n"/>
      <c r="L79" s="93" t="n"/>
      <c r="M79" s="93" t="n"/>
      <c r="N79" s="93" t="n"/>
      <c r="O79" s="96">
        <f>IFERROR(I79-(J79+K79+L79+M79+N79),"")</f>
        <v/>
      </c>
      <c r="P79" s="96">
        <f>IFERROR(O79/I79,"")</f>
        <v/>
      </c>
      <c r="Q79" s="96">
        <f>IFERROR(IF(OR(I79="",S79="",S79="tbd"),"tbd",I79*IF(S79&lt;=1,S79,S79/100)),"–")</f>
        <v/>
      </c>
      <c r="R79" s="91" t="n"/>
      <c r="S79" s="91" t="n"/>
      <c r="T79" s="92" t="n"/>
      <c r="U79" s="92" t="n"/>
      <c r="V79" s="92" t="n"/>
      <c r="W79" s="91" t="n"/>
      <c r="X79" s="92" t="n"/>
      <c r="Z79">
        <f>IF(AND(R79="WON",ISNUMBER(I79)),AA79,"")</f>
        <v/>
      </c>
      <c r="AA79">
        <f>IFERROR(I79*1,0)</f>
        <v/>
      </c>
    </row>
    <row r="80" ht="15" customHeight="1">
      <c r="A80" s="91" t="n"/>
      <c r="B80" s="92" t="n"/>
      <c r="C80" s="91" t="n"/>
      <c r="D80" s="92" t="n"/>
      <c r="E80" s="92" t="n"/>
      <c r="F80" s="93" t="n"/>
      <c r="G80" s="91" t="n"/>
      <c r="H80" s="182" t="n"/>
      <c r="I80" s="93" t="n"/>
      <c r="J80" s="93" t="n"/>
      <c r="K80" s="93" t="n"/>
      <c r="L80" s="93" t="n"/>
      <c r="M80" s="93" t="n"/>
      <c r="N80" s="93" t="n"/>
      <c r="O80" s="96">
        <f>IFERROR(I80-(J80+K80+L80+M80+N80),"")</f>
        <v/>
      </c>
      <c r="P80" s="96">
        <f>IFERROR(O80/I80,"")</f>
        <v/>
      </c>
      <c r="Q80" s="96">
        <f>IFERROR(IF(OR(I80="",S80="",S80="tbd"),"tbd",I80*IF(S80&lt;=1,S80,S80/100)),"–")</f>
        <v/>
      </c>
      <c r="R80" s="91" t="n"/>
      <c r="S80" s="91" t="n"/>
      <c r="T80" s="92" t="n"/>
      <c r="U80" s="92" t="n"/>
      <c r="V80" s="92" t="n"/>
      <c r="W80" s="91" t="n"/>
      <c r="X80" s="92" t="n"/>
      <c r="Z80">
        <f>IF(AND(R80="WON",ISNUMBER(I80)),AA80,"")</f>
        <v/>
      </c>
      <c r="AA80">
        <f>IFERROR(I80*1,0)</f>
        <v/>
      </c>
    </row>
    <row r="81" ht="15" customHeight="1">
      <c r="A81" s="91" t="n"/>
      <c r="B81" s="92" t="n"/>
      <c r="C81" s="91" t="n"/>
      <c r="D81" s="92" t="n"/>
      <c r="E81" s="92" t="n"/>
      <c r="F81" s="93" t="n"/>
      <c r="G81" s="91" t="n"/>
      <c r="H81" s="182" t="n"/>
      <c r="I81" s="93" t="n"/>
      <c r="J81" s="93" t="n"/>
      <c r="K81" s="93" t="n"/>
      <c r="L81" s="93" t="n"/>
      <c r="M81" s="93" t="n"/>
      <c r="N81" s="93" t="n"/>
      <c r="O81" s="96">
        <f>IFERROR(I81-(J81+K81+L81+M81+N81),"")</f>
        <v/>
      </c>
      <c r="P81" s="96">
        <f>IFERROR(O81/I81,"")</f>
        <v/>
      </c>
      <c r="Q81" s="96">
        <f>IFERROR(IF(OR(I81="",S81="",S81="tbd"),"tbd",I81*IF(S81&lt;=1,S81,S81/100)),"–")</f>
        <v/>
      </c>
      <c r="R81" s="91" t="n"/>
      <c r="S81" s="91" t="n"/>
      <c r="T81" s="92" t="n"/>
      <c r="U81" s="92" t="n"/>
      <c r="V81" s="92" t="n"/>
      <c r="W81" s="91" t="n"/>
      <c r="X81" s="92" t="n"/>
      <c r="Z81">
        <f>IF(AND(R81="WON",ISNUMBER(I81)),AA81,"")</f>
        <v/>
      </c>
      <c r="AA81">
        <f>IFERROR(I81*1,0)</f>
        <v/>
      </c>
    </row>
    <row r="82" ht="15" customHeight="1">
      <c r="A82" s="91" t="n"/>
      <c r="B82" s="92" t="n"/>
      <c r="C82" s="91" t="n"/>
      <c r="D82" s="92" t="n"/>
      <c r="E82" s="92" t="n"/>
      <c r="F82" s="93" t="n"/>
      <c r="G82" s="91" t="n"/>
      <c r="H82" s="182" t="n"/>
      <c r="I82" s="93" t="n"/>
      <c r="J82" s="93" t="n"/>
      <c r="K82" s="93" t="n"/>
      <c r="L82" s="93" t="n"/>
      <c r="M82" s="93" t="n"/>
      <c r="N82" s="93" t="n"/>
      <c r="O82" s="96">
        <f>IFERROR(I82-(J82+K82+L82+M82+N82),"")</f>
        <v/>
      </c>
      <c r="P82" s="96">
        <f>IFERROR(O82/I82,"")</f>
        <v/>
      </c>
      <c r="Q82" s="96">
        <f>IFERROR(IF(OR(I82="",S82="",S82="tbd"),"tbd",I82*IF(S82&lt;=1,S82,S82/100)),"–")</f>
        <v/>
      </c>
      <c r="R82" s="91" t="n"/>
      <c r="S82" s="91" t="n"/>
      <c r="T82" s="92" t="n"/>
      <c r="U82" s="92" t="n"/>
      <c r="V82" s="92" t="n"/>
      <c r="W82" s="91" t="n"/>
      <c r="X82" s="92" t="n"/>
      <c r="Z82">
        <f>IF(AND(R82="WON",ISNUMBER(I82)),AA82,"")</f>
        <v/>
      </c>
      <c r="AA82">
        <f>IFERROR(I82*1,0)</f>
        <v/>
      </c>
    </row>
    <row r="83" ht="15" customHeight="1">
      <c r="A83" s="91" t="n"/>
      <c r="B83" s="92" t="n"/>
      <c r="C83" s="91" t="n"/>
      <c r="D83" s="92" t="n"/>
      <c r="E83" s="92" t="n"/>
      <c r="F83" s="93" t="n"/>
      <c r="G83" s="91" t="n"/>
      <c r="H83" s="182" t="n"/>
      <c r="I83" s="93" t="n"/>
      <c r="J83" s="93" t="n"/>
      <c r="K83" s="93" t="n"/>
      <c r="L83" s="93" t="n"/>
      <c r="M83" s="93" t="n"/>
      <c r="N83" s="93" t="n"/>
      <c r="O83" s="96">
        <f>IFERROR(I83-(J83+K83+L83+M83+N83),"")</f>
        <v/>
      </c>
      <c r="P83" s="96">
        <f>IFERROR(O83/I83,"")</f>
        <v/>
      </c>
      <c r="Q83" s="96">
        <f>IFERROR(IF(OR(I83="",S83="",S83="tbd"),"tbd",I83*IF(S83&lt;=1,S83,S83/100)),"–")</f>
        <v/>
      </c>
      <c r="R83" s="91" t="n"/>
      <c r="S83" s="91" t="n"/>
      <c r="T83" s="92" t="n"/>
      <c r="U83" s="92" t="n"/>
      <c r="V83" s="92" t="n"/>
      <c r="W83" s="91" t="n"/>
      <c r="X83" s="92" t="n"/>
      <c r="Z83">
        <f>IF(AND(R83="WON",ISNUMBER(I83)),AA83,"")</f>
        <v/>
      </c>
      <c r="AA83">
        <f>IFERROR(I83*1,0)</f>
        <v/>
      </c>
    </row>
    <row r="84" ht="15" customHeight="1">
      <c r="A84" s="91" t="n"/>
      <c r="B84" s="92" t="n"/>
      <c r="C84" s="91" t="n"/>
      <c r="D84" s="92" t="n"/>
      <c r="E84" s="92" t="n"/>
      <c r="F84" s="93" t="n"/>
      <c r="G84" s="91" t="n"/>
      <c r="H84" s="182" t="n"/>
      <c r="I84" s="93" t="n"/>
      <c r="J84" s="93" t="n"/>
      <c r="K84" s="93" t="n"/>
      <c r="L84" s="93" t="n"/>
      <c r="M84" s="93" t="n"/>
      <c r="N84" s="93" t="n"/>
      <c r="O84" s="96">
        <f>IFERROR(I84-(J84+K84+L84+M84+N84),"")</f>
        <v/>
      </c>
      <c r="P84" s="96">
        <f>IFERROR(O84/I84,"")</f>
        <v/>
      </c>
      <c r="Q84" s="96">
        <f>IFERROR(IF(OR(I84="",S84="",S84="tbd"),"tbd",I84*IF(S84&lt;=1,S84,S84/100)),"–")</f>
        <v/>
      </c>
      <c r="R84" s="91" t="n"/>
      <c r="S84" s="91" t="n"/>
      <c r="T84" s="92" t="n"/>
      <c r="U84" s="92" t="n"/>
      <c r="V84" s="92" t="n"/>
      <c r="W84" s="91" t="n"/>
      <c r="X84" s="92" t="n"/>
      <c r="Z84">
        <f>IF(AND(R84="WON",ISNUMBER(I84)),AA84,"")</f>
        <v/>
      </c>
      <c r="AA84">
        <f>IFERROR(I84*1,0)</f>
        <v/>
      </c>
    </row>
    <row r="85" ht="15" customHeight="1">
      <c r="A85" s="91" t="n"/>
      <c r="B85" s="92" t="n"/>
      <c r="C85" s="91" t="n"/>
      <c r="D85" s="92" t="n"/>
      <c r="E85" s="92" t="n"/>
      <c r="F85" s="93" t="n"/>
      <c r="G85" s="91" t="n"/>
      <c r="H85" s="182" t="n"/>
      <c r="I85" s="93" t="n"/>
      <c r="J85" s="93" t="n"/>
      <c r="K85" s="93" t="n"/>
      <c r="L85" s="93" t="n"/>
      <c r="M85" s="93" t="n"/>
      <c r="N85" s="93" t="n"/>
      <c r="O85" s="96">
        <f>IFERROR(I85-(J85+K85+L85+M85+N85),"")</f>
        <v/>
      </c>
      <c r="P85" s="96">
        <f>IFERROR(O85/I85,"")</f>
        <v/>
      </c>
      <c r="Q85" s="96">
        <f>IFERROR(IF(OR(I85="",S85="",S85="tbd"),"tbd",I85*IF(S85&lt;=1,S85,S85/100)),"–")</f>
        <v/>
      </c>
      <c r="R85" s="91" t="n"/>
      <c r="S85" s="91" t="n"/>
      <c r="T85" s="92" t="n"/>
      <c r="U85" s="92" t="n"/>
      <c r="V85" s="92" t="n"/>
      <c r="W85" s="91" t="n"/>
      <c r="X85" s="92" t="n"/>
      <c r="Z85">
        <f>IF(AND(R85="WON",ISNUMBER(I85)),AA85,"")</f>
        <v/>
      </c>
      <c r="AA85">
        <f>IFERROR(I85*1,0)</f>
        <v/>
      </c>
    </row>
    <row r="86" ht="15" customHeight="1">
      <c r="A86" s="91" t="n"/>
      <c r="B86" s="92" t="n"/>
      <c r="C86" s="91" t="n"/>
      <c r="D86" s="92" t="n"/>
      <c r="E86" s="92" t="n"/>
      <c r="F86" s="93" t="n"/>
      <c r="G86" s="91" t="n"/>
      <c r="H86" s="182" t="n"/>
      <c r="I86" s="93" t="n"/>
      <c r="J86" s="93" t="n"/>
      <c r="K86" s="93" t="n"/>
      <c r="L86" s="93" t="n"/>
      <c r="M86" s="93" t="n"/>
      <c r="N86" s="93" t="n"/>
      <c r="O86" s="96">
        <f>IFERROR(I86-(J86+K86+L86+M86+N86),"")</f>
        <v/>
      </c>
      <c r="P86" s="96">
        <f>IFERROR(O86/I86,"")</f>
        <v/>
      </c>
      <c r="Q86" s="96">
        <f>IFERROR(IF(OR(I86="",S86="",S86="tbd"),"tbd",I86*IF(S86&lt;=1,S86,S86/100)),"–")</f>
        <v/>
      </c>
      <c r="R86" s="91" t="n"/>
      <c r="S86" s="91" t="n"/>
      <c r="T86" s="92" t="n"/>
      <c r="U86" s="92" t="n"/>
      <c r="V86" s="92" t="n"/>
      <c r="W86" s="91" t="n"/>
      <c r="X86" s="92" t="n"/>
      <c r="Z86">
        <f>IF(AND(R86="WON",ISNUMBER(I86)),AA86,"")</f>
        <v/>
      </c>
      <c r="AA86">
        <f>IFERROR(I86*1,0)</f>
        <v/>
      </c>
    </row>
    <row r="87" ht="15" customHeight="1">
      <c r="A87" s="91" t="n"/>
      <c r="B87" s="92" t="n"/>
      <c r="C87" s="91" t="n"/>
      <c r="D87" s="92" t="n"/>
      <c r="E87" s="92" t="n"/>
      <c r="F87" s="93" t="n"/>
      <c r="G87" s="91" t="n"/>
      <c r="H87" s="182" t="n"/>
      <c r="I87" s="93" t="n"/>
      <c r="J87" s="93" t="n"/>
      <c r="K87" s="93" t="n"/>
      <c r="L87" s="93" t="n"/>
      <c r="M87" s="93" t="n"/>
      <c r="N87" s="93" t="n"/>
      <c r="O87" s="96">
        <f>IFERROR(I87-(J87+K87+L87+M87+N87),"")</f>
        <v/>
      </c>
      <c r="P87" s="96">
        <f>IFERROR(O87/I87,"")</f>
        <v/>
      </c>
      <c r="Q87" s="96">
        <f>IFERROR(IF(OR(I87="",S87="",S87="tbd"),"tbd",I87*IF(S87&lt;=1,S87,S87/100)),"–")</f>
        <v/>
      </c>
      <c r="R87" s="91" t="n"/>
      <c r="S87" s="91" t="n"/>
      <c r="T87" s="92" t="n"/>
      <c r="U87" s="92" t="n"/>
      <c r="V87" s="92" t="n"/>
      <c r="W87" s="91" t="n"/>
      <c r="X87" s="92" t="n"/>
      <c r="Z87">
        <f>IF(AND(R87="WON",ISNUMBER(I87)),AA87,"")</f>
        <v/>
      </c>
      <c r="AA87">
        <f>IFERROR(I87*1,0)</f>
        <v/>
      </c>
    </row>
    <row r="88" ht="15" customHeight="1">
      <c r="A88" s="91" t="n"/>
      <c r="B88" s="92" t="n"/>
      <c r="C88" s="91" t="n"/>
      <c r="D88" s="92" t="n"/>
      <c r="E88" s="92" t="n"/>
      <c r="F88" s="93" t="n"/>
      <c r="G88" s="91" t="n"/>
      <c r="H88" s="182" t="n"/>
      <c r="I88" s="93" t="n"/>
      <c r="J88" s="93" t="n"/>
      <c r="K88" s="93" t="n"/>
      <c r="L88" s="93" t="n"/>
      <c r="M88" s="93" t="n"/>
      <c r="N88" s="93" t="n"/>
      <c r="O88" s="96">
        <f>IFERROR(I88-(J88+K88+L88+M88+N88),"")</f>
        <v/>
      </c>
      <c r="P88" s="96">
        <f>IFERROR(O88/I88,"")</f>
        <v/>
      </c>
      <c r="Q88" s="96">
        <f>IFERROR(IF(OR(I88="",S88="",S88="tbd"),"tbd",I88*IF(S88&lt;=1,S88,S88/100)),"–")</f>
        <v/>
      </c>
      <c r="R88" s="91" t="n"/>
      <c r="S88" s="91" t="n"/>
      <c r="T88" s="92" t="n"/>
      <c r="U88" s="92" t="n"/>
      <c r="V88" s="92" t="n"/>
      <c r="W88" s="91" t="n"/>
      <c r="X88" s="92" t="n"/>
      <c r="Z88">
        <f>IF(AND(R88="WON",ISNUMBER(I88)),AA88,"")</f>
        <v/>
      </c>
      <c r="AA88">
        <f>IFERROR(I88*1,0)</f>
        <v/>
      </c>
    </row>
    <row r="89" ht="15" customHeight="1">
      <c r="A89" s="91" t="n"/>
      <c r="B89" s="92" t="n"/>
      <c r="C89" s="91" t="n"/>
      <c r="D89" s="92" t="n"/>
      <c r="E89" s="92" t="n"/>
      <c r="F89" s="93" t="n"/>
      <c r="G89" s="91" t="n"/>
      <c r="H89" s="182" t="n"/>
      <c r="I89" s="93" t="n"/>
      <c r="J89" s="93" t="n"/>
      <c r="K89" s="93" t="n"/>
      <c r="L89" s="93" t="n"/>
      <c r="M89" s="93" t="n"/>
      <c r="N89" s="93" t="n"/>
      <c r="O89" s="96">
        <f>IFERROR(I89-(J89+K89+L89+M89+N89),"")</f>
        <v/>
      </c>
      <c r="P89" s="96">
        <f>IFERROR(O89/I89,"")</f>
        <v/>
      </c>
      <c r="Q89" s="96">
        <f>IFERROR(IF(OR(I89="",S89="",S89="tbd"),"tbd",I89*IF(S89&lt;=1,S89,S89/100)),"–")</f>
        <v/>
      </c>
      <c r="R89" s="91" t="n"/>
      <c r="S89" s="91" t="n"/>
      <c r="T89" s="92" t="n"/>
      <c r="U89" s="92" t="n"/>
      <c r="V89" s="92" t="n"/>
      <c r="W89" s="91" t="n"/>
      <c r="X89" s="92" t="n"/>
      <c r="Z89">
        <f>IF(AND(R89="WON",ISNUMBER(I89)),AA89,"")</f>
        <v/>
      </c>
      <c r="AA89">
        <f>IFERROR(I89*1,0)</f>
        <v/>
      </c>
    </row>
    <row r="90" ht="15" customHeight="1">
      <c r="A90" s="91" t="n"/>
      <c r="B90" s="92" t="n"/>
      <c r="C90" s="91" t="n"/>
      <c r="D90" s="92" t="n"/>
      <c r="E90" s="92" t="n"/>
      <c r="F90" s="93" t="n"/>
      <c r="G90" s="91" t="n"/>
      <c r="H90" s="182" t="n"/>
      <c r="I90" s="93" t="n"/>
      <c r="J90" s="93" t="n"/>
      <c r="K90" s="93" t="n"/>
      <c r="L90" s="93" t="n"/>
      <c r="M90" s="93" t="n"/>
      <c r="N90" s="93" t="n"/>
      <c r="O90" s="96">
        <f>IFERROR(I90-(J90+K90+L90+M90+N90),"")</f>
        <v/>
      </c>
      <c r="P90" s="96">
        <f>IFERROR(O90/I90,"")</f>
        <v/>
      </c>
      <c r="Q90" s="96">
        <f>IFERROR(IF(OR(I90="",S90="",S90="tbd"),"tbd",I90*IF(S90&lt;=1,S90,S90/100)),"–")</f>
        <v/>
      </c>
      <c r="R90" s="91" t="n"/>
      <c r="S90" s="91" t="n"/>
      <c r="T90" s="92" t="n"/>
      <c r="U90" s="92" t="n"/>
      <c r="V90" s="92" t="n"/>
      <c r="W90" s="91" t="n"/>
      <c r="X90" s="92" t="n"/>
      <c r="Z90">
        <f>IF(AND(R90="WON",ISNUMBER(I90)),AA90,"")</f>
        <v/>
      </c>
      <c r="AA90">
        <f>IFERROR(I90*1,0)</f>
        <v/>
      </c>
    </row>
    <row r="91" ht="15" customHeight="1">
      <c r="A91" s="91" t="n"/>
      <c r="B91" s="92" t="n"/>
      <c r="C91" s="91" t="n"/>
      <c r="D91" s="92" t="n"/>
      <c r="E91" s="92" t="n"/>
      <c r="F91" s="93" t="n"/>
      <c r="G91" s="91" t="n"/>
      <c r="H91" s="182" t="n"/>
      <c r="I91" s="93" t="n"/>
      <c r="J91" s="93" t="n"/>
      <c r="K91" s="93" t="n"/>
      <c r="L91" s="93" t="n"/>
      <c r="M91" s="93" t="n"/>
      <c r="N91" s="93" t="n"/>
      <c r="O91" s="96">
        <f>IFERROR(I91-(J91+K91+L91+M91+N91),"")</f>
        <v/>
      </c>
      <c r="P91" s="96">
        <f>IFERROR(O91/I91,"")</f>
        <v/>
      </c>
      <c r="Q91" s="96">
        <f>IFERROR(IF(OR(I91="",S91="",S91="tbd"),"tbd",I91*IF(S91&lt;=1,S91,S91/100)),"–")</f>
        <v/>
      </c>
      <c r="R91" s="91" t="n"/>
      <c r="S91" s="91" t="n"/>
      <c r="T91" s="92" t="n"/>
      <c r="U91" s="92" t="n"/>
      <c r="V91" s="92" t="n"/>
      <c r="W91" s="91" t="n"/>
      <c r="X91" s="92" t="n"/>
      <c r="Z91">
        <f>IF(AND(R91="WON",ISNUMBER(I91)),AA91,"")</f>
        <v/>
      </c>
      <c r="AA91">
        <f>IFERROR(I91*1,0)</f>
        <v/>
      </c>
    </row>
    <row r="92" ht="15" customHeight="1">
      <c r="A92" s="91" t="n"/>
      <c r="B92" s="92" t="n"/>
      <c r="C92" s="91" t="n"/>
      <c r="D92" s="92" t="n"/>
      <c r="E92" s="92" t="n"/>
      <c r="F92" s="93" t="n"/>
      <c r="G92" s="91" t="n"/>
      <c r="H92" s="182" t="n"/>
      <c r="I92" s="93" t="n"/>
      <c r="J92" s="93" t="n"/>
      <c r="K92" s="93" t="n"/>
      <c r="L92" s="93" t="n"/>
      <c r="M92" s="93" t="n"/>
      <c r="N92" s="93" t="n"/>
      <c r="O92" s="96">
        <f>IFERROR(I92-(J92+K92+L92+M92+N92),"")</f>
        <v/>
      </c>
      <c r="P92" s="96">
        <f>IFERROR(O92/I92,"")</f>
        <v/>
      </c>
      <c r="Q92" s="96">
        <f>IFERROR(IF(OR(I92="",S92="",S92="tbd"),"tbd",I92*IF(S92&lt;=1,S92,S92/100)),"–")</f>
        <v/>
      </c>
      <c r="R92" s="91" t="n"/>
      <c r="S92" s="91" t="n"/>
      <c r="T92" s="92" t="n"/>
      <c r="U92" s="92" t="n"/>
      <c r="V92" s="92" t="n"/>
      <c r="W92" s="91" t="n"/>
      <c r="X92" s="92" t="n"/>
      <c r="Z92">
        <f>IF(AND(R92="WON",ISNUMBER(I92)),AA92,"")</f>
        <v/>
      </c>
      <c r="AA92">
        <f>IFERROR(I92*1,0)</f>
        <v/>
      </c>
    </row>
    <row r="93" ht="15" customHeight="1">
      <c r="A93" s="91" t="n"/>
      <c r="B93" s="92" t="n"/>
      <c r="C93" s="91" t="n"/>
      <c r="D93" s="92" t="n"/>
      <c r="E93" s="92" t="n"/>
      <c r="F93" s="93" t="n"/>
      <c r="G93" s="91" t="n"/>
      <c r="H93" s="182" t="n"/>
      <c r="I93" s="93" t="n"/>
      <c r="J93" s="93" t="n"/>
      <c r="K93" s="93" t="n"/>
      <c r="L93" s="93" t="n"/>
      <c r="M93" s="93" t="n"/>
      <c r="N93" s="93" t="n"/>
      <c r="O93" s="96">
        <f>IFERROR(I93-(J93+K93+L93+M93+N93),"")</f>
        <v/>
      </c>
      <c r="P93" s="96">
        <f>IFERROR(O93/I93,"")</f>
        <v/>
      </c>
      <c r="Q93" s="96">
        <f>IFERROR(IF(OR(I93="",S93="",S93="tbd"),"tbd",I93*IF(S93&lt;=1,S93,S93/100)),"–")</f>
        <v/>
      </c>
      <c r="R93" s="91" t="n"/>
      <c r="S93" s="91" t="n"/>
      <c r="T93" s="92" t="n"/>
      <c r="U93" s="92" t="n"/>
      <c r="V93" s="92" t="n"/>
      <c r="W93" s="91" t="n"/>
      <c r="X93" s="92" t="n"/>
      <c r="Z93">
        <f>IF(AND(R93="WON",ISNUMBER(I93)),AA93,"")</f>
        <v/>
      </c>
      <c r="AA93">
        <f>IFERROR(I93*1,0)</f>
        <v/>
      </c>
    </row>
    <row r="94" ht="15" customHeight="1">
      <c r="A94" s="91" t="n"/>
      <c r="B94" s="92" t="n"/>
      <c r="C94" s="91" t="n"/>
      <c r="D94" s="92" t="n"/>
      <c r="E94" s="92" t="n"/>
      <c r="F94" s="93" t="n"/>
      <c r="G94" s="91" t="n"/>
      <c r="H94" s="182" t="n"/>
      <c r="I94" s="93" t="n"/>
      <c r="J94" s="93" t="n"/>
      <c r="K94" s="93" t="n"/>
      <c r="L94" s="93" t="n"/>
      <c r="M94" s="93" t="n"/>
      <c r="N94" s="93" t="n"/>
      <c r="O94" s="96">
        <f>IFERROR(I94-(J94+K94+L94+M94+N94),"")</f>
        <v/>
      </c>
      <c r="P94" s="96">
        <f>IFERROR(O94/I94,"")</f>
        <v/>
      </c>
      <c r="Q94" s="96">
        <f>IFERROR(IF(OR(I94="",S94="",S94="tbd"),"tbd",I94*IF(S94&lt;=1,S94,S94/100)),"–")</f>
        <v/>
      </c>
      <c r="R94" s="91" t="n"/>
      <c r="S94" s="91" t="n"/>
      <c r="T94" s="92" t="n"/>
      <c r="U94" s="92" t="n"/>
      <c r="V94" s="92" t="n"/>
      <c r="W94" s="91" t="n"/>
      <c r="X94" s="92" t="n"/>
      <c r="Z94">
        <f>IF(AND(R94="WON",ISNUMBER(I94)),AA94,"")</f>
        <v/>
      </c>
      <c r="AA94">
        <f>IFERROR(I94*1,0)</f>
        <v/>
      </c>
    </row>
    <row r="95" ht="15" customHeight="1">
      <c r="A95" s="91" t="n"/>
      <c r="B95" s="92" t="n"/>
      <c r="C95" s="91" t="n"/>
      <c r="D95" s="92" t="n"/>
      <c r="E95" s="92" t="n"/>
      <c r="F95" s="93" t="n"/>
      <c r="G95" s="91" t="n"/>
      <c r="H95" s="182" t="n"/>
      <c r="I95" s="93" t="n"/>
      <c r="J95" s="93" t="n"/>
      <c r="K95" s="93" t="n"/>
      <c r="L95" s="93" t="n"/>
      <c r="M95" s="93" t="n"/>
      <c r="N95" s="93" t="n"/>
      <c r="O95" s="96">
        <f>IFERROR(I95-(J95+K95+L95+M95+N95),"")</f>
        <v/>
      </c>
      <c r="P95" s="96">
        <f>IFERROR(O95/I95,"")</f>
        <v/>
      </c>
      <c r="Q95" s="96">
        <f>IFERROR(IF(OR(I95="",S95="",S95="tbd"),"tbd",I95*IF(S95&lt;=1,S95,S95/100)),"–")</f>
        <v/>
      </c>
      <c r="R95" s="91" t="n"/>
      <c r="S95" s="91" t="n"/>
      <c r="T95" s="92" t="n"/>
      <c r="U95" s="92" t="n"/>
      <c r="V95" s="92" t="n"/>
      <c r="W95" s="91" t="n"/>
      <c r="X95" s="92" t="n"/>
      <c r="Z95">
        <f>IF(AND(R95="WON",ISNUMBER(I95)),AA95,"")</f>
        <v/>
      </c>
      <c r="AA95">
        <f>IFERROR(I95*1,0)</f>
        <v/>
      </c>
    </row>
    <row r="96" ht="15" customHeight="1">
      <c r="A96" s="91" t="n"/>
      <c r="B96" s="92" t="n"/>
      <c r="C96" s="91" t="n"/>
      <c r="D96" s="92" t="n"/>
      <c r="E96" s="92" t="n"/>
      <c r="F96" s="93" t="n"/>
      <c r="G96" s="91" t="n"/>
      <c r="H96" s="182" t="n"/>
      <c r="I96" s="93" t="n"/>
      <c r="J96" s="93" t="n"/>
      <c r="K96" s="93" t="n"/>
      <c r="L96" s="93" t="n"/>
      <c r="M96" s="93" t="n"/>
      <c r="N96" s="93" t="n"/>
      <c r="O96" s="96">
        <f>IFERROR(I96-(J96+K96+L96+M96+N96),"")</f>
        <v/>
      </c>
      <c r="P96" s="96">
        <f>IFERROR(O96/I96,"")</f>
        <v/>
      </c>
      <c r="Q96" s="96">
        <f>IFERROR(IF(OR(I96="",S96="",S96="tbd"),"tbd",I96*IF(S96&lt;=1,S96,S96/100)),"–")</f>
        <v/>
      </c>
      <c r="R96" s="91" t="n"/>
      <c r="S96" s="91" t="n"/>
      <c r="T96" s="92" t="n"/>
      <c r="U96" s="92" t="n"/>
      <c r="V96" s="92" t="n"/>
      <c r="W96" s="91" t="n"/>
      <c r="X96" s="92" t="n"/>
      <c r="Z96">
        <f>IF(AND(R96="WON",ISNUMBER(I96)),AA96,"")</f>
        <v/>
      </c>
      <c r="AA96">
        <f>IFERROR(I96*1,0)</f>
        <v/>
      </c>
    </row>
    <row r="97" ht="15" customHeight="1">
      <c r="A97" s="91" t="n"/>
      <c r="B97" s="92" t="n"/>
      <c r="C97" s="91" t="n"/>
      <c r="D97" s="92" t="n"/>
      <c r="E97" s="92" t="n"/>
      <c r="F97" s="93" t="n"/>
      <c r="G97" s="91" t="n"/>
      <c r="H97" s="182" t="n"/>
      <c r="I97" s="93" t="n"/>
      <c r="J97" s="93" t="n"/>
      <c r="K97" s="93" t="n"/>
      <c r="L97" s="93" t="n"/>
      <c r="M97" s="93" t="n"/>
      <c r="N97" s="93" t="n"/>
      <c r="O97" s="96">
        <f>IFERROR(I97-(J97+K97+L97+M97+N97),"")</f>
        <v/>
      </c>
      <c r="P97" s="96">
        <f>IFERROR(O97/I97,"")</f>
        <v/>
      </c>
      <c r="Q97" s="96">
        <f>IFERROR(IF(OR(I97="",S97="",S97="tbd"),"tbd",I97*IF(S97&lt;=1,S97,S97/100)),"–")</f>
        <v/>
      </c>
      <c r="R97" s="91" t="n"/>
      <c r="S97" s="91" t="n"/>
      <c r="T97" s="92" t="n"/>
      <c r="U97" s="92" t="n"/>
      <c r="V97" s="92" t="n"/>
      <c r="W97" s="91" t="n"/>
      <c r="X97" s="92" t="n"/>
      <c r="Z97">
        <f>IF(AND(R97="WON",ISNUMBER(I97)),AA97,"")</f>
        <v/>
      </c>
      <c r="AA97">
        <f>IFERROR(I97*1,0)</f>
        <v/>
      </c>
    </row>
    <row r="98" ht="15" customHeight="1">
      <c r="A98" s="91" t="n"/>
      <c r="B98" s="92" t="n"/>
      <c r="C98" s="91" t="n"/>
      <c r="D98" s="92" t="n"/>
      <c r="E98" s="92" t="n"/>
      <c r="F98" s="93" t="n"/>
      <c r="G98" s="91" t="n"/>
      <c r="H98" s="182" t="n"/>
      <c r="I98" s="93" t="n"/>
      <c r="J98" s="93" t="n"/>
      <c r="K98" s="93" t="n"/>
      <c r="L98" s="93" t="n"/>
      <c r="M98" s="93" t="n"/>
      <c r="N98" s="93" t="n"/>
      <c r="O98" s="96">
        <f>IFERROR(I98-(J98+K98+L98+M98+N98),"")</f>
        <v/>
      </c>
      <c r="P98" s="96">
        <f>IFERROR(O98/I98,"")</f>
        <v/>
      </c>
      <c r="Q98" s="96">
        <f>IFERROR(IF(OR(I98="",S98="",S98="tbd"),"tbd",I98*IF(S98&lt;=1,S98,S98/100)),"–")</f>
        <v/>
      </c>
      <c r="R98" s="91" t="n"/>
      <c r="S98" s="91" t="n"/>
      <c r="T98" s="92" t="n"/>
      <c r="U98" s="92" t="n"/>
      <c r="V98" s="92" t="n"/>
      <c r="W98" s="91" t="n"/>
      <c r="X98" s="92" t="n"/>
      <c r="Z98">
        <f>IF(AND(R98="WON",ISNUMBER(I98)),AA98,"")</f>
        <v/>
      </c>
      <c r="AA98">
        <f>IFERROR(I98*1,0)</f>
        <v/>
      </c>
    </row>
    <row r="99" ht="15" customHeight="1">
      <c r="A99" s="91" t="n"/>
      <c r="B99" s="92" t="n"/>
      <c r="C99" s="91" t="n"/>
      <c r="D99" s="92" t="n"/>
      <c r="E99" s="92" t="n"/>
      <c r="F99" s="93" t="n"/>
      <c r="G99" s="91" t="n"/>
      <c r="H99" s="182" t="n"/>
      <c r="I99" s="93" t="n"/>
      <c r="J99" s="93" t="n"/>
      <c r="K99" s="93" t="n"/>
      <c r="L99" s="93" t="n"/>
      <c r="M99" s="93" t="n"/>
      <c r="N99" s="93" t="n"/>
      <c r="O99" s="96">
        <f>IFERROR(I99-(J99+K99+L99+M99+N99),"")</f>
        <v/>
      </c>
      <c r="P99" s="96">
        <f>IFERROR(O99/I99,"")</f>
        <v/>
      </c>
      <c r="Q99" s="96">
        <f>IFERROR(IF(OR(I99="",S99="",S99="tbd"),"tbd",I99*IF(S99&lt;=1,S99,S99/100)),"–")</f>
        <v/>
      </c>
      <c r="R99" s="91" t="n"/>
      <c r="S99" s="91" t="n"/>
      <c r="T99" s="92" t="n"/>
      <c r="U99" s="92" t="n"/>
      <c r="V99" s="92" t="n"/>
      <c r="W99" s="91" t="n"/>
      <c r="X99" s="92" t="n"/>
      <c r="Z99">
        <f>IF(AND(R99="WON",ISNUMBER(I99)),AA99,"")</f>
        <v/>
      </c>
      <c r="AA99">
        <f>IFERROR(I99*1,0)</f>
        <v/>
      </c>
    </row>
    <row r="100" ht="15" customHeight="1">
      <c r="A100" s="91" t="n"/>
      <c r="B100" s="92" t="n"/>
      <c r="C100" s="91" t="n"/>
      <c r="D100" s="92" t="n"/>
      <c r="E100" s="92" t="n"/>
      <c r="F100" s="93" t="n"/>
      <c r="G100" s="91" t="n"/>
      <c r="H100" s="182" t="n"/>
      <c r="I100" s="93" t="n"/>
      <c r="J100" s="93" t="n"/>
      <c r="K100" s="93" t="n"/>
      <c r="L100" s="93" t="n"/>
      <c r="M100" s="93" t="n"/>
      <c r="N100" s="93" t="n"/>
      <c r="O100" s="96">
        <f>IFERROR(I100-(J100+K100+L100+M100+N100),"")</f>
        <v/>
      </c>
      <c r="P100" s="96">
        <f>IFERROR(O100/I100,"")</f>
        <v/>
      </c>
      <c r="Q100" s="96">
        <f>IFERROR(IF(OR(I100="",S100="",S100="tbd"),"tbd",I100*IF(S100&lt;=1,S100,S100/100)),"–")</f>
        <v/>
      </c>
      <c r="R100" s="91" t="n"/>
      <c r="S100" s="91" t="n"/>
      <c r="T100" s="92" t="n"/>
      <c r="U100" s="92" t="n"/>
      <c r="V100" s="92" t="n"/>
      <c r="W100" s="91" t="n"/>
      <c r="X100" s="92" t="n"/>
      <c r="Z100">
        <f>IF(AND(R100="WON",ISNUMBER(I100)),AA100,"")</f>
        <v/>
      </c>
      <c r="AA100">
        <f>IFERROR(I100*1,0)</f>
        <v/>
      </c>
    </row>
    <row r="101" ht="15" customHeight="1">
      <c r="A101" s="91" t="n"/>
      <c r="B101" s="92" t="n"/>
      <c r="C101" s="91" t="n"/>
      <c r="D101" s="92" t="n"/>
      <c r="E101" s="92" t="n"/>
      <c r="F101" s="93" t="n"/>
      <c r="G101" s="91" t="n"/>
      <c r="H101" s="182" t="n"/>
      <c r="I101" s="93" t="n"/>
      <c r="J101" s="93" t="n"/>
      <c r="K101" s="93" t="n"/>
      <c r="L101" s="93" t="n"/>
      <c r="M101" s="93" t="n"/>
      <c r="N101" s="93" t="n"/>
      <c r="O101" s="96">
        <f>IFERROR(I101-(J101+K101+L101+M101+N101),"")</f>
        <v/>
      </c>
      <c r="P101" s="96">
        <f>IFERROR(O101/I101,"")</f>
        <v/>
      </c>
      <c r="Q101" s="96">
        <f>IFERROR(IF(OR(I101="",S101="",S101="tbd"),"tbd",I101*IF(S101&lt;=1,S101,S101/100)),"–")</f>
        <v/>
      </c>
      <c r="R101" s="91" t="n"/>
      <c r="S101" s="91" t="n"/>
      <c r="T101" s="92" t="n"/>
      <c r="U101" s="92" t="n"/>
      <c r="V101" s="92" t="n"/>
      <c r="W101" s="91" t="n"/>
      <c r="X101" s="92" t="n"/>
      <c r="Z101">
        <f>IF(AND(R101="WON",ISNUMBER(I101)),AA101,"")</f>
        <v/>
      </c>
      <c r="AA101">
        <f>IFERROR(I101*1,0)</f>
        <v/>
      </c>
    </row>
    <row r="102" ht="15" customHeight="1">
      <c r="A102" s="91" t="n"/>
      <c r="B102" s="92" t="n"/>
      <c r="C102" s="91" t="n"/>
      <c r="D102" s="92" t="n"/>
      <c r="E102" s="92" t="n"/>
      <c r="F102" s="93" t="n"/>
      <c r="G102" s="91" t="n"/>
      <c r="H102" s="182" t="n"/>
      <c r="I102" s="93" t="n"/>
      <c r="J102" s="93" t="n"/>
      <c r="K102" s="93" t="n"/>
      <c r="L102" s="93" t="n"/>
      <c r="M102" s="93" t="n"/>
      <c r="N102" s="93" t="n"/>
      <c r="O102" s="96">
        <f>IFERROR(I102-(J102+K102+L102+M102+N102),"")</f>
        <v/>
      </c>
      <c r="P102" s="96">
        <f>IFERROR(O102/I102,"")</f>
        <v/>
      </c>
      <c r="Q102" s="96">
        <f>IFERROR(IF(OR(I102="",S102="",S102="tbd"),"tbd",I102*IF(S102&lt;=1,S102,S102/100)),"–")</f>
        <v/>
      </c>
      <c r="R102" s="91" t="n"/>
      <c r="S102" s="91" t="n"/>
      <c r="T102" s="92" t="n"/>
      <c r="U102" s="92" t="n"/>
      <c r="V102" s="92" t="n"/>
      <c r="W102" s="91" t="n"/>
      <c r="X102" s="92" t="n"/>
      <c r="Z102">
        <f>IF(AND(R102="WON",ISNUMBER(I102)),AA102,"")</f>
        <v/>
      </c>
      <c r="AA102">
        <f>IFERROR(I102*1,0)</f>
        <v/>
      </c>
    </row>
    <row r="103" ht="15" customHeight="1">
      <c r="A103" s="91" t="n"/>
      <c r="B103" s="92" t="n"/>
      <c r="C103" s="91" t="n"/>
      <c r="D103" s="92" t="n"/>
      <c r="E103" s="92" t="n"/>
      <c r="F103" s="93" t="n"/>
      <c r="G103" s="91" t="n"/>
      <c r="H103" s="182" t="n"/>
      <c r="I103" s="93" t="n"/>
      <c r="J103" s="93" t="n"/>
      <c r="K103" s="93" t="n"/>
      <c r="L103" s="93" t="n"/>
      <c r="M103" s="93" t="n"/>
      <c r="N103" s="93" t="n"/>
      <c r="O103" s="96">
        <f>IFERROR(I103-(J103+K103+L103+M103+N103),"")</f>
        <v/>
      </c>
      <c r="P103" s="96">
        <f>IFERROR(O103/I103,"")</f>
        <v/>
      </c>
      <c r="Q103" s="96">
        <f>IFERROR(IF(OR(I103="",S103="",S103="tbd"),"tbd",I103*IF(S103&lt;=1,S103,S103/100)),"–")</f>
        <v/>
      </c>
      <c r="R103" s="91" t="n"/>
      <c r="S103" s="91" t="n"/>
      <c r="T103" s="92" t="n"/>
      <c r="U103" s="92" t="n"/>
      <c r="V103" s="92" t="n"/>
      <c r="W103" s="91" t="n"/>
      <c r="X103" s="92" t="n"/>
      <c r="Z103">
        <f>IF(AND(R103="WON",ISNUMBER(I103)),AA103,"")</f>
        <v/>
      </c>
      <c r="AA103">
        <f>IFERROR(I103*1,0)</f>
        <v/>
      </c>
    </row>
    <row r="104" ht="15" customHeight="1">
      <c r="A104" s="91" t="n"/>
      <c r="B104" s="92" t="n"/>
      <c r="C104" s="91" t="n"/>
      <c r="D104" s="92" t="n"/>
      <c r="E104" s="92" t="n"/>
      <c r="F104" s="93" t="n"/>
      <c r="G104" s="91" t="n"/>
      <c r="H104" s="182" t="n"/>
      <c r="I104" s="93" t="n"/>
      <c r="J104" s="93" t="n"/>
      <c r="K104" s="93" t="n"/>
      <c r="L104" s="93" t="n"/>
      <c r="M104" s="93" t="n"/>
      <c r="N104" s="93" t="n"/>
      <c r="O104" s="96">
        <f>IFERROR(I104-(J104+K104+L104+M104+N104),"")</f>
        <v/>
      </c>
      <c r="P104" s="96">
        <f>IFERROR(O104/I104,"")</f>
        <v/>
      </c>
      <c r="Q104" s="96">
        <f>IFERROR(IF(OR(I104="",S104="",S104="tbd"),"tbd",I104*IF(S104&lt;=1,S104,S104/100)),"–")</f>
        <v/>
      </c>
      <c r="R104" s="91" t="n"/>
      <c r="S104" s="91" t="n"/>
      <c r="T104" s="92" t="n"/>
      <c r="U104" s="92" t="n"/>
      <c r="V104" s="92" t="n"/>
      <c r="W104" s="91" t="n"/>
      <c r="X104" s="92" t="n"/>
      <c r="Z104">
        <f>IF(AND(R104="WON",ISNUMBER(I104)),AA104,"")</f>
        <v/>
      </c>
      <c r="AA104">
        <f>IFERROR(I104*1,0)</f>
        <v/>
      </c>
    </row>
    <row r="105" ht="15" customHeight="1">
      <c r="A105" s="91" t="n"/>
      <c r="B105" s="92" t="n"/>
      <c r="C105" s="91" t="n"/>
      <c r="D105" s="92" t="n"/>
      <c r="E105" s="92" t="n"/>
      <c r="F105" s="93" t="n"/>
      <c r="G105" s="91" t="n"/>
      <c r="H105" s="182" t="n"/>
      <c r="I105" s="93" t="n"/>
      <c r="J105" s="93" t="n"/>
      <c r="K105" s="93" t="n"/>
      <c r="L105" s="93" t="n"/>
      <c r="M105" s="93" t="n"/>
      <c r="N105" s="93" t="n"/>
      <c r="O105" s="96">
        <f>IFERROR(I105-(J105+K105+L105+M105+N105),"")</f>
        <v/>
      </c>
      <c r="P105" s="96">
        <f>IFERROR(O105/I105,"")</f>
        <v/>
      </c>
      <c r="Q105" s="96">
        <f>IFERROR(IF(OR(I105="",S105="",S105="tbd"),"tbd",I105*IF(S105&lt;=1,S105,S105/100)),"–")</f>
        <v/>
      </c>
      <c r="R105" s="91" t="n"/>
      <c r="S105" s="91" t="n"/>
      <c r="T105" s="92" t="n"/>
      <c r="U105" s="92" t="n"/>
      <c r="V105" s="92" t="n"/>
      <c r="W105" s="91" t="n"/>
      <c r="X105" s="92" t="n"/>
      <c r="Z105">
        <f>IF(AND(R105="WON",ISNUMBER(I105)),AA105,"")</f>
        <v/>
      </c>
      <c r="AA105">
        <f>IFERROR(I105*1,0)</f>
        <v/>
      </c>
    </row>
    <row r="106" ht="15" customHeight="1">
      <c r="Z106">
        <f>IF(AND(R106="WON",ISNUMBER(I106)),AA106,"")</f>
        <v/>
      </c>
      <c r="AA106">
        <f>IFERROR(I106*1,0)</f>
        <v/>
      </c>
    </row>
    <row r="107" ht="15" customHeight="1">
      <c r="Z107">
        <f>IF(AND(R107="WON",ISNUMBER(I107)),AA107,"")</f>
        <v/>
      </c>
      <c r="AA107">
        <f>IFERROR(I107*1,0)</f>
        <v/>
      </c>
    </row>
    <row r="108" ht="15" customHeight="1">
      <c r="Z108">
        <f>IF(AND(R108="WON",ISNUMBER(I108)),AA108,"")</f>
        <v/>
      </c>
      <c r="AA108">
        <f>IFERROR(I108*1,0)</f>
        <v/>
      </c>
    </row>
    <row r="109" ht="15" customHeight="1">
      <c r="Z109">
        <f>IF(AND(R109="WON",ISNUMBER(I109)),AA109,"")</f>
        <v/>
      </c>
      <c r="AA109">
        <f>IFERROR(I109*1,0)</f>
        <v/>
      </c>
    </row>
    <row r="110" ht="15" customHeight="1">
      <c r="Z110">
        <f>IF(AND(R110="WON",ISNUMBER(I110)),AA110,"")</f>
        <v/>
      </c>
      <c r="AA110">
        <f>IFERROR(I110*1,0)</f>
        <v/>
      </c>
    </row>
    <row r="111" ht="15" customHeight="1">
      <c r="Z111">
        <f>IF(AND(R111="WON",ISNUMBER(I111)),AA111,"")</f>
        <v/>
      </c>
      <c r="AA111">
        <f>IFERROR(I111*1,0)</f>
        <v/>
      </c>
    </row>
    <row r="112" ht="15" customHeight="1">
      <c r="Z112">
        <f>IF(AND(R112="WON",ISNUMBER(I112)),AA112,"")</f>
        <v/>
      </c>
      <c r="AA112">
        <f>IFERROR(I112*1,0)</f>
        <v/>
      </c>
    </row>
    <row r="113" ht="15" customHeight="1">
      <c r="Z113">
        <f>IF(AND(R113="WON",ISNUMBER(I113)),AA113,"")</f>
        <v/>
      </c>
      <c r="AA113">
        <f>IFERROR(I113*1,0)</f>
        <v/>
      </c>
    </row>
    <row r="114" ht="15" customHeight="1">
      <c r="Z114">
        <f>IF(AND(R114="WON",ISNUMBER(I114)),AA114,"")</f>
        <v/>
      </c>
      <c r="AA114">
        <f>IFERROR(I114*1,0)</f>
        <v/>
      </c>
    </row>
    <row r="115" ht="15" customHeight="1">
      <c r="Z115">
        <f>IF(AND(R115="WON",ISNUMBER(I115)),AA115,"")</f>
        <v/>
      </c>
      <c r="AA115">
        <f>IFERROR(I115*1,0)</f>
        <v/>
      </c>
    </row>
    <row r="116" ht="15" customHeight="1">
      <c r="Z116">
        <f>IF(AND(R116="WON",ISNUMBER(I116)),AA116,"")</f>
        <v/>
      </c>
      <c r="AA116">
        <f>IFERROR(I116*1,0)</f>
        <v/>
      </c>
    </row>
    <row r="117" ht="15" customHeight="1">
      <c r="Z117">
        <f>IF(AND(R117="WON",ISNUMBER(I117)),AA117,"")</f>
        <v/>
      </c>
      <c r="AA117">
        <f>IFERROR(I117*1,0)</f>
        <v/>
      </c>
    </row>
    <row r="118" ht="15" customHeight="1">
      <c r="Z118">
        <f>IF(AND(R118="WON",ISNUMBER(I118)),AA118,"")</f>
        <v/>
      </c>
      <c r="AA118">
        <f>IFERROR(I118*1,0)</f>
        <v/>
      </c>
    </row>
    <row r="119" ht="15" customHeight="1">
      <c r="Z119">
        <f>IF(AND(R119="WON",ISNUMBER(I119)),AA119,"")</f>
        <v/>
      </c>
      <c r="AA119">
        <f>IFERROR(I119*1,0)</f>
        <v/>
      </c>
    </row>
    <row r="120" ht="15" customHeight="1">
      <c r="Z120">
        <f>IF(AND(R120="WON",ISNUMBER(I120)),AA120,"")</f>
        <v/>
      </c>
      <c r="AA120">
        <f>IFERROR(I120*1,0)</f>
        <v/>
      </c>
    </row>
    <row r="121" ht="15" customHeight="1">
      <c r="Z121">
        <f>IF(AND(R121="WON",ISNUMBER(I121)),AA121,"")</f>
        <v/>
      </c>
      <c r="AA121">
        <f>IFERROR(I121*1,0)</f>
        <v/>
      </c>
    </row>
    <row r="122" ht="15" customHeight="1">
      <c r="Z122">
        <f>IF(AND(R122="WON",ISNUMBER(I122)),AA122,"")</f>
        <v/>
      </c>
      <c r="AA122">
        <f>IFERROR(I122*1,0)</f>
        <v/>
      </c>
    </row>
    <row r="123" ht="15" customHeight="1">
      <c r="Z123">
        <f>IF(AND(R123="WON",ISNUMBER(I123)),AA123,"")</f>
        <v/>
      </c>
      <c r="AA123">
        <f>IFERROR(I123*1,0)</f>
        <v/>
      </c>
    </row>
    <row r="124" ht="15" customHeight="1">
      <c r="Z124">
        <f>IF(AND(R124="WON",ISNUMBER(I124)),AA124,"")</f>
        <v/>
      </c>
      <c r="AA124">
        <f>IFERROR(I124*1,0)</f>
        <v/>
      </c>
    </row>
    <row r="125" ht="15" customHeight="1">
      <c r="Z125">
        <f>IF(AND(R125="WON",ISNUMBER(I125)),AA125,"")</f>
        <v/>
      </c>
      <c r="AA125">
        <f>IFERROR(I125*1,0)</f>
        <v/>
      </c>
    </row>
    <row r="126" ht="15" customHeight="1">
      <c r="Z126">
        <f>IF(AND(R126="WON",ISNUMBER(I126)),AA126,"")</f>
        <v/>
      </c>
      <c r="AA126">
        <f>IFERROR(I126*1,0)</f>
        <v/>
      </c>
    </row>
    <row r="127" ht="15" customHeight="1">
      <c r="Z127">
        <f>IF(AND(R127="WON",ISNUMBER(I127)),AA127,"")</f>
        <v/>
      </c>
      <c r="AA127">
        <f>IFERROR(I127*1,0)</f>
        <v/>
      </c>
    </row>
    <row r="128" ht="15" customHeight="1">
      <c r="Z128">
        <f>IF(AND(R128="WON",ISNUMBER(I128)),AA128,"")</f>
        <v/>
      </c>
      <c r="AA128">
        <f>IFERROR(I128*1,0)</f>
        <v/>
      </c>
    </row>
    <row r="129" ht="15" customHeight="1">
      <c r="Z129">
        <f>IF(AND(R129="WON",ISNUMBER(I129)),AA129,"")</f>
        <v/>
      </c>
      <c r="AA129">
        <f>IFERROR(I129*1,0)</f>
        <v/>
      </c>
    </row>
    <row r="130" ht="15" customHeight="1">
      <c r="Z130">
        <f>IF(AND(R130="WON",ISNUMBER(I130)),AA130,"")</f>
        <v/>
      </c>
      <c r="AA130">
        <f>IFERROR(I130*1,0)</f>
        <v/>
      </c>
    </row>
    <row r="131" ht="15" customHeight="1">
      <c r="Z131">
        <f>IF(AND(R131="WON",ISNUMBER(I131)),AA131,"")</f>
        <v/>
      </c>
      <c r="AA131">
        <f>IFERROR(I131*1,0)</f>
        <v/>
      </c>
    </row>
    <row r="132" ht="15" customHeight="1">
      <c r="Z132">
        <f>IF(AND(R132="WON",ISNUMBER(I132)),AA132,"")</f>
        <v/>
      </c>
      <c r="AA132">
        <f>IFERROR(I132*1,0)</f>
        <v/>
      </c>
    </row>
    <row r="133" ht="15" customHeight="1">
      <c r="Z133">
        <f>IF(AND(R133="WON",ISNUMBER(I133)),AA133,"")</f>
        <v/>
      </c>
      <c r="AA133">
        <f>IFERROR(I133*1,0)</f>
        <v/>
      </c>
    </row>
    <row r="134" ht="15" customHeight="1">
      <c r="Z134">
        <f>IF(AND(R134="WON",ISNUMBER(I134)),AA134,"")</f>
        <v/>
      </c>
      <c r="AA134">
        <f>IFERROR(I134*1,0)</f>
        <v/>
      </c>
    </row>
    <row r="135" ht="15" customHeight="1">
      <c r="Z135">
        <f>IF(AND(R135="WON",ISNUMBER(I135)),AA135,"")</f>
        <v/>
      </c>
      <c r="AA135">
        <f>IFERROR(I135*1,0)</f>
        <v/>
      </c>
    </row>
    <row r="136" ht="15" customHeight="1">
      <c r="Z136">
        <f>IF(AND(R136="WON",ISNUMBER(I136)),AA136,"")</f>
        <v/>
      </c>
      <c r="AA136">
        <f>IFERROR(I136*1,0)</f>
        <v/>
      </c>
    </row>
    <row r="137" ht="15" customHeight="1">
      <c r="Z137">
        <f>IF(AND(R137="WON",ISNUMBER(I137)),AA137,"")</f>
        <v/>
      </c>
      <c r="AA137">
        <f>IFERROR(I137*1,0)</f>
        <v/>
      </c>
    </row>
    <row r="138" ht="15" customHeight="1">
      <c r="Z138">
        <f>IF(AND(R138="WON",ISNUMBER(I138)),AA138,"")</f>
        <v/>
      </c>
      <c r="AA138">
        <f>IFERROR(I138*1,0)</f>
        <v/>
      </c>
    </row>
    <row r="139" ht="15" customHeight="1">
      <c r="Z139">
        <f>IF(AND(R139="WON",ISNUMBER(I139)),AA139,"")</f>
        <v/>
      </c>
      <c r="AA139">
        <f>IFERROR(I139*1,0)</f>
        <v/>
      </c>
    </row>
    <row r="140" ht="15" customHeight="1">
      <c r="Z140">
        <f>IF(AND(R140="WON",ISNUMBER(I140)),AA140,"")</f>
        <v/>
      </c>
      <c r="AA140">
        <f>IFERROR(I140*1,0)</f>
        <v/>
      </c>
    </row>
    <row r="141" ht="15" customHeight="1">
      <c r="Z141">
        <f>IF(AND(R141="WON",ISNUMBER(I141)),AA141,"")</f>
        <v/>
      </c>
      <c r="AA141">
        <f>IFERROR(I141*1,0)</f>
        <v/>
      </c>
    </row>
    <row r="142" ht="15" customHeight="1">
      <c r="Z142">
        <f>IF(AND(R142="WON",ISNUMBER(I142)),AA142,"")</f>
        <v/>
      </c>
      <c r="AA142">
        <f>IFERROR(I142*1,0)</f>
        <v/>
      </c>
    </row>
    <row r="143" ht="15" customHeight="1">
      <c r="Z143">
        <f>IF(AND(R143="WON",ISNUMBER(I143)),AA143,"")</f>
        <v/>
      </c>
      <c r="AA143">
        <f>IFERROR(I143*1,0)</f>
        <v/>
      </c>
    </row>
    <row r="144" ht="15" customHeight="1">
      <c r="Z144">
        <f>IF(AND(R144="WON",ISNUMBER(I144)),AA144,"")</f>
        <v/>
      </c>
      <c r="AA144">
        <f>IFERROR(I144*1,0)</f>
        <v/>
      </c>
    </row>
    <row r="145" ht="15" customHeight="1">
      <c r="Z145">
        <f>IF(AND(R145="WON",ISNUMBER(I145)),AA145,"")</f>
        <v/>
      </c>
      <c r="AA145">
        <f>IFERROR(I145*1,0)</f>
        <v/>
      </c>
    </row>
    <row r="146" ht="15" customHeight="1">
      <c r="Z146">
        <f>IF(AND(R146="WON",ISNUMBER(I146)),AA146,"")</f>
        <v/>
      </c>
      <c r="AA146">
        <f>IFERROR(I146*1,0)</f>
        <v/>
      </c>
    </row>
    <row r="147" ht="15" customHeight="1">
      <c r="Z147">
        <f>IF(AND(R147="WON",ISNUMBER(I147)),AA147,"")</f>
        <v/>
      </c>
      <c r="AA147">
        <f>IFERROR(I147*1,0)</f>
        <v/>
      </c>
    </row>
    <row r="148" ht="15" customHeight="1">
      <c r="Z148">
        <f>IF(AND(R148="WON",ISNUMBER(I148)),AA148,"")</f>
        <v/>
      </c>
      <c r="AA148">
        <f>IFERROR(I148*1,0)</f>
        <v/>
      </c>
    </row>
    <row r="149" ht="15" customHeight="1">
      <c r="Z149">
        <f>IF(AND(R149="WON",ISNUMBER(I149)),AA149,"")</f>
        <v/>
      </c>
      <c r="AA149">
        <f>IFERROR(I149*1,0)</f>
        <v/>
      </c>
    </row>
    <row r="150" ht="15" customHeight="1">
      <c r="Z150">
        <f>IF(AND(R150="WON",ISNUMBER(I150)),AA150,"")</f>
        <v/>
      </c>
      <c r="AA150">
        <f>IFERROR(I150*1,0)</f>
        <v/>
      </c>
    </row>
    <row r="151" ht="15" customHeight="1">
      <c r="Z151">
        <f>IF(AND(R151="WON",ISNUMBER(I151)),AA151,"")</f>
        <v/>
      </c>
      <c r="AA151">
        <f>IFERROR(I151*1,0)</f>
        <v/>
      </c>
    </row>
    <row r="152" ht="15" customHeight="1">
      <c r="Z152">
        <f>IF(AND(R152="WON",ISNUMBER(I152)),AA152,"")</f>
        <v/>
      </c>
      <c r="AA152">
        <f>IFERROR(I152*1,0)</f>
        <v/>
      </c>
    </row>
    <row r="153" ht="15" customHeight="1">
      <c r="Z153">
        <f>IF(AND(R153="WON",ISNUMBER(I153)),AA153,"")</f>
        <v/>
      </c>
      <c r="AA153">
        <f>IFERROR(I153*1,0)</f>
        <v/>
      </c>
    </row>
    <row r="154" ht="15" customHeight="1">
      <c r="Z154">
        <f>IF(AND(R154="WON",ISNUMBER(I154)),AA154,"")</f>
        <v/>
      </c>
      <c r="AA154">
        <f>IFERROR(I154*1,0)</f>
        <v/>
      </c>
    </row>
    <row r="155" ht="15" customHeight="1">
      <c r="Z155">
        <f>IF(AND(R155="WON",ISNUMBER(I155)),AA155,"")</f>
        <v/>
      </c>
      <c r="AA155">
        <f>IFERROR(I155*1,0)</f>
        <v/>
      </c>
    </row>
    <row r="156" ht="15" customHeight="1">
      <c r="Z156">
        <f>IF(AND(R156="WON",ISNUMBER(I156)),AA156,"")</f>
        <v/>
      </c>
      <c r="AA156">
        <f>IFERROR(I156*1,0)</f>
        <v/>
      </c>
    </row>
    <row r="157" ht="15" customHeight="1">
      <c r="Z157">
        <f>IF(AND(R157="WON",ISNUMBER(I157)),AA157,"")</f>
        <v/>
      </c>
      <c r="AA157">
        <f>IFERROR(I157*1,0)</f>
        <v/>
      </c>
    </row>
    <row r="158" ht="15" customHeight="1">
      <c r="Z158">
        <f>IF(AND(R158="WON",ISNUMBER(I158)),AA158,"")</f>
        <v/>
      </c>
      <c r="AA158">
        <f>IFERROR(I158*1,0)</f>
        <v/>
      </c>
    </row>
    <row r="159" ht="15" customHeight="1">
      <c r="Z159">
        <f>IF(AND(R159="WON",ISNUMBER(I159)),AA159,"")</f>
        <v/>
      </c>
      <c r="AA159">
        <f>IFERROR(I159*1,0)</f>
        <v/>
      </c>
    </row>
    <row r="160" ht="15" customHeight="1">
      <c r="Z160">
        <f>IF(AND(R160="WON",ISNUMBER(I160)),AA160,"")</f>
        <v/>
      </c>
      <c r="AA160">
        <f>IFERROR(I160*1,0)</f>
        <v/>
      </c>
    </row>
    <row r="161" ht="15" customHeight="1">
      <c r="Z161">
        <f>IF(AND(R161="WON",ISNUMBER(I161)),AA161,"")</f>
        <v/>
      </c>
      <c r="AA161">
        <f>IFERROR(I161*1,0)</f>
        <v/>
      </c>
    </row>
    <row r="162" ht="15" customHeight="1">
      <c r="Z162">
        <f>IF(AND(R162="WON",ISNUMBER(I162)),AA162,"")</f>
        <v/>
      </c>
      <c r="AA162">
        <f>IFERROR(I162*1,0)</f>
        <v/>
      </c>
    </row>
    <row r="163" ht="15" customHeight="1">
      <c r="Z163">
        <f>IF(AND(R163="WON",ISNUMBER(I163)),AA163,"")</f>
        <v/>
      </c>
      <c r="AA163">
        <f>IFERROR(I163*1,0)</f>
        <v/>
      </c>
    </row>
    <row r="164" ht="15" customHeight="1">
      <c r="Z164">
        <f>IF(AND(R164="WON",ISNUMBER(I164)),AA164,"")</f>
        <v/>
      </c>
      <c r="AA164">
        <f>IFERROR(I164*1,0)</f>
        <v/>
      </c>
    </row>
    <row r="165" ht="15" customHeight="1">
      <c r="Z165">
        <f>IF(AND(R165="WON",ISNUMBER(I165)),AA165,"")</f>
        <v/>
      </c>
      <c r="AA165">
        <f>IFERROR(I165*1,0)</f>
        <v/>
      </c>
    </row>
    <row r="166" ht="15" customHeight="1">
      <c r="Z166">
        <f>IF(AND(R166="WON",ISNUMBER(I166)),AA166,"")</f>
        <v/>
      </c>
      <c r="AA166">
        <f>IFERROR(I166*1,0)</f>
        <v/>
      </c>
    </row>
    <row r="167" ht="15" customHeight="1">
      <c r="Z167">
        <f>IF(AND(R167="WON",ISNUMBER(I167)),AA167,"")</f>
        <v/>
      </c>
      <c r="AA167">
        <f>IFERROR(I167*1,0)</f>
        <v/>
      </c>
    </row>
    <row r="168" ht="15" customHeight="1">
      <c r="Z168">
        <f>IF(AND(R168="WON",ISNUMBER(I168)),AA168,"")</f>
        <v/>
      </c>
      <c r="AA168">
        <f>IFERROR(I168*1,0)</f>
        <v/>
      </c>
    </row>
    <row r="169" ht="15" customHeight="1">
      <c r="Z169">
        <f>IF(AND(R169="WON",ISNUMBER(I169)),AA169,"")</f>
        <v/>
      </c>
      <c r="AA169">
        <f>IFERROR(I169*1,0)</f>
        <v/>
      </c>
    </row>
    <row r="170" ht="15" customHeight="1">
      <c r="Z170">
        <f>IF(AND(R170="WON",ISNUMBER(I170)),AA170,"")</f>
        <v/>
      </c>
      <c r="AA170">
        <f>IFERROR(I170*1,0)</f>
        <v/>
      </c>
    </row>
    <row r="171" ht="15" customHeight="1">
      <c r="Z171">
        <f>IF(AND(R171="WON",ISNUMBER(I171)),AA171,"")</f>
        <v/>
      </c>
      <c r="AA171">
        <f>IFERROR(I171*1,0)</f>
        <v/>
      </c>
    </row>
    <row r="172" ht="15" customHeight="1">
      <c r="Z172">
        <f>IF(AND(R172="WON",ISNUMBER(I172)),AA172,"")</f>
        <v/>
      </c>
      <c r="AA172">
        <f>IFERROR(I172*1,0)</f>
        <v/>
      </c>
    </row>
    <row r="173" ht="15" customHeight="1">
      <c r="Z173">
        <f>IF(AND(R173="WON",ISNUMBER(I173)),AA173,"")</f>
        <v/>
      </c>
      <c r="AA173">
        <f>IFERROR(I173*1,0)</f>
        <v/>
      </c>
    </row>
    <row r="174" ht="15" customHeight="1">
      <c r="Z174">
        <f>IF(AND(R174="WON",ISNUMBER(I174)),AA174,"")</f>
        <v/>
      </c>
      <c r="AA174">
        <f>IFERROR(I174*1,0)</f>
        <v/>
      </c>
    </row>
    <row r="175" ht="15" customHeight="1">
      <c r="Z175">
        <f>IF(AND(R175="WON",ISNUMBER(I175)),AA175,"")</f>
        <v/>
      </c>
      <c r="AA175">
        <f>IFERROR(I175*1,0)</f>
        <v/>
      </c>
    </row>
    <row r="176" ht="15" customHeight="1">
      <c r="Z176">
        <f>IF(AND(R176="WON",ISNUMBER(I176)),AA176,"")</f>
        <v/>
      </c>
      <c r="AA176">
        <f>IFERROR(I176*1,0)</f>
        <v/>
      </c>
    </row>
    <row r="177" ht="15" customHeight="1">
      <c r="Z177">
        <f>IF(AND(R177="WON",ISNUMBER(I177)),AA177,"")</f>
        <v/>
      </c>
      <c r="AA177">
        <f>IFERROR(I177*1,0)</f>
        <v/>
      </c>
    </row>
    <row r="178" ht="15" customHeight="1">
      <c r="Z178">
        <f>IF(AND(R178="WON",ISNUMBER(I178)),AA178,"")</f>
        <v/>
      </c>
      <c r="AA178">
        <f>IFERROR(I178*1,0)</f>
        <v/>
      </c>
    </row>
    <row r="179" ht="15" customHeight="1">
      <c r="Z179">
        <f>IF(AND(R179="WON",ISNUMBER(I179)),AA179,"")</f>
        <v/>
      </c>
      <c r="AA179">
        <f>IFERROR(I179*1,0)</f>
        <v/>
      </c>
    </row>
    <row r="180" ht="15" customHeight="1">
      <c r="Z180">
        <f>IF(AND(R180="WON",ISNUMBER(I180)),AA180,"")</f>
        <v/>
      </c>
      <c r="AA180">
        <f>IFERROR(I180*1,0)</f>
        <v/>
      </c>
    </row>
    <row r="181" ht="15" customHeight="1">
      <c r="Z181">
        <f>IF(AND(R181="WON",ISNUMBER(I181)),AA181,"")</f>
        <v/>
      </c>
      <c r="AA181">
        <f>IFERROR(I181*1,0)</f>
        <v/>
      </c>
    </row>
    <row r="182" ht="15" customHeight="1">
      <c r="Z182">
        <f>IF(AND(R182="WON",ISNUMBER(I182)),AA182,"")</f>
        <v/>
      </c>
      <c r="AA182">
        <f>IFERROR(I182*1,0)</f>
        <v/>
      </c>
    </row>
    <row r="183" ht="15" customHeight="1">
      <c r="Z183">
        <f>IF(AND(R183="WON",ISNUMBER(I183)),AA183,"")</f>
        <v/>
      </c>
      <c r="AA183">
        <f>IFERROR(I183*1,0)</f>
        <v/>
      </c>
    </row>
    <row r="184" ht="15" customHeight="1">
      <c r="Z184">
        <f>IF(AND(R184="WON",ISNUMBER(I184)),AA184,"")</f>
        <v/>
      </c>
      <c r="AA184">
        <f>IFERROR(I184*1,0)</f>
        <v/>
      </c>
    </row>
    <row r="185" ht="15" customHeight="1">
      <c r="Z185">
        <f>IF(AND(R185="WON",ISNUMBER(I185)),AA185,"")</f>
        <v/>
      </c>
      <c r="AA185">
        <f>IFERROR(I185*1,0)</f>
        <v/>
      </c>
    </row>
    <row r="186" ht="15" customHeight="1">
      <c r="Z186">
        <f>IF(AND(R186="WON",ISNUMBER(I186)),AA186,"")</f>
        <v/>
      </c>
      <c r="AA186">
        <f>IFERROR(I186*1,0)</f>
        <v/>
      </c>
    </row>
    <row r="187" ht="15" customHeight="1">
      <c r="Z187">
        <f>IF(AND(R187="WON",ISNUMBER(I187)),AA187,"")</f>
        <v/>
      </c>
      <c r="AA187">
        <f>IFERROR(I187*1,0)</f>
        <v/>
      </c>
    </row>
    <row r="188" ht="15" customHeight="1">
      <c r="Z188">
        <f>IF(AND(R188="WON",ISNUMBER(I188)),AA188,"")</f>
        <v/>
      </c>
      <c r="AA188">
        <f>IFERROR(I188*1,0)</f>
        <v/>
      </c>
    </row>
    <row r="189" ht="15" customHeight="1">
      <c r="Z189">
        <f>IF(AND(R189="WON",ISNUMBER(I189)),AA189,"")</f>
        <v/>
      </c>
      <c r="AA189">
        <f>IFERROR(I189*1,0)</f>
        <v/>
      </c>
    </row>
    <row r="190" ht="15" customHeight="1">
      <c r="Z190">
        <f>IF(AND(R190="WON",ISNUMBER(I190)),AA190,"")</f>
        <v/>
      </c>
      <c r="AA190">
        <f>IFERROR(I190*1,0)</f>
        <v/>
      </c>
    </row>
    <row r="191" ht="15" customHeight="1">
      <c r="Z191">
        <f>IF(AND(R191="WON",ISNUMBER(I191)),AA191,"")</f>
        <v/>
      </c>
      <c r="AA191">
        <f>IFERROR(I191*1,0)</f>
        <v/>
      </c>
    </row>
    <row r="192" ht="15" customHeight="1">
      <c r="Z192">
        <f>IF(AND(R192="WON",ISNUMBER(I192)),AA192,"")</f>
        <v/>
      </c>
      <c r="AA192">
        <f>IFERROR(I192*1,0)</f>
        <v/>
      </c>
    </row>
    <row r="193" ht="15" customHeight="1">
      <c r="Z193">
        <f>IF(AND(R193="WON",ISNUMBER(I193)),AA193,"")</f>
        <v/>
      </c>
      <c r="AA193">
        <f>IFERROR(I193*1,0)</f>
        <v/>
      </c>
    </row>
    <row r="194" ht="15" customHeight="1">
      <c r="Z194">
        <f>IF(AND(R194="WON",ISNUMBER(I194)),AA194,"")</f>
        <v/>
      </c>
      <c r="AA194">
        <f>IFERROR(I194*1,0)</f>
        <v/>
      </c>
    </row>
    <row r="195" ht="15" customHeight="1">
      <c r="Z195">
        <f>IF(AND(R195="WON",ISNUMBER(I195)),AA195,"")</f>
        <v/>
      </c>
      <c r="AA195">
        <f>IFERROR(I195*1,0)</f>
        <v/>
      </c>
    </row>
    <row r="196" ht="15" customHeight="1">
      <c r="Z196">
        <f>IF(AND(R196="WON",ISNUMBER(I196)),AA196,"")</f>
        <v/>
      </c>
      <c r="AA196">
        <f>IFERROR(I196*1,0)</f>
        <v/>
      </c>
    </row>
    <row r="197" ht="15" customHeight="1">
      <c r="Z197">
        <f>IF(AND(R197="WON",ISNUMBER(I197)),AA197,"")</f>
        <v/>
      </c>
      <c r="AA197">
        <f>IFERROR(I197*1,0)</f>
        <v/>
      </c>
    </row>
    <row r="198" ht="15" customHeight="1">
      <c r="Z198">
        <f>IF(AND(R198="WON",ISNUMBER(I198)),AA198,"")</f>
        <v/>
      </c>
      <c r="AA198">
        <f>IFERROR(I198*1,0)</f>
        <v/>
      </c>
    </row>
    <row r="199" ht="15" customHeight="1">
      <c r="Z199">
        <f>IF(AND(R199="WON",ISNUMBER(I199)),AA199,"")</f>
        <v/>
      </c>
      <c r="AA199">
        <f>IFERROR(I199*1,0)</f>
        <v/>
      </c>
    </row>
    <row r="200" ht="15" customHeight="1">
      <c r="Z200">
        <f>IF(AND(R200="WON",ISNUMBER(I200)),AA200,"")</f>
        <v/>
      </c>
      <c r="AA200">
        <f>IFERROR(I200*1,0)</f>
        <v/>
      </c>
    </row>
    <row r="201" ht="15" customHeight="1">
      <c r="Z201">
        <f>IF(AND(R201="WON",ISNUMBER(I201)),AA201,"")</f>
        <v/>
      </c>
      <c r="AA201">
        <f>IFERROR(I201*1,0)</f>
        <v/>
      </c>
    </row>
    <row r="202" ht="15" customHeight="1">
      <c r="Z202">
        <f>IF(AND(R202="WON",ISNUMBER(I202)),AA202,"")</f>
        <v/>
      </c>
      <c r="AA202">
        <f>IFERROR(I202*1,0)</f>
        <v/>
      </c>
    </row>
    <row r="203" ht="15" customHeight="1">
      <c r="Z203">
        <f>IF(AND(R203="WON",ISNUMBER(I203)),AA203,"")</f>
        <v/>
      </c>
      <c r="AA203">
        <f>IFERROR(I203*1,0)</f>
        <v/>
      </c>
    </row>
    <row r="204" ht="15" customHeight="1">
      <c r="Z204">
        <f>IF(AND(R204="WON",ISNUMBER(I204)),AA204,"")</f>
        <v/>
      </c>
      <c r="AA204">
        <f>IFERROR(I204*1,0)</f>
        <v/>
      </c>
    </row>
    <row r="205" ht="15" customHeight="1">
      <c r="Z205">
        <f>IF(AND(R205="WON",ISNUMBER(I205)),AA205,"")</f>
        <v/>
      </c>
      <c r="AA205">
        <f>IFERROR(I205*1,0)</f>
        <v/>
      </c>
    </row>
    <row r="206" ht="15" customHeight="1">
      <c r="Z206">
        <f>IF(AND(R206="WON",ISNUMBER(I206)),AA206,"")</f>
        <v/>
      </c>
      <c r="AA206">
        <f>IFERROR(I206*1,0)</f>
        <v/>
      </c>
    </row>
    <row r="207" ht="15" customHeight="1">
      <c r="Z207">
        <f>IF(AND(R207="WON",ISNUMBER(I207)),AA207,"")</f>
        <v/>
      </c>
      <c r="AA207">
        <f>IFERROR(I207*1,0)</f>
        <v/>
      </c>
    </row>
    <row r="208" ht="15" customHeight="1">
      <c r="Z208">
        <f>IF(AND(R208="WON",ISNUMBER(I208)),AA208,"")</f>
        <v/>
      </c>
      <c r="AA208">
        <f>IFERROR(I208*1,0)</f>
        <v/>
      </c>
    </row>
    <row r="209" ht="15" customHeight="1">
      <c r="Z209">
        <f>IF(AND(R209="WON",ISNUMBER(I209)),AA209,"")</f>
        <v/>
      </c>
      <c r="AA209">
        <f>IFERROR(I209*1,0)</f>
        <v/>
      </c>
    </row>
    <row r="210" ht="15" customHeight="1">
      <c r="Z210">
        <f>IF(AND(R210="WON",ISNUMBER(I210)),AA210,"")</f>
        <v/>
      </c>
      <c r="AA210">
        <f>IFERROR(I210*1,0)</f>
        <v/>
      </c>
    </row>
    <row r="211" ht="15" customHeight="1">
      <c r="Z211">
        <f>IF(AND(R211="WON",ISNUMBER(I211)),AA211,"")</f>
        <v/>
      </c>
      <c r="AA211">
        <f>IFERROR(I211*1,0)</f>
        <v/>
      </c>
    </row>
    <row r="212" ht="15" customHeight="1">
      <c r="Z212">
        <f>IF(AND(R212="WON",ISNUMBER(I212)),AA212,"")</f>
        <v/>
      </c>
      <c r="AA212">
        <f>IFERROR(I212*1,0)</f>
        <v/>
      </c>
    </row>
    <row r="213" ht="15" customHeight="1">
      <c r="Z213">
        <f>IF(AND(R213="WON",ISNUMBER(I213)),AA213,"")</f>
        <v/>
      </c>
      <c r="AA213">
        <f>IFERROR(I213*1,0)</f>
        <v/>
      </c>
    </row>
    <row r="214" ht="15" customHeight="1">
      <c r="Z214">
        <f>IF(AND(R214="WON",ISNUMBER(I214)),AA214,"")</f>
        <v/>
      </c>
      <c r="AA214">
        <f>IFERROR(I214*1,0)</f>
        <v/>
      </c>
    </row>
    <row r="215" ht="15" customHeight="1">
      <c r="Z215">
        <f>IF(AND(R215="WON",ISNUMBER(I215)),AA215,"")</f>
        <v/>
      </c>
      <c r="AA215">
        <f>IFERROR(I215*1,0)</f>
        <v/>
      </c>
    </row>
    <row r="216" ht="15" customHeight="1">
      <c r="Z216">
        <f>IF(AND(R216="WON",ISNUMBER(I216)),AA216,"")</f>
        <v/>
      </c>
      <c r="AA216">
        <f>IFERROR(I216*1,0)</f>
        <v/>
      </c>
    </row>
    <row r="217" ht="15" customHeight="1">
      <c r="Z217">
        <f>IF(AND(R217="WON",ISNUMBER(I217)),AA217,"")</f>
        <v/>
      </c>
      <c r="AA217">
        <f>IFERROR(I217*1,0)</f>
        <v/>
      </c>
    </row>
    <row r="218" ht="15" customHeight="1">
      <c r="Z218">
        <f>IF(AND(R218="WON",ISNUMBER(I218)),AA218,"")</f>
        <v/>
      </c>
      <c r="AA218">
        <f>IFERROR(I218*1,0)</f>
        <v/>
      </c>
    </row>
    <row r="219" ht="15" customHeight="1">
      <c r="Z219">
        <f>IF(AND(R219="WON",ISNUMBER(I219)),AA219,"")</f>
        <v/>
      </c>
      <c r="AA219">
        <f>IFERROR(I219*1,0)</f>
        <v/>
      </c>
    </row>
    <row r="220" ht="15" customHeight="1">
      <c r="Z220">
        <f>IF(AND(R220="WON",ISNUMBER(I220)),AA220,"")</f>
        <v/>
      </c>
      <c r="AA220">
        <f>IFERROR(I220*1,0)</f>
        <v/>
      </c>
    </row>
    <row r="221" ht="15" customHeight="1">
      <c r="Z221">
        <f>IF(AND(R221="WON",ISNUMBER(I221)),AA221,"")</f>
        <v/>
      </c>
      <c r="AA221">
        <f>IFERROR(I221*1,0)</f>
        <v/>
      </c>
    </row>
    <row r="222" ht="15" customHeight="1">
      <c r="Z222">
        <f>IF(AND(R222="WON",ISNUMBER(I222)),AA222,"")</f>
        <v/>
      </c>
      <c r="AA222">
        <f>IFERROR(I222*1,0)</f>
        <v/>
      </c>
    </row>
    <row r="223" ht="15" customHeight="1">
      <c r="Z223">
        <f>IF(AND(R223="WON",ISNUMBER(I223)),AA223,"")</f>
        <v/>
      </c>
      <c r="AA223">
        <f>IFERROR(I223*1,0)</f>
        <v/>
      </c>
    </row>
    <row r="224" ht="15" customHeight="1">
      <c r="Z224">
        <f>IF(AND(R224="WON",ISNUMBER(I224)),AA224,"")</f>
        <v/>
      </c>
      <c r="AA224">
        <f>IFERROR(I224*1,0)</f>
        <v/>
      </c>
    </row>
    <row r="225" ht="15" customHeight="1">
      <c r="Z225">
        <f>IF(AND(R225="WON",ISNUMBER(I225)),AA225,"")</f>
        <v/>
      </c>
      <c r="AA225">
        <f>IFERROR(I225*1,0)</f>
        <v/>
      </c>
    </row>
    <row r="226" ht="15" customHeight="1">
      <c r="Z226">
        <f>IF(AND(R226="WON",ISNUMBER(I226)),AA226,"")</f>
        <v/>
      </c>
      <c r="AA226">
        <f>IFERROR(I226*1,0)</f>
        <v/>
      </c>
    </row>
    <row r="227" ht="15" customHeight="1">
      <c r="Z227">
        <f>IF(AND(R227="WON",ISNUMBER(I227)),AA227,"")</f>
        <v/>
      </c>
      <c r="AA227">
        <f>IFERROR(I227*1,0)</f>
        <v/>
      </c>
    </row>
    <row r="228" ht="15" customHeight="1">
      <c r="Z228">
        <f>IF(AND(R228="WON",ISNUMBER(I228)),AA228,"")</f>
        <v/>
      </c>
      <c r="AA228">
        <f>IFERROR(I228*1,0)</f>
        <v/>
      </c>
    </row>
    <row r="229" ht="15" customHeight="1">
      <c r="Z229">
        <f>IF(AND(R229="WON",ISNUMBER(I229)),AA229,"")</f>
        <v/>
      </c>
      <c r="AA229">
        <f>IFERROR(I229*1,0)</f>
        <v/>
      </c>
    </row>
    <row r="230" ht="15" customHeight="1">
      <c r="Z230">
        <f>IF(AND(R230="WON",ISNUMBER(I230)),AA230,"")</f>
        <v/>
      </c>
      <c r="AA230">
        <f>IFERROR(I230*1,0)</f>
        <v/>
      </c>
    </row>
    <row r="231" ht="15" customHeight="1">
      <c r="Z231">
        <f>IF(AND(R231="WON",ISNUMBER(I231)),AA231,"")</f>
        <v/>
      </c>
      <c r="AA231">
        <f>IFERROR(I231*1,0)</f>
        <v/>
      </c>
    </row>
    <row r="232" ht="15" customHeight="1">
      <c r="Z232">
        <f>IF(AND(R232="WON",ISNUMBER(I232)),AA232,"")</f>
        <v/>
      </c>
      <c r="AA232">
        <f>IFERROR(I232*1,0)</f>
        <v/>
      </c>
    </row>
    <row r="233" ht="15" customHeight="1">
      <c r="Z233">
        <f>IF(AND(R233="WON",ISNUMBER(I233)),AA233,"")</f>
        <v/>
      </c>
      <c r="AA233">
        <f>IFERROR(I233*1,0)</f>
        <v/>
      </c>
    </row>
    <row r="234" ht="15" customHeight="1">
      <c r="Z234">
        <f>IF(AND(R234="WON",ISNUMBER(I234)),AA234,"")</f>
        <v/>
      </c>
      <c r="AA234">
        <f>IFERROR(I234*1,0)</f>
        <v/>
      </c>
    </row>
    <row r="235" ht="15" customHeight="1">
      <c r="Z235">
        <f>IF(AND(R235="WON",ISNUMBER(I235)),AA235,"")</f>
        <v/>
      </c>
      <c r="AA235">
        <f>IFERROR(I235*1,0)</f>
        <v/>
      </c>
    </row>
    <row r="236" ht="15" customHeight="1">
      <c r="Z236">
        <f>IF(AND(R236="WON",ISNUMBER(I236)),AA236,"")</f>
        <v/>
      </c>
      <c r="AA236">
        <f>IFERROR(I236*1,0)</f>
        <v/>
      </c>
    </row>
    <row r="237" ht="15" customHeight="1">
      <c r="Z237">
        <f>IF(AND(R237="WON",ISNUMBER(I237)),AA237,"")</f>
        <v/>
      </c>
      <c r="AA237">
        <f>IFERROR(I237*1,0)</f>
        <v/>
      </c>
    </row>
    <row r="238" ht="15" customHeight="1">
      <c r="Z238">
        <f>IF(AND(R238="WON",ISNUMBER(I238)),AA238,"")</f>
        <v/>
      </c>
      <c r="AA238">
        <f>IFERROR(I238*1,0)</f>
        <v/>
      </c>
    </row>
    <row r="239" ht="15" customHeight="1">
      <c r="Z239">
        <f>IF(AND(R239="WON",ISNUMBER(I239)),AA239,"")</f>
        <v/>
      </c>
      <c r="AA239">
        <f>IFERROR(I239*1,0)</f>
        <v/>
      </c>
    </row>
    <row r="240" ht="15" customHeight="1">
      <c r="Z240">
        <f>IF(AND(R240="WON",ISNUMBER(I240)),AA240,"")</f>
        <v/>
      </c>
      <c r="AA240">
        <f>IFERROR(I240*1,0)</f>
        <v/>
      </c>
    </row>
    <row r="241" ht="15" customHeight="1">
      <c r="Z241">
        <f>IF(AND(R241="WON",ISNUMBER(I241)),AA241,"")</f>
        <v/>
      </c>
      <c r="AA241">
        <f>IFERROR(I241*1,0)</f>
        <v/>
      </c>
    </row>
    <row r="242" ht="15" customHeight="1">
      <c r="Z242">
        <f>IF(AND(R242="WON",ISNUMBER(I242)),AA242,"")</f>
        <v/>
      </c>
      <c r="AA242">
        <f>IFERROR(I242*1,0)</f>
        <v/>
      </c>
    </row>
    <row r="243" ht="15" customHeight="1">
      <c r="Z243">
        <f>IF(AND(R243="WON",ISNUMBER(I243)),AA243,"")</f>
        <v/>
      </c>
      <c r="AA243">
        <f>IFERROR(I243*1,0)</f>
        <v/>
      </c>
    </row>
    <row r="244" ht="15" customHeight="1">
      <c r="Z244">
        <f>IF(AND(R244="WON",ISNUMBER(I244)),AA244,"")</f>
        <v/>
      </c>
      <c r="AA244">
        <f>IFERROR(I244*1,0)</f>
        <v/>
      </c>
    </row>
    <row r="245" ht="15" customHeight="1">
      <c r="Z245">
        <f>IF(AND(R245="WON",ISNUMBER(I245)),AA245,"")</f>
        <v/>
      </c>
      <c r="AA245">
        <f>IFERROR(I245*1,0)</f>
        <v/>
      </c>
    </row>
    <row r="246" ht="15" customHeight="1">
      <c r="Z246">
        <f>IF(AND(R246="WON",ISNUMBER(I246)),AA246,"")</f>
        <v/>
      </c>
      <c r="AA246">
        <f>IFERROR(I246*1,0)</f>
        <v/>
      </c>
    </row>
    <row r="247" ht="15" customHeight="1">
      <c r="Z247">
        <f>IF(AND(R247="WON",ISNUMBER(I247)),AA247,"")</f>
        <v/>
      </c>
      <c r="AA247">
        <f>IFERROR(I247*1,0)</f>
        <v/>
      </c>
    </row>
    <row r="248" ht="15" customHeight="1">
      <c r="Z248">
        <f>IF(AND(R248="WON",ISNUMBER(I248)),AA248,"")</f>
        <v/>
      </c>
      <c r="AA248">
        <f>IFERROR(I248*1,0)</f>
        <v/>
      </c>
    </row>
    <row r="249" ht="15" customHeight="1">
      <c r="Z249">
        <f>IF(AND(R249="WON",ISNUMBER(I249)),AA249,"")</f>
        <v/>
      </c>
      <c r="AA249">
        <f>IFERROR(I249*1,0)</f>
        <v/>
      </c>
    </row>
    <row r="250" ht="15" customHeight="1">
      <c r="Z250">
        <f>IF(AND(R250="WON",ISNUMBER(I250)),AA250,"")</f>
        <v/>
      </c>
      <c r="AA250">
        <f>IFERROR(I250*1,0)</f>
        <v/>
      </c>
    </row>
    <row r="251" ht="15" customHeight="1">
      <c r="Z251">
        <f>IF(AND(R251="WON",ISNUMBER(I251)),AA251,"")</f>
        <v/>
      </c>
      <c r="AA251">
        <f>IFERROR(I251*1,0)</f>
        <v/>
      </c>
    </row>
    <row r="252" ht="15" customHeight="1">
      <c r="Z252">
        <f>IF(AND(R252="WON",ISNUMBER(I252)),AA252,"")</f>
        <v/>
      </c>
      <c r="AA252">
        <f>IFERROR(I252*1,0)</f>
        <v/>
      </c>
    </row>
    <row r="253" ht="15" customHeight="1">
      <c r="Z253">
        <f>IF(AND(R253="WON",ISNUMBER(I253)),AA253,"")</f>
        <v/>
      </c>
      <c r="AA253">
        <f>IFERROR(I253*1,0)</f>
        <v/>
      </c>
    </row>
    <row r="254" ht="15" customHeight="1">
      <c r="Z254">
        <f>IF(AND(R254="WON",ISNUMBER(I254)),AA254,"")</f>
        <v/>
      </c>
      <c r="AA254">
        <f>IFERROR(I254*1,0)</f>
        <v/>
      </c>
    </row>
    <row r="255" ht="15" customHeight="1">
      <c r="Z255">
        <f>IF(AND(R255="WON",ISNUMBER(I255)),AA255,"")</f>
        <v/>
      </c>
      <c r="AA255">
        <f>IFERROR(I255*1,0)</f>
        <v/>
      </c>
    </row>
    <row r="256" ht="15" customHeight="1">
      <c r="Z256">
        <f>IF(AND(R256="WON",ISNUMBER(I256)),AA256,"")</f>
        <v/>
      </c>
      <c r="AA256">
        <f>IFERROR(I256*1,0)</f>
        <v/>
      </c>
    </row>
    <row r="257" ht="15" customHeight="1">
      <c r="Z257">
        <f>IF(AND(R257="WON",ISNUMBER(I257)),AA257,"")</f>
        <v/>
      </c>
      <c r="AA257">
        <f>IFERROR(I257*1,0)</f>
        <v/>
      </c>
    </row>
    <row r="258" ht="15" customHeight="1">
      <c r="Z258">
        <f>IF(AND(R258="WON",ISNUMBER(I258)),AA258,"")</f>
        <v/>
      </c>
      <c r="AA258">
        <f>IFERROR(I258*1,0)</f>
        <v/>
      </c>
    </row>
    <row r="259" ht="15" customHeight="1">
      <c r="Z259">
        <f>IF(AND(R259="WON",ISNUMBER(I259)),AA259,"")</f>
        <v/>
      </c>
      <c r="AA259">
        <f>IFERROR(I259*1,0)</f>
        <v/>
      </c>
    </row>
    <row r="260" ht="15" customHeight="1">
      <c r="Z260">
        <f>IF(AND(R260="WON",ISNUMBER(I260)),AA260,"")</f>
        <v/>
      </c>
      <c r="AA260">
        <f>IFERROR(I260*1,0)</f>
        <v/>
      </c>
    </row>
    <row r="261" ht="15" customHeight="1">
      <c r="Z261">
        <f>IF(AND(R261="WON",ISNUMBER(I261)),AA261,"")</f>
        <v/>
      </c>
      <c r="AA261">
        <f>IFERROR(I261*1,0)</f>
        <v/>
      </c>
    </row>
    <row r="262" ht="15" customHeight="1">
      <c r="Z262">
        <f>IF(AND(R262="WON",ISNUMBER(I262)),AA262,"")</f>
        <v/>
      </c>
      <c r="AA262">
        <f>IFERROR(I262*1,0)</f>
        <v/>
      </c>
    </row>
    <row r="263" ht="15" customHeight="1">
      <c r="Z263">
        <f>IF(AND(R263="WON",ISNUMBER(I263)),AA263,"")</f>
        <v/>
      </c>
      <c r="AA263">
        <f>IFERROR(I263*1,0)</f>
        <v/>
      </c>
    </row>
    <row r="264" ht="15" customHeight="1">
      <c r="Z264">
        <f>IF(AND(R264="WON",ISNUMBER(I264)),AA264,"")</f>
        <v/>
      </c>
      <c r="AA264">
        <f>IFERROR(I264*1,0)</f>
        <v/>
      </c>
    </row>
    <row r="265" ht="15" customHeight="1">
      <c r="Z265">
        <f>IF(AND(R265="WON",ISNUMBER(I265)),AA265,"")</f>
        <v/>
      </c>
      <c r="AA265">
        <f>IFERROR(I265*1,0)</f>
        <v/>
      </c>
    </row>
    <row r="266" ht="15" customHeight="1">
      <c r="Z266">
        <f>IF(AND(R266="WON",ISNUMBER(I266)),AA266,"")</f>
        <v/>
      </c>
      <c r="AA266">
        <f>IFERROR(I266*1,0)</f>
        <v/>
      </c>
    </row>
    <row r="267" ht="15" customHeight="1">
      <c r="Z267">
        <f>IF(AND(R267="WON",ISNUMBER(I267)),AA267,"")</f>
        <v/>
      </c>
      <c r="AA267">
        <f>IFERROR(I267*1,0)</f>
        <v/>
      </c>
    </row>
    <row r="268" ht="15" customHeight="1">
      <c r="Z268">
        <f>IF(AND(R268="WON",ISNUMBER(I268)),AA268,"")</f>
        <v/>
      </c>
      <c r="AA268">
        <f>IFERROR(I268*1,0)</f>
        <v/>
      </c>
    </row>
    <row r="269" ht="15" customHeight="1">
      <c r="Z269">
        <f>IF(AND(R269="WON",ISNUMBER(I269)),AA269,"")</f>
        <v/>
      </c>
      <c r="AA269">
        <f>IFERROR(I269*1,0)</f>
        <v/>
      </c>
    </row>
    <row r="270" ht="15" customHeight="1">
      <c r="Z270">
        <f>IF(AND(R270="WON",ISNUMBER(I270)),AA270,"")</f>
        <v/>
      </c>
      <c r="AA270">
        <f>IFERROR(I270*1,0)</f>
        <v/>
      </c>
    </row>
    <row r="271" ht="15" customHeight="1">
      <c r="Z271">
        <f>IF(AND(R271="WON",ISNUMBER(I271)),AA271,"")</f>
        <v/>
      </c>
      <c r="AA271">
        <f>IFERROR(I271*1,0)</f>
        <v/>
      </c>
    </row>
    <row r="272" ht="15" customHeight="1">
      <c r="Z272">
        <f>IF(AND(R272="WON",ISNUMBER(I272)),AA272,"")</f>
        <v/>
      </c>
      <c r="AA272">
        <f>IFERROR(I272*1,0)</f>
        <v/>
      </c>
    </row>
    <row r="273" ht="15" customHeight="1">
      <c r="Z273">
        <f>IF(AND(R273="WON",ISNUMBER(I273)),AA273,"")</f>
        <v/>
      </c>
      <c r="AA273">
        <f>IFERROR(I273*1,0)</f>
        <v/>
      </c>
    </row>
    <row r="274" ht="15" customHeight="1">
      <c r="Z274">
        <f>IF(AND(R274="WON",ISNUMBER(I274)),AA274,"")</f>
        <v/>
      </c>
      <c r="AA274">
        <f>IFERROR(I274*1,0)</f>
        <v/>
      </c>
    </row>
    <row r="275" ht="15" customHeight="1">
      <c r="Z275">
        <f>IF(AND(R275="WON",ISNUMBER(I275)),AA275,"")</f>
        <v/>
      </c>
      <c r="AA275">
        <f>IFERROR(I275*1,0)</f>
        <v/>
      </c>
    </row>
    <row r="276" ht="15" customHeight="1">
      <c r="Z276">
        <f>IF(AND(R276="WON",ISNUMBER(I276)),AA276,"")</f>
        <v/>
      </c>
      <c r="AA276">
        <f>IFERROR(I276*1,0)</f>
        <v/>
      </c>
    </row>
    <row r="277" ht="15" customHeight="1">
      <c r="Z277">
        <f>IF(AND(R277="WON",ISNUMBER(I277)),AA277,"")</f>
        <v/>
      </c>
      <c r="AA277">
        <f>IFERROR(I277*1,0)</f>
        <v/>
      </c>
    </row>
    <row r="278" ht="15" customHeight="1">
      <c r="Z278">
        <f>IF(AND(R278="WON",ISNUMBER(I278)),AA278,"")</f>
        <v/>
      </c>
      <c r="AA278">
        <f>IFERROR(I278*1,0)</f>
        <v/>
      </c>
    </row>
    <row r="279" ht="15" customHeight="1">
      <c r="Z279">
        <f>IF(AND(R279="WON",ISNUMBER(I279)),AA279,"")</f>
        <v/>
      </c>
      <c r="AA279">
        <f>IFERROR(I279*1,0)</f>
        <v/>
      </c>
    </row>
    <row r="280" ht="15" customHeight="1">
      <c r="Z280">
        <f>IF(AND(R280="WON",ISNUMBER(I280)),AA280,"")</f>
        <v/>
      </c>
      <c r="AA280">
        <f>IFERROR(I280*1,0)</f>
        <v/>
      </c>
    </row>
    <row r="281" ht="15" customHeight="1">
      <c r="Z281">
        <f>IF(AND(R281="WON",ISNUMBER(I281)),AA281,"")</f>
        <v/>
      </c>
      <c r="AA281">
        <f>IFERROR(I281*1,0)</f>
        <v/>
      </c>
    </row>
    <row r="282" ht="15" customHeight="1">
      <c r="Z282">
        <f>IF(AND(R282="WON",ISNUMBER(I282)),AA282,"")</f>
        <v/>
      </c>
      <c r="AA282">
        <f>IFERROR(I282*1,0)</f>
        <v/>
      </c>
    </row>
    <row r="283" ht="15" customHeight="1">
      <c r="Z283">
        <f>IF(AND(R283="WON",ISNUMBER(I283)),AA283,"")</f>
        <v/>
      </c>
      <c r="AA283">
        <f>IFERROR(I283*1,0)</f>
        <v/>
      </c>
    </row>
    <row r="284" ht="15" customHeight="1">
      <c r="Z284">
        <f>IF(AND(R284="WON",ISNUMBER(I284)),AA284,"")</f>
        <v/>
      </c>
      <c r="AA284">
        <f>IFERROR(I284*1,0)</f>
        <v/>
      </c>
    </row>
    <row r="285" ht="15" customHeight="1">
      <c r="Z285">
        <f>IF(AND(R285="WON",ISNUMBER(I285)),AA285,"")</f>
        <v/>
      </c>
      <c r="AA285">
        <f>IFERROR(I285*1,0)</f>
        <v/>
      </c>
    </row>
    <row r="286" ht="15" customHeight="1">
      <c r="Z286">
        <f>IF(AND(R286="WON",ISNUMBER(I286)),AA286,"")</f>
        <v/>
      </c>
      <c r="AA286">
        <f>IFERROR(I286*1,0)</f>
        <v/>
      </c>
    </row>
    <row r="287" ht="15" customHeight="1">
      <c r="Z287">
        <f>IF(AND(R287="WON",ISNUMBER(I287)),AA287,"")</f>
        <v/>
      </c>
      <c r="AA287">
        <f>IFERROR(I287*1,0)</f>
        <v/>
      </c>
    </row>
    <row r="288" ht="15" customHeight="1">
      <c r="Z288">
        <f>IF(AND(R288="WON",ISNUMBER(I288)),AA288,"")</f>
        <v/>
      </c>
      <c r="AA288">
        <f>IFERROR(I288*1,0)</f>
        <v/>
      </c>
    </row>
    <row r="289" ht="15" customHeight="1">
      <c r="Z289">
        <f>IF(AND(R289="WON",ISNUMBER(I289)),AA289,"")</f>
        <v/>
      </c>
      <c r="AA289">
        <f>IFERROR(I289*1,0)</f>
        <v/>
      </c>
    </row>
    <row r="290" ht="15" customHeight="1">
      <c r="Z290">
        <f>IF(AND(R290="WON",ISNUMBER(I290)),AA290,"")</f>
        <v/>
      </c>
      <c r="AA290">
        <f>IFERROR(I290*1,0)</f>
        <v/>
      </c>
    </row>
    <row r="291" ht="15" customHeight="1">
      <c r="Z291">
        <f>IF(AND(R291="WON",ISNUMBER(I291)),AA291,"")</f>
        <v/>
      </c>
      <c r="AA291">
        <f>IFERROR(I291*1,0)</f>
        <v/>
      </c>
    </row>
    <row r="292" ht="15" customHeight="1">
      <c r="Z292">
        <f>IF(AND(R292="WON",ISNUMBER(I292)),AA292,"")</f>
        <v/>
      </c>
      <c r="AA292">
        <f>IFERROR(I292*1,0)</f>
        <v/>
      </c>
    </row>
    <row r="293" ht="15" customHeight="1">
      <c r="Z293">
        <f>IF(AND(R293="WON",ISNUMBER(I293)),AA293,"")</f>
        <v/>
      </c>
      <c r="AA293">
        <f>IFERROR(I293*1,0)</f>
        <v/>
      </c>
    </row>
    <row r="294" ht="15" customHeight="1">
      <c r="Z294">
        <f>IF(AND(R294="WON",ISNUMBER(I294)),AA294,"")</f>
        <v/>
      </c>
      <c r="AA294">
        <f>IFERROR(I294*1,0)</f>
        <v/>
      </c>
    </row>
    <row r="295" ht="15" customHeight="1">
      <c r="Z295">
        <f>IF(AND(R295="WON",ISNUMBER(I295)),AA295,"")</f>
        <v/>
      </c>
      <c r="AA295">
        <f>IFERROR(I295*1,0)</f>
        <v/>
      </c>
    </row>
    <row r="296" ht="15" customHeight="1">
      <c r="Z296">
        <f>IF(AND(R296="WON",ISNUMBER(I296)),AA296,"")</f>
        <v/>
      </c>
      <c r="AA296">
        <f>IFERROR(I296*1,0)</f>
        <v/>
      </c>
    </row>
    <row r="297" ht="15" customHeight="1">
      <c r="Z297">
        <f>IF(AND(R297="WON",ISNUMBER(I297)),AA297,"")</f>
        <v/>
      </c>
      <c r="AA297">
        <f>IFERROR(I297*1,0)</f>
        <v/>
      </c>
    </row>
    <row r="298" ht="15" customHeight="1">
      <c r="Z298">
        <f>IF(AND(R298="WON",ISNUMBER(I298)),AA298,"")</f>
        <v/>
      </c>
      <c r="AA298">
        <f>IFERROR(I298*1,0)</f>
        <v/>
      </c>
    </row>
    <row r="299" ht="15" customHeight="1">
      <c r="Z299">
        <f>IF(AND(R299="WON",ISNUMBER(I299)),AA299,"")</f>
        <v/>
      </c>
      <c r="AA299">
        <f>IFERROR(I299*1,0)</f>
        <v/>
      </c>
    </row>
    <row r="300" ht="15" customHeight="1">
      <c r="Z300">
        <f>IF(AND(R300="WON",ISNUMBER(I300)),AA300,"")</f>
        <v/>
      </c>
      <c r="AA300">
        <f>IFERROR(I300*1,0)</f>
        <v/>
      </c>
    </row>
    <row r="301" ht="15" customHeight="1">
      <c r="Z301">
        <f>IF(AND(R301="WON",ISNUMBER(I301)),AA301,"")</f>
        <v/>
      </c>
      <c r="AA301">
        <f>IFERROR(I301*1,0)</f>
        <v/>
      </c>
    </row>
    <row r="302" ht="15" customHeight="1">
      <c r="Z302">
        <f>IF(AND(R302="WON",ISNUMBER(I302)),AA302,"")</f>
        <v/>
      </c>
      <c r="AA302">
        <f>IFERROR(I302*1,0)</f>
        <v/>
      </c>
    </row>
    <row r="303" ht="15" customHeight="1">
      <c r="Z303">
        <f>IF(AND(R303="WON",ISNUMBER(I303)),AA303,"")</f>
        <v/>
      </c>
      <c r="AA303">
        <f>IFERROR(I303*1,0)</f>
        <v/>
      </c>
    </row>
    <row r="304" ht="15" customHeight="1">
      <c r="Z304">
        <f>IF(AND(R304="WON",ISNUMBER(I304)),AA304,"")</f>
        <v/>
      </c>
      <c r="AA304">
        <f>IFERROR(I304*1,0)</f>
        <v/>
      </c>
    </row>
    <row r="305" ht="15" customHeight="1">
      <c r="Z305">
        <f>IF(AND(R305="WON",ISNUMBER(I305)),AA305,"")</f>
        <v/>
      </c>
      <c r="AA305">
        <f>IFERROR(I305*1,0)</f>
        <v/>
      </c>
    </row>
    <row r="306" ht="15" customHeight="1">
      <c r="Z306">
        <f>IF(AND(R306="WON",ISNUMBER(I306)),AA306,"")</f>
        <v/>
      </c>
      <c r="AA306">
        <f>IFERROR(I306*1,0)</f>
        <v/>
      </c>
    </row>
    <row r="307" ht="15" customHeight="1">
      <c r="Z307">
        <f>IF(AND(R307="WON",ISNUMBER(I307)),AA307,"")</f>
        <v/>
      </c>
      <c r="AA307">
        <f>IFERROR(I307*1,0)</f>
        <v/>
      </c>
    </row>
    <row r="308" ht="15" customHeight="1">
      <c r="Z308">
        <f>IF(AND(R308="WON",ISNUMBER(I308)),AA308,"")</f>
        <v/>
      </c>
      <c r="AA308">
        <f>IFERROR(I308*1,0)</f>
        <v/>
      </c>
    </row>
    <row r="309" ht="15" customHeight="1">
      <c r="Z309">
        <f>IF(AND(R309="WON",ISNUMBER(I309)),AA309,"")</f>
        <v/>
      </c>
      <c r="AA309">
        <f>IFERROR(I309*1,0)</f>
        <v/>
      </c>
    </row>
    <row r="310" ht="15" customHeight="1">
      <c r="Z310">
        <f>IF(AND(R310="WON",ISNUMBER(I310)),AA310,"")</f>
        <v/>
      </c>
      <c r="AA310">
        <f>IFERROR(I310*1,0)</f>
        <v/>
      </c>
    </row>
    <row r="311" ht="15" customHeight="1">
      <c r="Z311">
        <f>IF(AND(R311="WON",ISNUMBER(I311)),AA311,"")</f>
        <v/>
      </c>
      <c r="AA311">
        <f>IFERROR(I311*1,0)</f>
        <v/>
      </c>
    </row>
    <row r="312" ht="15" customHeight="1">
      <c r="Z312">
        <f>IF(AND(R312="WON",ISNUMBER(I312)),AA312,"")</f>
        <v/>
      </c>
      <c r="AA312">
        <f>IFERROR(I312*1,0)</f>
        <v/>
      </c>
    </row>
    <row r="313" ht="15" customHeight="1">
      <c r="Z313">
        <f>IF(AND(R313="WON",ISNUMBER(I313)),AA313,"")</f>
        <v/>
      </c>
      <c r="AA313">
        <f>IFERROR(I313*1,0)</f>
        <v/>
      </c>
    </row>
    <row r="314" ht="15" customHeight="1">
      <c r="Z314">
        <f>IF(AND(R314="WON",ISNUMBER(I314)),AA314,"")</f>
        <v/>
      </c>
      <c r="AA314">
        <f>IFERROR(I314*1,0)</f>
        <v/>
      </c>
    </row>
    <row r="315" ht="15" customHeight="1">
      <c r="Z315">
        <f>IF(AND(R315="WON",ISNUMBER(I315)),AA315,"")</f>
        <v/>
      </c>
      <c r="AA315">
        <f>IFERROR(I315*1,0)</f>
        <v/>
      </c>
    </row>
    <row r="316" ht="15" customHeight="1">
      <c r="Z316">
        <f>IF(AND(R316="WON",ISNUMBER(I316)),AA316,"")</f>
        <v/>
      </c>
      <c r="AA316">
        <f>IFERROR(I316*1,0)</f>
        <v/>
      </c>
    </row>
    <row r="317" ht="15" customHeight="1">
      <c r="Z317">
        <f>IF(AND(R317="WON",ISNUMBER(I317)),AA317,"")</f>
        <v/>
      </c>
      <c r="AA317">
        <f>IFERROR(I317*1,0)</f>
        <v/>
      </c>
    </row>
    <row r="318" ht="15" customHeight="1">
      <c r="Z318">
        <f>IF(AND(R318="WON",ISNUMBER(I318)),AA318,"")</f>
        <v/>
      </c>
      <c r="AA318">
        <f>IFERROR(I318*1,0)</f>
        <v/>
      </c>
    </row>
    <row r="319" ht="15" customHeight="1">
      <c r="Z319">
        <f>IF(AND(R319="WON",ISNUMBER(I319)),AA319,"")</f>
        <v/>
      </c>
      <c r="AA319">
        <f>IFERROR(I319*1,0)</f>
        <v/>
      </c>
    </row>
    <row r="320" ht="15" customHeight="1">
      <c r="Z320">
        <f>IF(AND(R320="WON",ISNUMBER(I320)),AA320,"")</f>
        <v/>
      </c>
      <c r="AA320">
        <f>IFERROR(I320*1,0)</f>
        <v/>
      </c>
    </row>
    <row r="321" ht="15" customHeight="1">
      <c r="Z321">
        <f>IF(AND(R321="WON",ISNUMBER(I321)),AA321,"")</f>
        <v/>
      </c>
      <c r="AA321">
        <f>IFERROR(I321*1,0)</f>
        <v/>
      </c>
    </row>
    <row r="322" ht="15" customHeight="1">
      <c r="Z322">
        <f>IF(AND(R322="WON",ISNUMBER(I322)),AA322,"")</f>
        <v/>
      </c>
      <c r="AA322">
        <f>IFERROR(I322*1,0)</f>
        <v/>
      </c>
    </row>
    <row r="323" ht="15" customHeight="1">
      <c r="Z323">
        <f>IF(AND(R323="WON",ISNUMBER(I323)),AA323,"")</f>
        <v/>
      </c>
      <c r="AA323">
        <f>IFERROR(I323*1,0)</f>
        <v/>
      </c>
    </row>
    <row r="324" ht="15" customHeight="1">
      <c r="Z324">
        <f>IF(AND(R324="WON",ISNUMBER(I324)),AA324,"")</f>
        <v/>
      </c>
      <c r="AA324">
        <f>IFERROR(I324*1,0)</f>
        <v/>
      </c>
    </row>
    <row r="325" ht="15" customHeight="1">
      <c r="Z325">
        <f>IF(AND(R325="WON",ISNUMBER(I325)),AA325,"")</f>
        <v/>
      </c>
      <c r="AA325">
        <f>IFERROR(I325*1,0)</f>
        <v/>
      </c>
    </row>
    <row r="326" ht="15" customHeight="1">
      <c r="Z326">
        <f>IF(AND(R326="WON",ISNUMBER(I326)),AA326,"")</f>
        <v/>
      </c>
      <c r="AA326">
        <f>IFERROR(I326*1,0)</f>
        <v/>
      </c>
    </row>
    <row r="327" ht="15" customHeight="1">
      <c r="Z327">
        <f>IF(AND(R327="WON",ISNUMBER(I327)),AA327,"")</f>
        <v/>
      </c>
      <c r="AA327">
        <f>IFERROR(I327*1,0)</f>
        <v/>
      </c>
    </row>
    <row r="328" ht="15" customHeight="1">
      <c r="Z328">
        <f>IF(AND(R328="WON",ISNUMBER(I328)),AA328,"")</f>
        <v/>
      </c>
      <c r="AA328">
        <f>IFERROR(I328*1,0)</f>
        <v/>
      </c>
    </row>
    <row r="329" ht="15" customHeight="1">
      <c r="Z329">
        <f>IF(AND(R329="WON",ISNUMBER(I329)),AA329,"")</f>
        <v/>
      </c>
      <c r="AA329">
        <f>IFERROR(I329*1,0)</f>
        <v/>
      </c>
    </row>
    <row r="330" ht="15" customHeight="1">
      <c r="Z330">
        <f>IF(AND(R330="WON",ISNUMBER(I330)),AA330,"")</f>
        <v/>
      </c>
      <c r="AA330">
        <f>IFERROR(I330*1,0)</f>
        <v/>
      </c>
    </row>
    <row r="331" ht="15" customHeight="1">
      <c r="Z331">
        <f>IF(AND(R331="WON",ISNUMBER(I331)),AA331,"")</f>
        <v/>
      </c>
      <c r="AA331">
        <f>IFERROR(I331*1,0)</f>
        <v/>
      </c>
    </row>
    <row r="332" ht="15" customHeight="1">
      <c r="Z332">
        <f>IF(AND(R332="WON",ISNUMBER(I332)),AA332,"")</f>
        <v/>
      </c>
      <c r="AA332">
        <f>IFERROR(I332*1,0)</f>
        <v/>
      </c>
    </row>
    <row r="333" ht="15" customHeight="1">
      <c r="Z333">
        <f>IF(AND(R333="WON",ISNUMBER(I333)),AA333,"")</f>
        <v/>
      </c>
      <c r="AA333">
        <f>IFERROR(I333*1,0)</f>
        <v/>
      </c>
    </row>
    <row r="334" ht="15" customHeight="1">
      <c r="Z334">
        <f>IF(AND(R334="WON",ISNUMBER(I334)),AA334,"")</f>
        <v/>
      </c>
      <c r="AA334">
        <f>IFERROR(I334*1,0)</f>
        <v/>
      </c>
    </row>
    <row r="335" ht="15" customHeight="1">
      <c r="Z335">
        <f>IF(AND(R335="WON",ISNUMBER(I335)),AA335,"")</f>
        <v/>
      </c>
      <c r="AA335">
        <f>IFERROR(I335*1,0)</f>
        <v/>
      </c>
    </row>
    <row r="336" ht="15" customHeight="1">
      <c r="Z336">
        <f>IF(AND(R336="WON",ISNUMBER(I336)),AA336,"")</f>
        <v/>
      </c>
      <c r="AA336">
        <f>IFERROR(I336*1,0)</f>
        <v/>
      </c>
    </row>
    <row r="337" ht="15" customHeight="1">
      <c r="Z337">
        <f>IF(AND(R337="WON",ISNUMBER(I337)),AA337,"")</f>
        <v/>
      </c>
      <c r="AA337">
        <f>IFERROR(I337*1,0)</f>
        <v/>
      </c>
    </row>
    <row r="338" ht="15" customHeight="1">
      <c r="Z338">
        <f>IF(AND(R338="WON",ISNUMBER(I338)),AA338,"")</f>
        <v/>
      </c>
      <c r="AA338">
        <f>IFERROR(I338*1,0)</f>
        <v/>
      </c>
    </row>
    <row r="339" ht="15" customHeight="1">
      <c r="Z339">
        <f>IF(AND(R339="WON",ISNUMBER(I339)),AA339,"")</f>
        <v/>
      </c>
      <c r="AA339">
        <f>IFERROR(I339*1,0)</f>
        <v/>
      </c>
    </row>
    <row r="340" ht="15" customHeight="1">
      <c r="Z340">
        <f>IF(AND(R340="WON",ISNUMBER(I340)),AA340,"")</f>
        <v/>
      </c>
      <c r="AA340">
        <f>IFERROR(I340*1,0)</f>
        <v/>
      </c>
    </row>
    <row r="341" ht="15" customHeight="1">
      <c r="Z341">
        <f>IF(AND(R341="WON",ISNUMBER(I341)),AA341,"")</f>
        <v/>
      </c>
      <c r="AA341">
        <f>IFERROR(I341*1,0)</f>
        <v/>
      </c>
    </row>
    <row r="342" ht="15" customHeight="1">
      <c r="Z342">
        <f>IF(AND(R342="WON",ISNUMBER(I342)),AA342,"")</f>
        <v/>
      </c>
      <c r="AA342">
        <f>IFERROR(I342*1,0)</f>
        <v/>
      </c>
    </row>
    <row r="343" ht="15" customHeight="1">
      <c r="Z343">
        <f>IF(AND(R343="WON",ISNUMBER(I343)),AA343,"")</f>
        <v/>
      </c>
      <c r="AA343">
        <f>IFERROR(I343*1,0)</f>
        <v/>
      </c>
    </row>
    <row r="344" ht="15" customHeight="1">
      <c r="Z344">
        <f>IF(AND(R344="WON",ISNUMBER(I344)),AA344,"")</f>
        <v/>
      </c>
      <c r="AA344">
        <f>IFERROR(I344*1,0)</f>
        <v/>
      </c>
    </row>
    <row r="345" ht="15" customHeight="1">
      <c r="Z345">
        <f>IF(AND(R345="WON",ISNUMBER(I345)),AA345,"")</f>
        <v/>
      </c>
      <c r="AA345">
        <f>IFERROR(I345*1,0)</f>
        <v/>
      </c>
    </row>
    <row r="346" ht="15" customHeight="1">
      <c r="Z346">
        <f>IF(AND(R346="WON",ISNUMBER(I346)),AA346,"")</f>
        <v/>
      </c>
      <c r="AA346">
        <f>IFERROR(I346*1,0)</f>
        <v/>
      </c>
    </row>
    <row r="347" ht="15" customHeight="1">
      <c r="Z347">
        <f>IF(AND(R347="WON",ISNUMBER(I347)),AA347,"")</f>
        <v/>
      </c>
      <c r="AA347">
        <f>IFERROR(I347*1,0)</f>
        <v/>
      </c>
    </row>
    <row r="348" ht="15" customHeight="1">
      <c r="Z348">
        <f>IF(AND(R348="WON",ISNUMBER(I348)),AA348,"")</f>
        <v/>
      </c>
      <c r="AA348">
        <f>IFERROR(I348*1,0)</f>
        <v/>
      </c>
    </row>
    <row r="349" ht="15" customHeight="1">
      <c r="Z349">
        <f>IF(AND(R349="WON",ISNUMBER(I349)),AA349,"")</f>
        <v/>
      </c>
      <c r="AA349">
        <f>IFERROR(I349*1,0)</f>
        <v/>
      </c>
    </row>
    <row r="350" ht="15" customHeight="1">
      <c r="Z350">
        <f>IF(AND(R350="WON",ISNUMBER(I350)),AA350,"")</f>
        <v/>
      </c>
      <c r="AA350">
        <f>IFERROR(I350*1,0)</f>
        <v/>
      </c>
    </row>
    <row r="351" ht="15" customHeight="1">
      <c r="Z351">
        <f>IF(AND(R351="WON",ISNUMBER(I351)),AA351,"")</f>
        <v/>
      </c>
      <c r="AA351">
        <f>IFERROR(I351*1,0)</f>
        <v/>
      </c>
    </row>
    <row r="352" ht="15" customHeight="1">
      <c r="Z352">
        <f>IF(AND(R352="WON",ISNUMBER(I352)),AA352,"")</f>
        <v/>
      </c>
      <c r="AA352">
        <f>IFERROR(I352*1,0)</f>
        <v/>
      </c>
    </row>
    <row r="353" ht="15" customHeight="1">
      <c r="Z353">
        <f>IF(AND(R353="WON",ISNUMBER(I353)),AA353,"")</f>
        <v/>
      </c>
      <c r="AA353">
        <f>IFERROR(I353*1,0)</f>
        <v/>
      </c>
    </row>
    <row r="354" ht="15" customHeight="1">
      <c r="Z354">
        <f>IF(AND(R354="WON",ISNUMBER(I354)),AA354,"")</f>
        <v/>
      </c>
      <c r="AA354">
        <f>IFERROR(I354*1,0)</f>
        <v/>
      </c>
    </row>
    <row r="355" ht="15" customHeight="1">
      <c r="Z355">
        <f>IF(AND(R355="WON",ISNUMBER(I355)),AA355,"")</f>
        <v/>
      </c>
      <c r="AA355">
        <f>IFERROR(I355*1,0)</f>
        <v/>
      </c>
    </row>
    <row r="356" ht="15" customHeight="1">
      <c r="Z356">
        <f>IF(AND(R356="WON",ISNUMBER(I356)),AA356,"")</f>
        <v/>
      </c>
      <c r="AA356">
        <f>IFERROR(I356*1,0)</f>
        <v/>
      </c>
    </row>
    <row r="357" ht="15" customHeight="1">
      <c r="Z357">
        <f>IF(AND(R357="WON",ISNUMBER(I357)),AA357,"")</f>
        <v/>
      </c>
      <c r="AA357">
        <f>IFERROR(I357*1,0)</f>
        <v/>
      </c>
    </row>
    <row r="358" ht="15" customHeight="1">
      <c r="Z358">
        <f>IF(AND(R358="WON",ISNUMBER(I358)),AA358,"")</f>
        <v/>
      </c>
      <c r="AA358">
        <f>IFERROR(I358*1,0)</f>
        <v/>
      </c>
    </row>
    <row r="359" ht="15" customHeight="1">
      <c r="Z359">
        <f>IF(AND(R359="WON",ISNUMBER(I359)),AA359,"")</f>
        <v/>
      </c>
      <c r="AA359">
        <f>IFERROR(I359*1,0)</f>
        <v/>
      </c>
    </row>
    <row r="360" ht="15" customHeight="1">
      <c r="Z360">
        <f>IF(AND(R360="WON",ISNUMBER(I360)),AA360,"")</f>
        <v/>
      </c>
      <c r="AA360">
        <f>IFERROR(I360*1,0)</f>
        <v/>
      </c>
    </row>
    <row r="361" ht="15" customHeight="1">
      <c r="Z361">
        <f>IF(AND(R361="WON",ISNUMBER(I361)),AA361,"")</f>
        <v/>
      </c>
      <c r="AA361">
        <f>IFERROR(I361*1,0)</f>
        <v/>
      </c>
    </row>
    <row r="362" ht="15" customHeight="1">
      <c r="Z362">
        <f>IF(AND(R362="WON",ISNUMBER(I362)),AA362,"")</f>
        <v/>
      </c>
      <c r="AA362">
        <f>IFERROR(I362*1,0)</f>
        <v/>
      </c>
    </row>
    <row r="363" ht="15" customHeight="1">
      <c r="Z363">
        <f>IF(AND(R363="WON",ISNUMBER(I363)),AA363,"")</f>
        <v/>
      </c>
      <c r="AA363">
        <f>IFERROR(I363*1,0)</f>
        <v/>
      </c>
    </row>
    <row r="364" ht="15" customHeight="1">
      <c r="Z364">
        <f>IF(AND(R364="WON",ISNUMBER(I364)),AA364,"")</f>
        <v/>
      </c>
      <c r="AA364">
        <f>IFERROR(I364*1,0)</f>
        <v/>
      </c>
    </row>
    <row r="365" ht="15" customHeight="1">
      <c r="Z365">
        <f>IF(AND(R365="WON",ISNUMBER(I365)),AA365,"")</f>
        <v/>
      </c>
      <c r="AA365">
        <f>IFERROR(I365*1,0)</f>
        <v/>
      </c>
    </row>
    <row r="366" ht="15" customHeight="1">
      <c r="Z366">
        <f>IF(AND(R366="WON",ISNUMBER(I366)),AA366,"")</f>
        <v/>
      </c>
      <c r="AA366">
        <f>IFERROR(I366*1,0)</f>
        <v/>
      </c>
    </row>
    <row r="367" ht="15" customHeight="1">
      <c r="Z367">
        <f>IF(AND(R367="WON",ISNUMBER(I367)),AA367,"")</f>
        <v/>
      </c>
      <c r="AA367">
        <f>IFERROR(I367*1,0)</f>
        <v/>
      </c>
    </row>
    <row r="368" ht="15" customHeight="1">
      <c r="Z368">
        <f>IF(AND(R368="WON",ISNUMBER(I368)),AA368,"")</f>
        <v/>
      </c>
      <c r="AA368">
        <f>IFERROR(I368*1,0)</f>
        <v/>
      </c>
    </row>
    <row r="369" ht="15" customHeight="1">
      <c r="Z369">
        <f>IF(AND(R369="WON",ISNUMBER(I369)),AA369,"")</f>
        <v/>
      </c>
      <c r="AA369">
        <f>IFERROR(I369*1,0)</f>
        <v/>
      </c>
    </row>
    <row r="370" ht="15" customHeight="1">
      <c r="Z370">
        <f>IF(AND(R370="WON",ISNUMBER(I370)),AA370,"")</f>
        <v/>
      </c>
      <c r="AA370">
        <f>IFERROR(I370*1,0)</f>
        <v/>
      </c>
    </row>
    <row r="371" ht="15" customHeight="1">
      <c r="Z371">
        <f>IF(AND(R371="WON",ISNUMBER(I371)),AA371,"")</f>
        <v/>
      </c>
      <c r="AA371">
        <f>IFERROR(I371*1,0)</f>
        <v/>
      </c>
    </row>
    <row r="372" ht="15" customHeight="1">
      <c r="Z372">
        <f>IF(AND(R372="WON",ISNUMBER(I372)),AA372,"")</f>
        <v/>
      </c>
      <c r="AA372">
        <f>IFERROR(I372*1,0)</f>
        <v/>
      </c>
    </row>
    <row r="373" ht="15" customHeight="1">
      <c r="Z373">
        <f>IF(AND(R373="WON",ISNUMBER(I373)),AA373,"")</f>
        <v/>
      </c>
      <c r="AA373">
        <f>IFERROR(I373*1,0)</f>
        <v/>
      </c>
    </row>
    <row r="374" ht="15" customHeight="1">
      <c r="Z374">
        <f>IF(AND(R374="WON",ISNUMBER(I374)),AA374,"")</f>
        <v/>
      </c>
      <c r="AA374">
        <f>IFERROR(I374*1,0)</f>
        <v/>
      </c>
    </row>
    <row r="375" ht="15" customHeight="1">
      <c r="Z375">
        <f>IF(AND(R375="WON",ISNUMBER(I375)),AA375,"")</f>
        <v/>
      </c>
      <c r="AA375">
        <f>IFERROR(I375*1,0)</f>
        <v/>
      </c>
    </row>
    <row r="376" ht="15" customHeight="1">
      <c r="Z376">
        <f>IF(AND(R376="WON",ISNUMBER(I376)),AA376,"")</f>
        <v/>
      </c>
      <c r="AA376">
        <f>IFERROR(I376*1,0)</f>
        <v/>
      </c>
    </row>
    <row r="377" ht="15" customHeight="1">
      <c r="Z377">
        <f>IF(AND(R377="WON",ISNUMBER(I377)),AA377,"")</f>
        <v/>
      </c>
      <c r="AA377">
        <f>IFERROR(I377*1,0)</f>
        <v/>
      </c>
    </row>
    <row r="378" ht="15" customHeight="1">
      <c r="Z378">
        <f>IF(AND(R378="WON",ISNUMBER(I378)),AA378,"")</f>
        <v/>
      </c>
      <c r="AA378">
        <f>IFERROR(I378*1,0)</f>
        <v/>
      </c>
    </row>
    <row r="379" ht="15" customHeight="1">
      <c r="Z379">
        <f>IF(AND(R379="WON",ISNUMBER(I379)),AA379,"")</f>
        <v/>
      </c>
      <c r="AA379">
        <f>IFERROR(I379*1,0)</f>
        <v/>
      </c>
    </row>
    <row r="380" ht="15" customHeight="1">
      <c r="Z380">
        <f>IF(AND(R380="WON",ISNUMBER(I380)),AA380,"")</f>
        <v/>
      </c>
      <c r="AA380">
        <f>IFERROR(I380*1,0)</f>
        <v/>
      </c>
    </row>
    <row r="381" ht="15" customHeight="1">
      <c r="Z381">
        <f>IF(AND(R381="WON",ISNUMBER(I381)),AA381,"")</f>
        <v/>
      </c>
      <c r="AA381">
        <f>IFERROR(I381*1,0)</f>
        <v/>
      </c>
    </row>
    <row r="382" ht="15" customHeight="1">
      <c r="Z382">
        <f>IF(AND(R382="WON",ISNUMBER(I382)),AA382,"")</f>
        <v/>
      </c>
      <c r="AA382">
        <f>IFERROR(I382*1,0)</f>
        <v/>
      </c>
    </row>
    <row r="383" ht="15" customHeight="1">
      <c r="Z383">
        <f>IF(AND(R383="WON",ISNUMBER(I383)),AA383,"")</f>
        <v/>
      </c>
      <c r="AA383">
        <f>IFERROR(I383*1,0)</f>
        <v/>
      </c>
    </row>
    <row r="384" ht="15" customHeight="1">
      <c r="Z384">
        <f>IF(AND(R384="WON",ISNUMBER(I384)),AA384,"")</f>
        <v/>
      </c>
      <c r="AA384">
        <f>IFERROR(I384*1,0)</f>
        <v/>
      </c>
    </row>
    <row r="385" ht="15" customHeight="1">
      <c r="Z385">
        <f>IF(AND(R385="WON",ISNUMBER(I385)),AA385,"")</f>
        <v/>
      </c>
      <c r="AA385">
        <f>IFERROR(I385*1,0)</f>
        <v/>
      </c>
    </row>
    <row r="386" ht="15" customHeight="1">
      <c r="Z386">
        <f>IF(AND(R386="WON",ISNUMBER(I386)),AA386,"")</f>
        <v/>
      </c>
      <c r="AA386">
        <f>IFERROR(I386*1,0)</f>
        <v/>
      </c>
    </row>
    <row r="387" ht="15" customHeight="1">
      <c r="Z387">
        <f>IF(AND(R387="WON",ISNUMBER(I387)),AA387,"")</f>
        <v/>
      </c>
      <c r="AA387">
        <f>IFERROR(I387*1,0)</f>
        <v/>
      </c>
    </row>
    <row r="388" ht="15" customHeight="1">
      <c r="Z388">
        <f>IF(AND(R388="WON",ISNUMBER(I388)),AA388,"")</f>
        <v/>
      </c>
      <c r="AA388">
        <f>IFERROR(I388*1,0)</f>
        <v/>
      </c>
    </row>
    <row r="389" ht="15" customHeight="1">
      <c r="Z389">
        <f>IF(AND(R389="WON",ISNUMBER(I389)),AA389,"")</f>
        <v/>
      </c>
      <c r="AA389">
        <f>IFERROR(I389*1,0)</f>
        <v/>
      </c>
    </row>
    <row r="390" ht="15" customHeight="1">
      <c r="Z390">
        <f>IF(AND(R390="WON",ISNUMBER(I390)),AA390,"")</f>
        <v/>
      </c>
      <c r="AA390">
        <f>IFERROR(I390*1,0)</f>
        <v/>
      </c>
    </row>
    <row r="391" ht="15" customHeight="1">
      <c r="Z391">
        <f>IF(AND(R391="WON",ISNUMBER(I391)),AA391,"")</f>
        <v/>
      </c>
      <c r="AA391">
        <f>IFERROR(I391*1,0)</f>
        <v/>
      </c>
    </row>
    <row r="392" ht="15" customHeight="1">
      <c r="Z392">
        <f>IF(AND(R392="WON",ISNUMBER(I392)),AA392,"")</f>
        <v/>
      </c>
      <c r="AA392">
        <f>IFERROR(I392*1,0)</f>
        <v/>
      </c>
    </row>
    <row r="393" ht="15" customHeight="1">
      <c r="Z393">
        <f>IF(AND(R393="WON",ISNUMBER(I393)),AA393,"")</f>
        <v/>
      </c>
      <c r="AA393">
        <f>IFERROR(I393*1,0)</f>
        <v/>
      </c>
    </row>
    <row r="394" ht="15" customHeight="1">
      <c r="Z394">
        <f>IF(AND(R394="WON",ISNUMBER(I394)),AA394,"")</f>
        <v/>
      </c>
      <c r="AA394">
        <f>IFERROR(I394*1,0)</f>
        <v/>
      </c>
    </row>
    <row r="395" ht="15" customHeight="1">
      <c r="Z395">
        <f>IF(AND(R395="WON",ISNUMBER(I395)),AA395,"")</f>
        <v/>
      </c>
      <c r="AA395">
        <f>IFERROR(I395*1,0)</f>
        <v/>
      </c>
    </row>
    <row r="396" ht="15" customHeight="1">
      <c r="Z396">
        <f>IF(AND(R396="WON",ISNUMBER(I396)),AA396,"")</f>
        <v/>
      </c>
      <c r="AA396">
        <f>IFERROR(I396*1,0)</f>
        <v/>
      </c>
    </row>
    <row r="397" ht="15" customHeight="1">
      <c r="Z397">
        <f>IF(AND(R397="WON",ISNUMBER(I397)),AA397,"")</f>
        <v/>
      </c>
      <c r="AA397">
        <f>IFERROR(I397*1,0)</f>
        <v/>
      </c>
    </row>
    <row r="398" ht="15" customHeight="1">
      <c r="Z398">
        <f>IF(AND(R398="WON",ISNUMBER(I398)),AA398,"")</f>
        <v/>
      </c>
      <c r="AA398">
        <f>IFERROR(I398*1,0)</f>
        <v/>
      </c>
    </row>
    <row r="399" ht="15" customHeight="1">
      <c r="Z399">
        <f>IF(AND(R399="WON",ISNUMBER(I399)),AA399,"")</f>
        <v/>
      </c>
      <c r="AA399">
        <f>IFERROR(I399*1,0)</f>
        <v/>
      </c>
    </row>
    <row r="400" ht="15" customHeight="1">
      <c r="Z400">
        <f>IF(AND(R400="WON",ISNUMBER(I400)),AA400,"")</f>
        <v/>
      </c>
      <c r="AA400">
        <f>IFERROR(I400*1,0)</f>
        <v/>
      </c>
    </row>
    <row r="401" ht="15" customHeight="1">
      <c r="Z401">
        <f>IF(AND(R401="WON",ISNUMBER(I401)),AA401,"")</f>
        <v/>
      </c>
      <c r="AA401">
        <f>IFERROR(I401*1,0)</f>
        <v/>
      </c>
    </row>
    <row r="402" ht="15" customHeight="1">
      <c r="Z402">
        <f>IF(AND(R402="WON",ISNUMBER(I402)),AA402,"")</f>
        <v/>
      </c>
      <c r="AA402">
        <f>IFERROR(I402*1,0)</f>
        <v/>
      </c>
    </row>
    <row r="403" ht="15" customHeight="1">
      <c r="Z403">
        <f>IF(AND(R403="WON",ISNUMBER(I403)),AA403,"")</f>
        <v/>
      </c>
      <c r="AA403">
        <f>IFERROR(I403*1,0)</f>
        <v/>
      </c>
    </row>
    <row r="404" ht="15" customHeight="1">
      <c r="Z404">
        <f>IF(AND(R404="WON",ISNUMBER(I404)),AA404,"")</f>
        <v/>
      </c>
      <c r="AA404">
        <f>IFERROR(I404*1,0)</f>
        <v/>
      </c>
    </row>
    <row r="405" ht="15" customHeight="1">
      <c r="Z405">
        <f>IF(AND(R405="WON",ISNUMBER(I405)),AA405,"")</f>
        <v/>
      </c>
      <c r="AA405">
        <f>IFERROR(I405*1,0)</f>
        <v/>
      </c>
    </row>
    <row r="406" ht="15" customHeight="1">
      <c r="Z406">
        <f>IF(AND(R406="WON",ISNUMBER(I406)),AA406,"")</f>
        <v/>
      </c>
      <c r="AA406">
        <f>IFERROR(I406*1,0)</f>
        <v/>
      </c>
    </row>
    <row r="407" ht="15" customHeight="1">
      <c r="Z407">
        <f>IF(AND(R407="WON",ISNUMBER(I407)),AA407,"")</f>
        <v/>
      </c>
      <c r="AA407">
        <f>IFERROR(I407*1,0)</f>
        <v/>
      </c>
    </row>
    <row r="408" ht="15" customHeight="1">
      <c r="Z408">
        <f>IF(AND(R408="WON",ISNUMBER(I408)),AA408,"")</f>
        <v/>
      </c>
      <c r="AA408">
        <f>IFERROR(I408*1,0)</f>
        <v/>
      </c>
    </row>
    <row r="409" ht="15" customHeight="1">
      <c r="Z409">
        <f>IF(AND(R409="WON",ISNUMBER(I409)),AA409,"")</f>
        <v/>
      </c>
      <c r="AA409">
        <f>IFERROR(I409*1,0)</f>
        <v/>
      </c>
    </row>
    <row r="410" ht="15" customHeight="1">
      <c r="Z410">
        <f>IF(AND(R410="WON",ISNUMBER(I410)),AA410,"")</f>
        <v/>
      </c>
      <c r="AA410">
        <f>IFERROR(I410*1,0)</f>
        <v/>
      </c>
    </row>
    <row r="411" ht="15" customHeight="1">
      <c r="Z411">
        <f>IF(AND(R411="WON",ISNUMBER(I411)),AA411,"")</f>
        <v/>
      </c>
      <c r="AA411">
        <f>IFERROR(I411*1,0)</f>
        <v/>
      </c>
    </row>
    <row r="412" ht="15" customHeight="1">
      <c r="Z412">
        <f>IF(AND(R412="WON",ISNUMBER(I412)),AA412,"")</f>
        <v/>
      </c>
      <c r="AA412">
        <f>IFERROR(I412*1,0)</f>
        <v/>
      </c>
    </row>
    <row r="413" ht="15" customHeight="1">
      <c r="Z413">
        <f>IF(AND(R413="WON",ISNUMBER(I413)),AA413,"")</f>
        <v/>
      </c>
      <c r="AA413">
        <f>IFERROR(I413*1,0)</f>
        <v/>
      </c>
    </row>
    <row r="414" ht="15" customHeight="1">
      <c r="Z414">
        <f>IF(AND(R414="WON",ISNUMBER(I414)),AA414,"")</f>
        <v/>
      </c>
      <c r="AA414">
        <f>IFERROR(I414*1,0)</f>
        <v/>
      </c>
    </row>
    <row r="415" ht="15" customHeight="1">
      <c r="Z415">
        <f>IF(AND(R415="WON",ISNUMBER(I415)),AA415,"")</f>
        <v/>
      </c>
      <c r="AA415">
        <f>IFERROR(I415*1,0)</f>
        <v/>
      </c>
    </row>
    <row r="416" ht="15" customHeight="1">
      <c r="Z416">
        <f>IF(AND(R416="WON",ISNUMBER(I416)),AA416,"")</f>
        <v/>
      </c>
      <c r="AA416">
        <f>IFERROR(I416*1,0)</f>
        <v/>
      </c>
    </row>
    <row r="417" ht="15" customHeight="1">
      <c r="Z417">
        <f>IF(AND(R417="WON",ISNUMBER(I417)),AA417,"")</f>
        <v/>
      </c>
      <c r="AA417">
        <f>IFERROR(I417*1,0)</f>
        <v/>
      </c>
    </row>
    <row r="418" ht="15" customHeight="1">
      <c r="Z418">
        <f>IF(AND(R418="WON",ISNUMBER(I418)),AA418,"")</f>
        <v/>
      </c>
      <c r="AA418">
        <f>IFERROR(I418*1,0)</f>
        <v/>
      </c>
    </row>
    <row r="419" ht="15" customHeight="1">
      <c r="Z419">
        <f>IF(AND(R419="WON",ISNUMBER(I419)),AA419,"")</f>
        <v/>
      </c>
      <c r="AA419">
        <f>IFERROR(I419*1,0)</f>
        <v/>
      </c>
    </row>
    <row r="420" ht="15" customHeight="1">
      <c r="Z420">
        <f>IF(AND(R420="WON",ISNUMBER(I420)),AA420,"")</f>
        <v/>
      </c>
      <c r="AA420">
        <f>IFERROR(I420*1,0)</f>
        <v/>
      </c>
    </row>
    <row r="421" ht="15" customHeight="1">
      <c r="Z421">
        <f>IF(AND(R421="WON",ISNUMBER(I421)),AA421,"")</f>
        <v/>
      </c>
      <c r="AA421">
        <f>IFERROR(I421*1,0)</f>
        <v/>
      </c>
    </row>
    <row r="422" ht="15" customHeight="1">
      <c r="Z422">
        <f>IF(AND(R422="WON",ISNUMBER(I422)),AA422,"")</f>
        <v/>
      </c>
      <c r="AA422">
        <f>IFERROR(I422*1,0)</f>
        <v/>
      </c>
    </row>
    <row r="423" ht="15" customHeight="1">
      <c r="Z423">
        <f>IF(AND(R423="WON",ISNUMBER(I423)),AA423,"")</f>
        <v/>
      </c>
      <c r="AA423">
        <f>IFERROR(I423*1,0)</f>
        <v/>
      </c>
    </row>
    <row r="424" ht="15" customHeight="1">
      <c r="Z424">
        <f>IF(AND(R424="WON",ISNUMBER(I424)),AA424,"")</f>
        <v/>
      </c>
      <c r="AA424">
        <f>IFERROR(I424*1,0)</f>
        <v/>
      </c>
    </row>
    <row r="425" ht="15" customHeight="1">
      <c r="Z425">
        <f>IF(AND(R425="WON",ISNUMBER(I425)),AA425,"")</f>
        <v/>
      </c>
      <c r="AA425">
        <f>IFERROR(I425*1,0)</f>
        <v/>
      </c>
    </row>
    <row r="426" ht="15" customHeight="1">
      <c r="Z426">
        <f>IF(AND(R426="WON",ISNUMBER(I426)),AA426,"")</f>
        <v/>
      </c>
      <c r="AA426">
        <f>IFERROR(I426*1,0)</f>
        <v/>
      </c>
    </row>
    <row r="427" ht="15" customHeight="1">
      <c r="Z427">
        <f>IF(AND(R427="WON",ISNUMBER(I427)),AA427,"")</f>
        <v/>
      </c>
      <c r="AA427">
        <f>IFERROR(I427*1,0)</f>
        <v/>
      </c>
    </row>
    <row r="428" ht="15" customHeight="1">
      <c r="Z428">
        <f>IF(AND(R428="WON",ISNUMBER(I428)),AA428,"")</f>
        <v/>
      </c>
      <c r="AA428">
        <f>IFERROR(I428*1,0)</f>
        <v/>
      </c>
    </row>
    <row r="429" ht="15" customHeight="1">
      <c r="Z429">
        <f>IF(AND(R429="WON",ISNUMBER(I429)),AA429,"")</f>
        <v/>
      </c>
      <c r="AA429">
        <f>IFERROR(I429*1,0)</f>
        <v/>
      </c>
    </row>
    <row r="430" ht="15" customHeight="1">
      <c r="Z430">
        <f>IF(AND(R430="WON",ISNUMBER(I430)),AA430,"")</f>
        <v/>
      </c>
      <c r="AA430">
        <f>IFERROR(I430*1,0)</f>
        <v/>
      </c>
    </row>
    <row r="431" ht="15" customHeight="1">
      <c r="Z431">
        <f>IF(AND(R431="WON",ISNUMBER(I431)),AA431,"")</f>
        <v/>
      </c>
      <c r="AA431">
        <f>IFERROR(I431*1,0)</f>
        <v/>
      </c>
    </row>
    <row r="432" ht="15" customHeight="1">
      <c r="Z432">
        <f>IF(AND(R432="WON",ISNUMBER(I432)),AA432,"")</f>
        <v/>
      </c>
      <c r="AA432">
        <f>IFERROR(I432*1,0)</f>
        <v/>
      </c>
    </row>
    <row r="433" ht="15" customHeight="1">
      <c r="Z433">
        <f>IF(AND(R433="WON",ISNUMBER(I433)),AA433,"")</f>
        <v/>
      </c>
      <c r="AA433">
        <f>IFERROR(I433*1,0)</f>
        <v/>
      </c>
    </row>
    <row r="434" ht="15" customHeight="1">
      <c r="Z434">
        <f>IF(AND(R434="WON",ISNUMBER(I434)),AA434,"")</f>
        <v/>
      </c>
      <c r="AA434">
        <f>IFERROR(I434*1,0)</f>
        <v/>
      </c>
    </row>
    <row r="435" ht="15" customHeight="1">
      <c r="Z435">
        <f>IF(AND(R435="WON",ISNUMBER(I435)),AA435,"")</f>
        <v/>
      </c>
      <c r="AA435">
        <f>IFERROR(I435*1,0)</f>
        <v/>
      </c>
    </row>
    <row r="436" ht="15" customHeight="1">
      <c r="Z436">
        <f>IF(AND(R436="WON",ISNUMBER(I436)),AA436,"")</f>
        <v/>
      </c>
      <c r="AA436">
        <f>IFERROR(I436*1,0)</f>
        <v/>
      </c>
    </row>
    <row r="437" ht="15" customHeight="1">
      <c r="Z437">
        <f>IF(AND(R437="WON",ISNUMBER(I437)),AA437,"")</f>
        <v/>
      </c>
      <c r="AA437">
        <f>IFERROR(I437*1,0)</f>
        <v/>
      </c>
    </row>
    <row r="438" ht="15" customHeight="1">
      <c r="Z438">
        <f>IF(AND(R438="WON",ISNUMBER(I438)),AA438,"")</f>
        <v/>
      </c>
      <c r="AA438">
        <f>IFERROR(I438*1,0)</f>
        <v/>
      </c>
    </row>
    <row r="439" ht="15" customHeight="1">
      <c r="Z439">
        <f>IF(AND(R439="WON",ISNUMBER(I439)),AA439,"")</f>
        <v/>
      </c>
      <c r="AA439">
        <f>IFERROR(I439*1,0)</f>
        <v/>
      </c>
    </row>
    <row r="440" ht="15" customHeight="1">
      <c r="Z440">
        <f>IF(AND(R440="WON",ISNUMBER(I440)),AA440,"")</f>
        <v/>
      </c>
      <c r="AA440">
        <f>IFERROR(I440*1,0)</f>
        <v/>
      </c>
    </row>
    <row r="441" ht="15" customHeight="1">
      <c r="Z441">
        <f>IF(AND(R441="WON",ISNUMBER(I441)),AA441,"")</f>
        <v/>
      </c>
      <c r="AA441">
        <f>IFERROR(I441*1,0)</f>
        <v/>
      </c>
    </row>
    <row r="442" ht="15" customHeight="1">
      <c r="Z442">
        <f>IF(AND(R442="WON",ISNUMBER(I442)),AA442,"")</f>
        <v/>
      </c>
      <c r="AA442">
        <f>IFERROR(I442*1,0)</f>
        <v/>
      </c>
    </row>
    <row r="443" ht="15" customHeight="1">
      <c r="Z443">
        <f>IF(AND(R443="WON",ISNUMBER(I443)),AA443,"")</f>
        <v/>
      </c>
      <c r="AA443">
        <f>IFERROR(I443*1,0)</f>
        <v/>
      </c>
    </row>
    <row r="444" ht="15" customHeight="1">
      <c r="Z444">
        <f>IF(AND(R444="WON",ISNUMBER(I444)),AA444,"")</f>
        <v/>
      </c>
      <c r="AA444">
        <f>IFERROR(I444*1,0)</f>
        <v/>
      </c>
    </row>
    <row r="445" ht="15" customHeight="1">
      <c r="Z445">
        <f>IF(AND(R445="WON",ISNUMBER(I445)),AA445,"")</f>
        <v/>
      </c>
      <c r="AA445">
        <f>IFERROR(I445*1,0)</f>
        <v/>
      </c>
    </row>
    <row r="446" ht="15" customHeight="1">
      <c r="Z446">
        <f>IF(AND(R446="WON",ISNUMBER(I446)),AA446,"")</f>
        <v/>
      </c>
      <c r="AA446">
        <f>IFERROR(I446*1,0)</f>
        <v/>
      </c>
    </row>
    <row r="447" ht="15" customHeight="1">
      <c r="Z447">
        <f>IF(AND(R447="WON",ISNUMBER(I447)),AA447,"")</f>
        <v/>
      </c>
      <c r="AA447">
        <f>IFERROR(I447*1,0)</f>
        <v/>
      </c>
    </row>
    <row r="448" ht="15" customHeight="1">
      <c r="Z448">
        <f>IF(AND(R448="WON",ISNUMBER(I448)),AA448,"")</f>
        <v/>
      </c>
      <c r="AA448">
        <f>IFERROR(I448*1,0)</f>
        <v/>
      </c>
    </row>
    <row r="449" ht="15" customHeight="1">
      <c r="Z449">
        <f>IF(AND(R449="WON",ISNUMBER(I449)),AA449,"")</f>
        <v/>
      </c>
      <c r="AA449">
        <f>IFERROR(I449*1,0)</f>
        <v/>
      </c>
    </row>
    <row r="450" ht="15" customHeight="1">
      <c r="Z450">
        <f>IF(AND(R450="WON",ISNUMBER(I450)),AA450,"")</f>
        <v/>
      </c>
      <c r="AA450">
        <f>IFERROR(I450*1,0)</f>
        <v/>
      </c>
    </row>
    <row r="451" ht="15" customHeight="1">
      <c r="Z451">
        <f>IF(AND(R451="WON",ISNUMBER(I451)),AA451,"")</f>
        <v/>
      </c>
      <c r="AA451">
        <f>IFERROR(I451*1,0)</f>
        <v/>
      </c>
    </row>
    <row r="452" ht="15" customHeight="1">
      <c r="Z452">
        <f>IF(AND(R452="WON",ISNUMBER(I452)),AA452,"")</f>
        <v/>
      </c>
      <c r="AA452">
        <f>IFERROR(I452*1,0)</f>
        <v/>
      </c>
    </row>
    <row r="453" ht="15" customHeight="1">
      <c r="Z453">
        <f>IF(AND(R453="WON",ISNUMBER(I453)),AA453,"")</f>
        <v/>
      </c>
      <c r="AA453">
        <f>IFERROR(I453*1,0)</f>
        <v/>
      </c>
    </row>
    <row r="454" ht="15" customHeight="1">
      <c r="Z454">
        <f>IF(AND(R454="WON",ISNUMBER(I454)),AA454,"")</f>
        <v/>
      </c>
      <c r="AA454">
        <f>IFERROR(I454*1,0)</f>
        <v/>
      </c>
    </row>
    <row r="455" ht="15" customHeight="1">
      <c r="Z455">
        <f>IF(AND(R455="WON",ISNUMBER(I455)),AA455,"")</f>
        <v/>
      </c>
      <c r="AA455">
        <f>IFERROR(I455*1,0)</f>
        <v/>
      </c>
    </row>
    <row r="456" ht="15" customHeight="1">
      <c r="Z456">
        <f>IF(AND(R456="WON",ISNUMBER(I456)),AA456,"")</f>
        <v/>
      </c>
      <c r="AA456">
        <f>IFERROR(I456*1,0)</f>
        <v/>
      </c>
    </row>
    <row r="457" ht="15" customHeight="1">
      <c r="Z457">
        <f>IF(AND(R457="WON",ISNUMBER(I457)),AA457,"")</f>
        <v/>
      </c>
      <c r="AA457">
        <f>IFERROR(I457*1,0)</f>
        <v/>
      </c>
    </row>
    <row r="458" ht="15" customHeight="1">
      <c r="Z458">
        <f>IF(AND(R458="WON",ISNUMBER(I458)),AA458,"")</f>
        <v/>
      </c>
      <c r="AA458">
        <f>IFERROR(I458*1,0)</f>
        <v/>
      </c>
    </row>
    <row r="459" ht="15" customHeight="1">
      <c r="Z459">
        <f>IF(AND(R459="WON",ISNUMBER(I459)),AA459,"")</f>
        <v/>
      </c>
      <c r="AA459">
        <f>IFERROR(I459*1,0)</f>
        <v/>
      </c>
    </row>
    <row r="460" ht="15" customHeight="1">
      <c r="Z460">
        <f>IF(AND(R460="WON",ISNUMBER(I460)),AA460,"")</f>
        <v/>
      </c>
      <c r="AA460">
        <f>IFERROR(I460*1,0)</f>
        <v/>
      </c>
    </row>
    <row r="461" ht="15" customHeight="1">
      <c r="Z461">
        <f>IF(AND(R461="WON",ISNUMBER(I461)),AA461,"")</f>
        <v/>
      </c>
      <c r="AA461">
        <f>IFERROR(I461*1,0)</f>
        <v/>
      </c>
    </row>
    <row r="462" ht="15" customHeight="1">
      <c r="Z462">
        <f>IF(AND(R462="WON",ISNUMBER(I462)),AA462,"")</f>
        <v/>
      </c>
      <c r="AA462">
        <f>IFERROR(I462*1,0)</f>
        <v/>
      </c>
    </row>
    <row r="463" ht="15" customHeight="1">
      <c r="Z463">
        <f>IF(AND(R463="WON",ISNUMBER(I463)),AA463,"")</f>
        <v/>
      </c>
      <c r="AA463">
        <f>IFERROR(I463*1,0)</f>
        <v/>
      </c>
    </row>
    <row r="464" ht="15" customHeight="1">
      <c r="Z464">
        <f>IF(AND(R464="WON",ISNUMBER(I464)),AA464,"")</f>
        <v/>
      </c>
      <c r="AA464">
        <f>IFERROR(I464*1,0)</f>
        <v/>
      </c>
    </row>
    <row r="465" ht="15" customHeight="1">
      <c r="Z465">
        <f>IF(AND(R465="WON",ISNUMBER(I465)),AA465,"")</f>
        <v/>
      </c>
      <c r="AA465">
        <f>IFERROR(I465*1,0)</f>
        <v/>
      </c>
    </row>
    <row r="466" ht="15" customHeight="1">
      <c r="Z466">
        <f>IF(AND(R466="WON",ISNUMBER(I466)),AA466,"")</f>
        <v/>
      </c>
      <c r="AA466">
        <f>IFERROR(I466*1,0)</f>
        <v/>
      </c>
    </row>
    <row r="467" ht="15" customHeight="1">
      <c r="Z467">
        <f>IF(AND(R467="WON",ISNUMBER(I467)),AA467,"")</f>
        <v/>
      </c>
      <c r="AA467">
        <f>IFERROR(I467*1,0)</f>
        <v/>
      </c>
    </row>
    <row r="468" ht="15" customHeight="1">
      <c r="Z468">
        <f>IF(AND(R468="WON",ISNUMBER(I468)),AA468,"")</f>
        <v/>
      </c>
      <c r="AA468">
        <f>IFERROR(I468*1,0)</f>
        <v/>
      </c>
    </row>
    <row r="469" ht="15" customHeight="1">
      <c r="Z469">
        <f>IF(AND(R469="WON",ISNUMBER(I469)),AA469,"")</f>
        <v/>
      </c>
      <c r="AA469">
        <f>IFERROR(I469*1,0)</f>
        <v/>
      </c>
    </row>
    <row r="470" ht="15" customHeight="1">
      <c r="Z470">
        <f>IF(AND(R470="WON",ISNUMBER(I470)),AA470,"")</f>
        <v/>
      </c>
      <c r="AA470">
        <f>IFERROR(I470*1,0)</f>
        <v/>
      </c>
    </row>
    <row r="471" ht="15" customHeight="1">
      <c r="Z471">
        <f>IF(AND(R471="WON",ISNUMBER(I471)),AA471,"")</f>
        <v/>
      </c>
      <c r="AA471">
        <f>IFERROR(I471*1,0)</f>
        <v/>
      </c>
    </row>
    <row r="472" ht="15" customHeight="1">
      <c r="Z472">
        <f>IF(AND(R472="WON",ISNUMBER(I472)),AA472,"")</f>
        <v/>
      </c>
      <c r="AA472">
        <f>IFERROR(I472*1,0)</f>
        <v/>
      </c>
    </row>
    <row r="473" ht="15" customHeight="1">
      <c r="Z473">
        <f>IF(AND(R473="WON",ISNUMBER(I473)),AA473,"")</f>
        <v/>
      </c>
      <c r="AA473">
        <f>IFERROR(I473*1,0)</f>
        <v/>
      </c>
    </row>
    <row r="474" ht="15" customHeight="1">
      <c r="Z474">
        <f>IF(AND(R474="WON",ISNUMBER(I474)),AA474,"")</f>
        <v/>
      </c>
      <c r="AA474">
        <f>IFERROR(I474*1,0)</f>
        <v/>
      </c>
    </row>
    <row r="475" ht="15" customHeight="1">
      <c r="Z475">
        <f>IF(AND(R475="WON",ISNUMBER(I475)),AA475,"")</f>
        <v/>
      </c>
      <c r="AA475">
        <f>IFERROR(I475*1,0)</f>
        <v/>
      </c>
    </row>
    <row r="476" ht="15" customHeight="1">
      <c r="Z476">
        <f>IF(AND(R476="WON",ISNUMBER(I476)),AA476,"")</f>
        <v/>
      </c>
      <c r="AA476">
        <f>IFERROR(I476*1,0)</f>
        <v/>
      </c>
    </row>
    <row r="477" ht="15" customHeight="1">
      <c r="Z477">
        <f>IF(AND(R477="WON",ISNUMBER(I477)),AA477,"")</f>
        <v/>
      </c>
      <c r="AA477">
        <f>IFERROR(I477*1,0)</f>
        <v/>
      </c>
    </row>
    <row r="478" ht="15" customHeight="1">
      <c r="Z478">
        <f>IF(AND(R478="WON",ISNUMBER(I478)),AA478,"")</f>
        <v/>
      </c>
      <c r="AA478">
        <f>IFERROR(I478*1,0)</f>
        <v/>
      </c>
    </row>
    <row r="479" ht="15" customHeight="1">
      <c r="Z479">
        <f>IF(AND(R479="WON",ISNUMBER(I479)),AA479,"")</f>
        <v/>
      </c>
      <c r="AA479">
        <f>IFERROR(I479*1,0)</f>
        <v/>
      </c>
    </row>
    <row r="480" ht="15" customHeight="1">
      <c r="Z480">
        <f>IF(AND(R480="WON",ISNUMBER(I480)),AA480,"")</f>
        <v/>
      </c>
      <c r="AA480">
        <f>IFERROR(I480*1,0)</f>
        <v/>
      </c>
    </row>
    <row r="481" ht="15" customHeight="1">
      <c r="Z481">
        <f>IF(AND(R481="WON",ISNUMBER(I481)),AA481,"")</f>
        <v/>
      </c>
      <c r="AA481">
        <f>IFERROR(I481*1,0)</f>
        <v/>
      </c>
    </row>
    <row r="482" ht="15" customHeight="1">
      <c r="Z482">
        <f>IF(AND(R482="WON",ISNUMBER(I482)),AA482,"")</f>
        <v/>
      </c>
      <c r="AA482">
        <f>IFERROR(I482*1,0)</f>
        <v/>
      </c>
    </row>
    <row r="483" ht="15" customHeight="1">
      <c r="Z483">
        <f>IF(AND(R483="WON",ISNUMBER(I483)),AA483,"")</f>
        <v/>
      </c>
      <c r="AA483">
        <f>IFERROR(I483*1,0)</f>
        <v/>
      </c>
    </row>
    <row r="484" ht="15" customHeight="1">
      <c r="Z484">
        <f>IF(AND(R484="WON",ISNUMBER(I484)),AA484,"")</f>
        <v/>
      </c>
      <c r="AA484">
        <f>IFERROR(I484*1,0)</f>
        <v/>
      </c>
    </row>
    <row r="485" ht="15" customHeight="1">
      <c r="Z485">
        <f>IF(AND(R485="WON",ISNUMBER(I485)),AA485,"")</f>
        <v/>
      </c>
      <c r="AA485">
        <f>IFERROR(I485*1,0)</f>
        <v/>
      </c>
    </row>
    <row r="486" ht="15" customHeight="1">
      <c r="Z486">
        <f>IF(AND(R486="WON",ISNUMBER(I486)),AA486,"")</f>
        <v/>
      </c>
      <c r="AA486">
        <f>IFERROR(I486*1,0)</f>
        <v/>
      </c>
    </row>
    <row r="487" ht="15" customHeight="1">
      <c r="Z487">
        <f>IF(AND(R487="WON",ISNUMBER(I487)),AA487,"")</f>
        <v/>
      </c>
      <c r="AA487">
        <f>IFERROR(I487*1,0)</f>
        <v/>
      </c>
    </row>
    <row r="488" ht="15" customHeight="1">
      <c r="Z488">
        <f>IF(AND(R488="WON",ISNUMBER(I488)),AA488,"")</f>
        <v/>
      </c>
      <c r="AA488">
        <f>IFERROR(I488*1,0)</f>
        <v/>
      </c>
    </row>
    <row r="489" ht="15" customHeight="1">
      <c r="Z489">
        <f>IF(AND(R489="WON",ISNUMBER(I489)),AA489,"")</f>
        <v/>
      </c>
      <c r="AA489">
        <f>IFERROR(I489*1,0)</f>
        <v/>
      </c>
    </row>
    <row r="490" ht="15" customHeight="1">
      <c r="Z490">
        <f>IF(AND(R490="WON",ISNUMBER(I490)),AA490,"")</f>
        <v/>
      </c>
      <c r="AA490">
        <f>IFERROR(I490*1,0)</f>
        <v/>
      </c>
    </row>
    <row r="491" ht="15" customHeight="1">
      <c r="Z491">
        <f>IF(AND(R491="WON",ISNUMBER(I491)),AA491,"")</f>
        <v/>
      </c>
      <c r="AA491">
        <f>IFERROR(I491*1,0)</f>
        <v/>
      </c>
    </row>
    <row r="492" ht="15" customHeight="1">
      <c r="Z492">
        <f>IF(AND(R492="WON",ISNUMBER(I492)),AA492,"")</f>
        <v/>
      </c>
      <c r="AA492">
        <f>IFERROR(I492*1,0)</f>
        <v/>
      </c>
    </row>
    <row r="493" ht="15" customHeight="1">
      <c r="Z493">
        <f>IF(AND(R493="WON",ISNUMBER(I493)),AA493,"")</f>
        <v/>
      </c>
      <c r="AA493">
        <f>IFERROR(I493*1,0)</f>
        <v/>
      </c>
    </row>
    <row r="494" ht="15" customHeight="1">
      <c r="Z494">
        <f>IF(AND(R494="WON",ISNUMBER(I494)),AA494,"")</f>
        <v/>
      </c>
      <c r="AA494">
        <f>IFERROR(I494*1,0)</f>
        <v/>
      </c>
    </row>
    <row r="495" ht="15" customHeight="1">
      <c r="Z495">
        <f>IF(AND(R495="WON",ISNUMBER(I495)),AA495,"")</f>
        <v/>
      </c>
      <c r="AA495">
        <f>IFERROR(I495*1,0)</f>
        <v/>
      </c>
    </row>
    <row r="496" ht="15" customHeight="1">
      <c r="Z496">
        <f>IF(AND(R496="WON",ISNUMBER(I496)),AA496,"")</f>
        <v/>
      </c>
      <c r="AA496">
        <f>IFERROR(I496*1,0)</f>
        <v/>
      </c>
    </row>
    <row r="497" ht="15" customHeight="1">
      <c r="Z497">
        <f>IF(AND(R497="WON",ISNUMBER(I497)),AA497,"")</f>
        <v/>
      </c>
      <c r="AA497">
        <f>IFERROR(I497*1,0)</f>
        <v/>
      </c>
    </row>
    <row r="498" ht="15" customHeight="1">
      <c r="Z498">
        <f>IF(AND(R498="WON",ISNUMBER(I498)),AA498,"")</f>
        <v/>
      </c>
      <c r="AA498">
        <f>IFERROR(I498*1,0)</f>
        <v/>
      </c>
    </row>
    <row r="499" ht="15" customHeight="1">
      <c r="Z499">
        <f>IF(AND(R499="WON",ISNUMBER(I499)),AA499,"")</f>
        <v/>
      </c>
      <c r="AA499">
        <f>IFERROR(I499*1,0)</f>
        <v/>
      </c>
    </row>
    <row r="500" ht="15" customHeight="1">
      <c r="Z500">
        <f>IF(AND(R500="WON",ISNUMBER(I500)),AA500,"")</f>
        <v/>
      </c>
      <c r="AA500">
        <f>IFERROR(I500*1,0)</f>
        <v/>
      </c>
    </row>
    <row r="501" ht="15" customHeight="1">
      <c r="Z501">
        <f>IF(AND(R501="WON",ISNUMBER(I501)),AA501,"")</f>
        <v/>
      </c>
      <c r="AA501">
        <f>IFERROR(I501*1,0)</f>
        <v/>
      </c>
    </row>
    <row r="502" ht="15" customHeight="1">
      <c r="Z502">
        <f>IF(AND(R502="WON",ISNUMBER(I502)),AA502,"")</f>
        <v/>
      </c>
      <c r="AA502">
        <f>IFERROR(I502*1,0)</f>
        <v/>
      </c>
    </row>
    <row r="503" ht="15" customHeight="1">
      <c r="Z503">
        <f>IF(AND(R503="WON",ISNUMBER(I503)),AA503,"")</f>
        <v/>
      </c>
      <c r="AA503">
        <f>IFERROR(I503*1,0)</f>
        <v/>
      </c>
    </row>
    <row r="504" ht="15" customHeight="1">
      <c r="Z504">
        <f>IF(AND(R504="WON",ISNUMBER(I504)),AA504,"")</f>
        <v/>
      </c>
      <c r="AA504">
        <f>IFERROR(I504*1,0)</f>
        <v/>
      </c>
    </row>
    <row r="505" ht="15" customHeight="1">
      <c r="Z505">
        <f>IF(AND(R505="WON",ISNUMBER(I505)),AA505,"")</f>
        <v/>
      </c>
      <c r="AA505">
        <f>IFERROR(I505*1,0)</f>
        <v/>
      </c>
    </row>
    <row r="506" ht="15" customHeight="1">
      <c r="Z506">
        <f>IF(AND(R506="WON",ISNUMBER(I506)),AA506,"")</f>
        <v/>
      </c>
      <c r="AA506">
        <f>IFERROR(I506*1,0)</f>
        <v/>
      </c>
    </row>
    <row r="507" ht="15" customHeight="1">
      <c r="Z507">
        <f>IF(AND(R507="WON",ISNUMBER(I507)),AA507,"")</f>
        <v/>
      </c>
      <c r="AA507">
        <f>IFERROR(I507*1,0)</f>
        <v/>
      </c>
    </row>
    <row r="508" ht="15" customHeight="1">
      <c r="Z508">
        <f>IF(AND(R508="WON",ISNUMBER(I508)),AA508,"")</f>
        <v/>
      </c>
      <c r="AA508">
        <f>IFERROR(I508*1,0)</f>
        <v/>
      </c>
    </row>
    <row r="509" ht="15" customHeight="1">
      <c r="Z509">
        <f>IF(AND(R509="WON",ISNUMBER(I509)),AA509,"")</f>
        <v/>
      </c>
      <c r="AA509">
        <f>IFERROR(I509*1,0)</f>
        <v/>
      </c>
    </row>
    <row r="510" ht="15" customHeight="1">
      <c r="Z510">
        <f>IF(AND(R510="WON",ISNUMBER(I510)),AA510,"")</f>
        <v/>
      </c>
      <c r="AA510">
        <f>IFERROR(I510*1,0)</f>
        <v/>
      </c>
    </row>
    <row r="511" ht="15" customHeight="1">
      <c r="Z511">
        <f>IF(AND(R511="WON",ISNUMBER(I511)),AA511,"")</f>
        <v/>
      </c>
      <c r="AA511">
        <f>IFERROR(I511*1,0)</f>
        <v/>
      </c>
    </row>
    <row r="512" ht="15" customHeight="1">
      <c r="Z512">
        <f>IF(AND(R512="WON",ISNUMBER(I512)),AA512,"")</f>
        <v/>
      </c>
      <c r="AA512">
        <f>IFERROR(I512*1,0)</f>
        <v/>
      </c>
    </row>
    <row r="513" ht="15" customHeight="1">
      <c r="Z513">
        <f>IF(AND(R513="WON",ISNUMBER(I513)),AA513,"")</f>
        <v/>
      </c>
      <c r="AA513">
        <f>IFERROR(I513*1,0)</f>
        <v/>
      </c>
    </row>
    <row r="514" ht="15" customHeight="1">
      <c r="Z514">
        <f>IF(AND(R514="WON",ISNUMBER(I514)),AA514,"")</f>
        <v/>
      </c>
      <c r="AA514">
        <f>IFERROR(I514*1,0)</f>
        <v/>
      </c>
    </row>
    <row r="515" ht="15" customHeight="1">
      <c r="Z515">
        <f>IF(AND(R515="WON",ISNUMBER(I515)),AA515,"")</f>
        <v/>
      </c>
      <c r="AA515">
        <f>IFERROR(I515*1,0)</f>
        <v/>
      </c>
    </row>
    <row r="516" ht="15" customHeight="1">
      <c r="Z516">
        <f>IF(AND(R516="WON",ISNUMBER(I516)),AA516,"")</f>
        <v/>
      </c>
      <c r="AA516">
        <f>IFERROR(I516*1,0)</f>
        <v/>
      </c>
    </row>
    <row r="517" ht="15" customHeight="1">
      <c r="Z517">
        <f>IF(AND(R517="WON",ISNUMBER(I517)),AA517,"")</f>
        <v/>
      </c>
      <c r="AA517">
        <f>IFERROR(I517*1,0)</f>
        <v/>
      </c>
    </row>
    <row r="518" ht="15" customHeight="1">
      <c r="Z518">
        <f>IF(AND(R518="WON",ISNUMBER(I518)),AA518,"")</f>
        <v/>
      </c>
      <c r="AA518">
        <f>IFERROR(I518*1,0)</f>
        <v/>
      </c>
    </row>
    <row r="519" ht="15" customHeight="1">
      <c r="Z519">
        <f>IF(AND(R519="WON",ISNUMBER(I519)),AA519,"")</f>
        <v/>
      </c>
      <c r="AA519">
        <f>IFERROR(I519*1,0)</f>
        <v/>
      </c>
    </row>
    <row r="520" ht="15" customHeight="1">
      <c r="Z520">
        <f>IF(AND(R520="WON",ISNUMBER(I520)),AA520,"")</f>
        <v/>
      </c>
      <c r="AA520">
        <f>IFERROR(I520*1,0)</f>
        <v/>
      </c>
    </row>
    <row r="521" ht="15" customHeight="1">
      <c r="Z521">
        <f>IF(AND(R521="WON",ISNUMBER(I521)),AA521,"")</f>
        <v/>
      </c>
      <c r="AA521">
        <f>IFERROR(I521*1,0)</f>
        <v/>
      </c>
    </row>
    <row r="522" ht="15" customHeight="1">
      <c r="Z522">
        <f>IF(AND(R522="WON",ISNUMBER(I522)),AA522,"")</f>
        <v/>
      </c>
      <c r="AA522">
        <f>IFERROR(I522*1,0)</f>
        <v/>
      </c>
    </row>
    <row r="523" ht="15" customHeight="1">
      <c r="Z523">
        <f>IF(AND(R523="WON",ISNUMBER(I523)),AA523,"")</f>
        <v/>
      </c>
      <c r="AA523">
        <f>IFERROR(I523*1,0)</f>
        <v/>
      </c>
    </row>
    <row r="524" ht="15" customHeight="1">
      <c r="Z524">
        <f>IF(AND(R524="WON",ISNUMBER(I524)),AA524,"")</f>
        <v/>
      </c>
      <c r="AA524">
        <f>IFERROR(I524*1,0)</f>
        <v/>
      </c>
    </row>
    <row r="525" ht="15" customHeight="1">
      <c r="Z525">
        <f>IF(AND(R525="WON",ISNUMBER(I525)),AA525,"")</f>
        <v/>
      </c>
      <c r="AA525">
        <f>IFERROR(I525*1,0)</f>
        <v/>
      </c>
    </row>
    <row r="526" ht="15" customHeight="1">
      <c r="Z526">
        <f>IF(AND(R526="WON",ISNUMBER(I526)),AA526,"")</f>
        <v/>
      </c>
      <c r="AA526">
        <f>IFERROR(I526*1,0)</f>
        <v/>
      </c>
    </row>
    <row r="527" ht="15" customHeight="1">
      <c r="Z527">
        <f>IF(AND(R527="WON",ISNUMBER(I527)),AA527,"")</f>
        <v/>
      </c>
      <c r="AA527">
        <f>IFERROR(I527*1,0)</f>
        <v/>
      </c>
    </row>
    <row r="528" ht="15" customHeight="1">
      <c r="Z528">
        <f>IF(AND(R528="WON",ISNUMBER(I528)),AA528,"")</f>
        <v/>
      </c>
      <c r="AA528">
        <f>IFERROR(I528*1,0)</f>
        <v/>
      </c>
    </row>
    <row r="529" ht="15" customHeight="1">
      <c r="Z529">
        <f>IF(AND(R529="WON",ISNUMBER(I529)),AA529,"")</f>
        <v/>
      </c>
      <c r="AA529">
        <f>IFERROR(I529*1,0)</f>
        <v/>
      </c>
    </row>
    <row r="530" ht="15" customHeight="1">
      <c r="Z530">
        <f>IF(AND(R530="WON",ISNUMBER(I530)),AA530,"")</f>
        <v/>
      </c>
      <c r="AA530">
        <f>IFERROR(I530*1,0)</f>
        <v/>
      </c>
    </row>
    <row r="531" ht="15" customHeight="1">
      <c r="Z531">
        <f>IF(AND(R531="WON",ISNUMBER(I531)),AA531,"")</f>
        <v/>
      </c>
      <c r="AA531">
        <f>IFERROR(I531*1,0)</f>
        <v/>
      </c>
    </row>
    <row r="532" ht="15" customHeight="1">
      <c r="Z532">
        <f>IF(AND(R532="WON",ISNUMBER(I532)),AA532,"")</f>
        <v/>
      </c>
      <c r="AA532">
        <f>IFERROR(I532*1,0)</f>
        <v/>
      </c>
    </row>
    <row r="533" ht="15" customHeight="1">
      <c r="Z533">
        <f>IF(AND(R533="WON",ISNUMBER(I533)),AA533,"")</f>
        <v/>
      </c>
      <c r="AA533">
        <f>IFERROR(I533*1,0)</f>
        <v/>
      </c>
    </row>
    <row r="534" ht="15" customHeight="1">
      <c r="Z534">
        <f>IF(AND(R534="WON",ISNUMBER(I534)),AA534,"")</f>
        <v/>
      </c>
      <c r="AA534">
        <f>IFERROR(I534*1,0)</f>
        <v/>
      </c>
    </row>
    <row r="535" ht="15" customHeight="1">
      <c r="Z535">
        <f>IF(AND(R535="WON",ISNUMBER(I535)),AA535,"")</f>
        <v/>
      </c>
      <c r="AA535">
        <f>IFERROR(I535*1,0)</f>
        <v/>
      </c>
    </row>
    <row r="536" ht="15" customHeight="1">
      <c r="Z536">
        <f>IF(AND(R536="WON",ISNUMBER(I536)),AA536,"")</f>
        <v/>
      </c>
      <c r="AA536">
        <f>IFERROR(I536*1,0)</f>
        <v/>
      </c>
    </row>
    <row r="537" ht="15" customHeight="1">
      <c r="Z537">
        <f>IF(AND(R537="WON",ISNUMBER(I537)),AA537,"")</f>
        <v/>
      </c>
      <c r="AA537">
        <f>IFERROR(I537*1,0)</f>
        <v/>
      </c>
    </row>
    <row r="538" ht="15" customHeight="1">
      <c r="Z538">
        <f>IF(AND(R538="WON",ISNUMBER(I538)),AA538,"")</f>
        <v/>
      </c>
      <c r="AA538">
        <f>IFERROR(I538*1,0)</f>
        <v/>
      </c>
    </row>
    <row r="539" ht="15" customHeight="1">
      <c r="Z539">
        <f>IF(AND(R539="WON",ISNUMBER(I539)),AA539,"")</f>
        <v/>
      </c>
      <c r="AA539">
        <f>IFERROR(I539*1,0)</f>
        <v/>
      </c>
    </row>
    <row r="540" ht="15" customHeight="1">
      <c r="Z540">
        <f>IF(AND(R540="WON",ISNUMBER(I540)),AA540,"")</f>
        <v/>
      </c>
      <c r="AA540">
        <f>IFERROR(I540*1,0)</f>
        <v/>
      </c>
    </row>
    <row r="541" ht="15" customHeight="1">
      <c r="Z541">
        <f>IF(AND(R541="WON",ISNUMBER(I541)),AA541,"")</f>
        <v/>
      </c>
      <c r="AA541">
        <f>IFERROR(I541*1,0)</f>
        <v/>
      </c>
    </row>
    <row r="542" ht="15" customHeight="1">
      <c r="Z542">
        <f>IF(AND(R542="WON",ISNUMBER(I542)),AA542,"")</f>
        <v/>
      </c>
      <c r="AA542">
        <f>IFERROR(I542*1,0)</f>
        <v/>
      </c>
    </row>
    <row r="543" ht="15" customHeight="1">
      <c r="Z543">
        <f>IF(AND(R543="WON",ISNUMBER(I543)),AA543,"")</f>
        <v/>
      </c>
      <c r="AA543">
        <f>IFERROR(I543*1,0)</f>
        <v/>
      </c>
    </row>
    <row r="544" ht="15" customHeight="1">
      <c r="Z544">
        <f>IF(AND(R544="WON",ISNUMBER(I544)),AA544,"")</f>
        <v/>
      </c>
      <c r="AA544">
        <f>IFERROR(I544*1,0)</f>
        <v/>
      </c>
    </row>
    <row r="545" ht="15" customHeight="1">
      <c r="Z545">
        <f>IF(AND(R545="WON",ISNUMBER(I545)),AA545,"")</f>
        <v/>
      </c>
      <c r="AA545">
        <f>IFERROR(I545*1,0)</f>
        <v/>
      </c>
    </row>
    <row r="546" ht="15" customHeight="1">
      <c r="Z546">
        <f>IF(AND(R546="WON",ISNUMBER(I546)),AA546,"")</f>
        <v/>
      </c>
      <c r="AA546">
        <f>IFERROR(I546*1,0)</f>
        <v/>
      </c>
    </row>
    <row r="547" ht="15" customHeight="1">
      <c r="Z547">
        <f>IF(AND(R547="WON",ISNUMBER(I547)),AA547,"")</f>
        <v/>
      </c>
      <c r="AA547">
        <f>IFERROR(I547*1,0)</f>
        <v/>
      </c>
    </row>
    <row r="548" ht="15" customHeight="1">
      <c r="Z548">
        <f>IF(AND(R548="WON",ISNUMBER(I548)),AA548,"")</f>
        <v/>
      </c>
      <c r="AA548">
        <f>IFERROR(I548*1,0)</f>
        <v/>
      </c>
    </row>
    <row r="549" ht="15" customHeight="1">
      <c r="Z549">
        <f>IF(AND(R549="WON",ISNUMBER(I549)),AA549,"")</f>
        <v/>
      </c>
      <c r="AA549">
        <f>IFERROR(I549*1,0)</f>
        <v/>
      </c>
    </row>
    <row r="550" ht="15" customHeight="1">
      <c r="Z550">
        <f>IF(AND(R550="WON",ISNUMBER(I550)),AA550,"")</f>
        <v/>
      </c>
      <c r="AA550">
        <f>IFERROR(I550*1,0)</f>
        <v/>
      </c>
    </row>
    <row r="551" ht="15" customHeight="1">
      <c r="Z551">
        <f>IF(AND(R551="WON",ISNUMBER(I551)),AA551,"")</f>
        <v/>
      </c>
      <c r="AA551">
        <f>IFERROR(I551*1,0)</f>
        <v/>
      </c>
    </row>
    <row r="552" ht="15" customHeight="1">
      <c r="Z552">
        <f>IF(AND(R552="WON",ISNUMBER(I552)),AA552,"")</f>
        <v/>
      </c>
      <c r="AA552">
        <f>IFERROR(I552*1,0)</f>
        <v/>
      </c>
    </row>
    <row r="553" ht="15" customHeight="1">
      <c r="Z553">
        <f>IF(AND(R553="WON",ISNUMBER(I553)),AA553,"")</f>
        <v/>
      </c>
      <c r="AA553">
        <f>IFERROR(I553*1,0)</f>
        <v/>
      </c>
    </row>
    <row r="554" ht="15" customHeight="1">
      <c r="Z554">
        <f>IF(AND(R554="WON",ISNUMBER(I554)),AA554,"")</f>
        <v/>
      </c>
      <c r="AA554">
        <f>IFERROR(I554*1,0)</f>
        <v/>
      </c>
    </row>
    <row r="555" ht="15" customHeight="1">
      <c r="Z555">
        <f>IF(AND(R555="WON",ISNUMBER(I555)),AA555,"")</f>
        <v/>
      </c>
      <c r="AA555">
        <f>IFERROR(I555*1,0)</f>
        <v/>
      </c>
    </row>
    <row r="556" ht="15" customHeight="1">
      <c r="Z556">
        <f>IF(AND(R556="WON",ISNUMBER(I556)),AA556,"")</f>
        <v/>
      </c>
      <c r="AA556">
        <f>IFERROR(I556*1,0)</f>
        <v/>
      </c>
    </row>
    <row r="557" ht="15" customHeight="1">
      <c r="Z557">
        <f>IF(AND(R557="WON",ISNUMBER(I557)),AA557,"")</f>
        <v/>
      </c>
      <c r="AA557">
        <f>IFERROR(I557*1,0)</f>
        <v/>
      </c>
    </row>
    <row r="558" ht="15" customHeight="1">
      <c r="Z558">
        <f>IF(AND(R558="WON",ISNUMBER(I558)),AA558,"")</f>
        <v/>
      </c>
      <c r="AA558">
        <f>IFERROR(I558*1,0)</f>
        <v/>
      </c>
    </row>
    <row r="559" ht="15" customHeight="1">
      <c r="Z559">
        <f>IF(AND(R559="WON",ISNUMBER(I559)),AA559,"")</f>
        <v/>
      </c>
      <c r="AA559">
        <f>IFERROR(I559*1,0)</f>
        <v/>
      </c>
    </row>
    <row r="560" ht="15" customHeight="1">
      <c r="Z560">
        <f>IF(AND(R560="WON",ISNUMBER(I560)),AA560,"")</f>
        <v/>
      </c>
      <c r="AA560">
        <f>IFERROR(I560*1,0)</f>
        <v/>
      </c>
    </row>
    <row r="561" ht="15" customHeight="1">
      <c r="Z561">
        <f>IF(AND(R561="WON",ISNUMBER(I561)),AA561,"")</f>
        <v/>
      </c>
      <c r="AA561">
        <f>IFERROR(I561*1,0)</f>
        <v/>
      </c>
    </row>
    <row r="562" ht="15" customHeight="1">
      <c r="Z562">
        <f>IF(AND(R562="WON",ISNUMBER(I562)),AA562,"")</f>
        <v/>
      </c>
      <c r="AA562">
        <f>IFERROR(I562*1,0)</f>
        <v/>
      </c>
    </row>
    <row r="563" ht="15" customHeight="1">
      <c r="Z563">
        <f>IF(AND(R563="WON",ISNUMBER(I563)),AA563,"")</f>
        <v/>
      </c>
      <c r="AA563">
        <f>IFERROR(I563*1,0)</f>
        <v/>
      </c>
    </row>
    <row r="564" ht="15" customHeight="1">
      <c r="Z564">
        <f>IF(AND(R564="WON",ISNUMBER(I564)),AA564,"")</f>
        <v/>
      </c>
      <c r="AA564">
        <f>IFERROR(I564*1,0)</f>
        <v/>
      </c>
    </row>
    <row r="565" ht="15" customHeight="1">
      <c r="Z565">
        <f>IF(AND(R565="WON",ISNUMBER(I565)),AA565,"")</f>
        <v/>
      </c>
      <c r="AA565">
        <f>IFERROR(I565*1,0)</f>
        <v/>
      </c>
    </row>
    <row r="566" ht="15" customHeight="1">
      <c r="Z566">
        <f>IF(AND(R566="WON",ISNUMBER(I566)),AA566,"")</f>
        <v/>
      </c>
      <c r="AA566">
        <f>IFERROR(I566*1,0)</f>
        <v/>
      </c>
    </row>
    <row r="567" ht="15" customHeight="1">
      <c r="Z567">
        <f>IF(AND(R567="WON",ISNUMBER(I567)),AA567,"")</f>
        <v/>
      </c>
      <c r="AA567">
        <f>IFERROR(I567*1,0)</f>
        <v/>
      </c>
    </row>
    <row r="568" ht="15" customHeight="1">
      <c r="Z568">
        <f>IF(AND(R568="WON",ISNUMBER(I568)),AA568,"")</f>
        <v/>
      </c>
      <c r="AA568">
        <f>IFERROR(I568*1,0)</f>
        <v/>
      </c>
    </row>
    <row r="569" ht="15" customHeight="1">
      <c r="Z569">
        <f>IF(AND(R569="WON",ISNUMBER(I569)),AA569,"")</f>
        <v/>
      </c>
      <c r="AA569">
        <f>IFERROR(I569*1,0)</f>
        <v/>
      </c>
    </row>
    <row r="570" ht="15" customHeight="1">
      <c r="Z570">
        <f>IF(AND(R570="WON",ISNUMBER(I570)),AA570,"")</f>
        <v/>
      </c>
      <c r="AA570">
        <f>IFERROR(I570*1,0)</f>
        <v/>
      </c>
    </row>
    <row r="571" ht="15" customHeight="1">
      <c r="Z571">
        <f>IF(AND(R571="WON",ISNUMBER(I571)),AA571,"")</f>
        <v/>
      </c>
      <c r="AA571">
        <f>IFERROR(I571*1,0)</f>
        <v/>
      </c>
    </row>
    <row r="572" ht="15" customHeight="1">
      <c r="Z572">
        <f>IF(AND(R572="WON",ISNUMBER(I572)),AA572,"")</f>
        <v/>
      </c>
      <c r="AA572">
        <f>IFERROR(I572*1,0)</f>
        <v/>
      </c>
    </row>
    <row r="573" ht="15" customHeight="1">
      <c r="Z573">
        <f>IF(AND(R573="WON",ISNUMBER(I573)),AA573,"")</f>
        <v/>
      </c>
      <c r="AA573">
        <f>IFERROR(I573*1,0)</f>
        <v/>
      </c>
    </row>
    <row r="574" ht="15" customHeight="1">
      <c r="Z574">
        <f>IF(AND(R574="WON",ISNUMBER(I574)),AA574,"")</f>
        <v/>
      </c>
      <c r="AA574">
        <f>IFERROR(I574*1,0)</f>
        <v/>
      </c>
    </row>
    <row r="575" ht="15" customHeight="1">
      <c r="Z575">
        <f>IF(AND(R575="WON",ISNUMBER(I575)),AA575,"")</f>
        <v/>
      </c>
      <c r="AA575">
        <f>IFERROR(I575*1,0)</f>
        <v/>
      </c>
    </row>
    <row r="576" ht="15" customHeight="1">
      <c r="Z576">
        <f>IF(AND(R576="WON",ISNUMBER(I576)),AA576,"")</f>
        <v/>
      </c>
      <c r="AA576">
        <f>IFERROR(I576*1,0)</f>
        <v/>
      </c>
    </row>
    <row r="577" ht="15" customHeight="1">
      <c r="Z577">
        <f>IF(AND(R577="WON",ISNUMBER(I577)),AA577,"")</f>
        <v/>
      </c>
      <c r="AA577">
        <f>IFERROR(I577*1,0)</f>
        <v/>
      </c>
    </row>
    <row r="578" ht="15" customHeight="1">
      <c r="Z578">
        <f>IF(AND(R578="WON",ISNUMBER(I578)),AA578,"")</f>
        <v/>
      </c>
      <c r="AA578">
        <f>IFERROR(I578*1,0)</f>
        <v/>
      </c>
    </row>
    <row r="579" ht="15" customHeight="1">
      <c r="Z579">
        <f>IF(AND(R579="WON",ISNUMBER(I579)),AA579,"")</f>
        <v/>
      </c>
      <c r="AA579">
        <f>IFERROR(I579*1,0)</f>
        <v/>
      </c>
    </row>
    <row r="580" ht="15" customHeight="1">
      <c r="Z580">
        <f>IF(AND(R580="WON",ISNUMBER(I580)),AA580,"")</f>
        <v/>
      </c>
      <c r="AA580">
        <f>IFERROR(I580*1,0)</f>
        <v/>
      </c>
    </row>
    <row r="581" ht="15" customHeight="1">
      <c r="Z581">
        <f>IF(AND(R581="WON",ISNUMBER(I581)),AA581,"")</f>
        <v/>
      </c>
      <c r="AA581">
        <f>IFERROR(I581*1,0)</f>
        <v/>
      </c>
    </row>
    <row r="582" ht="15" customHeight="1">
      <c r="Z582">
        <f>IF(AND(R582="WON",ISNUMBER(I582)),AA582,"")</f>
        <v/>
      </c>
      <c r="AA582">
        <f>IFERROR(I582*1,0)</f>
        <v/>
      </c>
    </row>
    <row r="583" ht="15" customHeight="1">
      <c r="Z583">
        <f>IF(AND(R583="WON",ISNUMBER(I583)),AA583,"")</f>
        <v/>
      </c>
      <c r="AA583">
        <f>IFERROR(I583*1,0)</f>
        <v/>
      </c>
    </row>
    <row r="584" ht="15" customHeight="1">
      <c r="Z584">
        <f>IF(AND(R584="WON",ISNUMBER(I584)),AA584,"")</f>
        <v/>
      </c>
      <c r="AA584">
        <f>IFERROR(I584*1,0)</f>
        <v/>
      </c>
    </row>
    <row r="585" ht="15" customHeight="1">
      <c r="Z585">
        <f>IF(AND(R585="WON",ISNUMBER(I585)),AA585,"")</f>
        <v/>
      </c>
      <c r="AA585">
        <f>IFERROR(I585*1,0)</f>
        <v/>
      </c>
    </row>
    <row r="586" ht="15" customHeight="1">
      <c r="Z586">
        <f>IF(AND(R586="WON",ISNUMBER(I586)),AA586,"")</f>
        <v/>
      </c>
      <c r="AA586">
        <f>IFERROR(I586*1,0)</f>
        <v/>
      </c>
    </row>
    <row r="587" ht="15" customHeight="1">
      <c r="Z587">
        <f>IF(AND(R587="WON",ISNUMBER(I587)),AA587,"")</f>
        <v/>
      </c>
      <c r="AA587">
        <f>IFERROR(I587*1,0)</f>
        <v/>
      </c>
    </row>
    <row r="588" ht="15" customHeight="1">
      <c r="Z588">
        <f>IF(AND(R588="WON",ISNUMBER(I588)),AA588,"")</f>
        <v/>
      </c>
      <c r="AA588">
        <f>IFERROR(I588*1,0)</f>
        <v/>
      </c>
    </row>
    <row r="589" ht="15" customHeight="1">
      <c r="Z589">
        <f>IF(AND(R589="WON",ISNUMBER(I589)),AA589,"")</f>
        <v/>
      </c>
      <c r="AA589">
        <f>IFERROR(I589*1,0)</f>
        <v/>
      </c>
    </row>
    <row r="590" ht="15" customHeight="1">
      <c r="Z590">
        <f>IF(AND(R590="WON",ISNUMBER(I590)),AA590,"")</f>
        <v/>
      </c>
      <c r="AA590">
        <f>IFERROR(I590*1,0)</f>
        <v/>
      </c>
    </row>
    <row r="591" ht="15" customHeight="1">
      <c r="Z591">
        <f>IF(AND(R591="WON",ISNUMBER(I591)),AA591,"")</f>
        <v/>
      </c>
      <c r="AA591">
        <f>IFERROR(I591*1,0)</f>
        <v/>
      </c>
    </row>
    <row r="592" ht="15" customHeight="1">
      <c r="Z592">
        <f>IF(AND(R592="WON",ISNUMBER(I592)),AA592,"")</f>
        <v/>
      </c>
      <c r="AA592">
        <f>IFERROR(I592*1,0)</f>
        <v/>
      </c>
    </row>
    <row r="593" ht="15" customHeight="1">
      <c r="Z593">
        <f>IF(AND(R593="WON",ISNUMBER(I593)),AA593,"")</f>
        <v/>
      </c>
      <c r="AA593">
        <f>IFERROR(I593*1,0)</f>
        <v/>
      </c>
    </row>
    <row r="594" ht="15" customHeight="1">
      <c r="Z594">
        <f>IF(AND(R594="WON",ISNUMBER(I594)),AA594,"")</f>
        <v/>
      </c>
      <c r="AA594">
        <f>IFERROR(I594*1,0)</f>
        <v/>
      </c>
    </row>
    <row r="595" ht="15" customHeight="1">
      <c r="Z595">
        <f>IF(AND(R595="WON",ISNUMBER(I595)),AA595,"")</f>
        <v/>
      </c>
      <c r="AA595">
        <f>IFERROR(I595*1,0)</f>
        <v/>
      </c>
    </row>
    <row r="596" ht="15" customHeight="1">
      <c r="Z596">
        <f>IF(AND(R596="WON",ISNUMBER(I596)),AA596,"")</f>
        <v/>
      </c>
      <c r="AA596">
        <f>IFERROR(I596*1,0)</f>
        <v/>
      </c>
    </row>
    <row r="597" ht="15" customHeight="1">
      <c r="Z597">
        <f>IF(AND(R597="WON",ISNUMBER(I597)),AA597,"")</f>
        <v/>
      </c>
      <c r="AA597">
        <f>IFERROR(I597*1,0)</f>
        <v/>
      </c>
    </row>
    <row r="598" ht="15" customHeight="1">
      <c r="Z598">
        <f>IF(AND(R598="WON",ISNUMBER(I598)),AA598,"")</f>
        <v/>
      </c>
      <c r="AA598">
        <f>IFERROR(I598*1,0)</f>
        <v/>
      </c>
    </row>
    <row r="599" ht="15" customHeight="1">
      <c r="Z599">
        <f>IF(AND(R599="WON",ISNUMBER(I599)),AA599,"")</f>
        <v/>
      </c>
      <c r="AA599">
        <f>IFERROR(I599*1,0)</f>
        <v/>
      </c>
    </row>
    <row r="600" ht="15" customHeight="1">
      <c r="Z600">
        <f>IF(AND(R600="WON",ISNUMBER(I600)),AA600,"")</f>
        <v/>
      </c>
      <c r="AA600">
        <f>IFERROR(I600*1,0)</f>
        <v/>
      </c>
    </row>
    <row r="601" ht="15" customHeight="1">
      <c r="Z601">
        <f>IF(AND(R601="WON",ISNUMBER(I601)),AA601,"")</f>
        <v/>
      </c>
      <c r="AA601">
        <f>IFERROR(I601*1,0)</f>
        <v/>
      </c>
    </row>
    <row r="602" ht="15" customHeight="1">
      <c r="Z602">
        <f>IF(AND(R602="WON",ISNUMBER(I602)),AA602,"")</f>
        <v/>
      </c>
      <c r="AA602">
        <f>IFERROR(I602*1,0)</f>
        <v/>
      </c>
    </row>
    <row r="603" ht="15" customHeight="1">
      <c r="Z603">
        <f>IF(AND(R603="WON",ISNUMBER(I603)),AA603,"")</f>
        <v/>
      </c>
      <c r="AA603">
        <f>IFERROR(I603*1,0)</f>
        <v/>
      </c>
    </row>
    <row r="604" ht="15" customHeight="1">
      <c r="Z604">
        <f>IF(AND(R604="WON",ISNUMBER(I604)),AA604,"")</f>
        <v/>
      </c>
      <c r="AA604">
        <f>IFERROR(I604*1,0)</f>
        <v/>
      </c>
    </row>
    <row r="605" ht="15" customHeight="1">
      <c r="Z605">
        <f>IF(AND(R605="WON",ISNUMBER(I605)),AA605,"")</f>
        <v/>
      </c>
      <c r="AA605">
        <f>IFERROR(I605*1,0)</f>
        <v/>
      </c>
    </row>
    <row r="606" ht="15" customHeight="1">
      <c r="Z606">
        <f>IF(AND(R606="WON",ISNUMBER(I606)),AA606,"")</f>
        <v/>
      </c>
      <c r="AA606">
        <f>IFERROR(I606*1,0)</f>
        <v/>
      </c>
    </row>
    <row r="607" ht="15" customHeight="1">
      <c r="Z607">
        <f>IF(AND(R607="WON",ISNUMBER(I607)),AA607,"")</f>
        <v/>
      </c>
      <c r="AA607">
        <f>IFERROR(I607*1,0)</f>
        <v/>
      </c>
    </row>
    <row r="608" ht="15" customHeight="1">
      <c r="Z608">
        <f>IF(AND(R608="WON",ISNUMBER(I608)),AA608,"")</f>
        <v/>
      </c>
      <c r="AA608">
        <f>IFERROR(I608*1,0)</f>
        <v/>
      </c>
    </row>
    <row r="609" ht="15" customHeight="1">
      <c r="Z609">
        <f>IF(AND(R609="WON",ISNUMBER(I609)),AA609,"")</f>
        <v/>
      </c>
      <c r="AA609">
        <f>IFERROR(I609*1,0)</f>
        <v/>
      </c>
    </row>
    <row r="610" ht="15" customHeight="1">
      <c r="Z610">
        <f>IF(AND(R610="WON",ISNUMBER(I610)),AA610,"")</f>
        <v/>
      </c>
      <c r="AA610">
        <f>IFERROR(I610*1,0)</f>
        <v/>
      </c>
    </row>
    <row r="611" ht="15" customHeight="1">
      <c r="Z611">
        <f>IF(AND(R611="WON",ISNUMBER(I611)),AA611,"")</f>
        <v/>
      </c>
      <c r="AA611">
        <f>IFERROR(I611*1,0)</f>
        <v/>
      </c>
    </row>
    <row r="612" ht="15" customHeight="1">
      <c r="Z612">
        <f>IF(AND(R612="WON",ISNUMBER(I612)),AA612,"")</f>
        <v/>
      </c>
      <c r="AA612">
        <f>IFERROR(I612*1,0)</f>
        <v/>
      </c>
    </row>
    <row r="613" ht="15" customHeight="1">
      <c r="Z613">
        <f>IF(AND(R613="WON",ISNUMBER(I613)),AA613,"")</f>
        <v/>
      </c>
      <c r="AA613">
        <f>IFERROR(I613*1,0)</f>
        <v/>
      </c>
    </row>
    <row r="614" ht="15" customHeight="1">
      <c r="Z614">
        <f>IF(AND(R614="WON",ISNUMBER(I614)),AA614,"")</f>
        <v/>
      </c>
      <c r="AA614">
        <f>IFERROR(I614*1,0)</f>
        <v/>
      </c>
    </row>
    <row r="615" ht="15" customHeight="1">
      <c r="Z615">
        <f>IF(AND(R615="WON",ISNUMBER(I615)),AA615,"")</f>
        <v/>
      </c>
      <c r="AA615">
        <f>IFERROR(I615*1,0)</f>
        <v/>
      </c>
    </row>
    <row r="616" ht="15" customHeight="1">
      <c r="Z616">
        <f>IF(AND(R616="WON",ISNUMBER(I616)),AA616,"")</f>
        <v/>
      </c>
      <c r="AA616">
        <f>IFERROR(I616*1,0)</f>
        <v/>
      </c>
    </row>
    <row r="617" ht="15" customHeight="1">
      <c r="Z617">
        <f>IF(AND(R617="WON",ISNUMBER(I617)),AA617,"")</f>
        <v/>
      </c>
      <c r="AA617">
        <f>IFERROR(I617*1,0)</f>
        <v/>
      </c>
    </row>
    <row r="618" ht="15" customHeight="1">
      <c r="Z618">
        <f>IF(AND(R618="WON",ISNUMBER(I618)),AA618,"")</f>
        <v/>
      </c>
      <c r="AA618">
        <f>IFERROR(I618*1,0)</f>
        <v/>
      </c>
    </row>
    <row r="619" ht="15" customHeight="1">
      <c r="Z619">
        <f>IF(AND(R619="WON",ISNUMBER(I619)),AA619,"")</f>
        <v/>
      </c>
      <c r="AA619">
        <f>IFERROR(I619*1,0)</f>
        <v/>
      </c>
    </row>
    <row r="620" ht="15" customHeight="1">
      <c r="Z620">
        <f>IF(AND(R620="WON",ISNUMBER(I620)),AA620,"")</f>
        <v/>
      </c>
      <c r="AA620">
        <f>IFERROR(I620*1,0)</f>
        <v/>
      </c>
    </row>
    <row r="621" ht="15" customHeight="1">
      <c r="Z621">
        <f>IF(AND(R621="WON",ISNUMBER(I621)),AA621,"")</f>
        <v/>
      </c>
      <c r="AA621">
        <f>IFERROR(I621*1,0)</f>
        <v/>
      </c>
    </row>
    <row r="622" ht="15" customHeight="1">
      <c r="Z622">
        <f>IF(AND(R622="WON",ISNUMBER(I622)),AA622,"")</f>
        <v/>
      </c>
      <c r="AA622">
        <f>IFERROR(I622*1,0)</f>
        <v/>
      </c>
    </row>
    <row r="623" ht="15" customHeight="1">
      <c r="Z623">
        <f>IF(AND(R623="WON",ISNUMBER(I623)),AA623,"")</f>
        <v/>
      </c>
      <c r="AA623">
        <f>IFERROR(I623*1,0)</f>
        <v/>
      </c>
    </row>
    <row r="624" ht="15" customHeight="1">
      <c r="Z624">
        <f>IF(AND(R624="WON",ISNUMBER(I624)),AA624,"")</f>
        <v/>
      </c>
      <c r="AA624">
        <f>IFERROR(I624*1,0)</f>
        <v/>
      </c>
    </row>
    <row r="625" ht="15" customHeight="1">
      <c r="Z625">
        <f>IF(AND(R625="WON",ISNUMBER(I625)),AA625,"")</f>
        <v/>
      </c>
      <c r="AA625">
        <f>IFERROR(I625*1,0)</f>
        <v/>
      </c>
    </row>
    <row r="626" ht="15" customHeight="1">
      <c r="Z626">
        <f>IF(AND(R626="WON",ISNUMBER(I626)),AA626,"")</f>
        <v/>
      </c>
      <c r="AA626">
        <f>IFERROR(I626*1,0)</f>
        <v/>
      </c>
    </row>
    <row r="627" ht="15" customHeight="1">
      <c r="Z627">
        <f>IF(AND(R627="WON",ISNUMBER(I627)),AA627,"")</f>
        <v/>
      </c>
      <c r="AA627">
        <f>IFERROR(I627*1,0)</f>
        <v/>
      </c>
    </row>
    <row r="628" ht="15" customHeight="1">
      <c r="Z628">
        <f>IF(AND(R628="WON",ISNUMBER(I628)),AA628,"")</f>
        <v/>
      </c>
      <c r="AA628">
        <f>IFERROR(I628*1,0)</f>
        <v/>
      </c>
    </row>
    <row r="629" ht="15" customHeight="1">
      <c r="Z629">
        <f>IF(AND(R629="WON",ISNUMBER(I629)),AA629,"")</f>
        <v/>
      </c>
      <c r="AA629">
        <f>IFERROR(I629*1,0)</f>
        <v/>
      </c>
    </row>
    <row r="630" ht="15" customHeight="1">
      <c r="Z630">
        <f>IF(AND(R630="WON",ISNUMBER(I630)),AA630,"")</f>
        <v/>
      </c>
      <c r="AA630">
        <f>IFERROR(I630*1,0)</f>
        <v/>
      </c>
    </row>
    <row r="631" ht="15" customHeight="1">
      <c r="Z631">
        <f>IF(AND(R631="WON",ISNUMBER(I631)),AA631,"")</f>
        <v/>
      </c>
      <c r="AA631">
        <f>IFERROR(I631*1,0)</f>
        <v/>
      </c>
    </row>
    <row r="632" ht="15" customHeight="1">
      <c r="Z632">
        <f>IF(AND(R632="WON",ISNUMBER(I632)),AA632,"")</f>
        <v/>
      </c>
      <c r="AA632">
        <f>IFERROR(I632*1,0)</f>
        <v/>
      </c>
    </row>
    <row r="633" ht="15" customHeight="1">
      <c r="Z633">
        <f>IF(AND(R633="WON",ISNUMBER(I633)),AA633,"")</f>
        <v/>
      </c>
      <c r="AA633">
        <f>IFERROR(I633*1,0)</f>
        <v/>
      </c>
    </row>
    <row r="634" ht="15" customHeight="1">
      <c r="Z634">
        <f>IF(AND(R634="WON",ISNUMBER(I634)),AA634,"")</f>
        <v/>
      </c>
      <c r="AA634">
        <f>IFERROR(I634*1,0)</f>
        <v/>
      </c>
    </row>
    <row r="635" ht="15" customHeight="1">
      <c r="Z635">
        <f>IF(AND(R635="WON",ISNUMBER(I635)),AA635,"")</f>
        <v/>
      </c>
      <c r="AA635">
        <f>IFERROR(I635*1,0)</f>
        <v/>
      </c>
    </row>
    <row r="636" ht="15" customHeight="1">
      <c r="Z636">
        <f>IF(AND(R636="WON",ISNUMBER(I636)),AA636,"")</f>
        <v/>
      </c>
      <c r="AA636">
        <f>IFERROR(I636*1,0)</f>
        <v/>
      </c>
    </row>
    <row r="637" ht="15" customHeight="1">
      <c r="Z637">
        <f>IF(AND(R637="WON",ISNUMBER(I637)),AA637,"")</f>
        <v/>
      </c>
      <c r="AA637">
        <f>IFERROR(I637*1,0)</f>
        <v/>
      </c>
    </row>
    <row r="638" ht="15" customHeight="1">
      <c r="Z638">
        <f>IF(AND(R638="WON",ISNUMBER(I638)),AA638,"")</f>
        <v/>
      </c>
      <c r="AA638">
        <f>IFERROR(I638*1,0)</f>
        <v/>
      </c>
    </row>
    <row r="639" ht="15" customHeight="1">
      <c r="Z639">
        <f>IF(AND(R639="WON",ISNUMBER(I639)),AA639,"")</f>
        <v/>
      </c>
      <c r="AA639">
        <f>IFERROR(I639*1,0)</f>
        <v/>
      </c>
    </row>
    <row r="640" ht="15" customHeight="1">
      <c r="Z640">
        <f>IF(AND(R640="WON",ISNUMBER(I640)),AA640,"")</f>
        <v/>
      </c>
      <c r="AA640">
        <f>IFERROR(I640*1,0)</f>
        <v/>
      </c>
    </row>
    <row r="641" ht="15" customHeight="1">
      <c r="Z641">
        <f>IF(AND(R641="WON",ISNUMBER(I641)),AA641,"")</f>
        <v/>
      </c>
      <c r="AA641">
        <f>IFERROR(I641*1,0)</f>
        <v/>
      </c>
    </row>
    <row r="642" ht="15" customHeight="1">
      <c r="Z642">
        <f>IF(AND(R642="WON",ISNUMBER(I642)),AA642,"")</f>
        <v/>
      </c>
      <c r="AA642">
        <f>IFERROR(I642*1,0)</f>
        <v/>
      </c>
    </row>
    <row r="643" ht="15" customHeight="1">
      <c r="Z643">
        <f>IF(AND(R643="WON",ISNUMBER(I643)),AA643,"")</f>
        <v/>
      </c>
      <c r="AA643">
        <f>IFERROR(I643*1,0)</f>
        <v/>
      </c>
    </row>
    <row r="644" ht="15" customHeight="1">
      <c r="Z644">
        <f>IF(AND(R644="WON",ISNUMBER(I644)),AA644,"")</f>
        <v/>
      </c>
      <c r="AA644">
        <f>IFERROR(I644*1,0)</f>
        <v/>
      </c>
    </row>
    <row r="645" ht="15" customHeight="1">
      <c r="Z645">
        <f>IF(AND(R645="WON",ISNUMBER(I645)),AA645,"")</f>
        <v/>
      </c>
      <c r="AA645">
        <f>IFERROR(I645*1,0)</f>
        <v/>
      </c>
    </row>
    <row r="646" ht="15" customHeight="1">
      <c r="Z646">
        <f>IF(AND(R646="WON",ISNUMBER(I646)),AA646,"")</f>
        <v/>
      </c>
      <c r="AA646">
        <f>IFERROR(I646*1,0)</f>
        <v/>
      </c>
    </row>
    <row r="647" ht="15" customHeight="1">
      <c r="Z647">
        <f>IF(AND(R647="WON",ISNUMBER(I647)),AA647,"")</f>
        <v/>
      </c>
      <c r="AA647">
        <f>IFERROR(I647*1,0)</f>
        <v/>
      </c>
    </row>
    <row r="648" ht="15" customHeight="1">
      <c r="Z648">
        <f>IF(AND(R648="WON",ISNUMBER(I648)),AA648,"")</f>
        <v/>
      </c>
      <c r="AA648">
        <f>IFERROR(I648*1,0)</f>
        <v/>
      </c>
    </row>
    <row r="649" ht="15" customHeight="1">
      <c r="Z649">
        <f>IF(AND(R649="WON",ISNUMBER(I649)),AA649,"")</f>
        <v/>
      </c>
      <c r="AA649">
        <f>IFERROR(I649*1,0)</f>
        <v/>
      </c>
    </row>
    <row r="650" ht="15" customHeight="1">
      <c r="Z650">
        <f>IF(AND(R650="WON",ISNUMBER(I650)),AA650,"")</f>
        <v/>
      </c>
      <c r="AA650">
        <f>IFERROR(I650*1,0)</f>
        <v/>
      </c>
    </row>
    <row r="651" ht="15" customHeight="1">
      <c r="Z651">
        <f>IF(AND(R651="WON",ISNUMBER(I651)),AA651,"")</f>
        <v/>
      </c>
      <c r="AA651">
        <f>IFERROR(I651*1,0)</f>
        <v/>
      </c>
    </row>
    <row r="652" ht="15" customHeight="1">
      <c r="Z652">
        <f>IF(AND(R652="WON",ISNUMBER(I652)),AA652,"")</f>
        <v/>
      </c>
      <c r="AA652">
        <f>IFERROR(I652*1,0)</f>
        <v/>
      </c>
    </row>
    <row r="653" ht="15" customHeight="1">
      <c r="Z653">
        <f>IF(AND(R653="WON",ISNUMBER(I653)),AA653,"")</f>
        <v/>
      </c>
      <c r="AA653">
        <f>IFERROR(I653*1,0)</f>
        <v/>
      </c>
    </row>
    <row r="654" ht="15" customHeight="1">
      <c r="Z654">
        <f>IF(AND(R654="WON",ISNUMBER(I654)),AA654,"")</f>
        <v/>
      </c>
      <c r="AA654">
        <f>IFERROR(I654*1,0)</f>
        <v/>
      </c>
    </row>
    <row r="655" ht="15" customHeight="1">
      <c r="Z655">
        <f>IF(AND(R655="WON",ISNUMBER(I655)),AA655,"")</f>
        <v/>
      </c>
      <c r="AA655">
        <f>IFERROR(I655*1,0)</f>
        <v/>
      </c>
    </row>
    <row r="656" ht="15" customHeight="1">
      <c r="Z656">
        <f>IF(AND(R656="WON",ISNUMBER(I656)),AA656,"")</f>
        <v/>
      </c>
      <c r="AA656">
        <f>IFERROR(I656*1,0)</f>
        <v/>
      </c>
    </row>
    <row r="657" ht="15" customHeight="1">
      <c r="Z657">
        <f>IF(AND(R657="WON",ISNUMBER(I657)),AA657,"")</f>
        <v/>
      </c>
      <c r="AA657">
        <f>IFERROR(I657*1,0)</f>
        <v/>
      </c>
    </row>
    <row r="658" ht="15" customHeight="1">
      <c r="Z658">
        <f>IF(AND(R658="WON",ISNUMBER(I658)),AA658,"")</f>
        <v/>
      </c>
      <c r="AA658">
        <f>IFERROR(I658*1,0)</f>
        <v/>
      </c>
    </row>
    <row r="659" ht="15" customHeight="1">
      <c r="Z659">
        <f>IF(AND(R659="WON",ISNUMBER(I659)),AA659,"")</f>
        <v/>
      </c>
      <c r="AA659">
        <f>IFERROR(I659*1,0)</f>
        <v/>
      </c>
    </row>
    <row r="660" ht="15" customHeight="1">
      <c r="Z660">
        <f>IF(AND(R660="WON",ISNUMBER(I660)),AA660,"")</f>
        <v/>
      </c>
      <c r="AA660">
        <f>IFERROR(I660*1,0)</f>
        <v/>
      </c>
    </row>
    <row r="661" ht="15" customHeight="1">
      <c r="Z661">
        <f>IF(AND(R661="WON",ISNUMBER(I661)),AA661,"")</f>
        <v/>
      </c>
      <c r="AA661">
        <f>IFERROR(I661*1,0)</f>
        <v/>
      </c>
    </row>
    <row r="662" ht="15" customHeight="1">
      <c r="Z662">
        <f>IF(AND(R662="WON",ISNUMBER(I662)),AA662,"")</f>
        <v/>
      </c>
      <c r="AA662">
        <f>IFERROR(I662*1,0)</f>
        <v/>
      </c>
    </row>
    <row r="663" ht="15" customHeight="1">
      <c r="Z663">
        <f>IF(AND(R663="WON",ISNUMBER(I663)),AA663,"")</f>
        <v/>
      </c>
      <c r="AA663">
        <f>IFERROR(I663*1,0)</f>
        <v/>
      </c>
    </row>
    <row r="664" ht="15" customHeight="1">
      <c r="Z664">
        <f>IF(AND(R664="WON",ISNUMBER(I664)),AA664,"")</f>
        <v/>
      </c>
      <c r="AA664">
        <f>IFERROR(I664*1,0)</f>
        <v/>
      </c>
    </row>
    <row r="665" ht="15" customHeight="1">
      <c r="Z665">
        <f>IF(AND(R665="WON",ISNUMBER(I665)),AA665,"")</f>
        <v/>
      </c>
      <c r="AA665">
        <f>IFERROR(I665*1,0)</f>
        <v/>
      </c>
    </row>
    <row r="666" ht="15" customHeight="1">
      <c r="Z666">
        <f>IF(AND(R666="WON",ISNUMBER(I666)),AA666,"")</f>
        <v/>
      </c>
      <c r="AA666">
        <f>IFERROR(I666*1,0)</f>
        <v/>
      </c>
    </row>
    <row r="667" ht="15" customHeight="1">
      <c r="Z667">
        <f>IF(AND(R667="WON",ISNUMBER(I667)),AA667,"")</f>
        <v/>
      </c>
      <c r="AA667">
        <f>IFERROR(I667*1,0)</f>
        <v/>
      </c>
    </row>
    <row r="668" ht="15" customHeight="1">
      <c r="Z668">
        <f>IF(AND(R668="WON",ISNUMBER(I668)),AA668,"")</f>
        <v/>
      </c>
      <c r="AA668">
        <f>IFERROR(I668*1,0)</f>
        <v/>
      </c>
    </row>
    <row r="669" ht="15" customHeight="1">
      <c r="Z669">
        <f>IF(AND(R669="WON",ISNUMBER(I669)),AA669,"")</f>
        <v/>
      </c>
      <c r="AA669">
        <f>IFERROR(I669*1,0)</f>
        <v/>
      </c>
    </row>
    <row r="670" ht="15" customHeight="1">
      <c r="Z670">
        <f>IF(AND(R670="WON",ISNUMBER(I670)),AA670,"")</f>
        <v/>
      </c>
      <c r="AA670">
        <f>IFERROR(I670*1,0)</f>
        <v/>
      </c>
    </row>
    <row r="671" ht="15" customHeight="1">
      <c r="Z671">
        <f>IF(AND(R671="WON",ISNUMBER(I671)),AA671,"")</f>
        <v/>
      </c>
      <c r="AA671">
        <f>IFERROR(I671*1,0)</f>
        <v/>
      </c>
    </row>
    <row r="672" ht="15" customHeight="1">
      <c r="Z672">
        <f>IF(AND(R672="WON",ISNUMBER(I672)),AA672,"")</f>
        <v/>
      </c>
      <c r="AA672">
        <f>IFERROR(I672*1,0)</f>
        <v/>
      </c>
    </row>
    <row r="673" ht="15" customHeight="1">
      <c r="Z673">
        <f>IF(AND(R673="WON",ISNUMBER(I673)),AA673,"")</f>
        <v/>
      </c>
      <c r="AA673">
        <f>IFERROR(I673*1,0)</f>
        <v/>
      </c>
    </row>
    <row r="674" ht="15" customHeight="1">
      <c r="Z674">
        <f>IF(AND(R674="WON",ISNUMBER(I674)),AA674,"")</f>
        <v/>
      </c>
      <c r="AA674">
        <f>IFERROR(I674*1,0)</f>
        <v/>
      </c>
    </row>
    <row r="675" ht="15" customHeight="1">
      <c r="Z675">
        <f>IF(AND(R675="WON",ISNUMBER(I675)),AA675,"")</f>
        <v/>
      </c>
      <c r="AA675">
        <f>IFERROR(I675*1,0)</f>
        <v/>
      </c>
    </row>
    <row r="676" ht="15" customHeight="1">
      <c r="Z676">
        <f>IF(AND(R676="WON",ISNUMBER(I676)),AA676,"")</f>
        <v/>
      </c>
      <c r="AA676">
        <f>IFERROR(I676*1,0)</f>
        <v/>
      </c>
    </row>
    <row r="677" ht="15" customHeight="1">
      <c r="Z677">
        <f>IF(AND(R677="WON",ISNUMBER(I677)),AA677,"")</f>
        <v/>
      </c>
      <c r="AA677">
        <f>IFERROR(I677*1,0)</f>
        <v/>
      </c>
    </row>
    <row r="678" ht="15" customHeight="1">
      <c r="Z678">
        <f>IF(AND(R678="WON",ISNUMBER(I678)),AA678,"")</f>
        <v/>
      </c>
      <c r="AA678">
        <f>IFERROR(I678*1,0)</f>
        <v/>
      </c>
    </row>
    <row r="679" ht="15" customHeight="1">
      <c r="Z679">
        <f>IF(AND(R679="WON",ISNUMBER(I679)),AA679,"")</f>
        <v/>
      </c>
      <c r="AA679">
        <f>IFERROR(I679*1,0)</f>
        <v/>
      </c>
    </row>
    <row r="680" ht="15" customHeight="1">
      <c r="Z680">
        <f>IF(AND(R680="WON",ISNUMBER(I680)),AA680,"")</f>
        <v/>
      </c>
      <c r="AA680">
        <f>IFERROR(I680*1,0)</f>
        <v/>
      </c>
    </row>
    <row r="681" ht="15" customHeight="1">
      <c r="Z681">
        <f>IF(AND(R681="WON",ISNUMBER(I681)),AA681,"")</f>
        <v/>
      </c>
      <c r="AA681">
        <f>IFERROR(I681*1,0)</f>
        <v/>
      </c>
    </row>
    <row r="682" ht="15" customHeight="1">
      <c r="Z682">
        <f>IF(AND(R682="WON",ISNUMBER(I682)),AA682,"")</f>
        <v/>
      </c>
      <c r="AA682">
        <f>IFERROR(I682*1,0)</f>
        <v/>
      </c>
    </row>
    <row r="683" ht="15" customHeight="1">
      <c r="Z683">
        <f>IF(AND(R683="WON",ISNUMBER(I683)),AA683,"")</f>
        <v/>
      </c>
      <c r="AA683">
        <f>IFERROR(I683*1,0)</f>
        <v/>
      </c>
    </row>
    <row r="684" ht="15" customHeight="1">
      <c r="Z684">
        <f>IF(AND(R684="WON",ISNUMBER(I684)),AA684,"")</f>
        <v/>
      </c>
      <c r="AA684">
        <f>IFERROR(I684*1,0)</f>
        <v/>
      </c>
    </row>
    <row r="685" ht="15" customHeight="1">
      <c r="Z685">
        <f>IF(AND(R685="WON",ISNUMBER(I685)),AA685,"")</f>
        <v/>
      </c>
      <c r="AA685">
        <f>IFERROR(I685*1,0)</f>
        <v/>
      </c>
    </row>
    <row r="686" ht="15" customHeight="1">
      <c r="Z686">
        <f>IF(AND(R686="WON",ISNUMBER(I686)),AA686,"")</f>
        <v/>
      </c>
      <c r="AA686">
        <f>IFERROR(I686*1,0)</f>
        <v/>
      </c>
    </row>
    <row r="687" ht="15" customHeight="1">
      <c r="Z687">
        <f>IF(AND(R687="WON",ISNUMBER(I687)),AA687,"")</f>
        <v/>
      </c>
      <c r="AA687">
        <f>IFERROR(I687*1,0)</f>
        <v/>
      </c>
    </row>
    <row r="688" ht="15" customHeight="1">
      <c r="Z688">
        <f>IF(AND(R688="WON",ISNUMBER(I688)),AA688,"")</f>
        <v/>
      </c>
      <c r="AA688">
        <f>IFERROR(I688*1,0)</f>
        <v/>
      </c>
    </row>
    <row r="689" ht="15" customHeight="1">
      <c r="Z689">
        <f>IF(AND(R689="WON",ISNUMBER(I689)),AA689,"")</f>
        <v/>
      </c>
      <c r="AA689">
        <f>IFERROR(I689*1,0)</f>
        <v/>
      </c>
    </row>
    <row r="690" ht="15" customHeight="1">
      <c r="Z690">
        <f>IF(AND(R690="WON",ISNUMBER(I690)),AA690,"")</f>
        <v/>
      </c>
      <c r="AA690">
        <f>IFERROR(I690*1,0)</f>
        <v/>
      </c>
    </row>
    <row r="691" ht="15" customHeight="1">
      <c r="Z691">
        <f>IF(AND(R691="WON",ISNUMBER(I691)),AA691,"")</f>
        <v/>
      </c>
      <c r="AA691">
        <f>IFERROR(I691*1,0)</f>
        <v/>
      </c>
    </row>
    <row r="692" ht="15" customHeight="1">
      <c r="Z692">
        <f>IF(AND(R692="WON",ISNUMBER(I692)),AA692,"")</f>
        <v/>
      </c>
      <c r="AA692">
        <f>IFERROR(I692*1,0)</f>
        <v/>
      </c>
    </row>
    <row r="693" ht="15" customHeight="1">
      <c r="Z693">
        <f>IF(AND(R693="WON",ISNUMBER(I693)),AA693,"")</f>
        <v/>
      </c>
      <c r="AA693">
        <f>IFERROR(I693*1,0)</f>
        <v/>
      </c>
    </row>
    <row r="694" ht="15" customHeight="1">
      <c r="Z694">
        <f>IF(AND(R694="WON",ISNUMBER(I694)),AA694,"")</f>
        <v/>
      </c>
      <c r="AA694">
        <f>IFERROR(I694*1,0)</f>
        <v/>
      </c>
    </row>
    <row r="695" ht="15" customHeight="1">
      <c r="Z695">
        <f>IF(AND(R695="WON",ISNUMBER(I695)),AA695,"")</f>
        <v/>
      </c>
      <c r="AA695">
        <f>IFERROR(I695*1,0)</f>
        <v/>
      </c>
    </row>
    <row r="696" ht="15" customHeight="1">
      <c r="Z696">
        <f>IF(AND(R696="WON",ISNUMBER(I696)),AA696,"")</f>
        <v/>
      </c>
      <c r="AA696">
        <f>IFERROR(I696*1,0)</f>
        <v/>
      </c>
    </row>
    <row r="697" ht="15" customHeight="1">
      <c r="Z697">
        <f>IF(AND(R697="WON",ISNUMBER(I697)),AA697,"")</f>
        <v/>
      </c>
      <c r="AA697">
        <f>IFERROR(I697*1,0)</f>
        <v/>
      </c>
    </row>
    <row r="698" ht="15" customHeight="1">
      <c r="Z698">
        <f>IF(AND(R698="WON",ISNUMBER(I698)),AA698,"")</f>
        <v/>
      </c>
      <c r="AA698">
        <f>IFERROR(I698*1,0)</f>
        <v/>
      </c>
    </row>
    <row r="699" ht="15" customHeight="1">
      <c r="Z699">
        <f>IF(AND(R699="WON",ISNUMBER(I699)),AA699,"")</f>
        <v/>
      </c>
      <c r="AA699">
        <f>IFERROR(I699*1,0)</f>
        <v/>
      </c>
    </row>
    <row r="700" ht="15" customHeight="1">
      <c r="Z700">
        <f>IF(AND(R700="WON",ISNUMBER(I700)),AA700,"")</f>
        <v/>
      </c>
      <c r="AA700">
        <f>IFERROR(I700*1,0)</f>
        <v/>
      </c>
    </row>
    <row r="701" ht="15" customHeight="1">
      <c r="Z701">
        <f>IF(AND(R701="WON",ISNUMBER(I701)),AA701,"")</f>
        <v/>
      </c>
      <c r="AA701">
        <f>IFERROR(I701*1,0)</f>
        <v/>
      </c>
    </row>
    <row r="702" ht="15" customHeight="1">
      <c r="Z702">
        <f>IF(AND(R702="WON",ISNUMBER(I702)),AA702,"")</f>
        <v/>
      </c>
      <c r="AA702">
        <f>IFERROR(I702*1,0)</f>
        <v/>
      </c>
    </row>
    <row r="703" ht="15" customHeight="1">
      <c r="Z703">
        <f>IF(AND(R703="WON",ISNUMBER(I703)),AA703,"")</f>
        <v/>
      </c>
      <c r="AA703">
        <f>IFERROR(I703*1,0)</f>
        <v/>
      </c>
    </row>
    <row r="704" ht="15" customHeight="1">
      <c r="Z704">
        <f>IF(AND(R704="WON",ISNUMBER(I704)),AA704,"")</f>
        <v/>
      </c>
      <c r="AA704">
        <f>IFERROR(I704*1,0)</f>
        <v/>
      </c>
    </row>
    <row r="705" ht="15" customHeight="1">
      <c r="Z705">
        <f>IF(AND(R705="WON",ISNUMBER(I705)),AA705,"")</f>
        <v/>
      </c>
      <c r="AA705">
        <f>IFERROR(I705*1,0)</f>
        <v/>
      </c>
    </row>
    <row r="706" ht="15" customHeight="1">
      <c r="Z706">
        <f>IF(AND(R706="WON",ISNUMBER(I706)),AA706,"")</f>
        <v/>
      </c>
      <c r="AA706">
        <f>IFERROR(I706*1,0)</f>
        <v/>
      </c>
    </row>
    <row r="707" ht="15" customHeight="1">
      <c r="Z707">
        <f>IF(AND(R707="WON",ISNUMBER(I707)),AA707,"")</f>
        <v/>
      </c>
      <c r="AA707">
        <f>IFERROR(I707*1,0)</f>
        <v/>
      </c>
    </row>
    <row r="708" ht="15" customHeight="1">
      <c r="Z708">
        <f>IF(AND(R708="WON",ISNUMBER(I708)),AA708,"")</f>
        <v/>
      </c>
      <c r="AA708">
        <f>IFERROR(I708*1,0)</f>
        <v/>
      </c>
    </row>
    <row r="709" ht="15" customHeight="1">
      <c r="Z709">
        <f>IF(AND(R709="WON",ISNUMBER(I709)),AA709,"")</f>
        <v/>
      </c>
      <c r="AA709">
        <f>IFERROR(I709*1,0)</f>
        <v/>
      </c>
    </row>
    <row r="710" ht="15" customHeight="1">
      <c r="Z710">
        <f>IF(AND(R710="WON",ISNUMBER(I710)),AA710,"")</f>
        <v/>
      </c>
      <c r="AA710">
        <f>IFERROR(I710*1,0)</f>
        <v/>
      </c>
    </row>
    <row r="711" ht="15" customHeight="1">
      <c r="Z711">
        <f>IF(AND(R711="WON",ISNUMBER(I711)),AA711,"")</f>
        <v/>
      </c>
      <c r="AA711">
        <f>IFERROR(I711*1,0)</f>
        <v/>
      </c>
    </row>
    <row r="712" ht="15" customHeight="1">
      <c r="Z712">
        <f>IF(AND(R712="WON",ISNUMBER(I712)),AA712,"")</f>
        <v/>
      </c>
      <c r="AA712">
        <f>IFERROR(I712*1,0)</f>
        <v/>
      </c>
    </row>
    <row r="713" ht="15" customHeight="1">
      <c r="Z713">
        <f>IF(AND(R713="WON",ISNUMBER(I713)),AA713,"")</f>
        <v/>
      </c>
      <c r="AA713">
        <f>IFERROR(I713*1,0)</f>
        <v/>
      </c>
    </row>
    <row r="714" ht="15" customHeight="1">
      <c r="Z714">
        <f>IF(AND(R714="WON",ISNUMBER(I714)),AA714,"")</f>
        <v/>
      </c>
      <c r="AA714">
        <f>IFERROR(I714*1,0)</f>
        <v/>
      </c>
    </row>
    <row r="715" ht="15" customHeight="1">
      <c r="Z715">
        <f>IF(AND(R715="WON",ISNUMBER(I715)),AA715,"")</f>
        <v/>
      </c>
      <c r="AA715">
        <f>IFERROR(I715*1,0)</f>
        <v/>
      </c>
    </row>
    <row r="716" ht="15" customHeight="1">
      <c r="Z716">
        <f>IF(AND(R716="WON",ISNUMBER(I716)),AA716,"")</f>
        <v/>
      </c>
      <c r="AA716">
        <f>IFERROR(I716*1,0)</f>
        <v/>
      </c>
    </row>
    <row r="717" ht="15" customHeight="1">
      <c r="Z717">
        <f>IF(AND(R717="WON",ISNUMBER(I717)),AA717,"")</f>
        <v/>
      </c>
      <c r="AA717">
        <f>IFERROR(I717*1,0)</f>
        <v/>
      </c>
    </row>
    <row r="718" ht="15" customHeight="1">
      <c r="Z718">
        <f>IF(AND(R718="WON",ISNUMBER(I718)),AA718,"")</f>
        <v/>
      </c>
      <c r="AA718">
        <f>IFERROR(I718*1,0)</f>
        <v/>
      </c>
    </row>
    <row r="719" ht="15" customHeight="1">
      <c r="Z719">
        <f>IF(AND(R719="WON",ISNUMBER(I719)),AA719,"")</f>
        <v/>
      </c>
      <c r="AA719">
        <f>IFERROR(I719*1,0)</f>
        <v/>
      </c>
    </row>
    <row r="720" ht="15" customHeight="1">
      <c r="Z720">
        <f>IF(AND(R720="WON",ISNUMBER(I720)),AA720,"")</f>
        <v/>
      </c>
      <c r="AA720">
        <f>IFERROR(I720*1,0)</f>
        <v/>
      </c>
    </row>
    <row r="721" ht="15" customHeight="1">
      <c r="Z721">
        <f>IF(AND(R721="WON",ISNUMBER(I721)),AA721,"")</f>
        <v/>
      </c>
      <c r="AA721">
        <f>IFERROR(I721*1,0)</f>
        <v/>
      </c>
    </row>
    <row r="722" ht="15" customHeight="1">
      <c r="Z722">
        <f>IF(AND(R722="WON",ISNUMBER(I722)),AA722,"")</f>
        <v/>
      </c>
      <c r="AA722">
        <f>IFERROR(I722*1,0)</f>
        <v/>
      </c>
    </row>
    <row r="723" ht="15" customHeight="1">
      <c r="Z723">
        <f>IF(AND(R723="WON",ISNUMBER(I723)),AA723,"")</f>
        <v/>
      </c>
      <c r="AA723">
        <f>IFERROR(I723*1,0)</f>
        <v/>
      </c>
    </row>
    <row r="724" ht="15" customHeight="1">
      <c r="Z724">
        <f>IF(AND(R724="WON",ISNUMBER(I724)),AA724,"")</f>
        <v/>
      </c>
      <c r="AA724">
        <f>IFERROR(I724*1,0)</f>
        <v/>
      </c>
    </row>
    <row r="725" ht="15" customHeight="1">
      <c r="Z725">
        <f>IF(AND(R725="WON",ISNUMBER(I725)),AA725,"")</f>
        <v/>
      </c>
      <c r="AA725">
        <f>IFERROR(I725*1,0)</f>
        <v/>
      </c>
    </row>
    <row r="726" ht="15" customHeight="1">
      <c r="Z726">
        <f>IF(AND(R726="WON",ISNUMBER(I726)),AA726,"")</f>
        <v/>
      </c>
      <c r="AA726">
        <f>IFERROR(I726*1,0)</f>
        <v/>
      </c>
    </row>
    <row r="727" ht="15" customHeight="1">
      <c r="Z727">
        <f>IF(AND(R727="WON",ISNUMBER(I727)),AA727,"")</f>
        <v/>
      </c>
      <c r="AA727">
        <f>IFERROR(I727*1,0)</f>
        <v/>
      </c>
    </row>
    <row r="728" ht="15" customHeight="1">
      <c r="Z728">
        <f>IF(AND(R728="WON",ISNUMBER(I728)),AA728,"")</f>
        <v/>
      </c>
      <c r="AA728">
        <f>IFERROR(I728*1,0)</f>
        <v/>
      </c>
    </row>
    <row r="729" ht="15" customHeight="1">
      <c r="Z729">
        <f>IF(AND(R729="WON",ISNUMBER(I729)),AA729,"")</f>
        <v/>
      </c>
      <c r="AA729">
        <f>IFERROR(I729*1,0)</f>
        <v/>
      </c>
    </row>
    <row r="730" ht="15" customHeight="1">
      <c r="Z730">
        <f>IF(AND(R730="WON",ISNUMBER(I730)),AA730,"")</f>
        <v/>
      </c>
      <c r="AA730">
        <f>IFERROR(I730*1,0)</f>
        <v/>
      </c>
    </row>
    <row r="731" ht="15" customHeight="1">
      <c r="Z731">
        <f>IF(AND(R731="WON",ISNUMBER(I731)),AA731,"")</f>
        <v/>
      </c>
      <c r="AA731">
        <f>IFERROR(I731*1,0)</f>
        <v/>
      </c>
    </row>
    <row r="732" ht="15" customHeight="1">
      <c r="Z732">
        <f>IF(AND(R732="WON",ISNUMBER(I732)),AA732,"")</f>
        <v/>
      </c>
      <c r="AA732">
        <f>IFERROR(I732*1,0)</f>
        <v/>
      </c>
    </row>
    <row r="733" ht="15" customHeight="1">
      <c r="Z733">
        <f>IF(AND(R733="WON",ISNUMBER(I733)),AA733,"")</f>
        <v/>
      </c>
      <c r="AA733">
        <f>IFERROR(I733*1,0)</f>
        <v/>
      </c>
    </row>
    <row r="734" ht="15" customHeight="1">
      <c r="Z734">
        <f>IF(AND(R734="WON",ISNUMBER(I734)),AA734,"")</f>
        <v/>
      </c>
      <c r="AA734">
        <f>IFERROR(I734*1,0)</f>
        <v/>
      </c>
    </row>
    <row r="735" ht="15" customHeight="1">
      <c r="Z735">
        <f>IF(AND(R735="WON",ISNUMBER(I735)),AA735,"")</f>
        <v/>
      </c>
      <c r="AA735">
        <f>IFERROR(I735*1,0)</f>
        <v/>
      </c>
    </row>
    <row r="736" ht="15" customHeight="1">
      <c r="Z736">
        <f>IF(AND(R736="WON",ISNUMBER(I736)),AA736,"")</f>
        <v/>
      </c>
      <c r="AA736">
        <f>IFERROR(I736*1,0)</f>
        <v/>
      </c>
    </row>
    <row r="737" ht="15" customHeight="1">
      <c r="Z737">
        <f>IF(AND(R737="WON",ISNUMBER(I737)),AA737,"")</f>
        <v/>
      </c>
      <c r="AA737">
        <f>IFERROR(I737*1,0)</f>
        <v/>
      </c>
    </row>
    <row r="738" ht="15" customHeight="1">
      <c r="Z738">
        <f>IF(AND(R738="WON",ISNUMBER(I738)),AA738,"")</f>
        <v/>
      </c>
      <c r="AA738">
        <f>IFERROR(I738*1,0)</f>
        <v/>
      </c>
    </row>
    <row r="739" ht="15" customHeight="1">
      <c r="Z739">
        <f>IF(AND(R739="WON",ISNUMBER(I739)),AA739,"")</f>
        <v/>
      </c>
      <c r="AA739">
        <f>IFERROR(I739*1,0)</f>
        <v/>
      </c>
    </row>
    <row r="740" ht="15" customHeight="1">
      <c r="Z740">
        <f>IF(AND(R740="WON",ISNUMBER(I740)),AA740,"")</f>
        <v/>
      </c>
      <c r="AA740">
        <f>IFERROR(I740*1,0)</f>
        <v/>
      </c>
    </row>
    <row r="741" ht="15" customHeight="1">
      <c r="Z741">
        <f>IF(AND(R741="WON",ISNUMBER(I741)),AA741,"")</f>
        <v/>
      </c>
      <c r="AA741">
        <f>IFERROR(I741*1,0)</f>
        <v/>
      </c>
    </row>
    <row r="742" ht="15" customHeight="1">
      <c r="Z742">
        <f>IF(AND(R742="WON",ISNUMBER(I742)),AA742,"")</f>
        <v/>
      </c>
      <c r="AA742">
        <f>IFERROR(I742*1,0)</f>
        <v/>
      </c>
    </row>
    <row r="743" ht="15" customHeight="1">
      <c r="Z743">
        <f>IF(AND(R743="WON",ISNUMBER(I743)),AA743,"")</f>
        <v/>
      </c>
      <c r="AA743">
        <f>IFERROR(I743*1,0)</f>
        <v/>
      </c>
    </row>
    <row r="744" ht="15" customHeight="1">
      <c r="Z744">
        <f>IF(AND(R744="WON",ISNUMBER(I744)),AA744,"")</f>
        <v/>
      </c>
      <c r="AA744">
        <f>IFERROR(I744*1,0)</f>
        <v/>
      </c>
    </row>
    <row r="745" ht="15" customHeight="1">
      <c r="Z745">
        <f>IF(AND(R745="WON",ISNUMBER(I745)),AA745,"")</f>
        <v/>
      </c>
      <c r="AA745">
        <f>IFERROR(I745*1,0)</f>
        <v/>
      </c>
    </row>
    <row r="746" ht="15" customHeight="1">
      <c r="Z746">
        <f>IF(AND(R746="WON",ISNUMBER(I746)),AA746,"")</f>
        <v/>
      </c>
      <c r="AA746">
        <f>IFERROR(I746*1,0)</f>
        <v/>
      </c>
    </row>
    <row r="747" ht="15" customHeight="1">
      <c r="Z747">
        <f>IF(AND(R747="WON",ISNUMBER(I747)),AA747,"")</f>
        <v/>
      </c>
      <c r="AA747">
        <f>IFERROR(I747*1,0)</f>
        <v/>
      </c>
    </row>
    <row r="748" ht="15" customHeight="1">
      <c r="Z748">
        <f>IF(AND(R748="WON",ISNUMBER(I748)),AA748,"")</f>
        <v/>
      </c>
      <c r="AA748">
        <f>IFERROR(I748*1,0)</f>
        <v/>
      </c>
    </row>
    <row r="749" ht="15" customHeight="1">
      <c r="Z749">
        <f>IF(AND(R749="WON",ISNUMBER(I749)),AA749,"")</f>
        <v/>
      </c>
      <c r="AA749">
        <f>IFERROR(I749*1,0)</f>
        <v/>
      </c>
    </row>
    <row r="750" ht="15" customHeight="1">
      <c r="Z750">
        <f>IF(AND(R750="WON",ISNUMBER(I750)),AA750,"")</f>
        <v/>
      </c>
      <c r="AA750">
        <f>IFERROR(I750*1,0)</f>
        <v/>
      </c>
    </row>
    <row r="751" ht="15" customHeight="1">
      <c r="Z751">
        <f>IF(AND(R751="WON",ISNUMBER(I751)),AA751,"")</f>
        <v/>
      </c>
      <c r="AA751">
        <f>IFERROR(I751*1,0)</f>
        <v/>
      </c>
    </row>
    <row r="752" ht="15" customHeight="1">
      <c r="Z752">
        <f>IF(AND(R752="WON",ISNUMBER(I752)),AA752,"")</f>
        <v/>
      </c>
      <c r="AA752">
        <f>IFERROR(I752*1,0)</f>
        <v/>
      </c>
    </row>
    <row r="753" ht="15" customHeight="1">
      <c r="Z753">
        <f>IF(AND(R753="WON",ISNUMBER(I753)),AA753,"")</f>
        <v/>
      </c>
      <c r="AA753">
        <f>IFERROR(I753*1,0)</f>
        <v/>
      </c>
    </row>
    <row r="754" ht="15" customHeight="1">
      <c r="Z754">
        <f>IF(AND(R754="WON",ISNUMBER(I754)),AA754,"")</f>
        <v/>
      </c>
      <c r="AA754">
        <f>IFERROR(I754*1,0)</f>
        <v/>
      </c>
    </row>
    <row r="755" ht="15" customHeight="1">
      <c r="Z755">
        <f>IF(AND(R755="WON",ISNUMBER(I755)),AA755,"")</f>
        <v/>
      </c>
      <c r="AA755">
        <f>IFERROR(I755*1,0)</f>
        <v/>
      </c>
    </row>
    <row r="756" ht="15" customHeight="1">
      <c r="Z756">
        <f>IF(AND(R756="WON",ISNUMBER(I756)),AA756,"")</f>
        <v/>
      </c>
      <c r="AA756">
        <f>IFERROR(I756*1,0)</f>
        <v/>
      </c>
    </row>
    <row r="757" ht="15" customHeight="1">
      <c r="Z757">
        <f>IF(AND(R757="WON",ISNUMBER(I757)),AA757,"")</f>
        <v/>
      </c>
      <c r="AA757">
        <f>IFERROR(I757*1,0)</f>
        <v/>
      </c>
    </row>
    <row r="758" ht="15" customHeight="1">
      <c r="Z758">
        <f>IF(AND(R758="WON",ISNUMBER(I758)),AA758,"")</f>
        <v/>
      </c>
      <c r="AA758">
        <f>IFERROR(I758*1,0)</f>
        <v/>
      </c>
    </row>
    <row r="759" ht="15" customHeight="1">
      <c r="Z759">
        <f>IF(AND(R759="WON",ISNUMBER(I759)),AA759,"")</f>
        <v/>
      </c>
      <c r="AA759">
        <f>IFERROR(I759*1,0)</f>
        <v/>
      </c>
    </row>
    <row r="760" ht="15" customHeight="1">
      <c r="Z760">
        <f>IF(AND(R760="WON",ISNUMBER(I760)),AA760,"")</f>
        <v/>
      </c>
      <c r="AA760">
        <f>IFERROR(I760*1,0)</f>
        <v/>
      </c>
    </row>
    <row r="761" ht="15" customHeight="1">
      <c r="Z761">
        <f>IF(AND(R761="WON",ISNUMBER(I761)),AA761,"")</f>
        <v/>
      </c>
      <c r="AA761">
        <f>IFERROR(I761*1,0)</f>
        <v/>
      </c>
    </row>
    <row r="762" ht="15" customHeight="1">
      <c r="Z762">
        <f>IF(AND(R762="WON",ISNUMBER(I762)),AA762,"")</f>
        <v/>
      </c>
      <c r="AA762">
        <f>IFERROR(I762*1,0)</f>
        <v/>
      </c>
    </row>
    <row r="763" ht="15" customHeight="1">
      <c r="Z763">
        <f>IF(AND(R763="WON",ISNUMBER(I763)),AA763,"")</f>
        <v/>
      </c>
      <c r="AA763">
        <f>IFERROR(I763*1,0)</f>
        <v/>
      </c>
    </row>
    <row r="764" ht="15" customHeight="1">
      <c r="Z764">
        <f>IF(AND(R764="WON",ISNUMBER(I764)),AA764,"")</f>
        <v/>
      </c>
      <c r="AA764">
        <f>IFERROR(I764*1,0)</f>
        <v/>
      </c>
    </row>
    <row r="765" ht="15" customHeight="1">
      <c r="Z765">
        <f>IF(AND(R765="WON",ISNUMBER(I765)),AA765,"")</f>
        <v/>
      </c>
      <c r="AA765">
        <f>IFERROR(I765*1,0)</f>
        <v/>
      </c>
    </row>
    <row r="766" ht="15" customHeight="1">
      <c r="Z766">
        <f>IF(AND(R766="WON",ISNUMBER(I766)),AA766,"")</f>
        <v/>
      </c>
      <c r="AA766">
        <f>IFERROR(I766*1,0)</f>
        <v/>
      </c>
    </row>
    <row r="767" ht="15" customHeight="1">
      <c r="Z767">
        <f>IF(AND(R767="WON",ISNUMBER(I767)),AA767,"")</f>
        <v/>
      </c>
      <c r="AA767">
        <f>IFERROR(I767*1,0)</f>
        <v/>
      </c>
    </row>
    <row r="768" ht="15" customHeight="1">
      <c r="Z768">
        <f>IF(AND(R768="WON",ISNUMBER(I768)),AA768,"")</f>
        <v/>
      </c>
      <c r="AA768">
        <f>IFERROR(I768*1,0)</f>
        <v/>
      </c>
    </row>
    <row r="769" ht="15" customHeight="1">
      <c r="Z769">
        <f>IF(AND(R769="WON",ISNUMBER(I769)),AA769,"")</f>
        <v/>
      </c>
      <c r="AA769">
        <f>IFERROR(I769*1,0)</f>
        <v/>
      </c>
    </row>
    <row r="770" ht="15" customHeight="1">
      <c r="Z770">
        <f>IF(AND(R770="WON",ISNUMBER(I770)),AA770,"")</f>
        <v/>
      </c>
      <c r="AA770">
        <f>IFERROR(I770*1,0)</f>
        <v/>
      </c>
    </row>
    <row r="771" ht="15" customHeight="1">
      <c r="Z771">
        <f>IF(AND(R771="WON",ISNUMBER(I771)),AA771,"")</f>
        <v/>
      </c>
      <c r="AA771">
        <f>IFERROR(I771*1,0)</f>
        <v/>
      </c>
    </row>
    <row r="772" ht="15" customHeight="1">
      <c r="Z772">
        <f>IF(AND(R772="WON",ISNUMBER(I772)),AA772,"")</f>
        <v/>
      </c>
      <c r="AA772">
        <f>IFERROR(I772*1,0)</f>
        <v/>
      </c>
    </row>
    <row r="773" ht="15" customHeight="1">
      <c r="Z773">
        <f>IF(AND(R773="WON",ISNUMBER(I773)),AA773,"")</f>
        <v/>
      </c>
      <c r="AA773">
        <f>IFERROR(I773*1,0)</f>
        <v/>
      </c>
    </row>
    <row r="774" ht="15" customHeight="1">
      <c r="Z774">
        <f>IF(AND(R774="WON",ISNUMBER(I774)),AA774,"")</f>
        <v/>
      </c>
      <c r="AA774">
        <f>IFERROR(I774*1,0)</f>
        <v/>
      </c>
    </row>
    <row r="775" ht="15" customHeight="1">
      <c r="Z775">
        <f>IF(AND(R775="WON",ISNUMBER(I775)),AA775,"")</f>
        <v/>
      </c>
      <c r="AA775">
        <f>IFERROR(I775*1,0)</f>
        <v/>
      </c>
    </row>
    <row r="776" ht="15" customHeight="1">
      <c r="Z776">
        <f>IF(AND(R776="WON",ISNUMBER(I776)),AA776,"")</f>
        <v/>
      </c>
      <c r="AA776">
        <f>IFERROR(I776*1,0)</f>
        <v/>
      </c>
    </row>
    <row r="777" ht="15" customHeight="1">
      <c r="Z777">
        <f>IF(AND(R777="WON",ISNUMBER(I777)),AA777,"")</f>
        <v/>
      </c>
      <c r="AA777">
        <f>IFERROR(I777*1,0)</f>
        <v/>
      </c>
    </row>
    <row r="778" ht="15" customHeight="1">
      <c r="Z778">
        <f>IF(AND(R778="WON",ISNUMBER(I778)),AA778,"")</f>
        <v/>
      </c>
      <c r="AA778">
        <f>IFERROR(I778*1,0)</f>
        <v/>
      </c>
    </row>
    <row r="779" ht="15" customHeight="1">
      <c r="Z779">
        <f>IF(AND(R779="WON",ISNUMBER(I779)),AA779,"")</f>
        <v/>
      </c>
      <c r="AA779">
        <f>IFERROR(I779*1,0)</f>
        <v/>
      </c>
    </row>
    <row r="780" ht="15" customHeight="1">
      <c r="Z780">
        <f>IF(AND(R780="WON",ISNUMBER(I780)),AA780,"")</f>
        <v/>
      </c>
      <c r="AA780">
        <f>IFERROR(I780*1,0)</f>
        <v/>
      </c>
    </row>
    <row r="781" ht="15" customHeight="1">
      <c r="Z781">
        <f>IF(AND(R781="WON",ISNUMBER(I781)),AA781,"")</f>
        <v/>
      </c>
      <c r="AA781">
        <f>IFERROR(I781*1,0)</f>
        <v/>
      </c>
    </row>
    <row r="782" ht="15" customHeight="1">
      <c r="Z782">
        <f>IF(AND(R782="WON",ISNUMBER(I782)),AA782,"")</f>
        <v/>
      </c>
      <c r="AA782">
        <f>IFERROR(I782*1,0)</f>
        <v/>
      </c>
    </row>
    <row r="783" ht="15" customHeight="1">
      <c r="Z783">
        <f>IF(AND(R783="WON",ISNUMBER(I783)),AA783,"")</f>
        <v/>
      </c>
      <c r="AA783">
        <f>IFERROR(I783*1,0)</f>
        <v/>
      </c>
    </row>
    <row r="784" ht="15" customHeight="1">
      <c r="Z784">
        <f>IF(AND(R784="WON",ISNUMBER(I784)),AA784,"")</f>
        <v/>
      </c>
      <c r="AA784">
        <f>IFERROR(I784*1,0)</f>
        <v/>
      </c>
    </row>
    <row r="785" ht="15" customHeight="1">
      <c r="Z785">
        <f>IF(AND(R785="WON",ISNUMBER(I785)),AA785,"")</f>
        <v/>
      </c>
      <c r="AA785">
        <f>IFERROR(I785*1,0)</f>
        <v/>
      </c>
    </row>
    <row r="786" ht="15" customHeight="1">
      <c r="Z786">
        <f>IF(AND(R786="WON",ISNUMBER(I786)),AA786,"")</f>
        <v/>
      </c>
      <c r="AA786">
        <f>IFERROR(I786*1,0)</f>
        <v/>
      </c>
    </row>
    <row r="787" ht="15" customHeight="1">
      <c r="Z787">
        <f>IF(AND(R787="WON",ISNUMBER(I787)),AA787,"")</f>
        <v/>
      </c>
      <c r="AA787">
        <f>IFERROR(I787*1,0)</f>
        <v/>
      </c>
    </row>
    <row r="788" ht="15" customHeight="1">
      <c r="Z788">
        <f>IF(AND(R788="WON",ISNUMBER(I788)),AA788,"")</f>
        <v/>
      </c>
      <c r="AA788">
        <f>IFERROR(I788*1,0)</f>
        <v/>
      </c>
    </row>
    <row r="789" ht="15" customHeight="1">
      <c r="Z789">
        <f>IF(AND(R789="WON",ISNUMBER(I789)),AA789,"")</f>
        <v/>
      </c>
      <c r="AA789">
        <f>IFERROR(I789*1,0)</f>
        <v/>
      </c>
    </row>
    <row r="790" ht="15" customHeight="1">
      <c r="Z790">
        <f>IF(AND(R790="WON",ISNUMBER(I790)),AA790,"")</f>
        <v/>
      </c>
      <c r="AA790">
        <f>IFERROR(I790*1,0)</f>
        <v/>
      </c>
    </row>
    <row r="791" ht="15" customHeight="1">
      <c r="Z791">
        <f>IF(AND(R791="WON",ISNUMBER(I791)),AA791,"")</f>
        <v/>
      </c>
      <c r="AA791">
        <f>IFERROR(I791*1,0)</f>
        <v/>
      </c>
    </row>
    <row r="792" ht="15" customHeight="1">
      <c r="Z792">
        <f>IF(AND(R792="WON",ISNUMBER(I792)),AA792,"")</f>
        <v/>
      </c>
      <c r="AA792">
        <f>IFERROR(I792*1,0)</f>
        <v/>
      </c>
    </row>
    <row r="793" ht="15" customHeight="1">
      <c r="Z793">
        <f>IF(AND(R793="WON",ISNUMBER(I793)),AA793,"")</f>
        <v/>
      </c>
      <c r="AA793">
        <f>IFERROR(I793*1,0)</f>
        <v/>
      </c>
    </row>
    <row r="794" ht="15" customHeight="1">
      <c r="Z794">
        <f>IF(AND(R794="WON",ISNUMBER(I794)),AA794,"")</f>
        <v/>
      </c>
      <c r="AA794">
        <f>IFERROR(I794*1,0)</f>
        <v/>
      </c>
    </row>
    <row r="795" ht="15" customHeight="1">
      <c r="Z795">
        <f>IF(AND(R795="WON",ISNUMBER(I795)),AA795,"")</f>
        <v/>
      </c>
      <c r="AA795">
        <f>IFERROR(I795*1,0)</f>
        <v/>
      </c>
    </row>
    <row r="796" ht="15" customHeight="1">
      <c r="Z796">
        <f>IF(AND(R796="WON",ISNUMBER(I796)),AA796,"")</f>
        <v/>
      </c>
      <c r="AA796">
        <f>IFERROR(I796*1,0)</f>
        <v/>
      </c>
    </row>
    <row r="797" ht="15" customHeight="1">
      <c r="Z797">
        <f>IF(AND(R797="WON",ISNUMBER(I797)),AA797,"")</f>
        <v/>
      </c>
      <c r="AA797">
        <f>IFERROR(I797*1,0)</f>
        <v/>
      </c>
    </row>
    <row r="798" ht="15" customHeight="1">
      <c r="Z798">
        <f>IF(AND(R798="WON",ISNUMBER(I798)),AA798,"")</f>
        <v/>
      </c>
      <c r="AA798">
        <f>IFERROR(I798*1,0)</f>
        <v/>
      </c>
    </row>
    <row r="799" ht="15" customHeight="1">
      <c r="Z799">
        <f>IF(AND(R799="WON",ISNUMBER(I799)),AA799,"")</f>
        <v/>
      </c>
      <c r="AA799">
        <f>IFERROR(I799*1,0)</f>
        <v/>
      </c>
    </row>
    <row r="800" ht="15" customHeight="1">
      <c r="Z800">
        <f>IF(AND(R800="WON",ISNUMBER(I800)),AA800,"")</f>
        <v/>
      </c>
      <c r="AA800">
        <f>IFERROR(I800*1,0)</f>
        <v/>
      </c>
    </row>
    <row r="801" ht="15" customHeight="1">
      <c r="Z801">
        <f>IF(AND(R801="WON",ISNUMBER(I801)),AA801,"")</f>
        <v/>
      </c>
      <c r="AA801">
        <f>IFERROR(I801*1,0)</f>
        <v/>
      </c>
    </row>
    <row r="802" ht="15" customHeight="1">
      <c r="Z802">
        <f>IF(AND(R802="WON",ISNUMBER(I802)),AA802,"")</f>
        <v/>
      </c>
      <c r="AA802">
        <f>IFERROR(I802*1,0)</f>
        <v/>
      </c>
    </row>
    <row r="803" ht="15" customHeight="1">
      <c r="Z803">
        <f>IF(AND(R803="WON",ISNUMBER(I803)),AA803,"")</f>
        <v/>
      </c>
      <c r="AA803">
        <f>IFERROR(I803*1,0)</f>
        <v/>
      </c>
    </row>
    <row r="804" ht="15" customHeight="1">
      <c r="Z804">
        <f>IF(AND(R804="WON",ISNUMBER(I804)),AA804,"")</f>
        <v/>
      </c>
      <c r="AA804">
        <f>IFERROR(I804*1,0)</f>
        <v/>
      </c>
    </row>
    <row r="805" ht="15" customHeight="1">
      <c r="Z805">
        <f>IF(AND(R805="WON",ISNUMBER(I805)),AA805,"")</f>
        <v/>
      </c>
      <c r="AA805">
        <f>IFERROR(I805*1,0)</f>
        <v/>
      </c>
    </row>
    <row r="806" ht="15" customHeight="1">
      <c r="Z806">
        <f>IF(AND(R806="WON",ISNUMBER(I806)),AA806,"")</f>
        <v/>
      </c>
      <c r="AA806">
        <f>IFERROR(I806*1,0)</f>
        <v/>
      </c>
    </row>
    <row r="807" ht="15" customHeight="1">
      <c r="Z807">
        <f>IF(AND(R807="WON",ISNUMBER(I807)),AA807,"")</f>
        <v/>
      </c>
      <c r="AA807">
        <f>IFERROR(I807*1,0)</f>
        <v/>
      </c>
    </row>
    <row r="808" ht="15" customHeight="1">
      <c r="Z808">
        <f>IF(AND(R808="WON",ISNUMBER(I808)),AA808,"")</f>
        <v/>
      </c>
      <c r="AA808">
        <f>IFERROR(I808*1,0)</f>
        <v/>
      </c>
    </row>
    <row r="809" ht="15" customHeight="1">
      <c r="Z809">
        <f>IF(AND(R809="WON",ISNUMBER(I809)),AA809,"")</f>
        <v/>
      </c>
      <c r="AA809">
        <f>IFERROR(I809*1,0)</f>
        <v/>
      </c>
    </row>
    <row r="810" ht="15" customHeight="1">
      <c r="Z810">
        <f>IF(AND(R810="WON",ISNUMBER(I810)),AA810,"")</f>
        <v/>
      </c>
      <c r="AA810">
        <f>IFERROR(I810*1,0)</f>
        <v/>
      </c>
    </row>
    <row r="811" ht="15" customHeight="1">
      <c r="Z811">
        <f>IF(AND(R811="WON",ISNUMBER(I811)),AA811,"")</f>
        <v/>
      </c>
      <c r="AA811">
        <f>IFERROR(I811*1,0)</f>
        <v/>
      </c>
    </row>
    <row r="812" ht="15" customHeight="1">
      <c r="Z812">
        <f>IF(AND(R812="WON",ISNUMBER(I812)),AA812,"")</f>
        <v/>
      </c>
      <c r="AA812">
        <f>IFERROR(I812*1,0)</f>
        <v/>
      </c>
    </row>
    <row r="813" ht="15" customHeight="1">
      <c r="Z813">
        <f>IF(AND(R813="WON",ISNUMBER(I813)),AA813,"")</f>
        <v/>
      </c>
      <c r="AA813">
        <f>IFERROR(I813*1,0)</f>
        <v/>
      </c>
    </row>
    <row r="814" ht="15" customHeight="1">
      <c r="Z814">
        <f>IF(AND(R814="WON",ISNUMBER(I814)),AA814,"")</f>
        <v/>
      </c>
      <c r="AA814">
        <f>IFERROR(I814*1,0)</f>
        <v/>
      </c>
    </row>
    <row r="815" ht="15" customHeight="1">
      <c r="Z815">
        <f>IF(AND(R815="WON",ISNUMBER(I815)),AA815,"")</f>
        <v/>
      </c>
      <c r="AA815">
        <f>IFERROR(I815*1,0)</f>
        <v/>
      </c>
    </row>
    <row r="816" ht="15" customHeight="1">
      <c r="Z816">
        <f>IF(AND(R816="WON",ISNUMBER(I816)),AA816,"")</f>
        <v/>
      </c>
      <c r="AA816">
        <f>IFERROR(I816*1,0)</f>
        <v/>
      </c>
    </row>
    <row r="817" ht="15" customHeight="1">
      <c r="Z817">
        <f>IF(AND(R817="WON",ISNUMBER(I817)),AA817,"")</f>
        <v/>
      </c>
      <c r="AA817">
        <f>IFERROR(I817*1,0)</f>
        <v/>
      </c>
    </row>
    <row r="818" ht="15" customHeight="1">
      <c r="Z818">
        <f>IF(AND(R818="WON",ISNUMBER(I818)),AA818,"")</f>
        <v/>
      </c>
      <c r="AA818">
        <f>IFERROR(I818*1,0)</f>
        <v/>
      </c>
    </row>
    <row r="819" ht="15" customHeight="1">
      <c r="Z819">
        <f>IF(AND(R819="WON",ISNUMBER(I819)),AA819,"")</f>
        <v/>
      </c>
      <c r="AA819">
        <f>IFERROR(I819*1,0)</f>
        <v/>
      </c>
    </row>
    <row r="820" ht="15" customHeight="1">
      <c r="Z820">
        <f>IF(AND(R820="WON",ISNUMBER(I820)),AA820,"")</f>
        <v/>
      </c>
      <c r="AA820">
        <f>IFERROR(I820*1,0)</f>
        <v/>
      </c>
    </row>
    <row r="821" ht="15" customHeight="1">
      <c r="Z821">
        <f>IF(AND(R821="WON",ISNUMBER(I821)),AA821,"")</f>
        <v/>
      </c>
      <c r="AA821">
        <f>IFERROR(I821*1,0)</f>
        <v/>
      </c>
    </row>
    <row r="822" ht="15" customHeight="1">
      <c r="Z822">
        <f>IF(AND(R822="WON",ISNUMBER(I822)),AA822,"")</f>
        <v/>
      </c>
      <c r="AA822">
        <f>IFERROR(I822*1,0)</f>
        <v/>
      </c>
    </row>
    <row r="823" ht="15" customHeight="1">
      <c r="Z823">
        <f>IF(AND(R823="WON",ISNUMBER(I823)),AA823,"")</f>
        <v/>
      </c>
      <c r="AA823">
        <f>IFERROR(I823*1,0)</f>
        <v/>
      </c>
    </row>
    <row r="824" ht="15" customHeight="1">
      <c r="Z824">
        <f>IF(AND(R824="WON",ISNUMBER(I824)),AA824,"")</f>
        <v/>
      </c>
      <c r="AA824">
        <f>IFERROR(I824*1,0)</f>
        <v/>
      </c>
    </row>
    <row r="825" ht="15" customHeight="1">
      <c r="Z825">
        <f>IF(AND(R825="WON",ISNUMBER(I825)),AA825,"")</f>
        <v/>
      </c>
      <c r="AA825">
        <f>IFERROR(I825*1,0)</f>
        <v/>
      </c>
    </row>
    <row r="826" ht="15" customHeight="1">
      <c r="Z826">
        <f>IF(AND(R826="WON",ISNUMBER(I826)),AA826,"")</f>
        <v/>
      </c>
      <c r="AA826">
        <f>IFERROR(I826*1,0)</f>
        <v/>
      </c>
    </row>
    <row r="827" ht="15" customHeight="1">
      <c r="Z827">
        <f>IF(AND(R827="WON",ISNUMBER(I827)),AA827,"")</f>
        <v/>
      </c>
      <c r="AA827">
        <f>IFERROR(I827*1,0)</f>
        <v/>
      </c>
    </row>
    <row r="828" ht="15" customHeight="1">
      <c r="Z828">
        <f>IF(AND(R828="WON",ISNUMBER(I828)),AA828,"")</f>
        <v/>
      </c>
      <c r="AA828">
        <f>IFERROR(I828*1,0)</f>
        <v/>
      </c>
    </row>
    <row r="829" ht="15" customHeight="1">
      <c r="Z829">
        <f>IF(AND(R829="WON",ISNUMBER(I829)),AA829,"")</f>
        <v/>
      </c>
      <c r="AA829">
        <f>IFERROR(I829*1,0)</f>
        <v/>
      </c>
    </row>
    <row r="830" ht="15" customHeight="1">
      <c r="Z830">
        <f>IF(AND(R830="WON",ISNUMBER(I830)),AA830,"")</f>
        <v/>
      </c>
      <c r="AA830">
        <f>IFERROR(I830*1,0)</f>
        <v/>
      </c>
    </row>
    <row r="831" ht="15" customHeight="1">
      <c r="Z831">
        <f>IF(AND(R831="WON",ISNUMBER(I831)),AA831,"")</f>
        <v/>
      </c>
      <c r="AA831">
        <f>IFERROR(I831*1,0)</f>
        <v/>
      </c>
    </row>
    <row r="832" ht="15" customHeight="1">
      <c r="Z832">
        <f>IF(AND(R832="WON",ISNUMBER(I832)),AA832,"")</f>
        <v/>
      </c>
      <c r="AA832">
        <f>IFERROR(I832*1,0)</f>
        <v/>
      </c>
    </row>
    <row r="833" ht="15" customHeight="1">
      <c r="Z833">
        <f>IF(AND(R833="WON",ISNUMBER(I833)),AA833,"")</f>
        <v/>
      </c>
      <c r="AA833">
        <f>IFERROR(I833*1,0)</f>
        <v/>
      </c>
    </row>
    <row r="834" ht="15" customHeight="1">
      <c r="Z834">
        <f>IF(AND(R834="WON",ISNUMBER(I834)),AA834,"")</f>
        <v/>
      </c>
      <c r="AA834">
        <f>IFERROR(I834*1,0)</f>
        <v/>
      </c>
    </row>
    <row r="835" ht="15" customHeight="1">
      <c r="Z835">
        <f>IF(AND(R835="WON",ISNUMBER(I835)),AA835,"")</f>
        <v/>
      </c>
      <c r="AA835">
        <f>IFERROR(I835*1,0)</f>
        <v/>
      </c>
    </row>
    <row r="836" ht="15" customHeight="1">
      <c r="Z836">
        <f>IF(AND(R836="WON",ISNUMBER(I836)),AA836,"")</f>
        <v/>
      </c>
      <c r="AA836">
        <f>IFERROR(I836*1,0)</f>
        <v/>
      </c>
    </row>
    <row r="837" ht="15" customHeight="1">
      <c r="Z837">
        <f>IF(AND(R837="WON",ISNUMBER(I837)),AA837,"")</f>
        <v/>
      </c>
      <c r="AA837">
        <f>IFERROR(I837*1,0)</f>
        <v/>
      </c>
    </row>
    <row r="838" ht="15" customHeight="1">
      <c r="Z838">
        <f>IF(AND(R838="WON",ISNUMBER(I838)),AA838,"")</f>
        <v/>
      </c>
      <c r="AA838">
        <f>IFERROR(I838*1,0)</f>
        <v/>
      </c>
    </row>
    <row r="839" ht="15" customHeight="1">
      <c r="Z839">
        <f>IF(AND(R839="WON",ISNUMBER(I839)),AA839,"")</f>
        <v/>
      </c>
      <c r="AA839">
        <f>IFERROR(I839*1,0)</f>
        <v/>
      </c>
    </row>
    <row r="840" ht="15" customHeight="1">
      <c r="Z840">
        <f>IF(AND(R840="WON",ISNUMBER(I840)),AA840,"")</f>
        <v/>
      </c>
      <c r="AA840">
        <f>IFERROR(I840*1,0)</f>
        <v/>
      </c>
    </row>
    <row r="841" ht="15" customHeight="1">
      <c r="Z841">
        <f>IF(AND(R841="WON",ISNUMBER(I841)),AA841,"")</f>
        <v/>
      </c>
      <c r="AA841">
        <f>IFERROR(I841*1,0)</f>
        <v/>
      </c>
    </row>
    <row r="842" ht="15" customHeight="1">
      <c r="Z842">
        <f>IF(AND(R842="WON",ISNUMBER(I842)),AA842,"")</f>
        <v/>
      </c>
      <c r="AA842">
        <f>IFERROR(I842*1,0)</f>
        <v/>
      </c>
    </row>
    <row r="843" ht="15" customHeight="1">
      <c r="Z843">
        <f>IF(AND(R843="WON",ISNUMBER(I843)),AA843,"")</f>
        <v/>
      </c>
      <c r="AA843">
        <f>IFERROR(I843*1,0)</f>
        <v/>
      </c>
    </row>
    <row r="844" ht="15" customHeight="1">
      <c r="Z844">
        <f>IF(AND(R844="WON",ISNUMBER(I844)),AA844,"")</f>
        <v/>
      </c>
      <c r="AA844">
        <f>IFERROR(I844*1,0)</f>
        <v/>
      </c>
    </row>
    <row r="845" ht="15" customHeight="1">
      <c r="Z845">
        <f>IF(AND(R845="WON",ISNUMBER(I845)),AA845,"")</f>
        <v/>
      </c>
      <c r="AA845">
        <f>IFERROR(I845*1,0)</f>
        <v/>
      </c>
    </row>
    <row r="846" ht="15" customHeight="1">
      <c r="Z846">
        <f>IF(AND(R846="WON",ISNUMBER(I846)),AA846,"")</f>
        <v/>
      </c>
      <c r="AA846">
        <f>IFERROR(I846*1,0)</f>
        <v/>
      </c>
    </row>
    <row r="847" ht="15" customHeight="1">
      <c r="Z847">
        <f>IF(AND(R847="WON",ISNUMBER(I847)),AA847,"")</f>
        <v/>
      </c>
      <c r="AA847">
        <f>IFERROR(I847*1,0)</f>
        <v/>
      </c>
    </row>
    <row r="848" ht="15" customHeight="1">
      <c r="Z848">
        <f>IF(AND(R848="WON",ISNUMBER(I848)),AA848,"")</f>
        <v/>
      </c>
      <c r="AA848">
        <f>IFERROR(I848*1,0)</f>
        <v/>
      </c>
    </row>
    <row r="849" ht="15" customHeight="1">
      <c r="Z849">
        <f>IF(AND(R849="WON",ISNUMBER(I849)),AA849,"")</f>
        <v/>
      </c>
      <c r="AA849">
        <f>IFERROR(I849*1,0)</f>
        <v/>
      </c>
    </row>
    <row r="850" ht="15" customHeight="1">
      <c r="Z850">
        <f>IF(AND(R850="WON",ISNUMBER(I850)),AA850,"")</f>
        <v/>
      </c>
      <c r="AA850">
        <f>IFERROR(I850*1,0)</f>
        <v/>
      </c>
    </row>
    <row r="851" ht="15" customHeight="1">
      <c r="Z851">
        <f>IF(AND(R851="WON",ISNUMBER(I851)),AA851,"")</f>
        <v/>
      </c>
      <c r="AA851">
        <f>IFERROR(I851*1,0)</f>
        <v/>
      </c>
    </row>
    <row r="852" ht="15" customHeight="1">
      <c r="Z852">
        <f>IF(AND(R852="WON",ISNUMBER(I852)),AA852,"")</f>
        <v/>
      </c>
      <c r="AA852">
        <f>IFERROR(I852*1,0)</f>
        <v/>
      </c>
    </row>
    <row r="853" ht="15" customHeight="1">
      <c r="Z853">
        <f>IF(AND(R853="WON",ISNUMBER(I853)),AA853,"")</f>
        <v/>
      </c>
      <c r="AA853">
        <f>IFERROR(I853*1,0)</f>
        <v/>
      </c>
    </row>
    <row r="854" ht="15" customHeight="1">
      <c r="Z854">
        <f>IF(AND(R854="WON",ISNUMBER(I854)),AA854,"")</f>
        <v/>
      </c>
      <c r="AA854">
        <f>IFERROR(I854*1,0)</f>
        <v/>
      </c>
    </row>
    <row r="855" ht="15" customHeight="1">
      <c r="Z855">
        <f>IF(AND(R855="WON",ISNUMBER(I855)),AA855,"")</f>
        <v/>
      </c>
      <c r="AA855">
        <f>IFERROR(I855*1,0)</f>
        <v/>
      </c>
    </row>
    <row r="856" ht="15" customHeight="1">
      <c r="Z856">
        <f>IF(AND(R856="WON",ISNUMBER(I856)),AA856,"")</f>
        <v/>
      </c>
      <c r="AA856">
        <f>IFERROR(I856*1,0)</f>
        <v/>
      </c>
    </row>
    <row r="857" ht="15" customHeight="1">
      <c r="Z857">
        <f>IF(AND(R857="WON",ISNUMBER(I857)),AA857,"")</f>
        <v/>
      </c>
      <c r="AA857">
        <f>IFERROR(I857*1,0)</f>
        <v/>
      </c>
    </row>
    <row r="858" ht="15" customHeight="1">
      <c r="Z858">
        <f>IF(AND(R858="WON",ISNUMBER(I858)),AA858,"")</f>
        <v/>
      </c>
      <c r="AA858">
        <f>IFERROR(I858*1,0)</f>
        <v/>
      </c>
    </row>
    <row r="859" ht="15" customHeight="1">
      <c r="Z859">
        <f>IF(AND(R859="WON",ISNUMBER(I859)),AA859,"")</f>
        <v/>
      </c>
      <c r="AA859">
        <f>IFERROR(I859*1,0)</f>
        <v/>
      </c>
    </row>
    <row r="860" ht="15" customHeight="1">
      <c r="Z860">
        <f>IF(AND(R860="WON",ISNUMBER(I860)),AA860,"")</f>
        <v/>
      </c>
      <c r="AA860">
        <f>IFERROR(I860*1,0)</f>
        <v/>
      </c>
    </row>
    <row r="861" ht="15" customHeight="1">
      <c r="Z861">
        <f>IF(AND(R861="WON",ISNUMBER(I861)),AA861,"")</f>
        <v/>
      </c>
      <c r="AA861">
        <f>IFERROR(I861*1,0)</f>
        <v/>
      </c>
    </row>
    <row r="862" ht="15" customHeight="1">
      <c r="Z862">
        <f>IF(AND(R862="WON",ISNUMBER(I862)),AA862,"")</f>
        <v/>
      </c>
      <c r="AA862">
        <f>IFERROR(I862*1,0)</f>
        <v/>
      </c>
    </row>
    <row r="863" ht="15" customHeight="1">
      <c r="Z863">
        <f>IF(AND(R863="WON",ISNUMBER(I863)),AA863,"")</f>
        <v/>
      </c>
      <c r="AA863">
        <f>IFERROR(I863*1,0)</f>
        <v/>
      </c>
    </row>
    <row r="864" ht="15" customHeight="1">
      <c r="Z864">
        <f>IF(AND(R864="WON",ISNUMBER(I864)),AA864,"")</f>
        <v/>
      </c>
      <c r="AA864">
        <f>IFERROR(I864*1,0)</f>
        <v/>
      </c>
    </row>
    <row r="865" ht="15" customHeight="1">
      <c r="Z865">
        <f>IF(AND(R865="WON",ISNUMBER(I865)),AA865,"")</f>
        <v/>
      </c>
      <c r="AA865">
        <f>IFERROR(I865*1,0)</f>
        <v/>
      </c>
    </row>
    <row r="866" ht="15" customHeight="1">
      <c r="Z866">
        <f>IF(AND(R866="WON",ISNUMBER(I866)),AA866,"")</f>
        <v/>
      </c>
      <c r="AA866">
        <f>IFERROR(I866*1,0)</f>
        <v/>
      </c>
    </row>
    <row r="867" ht="15" customHeight="1">
      <c r="Z867">
        <f>IF(AND(R867="WON",ISNUMBER(I867)),AA867,"")</f>
        <v/>
      </c>
      <c r="AA867">
        <f>IFERROR(I867*1,0)</f>
        <v/>
      </c>
    </row>
    <row r="868" ht="15" customHeight="1">
      <c r="Z868">
        <f>IF(AND(R868="WON",ISNUMBER(I868)),AA868,"")</f>
        <v/>
      </c>
      <c r="AA868">
        <f>IFERROR(I868*1,0)</f>
        <v/>
      </c>
    </row>
    <row r="869" ht="15" customHeight="1">
      <c r="Z869">
        <f>IF(AND(R869="WON",ISNUMBER(I869)),AA869,"")</f>
        <v/>
      </c>
      <c r="AA869">
        <f>IFERROR(I869*1,0)</f>
        <v/>
      </c>
    </row>
    <row r="870" ht="15" customHeight="1">
      <c r="Z870">
        <f>IF(AND(R870="WON",ISNUMBER(I870)),AA870,"")</f>
        <v/>
      </c>
      <c r="AA870">
        <f>IFERROR(I870*1,0)</f>
        <v/>
      </c>
    </row>
    <row r="871" ht="15" customHeight="1">
      <c r="Z871">
        <f>IF(AND(R871="WON",ISNUMBER(I871)),AA871,"")</f>
        <v/>
      </c>
      <c r="AA871">
        <f>IFERROR(I871*1,0)</f>
        <v/>
      </c>
    </row>
    <row r="872" ht="15" customHeight="1">
      <c r="Z872">
        <f>IF(AND(R872="WON",ISNUMBER(I872)),AA872,"")</f>
        <v/>
      </c>
      <c r="AA872">
        <f>IFERROR(I872*1,0)</f>
        <v/>
      </c>
    </row>
    <row r="873" ht="15" customHeight="1">
      <c r="Z873">
        <f>IF(AND(R873="WON",ISNUMBER(I873)),AA873,"")</f>
        <v/>
      </c>
      <c r="AA873">
        <f>IFERROR(I873*1,0)</f>
        <v/>
      </c>
    </row>
    <row r="874" ht="15" customHeight="1">
      <c r="Z874">
        <f>IF(AND(R874="WON",ISNUMBER(I874)),AA874,"")</f>
        <v/>
      </c>
      <c r="AA874">
        <f>IFERROR(I874*1,0)</f>
        <v/>
      </c>
    </row>
    <row r="875" ht="15" customHeight="1">
      <c r="Z875">
        <f>IF(AND(R875="WON",ISNUMBER(I875)),AA875,"")</f>
        <v/>
      </c>
      <c r="AA875">
        <f>IFERROR(I875*1,0)</f>
        <v/>
      </c>
    </row>
    <row r="876" ht="15" customHeight="1">
      <c r="Z876">
        <f>IF(AND(R876="WON",ISNUMBER(I876)),AA876,"")</f>
        <v/>
      </c>
      <c r="AA876">
        <f>IFERROR(I876*1,0)</f>
        <v/>
      </c>
    </row>
    <row r="877" ht="15" customHeight="1">
      <c r="Z877">
        <f>IF(AND(R877="WON",ISNUMBER(I877)),AA877,"")</f>
        <v/>
      </c>
      <c r="AA877">
        <f>IFERROR(I877*1,0)</f>
        <v/>
      </c>
    </row>
    <row r="878" ht="15" customHeight="1">
      <c r="Z878">
        <f>IF(AND(R878="WON",ISNUMBER(I878)),AA878,"")</f>
        <v/>
      </c>
      <c r="AA878">
        <f>IFERROR(I878*1,0)</f>
        <v/>
      </c>
    </row>
    <row r="879" ht="15" customHeight="1">
      <c r="Z879">
        <f>IF(AND(R879="WON",ISNUMBER(I879)),AA879,"")</f>
        <v/>
      </c>
      <c r="AA879">
        <f>IFERROR(I879*1,0)</f>
        <v/>
      </c>
    </row>
    <row r="880" ht="15" customHeight="1">
      <c r="Z880">
        <f>IF(AND(R880="WON",ISNUMBER(I880)),AA880,"")</f>
        <v/>
      </c>
      <c r="AA880">
        <f>IFERROR(I880*1,0)</f>
        <v/>
      </c>
    </row>
    <row r="881" ht="15" customHeight="1">
      <c r="Z881">
        <f>IF(AND(R881="WON",ISNUMBER(I881)),AA881,"")</f>
        <v/>
      </c>
      <c r="AA881">
        <f>IFERROR(I881*1,0)</f>
        <v/>
      </c>
    </row>
    <row r="882" ht="15" customHeight="1">
      <c r="Z882">
        <f>IF(AND(R882="WON",ISNUMBER(I882)),AA882,"")</f>
        <v/>
      </c>
      <c r="AA882">
        <f>IFERROR(I882*1,0)</f>
        <v/>
      </c>
    </row>
    <row r="883" ht="15" customHeight="1">
      <c r="Z883">
        <f>IF(AND(R883="WON",ISNUMBER(I883)),AA883,"")</f>
        <v/>
      </c>
      <c r="AA883">
        <f>IFERROR(I883*1,0)</f>
        <v/>
      </c>
    </row>
    <row r="884" ht="15" customHeight="1">
      <c r="Z884">
        <f>IF(AND(R884="WON",ISNUMBER(I884)),AA884,"")</f>
        <v/>
      </c>
      <c r="AA884">
        <f>IFERROR(I884*1,0)</f>
        <v/>
      </c>
    </row>
    <row r="885" ht="15" customHeight="1">
      <c r="Z885">
        <f>IF(AND(R885="WON",ISNUMBER(I885)),AA885,"")</f>
        <v/>
      </c>
      <c r="AA885">
        <f>IFERROR(I885*1,0)</f>
        <v/>
      </c>
    </row>
    <row r="886" ht="15" customHeight="1">
      <c r="Z886">
        <f>IF(AND(R886="WON",ISNUMBER(I886)),AA886,"")</f>
        <v/>
      </c>
      <c r="AA886">
        <f>IFERROR(I886*1,0)</f>
        <v/>
      </c>
    </row>
    <row r="887" ht="15" customHeight="1">
      <c r="Z887">
        <f>IF(AND(R887="WON",ISNUMBER(I887)),AA887,"")</f>
        <v/>
      </c>
      <c r="AA887">
        <f>IFERROR(I887*1,0)</f>
        <v/>
      </c>
    </row>
    <row r="888" ht="15" customHeight="1">
      <c r="Z888">
        <f>IF(AND(R888="WON",ISNUMBER(I888)),AA888,"")</f>
        <v/>
      </c>
      <c r="AA888">
        <f>IFERROR(I888*1,0)</f>
        <v/>
      </c>
    </row>
    <row r="889" ht="15" customHeight="1">
      <c r="Z889">
        <f>IF(AND(R889="WON",ISNUMBER(I889)),AA889,"")</f>
        <v/>
      </c>
      <c r="AA889">
        <f>IFERROR(I889*1,0)</f>
        <v/>
      </c>
    </row>
    <row r="890" ht="15" customHeight="1">
      <c r="Z890">
        <f>IF(AND(R890="WON",ISNUMBER(I890)),AA890,"")</f>
        <v/>
      </c>
      <c r="AA890">
        <f>IFERROR(I890*1,0)</f>
        <v/>
      </c>
    </row>
    <row r="891" ht="15" customHeight="1">
      <c r="Z891">
        <f>IF(AND(R891="WON",ISNUMBER(I891)),AA891,"")</f>
        <v/>
      </c>
      <c r="AA891">
        <f>IFERROR(I891*1,0)</f>
        <v/>
      </c>
    </row>
    <row r="892" ht="15" customHeight="1">
      <c r="Z892">
        <f>IF(AND(R892="WON",ISNUMBER(I892)),AA892,"")</f>
        <v/>
      </c>
      <c r="AA892">
        <f>IFERROR(I892*1,0)</f>
        <v/>
      </c>
    </row>
    <row r="893" ht="15" customHeight="1">
      <c r="Z893">
        <f>IF(AND(R893="WON",ISNUMBER(I893)),AA893,"")</f>
        <v/>
      </c>
      <c r="AA893">
        <f>IFERROR(I893*1,0)</f>
        <v/>
      </c>
    </row>
    <row r="894" ht="15" customHeight="1">
      <c r="Z894">
        <f>IF(AND(R894="WON",ISNUMBER(I894)),AA894,"")</f>
        <v/>
      </c>
      <c r="AA894">
        <f>IFERROR(I894*1,0)</f>
        <v/>
      </c>
    </row>
    <row r="895" ht="15" customHeight="1">
      <c r="Z895">
        <f>IF(AND(R895="WON",ISNUMBER(I895)),AA895,"")</f>
        <v/>
      </c>
      <c r="AA895">
        <f>IFERROR(I895*1,0)</f>
        <v/>
      </c>
    </row>
    <row r="896" ht="15" customHeight="1">
      <c r="Z896">
        <f>IF(AND(R896="WON",ISNUMBER(I896)),AA896,"")</f>
        <v/>
      </c>
      <c r="AA896">
        <f>IFERROR(I896*1,0)</f>
        <v/>
      </c>
    </row>
    <row r="897" ht="15" customHeight="1">
      <c r="Z897">
        <f>IF(AND(R897="WON",ISNUMBER(I897)),AA897,"")</f>
        <v/>
      </c>
      <c r="AA897">
        <f>IFERROR(I897*1,0)</f>
        <v/>
      </c>
    </row>
    <row r="898" ht="15" customHeight="1">
      <c r="Z898">
        <f>IF(AND(R898="WON",ISNUMBER(I898)),AA898,"")</f>
        <v/>
      </c>
      <c r="AA898">
        <f>IFERROR(I898*1,0)</f>
        <v/>
      </c>
    </row>
    <row r="899" ht="15" customHeight="1">
      <c r="Z899">
        <f>IF(AND(R899="WON",ISNUMBER(I899)),AA899,"")</f>
        <v/>
      </c>
      <c r="AA899">
        <f>IFERROR(I899*1,0)</f>
        <v/>
      </c>
    </row>
    <row r="900" ht="15" customHeight="1">
      <c r="Z900">
        <f>IF(AND(R900="WON",ISNUMBER(I900)),AA900,"")</f>
        <v/>
      </c>
      <c r="AA900">
        <f>IFERROR(I900*1,0)</f>
        <v/>
      </c>
    </row>
    <row r="901" ht="15" customHeight="1">
      <c r="Z901">
        <f>IF(AND(R901="WON",ISNUMBER(I901)),AA901,"")</f>
        <v/>
      </c>
      <c r="AA901">
        <f>IFERROR(I901*1,0)</f>
        <v/>
      </c>
    </row>
    <row r="902" ht="15" customHeight="1">
      <c r="Z902">
        <f>IF(AND(R902="WON",ISNUMBER(I902)),AA902,"")</f>
        <v/>
      </c>
      <c r="AA902">
        <f>IFERROR(I902*1,0)</f>
        <v/>
      </c>
    </row>
    <row r="903" ht="15" customHeight="1">
      <c r="Z903">
        <f>IF(AND(R903="WON",ISNUMBER(I903)),AA903,"")</f>
        <v/>
      </c>
      <c r="AA903">
        <f>IFERROR(I903*1,0)</f>
        <v/>
      </c>
    </row>
    <row r="904" ht="15" customHeight="1">
      <c r="Z904">
        <f>IF(AND(R904="WON",ISNUMBER(I904)),AA904,"")</f>
        <v/>
      </c>
      <c r="AA904">
        <f>IFERROR(I904*1,0)</f>
        <v/>
      </c>
    </row>
  </sheetData>
  <autoFilter ref="A5:X47"/>
  <mergeCells count="11">
    <mergeCell ref="A4:B4"/>
    <mergeCell ref="G4:H4"/>
    <mergeCell ref="A3:X3"/>
    <mergeCell ref="O4:R4"/>
    <mergeCell ref="C4:F4"/>
    <mergeCell ref="A2:X2"/>
    <mergeCell ref="U4:X4"/>
    <mergeCell ref="I4:L4"/>
    <mergeCell ref="A1:X1"/>
    <mergeCell ref="M4:N4"/>
    <mergeCell ref="S4:T4"/>
  </mergeCells>
  <conditionalFormatting sqref="R6:R47">
    <cfRule type="cellIs" priority="1" operator="equal" dxfId="0" stopIfTrue="0">
      <formula>"WON"</formula>
    </cfRule>
    <cfRule type="cellIs" priority="2" operator="equal" dxfId="1" stopIfTrue="0">
      <formula>"offered"</formula>
    </cfRule>
    <cfRule type="cellIs" priority="3" operator="equal" dxfId="2" stopIfTrue="0">
      <formula>"to be offered"</formula>
    </cfRule>
    <cfRule type="cellIs" priority="4" operator="equal" dxfId="3" stopIfTrue="0">
      <formula>"follow-up"</formula>
    </cfRule>
    <cfRule type="cellIs" priority="5" operator="equal" dxfId="4" stopIfTrue="0">
      <formula>"Evaluation"</formula>
    </cfRule>
    <cfRule type="cellIs" priority="6" operator="equal" dxfId="4" stopIfTrue="0">
      <formula>"In evaluation"</formula>
    </cfRule>
    <cfRule type="cellIs" priority="7" operator="equal" dxfId="5" stopIfTrue="0">
      <formula>"on hold"</formula>
    </cfRule>
    <cfRule type="cellIs" priority="8" operator="equal" dxfId="6" stopIfTrue="0">
      <formula>"tbd"</formula>
    </cfRule>
    <cfRule type="cellIs" priority="9" operator="equal" dxfId="7" stopIfTrue="0">
      <formula>"LOST"</formula>
    </cfRule>
    <cfRule type="cellIs" priority="10" operator="equal" dxfId="8" stopIfTrue="0">
      <formula>"Declined"</formula>
    </cfRule>
  </conditionalFormatting>
  <conditionalFormatting sqref="I6:I47">
    <cfRule type="dataBar" priority="11">
      <dataBar showValue="1">
        <cfvo type="min"/>
        <cfvo type="max"/>
        <color rgb="0063A6FF"/>
      </dataBar>
    </cfRule>
  </conditionalFormatting>
  <conditionalFormatting sqref="P6:P47">
    <cfRule type="colorScale" priority="12">
      <colorScale>
        <cfvo type="num" val="0"/>
        <cfvo type="num" val="0.3"/>
        <cfvo type="num" val="0.7"/>
        <color rgb="00F8696B"/>
        <color rgb="00FFEB84"/>
        <color rgb="0063BE7B"/>
      </colorScale>
    </cfRule>
  </conditionalFormatting>
  <dataValidations count="5">
    <dataValidation sqref="R6:R58" showDropDown="0" showInputMessage="0" showErrorMessage="0" allowBlank="1" type="list">
      <formula1>"WON,LOST,Declined,offered,follow-up,on hold,Evaluation,to be offered,In evaluation,tbd"</formula1>
      <formula2>0</formula2>
    </dataValidation>
    <dataValidation sqref="C6:C44" showDropDown="0" showInputMessage="0" showErrorMessage="0" allowBlank="1" type="list">
      <formula1>"ZH,BE,AG,SG,GR,TG,SO,GE,VD,BS,BL,LU,ZG,SZ,TI,VS,FR,UR,NW,OW,GL,AI,AR,NE,SH,JU,CH,tbd"</formula1>
      <formula2>0</formula2>
    </dataValidation>
    <dataValidation sqref="T6:T43" showDropDown="0" showInputMessage="0" showErrorMessage="0" allowBlank="1" type="list">
      <formula1>"Kalt,Warm,Warm - Aggreko,Warm - CBM,Warm - Netzwerk,Inbound"</formula1>
      <formula2>0</formula2>
    </dataValidation>
    <dataValidation sqref="R6:R904" showDropDown="0" showInputMessage="0" showErrorMessage="1" allowBlank="1" errorTitle="Ungültiger Status" error="Bitte wähle einen Status aus der Liste." type="list">
      <formula1>"WON,offered,to be offered,follow-up,Evaluation,In evaluation,on hold,tbd,LOST,Declined"</formula1>
    </dataValidation>
    <dataValidation sqref="C6:C904" showDropDown="0" showInputMessage="0" showErrorMessage="0" allowBlank="1" promptTitle="Kanton" prompt="z.B. ZH, BE, GE, …" type="list">
      <formula1>"AG,AI,AR,BE,BL,BS,FR,GE,GL,GR,JU,LU,NE,NW,OW,SG,SH,SO,SZ,TG,TI,UR,VD,VS,ZG,ZH,tbd"</formula1>
    </dataValidation>
  </dataValidations>
  <pageMargins left="0.75" right="0.75" top="1" bottom="1" header="0.511811023622047" footer="0.511811023622047"/>
  <pageSetup orientation="landscape" paperSize="8" fitToWidth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Burak Ücöz</dc:creator>
  <dcterms:created xsi:type="dcterms:W3CDTF">2026-06-03T13:21:16Z</dcterms:created>
  <dcterms:modified xsi:type="dcterms:W3CDTF">2026-06-03T13:31:31Z</dcterms:modified>
  <cp:lastModifiedBy>Burak Ücöz</cp:lastModifiedBy>
</cp:coreProperties>
</file>