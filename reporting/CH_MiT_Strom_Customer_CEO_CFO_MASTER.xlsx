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 Executive PDF" sheetId="1" state="visible" r:id="rId3"/>
    <sheet name="📄 Report" sheetId="2" state="visible" r:id="rId4"/>
    <sheet name="CEO Report" sheetId="3" state="visible" r:id="rId5"/>
    <sheet name="Dashboard" sheetId="4" state="visible" r:id="rId6"/>
    <sheet name="📊 Diagramme" sheetId="5" state="visible" r:id="rId7"/>
    <sheet name="MiT Strom Pipeline" sheetId="6" state="visible" r:id="rId8"/>
    <sheet name="📋 Definitionen &amp; Klärung" sheetId="7" state="visible" r:id="rId9"/>
    <sheet name="🔍 Herleitung &amp; Formeln" sheetId="8" state="visible" r:id="rId10"/>
    <sheet name="⚖️ Wahrscheinlichkeit" sheetId="9" state="visible" r:id="rId11"/>
    <sheet name="_data" sheetId="10" state="hidden" r:id="rId12"/>
  </sheets>
  <definedNames>
    <definedName function="false" hidden="false" localSheetId="8" name="_xlnm.Print_Area" vbProcedure="false">'⚖️ Wahrscheinlichkeit'!$A$1:$H$120</definedName>
    <definedName function="false" hidden="false" localSheetId="1" name="_xlnm.Print_Area" vbProcedure="false">'📄 Report'!$A$1:$G$72</definedName>
    <definedName function="false" hidden="false" localSheetId="4" name="_xlnm.Print_Area" vbProcedure="false">'📊 Diagramme'!$A$1:$R$140</definedName>
    <definedName function="false" hidden="false" localSheetId="6" name="_xlnm.Print_Area" vbProcedure="false">'📋 Definitionen &amp; Klärung'!$A$1:$H$78</definedName>
    <definedName function="false" hidden="false" localSheetId="0" name="_xlnm.Print_Area" vbProcedure="false">'📑 Executive PDF'!$A$1:$H$49</definedName>
    <definedName function="false" hidden="false" localSheetId="7" name="_xlnm.Print_Area" vbProcedure="false">'🔍 Herleitung &amp; Formeln'!$A$1:$F$165</definedName>
    <definedName function="false" hidden="false" localSheetId="2" name="_xlnm.Print_Area" vbProcedure="false">'CEO Report'!$A$1:$N$251</definedName>
    <definedName function="false" hidden="false" localSheetId="2" name="_xlnm.Print_Titles" vbProcedure="false">'CEO Report'!$1:$3</definedName>
    <definedName function="false" hidden="true" localSheetId="2" name="_xlnm._FilterDatabase" vbProcedure="false">'CEO Report'!$A$10:$L$72</definedName>
    <definedName function="false" hidden="false" localSheetId="3" name="_xlnm.Print_Area" vbProcedure="false">Dashboard!$A$1:$K$251</definedName>
    <definedName function="false" hidden="false" localSheetId="3" name="_xlnm.Print_Titles" vbProcedure="false">Dashboard!$1:$3</definedName>
    <definedName function="false" hidden="true" localSheetId="3" name="_xlnm._FilterDatabase" vbProcedure="false">Dashboard!$A$10:$K$72</definedName>
    <definedName function="false" hidden="false" localSheetId="5" name="_xlnm.Print_Area" vbProcedure="false">'MiT Strom Pipeline'!$A$1:$AI$90</definedName>
    <definedName function="false" hidden="false" localSheetId="5" name="_xlnm.Print_Titles" vbProcedure="false">'MiT Strom Pipeline'!$A:$B,'MiT Strom Pipeline'!$1:$5</definedName>
    <definedName function="false" hidden="true" localSheetId="5" name="_xlnm._FilterDatabase" vbProcedure="false">'MiT Strom Pipeline'!$A$5:$X$860</definedName>
    <definedName function="false" hidden="false" name="MwSt_Satz" vbProcedure="false">'📋 Definitionen &amp; Klärung'!$C$42</definedName>
    <definedName function="false" hidden="false" name="Netto_Faktor" vbProcedure="false">'📋 Definitionen &amp; Klärung'!$C$44</definedName>
    <definedName function="false" hidden="false" name="Schwelle_Aufteilung" vbProcedure="false">'📋 Definitionen &amp; Klärung'!$C$43</definedName>
    <definedName function="false" hidden="false" name="Wahrscheinlichkeit_Skala" vbProcedure="false">'⚖️ Wahrscheinlichkeit'!$B$6:$B$11</definedName>
    <definedName function="false" hidden="false" localSheetId="5" name="_xlnm.Print_Titles" vbProcedure="false">'MiT Strom Pipeline'!$1:$5,'MiT Strom Pipeline'!$A:$B</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G5" authorId="0">
      <text>
        <r>
          <rPr>
            <sz val="10"/>
            <rFont val="Arial"/>
            <family val="2"/>
          </rPr>
          <t xml:space="preserve">Kalendertage, gerechnet als Projektende − Projektstart + 1.
Solange kein Zeitraum erfasst ist, steht hier der bisher von Hand
eingetragene Wert (gesichert in der ausgeblendeten Spalte AW).</t>
        </r>
      </text>
    </comment>
    <comment ref="O5" authorId="0">
      <text>
        <r>
          <rPr>
            <sz val="10"/>
            <rFont val="Arial"/>
            <family val="2"/>
          </rPr>
          <t xml:space="preserve">Erster Tag des Projekts als echtes Datum (TT.MM.JJJJ).
Solange leer, meldet der Prüfstatus den fehlenden Zeitraum.
Aus Projektstart und Projektende rechnet sich die Dauer in Spalte G.</t>
        </r>
      </text>
    </comment>
    <comment ref="P5" authorId="0">
      <text>
        <r>
          <rPr>
            <sz val="10"/>
            <rFont val="Arial"/>
            <family val="2"/>
          </rPr>
          <t xml:space="preserve">Letzter Tag des Projekts als echtes Datum (TT.MM.JJJJ).
Dauer = Projektende − Projektstart + 1, beide Tage zählen mit.</t>
        </r>
      </text>
    </comment>
  </commentList>
</comments>
</file>

<file path=xl/sharedStrings.xml><?xml version="1.0" encoding="utf-8"?>
<sst xmlns="http://schemas.openxmlformats.org/spreadsheetml/2006/main" count="2214" uniqueCount="1069">
  <si>
    <t xml:space="preserve">⚡  MiT Strom Schweiz — Executive Sales Summary</t>
  </si>
  <si>
    <t xml:space="preserve">Mobil in Time AG  ·  An Aggreko Company  ·  Burak Ücöz</t>
  </si>
  <si>
    <t xml:space="preserve">✅ WON</t>
  </si>
  <si>
    <t xml:space="preserve">📄 OFFERTE</t>
  </si>
  <si>
    <t xml:space="preserve">🎯 OPPORTUNITÄT</t>
  </si>
  <si>
    <t xml:space="preserve">🏆  Top 5 WON-Deals (nach Volumen)</t>
  </si>
  <si>
    <t xml:space="preserve">#</t>
  </si>
  <si>
    <t xml:space="preserve">Kunde</t>
  </si>
  <si>
    <t xml:space="preserve">Kt.</t>
  </si>
  <si>
    <t xml:space="preserve">Projektstart</t>
  </si>
  <si>
    <t xml:space="preserve">Segment</t>
  </si>
  <si>
    <t xml:space="preserve">Volumen</t>
  </si>
  <si>
    <t xml:space="preserve">Projektende</t>
  </si>
  <si>
    <t xml:space="preserve">📊  Status-Verteilung Pipeline</t>
  </si>
  <si>
    <t xml:space="preserve">Status</t>
  </si>
  <si>
    <t xml:space="preserve">Anzahl</t>
  </si>
  <si>
    <t xml:space="preserve">Volumen CHF</t>
  </si>
  <si>
    <t xml:space="preserve">Anteil %</t>
  </si>
  <si>
    <t xml:space="preserve">📄 Offerte (inkl. To Offer)</t>
  </si>
  <si>
    <t xml:space="preserve">🎯 Follow-Up</t>
  </si>
  <si>
    <t xml:space="preserve">🔍 Evaluation (inkl. In Eval)</t>
  </si>
  <si>
    <t xml:space="preserve">⏸ On Hold</t>
  </si>
  <si>
    <t xml:space="preserve">❓ TBD</t>
  </si>
  <si>
    <t xml:space="preserve">❌ LOST</t>
  </si>
  <si>
    <t xml:space="preserve">🚫 Declined</t>
  </si>
  <si>
    <t xml:space="preserve">⚖️  Gewichtete Pipeline nach Aggreko-Bewertung</t>
  </si>
  <si>
    <t xml:space="preserve">Wahrsch.-Band</t>
  </si>
  <si>
    <t xml:space="preserve">Faktor</t>
  </si>
  <si>
    <t xml:space="preserve">Umsatz CHF</t>
  </si>
  <si>
    <t xml:space="preserve">Gewichtet CHF</t>
  </si>
  <si>
    <t xml:space="preserve">TOTAL aktiv</t>
  </si>
  <si>
    <t xml:space="preserve">📋  Nachweis &amp; Zeitraum — wie die Zahlen zu lesen sind</t>
  </si>
  <si>
    <t xml:space="preserve">WON netto (ohne MwSt)</t>
  </si>
  <si>
    <t xml:space="preserve">davon durch Auftrag/PO belegt</t>
  </si>
  <si>
    <t xml:space="preserve">Nachweisquote</t>
  </si>
  <si>
    <t xml:space="preserve">Deals mit erfasstem Projektzeitraum</t>
  </si>
  <si>
    <t xml:space="preserve">🖨  Strg+P → Als PDF speichern  ·  Druckbereich ist bereits gesetzt (A4 Hochformat)</t>
  </si>
  <si>
    <t xml:space="preserve">MiT Strom Schweiz — Sales-Report</t>
  </si>
  <si>
    <t xml:space="preserve">Mobil in Time AG · An Aggreko Company · Burak Ücöz</t>
  </si>
  <si>
    <t xml:space="preserve">Key Performance Indicators</t>
  </si>
  <si>
    <t xml:space="preserve">KPI</t>
  </si>
  <si>
    <t xml:space="preserve">Wert CHF</t>
  </si>
  <si>
    <t xml:space="preserve">Anteil</t>
  </si>
  <si>
    <t xml:space="preserve">📄 Offerte</t>
  </si>
  <si>
    <t xml:space="preserve">🎯 Opportunität</t>
  </si>
  <si>
    <t xml:space="preserve">📊 TOTAL Pipeline</t>
  </si>
  <si>
    <t xml:space="preserve">⚖️ Gewichtet</t>
  </si>
  <si>
    <t xml:space="preserve">📋 WON belegt</t>
  </si>
  <si>
    <t xml:space="preserve">Top Kantone (nach Volumen)</t>
  </si>
  <si>
    <t xml:space="preserve">_kt</t>
  </si>
  <si>
    <t xml:space="preserve">_vol</t>
  </si>
  <si>
    <t xml:space="preserve">_rankkey</t>
  </si>
  <si>
    <t xml:space="preserve">Rang</t>
  </si>
  <si>
    <t xml:space="preserve">Kanton</t>
  </si>
  <si>
    <t xml:space="preserve">Anzahl Deals</t>
  </si>
  <si>
    <t xml:space="preserve">WON-Rate</t>
  </si>
  <si>
    <t xml:space="preserve">AG</t>
  </si>
  <si>
    <t xml:space="preserve">AI</t>
  </si>
  <si>
    <t xml:space="preserve">AR</t>
  </si>
  <si>
    <t xml:space="preserve">BE</t>
  </si>
  <si>
    <t xml:space="preserve">BL</t>
  </si>
  <si>
    <t xml:space="preserve">BS</t>
  </si>
  <si>
    <t xml:space="preserve">FR</t>
  </si>
  <si>
    <t xml:space="preserve">GE</t>
  </si>
  <si>
    <t xml:space="preserve">GL</t>
  </si>
  <si>
    <t xml:space="preserve">GR</t>
  </si>
  <si>
    <t xml:space="preserve">JU</t>
  </si>
  <si>
    <t xml:space="preserve">LU</t>
  </si>
  <si>
    <t xml:space="preserve">NE</t>
  </si>
  <si>
    <t xml:space="preserve">Top WON-Deals</t>
  </si>
  <si>
    <t xml:space="preserve">NW</t>
  </si>
  <si>
    <t xml:space="preserve">OW</t>
  </si>
  <si>
    <t xml:space="preserve">SG</t>
  </si>
  <si>
    <t xml:space="preserve">SH</t>
  </si>
  <si>
    <t xml:space="preserve">SO</t>
  </si>
  <si>
    <t xml:space="preserve">SZ</t>
  </si>
  <si>
    <t xml:space="preserve">TG</t>
  </si>
  <si>
    <t xml:space="preserve">TI</t>
  </si>
  <si>
    <t xml:space="preserve">UR</t>
  </si>
  <si>
    <t xml:space="preserve">VD</t>
  </si>
  <si>
    <t xml:space="preserve">VS</t>
  </si>
  <si>
    <t xml:space="preserve">ZG</t>
  </si>
  <si>
    <t xml:space="preserve">ZH</t>
  </si>
  <si>
    <t xml:space="preserve">↻ Auto-Update aus Pipeline · Sortiert nach Volumen ↓ · Nur WON mit numerischem Volumen</t>
  </si>
  <si>
    <t xml:space="preserve">⚖️ Wahrscheinlichkeits-Bewertung (Aggreko-Modell)</t>
  </si>
  <si>
    <t xml:space="preserve">Band</t>
  </si>
  <si>
    <t xml:space="preserve">📅 Zeitliche Verteilung nach Monat des Projektstarts</t>
  </si>
  <si>
    <t xml:space="preserve">Bezugsjahr</t>
  </si>
  <si>
    <t xml:space="preserve">Monat</t>
  </si>
  <si>
    <t xml:space="preserve">Quartal</t>
  </si>
  <si>
    <t xml:space="preserve">Januar</t>
  </si>
  <si>
    <t xml:space="preserve">Q1</t>
  </si>
  <si>
    <t xml:space="preserve">Februar</t>
  </si>
  <si>
    <t xml:space="preserve">März</t>
  </si>
  <si>
    <t xml:space="preserve">April</t>
  </si>
  <si>
    <t xml:space="preserve">Q2</t>
  </si>
  <si>
    <t xml:space="preserve">Mai</t>
  </si>
  <si>
    <t xml:space="preserve">Juni</t>
  </si>
  <si>
    <t xml:space="preserve">Juli</t>
  </si>
  <si>
    <t xml:space="preserve">Q3</t>
  </si>
  <si>
    <t xml:space="preserve">August</t>
  </si>
  <si>
    <t xml:space="preserve">September</t>
  </si>
  <si>
    <t xml:space="preserve">Oktober</t>
  </si>
  <si>
    <t xml:space="preserve">Q4</t>
  </si>
  <si>
    <t xml:space="preserve">November</t>
  </si>
  <si>
    <t xml:space="preserve">Dezember</t>
  </si>
  <si>
    <t xml:space="preserve">andere Jahre</t>
  </si>
  <si>
    <t xml:space="preserve">—</t>
  </si>
  <si>
    <t xml:space="preserve">ohne erfassten Zeitraum</t>
  </si>
  <si>
    <t xml:space="preserve">🖨  Strg+P → «Als PDF speichern» · Druckbereich A4 ist gesetzt</t>
  </si>
  <si>
    <t xml:space="preserve">Mobil in Time AG  ·  An Aggreko Company  ·  Burak Ücöz  ·  Neue Einträge in «MiT Strom Pipeline» erscheinen automatisch.</t>
  </si>
  <si>
    <t xml:space="preserve">✅  AUFTRAGSEINGANG (WON)</t>
  </si>
  <si>
    <t xml:space="preserve">📄  OFFERTE — Laufend</t>
  </si>
  <si>
    <t xml:space="preserve">🎯  OPPORTUNITÄT</t>
  </si>
  <si>
    <t xml:space="preserve">✅  1. AUFTRAGSEINGANG (WON) — Bestätigte Aufträge</t>
  </si>
  <si>
    <t xml:space="preserve">Kunde / Unternehmen</t>
  </si>
  <si>
    <t xml:space="preserve">Gew.Wert CHF</t>
  </si>
  <si>
    <t xml:space="preserve">Leistung / Fleet</t>
  </si>
  <si>
    <t xml:space="preserve">Wahr.%</t>
  </si>
  <si>
    <t xml:space="preserve">Nächster Schritt</t>
  </si>
  <si>
    <t xml:space="preserve">Auftrag / PO-Nr.</t>
  </si>
  <si>
    <t xml:space="preserve">Prüfstatus</t>
  </si>
  <si>
    <t xml:space="preserve">📄  2. OFFERTE — Versendete &amp; laufende Angebote</t>
  </si>
  <si>
    <t xml:space="preserve">🎯  3. OPPORTUNITÄT — Qualifizierte Leads</t>
  </si>
  <si>
    <t xml:space="preserve">📊  GESAMTTOTAL — Aktive Pipeline</t>
  </si>
  <si>
    <t xml:space="preserve">  → WON</t>
  </si>
  <si>
    <t xml:space="preserve">  → Offerte</t>
  </si>
  <si>
    <t xml:space="preserve">  → Opportunität</t>
  </si>
  <si>
    <t xml:space="preserve">⚖️  4. GEWICHTETE PIPELINE — Bewertungsmodell Aggreko</t>
  </si>
  <si>
    <t xml:space="preserve">Wahrscheinlichkeits-Band</t>
  </si>
  <si>
    <t xml:space="preserve">TOTAL aktive Pipeline</t>
  </si>
  <si>
    <t xml:space="preserve">📋  5. QUALITÄT &amp; NACHWEIS — Auftragsstatus, Nachweis und Projektzeitraum</t>
  </si>
  <si>
    <t xml:space="preserve">Kennzahl</t>
  </si>
  <si>
    <t xml:space="preserve">Wert</t>
  </si>
  <si>
    <t xml:space="preserve">Erläuterung</t>
  </si>
  <si>
    <t xml:space="preserve">WON gemeldet (Status = WON, brutto wie erfasst)</t>
  </si>
  <si>
    <t xml:space="preserve">Summe aller Zeilen mit Status WON — inkl. MwSt, so wie erfasst.</t>
  </si>
  <si>
    <t xml:space="preserve">Der Umsatz, der uns tatsächlich zusteht — ohne MwSt.</t>
  </si>
  <si>
    <t xml:space="preserve">davon belegt (Auftrags-/PO-Nr. + Datum + Einstand)</t>
  </si>
  <si>
    <t xml:space="preserve">Nur dieser Teil ist im Sinne der Statusdefinition berichtsfähig.</t>
  </si>
  <si>
    <t xml:space="preserve">noch zu belegen</t>
  </si>
  <si>
    <t xml:space="preserve">Fehlende Nachweise sind in der Pipeline in Spalte AH markiert.</t>
  </si>
  <si>
    <t xml:space="preserve">Aktive Pipeline brutto</t>
  </si>
  <si>
    <t xml:space="preserve">Alle aktiven Status, ohne LOST und Declined.</t>
  </si>
  <si>
    <t xml:space="preserve">Aktive Pipeline bereinigt um Varianten</t>
  </si>
  <si>
    <t xml:space="preserve">Ohne Zeilen, die als «Alternative – zählt nicht» markiert sind.</t>
  </si>
  <si>
    <t xml:space="preserve">Nachweisquote des Auftragseingangs</t>
  </si>
  <si>
    <t xml:space="preserve">Belegtes WON im Verhältnis zum gemeldeten WON.</t>
  </si>
  <si>
    <t xml:space="preserve">Projektstart und Projektende stehen als echtes Datum in den Spalten O und P.</t>
  </si>
  <si>
    <t xml:space="preserve">Deals ohne Projektzeitraum</t>
  </si>
  <si>
    <t xml:space="preserve">Ohne Zeitraum lässt sich weder planen noch nach Monat auswerten.</t>
  </si>
  <si>
    <t xml:space="preserve">Volumen ohne Projektzeitraum</t>
  </si>
  <si>
    <t xml:space="preserve">Dieser Teil der Pipeline ist zeitlich noch nicht eingeordnet.</t>
  </si>
  <si>
    <t xml:space="preserve">📅  6. ZEITLICHE VERTEILUNG — aktive Pipeline nach Monat des Projektstarts</t>
  </si>
  <si>
    <t xml:space="preserve">Jahr hier ändern, die Tabelle rechnet nach.</t>
  </si>
  <si>
    <t xml:space="preserve">✅  WON</t>
  </si>
  <si>
    <t xml:space="preserve">📄  OFFERTE</t>
  </si>
  <si>
    <t xml:space="preserve">🎯  OPP.</t>
  </si>
  <si>
    <t xml:space="preserve">📊  GESAMT</t>
  </si>
  <si>
    <t xml:space="preserve">✅  1. AUFTRAGSEINGANG (WON) — Gewonnene Aufträge</t>
  </si>
  <si>
    <t xml:space="preserve">📊  GESAMTTOTAL — Aktive Pipeline (exkl. Declined / LOST)</t>
  </si>
  <si>
    <t xml:space="preserve">📊  MiT Strom Schweiz — Diagramme &amp; Visualisierungen</t>
  </si>
  <si>
    <t xml:space="preserve">  Auto-Update aus «MiT Strom Pipeline» — keine Datenpflege hier nötig</t>
  </si>
  <si>
    <t xml:space="preserve">📊 Status-Verteilung (Anzahl)</t>
  </si>
  <si>
    <t xml:space="preserve">💰 Status nach Volumen CHF</t>
  </si>
  <si>
    <t xml:space="preserve">🗺  Volumen nach Kanton</t>
  </si>
  <si>
    <t xml:space="preserve">🏭 Volumen nach Segment</t>
  </si>
  <si>
    <t xml:space="preserve">⚡  MiT Strom Schweiz — Pipeline &amp; Deal Tracking  |  Mobil in Time AG – An Aggreko Company</t>
  </si>
  <si>
    <t xml:space="preserve">  ✏️  Nur in diesem Sheet Daten erfassen.   ⚖️  Wahrscheinlichkeit (S) nach Aggreko-Skala 0/10/30/60/90 %, gewonnene Aufträge auf 100 %.   📅  Projektstart (O) und Projektende (P) als echtes Datum TT.MM.JJJJ — die Dauer (G) rechnet sich daraus.   📋  WON verlangt Auftrags-/PO-Nr. (AF) und Belegdatum (AG) — Definitionen im Blatt «📋 Definitionen &amp; Klärung».</t>
  </si>
  <si>
    <t xml:space="preserve">✅  WON Umsatz</t>
  </si>
  <si>
    <t xml:space="preserve">📋  Anzahl Deals (aktiv)</t>
  </si>
  <si>
    <t xml:space="preserve">💼  Offene Pipeline</t>
  </si>
  <si>
    <t xml:space="preserve">⚖️  Gew. Pipeline (Aggreko)</t>
  </si>
  <si>
    <t xml:space="preserve">kW</t>
  </si>
  <si>
    <t xml:space="preserve">Dauer
Tage</t>
  </si>
  <si>
    <t xml:space="preserve">Start</t>
  </si>
  <si>
    <t xml:space="preserve">Volumen
CHF</t>
  </si>
  <si>
    <t xml:space="preserve">Equip.
CHF</t>
  </si>
  <si>
    <t xml:space="preserve">Transport
CHF</t>
  </si>
  <si>
    <t xml:space="preserve">Treibst.
CHF</t>
  </si>
  <si>
    <t xml:space="preserve">Technik.
CHF</t>
  </si>
  <si>
    <t xml:space="preserve">Übrige Kosten
CHF</t>
  </si>
  <si>
    <t xml:space="preserve">Gew.Wert CHF
(Aggreko)</t>
  </si>
  <si>
    <t xml:space="preserve">Effektive
Wahr. %</t>
  </si>
  <si>
    <t xml:space="preserve">Akquise
Typ</t>
  </si>
  <si>
    <t xml:space="preserve">USP-Argument</t>
  </si>
  <si>
    <t xml:space="preserve">Follow-Up</t>
  </si>
  <si>
    <t xml:space="preserve">Notiz intern</t>
  </si>
  <si>
    <t xml:space="preserve">Nettoumsatz
CHF</t>
  </si>
  <si>
    <t xml:space="preserve">Einstand
CHF</t>
  </si>
  <si>
    <t xml:space="preserve">Abwicklung</t>
  </si>
  <si>
    <t xml:space="preserve">Vertragsart</t>
  </si>
  <si>
    <t xml:space="preserve">Deal-Gruppe</t>
  </si>
  <si>
    <t xml:space="preserve">Variante</t>
  </si>
  <si>
    <t xml:space="preserve">Offert-Nr.</t>
  </si>
  <si>
    <t xml:space="preserve">Beleg-Datum</t>
  </si>
  <si>
    <t xml:space="preserve">Wahr. %
bisher</t>
  </si>
  <si>
    <t xml:space="preserve">_GewFaktor</t>
  </si>
  <si>
    <t xml:space="preserve">_WON_Sort</t>
  </si>
  <si>
    <t xml:space="preserve">_I_Num</t>
  </si>
  <si>
    <t xml:space="preserve">_cnt_won</t>
  </si>
  <si>
    <t xml:space="preserve">_cnt_offerte</t>
  </si>
  <si>
    <t xml:space="preserve">_cnt_opp</t>
  </si>
  <si>
    <t xml:space="preserve">_Aktiv</t>
  </si>
  <si>
    <t xml:space="preserve">_SkalaOK</t>
  </si>
  <si>
    <t xml:space="preserve">_EinstandOK</t>
  </si>
  <si>
    <t xml:space="preserve">_BelegOK</t>
  </si>
  <si>
    <t xml:space="preserve">_WONbelegt</t>
  </si>
  <si>
    <t xml:space="preserve">_Zaehlt</t>
  </si>
  <si>
    <t xml:space="preserve">_Mehrfachkunde</t>
  </si>
  <si>
    <t xml:space="preserve">_DauerErfasst</t>
  </si>
  <si>
    <t xml:space="preserve">_MonatStart</t>
  </si>
  <si>
    <t xml:space="preserve">_ZeitraumOK</t>
  </si>
  <si>
    <t xml:space="preserve">_NettoNum</t>
  </si>
  <si>
    <t xml:space="preserve">_Befunde</t>
  </si>
  <si>
    <t xml:space="preserve">_KurzStatus</t>
  </si>
  <si>
    <t xml:space="preserve">Wincasa Solothurn</t>
  </si>
  <si>
    <t xml:space="preserve">Immobilien / FM</t>
  </si>
  <si>
    <t xml:space="preserve">BESS 1 MWh</t>
  </si>
  <si>
    <t xml:space="preserve">offered</t>
  </si>
  <si>
    <t xml:space="preserve">Warm</t>
  </si>
  <si>
    <t xml:space="preserve">BESS-Hybridlösung, Energiekostensenkung</t>
  </si>
  <si>
    <t xml:space="preserve">Entscheider-Meeting anfordern, Businesscase Energie-ROI</t>
  </si>
  <si>
    <t xml:space="preserve">Grösster offener Lead – Geduld + ROI-Argumentation</t>
  </si>
  <si>
    <t xml:space="preserve">Show-Concept.ch AG</t>
  </si>
  <si>
    <t xml:space="preserve">Events / Medien</t>
  </si>
  <si>
    <t xml:space="preserve">200 kW Lastbank</t>
  </si>
  <si>
    <t xml:space="preserve">tbd</t>
  </si>
  <si>
    <t xml:space="preserve">Declined</t>
  </si>
  <si>
    <t xml:space="preserve">Lastbank-Testing – Spezialprodukt MiT</t>
  </si>
  <si>
    <t xml:space="preserve">Use-Case klären – Lastbank oder Generator?</t>
  </si>
  <si>
    <t xml:space="preserve">Spezialanfrage – konkreten Bedarf erst verstehen</t>
  </si>
  <si>
    <t xml:space="preserve">Gotthard Base Tunnel</t>
  </si>
  <si>
    <t xml:space="preserve">Infrastruktur / Bahn</t>
  </si>
  <si>
    <t xml:space="preserve">Grossanlage tbd</t>
  </si>
  <si>
    <t xml:space="preserve">on hold</t>
  </si>
  <si>
    <t xml:space="preserve">Warm – Aggreko</t>
  </si>
  <si>
    <t xml:space="preserve">NEA-Pflicht, kritische Infra (NIV Art. 13)</t>
  </si>
  <si>
    <t xml:space="preserve">Stakeholder identifizieren – AlpTransit/SBB kontaktieren</t>
  </si>
  <si>
    <t xml:space="preserve">Langfristig strategisch – Türöffner Bahnbereich</t>
  </si>
  <si>
    <t xml:space="preserve">Jahre</t>
  </si>
  <si>
    <t xml:space="preserve">Ice Hockey Championship</t>
  </si>
  <si>
    <t xml:space="preserve">Events &amp; Sport</t>
  </si>
  <si>
    <t xml:space="preserve">2×600+2×200 kVA</t>
  </si>
  <si>
    <t xml:space="preserve">WON</t>
  </si>
  <si>
    <t xml:space="preserve">Aggreko Event-Power + Redundanz</t>
  </si>
  <si>
    <t xml:space="preserve">Abgeschlossen</t>
  </si>
  <si>
    <t xml:space="preserve">–</t>
  </si>
  <si>
    <t xml:space="preserve">Grossreferenz CH Events – öffentlich nutzbar</t>
  </si>
  <si>
    <t xml:space="preserve">Oerlikon Metco Wohlen</t>
  </si>
  <si>
    <t xml:space="preserve">Industrie / Oberfläche</t>
  </si>
  <si>
    <t xml:space="preserve">240 kVA Generator</t>
  </si>
  <si>
    <t xml:space="preserve">Schnelle Lieferung 24/7</t>
  </si>
  <si>
    <t xml:space="preserve">Erste Referenz Kanton AG</t>
  </si>
  <si>
    <t xml:space="preserve">Avia Volt Suisse AG</t>
  </si>
  <si>
    <t xml:space="preserve">EVU / Energie</t>
  </si>
  <si>
    <t xml:space="preserve">5×200 kVA Generator</t>
  </si>
  <si>
    <t xml:space="preserve">PQ-Monitoring inkl. – einzigartig in CH</t>
  </si>
  <si>
    <t xml:space="preserve">Angebotspräsentation Termin diese Woche</t>
  </si>
  <si>
    <t xml:space="preserve">EVU mit PQ-Bedarf – USP passt perfekt, Kunde hat kein bedarf zur Zeit</t>
  </si>
  <si>
    <t xml:space="preserve">Siemens</t>
  </si>
  <si>
    <t xml:space="preserve">Industrie / Elektro</t>
  </si>
  <si>
    <t xml:space="preserve">600 kVA Generator</t>
  </si>
  <si>
    <t xml:space="preserve">Aggreko-Backbone + Verfügbarkeit</t>
  </si>
  <si>
    <t xml:space="preserve">Referenz Industriebereich – sehr wertvoll</t>
  </si>
  <si>
    <t xml:space="preserve">Stagelight – OpenAir Frauenfeld</t>
  </si>
  <si>
    <t xml:space="preserve">Events &amp; Kultur</t>
  </si>
  <si>
    <t xml:space="preserve">~500 kVA Generator</t>
  </si>
  <si>
    <t xml:space="preserve">Reaktionszeit &lt; 24h, Zuverlässigkeit</t>
  </si>
  <si>
    <t xml:space="preserve">OpenAir Festival – jährlich → Rahmenvertrag prüfen, Nicht umgehen den Ansprechpartner, Teams Meeting mit Aggreko Deutschland</t>
  </si>
  <si>
    <t xml:space="preserve">Murg Flums Energie</t>
  </si>
  <si>
    <t xml:space="preserve">250 kVA Generator</t>
  </si>
  <si>
    <t xml:space="preserve">Auf Abruf</t>
  </si>
  <si>
    <t xml:space="preserve">PQ-Expertise, NIV Art. 13 Compliance</t>
  </si>
  <si>
    <t xml:space="preserve">Abrufbereitschaft</t>
  </si>
  <si>
    <t xml:space="preserve">EVU SG – NEA-Bedarf qualifizieren, Alles ermittelt und Konzept erstellt und nur noch Offerte schicken mit dem Konzept</t>
  </si>
  <si>
    <t xml:space="preserve">X-Event</t>
  </si>
  <si>
    <t xml:space="preserve">100 kVA Generator</t>
  </si>
  <si>
    <t xml:space="preserve">Sponsoring</t>
  </si>
  <si>
    <t xml:space="preserve">Flexibilität, kleines Setup schnell verfügbar</t>
  </si>
  <si>
    <t xml:space="preserve">Kunde hat Angebot angenommen, im Gegenzug Starte er eine Social Media Kampagne für uns und sind jetzt ein Partner für seine Events</t>
  </si>
  <si>
    <t xml:space="preserve">Industrie</t>
  </si>
  <si>
    <t xml:space="preserve">300 kVA</t>
  </si>
  <si>
    <t xml:space="preserve">USV + PQ-Monitoring für Präzisionsanlagen</t>
  </si>
  <si>
    <t xml:space="preserve">Kunde wahr sehr Zufrieden mit dem 1. Auftrag und im Anschluss Folgeauftrag durch meine Aktivät</t>
  </si>
  <si>
    <t xml:space="preserve">Kunde angeschrieben, Kundentermin vor Ort in Juni 26, Termin Perfekt, Kunde benötigt Offerte, Kunde hat Offerte erhalteny, Kunde muss nur noch unterschreiben</t>
  </si>
  <si>
    <t xml:space="preserve">Kaltwasser 100 kW</t>
  </si>
  <si>
    <t xml:space="preserve">100 kW</t>
  </si>
  <si>
    <t xml:space="preserve">Proxima Fusion AG</t>
  </si>
  <si>
    <t xml:space="preserve">Forschung / Hightech</t>
  </si>
  <si>
    <t xml:space="preserve">Technisches Gespräch – USV + PQ-Anforderungen klären, Kunde hat Angebot und Technische Ausführung erhalten warten auf Feedback</t>
  </si>
  <si>
    <t xml:space="preserve">Fusionsforschung – sehr sensibler Strombedarf</t>
  </si>
  <si>
    <t xml:space="preserve">Reto EKAG</t>
  </si>
  <si>
    <t xml:space="preserve">Elektroinstallation</t>
  </si>
  <si>
    <t xml:space="preserve">Option B 1x 6 kVA Trafo, 1x 3000 kVA Trafo, 1x 6000 kVA Lastbank, 1x 3300 kVA Lastbank</t>
  </si>
  <si>
    <t xml:space="preserve">9000 kVA + 9300 kVA</t>
  </si>
  <si>
    <t xml:space="preserve">Okt</t>
  </si>
  <si>
    <t xml:space="preserve">Kunde Telefon Kontaktiert und Vor Ort 
Besichtigung und Aufbauort</t>
  </si>
  <si>
    <t xml:space="preserve">Kunde angeschrieben, Kundentermin vor Ort in Mai 26, Termin Perfekt, Kunde benötigt Offerte, Kunde hat Offerte erhalten, Kunde hat sich für uns entschieden, Kunde muss die Offerte noch unterschreiben</t>
  </si>
  <si>
    <t xml:space="preserve">MS Kabel 95mm</t>
  </si>
  <si>
    <t xml:space="preserve">Kabel 95mm</t>
  </si>
  <si>
    <t xml:space="preserve">WEF</t>
  </si>
  <si>
    <t xml:space="preserve">Event</t>
  </si>
  <si>
    <t xml:space="preserve">1500 kVA, 600 kVA, 450 kVA, 450 kVA</t>
  </si>
  <si>
    <t xml:space="preserve">3000 kVA</t>
  </si>
  <si>
    <t xml:space="preserve">Jan</t>
  </si>
  <si>
    <t xml:space="preserve">Kalt</t>
  </si>
  <si>
    <t xml:space="preserve">Offerte erstellt, Stefan hat die Offerte bekommen, Stefan muss alles weitere klären mit den Kunden</t>
  </si>
  <si>
    <t xml:space="preserve">Juni (Stefan)</t>
  </si>
  <si>
    <t xml:space="preserve">Anfrage von Stefan über kontakt, Kunde braucht Offerte und wir müssen in der Range bei 85K Chf bleiben, Wir sind unter 80K CHF</t>
  </si>
  <si>
    <t xml:space="preserve">Gampeln</t>
  </si>
  <si>
    <t xml:space="preserve">6x300 kVA, 9x200 kVA Generator ,1x150 kWH BESS</t>
  </si>
  <si>
    <t xml:space="preserve">3600 kVA + 150 kWH</t>
  </si>
  <si>
    <t xml:space="preserve">Aug</t>
  </si>
  <si>
    <t xml:space="preserve">Kalt (Burak)</t>
  </si>
  <si>
    <t xml:space="preserve">Preis klären wegen Transport</t>
  </si>
  <si>
    <t xml:space="preserve">Etavis Gossenbacher AG</t>
  </si>
  <si>
    <t xml:space="preserve">30 kVA USV/Generator</t>
  </si>
  <si>
    <t xml:space="preserve">Erstkontakt vertiefen – Bedarf qualifizieren, Kein bedarf mehr</t>
  </si>
  <si>
    <t xml:space="preserve">MAS ETH Architektur</t>
  </si>
  <si>
    <t xml:space="preserve">Bildung / Forschung</t>
  </si>
  <si>
    <t xml:space="preserve">FIP ISA</t>
  </si>
  <si>
    <t xml:space="preserve">AKSA Würenlos</t>
  </si>
  <si>
    <t xml:space="preserve">Industrie / Generatoren</t>
  </si>
  <si>
    <t xml:space="preserve">1500 kVA Generator</t>
  </si>
  <si>
    <t xml:space="preserve">Kunden angeschrieben 27.04.2026</t>
  </si>
  <si>
    <t xml:space="preserve">Wirtschaftlich nicht tragbar laut Kunde / Warten auf Rückmeldung</t>
  </si>
  <si>
    <t xml:space="preserve">Holinger</t>
  </si>
  <si>
    <t xml:space="preserve">Ingenieure / Planung</t>
  </si>
  <si>
    <t xml:space="preserve">LOST</t>
  </si>
  <si>
    <t xml:space="preserve">❌ Closed – in 12 Monaten wieder kontaktieren</t>
  </si>
  <si>
    <t xml:space="preserve">Bauherr Entscheid gegen MiT – kein Preisproblem</t>
  </si>
  <si>
    <t xml:space="preserve">Sade CGTH (Schweiz)</t>
  </si>
  <si>
    <t xml:space="preserve">Infrastruktur / Bau</t>
  </si>
  <si>
    <t xml:space="preserve">750 kVA Generator</t>
  </si>
  <si>
    <t xml:space="preserve">24/7 Service, Aggreko-Zuverlässigkeit</t>
  </si>
  <si>
    <t xml:space="preserve">Auftragsbestätigung anfordern – Entscheid steht bevor</t>
  </si>
  <si>
    <t xml:space="preserve">Sep</t>
  </si>
  <si>
    <t xml:space="preserve">Infrastrukturprojekt Romandie – Türöffner GE/VD</t>
  </si>
  <si>
    <t xml:space="preserve">Coolworld Rentals</t>
  </si>
  <si>
    <t xml:space="preserve">Kühlung / Konkurrenz</t>
  </si>
  <si>
    <t xml:space="preserve">400 kVA Generator</t>
  </si>
  <si>
    <t xml:space="preserve">Flexibilität, Einfaches Setup</t>
  </si>
  <si>
    <t xml:space="preserve">Email Kontaktiert, Telefoniert, Warten auf Rückmeldung erneut, Kunde braucht kein Power mehr, Absage so</t>
  </si>
  <si>
    <t xml:space="preserve">Kunde klärt ab und meldet sich was der Kunde sagt</t>
  </si>
  <si>
    <t xml:space="preserve">Etavis Chur</t>
  </si>
  <si>
    <t xml:space="preserve">30 kVA Generator</t>
  </si>
  <si>
    <t xml:space="preserve">Email Kontaktiert</t>
  </si>
  <si>
    <t xml:space="preserve">Kunde angeschrieben</t>
  </si>
  <si>
    <t xml:space="preserve">Wetzikon</t>
  </si>
  <si>
    <t xml:space="preserve">Gemeinde</t>
  </si>
  <si>
    <t xml:space="preserve">tbd (PQ-kritisch)</t>
  </si>
  <si>
    <t xml:space="preserve">Machbarkeitsstudei</t>
  </si>
  <si>
    <t xml:space="preserve">Burkhalter Technics AG</t>
  </si>
  <si>
    <t xml:space="preserve">150 kVA Generator</t>
  </si>
  <si>
    <t xml:space="preserve">Bestehende Beziehung, schnelle Lieferung</t>
  </si>
  <si>
    <t xml:space="preserve">Angebot finalisieren – CBM-Beziehung nutzen, Abrufbereit und Vertrag unterschreiben</t>
  </si>
  <si>
    <t xml:space="preserve">Bekannt aus CBM – Cross-Sell PQ-Monitoring möglich</t>
  </si>
  <si>
    <t xml:space="preserve">Trafag AG</t>
  </si>
  <si>
    <t xml:space="preserve">Industrie / Messtechnik</t>
  </si>
  <si>
    <t xml:space="preserve">450 kVA Generator</t>
  </si>
  <si>
    <t xml:space="preserve">PQ-zertifiziert für sensible Messtechnik</t>
  </si>
  <si>
    <t xml:space="preserve">Angebot vorbereiten – PQ-Argument für Messtechnik, Stefanie Hintermann kontaktieren für weiteren Ablauf, Kontakt aufgenommen und warten für die Zusage / Preisklärung</t>
  </si>
  <si>
    <t xml:space="preserve">Messtechnikhersteller – PQ-Argument optimal, Kunde hat alle Daten und Offerten</t>
  </si>
  <si>
    <t xml:space="preserve">OST Fachhochschule</t>
  </si>
  <si>
    <t xml:space="preserve">Hochschule</t>
  </si>
  <si>
    <t xml:space="preserve">200 kVA Lastbank</t>
  </si>
  <si>
    <t xml:space="preserve">Email Kontaktiert, Telefoniert, Kunde hat kein bedarf mehr</t>
  </si>
  <si>
    <t xml:space="preserve">Kunde angeschrieben, Kunde aus altem Netzwerk bekannt von CMB-Zeiten, Kunde hat kein Bedarf mehr</t>
  </si>
  <si>
    <t xml:space="preserve">BESS 500 kVA</t>
  </si>
  <si>
    <t xml:space="preserve">Kombi 450 kVA Generator / BESS 500 kVA</t>
  </si>
  <si>
    <t xml:space="preserve">Rimus &amp; Sstrada</t>
  </si>
  <si>
    <t xml:space="preserve">500 kWh Small BESS</t>
  </si>
  <si>
    <t xml:space="preserve">500 kWh</t>
  </si>
  <si>
    <t xml:space="preserve">Kunde angeschrieben, Kundentermin vor Ort in Mai 26, Termin Perfekt, Kunde benötigt Offerte, Kunde hat Offerte erhalten</t>
  </si>
  <si>
    <t xml:space="preserve">inf</t>
  </si>
  <si>
    <t xml:space="preserve">1 MWh Medium BESS</t>
  </si>
  <si>
    <t xml:space="preserve">1 MWh</t>
  </si>
  <si>
    <t xml:space="preserve">1,5 MWh Large BESS</t>
  </si>
  <si>
    <t xml:space="preserve">1,5 MWh</t>
  </si>
  <si>
    <t xml:space="preserve">Creabeton</t>
  </si>
  <si>
    <t xml:space="preserve">100 kVA</t>
  </si>
  <si>
    <t xml:space="preserve">Kunde angeschrieben, Warten auf Rückmeldung</t>
  </si>
  <si>
    <t xml:space="preserve">Basler Haustechnik AG</t>
  </si>
  <si>
    <t xml:space="preserve">45 kWH Batterie</t>
  </si>
  <si>
    <t xml:space="preserve">45 kWH</t>
  </si>
  <si>
    <t xml:space="preserve">Kunde angeschrieben, Offerte erstellt, Kunde hat Offerte bekommen, Warten auf Rückmeldung</t>
  </si>
  <si>
    <t xml:space="preserve">Linde Gas Schweiz AG</t>
  </si>
  <si>
    <t xml:space="preserve">60 kVA Generator</t>
  </si>
  <si>
    <t xml:space="preserve">60 kVA</t>
  </si>
  <si>
    <t xml:space="preserve">Baumeler Leitungsbau AG</t>
  </si>
  <si>
    <t xml:space="preserve">600 kVA </t>
  </si>
  <si>
    <t xml:space="preserve">600 kVA</t>
  </si>
  <si>
    <t xml:space="preserve">Kunde angeschrieben, Offerte erstellt, Kunde hat Offerte bekommen, Warten auf Rückmeldung, Kunde hat neue Offerte erhalten</t>
  </si>
  <si>
    <t xml:space="preserve">Verein Street Parade Zürich</t>
  </si>
  <si>
    <t xml:space="preserve">100 kVA </t>
  </si>
  <si>
    <t xml:space="preserve">Juni </t>
  </si>
  <si>
    <t xml:space="preserve">Holzplaner GmbH</t>
  </si>
  <si>
    <t xml:space="preserve">90 kWH Batterie</t>
  </si>
  <si>
    <t xml:space="preserve">90 kWH</t>
  </si>
  <si>
    <t xml:space="preserve">Kunde angeschrieben, Offerte erstellt, Kunde hat Offerte bekommen, Transportkosten zu Hoch daher die Absage</t>
  </si>
  <si>
    <t xml:space="preserve">Badermetaux Sàrl (Schweiz)</t>
  </si>
  <si>
    <t xml:space="preserve">Industrie / Metall</t>
  </si>
  <si>
    <t xml:space="preserve">600 kVA Langzeitmiete</t>
  </si>
  <si>
    <t xml:space="preserve">EN 50160-Zertifizierung, all-inclusive</t>
  </si>
  <si>
    <t xml:space="preserve">PQ-Analyse + Langzeitkonzept vorlegen</t>
  </si>
  <si>
    <t xml:space="preserve">500k CHF Potenzial – langer Zyklus, jetzt Vertrauen aufbauen</t>
  </si>
  <si>
    <t xml:space="preserve">5 Jahre</t>
  </si>
  <si>
    <t xml:space="preserve">Swisspro AG</t>
  </si>
  <si>
    <t xml:space="preserve">30 kVA</t>
  </si>
  <si>
    <t xml:space="preserve">Nestle</t>
  </si>
  <si>
    <t xml:space="preserve">Kunde angeschrieben, Telefoniert noch kein bedarf</t>
  </si>
  <si>
    <t xml:space="preserve">Equans Switzerland St.Galln</t>
  </si>
  <si>
    <t xml:space="preserve">150 kVA</t>
  </si>
  <si>
    <t xml:space="preserve">Warm </t>
  </si>
  <si>
    <t xml:space="preserve">WSP</t>
  </si>
  <si>
    <t xml:space="preserve">SMT</t>
  </si>
  <si>
    <t xml:space="preserve">1000 kVA</t>
  </si>
  <si>
    <t xml:space="preserve">Kunde angeschrieben, Offerte erstellt, Kunde hat Offerte bekommen, Kunde muss entscheiden da Transportkosten zu hoch sind</t>
  </si>
  <si>
    <t xml:space="preserve">Equans Switzerland Kloten</t>
  </si>
  <si>
    <t xml:space="preserve">Dez</t>
  </si>
  <si>
    <t xml:space="preserve">Kunde angeschrieben, Offerte erstellt, Kunde hat Offerte bekommen</t>
  </si>
  <si>
    <t xml:space="preserve">ETAVIS Basel</t>
  </si>
  <si>
    <t xml:space="preserve">Verein ANIMALZ</t>
  </si>
  <si>
    <t xml:space="preserve">Festival</t>
  </si>
  <si>
    <t xml:space="preserve">Kunde angeschrieben, Offerte erstellt, Kunde hat Offerte bekommen, Abgesagt Transport zu Aufwendig für ihn</t>
  </si>
  <si>
    <t xml:space="preserve">Kunde angeschrieben, Angerufen, Abgesagt</t>
  </si>
  <si>
    <t xml:space="preserve">Neuber Sounds GmbH</t>
  </si>
  <si>
    <t xml:space="preserve">Veranstaltung</t>
  </si>
  <si>
    <t xml:space="preserve">30 kVA </t>
  </si>
  <si>
    <t xml:space="preserve">Kunde angeschrieben, Offerte erstellt, Kunde hat Offerte bekommen, Abgesagt Transport kosten zu hoch</t>
  </si>
  <si>
    <t xml:space="preserve">Coutaz CVS SA</t>
  </si>
  <si>
    <t xml:space="preserve">EVU</t>
  </si>
  <si>
    <t xml:space="preserve">600 kVA, 200 kVA</t>
  </si>
  <si>
    <t xml:space="preserve">800 kVA</t>
  </si>
  <si>
    <t xml:space="preserve">Romand Energei SA</t>
  </si>
  <si>
    <t xml:space="preserve">EIDG AMT Agroscope</t>
  </si>
  <si>
    <t xml:space="preserve">Forschung</t>
  </si>
  <si>
    <t xml:space="preserve">450 kVA</t>
  </si>
  <si>
    <t xml:space="preserve">Kunde angeschrieben, Kunde wurde durch AD (Mauro) fasch beraten, nach korrektur wieder alles i.O</t>
  </si>
  <si>
    <t xml:space="preserve">(Megger) Power Diagnostix Service GmbH</t>
  </si>
  <si>
    <t xml:space="preserve">DPR Heat Loadbank</t>
  </si>
  <si>
    <t xml:space="preserve">Datacenter</t>
  </si>
  <si>
    <t xml:space="preserve">54x200 kVA Loadbank</t>
  </si>
  <si>
    <t xml:space="preserve">Aggreko &amp; MiT</t>
  </si>
  <si>
    <t xml:space="preserve">Kunde angeschrieben auf MiT seite mit aktueller CHF Preise und warten auf PO</t>
  </si>
  <si>
    <t xml:space="preserve">PO muss geändert werden, dann wird die bestellung ausgelöst</t>
  </si>
  <si>
    <t xml:space="preserve">DPR Generator Loadbank Test</t>
  </si>
  <si>
    <t xml:space="preserve">6000 kVA Loadbank</t>
  </si>
  <si>
    <t xml:space="preserve">Wyss Sound</t>
  </si>
  <si>
    <t xml:space="preserve">Schmidiger + Rosasco AG</t>
  </si>
  <si>
    <t xml:space="preserve">Elektroplaner</t>
  </si>
  <si>
    <t xml:space="preserve">200 kVA</t>
  </si>
  <si>
    <t xml:space="preserve">Winkler Livecom AG</t>
  </si>
  <si>
    <t xml:space="preserve">300 kVA, 300 kWh</t>
  </si>
  <si>
    <t xml:space="preserve">Nov</t>
  </si>
  <si>
    <t xml:space="preserve">Warten auf Rückmeldung</t>
  </si>
  <si>
    <t xml:space="preserve">Kull Elektro AG</t>
  </si>
  <si>
    <t xml:space="preserve">Promacom engineering GmbH</t>
  </si>
  <si>
    <t xml:space="preserve">Warm Burak</t>
  </si>
  <si>
    <t xml:space="preserve">GETEC Park.Swiss AG</t>
  </si>
  <si>
    <t xml:space="preserve">-</t>
  </si>
  <si>
    <t xml:space="preserve">📋  Definitionen, Kalkulationsregeln und offene Punkte</t>
  </si>
  <si>
    <t xml:space="preserve">Mobil in Time AG · An Aggreko Company · Burak Ücöz  —  Antwort auf die Rückfragen zum Reporting. Jede Zahl auf diesem Blatt rechnet live aus der Pipeline und bleibt damit auch nach Datenänderungen richtig.</t>
  </si>
  <si>
    <t xml:space="preserve">1️⃣   Antworten auf die Rückfragen  —  mit Live-Zahlen aus der Pipeline</t>
  </si>
  <si>
    <t xml:space="preserve">Rückfrage</t>
  </si>
  <si>
    <t xml:space="preserve">Antwort / Regel</t>
  </si>
  <si>
    <t xml:space="preserve">Live-Zahl</t>
  </si>
  <si>
    <t xml:space="preserve">Margenplanung: warum keine Marge mehr im Bericht steht</t>
  </si>
  <si>
    <t xml:space="preserve">Die negativen Margen kamen daher, dass die MwSt als Kostenposition erfasst und vom Umsatz abgezogen wurde, und dass bei einem Teil der Zeilen gar nicht kalkuliert, sondern nur der Verkaufspreis in netto und MwSt aufgeteilt wurde. Auf dieser Datengrundlage stiftet eine ausgewiesene Marge mehr Verunsicherung als Klarheit. Die Marge ist deshalb aus dem gesamten Reporting entfernt — Spalten, Kennzahlen, Diagramme und Prüfstatus-Meldungen. Die Kostenspalten J–N bleiben in der Pipeline als Arbeitsgrundlage erhalten, werden aber in keinem Bericht mehr ausgewertet. Der Bericht zeigt stattdessen Volumen, Status, Nachweis und Projektzeitraum.</t>
  </si>
  <si>
    <t xml:space="preserve">Verantwortung der Kalkulation</t>
  </si>
  <si>
    <t xml:space="preserve">Der Einstand wird vom zuständigen Verkäufer erfasst und vor dem Statuswechsel auf WON durch den Innendienst gegengeprüft. Die Spalte «Prüfstatus» (AH in der Pipeline) zeigt für jede Zeile, ob das erfolgt ist.</t>
  </si>
  <si>
    <t xml:space="preserve">Laufen alle Projekte über MiT CH?</t>
  </si>
  <si>
    <t xml:space="preserve">Ja — MiT CH ist die Standardabwicklung dieser Pipeline. Jede Abweichung wird in der neuen Spalte «Abwicklung» (AA) erfasst: Aggreko (intl.) oder Partner / Dritte. Eine leere Zelle bedeutet also ausdrücklich MiT CH und nicht «unbekannt».</t>
  </si>
  <si>
    <t xml:space="preserve">Wie ist das WON-Volumen zu verstehen?</t>
  </si>
  <si>
    <t xml:space="preserve">Es ist die Summe der Volumen aller Zeilen mit Status WON — brutto inkl. MwSt, wie erfasst. Neu wird daneben ausgewiesen: netto (ohne MwSt) und wie viel davon durch eine Auftrags-/PO-Nummer mit Datum belegt ist. Nur belegtes WON ist berichtsfähig.</t>
  </si>
  <si>
    <t xml:space="preserve">Datacenter: 660 oder 330 kCHF?</t>
  </si>
  <si>
    <t xml:space="preserve">Das entscheidet die neue Variantenlogik. Gehören zwei Zeilen zum selben Kundenentscheid, bekommen sie dieselbe Deal-Gruppe (AC); die nicht führende Zeile wird als «Alternative – zählt nicht» markiert (AD) und fällt aus dem bereinigten Volumen. Unten stehen alle Kunden, die mehrfach vorkommen und noch zugeordnet werden müssen.</t>
  </si>
  <si>
    <t xml:space="preserve">Wurden Offerten erstellt bzw. liegen Aufträge vor?</t>
  </si>
  <si>
    <t xml:space="preserve">Das steht neu nicht mehr im Kommentar, sondern in eigenen Spalten: AE «Offert-Nr.» belegt die versendete Offerte, AF «Auftrag / PO-Nr.» und AG «Beleg-Datum» den erteilten Auftrag. Die Spalte AH «Prüfstatus» zeigt je Zeile, was davon vorliegt und was fehlt.</t>
  </si>
  <si>
    <t xml:space="preserve">Wahrscheinlichkeiten ausserhalb der Aggreko-Skala (50 %)</t>
  </si>
  <si>
    <t xml:space="preserve">Alle Zeilen sind auf die Skala 0/10/30/60/90 % umgeschlüsselt; der bisherige Wert bleibt in der neuen Spalte AI erhalten. Leitregel: wo eine Skalenstufe denselben Gewichtungsfaktor hat, wird sie gewählt — der gewichtete Umsatz bleibt dann unverändert (20→30, 80→60, 100→90). Die Deals mit 50 % können das nicht: kein Skalenwert fällt in das Gewichtungsband 45–59 % (Faktor 30 %). Sie stehen nach Aggreko-Definition auf 30 % und sind einzeln zu bestätigen — namentliche Liste und Protokoll im Blatt «⚖️ Wahrscheinlichkeit».</t>
  </si>
  <si>
    <t xml:space="preserve">Was heisst «Abrufbereitschaft»?</t>
  </si>
  <si>
    <t xml:space="preserve">Kapazität ist für den Kunden reserviert, ein bestätigter Abruf liegt aber NICHT vor. Der Umsatz entsteht erst mit dem Abruf. Solche Deals gehören deshalb in die Offert-Pipeline, nicht in WON. Die neue Spalte «Vertragsart» (AB) macht das je Zeile sichtbar; Abschnitt 6 definiert alle Arten.</t>
  </si>
  <si>
    <t xml:space="preserve">2️⃣   Offene Punkte  —  was noch erfasst werden muss, bevor die Zahlen belastbar sind</t>
  </si>
  <si>
    <t xml:space="preserve">Punkt</t>
  </si>
  <si>
    <t xml:space="preserve">WON ohne Auftrags-/PO-Nummer und Datum</t>
  </si>
  <si>
    <t xml:space="preserve">WON ohne vollständigen Einstand</t>
  </si>
  <si>
    <t xml:space="preserve">Aktive Deals ohne erfassten Projektzeitraum</t>
  </si>
  <si>
    <t xml:space="preserve">WON ohne erfassten Projektzeitraum</t>
  </si>
  <si>
    <t xml:space="preserve">WON ohne Vertragsart (Einzelauftrag / Rahmenabruf / Abrufbereitschaft)</t>
  </si>
  <si>
    <t xml:space="preserve">Kunden mehrfach in der Pipeline, Variante noch nicht geklärt</t>
  </si>
  <si>
    <t xml:space="preserve">Gesamturteil</t>
  </si>
  <si>
    <t xml:space="preserve">2️⃣b  Konkret angesprochene Positionen  —  was hier einzutragen ist, damit die Zahl eindeutig wird</t>
  </si>
  <si>
    <t xml:space="preserve">Position</t>
  </si>
  <si>
    <t xml:space="preserve">Was zu tun ist</t>
  </si>
  <si>
    <t xml:space="preserve">Live-Stand</t>
  </si>
  <si>
    <t xml:space="preserve">Datacenter — DPR Loadbank (2 Zeilen)</t>
  </si>
  <si>
    <t xml:space="preserve">Beide Zeilen betreffen Loadbank-Tests beim selben Endkunden. Wenn es EIN Kundenentscheid ist: bei beiden dieselbe Deal-Gruppe (Spalte AC) eintragen und die nicht führende Zeile auf «Alternative – zählt nicht» setzen (AD). Dann zählt statt der Summe nur noch die führende Variante.</t>
  </si>
  <si>
    <t xml:space="preserve">Event Flums — Murg Flums Energie</t>
  </si>
  <si>
    <t xml:space="preserve">Start ist «Auf Abruf». Vertragsart (Spalte AB) setzen: «Rahmenvertrag – Abruf bestätigt» wenn der Abruf terminiert ist — dann zählt der Betrag ins WON. «Abrufbereitschaft» wenn nur Kapazität reserviert ist — dann gehört der Deal nicht in WON, sondern in die Offert-Pipeline.</t>
  </si>
  <si>
    <t xml:space="preserve">Kunde mehrfach in der Pipeline</t>
  </si>
  <si>
    <t xml:space="preserve">Zeilen</t>
  </si>
  <si>
    <t xml:space="preserve">Volumen brutto CHF</t>
  </si>
  <si>
    <t xml:space="preserve">davon zählend CHF</t>
  </si>
  <si>
    <t xml:space="preserve">Deal-Gruppe gesetzt?</t>
  </si>
  <si>
    <t xml:space="preserve">3️⃣   Grundannahmen  —  gelb hinterlegte Zellen sind die Stellschrauben</t>
  </si>
  <si>
    <t xml:space="preserve">Annahme</t>
  </si>
  <si>
    <t xml:space="preserve">Begründung / Quelle</t>
  </si>
  <si>
    <t xml:space="preserve">Volumen «CHF» ist erfasst als</t>
  </si>
  <si>
    <t xml:space="preserve">brutto inkl. MwSt</t>
  </si>
  <si>
    <t xml:space="preserve">Aus den Daten belegt: bei 36 Zeilen ergibt Equipment + Transport + Personal exakt Volumen ÷ 1.081, und die Spalte «Übrige» enthielt genau den MwSt-Betrag. Auf «netto exkl. MwSt» umstellen, falls die Erfassung ändert — alle Blätter rechnen automatisch nach.</t>
  </si>
  <si>
    <t xml:space="preserve">MwSt-Satz</t>
  </si>
  <si>
    <t xml:space="preserve">Schweizer Normalsatz seit 01.01.2024.</t>
  </si>
  <si>
    <t xml:space="preserve">Schwelle «Preis-Aufteilung»</t>
  </si>
  <si>
    <t xml:space="preserve">Ohne Bedeutung für die Berichte, seit die Marge nicht mehr ausgewiesen wird. Der Wert bleibt als Annahme dokumentiert, falls die Margenbetrachtung später wieder aufgenommen wird.</t>
  </si>
  <si>
    <t xml:space="preserve">Umrechnungsfaktor auf netto</t>
  </si>
  <si>
    <t xml:space="preserve">Nettoumsatz = Volumen ÷ Umrechnungsfaktor. Bei «netto exkl. MwSt» ist der Faktor 1.</t>
  </si>
  <si>
    <t xml:space="preserve">4️⃣   Projektzeitraum  —  wie Start, Ende und Dauer erfasst und gerechnet werden</t>
  </si>
  <si>
    <t xml:space="preserve">Projektstart (Spalte O)</t>
  </si>
  <si>
    <t xml:space="preserve">Erster Tag des Projekts als echtes Datum TT.MM.JJJJ. Kein Text, keine Monatsangabe — die Zelle ist als Datum geprüft, damit sich damit rechnen und sortieren lässt.</t>
  </si>
  <si>
    <t xml:space="preserve">Projektende (Spalte P)</t>
  </si>
  <si>
    <t xml:space="preserve">Letzter Tag des Projekts, ebenfalls als echtes Datum.</t>
  </si>
  <si>
    <t xml:space="preserve">⇒ Dauer (Spalte G)</t>
  </si>
  <si>
    <t xml:space="preserve">Projektende − Projektstart + 1 Kalendertag; beide Tage zählen mit. Beispiel: 01.08.2026 bis 10.08.2026 ergibt 10 Tage.</t>
  </si>
  <si>
    <t xml:space="preserve">Solange kein Datum steht</t>
  </si>
  <si>
    <t xml:space="preserve">Steht nur eines der beiden Daten oder keines, bleibt der bisher von Hand erfasste Dauerwert unverändert stehen (gesichert in der ausgeblendeten Spalte AW). Überschrieben wird nichts.</t>
  </si>
  <si>
    <t xml:space="preserve">«Auf Abruf» und «tbd»</t>
  </si>
  <si>
    <t xml:space="preserve">Dort bleiben beide Datumsfelder leer, und der Prüfstatus meldet den fehlenden Zeitraum. Erst wenn der Abruf terminiert ist, werden die Daten erfasst.</t>
  </si>
  <si>
    <t xml:space="preserve">Auswertung</t>
  </si>
  <si>
    <t xml:space="preserve">Aus dem Projektstart wird der Monatsanfang gebildet (ausgeblendete Spalte AX). Darauf beruht die Auswertung nach Monat und Quartal in den Berichten.</t>
  </si>
  <si>
    <t xml:space="preserve">5️⃣   Statusdefinition  —  wann ein Deal welchen Status trägt</t>
  </si>
  <si>
    <t xml:space="preserve">Bedeutung — verbindlich</t>
  </si>
  <si>
    <t xml:space="preserve">Nachweis zwingend</t>
  </si>
  <si>
    <t xml:space="preserve">Auftrag erteilt. Unterschriebene Bestellung oder gültige PO liegt vor.</t>
  </si>
  <si>
    <t xml:space="preserve">Auftrags-/PO-Nr. + Belegdatum + vollständiger Einstand</t>
  </si>
  <si>
    <t xml:space="preserve">Offerte versendet, Entscheid des Kunden offen.</t>
  </si>
  <si>
    <t xml:space="preserve">to be offered</t>
  </si>
  <si>
    <t xml:space="preserve">Bedarf geklärt, Offerte in Arbeit.</t>
  </si>
  <si>
    <t xml:space="preserve">Projekt besteht, ist aber zeitlich sistiert.</t>
  </si>
  <si>
    <t xml:space="preserve">follow-up</t>
  </si>
  <si>
    <t xml:space="preserve">Qualifizierter Lead, noch keine Offerte.</t>
  </si>
  <si>
    <t xml:space="preserve">Evaluation / In evaluation</t>
  </si>
  <si>
    <t xml:space="preserve">Kunde prüft die technische Lösung.</t>
  </si>
  <si>
    <t xml:space="preserve">Noch nicht qualifiziert.</t>
  </si>
  <si>
    <t xml:space="preserve">Auftrag an den Wettbewerb verloren.</t>
  </si>
  <si>
    <t xml:space="preserve">Von uns abgelehnt oder nicht weiterverfolgt.</t>
  </si>
  <si>
    <t xml:space="preserve">6️⃣   Vertragsarten  —  was «Abrufbereitschaft» im Reporting bedeutet</t>
  </si>
  <si>
    <t xml:space="preserve">Bedeutung</t>
  </si>
  <si>
    <t xml:space="preserve">Zählt ins WON-Volumen?</t>
  </si>
  <si>
    <t xml:space="preserve">Einzelauftrag</t>
  </si>
  <si>
    <t xml:space="preserve">Fester Auftrag über eine konkrete Leistung und Menge. Bestellung oder PO liegt vor.</t>
  </si>
  <si>
    <t xml:space="preserve">Ja — voller Betrag</t>
  </si>
  <si>
    <t xml:space="preserve">Rahmenvertrag – Abruf bestätigt</t>
  </si>
  <si>
    <t xml:space="preserve">Rahmenvertrag besteht, der konkrete Abruf ist bestätigt und terminiert.</t>
  </si>
  <si>
    <t xml:space="preserve">Ja — Betrag des Abrufs</t>
  </si>
  <si>
    <t xml:space="preserve">Kapazität ist für den Kunden reserviert, ein bestätigter Abruf liegt NICHT vor. Der Umsatz entsteht erst mit dem Abruf. Vertraglich gebunden ist die Bereitstellung, nicht die Ausführung.</t>
  </si>
  <si>
    <t xml:space="preserve">Nein — gehört in die Offert-Pipeline</t>
  </si>
  <si>
    <t xml:space="preserve">Option / Reservation</t>
  </si>
  <si>
    <t xml:space="preserve">Unverbindliche Reservation ohne Vertrag.</t>
  </si>
  <si>
    <t xml:space="preserve">Nein</t>
  </si>
  <si>
    <t xml:space="preserve">7️⃣   Varianten  —  damit derselbe Kundenentscheid nur einmal ins Volumen läuft</t>
  </si>
  <si>
    <t xml:space="preserve">Deal-Gruppe (Spalte AC)</t>
  </si>
  <si>
    <t xml:space="preserve">Frei wählbarer Schlüssel. Alle Zeilen, über die der Kunde EINEN Entscheid fällt, bekommen denselben Schlüssel — z. B. drei Leistungsvarianten desselben Projekts.</t>
  </si>
  <si>
    <t xml:space="preserve">Variante (Spalte AD)</t>
  </si>
  <si>
    <t xml:space="preserve">«Führend» = zählt ins Volumen. «Alternative – zählt nicht» = derselbe Entscheid, wird nicht mitgezählt. Leer = zählt (Einzeldeal).</t>
  </si>
  <si>
    <t xml:space="preserve">Bereinigtes Volumen</t>
  </si>
  <si>
    <t xml:space="preserve">Summe ohne die als Alternative markierten Zeilen. Steht in Dashboard und CEO Report der Bruttosumme gegenüber, damit beide Zahlen sichtbar bleiben.</t>
  </si>
  <si>
    <t xml:space="preserve">Sicherheitsregel</t>
  </si>
  <si>
    <t xml:space="preserve">Nur ausdrücklich als Alternative markierte Zeilen fallen weg. Eine vergessene Markierung kann also nie Volumen verschwinden lassen.</t>
  </si>
  <si>
    <t xml:space="preserve">🔍  Herleitung: wie jede Zahl entsteht — Rechenweg, Beispiele, Formeln und Begründungen</t>
  </si>
  <si>
    <t xml:space="preserve">Mobil in Time AG · An Aggreko Company · Burak Ücöz  —  Dieses Blatt erklärt das Reporting von der Eingabe bis zur Kennzahl. Alle Zahlen darin rechnen live mit; die Beispiele suchen ihre Zeile über den Kundennamen und bleiben deshalb auch nach Umsortieren richtig.</t>
  </si>
  <si>
    <t xml:space="preserve">1️⃣   Der Rechenweg in sieben Stufen  —  von der Eingabe bis zur Kennzahl</t>
  </si>
  <si>
    <t xml:space="preserve">Stufe</t>
  </si>
  <si>
    <t xml:space="preserve">Was passiert</t>
  </si>
  <si>
    <t xml:space="preserve">Ergebnis in</t>
  </si>
  <si>
    <t xml:space="preserve">Live-Wert</t>
  </si>
  <si>
    <t xml:space="preserve">Warum so</t>
  </si>
  <si>
    <t xml:space="preserve">① Erfassung</t>
  </si>
  <si>
    <t xml:space="preserve">Der Verkäufer trägt Volumen (I) und die vier Kostenarten Equipment (J), Transport (K), Treibstoff (L), Personal/Technik (M) ein, dazu Übrige Kosten (N).</t>
  </si>
  <si>
    <t xml:space="preserve">Spalte I–N</t>
  </si>
  <si>
    <t xml:space="preserve">Nur hier wird getippt. Alles Weitere rechnet die Mappe — so kann eine Zahl nicht an zwei Stellen unterschiedlich gepflegt werden.</t>
  </si>
  <si>
    <t xml:space="preserve">② Netto machen</t>
  </si>
  <si>
    <t xml:space="preserve">Nettoumsatz = Volumen ÷ Umrechnungsfaktor.</t>
  </si>
  <si>
    <t xml:space="preserve">Spalte Y</t>
  </si>
  <si>
    <t xml:space="preserve">Die MwSt gehört weder in den Umsatz noch in die Kosten. Der Faktor steht als eine einzige Zelle im Definitionsblatt — umschaltbar, falls künftig netto erfasst wird.</t>
  </si>
  <si>
    <t xml:space="preserve">③ Einstand bilden</t>
  </si>
  <si>
    <t xml:space="preserve">Einstand = Equipment + Transport + Treibstoff + Personal + Übrige.</t>
  </si>
  <si>
    <t xml:space="preserve">Spalte Z</t>
  </si>
  <si>
    <t xml:space="preserve">Die Kosten bleiben als Arbeitsgrundlage in der Pipeline erfasst und als Summe sichtbar. Ausgewertet wird daraus im Bericht nichts mehr — die Marge ist bewusst nicht Teil des Reportings.</t>
  </si>
  <si>
    <t xml:space="preserve">④ Projektzeitraum</t>
  </si>
  <si>
    <t xml:space="preserve">Projektstart (O) und Projektende (P) als echtes Datum.   Dauer (G) = Ende − Start + 1 Tag.</t>
  </si>
  <si>
    <t xml:space="preserve">Spalte O / P / G</t>
  </si>
  <si>
    <t xml:space="preserve">Eine Monatsangabe wie «Aug» lässt sich weder sortieren noch summieren. Mit echten Daten entsteht die zeitliche Verteilung von selbst; der Live-Wert zeigt, wie viele aktive Deals einen Zeitraum haben.</t>
  </si>
  <si>
    <t xml:space="preserve">⑤ Nachweis prüfen</t>
  </si>
  <si>
    <t xml:space="preserve">Liegt Auftrags-/PO-Nummer mit Belegdatum vor? Ist der Einstand erfasst? Steht der Zeitraum? Jeder offene Punkt landet im Prüfstatus.</t>
  </si>
  <si>
    <t xml:space="preserve">Spalte AH</t>
  </si>
  <si>
    <t xml:space="preserve">Ein gemeldeter Auftrag ohne Beleg ist keine Zahl, auf die man planen kann. Der Prüfstatus nennt für jede Zeile, was fehlt — statt die Lücke im Bericht verschwinden zu lassen.</t>
  </si>
  <si>
    <t xml:space="preserve">⑥ Wahrscheinlichkeit gewichten</t>
  </si>
  <si>
    <t xml:space="preserve">Effektive Wahrscheinlichkeit (S) → Aggreko-Faktor über die Bandtabelle → Gew.Wert = Volumen × Faktor.</t>
  </si>
  <si>
    <t xml:space="preserve">Spalte Q</t>
  </si>
  <si>
    <t xml:space="preserve">Der Faktor kommt aus einer Tabelle, nicht aus verschachtelten Bedingungen. Ändert Aggreko die Bänder, ist es eine Zeile im Blatt «⚖️ Wahrscheinlichkeit» und keine Formelarbeit.</t>
  </si>
  <si>
    <t xml:space="preserve">⑦ Verdichten</t>
  </si>
  <si>
    <t xml:space="preserve">Summen je Status, je Band, je Kanton, je Segment — plus die Nachweisquote.</t>
  </si>
  <si>
    <t xml:space="preserve">Berichte</t>
  </si>
  <si>
    <t xml:space="preserve">Jede Verdichtung filtert über dieselben Hilfsspalten. Damit können zwei Berichte nicht unterschiedliche Antworten auf dieselbe Frage geben.</t>
  </si>
  <si>
    <t xml:space="preserve">Die Live-Werte oben sind: Nettoumsatz aktiv · Deals mit Projektzeitraum · Deals mit Beleg · gewichtete Pipeline · aktives Volumen brutto.</t>
  </si>
  <si>
    <t xml:space="preserve">2️⃣   Beispiel A: laufende Offerte  —  «Wincasa Solothurn»</t>
  </si>
  <si>
    <t xml:space="preserve">Rechenschritt</t>
  </si>
  <si>
    <t xml:space="preserve">Formel im File</t>
  </si>
  <si>
    <t xml:space="preserve">Spalte</t>
  </si>
  <si>
    <t xml:space="preserve">Erklärung</t>
  </si>
  <si>
    <t xml:space="preserve">Volumen wie erfasst (brutto)</t>
  </si>
  <si>
    <t xml:space="preserve">Eingabe</t>
  </si>
  <si>
    <t xml:space="preserve">I</t>
  </si>
  <si>
    <t xml:space="preserve">So steht es in der Offerte gegenüber dem Kunden — inklusive MwSt.</t>
  </si>
  <si>
    <t xml:space="preserve">÷ Umrechnungsfaktor</t>
  </si>
  <si>
    <t xml:space="preserve">Volumen ÷ Netto_Faktor</t>
  </si>
  <si>
    <t xml:space="preserve">Y</t>
  </si>
  <si>
    <t xml:space="preserve">Der Faktor ist 1 + MwSt-Satz, solange brutto erfasst wird.</t>
  </si>
  <si>
    <t xml:space="preserve">⇒ Nettoumsatz</t>
  </si>
  <si>
    <t xml:space="preserve">Y = I ÷ Netto_Faktor</t>
  </si>
  <si>
    <t xml:space="preserve">Das ist der Umsatz, der uns tatsächlich zusteht.</t>
  </si>
  <si>
    <t xml:space="preserve">Equipment</t>
  </si>
  <si>
    <t xml:space="preserve">J</t>
  </si>
  <si>
    <t xml:space="preserve">Miete bzw. Einstand der Anlage.</t>
  </si>
  <si>
    <t xml:space="preserve">Transport</t>
  </si>
  <si>
    <t xml:space="preserve">K</t>
  </si>
  <si>
    <t xml:space="preserve">An- und Rücktransport.</t>
  </si>
  <si>
    <t xml:space="preserve">Treibstoff</t>
  </si>
  <si>
    <t xml:space="preserve">L</t>
  </si>
  <si>
    <t xml:space="preserve">Diesel bzw. Energie.</t>
  </si>
  <si>
    <t xml:space="preserve">Personal / Technik</t>
  </si>
  <si>
    <t xml:space="preserve">M</t>
  </si>
  <si>
    <t xml:space="preserve">Montage, Service, Bereitschaft.</t>
  </si>
  <si>
    <t xml:space="preserve">Übrige Kosten</t>
  </si>
  <si>
    <t xml:space="preserve">N</t>
  </si>
  <si>
    <t xml:space="preserve">Alles Weitere — neu ohne MwSt, die Spalte hiess früher «Übrige / MwSt».</t>
  </si>
  <si>
    <t xml:space="preserve">⇒ Einstand</t>
  </si>
  <si>
    <t xml:space="preserve">Z = SUMME(J:N)</t>
  </si>
  <si>
    <t xml:space="preserve">Z</t>
  </si>
  <si>
    <t xml:space="preserve">Die Summe aller Kostenarten.</t>
  </si>
  <si>
    <t xml:space="preserve">O</t>
  </si>
  <si>
    <t xml:space="preserve">Echtes Datum. Leer, solange der Zeitraum nicht feststeht.</t>
  </si>
  <si>
    <t xml:space="preserve">P</t>
  </si>
  <si>
    <t xml:space="preserve">Echtes Datum.</t>
  </si>
  <si>
    <t xml:space="preserve">⇒ Dauer in Tagen</t>
  </si>
  <si>
    <t xml:space="preserve">G = P − O + 1</t>
  </si>
  <si>
    <t xml:space="preserve">G</t>
  </si>
  <si>
    <t xml:space="preserve">Beide Tage zählen mit. Ohne Zeitraum bleibt der bisher erfasste Wert stehen.</t>
  </si>
  <si>
    <t xml:space="preserve">Wahrscheinlichkeit</t>
  </si>
  <si>
    <t xml:space="preserve">S</t>
  </si>
  <si>
    <t xml:space="preserve">Aggreko-Skala 0/10/30/60/90 %, gewonnene Aufträge 100 %.</t>
  </si>
  <si>
    <t xml:space="preserve">→ Gewichtungsfaktor</t>
  </si>
  <si>
    <t xml:space="preserve">AJ = LOOKUP über die Bandtabelle</t>
  </si>
  <si>
    <t xml:space="preserve">AJ</t>
  </si>
  <si>
    <t xml:space="preserve">Band 0–44 → 0 %, 45–59 → 30 %, 60–89 → 50 %, 90–99 → 90 %, 100 % → 100 %.</t>
  </si>
  <si>
    <t xml:space="preserve">⇒ Gewichteter Wert</t>
  </si>
  <si>
    <t xml:space="preserve">Q = I × AJ</t>
  </si>
  <si>
    <t xml:space="preserve">Q</t>
  </si>
  <si>
    <t xml:space="preserve">Bewusst auf das Volumen, nicht auf den Nettoumsatz — so verlangt es die Aggreko-Vorgabe.</t>
  </si>
  <si>
    <t xml:space="preserve">AH = Sammelbefund der Zeile</t>
  </si>
  <si>
    <t xml:space="preserve">AH</t>
  </si>
  <si>
    <t xml:space="preserve">Nennt jeden offenen Punkt der Zeile, nicht nur den ersten.</t>
  </si>
  <si>
    <t xml:space="preserve">Bezug des Beispiels</t>
  </si>
  <si>
    <t xml:space="preserve">Sucht die Zeile über den Kundennamen «Wincasa Solothurn».</t>
  </si>
  <si>
    <t xml:space="preserve">Spalte B</t>
  </si>
  <si>
    <t xml:space="preserve">Steht hier eine Warnung, wurde der Kunde umbenannt oder entfernt — dann den Namen in diesem Block anpassen.</t>
  </si>
  <si>
    <t xml:space="preserve">Warum hier keine Marge steht</t>
  </si>
  <si>
    <t xml:space="preserve">Die Kostenspalten sind erfasst und bleiben als Arbeitsgrundlage stehen. Ausgewertet werden sie im Bericht nicht: auf der heutigen Datengrundlage stiftet eine ausgewiesene Marge mehr Verunsicherung als Klarheit. Der Bericht zeigt Volumen, Status, Nachweis und Zeitraum.</t>
  </si>
  <si>
    <t xml:space="preserve">3️⃣   Beispiel B: gewonnener Auftrag  —  «DPR Heat Loadbank» (die Datacenter-Position)</t>
  </si>
  <si>
    <t xml:space="preserve">Sucht die Zeile über den Kundennamen «DPR Heat Loadbank».</t>
  </si>
  <si>
    <t xml:space="preserve">Was diese Zeile noch braucht</t>
  </si>
  <si>
    <t xml:space="preserve">Status WON steht, damit gehört die Zeile auf 100 % und zählt mit dem vollen Volumen. Fehlen Auftrags-/PO-Nummer, Belegdatum oder der Projektzeitraum, nennt der Prüfstatus jeden dieser Punkte einzeln — und die Zeile zählt nicht zum belegten Auftragseingang.</t>
  </si>
  <si>
    <t xml:space="preserve">4️⃣   Was die Umstellung zahlenmässig bewirkt  —  zwei Fälle, zwei Wirkungen</t>
  </si>
  <si>
    <t xml:space="preserve">Fall</t>
  </si>
  <si>
    <t xml:space="preserve">Was vorher passierte</t>
  </si>
  <si>
    <t xml:space="preserve">Wirkung</t>
  </si>
  <si>
    <t xml:space="preserve">Warum</t>
  </si>
  <si>
    <t xml:space="preserve">A — Spalte N enthielt die MwSt</t>
  </si>
  <si>
    <t xml:space="preserve">Vom Bruttoumsatz wurden die Kosten UND die MwSt abgezogen. Die MwSt war also doppelt drin: einmal im Bruttoumsatz enthalten, einmal als Kostenposition abgezogen.</t>
  </si>
  <si>
    <t xml:space="preserve">Einstand bleibt gleich</t>
  </si>
  <si>
    <t xml:space="preserve">Brutto minus MwSt ergibt netto — rechnerisch dasselbe. Geändert hat sich, dass die MwSt nicht mehr als Kostenposition mitläuft: der Einstand in Spalte Z enthält jetzt ausschliesslich echte Kosten.</t>
  </si>
  <si>
    <t xml:space="preserve">B — Spalte N war eine echte Kostenposition</t>
  </si>
  <si>
    <t xml:space="preserve">Der Bruttoumsatz wurde als Umsatz behandelt, obwohl darin 8.1 % MwSt stecken.</t>
  </si>
  <si>
    <t xml:space="preserve">Nettoumsatz sinkt um die MwSt</t>
  </si>
  <si>
    <t xml:space="preserve">Das ist die eigentliche Korrektur. Beispiel Wincasa: 390 000 brutto sind 360 777 netto, die Differenz von 29 223 ist exakt die MwSt. Der Umsatz war um diesen Betrag zu hoch angesetzt.</t>
  </si>
  <si>
    <t xml:space="preserve">5️⃣   Woher jede Berichtszahl kommt  —  Landkarte der Verknüpfungen</t>
  </si>
  <si>
    <t xml:space="preserve">Kennzahl im Bericht</t>
  </si>
  <si>
    <t xml:space="preserve">Wie sie gebildet wird</t>
  </si>
  <si>
    <t xml:space="preserve">Quelle</t>
  </si>
  <si>
    <t xml:space="preserve">Filter / Abgrenzung</t>
  </si>
  <si>
    <t xml:space="preserve">WON Umsatz</t>
  </si>
  <si>
    <t xml:space="preserve">Summe Volumen über alle Zeilen mit Status WON</t>
  </si>
  <si>
    <t xml:space="preserve">Spalte I + R</t>
  </si>
  <si>
    <t xml:space="preserve">Brutto wie erfasst. Ohne Nachweisprüfung — deshalb daneben immer «davon belegt».</t>
  </si>
  <si>
    <t xml:space="preserve">WON netto</t>
  </si>
  <si>
    <t xml:space="preserve">Summe der Nettoumsätze der WON-Zeilen</t>
  </si>
  <si>
    <t xml:space="preserve">Spalte AZ</t>
  </si>
  <si>
    <t xml:space="preserve">AZ ist der Nettoumsatz als reine Zahl (leere Zellen werden 0), damit SUMMENPRODUKT nicht über Text stolpert.</t>
  </si>
  <si>
    <t xml:space="preserve">WON belegt</t>
  </si>
  <si>
    <t xml:space="preserve">Summe Volumen der Zeilen, die WON sind UND Beleg UND Einstand haben</t>
  </si>
  <si>
    <t xml:space="preserve">Spalte AT</t>
  </si>
  <si>
    <t xml:space="preserve">AT ist 1 nur wenn alle drei Bedingungen zugleich erfüllt sind.</t>
  </si>
  <si>
    <t xml:space="preserve">Aktive Pipeline</t>
  </si>
  <si>
    <t xml:space="preserve">Summe Volumen über alle aktiven Status</t>
  </si>
  <si>
    <t xml:space="preserve">Spalte AP</t>
  </si>
  <si>
    <t xml:space="preserve">Aktiv = die acht Status ohne LOST und Declined. Die Liste steht ausgeblendet im Blatt «⚖️ Wahrscheinlichkeit».</t>
  </si>
  <si>
    <t xml:space="preserve">Bereinigt um Varianten</t>
  </si>
  <si>
    <t xml:space="preserve">wie oben, aber ohne als Alternative markierte Zeilen</t>
  </si>
  <si>
    <t xml:space="preserve">Spalte AU</t>
  </si>
  <si>
    <t xml:space="preserve">AU ist 0 nur bei ausdrücklicher Markierung «Alternative – zählt nicht».</t>
  </si>
  <si>
    <t xml:space="preserve">Gewichtete Pipeline</t>
  </si>
  <si>
    <t xml:space="preserve">Summe der Gew.Werte über die aktiven Status</t>
  </si>
  <si>
    <t xml:space="preserve">Wird auf zwei Wegen gerechnet und im Blatt «⚖️ Wahrscheinlichkeit» gegeneinander geprüft.</t>
  </si>
  <si>
    <t xml:space="preserve">belegtes WON ÷ gemeldetes WON</t>
  </si>
  <si>
    <t xml:space="preserve">AT ÷ I</t>
  </si>
  <si>
    <t xml:space="preserve">Zähler und Nenner über dieselbe Statusauswahl — die Quote sagt, wie viel des gemeldeten Auftragseingangs wirklich durch Auftrag oder PO gestützt ist.</t>
  </si>
  <si>
    <t xml:space="preserve">Deals mit Projektzeitraum</t>
  </si>
  <si>
    <t xml:space="preserve">aktive Zeilen mit Projektstart UND Projektende</t>
  </si>
  <si>
    <t xml:space="preserve">Spalte AY</t>
  </si>
  <si>
    <t xml:space="preserve">AY ist 1, wenn beide Daten echte Datumswerte sind und das Ende nicht vor dem Start liegt.</t>
  </si>
  <si>
    <t xml:space="preserve">Auswertung nach Monat</t>
  </si>
  <si>
    <t xml:space="preserve">Volumen und Anzahl je Monat des Projektstarts</t>
  </si>
  <si>
    <t xml:space="preserve">Spalte AX</t>
  </si>
  <si>
    <t xml:space="preserve">AX ist der Monatsanfang des Projektstarts. Darüber gruppieren die Berichte nach Monat und Quartal.</t>
  </si>
  <si>
    <t xml:space="preserve">Top-Listen WON</t>
  </si>
  <si>
    <t xml:space="preserve">GRÖSSTE über den Sortierschlüssel, dann Zeile über VERGLEICH holen</t>
  </si>
  <si>
    <t xml:space="preserve">Spalte AK</t>
  </si>
  <si>
    <t xml:space="preserve">AK trägt einen winzigen zeilenabhängigen Zuschlag, damit zwei betragsgleiche Deals nicht beide auf dieselbe Zeile treffen und einer doppelt erscheint.</t>
  </si>
  <si>
    <t xml:space="preserve">Kantone / Segmente</t>
  </si>
  <si>
    <t xml:space="preserve">SUMMEWENN über Kanton bzw. Segment</t>
  </si>
  <si>
    <t xml:space="preserve">Spalte C / D</t>
  </si>
  <si>
    <t xml:space="preserve">Die Rangfolge nutzt denselben Zuschlag-Trick wie die Top-Listen.</t>
  </si>
  <si>
    <t xml:space="preserve">6️⃣   Spaltenverzeichnis der Pipeline  —  jede Spalte, ihre Formel und wozu sie da ist</t>
  </si>
  <si>
    <t xml:space="preserve">Formel in Zeile 6, ohne führendes «=» (Muster für alle Zeilen)</t>
  </si>
  <si>
    <t xml:space="preserve">Typ</t>
  </si>
  <si>
    <t xml:space="preserve">Sichtbar</t>
  </si>
  <si>
    <t xml:space="preserve">Wozu</t>
  </si>
  <si>
    <t xml:space="preserve">A  ·  #</t>
  </si>
  <si>
    <t xml:space="preserve">—  (Eingabefeld)</t>
  </si>
  <si>
    <t xml:space="preserve">ja</t>
  </si>
  <si>
    <t xml:space="preserve">Laufnummer aus dem Quellsystem.</t>
  </si>
  <si>
    <t xml:space="preserve">B  ·  Kunde / Unternehmen</t>
  </si>
  <si>
    <t xml:space="preserve">Kunde. Steuert alles: eine leere Zelle heisst «keine Zeile».</t>
  </si>
  <si>
    <t xml:space="preserve">C  ·  Kt.</t>
  </si>
  <si>
    <t xml:space="preserve">Kanton — Grundlage der Kantonsauswertung.</t>
  </si>
  <si>
    <t xml:space="preserve">D  ·  Segment</t>
  </si>
  <si>
    <t xml:space="preserve">Segment — Grundlage der Segmentauswertung.</t>
  </si>
  <si>
    <t xml:space="preserve">E  ·  Leistung / Fleet</t>
  </si>
  <si>
    <t xml:space="preserve">Was geliefert wird.</t>
  </si>
  <si>
    <t xml:space="preserve">F  ·  kW</t>
  </si>
  <si>
    <t xml:space="preserve">Leistung in kW.</t>
  </si>
  <si>
    <t xml:space="preserve">G  ·  Dauer Tage</t>
  </si>
  <si>
    <t xml:space="preserve">IF(B6="","",IF(AY6=1,P6-O6+1,IF(AW6="","",AW6)))</t>
  </si>
  <si>
    <t xml:space="preserve">Formel</t>
  </si>
  <si>
    <t xml:space="preserve">Mietdauer in Kalendertagen. Gerechnet als Projektende − Projektstart + 1, sobald beide Daten stehen; sonst der bisher von Hand erfasste Wert aus AW.</t>
  </si>
  <si>
    <t xml:space="preserve">H  ·  Start</t>
  </si>
  <si>
    <t xml:space="preserve">Grobe Monatsangabe aus der Alterfassung. Bleibt als Anhaltspunkt stehen, solange kein echtes Datum erfasst ist.</t>
  </si>
  <si>
    <t xml:space="preserve">I  ·  Volumen CHF</t>
  </si>
  <si>
    <t xml:space="preserve">Volumen brutto, wie gegenüber dem Kunden offeriert. Die zentrale Eingabe.</t>
  </si>
  <si>
    <t xml:space="preserve">J  ·  Equip. CHF</t>
  </si>
  <si>
    <t xml:space="preserve">Einstand Equipment.</t>
  </si>
  <si>
    <t xml:space="preserve">K  ·  Transport CHF</t>
  </si>
  <si>
    <t xml:space="preserve">Einstand Transport.</t>
  </si>
  <si>
    <t xml:space="preserve">L  ·  Treibst. CHF</t>
  </si>
  <si>
    <t xml:space="preserve">Einstand Treibstoff.</t>
  </si>
  <si>
    <t xml:space="preserve">M  ·  Technik. CHF</t>
  </si>
  <si>
    <t xml:space="preserve">Einstand Personal / Technik.</t>
  </si>
  <si>
    <t xml:space="preserve">N  ·  Übrige Kosten CHF</t>
  </si>
  <si>
    <t xml:space="preserve">Übrige Kosten. Enthielt früher die MwSt — die ist entfernt.</t>
  </si>
  <si>
    <t xml:space="preserve">O  ·  Projektstart</t>
  </si>
  <si>
    <t xml:space="preserve">Projektstart als echtes Datum TT.MM.JJJJ. Eingabefeld, als Datum geprüft.</t>
  </si>
  <si>
    <t xml:space="preserve">P  ·  Projektende</t>
  </si>
  <si>
    <t xml:space="preserve">Projektende als echtes Datum TT.MM.JJJJ. Eingabefeld, als Datum geprüft.</t>
  </si>
  <si>
    <t xml:space="preserve">Q  ·  Gew.Wert CHF (Aggreko)</t>
  </si>
  <si>
    <t xml:space="preserve">IF(AND(ISNUMBER(I6),ISNUMBER(S6)),I6*AJ6,IF(OR(I6&lt;&gt;"",S6&lt;&gt;""),"tbd",""))</t>
  </si>
  <si>
    <t xml:space="preserve">Gewichteter Wert nach Aggreko-Faktor.</t>
  </si>
  <si>
    <t xml:space="preserve">R  ·  Status</t>
  </si>
  <si>
    <t xml:space="preserve">Status. Bestimmt, ob die Zeile aktiv ist und in welchem Block sie erscheint.</t>
  </si>
  <si>
    <t xml:space="preserve">S  ·  Effektive Wahr. %</t>
  </si>
  <si>
    <t xml:space="preserve">Effektive Wahrscheinlichkeit. Dropdown mit der Aggreko-Skala; 100 % ist gewonnenen Aufträgen vorbehalten.</t>
  </si>
  <si>
    <t xml:space="preserve">T  ·  Akquise Typ</t>
  </si>
  <si>
    <t xml:space="preserve">Akquisetyp.</t>
  </si>
  <si>
    <t xml:space="preserve">U  ·  USP-Argument</t>
  </si>
  <si>
    <t xml:space="preserve">USP-Argument.</t>
  </si>
  <si>
    <t xml:space="preserve">V  ·  Nächster Schritt</t>
  </si>
  <si>
    <t xml:space="preserve">Nächster Schritt.</t>
  </si>
  <si>
    <t xml:space="preserve">W  ·  Follow-Up</t>
  </si>
  <si>
    <t xml:space="preserve">Follow-Up.</t>
  </si>
  <si>
    <t xml:space="preserve">X  ·  Notiz intern</t>
  </si>
  <si>
    <t xml:space="preserve">Interne Notiz.</t>
  </si>
  <si>
    <t xml:space="preserve">Y  ·  Nettoumsatz CHF</t>
  </si>
  <si>
    <t xml:space="preserve">IF(ISNUMBER(I6),I6/Netto_Faktor,"")</t>
  </si>
  <si>
    <t xml:space="preserve">Nettoumsatz — Volumen ohne MwSt.</t>
  </si>
  <si>
    <t xml:space="preserve">Z  ·  Einstand CHF</t>
  </si>
  <si>
    <t xml:space="preserve">IF(B6="","",IF(COUNT(J6:N6)=0,"",SUM(J6:N6)))</t>
  </si>
  <si>
    <t xml:space="preserve">Einstand — Summe der fünf Kostenarten.</t>
  </si>
  <si>
    <t xml:space="preserve">AA  ·  Abwicklung</t>
  </si>
  <si>
    <t xml:space="preserve">Abwicklungsgesellschaft. Leer bedeutet MiT CH.</t>
  </si>
  <si>
    <t xml:space="preserve">AB  ·  Vertragsart</t>
  </si>
  <si>
    <t xml:space="preserve">Vertragsart — entscheidet, ob ein Betrag ins WON gehört.</t>
  </si>
  <si>
    <t xml:space="preserve">AC  ·  Deal-Gruppe</t>
  </si>
  <si>
    <t xml:space="preserve">Deal-Gruppe — klammert Varianten desselben Entscheids.</t>
  </si>
  <si>
    <t xml:space="preserve">AD  ·  Variante</t>
  </si>
  <si>
    <t xml:space="preserve">Variante — «Alternative» fällt aus dem bereinigten Volumen.</t>
  </si>
  <si>
    <t xml:space="preserve">AE  ·  Offert-Nr.</t>
  </si>
  <si>
    <t xml:space="preserve">Offert-Nummer.</t>
  </si>
  <si>
    <t xml:space="preserve">AF  ·  Auftrag / PO-Nr.</t>
  </si>
  <si>
    <t xml:space="preserve">Auftrags- bzw. PO-Nummer. Pflicht für WON.</t>
  </si>
  <si>
    <t xml:space="preserve">AG  ·  Beleg-Datum</t>
  </si>
  <si>
    <t xml:space="preserve">Belegdatum. Pflicht für WON.</t>
  </si>
  <si>
    <t xml:space="preserve">AH  ·  Prüfstatus</t>
  </si>
  <si>
    <t xml:space="preserve">IF(B6="","",IF(BA6="",IF(R6="WON","✅ belegt &amp; vollständig","✔ vollständig"),LEFT(BA6,LEN(BA6)-3)))</t>
  </si>
  <si>
    <t xml:space="preserve">Prüfstatus — sammelt alle offenen Punkte der Zeile.</t>
  </si>
  <si>
    <t xml:space="preserve">AJ  ·  _GewFaktor</t>
  </si>
  <si>
    <t xml:space="preserve">IF(ISNUMBER(S6),IFERROR(LOOKUP(IF(S6&lt;=1,S6,S6/100),'⚖️ Wahrscheinlichkeit'!$B$17:$B$21,'⚖️ Wahrscheinlichkeit'!$D$17:$D$21),0),0)</t>
  </si>
  <si>
    <t xml:space="preserve">ausgeblendet</t>
  </si>
  <si>
    <t xml:space="preserve">Gewichtungsfaktor aus der Bandtabelle.</t>
  </si>
  <si>
    <t xml:space="preserve">AK  ·  _WON_Sort</t>
  </si>
  <si>
    <t xml:space="preserve">IF(AND(R6="WON",ISNUMBER(I6)),AL6+(861-ROW())*0.000001,"")</t>
  </si>
  <si>
    <t xml:space="preserve">Sortierschlüssel der WON-Ranglisten, mit Zuschlag gegen Doppelnennungen.</t>
  </si>
  <si>
    <t xml:space="preserve">AL  ·  _I_Num</t>
  </si>
  <si>
    <t xml:space="preserve">IFERROR(I6*1,0)</t>
  </si>
  <si>
    <t xml:space="preserve">Volumen als reine Zahl — 0 statt Text, damit Summen nicht brechen.</t>
  </si>
  <si>
    <t xml:space="preserve">AM  ·  _cnt_won</t>
  </si>
  <si>
    <t xml:space="preserve">N(AM5)+IF(AND(R6="WON",B6&lt;&gt;""),1,0)</t>
  </si>
  <si>
    <t xml:space="preserve">Laufender Zähler der WON-Zeilen — steuert den WON-Block der Berichte.</t>
  </si>
  <si>
    <t xml:space="preserve">AN  ·  _cnt_offerte</t>
  </si>
  <si>
    <t xml:space="preserve">N(AN5)+IF(AND(OR(R6="offered",R6="to be offered",R6="on hold"),B6&lt;&gt;""),1,0)</t>
  </si>
  <si>
    <t xml:space="preserve">Laufender Zähler der Offert-Zeilen.</t>
  </si>
  <si>
    <t xml:space="preserve">AO  ·  _cnt_opp</t>
  </si>
  <si>
    <t xml:space="preserve">N(AO5)+IF(AND(OR(R6="follow-up",R6="Evaluation",R6="tbd",R6="In evaluation"),B6&lt;&gt;""),1,0)</t>
  </si>
  <si>
    <t xml:space="preserve">Laufender Zähler der Opportunitäts-Zeilen.</t>
  </si>
  <si>
    <t xml:space="preserve">AP  ·  _Aktiv</t>
  </si>
  <si>
    <t xml:space="preserve">IF(B6="",0,IF(COUNTIF('⚖️ Wahrscheinlichkeit'!$J$17:$J$24,R6)&gt;0,1,0))</t>
  </si>
  <si>
    <t xml:space="preserve">1 = zählt zur aktiven Pipeline.</t>
  </si>
  <si>
    <t xml:space="preserve">AQ  ·  _SkalaOK</t>
  </si>
  <si>
    <t xml:space="preserve">IF(B6="",0,IF(AND(ISNUMBER(S6),COUNTIF('⚖️ Wahrscheinlichkeit'!$B$6:$B$11,S6)&gt;0),1,0))</t>
  </si>
  <si>
    <t xml:space="preserve">1 = Wahrscheinlichkeit liegt auf der Aggreko-Skala.</t>
  </si>
  <si>
    <t xml:space="preserve">AR  ·  _EinstandOK</t>
  </si>
  <si>
    <t xml:space="preserve">IF(B6="",0,IF(AND(COUNT(J6:M6)=4,SUM(J6:M6)&gt;0),1,0))</t>
  </si>
  <si>
    <t xml:space="preserve">1 = alle vier Kostenarten sind erfasst und die Summe ist grösser als null.</t>
  </si>
  <si>
    <t xml:space="preserve">AS  ·  _BelegOK</t>
  </si>
  <si>
    <t xml:space="preserve">IF(B6="",0,IF(AND(AF6&lt;&gt;"",AG6&lt;&gt;""),1,0))</t>
  </si>
  <si>
    <t xml:space="preserve">1 = Auftrags-/PO-Nummer und Belegdatum vorhanden.</t>
  </si>
  <si>
    <t xml:space="preserve">AT  ·  _WONbelegt</t>
  </si>
  <si>
    <t xml:space="preserve">IF(AND(R6="WON",AS6=1,AR6=1),1,0)</t>
  </si>
  <si>
    <t xml:space="preserve">1 = WON und belegt und Einstand erfasst.</t>
  </si>
  <si>
    <t xml:space="preserve">AU  ·  _Zaehlt</t>
  </si>
  <si>
    <t xml:space="preserve">IF(B6="",0,IF(AD6="Alternative – zählt nicht",0,1))</t>
  </si>
  <si>
    <t xml:space="preserve">1 = zählt ins bereinigte Volumen.</t>
  </si>
  <si>
    <t xml:space="preserve">AV  ·  _Mehrfachkunde</t>
  </si>
  <si>
    <t xml:space="preserve">IF(B6="",0,IF(COUNTIF($B$6:$B$860,B6)&gt;1,1,0))</t>
  </si>
  <si>
    <t xml:space="preserve">1 = dieser Kunde kommt mehrfach in der Pipeline vor.</t>
  </si>
  <si>
    <t xml:space="preserve">AW  ·  _DauerErfasst</t>
  </si>
  <si>
    <t xml:space="preserve">Bisher von Hand erfasste Mietdauer. Bleibt stehen, solange kein Zeitraum erfasst ist.</t>
  </si>
  <si>
    <t xml:space="preserve">AX  ·  _MonatStart</t>
  </si>
  <si>
    <t xml:space="preserve">IF(AY6=1,DATE(YEAR(O6),MONTH(O6),1),"")</t>
  </si>
  <si>
    <t xml:space="preserve">Monatsanfang des Projektstarts — Grundlage der Auswertung nach Monat und Quartal.</t>
  </si>
  <si>
    <t xml:space="preserve">AY  ·  _ZeitraumOK</t>
  </si>
  <si>
    <t xml:space="preserve">IF(B6="",0,IF(AND(ISNUMBER(O6),ISNUMBER(P6)),IF(P6&gt;=O6,1,0),0))</t>
  </si>
  <si>
    <t xml:space="preserve">1 = Projektstart und Projektende sind erfasst und das Ende liegt nicht vor dem Start.</t>
  </si>
  <si>
    <t xml:space="preserve">AZ  ·  _NettoNum</t>
  </si>
  <si>
    <t xml:space="preserve">IF(ISNUMBER(Y6),Y6,0)</t>
  </si>
  <si>
    <t xml:space="preserve">Nettoumsatz als reine Zahl für die Summenbildung.</t>
  </si>
  <si>
    <t xml:space="preserve">BA  ·  _Befunde</t>
  </si>
  <si>
    <t xml:space="preserve">IF(B6="","",IF(AND(R6="WON",AS6=0),"⛔ Beleg fehlt · ","")&amp;IF(AND(R6="WON",AR6=0),"⛔ Einstand fehlt · ","")&amp;IF(AND(R6&lt;&gt;"WON",AR6=0),"○ Einstand offen · ","")&amp;IF(AND(R6="WON",AB6="")</t>
  </si>
  <si>
    <t xml:space="preserve">Sammeltext der Befunde, aus dem der Prüfstatus gebildet wird.</t>
  </si>
  <si>
    <t xml:space="preserve">BB  ·  _KurzStatus</t>
  </si>
  <si>
    <t xml:space="preserve">IF(B6="","",IF(AND(R6="WON",AS6=0),"⛔ Nachweis fehlt",IF(AND(ISNUMBER(O6),ISNUMBER(P6),P6&lt;O6),"⚠ Ende vor Start",IF(AND(R6="WON",AY6=0),"⛔ Zeitraum fehlt",IF(AR6=0,"○ Einstand offe</t>
  </si>
  <si>
    <t xml:space="preserve">Kurzform des Prüfstatus für den CEO Report.</t>
  </si>
  <si>
    <t xml:space="preserve">7️⃣   Warum es so gebaut ist  —  die Entscheide und ihre Begründung</t>
  </si>
  <si>
    <t xml:space="preserve">Entscheid</t>
  </si>
  <si>
    <t xml:space="preserve">Alternative, die verworfen wurde</t>
  </si>
  <si>
    <t xml:space="preserve">Begründung</t>
  </si>
  <si>
    <t xml:space="preserve">Brutto/netto als umschaltbare Zelle statt fest verdrahtet</t>
  </si>
  <si>
    <t xml:space="preserve">Den Faktor 1.081 direkt in die Formeln schreiben.</t>
  </si>
  <si>
    <t xml:space="preserve">Die Erfassungsart ist eine Annahme, keine Naturkonstante. Sie steht jetzt an einer Stelle, ist begründet, und eine Umstellung ist ein Zellwert statt einer Formelrunde durch 855 Zeilen.</t>
  </si>
  <si>
    <t xml:space="preserve">Gewichtungsfaktor über eine Bandtabelle statt verschachtelter Bedingungen</t>
  </si>
  <si>
    <t xml:space="preserve">WENN(S&lt;0.45;0;WENN(S&lt;0.6;0.3;…)) in jeder Zeile.</t>
  </si>
  <si>
    <t xml:space="preserve">Ändert Aggreko die Bänder, ist es eine Zeile in der Tabelle. Verschachtelte Bedingungen müsste man in jeder Zeile anfassen — und jede Änderung wäre eine neue Fehlerquelle.</t>
  </si>
  <si>
    <t xml:space="preserve">Hilfsspalten statt langer Formeln in den Kennzahlen</t>
  </si>
  <si>
    <t xml:space="preserve">Die ganze Logik in jede Summenformel schreiben.</t>
  </si>
  <si>
    <t xml:space="preserve">Eine Bedingung wird einmal je Zeile gerechnet und danach nur noch multipliziert. Das ist schneller, und vor allem: jede Kennzahl filtert nachweislich über dieselbe Bedingung. Zwei Berichte können nicht auseinanderlaufen.</t>
  </si>
  <si>
    <t xml:space="preserve">Marge ganz aus dem Reporting genommen</t>
  </si>
  <si>
    <t xml:space="preserve">Die Marge weiter ausweisen und die Prüffälle daneben markieren.</t>
  </si>
  <si>
    <t xml:space="preserve">Bei einem Teil der Zeilen wurde nicht kalkuliert, sondern nur der Verkaufspreis aufgeteilt. Auf dieser Datengrundlage trägt keine Margenzahl. Die Kostenspalten bleiben als Arbeitsgrundlage in der Pipeline stehen — im Bericht steht dafür, was belastbar ist: Volumen, Status, Nachweis und Zeitraum.</t>
  </si>
  <si>
    <t xml:space="preserve">Projektzeitraum als zwei echte Datumsfelder</t>
  </si>
  <si>
    <t xml:space="preserve">Die grobe Monatsangabe beibehalten und daraus ein Datum ableiten.</t>
  </si>
  <si>
    <t xml:space="preserve">Aus «Aug» lässt sich kein Zeitraum rechnen und keine Dauer prüfen. Zwei geprüfte Datumsfelder liefern Dauer, Monat und Quartal von selbst — und ein leeres Feld ist eine ehrliche Aussage, während ein erfundenes Datum eine falsche wäre.</t>
  </si>
  <si>
    <t xml:space="preserve">Gewonnene Aufträge auf 100 %</t>
  </si>
  <si>
    <t xml:space="preserve">Gewonnene Aufträge weiter mit 90 % gewichten, wie es die Aggreko-Skala vorgibt.</t>
  </si>
  <si>
    <t xml:space="preserve">Ein unterschriebener Auftrag ist keine Wahrscheinlichkeit mehr, sondern ein Fakt. Die Aggreko-Skala endet bei 90 %, weil sie offene Opportunitäten bewertet. Die Stufe 100 % ist als Ergänzung gekennzeichnet und gilt ausschliesslich für Status WON.</t>
  </si>
  <si>
    <t xml:space="preserve">Keine harte Sperre auf dem Statusfeld</t>
  </si>
  <si>
    <t xml:space="preserve">Eine Gültigkeitsregel, die WON ohne Beleg blockiert.</t>
  </si>
  <si>
    <t xml:space="preserve">Eine Gültigkeitsprüfung greift nur beim Tippen — nicht beim Einfügen und nicht beim Import. Die Sperre wirkt deshalb über die Zahl: unbelegtes WON fällt aus der Kennzahl «belegt» und steht als offener Punkt im Bericht. Das lässt sich nicht umgehen.</t>
  </si>
  <si>
    <t xml:space="preserve">Nur ausdrücklich markierte Alternativen fallen weg</t>
  </si>
  <si>
    <t xml:space="preserve">Automatisch pro Deal-Gruppe nur die grösste Zeile zählen.</t>
  </si>
  <si>
    <t xml:space="preserve">Automatik würde bei einer vergessenen Gruppenzuordnung Volumen verschwinden lassen. So kann eine fehlende Markierung nie Umsatz kosten — sie erscheint stattdessen als offener Punkt.</t>
  </si>
  <si>
    <t xml:space="preserve">Zuschlag im Sortierschlüssel der Ranglisten</t>
  </si>
  <si>
    <t xml:space="preserve">Direkt nach dem Volumen sortieren.</t>
  </si>
  <si>
    <t xml:space="preserve">Bei zwei betragsgleichen WON-Deals trifft VERGLEICH beide Male dieselbe Zeile: einer stünde doppelt in der Top-Liste, ein anderer fiele heraus. Der Zuschlag liegt bei unter einem Rappen und macht jeden Schlüssel eindeutig.</t>
  </si>
  <si>
    <t xml:space="preserve">Gew.Wert auf das Volumen, nicht auf den Nettoumsatz</t>
  </si>
  <si>
    <t xml:space="preserve">Gewichtung auf den Nettoumsatz rechnen.</t>
  </si>
  <si>
    <t xml:space="preserve">Die Aggreko-Vorgabe lautet «total revenue × probability». Wir folgen ihr wörtlich, damit die Zahl mit der Gruppenauswertung vergleichbar bleibt.</t>
  </si>
  <si>
    <t xml:space="preserve">MwSt-Formeln aus Spalte N entfernt statt stehen gelassen</t>
  </si>
  <si>
    <t xml:space="preserve">Die Spalte unverändert lassen.</t>
  </si>
  <si>
    <t xml:space="preserve">Sonst wäre die MwSt weiterhin im Einstand enthalten und würde doppelt wirken. Die Spalte heisst jetzt «Übrige Kosten» und enthält ausschliesslich echte Kosten.</t>
  </si>
  <si>
    <t xml:space="preserve">Ganzspalten-Bezüge auf Zeile 860 begrenzt</t>
  </si>
  <si>
    <t xml:space="preserve">INDEX über die ganze Spalte laufen lassen.</t>
  </si>
  <si>
    <t xml:space="preserve">Rund 4 300 Formeln über je eine Million Zeilen. Fachlich identisch, aber spürbar langsamer — die Trefferzeile liegt ohnehin immer zwischen 6 und 860.</t>
  </si>
  <si>
    <t xml:space="preserve">Zwei Rechenwege für die gewichtete Pipeline</t>
  </si>
  <si>
    <t xml:space="preserve">Einmal rechnen und darauf vertrauen.</t>
  </si>
  <si>
    <t xml:space="preserve">Die Bandtabelle und die Spalte «Gew.Wert» rechnen unabhängig voneinander. Weichen sie ab, meldet das Blatt «⚖️ Wahrscheinlichkeit» es sofort — auch nachdem jemand Daten geändert hat.</t>
  </si>
  <si>
    <t xml:space="preserve">8️⃣   Funktionslexikon  —  jede verwendete Funktion und warum gerade sie</t>
  </si>
  <si>
    <t xml:space="preserve">Funktion</t>
  </si>
  <si>
    <t xml:space="preserve">Was sie tut</t>
  </si>
  <si>
    <t xml:space="preserve">Wo im File</t>
  </si>
  <si>
    <t xml:space="preserve">WENN / IF</t>
  </si>
  <si>
    <t xml:space="preserve">Fallunterscheidung.</t>
  </si>
  <si>
    <t xml:space="preserve">Überall. Wichtig: WENN prüft nur den zutreffenden Zweig — anders als UND.</t>
  </si>
  <si>
    <t xml:space="preserve">UND / AND, ODER / OR</t>
  </si>
  <si>
    <t xml:space="preserve">Mehrere Bedingungen verknüpfen.</t>
  </si>
  <si>
    <t xml:space="preserve">Statusprüfungen. Achtung: UND rechnet ALLE Argumente, auch die unzutreffenden. Deshalb sind die Zahlenprüfungen geschachtelt statt in ein UND gepackt — sonst rechnet die Formel mit Text weiter.</t>
  </si>
  <si>
    <t xml:space="preserve">ISTZAHL / ISNUMBER</t>
  </si>
  <si>
    <t xml:space="preserve">Prüft, ob eine Zelle wirklich eine Zahl enthält.</t>
  </si>
  <si>
    <t xml:space="preserve">Vor jeder Rechnung. «tbd» oder «Sponsoring» im Volumenfeld darf keine Formel sprengen.</t>
  </si>
  <si>
    <t xml:space="preserve">SUMMEWENNS / SUMIFS</t>
  </si>
  <si>
    <t xml:space="preserve">Summe mit Bedingungen.</t>
  </si>
  <si>
    <t xml:space="preserve">Alle Status-Summen. Ignoriert Text automatisch — deshalb stört ein «tbd» im Gew.Wert nicht.</t>
  </si>
  <si>
    <t xml:space="preserve">ZÄHLENWENN / COUNTIF</t>
  </si>
  <si>
    <t xml:space="preserve">Zählt Treffer in einem Bereich.</t>
  </si>
  <si>
    <t xml:space="preserve">Statuszähler, Skalenprüfung, Mehrfachkunden. Achtung: eine leere Bezugszelle wird als 0 gelesen — deshalb steht vor der Skalenprüfung ein ISTZAHL.</t>
  </si>
  <si>
    <t xml:space="preserve">SUMMENPRODUKT / SUMPRODUCT</t>
  </si>
  <si>
    <t xml:space="preserve">Multipliziert Spalten zeilenweise und summiert.</t>
  </si>
  <si>
    <t xml:space="preserve">Jede Auswertung mit mehreren Bedingungen. Arbeitet mit den 0/1-Hilfsspalten — dadurch kurz und schnell statt einer langen Bedingungskette.</t>
  </si>
  <si>
    <t xml:space="preserve">VERWEIS / LOOKUP</t>
  </si>
  <si>
    <t xml:space="preserve">Sucht den grössten Wert, der nicht über dem Suchwert liegt.</t>
  </si>
  <si>
    <t xml:space="preserve">Die Zuordnung Wahrscheinlichkeit → Gewichtungsfaktor. Genau richtig für Bänder, weil die Untergrenzen aufsteigend sortiert sind.</t>
  </si>
  <si>
    <t xml:space="preserve">INDEX + VERGLEICH / MATCH</t>
  </si>
  <si>
    <t xml:space="preserve">Holt den Wert aus Zeile n eines Bereichs.</t>
  </si>
  <si>
    <t xml:space="preserve">Alle Detailzeilen in Dashboard und CEO Report sowie die Ranglisten.</t>
  </si>
  <si>
    <t xml:space="preserve">GRÖSSTE / LARGE</t>
  </si>
  <si>
    <t xml:space="preserve">Der n-grösste Wert eines Bereichs.</t>
  </si>
  <si>
    <t xml:space="preserve">Top-WON und Top-Kantone.</t>
  </si>
  <si>
    <t xml:space="preserve">WENNFEHLER / IFERROR</t>
  </si>
  <si>
    <t xml:space="preserve">Fängt Fehlerwerte ab.</t>
  </si>
  <si>
    <t xml:space="preserve">Um jede Suche und jede Division. Eine leere Rangliste zeigt leere Zellen statt Fehlermeldungen.</t>
  </si>
  <si>
    <t xml:space="preserve">TEXT, LINKS / LEFT, LÄNGE / LEN</t>
  </si>
  <si>
    <t xml:space="preserve">Zahlen formatieren, Texte zusammensetzen und kürzen.</t>
  </si>
  <si>
    <t xml:space="preserve">Die Hinweiszeilen und der Prüfstatus.</t>
  </si>
  <si>
    <t xml:space="preserve">RUNDEN / ROUND, ABS</t>
  </si>
  <si>
    <t xml:space="preserve">Runden, Betrag ohne Vorzeichen.</t>
  </si>
  <si>
    <t xml:space="preserve">Die Abweichungskontrolle und die Schwellenprüfung.</t>
  </si>
  <si>
    <t xml:space="preserve">ZEILE / ROW</t>
  </si>
  <si>
    <t xml:space="preserve">Zeilennummer.</t>
  </si>
  <si>
    <t xml:space="preserve">Der Zuschlag in den Sortierschlüsseln.</t>
  </si>
  <si>
    <t xml:space="preserve">HEUTE / TODAY</t>
  </si>
  <si>
    <t xml:space="preserve">Tagesdatum.</t>
  </si>
  <si>
    <t xml:space="preserve">Die Kopf- und Fusszeilen.</t>
  </si>
  <si>
    <t xml:space="preserve">Bewusst NICHT verwendet</t>
  </si>
  <si>
    <t xml:space="preserve">XVERWEIS, FILTER, EINDEUTIG, SORTIEREN, TEXTVERKETTEN.</t>
  </si>
  <si>
    <t xml:space="preserve">Diese Funktionen gibt es erst in neueren Excel-Versionen. Die Mappe soll auch in älterem Excel und in LibreOffice ohne Anpassung rechnen — deshalb durchgehend INDEX/VERGLEICH.</t>
  </si>
  <si>
    <t xml:space="preserve">⚖️  Bewertungsmodell Wahrscheinlichkeit &amp; gewichteter Umsatz  —  Aggreko-Standard</t>
  </si>
  <si>
    <t xml:space="preserve">Mobil in Time AG  ·  An Aggreko Company  ·  Burak Ücöz  ·  Dieses Blatt ist die Steuerzentrale: Skala und Faktoren hier ändern — Pipeline, Dashboard, CEO Report, Report, Executive PDF und Diagramme rechnen automatisch nach.</t>
  </si>
  <si>
    <t xml:space="preserve">1️⃣   Probability to Win %  —  verbindliche Bewertungsskala</t>
  </si>
  <si>
    <t xml:space="preserve">Probability
to Win %</t>
  </si>
  <si>
    <t xml:space="preserve">Begründung / Einsatz (DE)</t>
  </si>
  <si>
    <t xml:space="preserve">Reason (EN, Original Aggreko)</t>
  </si>
  <si>
    <t xml:space="preserve">Nichts — keine Opportunität.</t>
  </si>
  <si>
    <t xml:space="preserve">Nothing, no Opportunity</t>
  </si>
  <si>
    <t xml:space="preserve">Die Opportunität ist ein «Platzhalter» für ein Thema, das wir beim Kunden erkannt haben. Ein Bedarf oder ein Pain, der besprochen wurde und den wir als Platzhalter für ein späteres Gespräch in der Pipeline führen wollen. 10 % ebenfalls für sehr grosse Opportunitäten, die wir nicht so stark gewichten wollen wie mit 30 %; 10 % kann zudem für Contingency-Pläne verwendet werden.</t>
  </si>
  <si>
    <t xml:space="preserve">The opportunity is a used for "placeholder" themes that we have uncovered with a customer. A need or a pain that has been discussed and we want to plug it into the pipeline as a placeholder for a future conversation. Also use 10% for very large opportunities that we don't want to weight as heavily as 30%; and 10% can also be used for contingency plans.</t>
  </si>
  <si>
    <t xml:space="preserve">Die Opportunität lebt und ist gesund, wir wissen aber nicht, ob sie tatsächlich on-hire geht.</t>
  </si>
  <si>
    <t xml:space="preserve">The opportunity is alive and well, but we do not know if it will actually go on-hire or not.</t>
  </si>
  <si>
    <t xml:space="preserve">Wir haben sehr gute Chancen, die Opportunität zu gewinnen, der Kunde committet sich aber nicht mit einer PO. Das Fleet-Team hat den Fall auf dem Radar und überwacht die On-/Off-Hire-Daten.</t>
  </si>
  <si>
    <t xml:space="preserve">We have a very good chance of winning the opportunity but the customer is not comitting with a PO, the fleet team have this on their radar monitoring on/off hire dates.</t>
  </si>
  <si>
    <t xml:space="preserve">Wir sind sicher, dass wir den Auftrag erhalten, warten aber noch auf die PO oder ein dokumentiertes Commitment. Das Fleet-Team erfüllt die Quote auf dieser Stufe im OF.</t>
  </si>
  <si>
    <t xml:space="preserve">We are sure that we will get the order but wating on PO or documented commitment. The fleet team will fulfil the Quote at this stage in OF.</t>
  </si>
  <si>
    <t xml:space="preserve">Auftrag erhalten. Unterschriebene Bestellung oder gültige PO liegt vor, Auftrags-/PO-Nummer und Belegdatum sind erfasst. Der Auftrag ist gewonnen und zählt voll — er wird nicht mehr abgewertet. Diese Stufe gilt ausschliesslich für Zeilen mit Status WON und ist eine Ergänzung von MiT CH zur Aggreko-Liste, die bei 90 % endet.</t>
  </si>
  <si>
    <t xml:space="preserve">Order received. A signed order or a valid PO is in place, order/PO number and document date are recorded. The deal is won and counts in full. This step applies to rows with status WON only and is an addition by MiT CH to the Aggreko list, which ends at 90%.</t>
  </si>
  <si>
    <t xml:space="preserve">ℹ️  Diese sechs Werte stehen in «MiT Strom Pipeline», Spalte S (Effektive Wahrscheinlichkeit) als Dropdown zur Verfügung. Abweichende Werte werden dort orange markiert. Die Stufe 100 % ist ausschliesslich für gewonnene Aufträge (Status WON) vorgesehen.</t>
  </si>
  <si>
    <t xml:space="preserve">2️⃣   Pipeline (Weighted)  —  Gewichtungsfaktoren und Live-Auswertung</t>
  </si>
  <si>
    <t xml:space="preserve">Pipeline (Weighted) = Umsatz («total revenue») × Gewichtungsfaktor. Der Faktor wird aus dem Feld «Effective Probability» abgeleitet:</t>
  </si>
  <si>
    <t xml:space="preserve">Effective
Probability von</t>
  </si>
  <si>
    <t xml:space="preserve">bis</t>
  </si>
  <si>
    <t xml:space="preserve">Gewichtungs-
faktor</t>
  </si>
  <si>
    <t xml:space="preserve">Anzahl
Deals</t>
  </si>
  <si>
    <t xml:space="preserve">Anteil am
gew. Total</t>
  </si>
  <si>
    <t xml:space="preserve">Aktiv-Status (System)</t>
  </si>
  <si>
    <t xml:space="preserve">0 – 44 %</t>
  </si>
  <si>
    <t xml:space="preserve">45 – 59 %</t>
  </si>
  <si>
    <t xml:space="preserve">60 – 89 %</t>
  </si>
  <si>
    <t xml:space="preserve">90 – 99 %</t>
  </si>
  <si>
    <t xml:space="preserve">100 %  ·  WON</t>
  </si>
  <si>
    <t xml:space="preserve">Evaluation</t>
  </si>
  <si>
    <t xml:space="preserve">ℹ️  «Anteil am gew. Total» je Band; in der Totalzeile steht der Gewichtungsgrad der Gesamtpipeline (gewichtet ÷ Umsatz).</t>
  </si>
  <si>
    <t xml:space="preserve">In evaluation</t>
  </si>
  <si>
    <t xml:space="preserve">3️⃣   Selbstkontrolle &amp; Datenqualität</t>
  </si>
  <si>
    <t xml:space="preserve">Gewichtete Pipeline laut Bandtabelle (Spalte G)</t>
  </si>
  <si>
    <t xml:space="preserve">Gewichtete Pipeline laut Pipeline-Spalte Q (Gew.Wert)</t>
  </si>
  <si>
    <t xml:space="preserve">Abweichung (muss 0 sein)</t>
  </si>
  <si>
    <t xml:space="preserve">Status Formelprüfung</t>
  </si>
  <si>
    <t xml:space="preserve">Aktive Deals mit Wahrscheinlichkeit ausserhalb der Aggreko-Skala</t>
  </si>
  <si>
    <t xml:space="preserve">Handlungsbedarf Skala</t>
  </si>
  <si>
    <t xml:space="preserve">Deals unterhalb des Pipeline-Druckbereichs (ab Zeile 91)</t>
  </si>
  <si>
    <t xml:space="preserve">Status Druckbereich</t>
  </si>
  <si>
    <t xml:space="preserve">Gewonnene Aufträge (WON) nicht auf 100 %</t>
  </si>
  <si>
    <t xml:space="preserve">Wahrscheinlichkeit 100 % ohne Status WON</t>
  </si>
  <si>
    <t xml:space="preserve">Status 100-%-Regel</t>
  </si>
  <si>
    <t xml:space="preserve">4️⃣   Was wurde umgestellt</t>
  </si>
  <si>
    <t xml:space="preserve">Skala</t>
  </si>
  <si>
    <t xml:space="preserve">Probability to Win % neu verbindlich 0 / 10 / 30 / 60 / 90 % nach Aggreko, ergänzt um die Stufe 100 % für gewonnene Aufträge (Dropdown in Pipeline Spalte S, Begründungen siehe Abschnitt 1).</t>
  </si>
  <si>
    <t xml:space="preserve">Gewichtung</t>
  </si>
  <si>
    <t xml:space="preserve">Gew.Wert CHF (Pipeline Spalte Q) = Volumen × Aggreko-Faktor statt Volumen × Wahrscheinlichkeit. Faktor: 0–44 % → 0 %, 45–59 % → 30 %, 60–89 % → 50 %, 90–99 % → 90 %, 100 % → 100 %.</t>
  </si>
  <si>
    <t xml:space="preserve">Gewonnene Aufträge</t>
  </si>
  <si>
    <t xml:space="preserve">Ein gewonnener Auftrag wird nicht mehr abgewertet: Status WON steht auf 100 % und zählt mit dem vollen Volumen in die gewichtete Pipeline. Vorher liefen gewonnene Aufträge mit 90 % mit. Beide Richtungen der Regel werden in Abschnitt 3 laufend geprüft.</t>
  </si>
  <si>
    <t xml:space="preserve">Datenbestand</t>
  </si>
  <si>
    <t xml:space="preserve">Die bestehenden Wahrscheinlichkeiten der einzelnen Deals wurden auf die Skala umgeschlüsselt — das Protokoll steht in Abschnitt 5. Die Stufe 100 % ist gewonnenen Aufträgen vorbehalten.</t>
  </si>
  <si>
    <t xml:space="preserve">Dashboard, CEO Report, 📄 Report, 📑 Executive PDF und 📊 Diagramme zeigen zusätzlich die gewichtete Pipeline und die Verteilung über die vier Gewichtungsbänder.</t>
  </si>
  <si>
    <t xml:space="preserve">Technik</t>
  </si>
  <si>
    <t xml:space="preserve">Der Faktor je Deal steht in der ausgeblendeten Hilfsspalte Y der Pipeline (bei Bedarf einblenden), die Systemkennzeichen in AE/AF. Ganzspalten-Bezüge in Dashboard und CEO Report wurden auf Zeile 860 begrenzt, der Druckbereich der Pipeline auf Zeile 80 erweitert (vorher Zeile 48 — Deals fehlten im Ausdruck).</t>
  </si>
  <si>
    <t xml:space="preserve">Bereinigt</t>
  </si>
  <si>
    <t xml:space="preserve">Verwaiste Restformeln in Pipeline Q862 (Summe von Q9, Q10, Q12, Q13, Q14, Q22, Q60, Q61, Q62, Q63) und Q864 (Summe von Q10, Q12, Q60, Q61) entfernt — von nichts referenziert, aber Auslöser für Fehlerwerte, sobald einer dieser Deals keinen numerischen Gew.Wert mehr hat. Die WON-Ranglisten haben neu einen Sortier-Zuschlag, damit betragsgleiche Deals nicht doppelt erscheinen. Ein Deal ohne Wahrscheinlichkeit gilt jetzt korrekt als «ausserhalb der Skala».</t>
  </si>
  <si>
    <t xml:space="preserve">5️⃣   Umschlüsselung auf die Aggreko-Skala  —  was geändert wurde und was es bewirkt</t>
  </si>
  <si>
    <t xml:space="preserve">Wichtig: kein Wert der Skala 0/10/30/60/90 % fällt in das Gewichtungsband 45–59 % (Faktor 30 %). Wer die Skala einhält, kann dieses Band nie treffen — es ist in der Aggreko-Vorgabe angelegt, aber nicht erreichbar. Genau dort lagen bisher die 50 %-Deals. Gewonnene Aufträge stehen neu auf 100 % und zählen voll.</t>
  </si>
  <si>
    <t xml:space="preserve">bisher</t>
  </si>
  <si>
    <t xml:space="preserve">neu</t>
  </si>
  <si>
    <t xml:space="preserve">Faktor bisher</t>
  </si>
  <si>
    <t xml:space="preserve">Faktor neu</t>
  </si>
  <si>
    <t xml:space="preserve">Gewichtet bisher</t>
  </si>
  <si>
    <t xml:space="preserve">Gewichtet neu</t>
  </si>
  <si>
    <t xml:space="preserve">unverändert</t>
  </si>
  <si>
    <t xml:space="preserve">Faktor ändert sich</t>
  </si>
  <si>
    <t xml:space="preserve">TOTAL</t>
  </si>
  <si>
    <t xml:space="preserve">Aktive Deals ausserhalb der Skala (muss 0 sein)</t>
  </si>
  <si>
    <t xml:space="preserve">Zeilen, deren gewichteter Wert sich durch die Umschlüsselung geändert hat</t>
  </si>
  <si>
    <t xml:space="preserve">davon noch auf der Vorgabe 30 % — je Deal zu bestätigen</t>
  </si>
  <si>
    <t xml:space="preserve">bereits auf 60 % hochgestuft</t>
  </si>
  <si>
    <t xml:space="preserve">Volumen der noch zu bestätigenden Deals</t>
  </si>
  <si>
    <t xml:space="preserve">Gewichtete Pipeline, wenn alle davon auf 60 % gehen</t>
  </si>
  <si>
    <t xml:space="preserve">Gewonnene Aufträge (WON) auf 100 %</t>
  </si>
  <si>
    <t xml:space="preserve">Volumen dieser gewonnenen Aufträge</t>
  </si>
  <si>
    <t xml:space="preserve">Mehrgewicht gegenüber der bisherigen Bewertung mit 90 %</t>
  </si>
  <si>
    <t xml:space="preserve">Diese Deals standen auf 50 % und sind nach Aggreko-Definition auf 30 % gesetzt. Wo das Fleet-Team die On-/Off-Hire-Daten bereits überwacht und die Chance sehr gut ist, gehört der Deal auf 60 % — dann in Spalte S der Pipeline ändern, alles Weitere rechnet nach.</t>
  </si>
  <si>
    <t xml:space="preserve">Zeile</t>
  </si>
  <si>
    <t xml:space="preserve">jetzt</t>
  </si>
  <si>
    <t xml:space="preserve">gewichtet</t>
  </si>
  <si>
    <t xml:space="preserve">Summe</t>
  </si>
  <si>
    <t xml:space="preserve">6️⃣   Gewonnene Aufträge (WON)  —  100 % und Projektzeitraum</t>
  </si>
  <si>
    <t xml:space="preserve">Diese Aufträge sind gewonnen und stehen deshalb auf 100 %: sie zählen mit dem vollen Volumen in die gewichtete Pipeline und werden nicht mehr abgewertet. Projektstart und Projektende werden in der Pipeline in den Spalten O und P erfasst; solange sie leer sind, meldet der Prüfstatus den fehlenden Zeitraum.</t>
  </si>
  <si>
    <t xml:space="preserve">Wahr. %</t>
  </si>
  <si>
    <t xml:space="preserve">ℹ️  In den Spalten Projektstart und Projektende steht die Anzahl der Aufträge, bei denen das Datum bereits erfasst ist (von 12).</t>
  </si>
  <si>
    <t xml:space="preserve">Begründung je Zuordnung</t>
  </si>
  <si>
    <t xml:space="preserve">20% → 30%</t>
  </si>
  <si>
    <t xml:space="preserve">Gleicher Gewichtungsfaktor (0 %). Von den Stufen mit Faktor 0 % beschreibt 30 % «lebt, aber offen ob on-hire» eine versendete Offerte am besten — 10 % wäre laut Aggreko ein blosser Platzhalter.</t>
  </si>
  <si>
    <t xml:space="preserve">50% → 30%</t>
  </si>
  <si>
    <t xml:space="preserve">Einzige Stufe, bei der sich der Faktor ändert — es gibt keinen Skalenwert im Band 45–59 %. Massgebend ist deshalb die Definition: 50 % heisst «kann so oder so ausgehen», und genau das beschreibt Aggreko mit 30 % («lebt, aber wir wissen nicht, ob es on-hire geht»). 60 % verlangt ausdrücklich «sehr gute Chance» und dass das Fleet-Team die On-/Off-Hire-Daten überwacht. Je Deal einzeln zu bestätigen.</t>
  </si>
  <si>
    <t xml:space="preserve">80% → 60%</t>
  </si>
  <si>
    <t xml:space="preserve">Gleicher Gewichtungsfaktor (50 %). Der gewichtete Umsatz bleibt unverändert.</t>
  </si>
  <si>
    <t xml:space="preserve">100% → 100%</t>
  </si>
  <si>
    <t xml:space="preserve">Auftrag erhalten. Ein gewonnener Auftrag wird nicht mehr abgewertet: Status WON steht auf 100 % und zählt mit dem vollen Volumen in die gewichtete Pipeline. Vorher liefen gewonnene Aufträge mit 90 % mit.</t>
  </si>
  <si>
    <t xml:space="preserve">Status_Key</t>
  </si>
  <si>
    <t xml:space="preserve">Deals</t>
  </si>
  <si>
    <t xml:space="preserve">📝 To Offer</t>
  </si>
  <si>
    <t xml:space="preserve">🔍 Evaluation</t>
  </si>
  <si>
    <t xml:space="preserve">🔍 In Eval</t>
  </si>
  <si>
    <t xml:space="preserve">RankKey</t>
  </si>
</sst>
</file>

<file path=xl/styles.xml><?xml version="1.0" encoding="utf-8"?>
<styleSheet xmlns="http://schemas.openxmlformats.org/spreadsheetml/2006/main">
  <numFmts count="14">
    <numFmt numFmtId="164" formatCode="General"/>
    <numFmt numFmtId="165" formatCode="#,##0&quot; CHF&quot;"/>
    <numFmt numFmtId="166" formatCode="dd\.mm\.yyyy"/>
    <numFmt numFmtId="167" formatCode="#,##0"/>
    <numFmt numFmtId="168" formatCode="0"/>
    <numFmt numFmtId="169" formatCode="0%"/>
    <numFmt numFmtId="170" formatCode="0.0%"/>
    <numFmt numFmtId="171" formatCode="[=1]0&quot; Deal&quot;;0&quot; Deals&quot;"/>
    <numFmt numFmtId="172" formatCode="General"/>
    <numFmt numFmtId="173" formatCode="0.00"/>
    <numFmt numFmtId="174" formatCode="[$-407]d/\ mmm/;@"/>
    <numFmt numFmtId="175" formatCode="mmm\ yyyy"/>
    <numFmt numFmtId="176" formatCode="0.000"/>
    <numFmt numFmtId="177" formatCode="#,##0.00"/>
  </numFmts>
  <fonts count="82">
    <font>
      <sz val="11"/>
      <color theme="1"/>
      <name val="Calibri"/>
      <family val="2"/>
      <charset val="1"/>
    </font>
    <font>
      <sz val="10"/>
      <name val="Arial"/>
      <family val="0"/>
    </font>
    <font>
      <sz val="10"/>
      <name val="Arial"/>
      <family val="0"/>
    </font>
    <font>
      <sz val="10"/>
      <name val="Arial"/>
      <family val="0"/>
    </font>
    <font>
      <b val="true"/>
      <sz val="20"/>
      <color rgb="FFFFFFFF"/>
      <name val="Calibri"/>
      <family val="0"/>
      <charset val="1"/>
    </font>
    <font>
      <i val="true"/>
      <sz val="11"/>
      <color rgb="FF555555"/>
      <name val="Calibri"/>
      <family val="0"/>
      <charset val="1"/>
    </font>
    <font>
      <sz val="10"/>
      <color rgb="FF888888"/>
      <name val="Calibri"/>
      <family val="0"/>
      <charset val="1"/>
    </font>
    <font>
      <b val="true"/>
      <sz val="11"/>
      <color rgb="FFFFFFFF"/>
      <name val="Cambria"/>
      <family val="0"/>
      <charset val="1"/>
    </font>
    <font>
      <b val="true"/>
      <sz val="14"/>
      <color rgb="FF1F3864"/>
      <name val="Cambria"/>
      <family val="0"/>
      <charset val="1"/>
    </font>
    <font>
      <i val="true"/>
      <sz val="10"/>
      <color rgb="FF666666"/>
      <name val="Cambria"/>
      <family val="0"/>
      <charset val="1"/>
    </font>
    <font>
      <b val="true"/>
      <sz val="14"/>
      <color rgb="FFFFFFFF"/>
      <name val="Calibri"/>
      <family val="0"/>
      <charset val="1"/>
    </font>
    <font>
      <b val="true"/>
      <sz val="13"/>
      <color rgb="FF1F3864"/>
      <name val="Calibri"/>
      <family val="0"/>
      <charset val="1"/>
    </font>
    <font>
      <b val="true"/>
      <sz val="10"/>
      <color rgb="FFFFFFFF"/>
      <name val="Cambria"/>
      <family val="0"/>
      <charset val="1"/>
    </font>
    <font>
      <sz val="10"/>
      <name val="Cambria"/>
      <family val="0"/>
      <charset val="1"/>
    </font>
    <font>
      <b val="true"/>
      <sz val="10"/>
      <name val="Cambria"/>
      <family val="0"/>
      <charset val="1"/>
    </font>
    <font>
      <i val="true"/>
      <sz val="10"/>
      <color rgb="FF888888"/>
      <name val="Cambria"/>
      <family val="0"/>
      <charset val="1"/>
    </font>
    <font>
      <i val="true"/>
      <sz val="9"/>
      <color rgb="FF808080"/>
      <name val="Cambria"/>
      <family val="0"/>
      <charset val="1"/>
    </font>
    <font>
      <b val="true"/>
      <sz val="22"/>
      <color rgb="FF1F3864"/>
      <name val="Calibri"/>
      <family val="0"/>
      <charset val="1"/>
    </font>
    <font>
      <b val="true"/>
      <sz val="14"/>
      <color rgb="FF1F3864"/>
      <name val="Calibri"/>
      <family val="0"/>
      <charset val="1"/>
    </font>
    <font>
      <b val="true"/>
      <sz val="11"/>
      <name val="Cambria"/>
      <family val="0"/>
      <charset val="1"/>
    </font>
    <font>
      <b val="true"/>
      <sz val="12"/>
      <color rgb="FF1F3864"/>
      <name val="Cambria"/>
      <family val="0"/>
      <charset val="1"/>
    </font>
    <font>
      <b val="true"/>
      <sz val="11"/>
      <color rgb="FF1F3864"/>
      <name val="Calibri"/>
      <family val="0"/>
      <charset val="1"/>
    </font>
    <font>
      <sz val="11"/>
      <color rgb="FF1F3864"/>
      <name val="Calibri"/>
      <family val="0"/>
      <charset val="1"/>
    </font>
    <font>
      <b val="true"/>
      <sz val="11"/>
      <color rgb="FFFFFFFF"/>
      <name val="Calibri"/>
      <family val="0"/>
      <charset val="1"/>
    </font>
    <font>
      <i val="true"/>
      <sz val="9"/>
      <color rgb="FF808080"/>
      <name val="Calibri"/>
      <family val="0"/>
      <charset val="1"/>
    </font>
    <font>
      <b val="true"/>
      <sz val="15"/>
      <color rgb="FFFFFFFF"/>
      <name val="Arial"/>
      <family val="0"/>
      <charset val="1"/>
    </font>
    <font>
      <sz val="11"/>
      <name val="Cambria"/>
      <family val="0"/>
      <charset val="1"/>
    </font>
    <font>
      <i val="true"/>
      <sz val="9"/>
      <color rgb="FFAAAAAA"/>
      <name val="Arial"/>
      <family val="0"/>
      <charset val="1"/>
    </font>
    <font>
      <b val="true"/>
      <sz val="11"/>
      <color rgb="FFFFFFFF"/>
      <name val="Arial"/>
      <family val="0"/>
      <charset val="1"/>
    </font>
    <font>
      <b val="true"/>
      <sz val="22"/>
      <color rgb="FFFFFFFF"/>
      <name val="Arial"/>
      <family val="0"/>
      <charset val="1"/>
    </font>
    <font>
      <b val="true"/>
      <sz val="11"/>
      <color rgb="FFBBFFCC"/>
      <name val="Arial"/>
      <family val="0"/>
      <charset val="1"/>
    </font>
    <font>
      <b val="true"/>
      <sz val="11"/>
      <color rgb="FFBBDDFF"/>
      <name val="Arial"/>
      <family val="0"/>
      <charset val="1"/>
    </font>
    <font>
      <b val="true"/>
      <sz val="11"/>
      <color rgb="FFFFDDAA"/>
      <name val="Arial"/>
      <family val="0"/>
      <charset val="1"/>
    </font>
    <font>
      <b val="true"/>
      <sz val="10"/>
      <color rgb="FFD4A017"/>
      <name val="Arial"/>
      <family val="0"/>
      <charset val="1"/>
    </font>
    <font>
      <b val="true"/>
      <sz val="9"/>
      <color rgb="FFFFFFFF"/>
      <name val="Arial"/>
      <family val="0"/>
      <charset val="1"/>
    </font>
    <font>
      <sz val="10"/>
      <color rgb="FF111111"/>
      <name val="Arial"/>
      <family val="0"/>
      <charset val="1"/>
    </font>
    <font>
      <b val="true"/>
      <sz val="15"/>
      <color rgb="FFD4A017"/>
      <name val="Arial"/>
      <family val="0"/>
      <charset val="1"/>
    </font>
    <font>
      <sz val="10"/>
      <color rgb="FF333333"/>
      <name val="Arial"/>
      <family val="0"/>
      <charset val="1"/>
    </font>
    <font>
      <b val="true"/>
      <sz val="11"/>
      <color rgb="FF166534"/>
      <name val="Arial"/>
      <family val="0"/>
      <charset val="1"/>
    </font>
    <font>
      <b val="true"/>
      <sz val="11"/>
      <color rgb="FF1E3A5F"/>
      <name val="Arial"/>
      <family val="0"/>
      <charset val="1"/>
    </font>
    <font>
      <b val="true"/>
      <sz val="11"/>
      <color rgb="FF7C2D12"/>
      <name val="Arial"/>
      <family val="0"/>
      <charset val="1"/>
    </font>
    <font>
      <b val="true"/>
      <sz val="10"/>
      <color rgb="FF1F3864"/>
      <name val="Arial"/>
      <family val="0"/>
      <charset val="1"/>
    </font>
    <font>
      <b val="true"/>
      <sz val="10"/>
      <color rgb="FF111111"/>
      <name val="Arial"/>
      <family val="0"/>
      <charset val="1"/>
    </font>
    <font>
      <b val="true"/>
      <sz val="12"/>
      <color rgb="FFFFFFFF"/>
      <name val="Arial"/>
      <family val="0"/>
      <charset val="1"/>
    </font>
    <font>
      <b val="true"/>
      <sz val="13"/>
      <color rgb="FFD4A017"/>
      <name val="Arial"/>
      <family val="0"/>
      <charset val="1"/>
    </font>
    <font>
      <i val="true"/>
      <sz val="9"/>
      <color rgb="FF64748B"/>
      <name val="Arial"/>
      <family val="0"/>
      <charset val="1"/>
    </font>
    <font>
      <i val="true"/>
      <sz val="8"/>
      <color rgb="FF888888"/>
      <name val="Arial"/>
      <family val="0"/>
      <charset val="1"/>
    </font>
    <font>
      <b val="true"/>
      <sz val="11"/>
      <color rgb="FF1F3864"/>
      <name val="Arial"/>
      <family val="0"/>
      <charset val="1"/>
    </font>
    <font>
      <b val="true"/>
      <sz val="12"/>
      <color rgb="FFD4A017"/>
      <name val="Arial"/>
      <family val="0"/>
      <charset val="1"/>
    </font>
    <font>
      <b val="true"/>
      <sz val="16"/>
      <color rgb="FFFFFFFF"/>
      <name val="Arial"/>
      <family val="0"/>
      <charset val="1"/>
    </font>
    <font>
      <b val="true"/>
      <sz val="10"/>
      <color rgb="FFFFFFFF"/>
      <name val="Arial"/>
      <family val="0"/>
      <charset val="1"/>
    </font>
    <font>
      <b val="true"/>
      <sz val="20"/>
      <color rgb="FFFFFFFF"/>
      <name val="Arial"/>
      <family val="0"/>
      <charset val="1"/>
    </font>
    <font>
      <b val="true"/>
      <sz val="11"/>
      <color rgb="FFDDBBFF"/>
      <name val="Arial"/>
      <family val="0"/>
      <charset val="1"/>
    </font>
    <font>
      <b val="true"/>
      <sz val="18"/>
      <color rgb="FF000000"/>
      <name val="Calibri"/>
      <family val="2"/>
    </font>
    <font>
      <sz val="10"/>
      <color rgb="FF000000"/>
      <name val="Calibri"/>
      <family val="2"/>
    </font>
    <font>
      <b val="true"/>
      <sz val="18"/>
      <color rgb="FFFFFFFF"/>
      <name val="Calibri"/>
      <family val="0"/>
      <charset val="1"/>
    </font>
    <font>
      <b val="true"/>
      <sz val="12"/>
      <color rgb="FF1F3864"/>
      <name val="Calibri"/>
      <family val="0"/>
      <charset val="1"/>
    </font>
    <font>
      <b val="true"/>
      <sz val="10"/>
      <color rgb="FF000000"/>
      <name val="Calibri"/>
      <family val="2"/>
    </font>
    <font>
      <sz val="8"/>
      <color rgb="FFFFFFFF"/>
      <name val="Cambria"/>
      <family val="0"/>
      <charset val="1"/>
    </font>
    <font>
      <sz val="10"/>
      <color rgb="FF111111"/>
      <name val="Arial"/>
      <family val="2"/>
      <charset val="1"/>
    </font>
    <font>
      <b val="true"/>
      <sz val="11"/>
      <color theme="1"/>
      <name val="Calibri"/>
      <family val="2"/>
      <charset val="1"/>
    </font>
    <font>
      <sz val="10"/>
      <name val="Arial"/>
      <family val="2"/>
    </font>
    <font>
      <b val="true"/>
      <sz val="13"/>
      <color rgb="FFFFFFFF"/>
      <name val="Arial"/>
      <family val="0"/>
      <charset val="1"/>
    </font>
    <font>
      <sz val="9"/>
      <color rgb="FFAAAAAA"/>
      <name val="Arial"/>
      <family val="0"/>
      <charset val="1"/>
    </font>
    <font>
      <sz val="9"/>
      <color rgb="FF111111"/>
      <name val="Arial"/>
      <family val="0"/>
      <charset val="1"/>
    </font>
    <font>
      <b val="true"/>
      <sz val="9"/>
      <color rgb="FF1F3864"/>
      <name val="Arial"/>
      <family val="0"/>
      <charset val="1"/>
    </font>
    <font>
      <b val="true"/>
      <sz val="11"/>
      <color rgb="FFD4A017"/>
      <name val="Arial"/>
      <family val="0"/>
      <charset val="1"/>
    </font>
    <font>
      <b val="true"/>
      <sz val="9"/>
      <color rgb="FF111111"/>
      <name val="Arial"/>
      <family val="0"/>
      <charset val="1"/>
    </font>
    <font>
      <i val="true"/>
      <sz val="9"/>
      <color rgb="FF475569"/>
      <name val="Arial"/>
      <family val="0"/>
      <charset val="1"/>
    </font>
    <font>
      <sz val="10"/>
      <color rgb="FF1F3864"/>
      <name val="Arial"/>
      <family val="0"/>
      <charset val="1"/>
    </font>
    <font>
      <sz val="9"/>
      <color rgb="FF7C2D12"/>
      <name val="Consolas"/>
      <family val="0"/>
      <charset val="1"/>
    </font>
    <font>
      <i val="true"/>
      <sz val="9"/>
      <color rgb="FFCBD5E1"/>
      <name val="Arial"/>
      <family val="0"/>
      <charset val="1"/>
    </font>
    <font>
      <sz val="8"/>
      <color rgb="FF7C2D12"/>
      <name val="Consolas"/>
      <family val="0"/>
      <charset val="1"/>
    </font>
    <font>
      <i val="true"/>
      <sz val="9"/>
      <color rgb="FF991B1B"/>
      <name val="Arial"/>
      <family val="0"/>
      <charset val="1"/>
    </font>
    <font>
      <b val="true"/>
      <sz val="9"/>
      <color rgb="FF64748B"/>
      <name val="Arial"/>
      <family val="0"/>
      <charset val="1"/>
    </font>
    <font>
      <sz val="9"/>
      <color rgb="FF64748B"/>
      <name val="Arial"/>
      <family val="0"/>
      <charset val="1"/>
    </font>
    <font>
      <b val="true"/>
      <sz val="14"/>
      <color rgb="FF1F3864"/>
      <name val="Arial"/>
      <family val="0"/>
      <charset val="1"/>
    </font>
    <font>
      <i val="true"/>
      <sz val="8"/>
      <color rgb="FF64748B"/>
      <name val="Arial"/>
      <family val="0"/>
      <charset val="1"/>
    </font>
    <font>
      <b val="true"/>
      <sz val="12"/>
      <color rgb="FF1F3864"/>
      <name val="Arial"/>
      <family val="0"/>
      <charset val="1"/>
    </font>
    <font>
      <b val="true"/>
      <sz val="9"/>
      <color rgb="FF9A3412"/>
      <name val="Arial"/>
      <family val="0"/>
      <charset val="1"/>
    </font>
    <font>
      <b val="true"/>
      <sz val="9"/>
      <color rgb="FF166534"/>
      <name val="Arial"/>
      <family val="0"/>
      <charset val="1"/>
    </font>
    <font>
      <b val="true"/>
      <sz val="9"/>
      <color rgb="FF991B1B"/>
      <name val="Arial"/>
      <family val="0"/>
      <charset val="1"/>
    </font>
  </fonts>
  <fills count="34">
    <fill>
      <patternFill patternType="none"/>
    </fill>
    <fill>
      <patternFill patternType="gray125"/>
    </fill>
    <fill>
      <patternFill patternType="solid">
        <fgColor rgb="FF1F3864"/>
        <bgColor rgb="FF1E3A5F"/>
      </patternFill>
    </fill>
    <fill>
      <patternFill patternType="solid">
        <fgColor rgb="FF2E7D32"/>
        <bgColor rgb="FF166534"/>
      </patternFill>
    </fill>
    <fill>
      <patternFill patternType="solid">
        <fgColor rgb="FF1565C0"/>
        <bgColor rgb="FF1976D2"/>
      </patternFill>
    </fill>
    <fill>
      <patternFill patternType="solid">
        <fgColor rgb="FFF57C00"/>
        <bgColor rgb="FFD4A017"/>
      </patternFill>
    </fill>
    <fill>
      <patternFill patternType="solid">
        <fgColor rgb="FFF5F5F5"/>
        <bgColor rgb="FFF1F5F9"/>
      </patternFill>
    </fill>
    <fill>
      <patternFill patternType="solid">
        <fgColor rgb="FF7D3230"/>
        <bgColor rgb="FF7C2D12"/>
      </patternFill>
    </fill>
    <fill>
      <patternFill patternType="solid">
        <fgColor rgb="FF65C030"/>
        <bgColor rgb="FF97A136"/>
      </patternFill>
    </fill>
    <fill>
      <patternFill patternType="solid">
        <fgColor rgb="FF7C0030"/>
        <bgColor rgb="FF991B1B"/>
      </patternFill>
    </fill>
    <fill>
      <patternFill patternType="solid">
        <fgColor rgb="FFD60030"/>
        <bgColor rgb="FFC8102E"/>
      </patternFill>
    </fill>
    <fill>
      <patternFill patternType="solid">
        <fgColor rgb="FF97A136"/>
        <bgColor rgb="FFBDBD30"/>
      </patternFill>
    </fill>
    <fill>
      <patternFill patternType="solid">
        <fgColor rgb="FFBDBD30"/>
        <bgColor rgb="FFD4A017"/>
      </patternFill>
    </fill>
    <fill>
      <patternFill patternType="darkGray">
        <fgColor rgb="FF292C35"/>
        <bgColor rgb="FF1E273A"/>
      </patternFill>
    </fill>
    <fill>
      <patternFill patternType="solid">
        <fgColor rgb="FF1E273A"/>
        <bgColor rgb="FF292C35"/>
      </patternFill>
    </fill>
    <fill>
      <patternFill patternType="solid">
        <fgColor rgb="FFF1F5F9"/>
        <bgColor rgb="FFF5F5F5"/>
      </patternFill>
    </fill>
    <fill>
      <patternFill patternType="solid">
        <fgColor rgb="FFFEF3C7"/>
        <bgColor rgb="FFFFF3CD"/>
      </patternFill>
    </fill>
    <fill>
      <patternFill patternType="solid">
        <fgColor rgb="FFDBEAFE"/>
        <bgColor rgb="FFE0E7FF"/>
      </patternFill>
    </fill>
    <fill>
      <patternFill patternType="solid">
        <fgColor rgb="FFDCFCE7"/>
        <bgColor rgb="FFE8EDF4"/>
      </patternFill>
    </fill>
    <fill>
      <patternFill patternType="solid">
        <fgColor rgb="FFBBF9D0"/>
        <bgColor rgb="FFDCFCE7"/>
      </patternFill>
    </fill>
    <fill>
      <patternFill patternType="solid">
        <fgColor rgb="FFF8FAFC"/>
        <bgColor rgb="FFF5F5F5"/>
      </patternFill>
    </fill>
    <fill>
      <patternFill patternType="solid">
        <fgColor rgb="FFE8EDF4"/>
        <bgColor rgb="FFE0E7FF"/>
      </patternFill>
    </fill>
    <fill>
      <patternFill patternType="solid">
        <fgColor rgb="FF0D1117"/>
        <bgColor rgb="FF111111"/>
      </patternFill>
    </fill>
    <fill>
      <patternFill patternType="solid">
        <fgColor rgb="FFC8102E"/>
        <bgColor rgb="FFB71C1C"/>
      </patternFill>
    </fill>
    <fill>
      <patternFill patternType="solid">
        <fgColor rgb="FF166534"/>
        <bgColor rgb="FF2E7D32"/>
      </patternFill>
    </fill>
    <fill>
      <patternFill patternType="solid">
        <fgColor rgb="FF1E3A5F"/>
        <bgColor rgb="FF1F3864"/>
      </patternFill>
    </fill>
    <fill>
      <patternFill patternType="solid">
        <fgColor rgb="FF7C2D12"/>
        <bgColor rgb="FF7D3230"/>
      </patternFill>
    </fill>
    <fill>
      <patternFill patternType="solid">
        <fgColor rgb="FFFFF3CD"/>
        <bgColor rgb="FFFEF3C7"/>
      </patternFill>
    </fill>
    <fill>
      <patternFill patternType="solid">
        <fgColor rgb="FFFFF9C4"/>
        <bgColor rgb="FFFEF3C7"/>
      </patternFill>
    </fill>
    <fill>
      <patternFill patternType="solid">
        <fgColor rgb="FF4C1D95"/>
        <bgColor rgb="FF1F3864"/>
      </patternFill>
    </fill>
    <fill>
      <patternFill patternType="solid">
        <fgColor rgb="FFFFFF00"/>
        <bgColor rgb="FFFFD600"/>
      </patternFill>
    </fill>
    <fill>
      <patternFill patternType="solid">
        <fgColor rgb="FFFEE2E2"/>
        <bgColor rgb="FFFFF3CD"/>
      </patternFill>
    </fill>
    <fill>
      <patternFill patternType="solid">
        <fgColor rgb="FFE0E7FF"/>
        <bgColor rgb="FFDBEAFE"/>
      </patternFill>
    </fill>
    <fill>
      <patternFill patternType="solid">
        <fgColor rgb="FFFFFFFF"/>
        <bgColor rgb="FFF8FAFC"/>
      </patternFill>
    </fill>
  </fills>
  <borders count="7">
    <border diagonalUp="false" diagonalDown="false">
      <left/>
      <right/>
      <top/>
      <bottom/>
      <diagonal/>
    </border>
    <border diagonalUp="false" diagonalDown="false">
      <left style="thin">
        <color rgb="FFBDBEBB"/>
      </left>
      <right style="thin">
        <color rgb="FFBDBEBB"/>
      </right>
      <top style="thin">
        <color rgb="FFBDBEBB"/>
      </top>
      <bottom style="thin">
        <color rgb="FFBDBEBB"/>
      </bottom>
      <diagonal/>
    </border>
    <border diagonalUp="false" diagonalDown="false">
      <left/>
      <right/>
      <top/>
      <bottom style="medium">
        <color rgb="FF1F3864"/>
      </bottom>
      <diagonal/>
    </border>
    <border diagonalUp="false" diagonalDown="false">
      <left style="thin">
        <color rgb="FFAFA7A9"/>
      </left>
      <right style="thin">
        <color rgb="FFAFA7A9"/>
      </right>
      <top style="thin">
        <color rgb="FFAFA7A9"/>
      </top>
      <bottom style="thin">
        <color rgb="FFAFA7A9"/>
      </bottom>
      <diagonal/>
    </border>
    <border diagonalUp="false" diagonalDown="false">
      <left style="thin">
        <color rgb="FFCBD5E5"/>
      </left>
      <right style="thin">
        <color rgb="FFCBD5E5"/>
      </right>
      <top style="thin">
        <color rgb="FFCBD5E5"/>
      </top>
      <bottom style="thin">
        <color rgb="FFCBD5E5"/>
      </bottom>
      <diagonal/>
    </border>
    <border diagonalUp="false" diagonalDown="false">
      <left style="thin"/>
      <right style="thin"/>
      <top style="thin"/>
      <bottom style="thin"/>
      <diagonal/>
    </border>
    <border diagonalUp="false" diagonalDown="false">
      <left style="thin">
        <color rgb="FFCBD5E5"/>
      </left>
      <right/>
      <top style="thin">
        <color rgb="FFCBD5E5"/>
      </top>
      <bottom style="thin">
        <color rgb="FFCBD5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5" fontId="8"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left" vertical="bottom" textRotation="0" wrapText="false" indent="1"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7" fontId="13" fillId="0" borderId="1" xfId="0" applyFont="true" applyBorder="true" applyAlignment="true" applyProtection="false">
      <alignment horizontal="right" vertical="bottom" textRotation="0" wrapText="false" indent="1" shrinkToFit="false"/>
      <protection locked="true" hidden="false"/>
    </xf>
    <xf numFmtId="164" fontId="13" fillId="0" borderId="1" xfId="0" applyFont="true" applyBorder="true" applyAlignment="true" applyProtection="false">
      <alignment horizontal="left" vertical="bottom" textRotation="0" wrapText="true" indent="1" shrinkToFit="false"/>
      <protection locked="true" hidden="false"/>
    </xf>
    <xf numFmtId="164" fontId="12" fillId="2" borderId="0" xfId="0" applyFont="true" applyBorder="true" applyAlignment="true" applyProtection="false">
      <alignment horizontal="center"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64" fontId="14" fillId="7" borderId="1" xfId="0" applyFont="tru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right" vertical="bottom" textRotation="0" wrapText="false" indent="0" shrinkToFit="false"/>
      <protection locked="true" hidden="false"/>
    </xf>
    <xf numFmtId="169" fontId="0" fillId="0" borderId="1" xfId="0" applyFont="false" applyBorder="true" applyAlignment="true" applyProtection="false">
      <alignment horizontal="center" vertical="bottom" textRotation="0" wrapText="false" indent="0" shrinkToFit="false"/>
      <protection locked="true" hidden="false"/>
    </xf>
    <xf numFmtId="164" fontId="14" fillId="8" borderId="1" xfId="0" applyFont="true" applyBorder="true" applyAlignment="true" applyProtection="false">
      <alignment horizontal="general" vertical="bottom" textRotation="0" wrapText="false" indent="0" shrinkToFit="false"/>
      <protection locked="true" hidden="false"/>
    </xf>
    <xf numFmtId="164" fontId="14" fillId="9" borderId="1" xfId="0" applyFont="true" applyBorder="true" applyAlignment="true" applyProtection="false">
      <alignment horizontal="general" vertical="bottom" textRotation="0" wrapText="false" indent="0" shrinkToFit="false"/>
      <protection locked="true" hidden="false"/>
    </xf>
    <xf numFmtId="164" fontId="14" fillId="10" borderId="1" xfId="0" applyFont="true" applyBorder="true" applyAlignment="true" applyProtection="false">
      <alignment horizontal="general" vertical="bottom" textRotation="0" wrapText="false" indent="0" shrinkToFit="false"/>
      <protection locked="true" hidden="false"/>
    </xf>
    <xf numFmtId="164" fontId="14" fillId="11" borderId="1" xfId="0" applyFont="true" applyBorder="true" applyAlignment="true" applyProtection="false">
      <alignment horizontal="general" vertical="bottom" textRotation="0" wrapText="false" indent="0" shrinkToFit="false"/>
      <protection locked="true" hidden="false"/>
    </xf>
    <xf numFmtId="164" fontId="14" fillId="12" borderId="1" xfId="0" applyFont="true" applyBorder="true" applyAlignment="true" applyProtection="false">
      <alignment horizontal="general" vertical="bottom" textRotation="0" wrapText="false" indent="0" shrinkToFit="false"/>
      <protection locked="true" hidden="false"/>
    </xf>
    <xf numFmtId="164" fontId="14" fillId="13" borderId="1" xfId="0" applyFont="true" applyBorder="true" applyAlignment="true" applyProtection="false">
      <alignment horizontal="general" vertical="bottom" textRotation="0" wrapText="false" indent="0" shrinkToFit="false"/>
      <protection locked="true" hidden="false"/>
    </xf>
    <xf numFmtId="164" fontId="14" fillId="14" borderId="1" xfId="0" applyFont="true" applyBorder="true" applyAlignment="true" applyProtection="false">
      <alignment horizontal="general" vertical="bottom" textRotation="0" wrapText="false" indent="0" shrinkToFit="false"/>
      <protection locked="true" hidden="false"/>
    </xf>
    <xf numFmtId="164" fontId="0" fillId="15" borderId="1" xfId="0" applyFont="false" applyBorder="true" applyAlignment="true" applyProtection="false">
      <alignment horizontal="center" vertical="bottom" textRotation="0" wrapText="false" indent="0" shrinkToFit="false"/>
      <protection locked="true" hidden="false"/>
    </xf>
    <xf numFmtId="169" fontId="0" fillId="15" borderId="1" xfId="0" applyFont="false" applyBorder="true" applyAlignment="true" applyProtection="false">
      <alignment horizontal="center" vertical="bottom" textRotation="0" wrapText="false" indent="0" shrinkToFit="false"/>
      <protection locked="true" hidden="false"/>
    </xf>
    <xf numFmtId="167" fontId="0" fillId="15"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0" fillId="16" borderId="1" xfId="0" applyFont="false" applyBorder="true" applyAlignment="true" applyProtection="false">
      <alignment horizontal="center" vertical="bottom" textRotation="0" wrapText="false" indent="0" shrinkToFit="false"/>
      <protection locked="true" hidden="false"/>
    </xf>
    <xf numFmtId="169" fontId="0" fillId="16" borderId="1" xfId="0" applyFont="false" applyBorder="true" applyAlignment="true" applyProtection="false">
      <alignment horizontal="center" vertical="bottom" textRotation="0" wrapText="false" indent="0" shrinkToFit="false"/>
      <protection locked="true" hidden="false"/>
    </xf>
    <xf numFmtId="167" fontId="0" fillId="16" borderId="1" xfId="0" applyFont="false" applyBorder="true" applyAlignment="true" applyProtection="false">
      <alignment horizontal="center" vertical="bottom" textRotation="0" wrapText="false" indent="0" shrinkToFit="false"/>
      <protection locked="true" hidden="false"/>
    </xf>
    <xf numFmtId="164" fontId="0" fillId="17" borderId="1" xfId="0" applyFont="false" applyBorder="true" applyAlignment="true" applyProtection="false">
      <alignment horizontal="center" vertical="bottom" textRotation="0" wrapText="false" indent="0" shrinkToFit="false"/>
      <protection locked="true" hidden="false"/>
    </xf>
    <xf numFmtId="169" fontId="0" fillId="17" borderId="1" xfId="0" applyFont="false" applyBorder="true" applyAlignment="true" applyProtection="false">
      <alignment horizontal="center" vertical="bottom" textRotation="0" wrapText="false" indent="0" shrinkToFit="false"/>
      <protection locked="true" hidden="false"/>
    </xf>
    <xf numFmtId="167" fontId="0" fillId="17" borderId="1" xfId="0" applyFont="false" applyBorder="true" applyAlignment="true" applyProtection="false">
      <alignment horizontal="center" vertical="bottom" textRotation="0" wrapText="false" indent="0" shrinkToFit="false"/>
      <protection locked="true" hidden="false"/>
    </xf>
    <xf numFmtId="164" fontId="0" fillId="18" borderId="1" xfId="0" applyFont="false" applyBorder="true" applyAlignment="true" applyProtection="false">
      <alignment horizontal="center" vertical="bottom" textRotation="0" wrapText="false" indent="0" shrinkToFit="false"/>
      <protection locked="true" hidden="false"/>
    </xf>
    <xf numFmtId="169" fontId="0" fillId="18" borderId="1" xfId="0" applyFont="false" applyBorder="true" applyAlignment="true" applyProtection="false">
      <alignment horizontal="center" vertical="bottom" textRotation="0" wrapText="false" indent="0" shrinkToFit="false"/>
      <protection locked="true" hidden="false"/>
    </xf>
    <xf numFmtId="167" fontId="0" fillId="18" borderId="1" xfId="0" applyFont="false" applyBorder="true" applyAlignment="true" applyProtection="false">
      <alignment horizontal="center" vertical="bottom" textRotation="0" wrapText="false" indent="0" shrinkToFit="false"/>
      <protection locked="true" hidden="false"/>
    </xf>
    <xf numFmtId="164" fontId="0" fillId="19" borderId="1" xfId="0" applyFont="false" applyBorder="true" applyAlignment="true" applyProtection="false">
      <alignment horizontal="center" vertical="bottom" textRotation="0" wrapText="false" indent="0" shrinkToFit="false"/>
      <protection locked="true" hidden="false"/>
    </xf>
    <xf numFmtId="169" fontId="0" fillId="19" borderId="1" xfId="0" applyFont="false" applyBorder="true" applyAlignment="true" applyProtection="false">
      <alignment horizontal="center" vertical="bottom" textRotation="0" wrapText="false" indent="0" shrinkToFit="false"/>
      <protection locked="true" hidden="false"/>
    </xf>
    <xf numFmtId="167" fontId="0" fillId="19" borderId="1" xfId="0" applyFont="fals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7" fontId="7" fillId="2"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0" fillId="20" borderId="1" xfId="0" applyFont="true" applyBorder="true" applyAlignment="true" applyProtection="false">
      <alignment horizontal="left" vertical="center" textRotation="0" wrapText="false" indent="0" shrinkToFit="false"/>
      <protection locked="true" hidden="false"/>
    </xf>
    <xf numFmtId="167" fontId="0" fillId="20" borderId="1" xfId="0" applyFont="false" applyBorder="true" applyAlignment="true" applyProtection="false">
      <alignment horizontal="center" vertical="bottom" textRotation="0" wrapText="false" indent="0" shrinkToFit="false"/>
      <protection locked="true" hidden="false"/>
    </xf>
    <xf numFmtId="168" fontId="0" fillId="20" borderId="1" xfId="0" applyFont="false" applyBorder="true" applyAlignment="true" applyProtection="false">
      <alignment horizontal="center" vertical="bottom" textRotation="0" wrapText="false" indent="0" shrinkToFit="false"/>
      <protection locked="true" hidden="false"/>
    </xf>
    <xf numFmtId="164" fontId="0" fillId="18" borderId="1" xfId="0" applyFont="true" applyBorder="true" applyAlignment="true" applyProtection="false">
      <alignment horizontal="left" vertical="center" textRotation="0" wrapText="false" indent="0" shrinkToFit="false"/>
      <protection locked="true" hidden="false"/>
    </xf>
    <xf numFmtId="170" fontId="0" fillId="18" borderId="1" xfId="0" applyFont="false" applyBorder="true" applyAlignment="true" applyProtection="false">
      <alignment horizontal="center" vertical="bottom" textRotation="0" wrapText="false" indent="0" shrinkToFit="false"/>
      <protection locked="true" hidden="false"/>
    </xf>
    <xf numFmtId="168" fontId="0" fillId="18"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4" fontId="7" fillId="2" borderId="3" xfId="0" applyFont="true" applyBorder="true" applyAlignment="true" applyProtection="false">
      <alignment horizontal="center" vertical="bottom" textRotation="0" wrapText="false" indent="0" shrinkToFit="false"/>
      <protection locked="true" hidden="false"/>
    </xf>
    <xf numFmtId="164" fontId="19" fillId="0" borderId="3" xfId="0" applyFont="true" applyBorder="true" applyAlignment="true" applyProtection="false">
      <alignment horizontal="left" vertical="center" textRotation="0" wrapText="false" indent="1" shrinkToFit="false"/>
      <protection locked="true" hidden="false"/>
    </xf>
    <xf numFmtId="165" fontId="0" fillId="0" borderId="3" xfId="0" applyFont="false" applyBorder="true" applyAlignment="true" applyProtection="false">
      <alignment horizontal="center" vertical="center" textRotation="0" wrapText="false" indent="0" shrinkToFit="false"/>
      <protection locked="true" hidden="false"/>
    </xf>
    <xf numFmtId="171" fontId="0" fillId="0" borderId="3" xfId="0" applyFont="false" applyBorder="true" applyAlignment="true" applyProtection="false">
      <alignment horizontal="center" vertical="center" textRotation="0" wrapText="false" indent="0" shrinkToFit="false"/>
      <protection locked="true" hidden="false"/>
    </xf>
    <xf numFmtId="170" fontId="0" fillId="0" borderId="3" xfId="0" applyFont="false" applyBorder="true" applyAlignment="true" applyProtection="false">
      <alignment horizontal="center" vertical="center" textRotation="0" wrapText="false" indent="0" shrinkToFit="false"/>
      <protection locked="true" hidden="false"/>
    </xf>
    <xf numFmtId="164" fontId="20" fillId="21" borderId="3" xfId="0" applyFont="true" applyBorder="true" applyAlignment="true" applyProtection="false">
      <alignment horizontal="left" vertical="center" textRotation="0" wrapText="false" indent="1" shrinkToFit="false"/>
      <protection locked="true" hidden="false"/>
    </xf>
    <xf numFmtId="165" fontId="20" fillId="21" borderId="3" xfId="0" applyFont="true" applyBorder="true" applyAlignment="true" applyProtection="false">
      <alignment horizontal="center" vertical="center" textRotation="0" wrapText="false" indent="0" shrinkToFit="false"/>
      <protection locked="true" hidden="false"/>
    </xf>
    <xf numFmtId="171" fontId="20" fillId="21" borderId="3" xfId="0" applyFont="true" applyBorder="true" applyAlignment="true" applyProtection="false">
      <alignment horizontal="center" vertical="center" textRotation="0" wrapText="false" indent="0" shrinkToFit="false"/>
      <protection locked="true" hidden="false"/>
    </xf>
    <xf numFmtId="170" fontId="20" fillId="21" borderId="3" xfId="0" applyFont="true" applyBorder="true" applyAlignment="true" applyProtection="false">
      <alignment horizontal="center" vertical="center" textRotation="0" wrapText="false" indent="0" shrinkToFit="false"/>
      <protection locked="true" hidden="false"/>
    </xf>
    <xf numFmtId="164" fontId="21" fillId="21" borderId="3" xfId="0" applyFont="true" applyBorder="true" applyAlignment="true" applyProtection="false">
      <alignment horizontal="left" vertical="center" textRotation="0" wrapText="false" indent="1" shrinkToFit="false"/>
      <protection locked="true" hidden="false"/>
    </xf>
    <xf numFmtId="170" fontId="0" fillId="0" borderId="0" xfId="0" applyFont="false" applyBorder="false" applyAlignment="true" applyProtection="false">
      <alignment horizontal="right" vertical="bottom" textRotation="0" wrapText="false" indent="1"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left" vertical="bottom" textRotation="0" wrapText="false" indent="1" shrinkToFit="false"/>
      <protection locked="true" hidden="false"/>
    </xf>
    <xf numFmtId="165" fontId="0" fillId="0" borderId="3" xfId="0" applyFont="false" applyBorder="true" applyAlignment="true" applyProtection="false">
      <alignment horizontal="right" vertical="bottom" textRotation="0" wrapText="false" indent="1" shrinkToFit="false"/>
      <protection locked="true" hidden="false"/>
    </xf>
    <xf numFmtId="168" fontId="0" fillId="0" borderId="3" xfId="0" applyFont="false" applyBorder="true" applyAlignment="true" applyProtection="false">
      <alignment horizontal="center" vertical="bottom" textRotation="0" wrapText="false" indent="0" shrinkToFit="false"/>
      <protection locked="true" hidden="false"/>
    </xf>
    <xf numFmtId="169" fontId="0" fillId="0" borderId="3" xfId="0" applyFont="false" applyBorder="true" applyAlignment="true" applyProtection="false">
      <alignment horizontal="center" vertical="bottom" textRotation="0" wrapText="false" indent="0" shrinkToFit="false"/>
      <protection locked="true" hidden="false"/>
    </xf>
    <xf numFmtId="166" fontId="0" fillId="0" borderId="3" xfId="0" applyFont="fals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22" fillId="15" borderId="4" xfId="0" applyFont="true" applyBorder="true" applyAlignment="true" applyProtection="false">
      <alignment horizontal="center" vertical="center" textRotation="0" wrapText="false" indent="0" shrinkToFit="false"/>
      <protection locked="true" hidden="false"/>
    </xf>
    <xf numFmtId="169" fontId="22" fillId="15" borderId="4" xfId="0" applyFont="true" applyBorder="true" applyAlignment="true" applyProtection="false">
      <alignment horizontal="center" vertical="center" textRotation="0" wrapText="false" indent="0" shrinkToFit="false"/>
      <protection locked="true" hidden="false"/>
    </xf>
    <xf numFmtId="168" fontId="22" fillId="15" borderId="4" xfId="0" applyFont="true" applyBorder="true" applyAlignment="true" applyProtection="false">
      <alignment horizontal="center" vertical="center" textRotation="0" wrapText="false" indent="0" shrinkToFit="false"/>
      <protection locked="true" hidden="false"/>
    </xf>
    <xf numFmtId="165" fontId="22" fillId="15" borderId="4" xfId="0" applyFont="true" applyBorder="true" applyAlignment="true" applyProtection="false">
      <alignment horizontal="center" vertical="center" textRotation="0" wrapText="false" indent="0" shrinkToFit="false"/>
      <protection locked="true" hidden="false"/>
    </xf>
    <xf numFmtId="164" fontId="22" fillId="16" borderId="4" xfId="0" applyFont="true" applyBorder="true" applyAlignment="true" applyProtection="false">
      <alignment horizontal="center" vertical="center" textRotation="0" wrapText="false" indent="0" shrinkToFit="false"/>
      <protection locked="true" hidden="false"/>
    </xf>
    <xf numFmtId="169" fontId="22" fillId="16" borderId="4" xfId="0" applyFont="true" applyBorder="true" applyAlignment="true" applyProtection="false">
      <alignment horizontal="center" vertical="center" textRotation="0" wrapText="false" indent="0" shrinkToFit="false"/>
      <protection locked="true" hidden="false"/>
    </xf>
    <xf numFmtId="168" fontId="22" fillId="16" borderId="4" xfId="0" applyFont="true" applyBorder="true" applyAlignment="true" applyProtection="false">
      <alignment horizontal="center" vertical="center" textRotation="0" wrapText="false" indent="0" shrinkToFit="false"/>
      <protection locked="true" hidden="false"/>
    </xf>
    <xf numFmtId="165" fontId="22" fillId="16" borderId="4" xfId="0" applyFont="true" applyBorder="true" applyAlignment="true" applyProtection="false">
      <alignment horizontal="center" vertical="center" textRotation="0" wrapText="false" indent="0" shrinkToFit="false"/>
      <protection locked="true" hidden="false"/>
    </xf>
    <xf numFmtId="164" fontId="22" fillId="17" borderId="4" xfId="0" applyFont="true" applyBorder="true" applyAlignment="true" applyProtection="false">
      <alignment horizontal="center" vertical="center" textRotation="0" wrapText="false" indent="0" shrinkToFit="false"/>
      <protection locked="true" hidden="false"/>
    </xf>
    <xf numFmtId="169" fontId="22" fillId="17" borderId="4" xfId="0" applyFont="true" applyBorder="true" applyAlignment="true" applyProtection="false">
      <alignment horizontal="center" vertical="center" textRotation="0" wrapText="false" indent="0" shrinkToFit="false"/>
      <protection locked="true" hidden="false"/>
    </xf>
    <xf numFmtId="168" fontId="22" fillId="17" borderId="4" xfId="0" applyFont="true" applyBorder="true" applyAlignment="true" applyProtection="false">
      <alignment horizontal="center" vertical="center" textRotation="0" wrapText="false" indent="0" shrinkToFit="false"/>
      <protection locked="true" hidden="false"/>
    </xf>
    <xf numFmtId="165" fontId="22" fillId="17" borderId="4" xfId="0" applyFont="true" applyBorder="true" applyAlignment="true" applyProtection="false">
      <alignment horizontal="center" vertical="center" textRotation="0" wrapText="false" indent="0" shrinkToFit="false"/>
      <protection locked="true" hidden="false"/>
    </xf>
    <xf numFmtId="164" fontId="22" fillId="18" borderId="4" xfId="0" applyFont="true" applyBorder="true" applyAlignment="true" applyProtection="false">
      <alignment horizontal="center" vertical="center" textRotation="0" wrapText="false" indent="0" shrinkToFit="false"/>
      <protection locked="true" hidden="false"/>
    </xf>
    <xf numFmtId="169" fontId="22" fillId="18" borderId="4" xfId="0" applyFont="true" applyBorder="true" applyAlignment="true" applyProtection="false">
      <alignment horizontal="center" vertical="center" textRotation="0" wrapText="false" indent="0" shrinkToFit="false"/>
      <protection locked="true" hidden="false"/>
    </xf>
    <xf numFmtId="168" fontId="22" fillId="18" borderId="4" xfId="0" applyFont="true" applyBorder="true" applyAlignment="true" applyProtection="false">
      <alignment horizontal="center" vertical="center" textRotation="0" wrapText="false" indent="0" shrinkToFit="false"/>
      <protection locked="true" hidden="false"/>
    </xf>
    <xf numFmtId="165" fontId="22" fillId="18" borderId="4" xfId="0" applyFont="true" applyBorder="true" applyAlignment="true" applyProtection="false">
      <alignment horizontal="center" vertical="center" textRotation="0" wrapText="false" indent="0" shrinkToFit="false"/>
      <protection locked="true" hidden="false"/>
    </xf>
    <xf numFmtId="164" fontId="22" fillId="19" borderId="4" xfId="0" applyFont="true" applyBorder="true" applyAlignment="true" applyProtection="false">
      <alignment horizontal="center" vertical="center" textRotation="0" wrapText="false" indent="0" shrinkToFit="false"/>
      <protection locked="true" hidden="false"/>
    </xf>
    <xf numFmtId="169" fontId="22" fillId="19" borderId="4" xfId="0" applyFont="true" applyBorder="true" applyAlignment="true" applyProtection="false">
      <alignment horizontal="center" vertical="center" textRotation="0" wrapText="false" indent="0" shrinkToFit="false"/>
      <protection locked="true" hidden="false"/>
    </xf>
    <xf numFmtId="168" fontId="22" fillId="19" borderId="4" xfId="0" applyFont="true" applyBorder="true" applyAlignment="true" applyProtection="false">
      <alignment horizontal="center" vertical="center" textRotation="0" wrapText="false" indent="0" shrinkToFit="false"/>
      <protection locked="true" hidden="false"/>
    </xf>
    <xf numFmtId="165" fontId="22" fillId="19" borderId="4" xfId="0" applyFont="true" applyBorder="true" applyAlignment="true" applyProtection="false">
      <alignment horizontal="center" vertical="center" textRotation="0" wrapText="false" indent="0" shrinkToFit="false"/>
      <protection locked="true" hidden="false"/>
    </xf>
    <xf numFmtId="164" fontId="23" fillId="2" borderId="4" xfId="0" applyFont="true" applyBorder="true" applyAlignment="true" applyProtection="false">
      <alignment horizontal="left" vertical="center" textRotation="0" wrapText="false" indent="1" shrinkToFit="false"/>
      <protection locked="true" hidden="false"/>
    </xf>
    <xf numFmtId="169" fontId="23" fillId="2" borderId="4" xfId="0" applyFont="true" applyBorder="true" applyAlignment="true" applyProtection="false">
      <alignment horizontal="center" vertical="center" textRotation="0" wrapText="false" indent="0" shrinkToFit="false"/>
      <protection locked="true" hidden="false"/>
    </xf>
    <xf numFmtId="168" fontId="23" fillId="2" borderId="4" xfId="0" applyFont="true" applyBorder="true" applyAlignment="true" applyProtection="false">
      <alignment horizontal="center" vertical="center" textRotation="0" wrapText="false" indent="0" shrinkToFit="false"/>
      <protection locked="true" hidden="false"/>
    </xf>
    <xf numFmtId="165" fontId="23" fillId="2" borderId="4"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8" fontId="0" fillId="0" borderId="3" xfId="0" applyFont="false" applyBorder="true" applyAlignment="true" applyProtection="false">
      <alignment horizontal="right" vertical="bottom" textRotation="0" wrapText="false" indent="1"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5" fontId="0" fillId="0" borderId="3" xfId="0" applyFont="false" applyBorder="true" applyAlignment="true" applyProtection="false">
      <alignment horizontal="general" vertical="bottom" textRotation="0" wrapText="false" indent="0" shrinkToFit="false"/>
      <protection locked="true" hidden="false"/>
    </xf>
    <xf numFmtId="170" fontId="0" fillId="0" borderId="3" xfId="0" applyFont="false" applyBorder="true" applyAlignment="true" applyProtection="false">
      <alignment horizontal="right" vertical="bottom" textRotation="0" wrapText="false" indent="1" shrinkToFit="false"/>
      <protection locked="true" hidden="false"/>
    </xf>
    <xf numFmtId="164" fontId="23" fillId="2" borderId="4" xfId="0" applyFont="true" applyBorder="true" applyAlignment="true" applyProtection="false">
      <alignment horizontal="center" vertical="center" textRotation="0" wrapText="false" indent="0" shrinkToFit="false"/>
      <protection locked="true" hidden="false"/>
    </xf>
    <xf numFmtId="170" fontId="23" fillId="2" borderId="4" xfId="0" applyFont="true" applyBorder="true" applyAlignment="true" applyProtection="false">
      <alignment horizontal="center" vertical="center" textRotation="0" wrapText="false" indent="0" shrinkToFit="false"/>
      <protection locked="true" hidden="false"/>
    </xf>
    <xf numFmtId="164" fontId="25" fillId="22" borderId="0"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22" borderId="0" xfId="0" applyFont="true" applyBorder="true" applyAlignment="true" applyProtection="false">
      <alignment horizontal="center" vertical="center" textRotation="0" wrapText="false" indent="0" shrinkToFit="false"/>
      <protection locked="true" hidden="false"/>
    </xf>
    <xf numFmtId="164" fontId="0" fillId="23" borderId="0" xfId="0" applyFont="false" applyBorder="true" applyAlignment="true" applyProtection="false">
      <alignment horizontal="general" vertical="bottom" textRotation="0" wrapText="false" indent="0" shrinkToFit="false"/>
      <protection locked="true" hidden="false"/>
    </xf>
    <xf numFmtId="164" fontId="28" fillId="24" borderId="0" xfId="0" applyFont="true" applyBorder="true" applyAlignment="true" applyProtection="false">
      <alignment horizontal="center" vertical="center" textRotation="0" wrapText="false" indent="0" shrinkToFit="false"/>
      <protection locked="true" hidden="false"/>
    </xf>
    <xf numFmtId="164" fontId="28" fillId="25" borderId="0" xfId="0" applyFont="true" applyBorder="true" applyAlignment="true" applyProtection="false">
      <alignment horizontal="center" vertical="center" textRotation="0" wrapText="false" indent="0" shrinkToFit="false"/>
      <protection locked="true" hidden="false"/>
    </xf>
    <xf numFmtId="164" fontId="28" fillId="26" borderId="0" xfId="0" applyFont="true" applyBorder="true" applyAlignment="true" applyProtection="false">
      <alignment horizontal="center" vertical="center" textRotation="0" wrapText="false" indent="0" shrinkToFit="false"/>
      <protection locked="true" hidden="false"/>
    </xf>
    <xf numFmtId="167" fontId="29" fillId="24" borderId="0" xfId="0" applyFont="true" applyBorder="true" applyAlignment="true" applyProtection="false">
      <alignment horizontal="center" vertical="center" textRotation="0" wrapText="false" indent="0" shrinkToFit="false"/>
      <protection locked="true" hidden="false"/>
    </xf>
    <xf numFmtId="167" fontId="29" fillId="25" borderId="0" xfId="0" applyFont="true" applyBorder="true" applyAlignment="true" applyProtection="false">
      <alignment horizontal="center" vertical="center" textRotation="0" wrapText="false" indent="0" shrinkToFit="false"/>
      <protection locked="true" hidden="false"/>
    </xf>
    <xf numFmtId="167" fontId="29" fillId="26" borderId="0" xfId="0" applyFont="true" applyBorder="true" applyAlignment="true" applyProtection="false">
      <alignment horizontal="center" vertical="center" textRotation="0" wrapText="false" indent="0" shrinkToFit="false"/>
      <protection locked="true" hidden="false"/>
    </xf>
    <xf numFmtId="168" fontId="30" fillId="24" borderId="0" xfId="0" applyFont="true" applyBorder="true" applyAlignment="true" applyProtection="false">
      <alignment horizontal="center" vertical="center" textRotation="0" wrapText="false" indent="0" shrinkToFit="false"/>
      <protection locked="true" hidden="false"/>
    </xf>
    <xf numFmtId="168" fontId="31" fillId="25" borderId="0" xfId="0" applyFont="true" applyBorder="true" applyAlignment="true" applyProtection="false">
      <alignment horizontal="center" vertical="center" textRotation="0" wrapText="false" indent="0" shrinkToFit="false"/>
      <protection locked="true" hidden="false"/>
    </xf>
    <xf numFmtId="168" fontId="32" fillId="26" borderId="0" xfId="0" applyFont="true" applyBorder="true" applyAlignment="true" applyProtection="false">
      <alignment horizontal="center" vertical="center" textRotation="0" wrapText="false" indent="0" shrinkToFit="false"/>
      <protection locked="true" hidden="false"/>
    </xf>
    <xf numFmtId="164" fontId="33" fillId="22" borderId="0" xfId="0" applyFont="true" applyBorder="true" applyAlignment="true" applyProtection="false">
      <alignment horizontal="center" vertical="center" textRotation="0" wrapText="false" indent="0" shrinkToFit="false"/>
      <protection locked="true" hidden="false"/>
    </xf>
    <xf numFmtId="164" fontId="28" fillId="24" borderId="5" xfId="0" applyFont="true" applyBorder="true" applyAlignment="true" applyProtection="false">
      <alignment horizontal="left" vertical="center" textRotation="0" wrapText="false" indent="1" shrinkToFit="false"/>
      <protection locked="true" hidden="false"/>
    </xf>
    <xf numFmtId="164" fontId="34" fillId="14" borderId="5" xfId="0" applyFont="true" applyBorder="true" applyAlignment="true" applyProtection="false">
      <alignment horizontal="center" vertical="center" textRotation="0" wrapText="false" indent="0" shrinkToFit="false"/>
      <protection locked="true" hidden="false"/>
    </xf>
    <xf numFmtId="164" fontId="34" fillId="14" borderId="5" xfId="0" applyFont="true" applyBorder="true" applyAlignment="true" applyProtection="false">
      <alignment horizontal="center" vertical="center" textRotation="0" wrapText="true" indent="0" shrinkToFit="false"/>
      <protection locked="true" hidden="false"/>
    </xf>
    <xf numFmtId="172" fontId="35" fillId="18" borderId="5" xfId="0" applyFont="true" applyBorder="true" applyAlignment="true" applyProtection="false">
      <alignment horizontal="center" vertical="center" textRotation="0" wrapText="false" indent="0" shrinkToFit="false"/>
      <protection locked="true" hidden="false"/>
    </xf>
    <xf numFmtId="164" fontId="35" fillId="18" borderId="5" xfId="0" applyFont="true" applyBorder="true" applyAlignment="true" applyProtection="false">
      <alignment horizontal="left" vertical="center" textRotation="0" wrapText="true" indent="1" shrinkToFit="false"/>
      <protection locked="true" hidden="false"/>
    </xf>
    <xf numFmtId="164" fontId="35" fillId="18" borderId="5" xfId="0" applyFont="true" applyBorder="true" applyAlignment="true" applyProtection="false">
      <alignment horizontal="left" vertical="center" textRotation="0" wrapText="false" indent="1" shrinkToFit="false"/>
      <protection locked="true" hidden="false"/>
    </xf>
    <xf numFmtId="166" fontId="35" fillId="18" borderId="5" xfId="0" applyFont="true" applyBorder="true" applyAlignment="true" applyProtection="false">
      <alignment horizontal="center" vertical="center" textRotation="0" wrapText="false" indent="0" shrinkToFit="false"/>
      <protection locked="true" hidden="false"/>
    </xf>
    <xf numFmtId="167" fontId="35" fillId="18" borderId="5" xfId="0" applyFont="true" applyBorder="true" applyAlignment="true" applyProtection="false">
      <alignment horizontal="left" vertical="center" textRotation="0" wrapText="false" indent="1" shrinkToFit="false"/>
      <protection locked="true" hidden="false"/>
    </xf>
    <xf numFmtId="169" fontId="35" fillId="18" borderId="5" xfId="0" applyFont="true" applyBorder="true" applyAlignment="true" applyProtection="false">
      <alignment horizontal="left" vertical="center" textRotation="0" wrapText="false" indent="1" shrinkToFit="false"/>
      <protection locked="true" hidden="false"/>
    </xf>
    <xf numFmtId="164" fontId="28" fillId="25" borderId="5" xfId="0" applyFont="true" applyBorder="true" applyAlignment="true" applyProtection="false">
      <alignment horizontal="left" vertical="center" textRotation="0" wrapText="false" indent="1" shrinkToFit="false"/>
      <protection locked="true" hidden="false"/>
    </xf>
    <xf numFmtId="164" fontId="28" fillId="26" borderId="5" xfId="0" applyFont="true" applyBorder="true" applyAlignment="true" applyProtection="false">
      <alignment horizontal="left" vertical="center" textRotation="0" wrapText="false" indent="1" shrinkToFit="false"/>
      <protection locked="true" hidden="false"/>
    </xf>
    <xf numFmtId="164" fontId="28" fillId="22" borderId="5" xfId="0" applyFont="true" applyBorder="true" applyAlignment="true" applyProtection="false">
      <alignment horizontal="left" vertical="center" textRotation="0" wrapText="false" indent="1" shrinkToFit="false"/>
      <protection locked="true" hidden="false"/>
    </xf>
    <xf numFmtId="167" fontId="36" fillId="22" borderId="5" xfId="0" applyFont="true" applyBorder="true" applyAlignment="true" applyProtection="false">
      <alignment horizontal="right" vertical="center" textRotation="0" wrapText="false" indent="1" shrinkToFit="false"/>
      <protection locked="true" hidden="false"/>
    </xf>
    <xf numFmtId="164" fontId="0" fillId="22" borderId="5" xfId="0" applyFont="false" applyBorder="true" applyAlignment="true" applyProtection="false">
      <alignment horizontal="general" vertical="bottom" textRotation="0" wrapText="false" indent="0" shrinkToFit="false"/>
      <protection locked="true" hidden="false"/>
    </xf>
    <xf numFmtId="164" fontId="0" fillId="22" borderId="5" xfId="0" applyFont="false" applyBorder="true" applyAlignment="true" applyProtection="false">
      <alignment horizontal="general" vertical="top" textRotation="0" wrapText="true" indent="0" shrinkToFit="false"/>
      <protection locked="true" hidden="false"/>
    </xf>
    <xf numFmtId="164" fontId="37" fillId="20" borderId="0" xfId="0" applyFont="true" applyBorder="true" applyAlignment="true" applyProtection="false">
      <alignment horizontal="left" vertical="center" textRotation="0" wrapText="false" indent="2" shrinkToFit="false"/>
      <protection locked="true" hidden="false"/>
    </xf>
    <xf numFmtId="167" fontId="38" fillId="20" borderId="0" xfId="0" applyFont="true" applyBorder="false" applyAlignment="true" applyProtection="false">
      <alignment horizontal="right" vertical="center" textRotation="0" wrapText="false" indent="1" shrinkToFit="false"/>
      <protection locked="true" hidden="false"/>
    </xf>
    <xf numFmtId="164" fontId="0" fillId="20" borderId="0" xfId="0" applyFont="false" applyBorder="false" applyAlignment="true" applyProtection="false">
      <alignment horizontal="general" vertical="bottom" textRotation="0" wrapText="false" indent="0" shrinkToFit="false"/>
      <protection locked="true" hidden="false"/>
    </xf>
    <xf numFmtId="164" fontId="0" fillId="20" borderId="0" xfId="0" applyFont="false" applyBorder="false" applyAlignment="true" applyProtection="false">
      <alignment horizontal="general" vertical="top" textRotation="0" wrapText="true" indent="0" shrinkToFit="false"/>
      <protection locked="true" hidden="false"/>
    </xf>
    <xf numFmtId="167" fontId="39" fillId="20" borderId="0" xfId="0" applyFont="true" applyBorder="false" applyAlignment="true" applyProtection="false">
      <alignment horizontal="right" vertical="center" textRotation="0" wrapText="false" indent="1" shrinkToFit="false"/>
      <protection locked="true" hidden="false"/>
    </xf>
    <xf numFmtId="167" fontId="40" fillId="20" borderId="0" xfId="0" applyFont="true" applyBorder="false" applyAlignment="true" applyProtection="false">
      <alignment horizontal="right" vertical="center" textRotation="0" wrapText="false" indent="1"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28" fillId="24" borderId="4" xfId="0" applyFont="true" applyBorder="true" applyAlignment="true" applyProtection="false">
      <alignment horizontal="left" vertical="center" textRotation="0" wrapText="false" indent="0" shrinkToFit="false"/>
      <protection locked="true" hidden="false"/>
    </xf>
    <xf numFmtId="164" fontId="34" fillId="14" borderId="4" xfId="0" applyFont="true" applyBorder="true" applyAlignment="true" applyProtection="false">
      <alignment horizontal="center" vertical="center" textRotation="0" wrapText="false" indent="0" shrinkToFit="false"/>
      <protection locked="true" hidden="false"/>
    </xf>
    <xf numFmtId="164" fontId="34" fillId="14" borderId="4" xfId="0" applyFont="true" applyBorder="true" applyAlignment="true" applyProtection="false">
      <alignment horizontal="center" vertical="center" textRotation="0" wrapText="true" indent="0" shrinkToFit="false"/>
      <protection locked="true" hidden="false"/>
    </xf>
    <xf numFmtId="164" fontId="41" fillId="15" borderId="4" xfId="0" applyFont="true" applyBorder="true" applyAlignment="true" applyProtection="false">
      <alignment horizontal="left" vertical="center" textRotation="0" wrapText="false" indent="0" shrinkToFit="false"/>
      <protection locked="true" hidden="false"/>
    </xf>
    <xf numFmtId="169" fontId="41" fillId="15" borderId="4" xfId="0" applyFont="true" applyBorder="true" applyAlignment="true" applyProtection="false">
      <alignment horizontal="center" vertical="center" textRotation="0" wrapText="true" indent="0" shrinkToFit="false"/>
      <protection locked="true" hidden="false"/>
    </xf>
    <xf numFmtId="168" fontId="35" fillId="15" borderId="4" xfId="0" applyFont="true" applyBorder="true" applyAlignment="true" applyProtection="false">
      <alignment horizontal="center" vertical="center" textRotation="0" wrapText="false" indent="0" shrinkToFit="false"/>
      <protection locked="true" hidden="false"/>
    </xf>
    <xf numFmtId="167" fontId="35" fillId="15" borderId="4" xfId="0" applyFont="true" applyBorder="true" applyAlignment="true" applyProtection="false">
      <alignment horizontal="right" vertical="center" textRotation="0" wrapText="false" indent="1" shrinkToFit="false"/>
      <protection locked="true" hidden="false"/>
    </xf>
    <xf numFmtId="167" fontId="42" fillId="15" borderId="4" xfId="0" applyFont="true" applyBorder="true" applyAlignment="true" applyProtection="false">
      <alignment horizontal="right" vertical="center" textRotation="0" wrapText="false" indent="0" shrinkToFit="false"/>
      <protection locked="true" hidden="false"/>
    </xf>
    <xf numFmtId="170" fontId="35" fillId="15" borderId="4" xfId="0" applyFont="true" applyBorder="true" applyAlignment="true" applyProtection="false">
      <alignment horizontal="center" vertical="center" textRotation="0" wrapText="true" indent="0" shrinkToFit="false"/>
      <protection locked="true" hidden="false"/>
    </xf>
    <xf numFmtId="164" fontId="41" fillId="16" borderId="4" xfId="0" applyFont="true" applyBorder="true" applyAlignment="true" applyProtection="false">
      <alignment horizontal="left" vertical="center" textRotation="0" wrapText="false" indent="0" shrinkToFit="false"/>
      <protection locked="true" hidden="false"/>
    </xf>
    <xf numFmtId="169" fontId="41" fillId="16" borderId="4" xfId="0" applyFont="true" applyBorder="true" applyAlignment="true" applyProtection="false">
      <alignment horizontal="center" vertical="center" textRotation="0" wrapText="true" indent="0" shrinkToFit="false"/>
      <protection locked="true" hidden="false"/>
    </xf>
    <xf numFmtId="168" fontId="35" fillId="16" borderId="4" xfId="0" applyFont="true" applyBorder="true" applyAlignment="true" applyProtection="false">
      <alignment horizontal="center" vertical="center" textRotation="0" wrapText="false" indent="0" shrinkToFit="false"/>
      <protection locked="true" hidden="false"/>
    </xf>
    <xf numFmtId="167" fontId="35" fillId="16" borderId="4" xfId="0" applyFont="true" applyBorder="true" applyAlignment="true" applyProtection="false">
      <alignment horizontal="right" vertical="center" textRotation="0" wrapText="false" indent="1" shrinkToFit="false"/>
      <protection locked="true" hidden="false"/>
    </xf>
    <xf numFmtId="167" fontId="42" fillId="16" borderId="4" xfId="0" applyFont="true" applyBorder="true" applyAlignment="true" applyProtection="false">
      <alignment horizontal="right" vertical="center" textRotation="0" wrapText="false" indent="0" shrinkToFit="false"/>
      <protection locked="true" hidden="false"/>
    </xf>
    <xf numFmtId="170" fontId="35" fillId="16" borderId="4" xfId="0" applyFont="true" applyBorder="true" applyAlignment="true" applyProtection="false">
      <alignment horizontal="center" vertical="center" textRotation="0" wrapText="true" indent="0" shrinkToFit="false"/>
      <protection locked="true" hidden="false"/>
    </xf>
    <xf numFmtId="164" fontId="41" fillId="17" borderId="4" xfId="0" applyFont="true" applyBorder="true" applyAlignment="true" applyProtection="false">
      <alignment horizontal="left" vertical="center" textRotation="0" wrapText="false" indent="0" shrinkToFit="false"/>
      <protection locked="true" hidden="false"/>
    </xf>
    <xf numFmtId="169" fontId="41" fillId="17" borderId="4" xfId="0" applyFont="true" applyBorder="true" applyAlignment="true" applyProtection="false">
      <alignment horizontal="center" vertical="center" textRotation="0" wrapText="true" indent="0" shrinkToFit="false"/>
      <protection locked="true" hidden="false"/>
    </xf>
    <xf numFmtId="168" fontId="35" fillId="17" borderId="4" xfId="0" applyFont="true" applyBorder="true" applyAlignment="true" applyProtection="false">
      <alignment horizontal="center" vertical="center" textRotation="0" wrapText="false" indent="0" shrinkToFit="false"/>
      <protection locked="true" hidden="false"/>
    </xf>
    <xf numFmtId="167" fontId="35" fillId="17" borderId="4" xfId="0" applyFont="true" applyBorder="true" applyAlignment="true" applyProtection="false">
      <alignment horizontal="right" vertical="center" textRotation="0" wrapText="false" indent="1" shrinkToFit="false"/>
      <protection locked="true" hidden="false"/>
    </xf>
    <xf numFmtId="167" fontId="42" fillId="17" borderId="4" xfId="0" applyFont="true" applyBorder="true" applyAlignment="true" applyProtection="false">
      <alignment horizontal="right" vertical="center" textRotation="0" wrapText="false" indent="0" shrinkToFit="false"/>
      <protection locked="true" hidden="false"/>
    </xf>
    <xf numFmtId="170" fontId="35" fillId="17" borderId="4" xfId="0" applyFont="true" applyBorder="true" applyAlignment="true" applyProtection="false">
      <alignment horizontal="center" vertical="center" textRotation="0" wrapText="true" indent="0" shrinkToFit="false"/>
      <protection locked="true" hidden="false"/>
    </xf>
    <xf numFmtId="164" fontId="41" fillId="18" borderId="4" xfId="0" applyFont="true" applyBorder="true" applyAlignment="true" applyProtection="false">
      <alignment horizontal="left" vertical="center" textRotation="0" wrapText="false" indent="0" shrinkToFit="false"/>
      <protection locked="true" hidden="false"/>
    </xf>
    <xf numFmtId="169" fontId="41" fillId="18" borderId="4" xfId="0" applyFont="true" applyBorder="true" applyAlignment="true" applyProtection="false">
      <alignment horizontal="center" vertical="center" textRotation="0" wrapText="true" indent="0" shrinkToFit="false"/>
      <protection locked="true" hidden="false"/>
    </xf>
    <xf numFmtId="168" fontId="35" fillId="18" borderId="4" xfId="0" applyFont="true" applyBorder="true" applyAlignment="true" applyProtection="false">
      <alignment horizontal="center" vertical="center" textRotation="0" wrapText="false" indent="0" shrinkToFit="false"/>
      <protection locked="true" hidden="false"/>
    </xf>
    <xf numFmtId="167" fontId="35" fillId="18" borderId="4" xfId="0" applyFont="true" applyBorder="true" applyAlignment="true" applyProtection="false">
      <alignment horizontal="right" vertical="center" textRotation="0" wrapText="false" indent="1" shrinkToFit="false"/>
      <protection locked="true" hidden="false"/>
    </xf>
    <xf numFmtId="167" fontId="42" fillId="18" borderId="4" xfId="0" applyFont="true" applyBorder="true" applyAlignment="true" applyProtection="false">
      <alignment horizontal="right" vertical="center" textRotation="0" wrapText="false" indent="0" shrinkToFit="false"/>
      <protection locked="true" hidden="false"/>
    </xf>
    <xf numFmtId="170" fontId="35" fillId="18" borderId="4" xfId="0" applyFont="true" applyBorder="true" applyAlignment="true" applyProtection="false">
      <alignment horizontal="center" vertical="center" textRotation="0" wrapText="true" indent="0" shrinkToFit="false"/>
      <protection locked="true" hidden="false"/>
    </xf>
    <xf numFmtId="164" fontId="41" fillId="19" borderId="4" xfId="0" applyFont="true" applyBorder="true" applyAlignment="true" applyProtection="false">
      <alignment horizontal="left" vertical="center" textRotation="0" wrapText="false" indent="0" shrinkToFit="false"/>
      <protection locked="true" hidden="false"/>
    </xf>
    <xf numFmtId="169" fontId="41" fillId="19" borderId="4" xfId="0" applyFont="true" applyBorder="true" applyAlignment="true" applyProtection="false">
      <alignment horizontal="center" vertical="center" textRotation="0" wrapText="true" indent="0" shrinkToFit="false"/>
      <protection locked="true" hidden="false"/>
    </xf>
    <xf numFmtId="168" fontId="35" fillId="19" borderId="4" xfId="0" applyFont="true" applyBorder="true" applyAlignment="true" applyProtection="false">
      <alignment horizontal="center" vertical="center" textRotation="0" wrapText="false" indent="0" shrinkToFit="false"/>
      <protection locked="true" hidden="false"/>
    </xf>
    <xf numFmtId="167" fontId="35" fillId="19" borderId="4" xfId="0" applyFont="true" applyBorder="true" applyAlignment="true" applyProtection="false">
      <alignment horizontal="right" vertical="center" textRotation="0" wrapText="false" indent="1" shrinkToFit="false"/>
      <protection locked="true" hidden="false"/>
    </xf>
    <xf numFmtId="167" fontId="42" fillId="19" borderId="4" xfId="0" applyFont="true" applyBorder="true" applyAlignment="true" applyProtection="false">
      <alignment horizontal="right" vertical="center" textRotation="0" wrapText="false" indent="0" shrinkToFit="false"/>
      <protection locked="true" hidden="false"/>
    </xf>
    <xf numFmtId="170" fontId="35" fillId="19" borderId="4" xfId="0" applyFont="true" applyBorder="true" applyAlignment="true" applyProtection="false">
      <alignment horizontal="center" vertical="center" textRotation="0" wrapText="true" indent="0" shrinkToFit="false"/>
      <protection locked="true" hidden="false"/>
    </xf>
    <xf numFmtId="164" fontId="28" fillId="22" borderId="4" xfId="0" applyFont="true" applyBorder="true" applyAlignment="true" applyProtection="false">
      <alignment horizontal="left" vertical="center" textRotation="0" wrapText="false" indent="0" shrinkToFit="false"/>
      <protection locked="true" hidden="false"/>
    </xf>
    <xf numFmtId="164" fontId="35" fillId="22" borderId="4" xfId="0" applyFont="true" applyBorder="true" applyAlignment="true" applyProtection="false">
      <alignment horizontal="general" vertical="center" textRotation="0" wrapText="false" indent="0" shrinkToFit="false"/>
      <protection locked="true" hidden="false"/>
    </xf>
    <xf numFmtId="168" fontId="28" fillId="22" borderId="4" xfId="0" applyFont="true" applyBorder="true" applyAlignment="true" applyProtection="false">
      <alignment horizontal="center" vertical="center" textRotation="0" wrapText="false" indent="0" shrinkToFit="false"/>
      <protection locked="true" hidden="false"/>
    </xf>
    <xf numFmtId="167" fontId="43" fillId="22" borderId="4" xfId="0" applyFont="true" applyBorder="true" applyAlignment="true" applyProtection="false">
      <alignment horizontal="right" vertical="center" textRotation="0" wrapText="false" indent="1" shrinkToFit="false"/>
      <protection locked="true" hidden="false"/>
    </xf>
    <xf numFmtId="167" fontId="44" fillId="22" borderId="4" xfId="0" applyFont="true" applyBorder="true" applyAlignment="true" applyProtection="false">
      <alignment horizontal="right" vertical="center" textRotation="0" wrapText="false" indent="0" shrinkToFit="false"/>
      <protection locked="true" hidden="false"/>
    </xf>
    <xf numFmtId="170" fontId="28" fillId="22" borderId="4" xfId="0" applyFont="true" applyBorder="true" applyAlignment="true" applyProtection="false">
      <alignment horizontal="center" vertical="center" textRotation="0" wrapText="true" indent="0" shrinkToFit="false"/>
      <protection locked="true" hidden="false"/>
    </xf>
    <xf numFmtId="164" fontId="45" fillId="0" borderId="0" xfId="0" applyFont="true" applyBorder="true" applyAlignment="true" applyProtection="false">
      <alignment horizontal="left" vertical="center"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4" fontId="35" fillId="20" borderId="4" xfId="0" applyFont="true" applyBorder="true" applyAlignment="true" applyProtection="false">
      <alignment horizontal="left" vertical="center" textRotation="0" wrapText="false" indent="0" shrinkToFit="false"/>
      <protection locked="true" hidden="false"/>
    </xf>
    <xf numFmtId="167" fontId="47" fillId="20" borderId="4" xfId="0" applyFont="true" applyBorder="true" applyAlignment="true" applyProtection="false">
      <alignment horizontal="right" vertical="center" textRotation="0" wrapText="false" indent="1" shrinkToFit="false"/>
      <protection locked="true" hidden="false"/>
    </xf>
    <xf numFmtId="164" fontId="45" fillId="20" borderId="4" xfId="0" applyFont="true" applyBorder="true" applyAlignment="true" applyProtection="false">
      <alignment horizontal="left" vertical="center" textRotation="0" wrapText="false" indent="0" shrinkToFit="false"/>
      <protection locked="true" hidden="false"/>
    </xf>
    <xf numFmtId="164" fontId="35" fillId="27" borderId="4" xfId="0" applyFont="true" applyBorder="true" applyAlignment="true" applyProtection="false">
      <alignment horizontal="left" vertical="center" textRotation="0" wrapText="false" indent="0" shrinkToFit="false"/>
      <protection locked="true" hidden="false"/>
    </xf>
    <xf numFmtId="167" fontId="47" fillId="27" borderId="4" xfId="0" applyFont="true" applyBorder="true" applyAlignment="true" applyProtection="false">
      <alignment horizontal="right" vertical="center" textRotation="0" wrapText="false" indent="1" shrinkToFit="false"/>
      <protection locked="true" hidden="false"/>
    </xf>
    <xf numFmtId="164" fontId="45" fillId="27" borderId="4" xfId="0" applyFont="true" applyBorder="true" applyAlignment="true" applyProtection="false">
      <alignment horizontal="left" vertical="center" textRotation="0" wrapText="false" indent="0" shrinkToFit="false"/>
      <protection locked="true" hidden="false"/>
    </xf>
    <xf numFmtId="170" fontId="47" fillId="20" borderId="4" xfId="0" applyFont="true" applyBorder="true" applyAlignment="true" applyProtection="false">
      <alignment horizontal="right" vertical="center" textRotation="0" wrapText="false" indent="1" shrinkToFit="false"/>
      <protection locked="true" hidden="false"/>
    </xf>
    <xf numFmtId="168" fontId="47" fillId="20" borderId="4" xfId="0" applyFont="true" applyBorder="true" applyAlignment="true" applyProtection="false">
      <alignment horizontal="right" vertical="center" textRotation="0" wrapText="false" indent="1" shrinkToFit="false"/>
      <protection locked="true" hidden="false"/>
    </xf>
    <xf numFmtId="168" fontId="47" fillId="27" borderId="4" xfId="0" applyFont="true" applyBorder="true" applyAlignment="true" applyProtection="false">
      <alignment horizontal="right" vertical="center" textRotation="0" wrapText="false" indent="1" shrinkToFit="false"/>
      <protection locked="true" hidden="false"/>
    </xf>
    <xf numFmtId="164" fontId="41" fillId="20" borderId="4" xfId="0" applyFont="true" applyBorder="true" applyAlignment="true" applyProtection="false">
      <alignment horizontal="left" vertical="center" textRotation="0" wrapText="false" indent="0" shrinkToFit="false"/>
      <protection locked="true" hidden="false"/>
    </xf>
    <xf numFmtId="168" fontId="47" fillId="28" borderId="4" xfId="0" applyFont="true" applyBorder="true" applyAlignment="true" applyProtection="false">
      <alignment horizontal="center" vertical="center" textRotation="0" wrapText="true" indent="0" shrinkToFit="false"/>
      <protection locked="true" hidden="false"/>
    </xf>
    <xf numFmtId="164" fontId="35" fillId="20" borderId="4" xfId="0" applyFont="true" applyBorder="true" applyAlignment="true" applyProtection="false">
      <alignment horizontal="center" vertical="center" textRotation="0" wrapText="true" indent="0" shrinkToFit="false"/>
      <protection locked="true" hidden="false"/>
    </xf>
    <xf numFmtId="168" fontId="41" fillId="20" borderId="4" xfId="0" applyFont="true" applyBorder="true" applyAlignment="true" applyProtection="false">
      <alignment horizontal="center" vertical="center" textRotation="0" wrapText="false" indent="0" shrinkToFit="false"/>
      <protection locked="true" hidden="false"/>
    </xf>
    <xf numFmtId="167" fontId="41" fillId="20" borderId="4" xfId="0" applyFont="true" applyBorder="true" applyAlignment="true" applyProtection="false">
      <alignment horizontal="right" vertical="center" textRotation="0" wrapText="false" indent="1" shrinkToFit="false"/>
      <protection locked="true" hidden="false"/>
    </xf>
    <xf numFmtId="170" fontId="35" fillId="20" borderId="4" xfId="0" applyFont="true" applyBorder="true" applyAlignment="true" applyProtection="false">
      <alignment horizontal="center" vertical="center" textRotation="0" wrapText="false" indent="0" shrinkToFit="false"/>
      <protection locked="true" hidden="false"/>
    </xf>
    <xf numFmtId="164" fontId="35" fillId="27" borderId="4" xfId="0" applyFont="true" applyBorder="true" applyAlignment="true" applyProtection="false">
      <alignment horizontal="center" vertical="center" textRotation="0" wrapText="true" indent="0" shrinkToFit="false"/>
      <protection locked="true" hidden="false"/>
    </xf>
    <xf numFmtId="168" fontId="41" fillId="27" borderId="4" xfId="0" applyFont="true" applyBorder="true" applyAlignment="true" applyProtection="false">
      <alignment horizontal="center" vertical="center" textRotation="0" wrapText="false" indent="0" shrinkToFit="false"/>
      <protection locked="true" hidden="false"/>
    </xf>
    <xf numFmtId="167" fontId="41" fillId="27" borderId="4" xfId="0" applyFont="true" applyBorder="true" applyAlignment="true" applyProtection="false">
      <alignment horizontal="right" vertical="center" textRotation="0" wrapText="false" indent="1" shrinkToFit="false"/>
      <protection locked="true" hidden="false"/>
    </xf>
    <xf numFmtId="170" fontId="35" fillId="27" borderId="4" xfId="0" applyFont="true" applyBorder="true" applyAlignment="true" applyProtection="false">
      <alignment horizontal="center" vertical="center" textRotation="0" wrapText="false" indent="0" shrinkToFit="false"/>
      <protection locked="true" hidden="false"/>
    </xf>
    <xf numFmtId="167" fontId="48" fillId="22" borderId="4" xfId="0" applyFont="true" applyBorder="true" applyAlignment="true" applyProtection="false">
      <alignment horizontal="right" vertical="center" textRotation="0" wrapText="false" indent="1" shrinkToFit="false"/>
      <protection locked="true" hidden="false"/>
    </xf>
    <xf numFmtId="170" fontId="28" fillId="22" borderId="4" xfId="0" applyFont="true" applyBorder="true" applyAlignment="true" applyProtection="false">
      <alignment horizontal="center" vertical="center" textRotation="0" wrapText="false" indent="0" shrinkToFit="false"/>
      <protection locked="true" hidden="false"/>
    </xf>
    <xf numFmtId="164" fontId="46" fillId="0" borderId="0" xfId="0" applyFont="true" applyBorder="true" applyAlignment="true" applyProtection="false">
      <alignment horizontal="center" vertical="center"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4" fontId="49" fillId="22" borderId="0" xfId="0" applyFont="true" applyBorder="true" applyAlignment="true" applyProtection="false">
      <alignment horizontal="center" vertical="center" textRotation="0" wrapText="false" indent="0" shrinkToFit="false"/>
      <protection locked="true" hidden="false"/>
    </xf>
    <xf numFmtId="164" fontId="50" fillId="24" borderId="0" xfId="0" applyFont="true" applyBorder="true" applyAlignment="true" applyProtection="false">
      <alignment horizontal="center" vertical="center" textRotation="0" wrapText="false" indent="0" shrinkToFit="false"/>
      <protection locked="true" hidden="false"/>
    </xf>
    <xf numFmtId="164" fontId="50" fillId="25" borderId="0" xfId="0" applyFont="true" applyBorder="true" applyAlignment="true" applyProtection="false">
      <alignment horizontal="center" vertical="center" textRotation="0" wrapText="false" indent="0" shrinkToFit="false"/>
      <protection locked="true" hidden="false"/>
    </xf>
    <xf numFmtId="164" fontId="50" fillId="26" borderId="0" xfId="0" applyFont="true" applyBorder="true" applyAlignment="true" applyProtection="false">
      <alignment horizontal="center" vertical="center" textRotation="0" wrapText="false" indent="0" shrinkToFit="false"/>
      <protection locked="true" hidden="false"/>
    </xf>
    <xf numFmtId="164" fontId="50" fillId="29" borderId="0" xfId="0" applyFont="true" applyBorder="true" applyAlignment="true" applyProtection="false">
      <alignment horizontal="center" vertical="center" textRotation="0" wrapText="false" indent="0" shrinkToFit="false"/>
      <protection locked="true" hidden="false"/>
    </xf>
    <xf numFmtId="167" fontId="51" fillId="24" borderId="0" xfId="0" applyFont="true" applyBorder="true" applyAlignment="true" applyProtection="false">
      <alignment horizontal="center" vertical="center" textRotation="0" wrapText="false" indent="0" shrinkToFit="false"/>
      <protection locked="true" hidden="false"/>
    </xf>
    <xf numFmtId="167" fontId="51" fillId="25" borderId="0" xfId="0" applyFont="true" applyBorder="true" applyAlignment="true" applyProtection="false">
      <alignment horizontal="center" vertical="center" textRotation="0" wrapText="false" indent="0" shrinkToFit="false"/>
      <protection locked="true" hidden="false"/>
    </xf>
    <xf numFmtId="167" fontId="51" fillId="26" borderId="0" xfId="0" applyFont="true" applyBorder="true" applyAlignment="true" applyProtection="false">
      <alignment horizontal="center" vertical="center" textRotation="0" wrapText="false" indent="0" shrinkToFit="false"/>
      <protection locked="true" hidden="false"/>
    </xf>
    <xf numFmtId="167" fontId="51" fillId="29" borderId="0" xfId="0" applyFont="true" applyBorder="true" applyAlignment="true" applyProtection="false">
      <alignment horizontal="center" vertical="center" textRotation="0" wrapText="false" indent="0" shrinkToFit="false"/>
      <protection locked="true" hidden="false"/>
    </xf>
    <xf numFmtId="165" fontId="26" fillId="0" borderId="0" xfId="0" applyFont="true" applyBorder="false" applyAlignment="true" applyProtection="false">
      <alignment horizontal="general" vertical="bottom" textRotation="0" wrapText="false" indent="0" shrinkToFit="false"/>
      <protection locked="true" hidden="false"/>
    </xf>
    <xf numFmtId="168" fontId="52" fillId="29" borderId="0" xfId="0" applyFont="true" applyBorder="true" applyAlignment="true" applyProtection="false">
      <alignment horizontal="center" vertical="center" textRotation="0" wrapText="false" indent="0" shrinkToFit="false"/>
      <protection locked="true" hidden="false"/>
    </xf>
    <xf numFmtId="167" fontId="36" fillId="22" borderId="5" xfId="0" applyFont="true" applyBorder="true" applyAlignment="true" applyProtection="false">
      <alignment horizontal="right" vertical="center" textRotation="0" wrapText="true" indent="1" shrinkToFit="false"/>
      <protection locked="true" hidden="false"/>
    </xf>
    <xf numFmtId="173" fontId="0" fillId="22" borderId="5" xfId="0" applyFont="false" applyBorder="true" applyAlignment="true" applyProtection="false">
      <alignment horizontal="general" vertical="bottom" textRotation="0" wrapText="false" indent="0" shrinkToFit="false"/>
      <protection locked="true" hidden="false"/>
    </xf>
    <xf numFmtId="167" fontId="38" fillId="20" borderId="0" xfId="0" applyFont="true" applyBorder="false" applyAlignment="true" applyProtection="false">
      <alignment horizontal="right" vertical="center" textRotation="0" wrapText="true" indent="1" shrinkToFit="false"/>
      <protection locked="true" hidden="false"/>
    </xf>
    <xf numFmtId="173" fontId="0" fillId="20" borderId="0" xfId="0" applyFont="false" applyBorder="false" applyAlignment="true" applyProtection="false">
      <alignment horizontal="general" vertical="bottom" textRotation="0" wrapText="false" indent="0" shrinkToFit="false"/>
      <protection locked="true" hidden="false"/>
    </xf>
    <xf numFmtId="167" fontId="39" fillId="20" borderId="0" xfId="0" applyFont="true" applyBorder="false" applyAlignment="true" applyProtection="false">
      <alignment horizontal="right" vertical="center" textRotation="0" wrapText="true" indent="1" shrinkToFit="false"/>
      <protection locked="true" hidden="false"/>
    </xf>
    <xf numFmtId="167" fontId="40" fillId="20" borderId="0" xfId="0" applyFont="true" applyBorder="false" applyAlignment="true" applyProtection="false">
      <alignment horizontal="right" vertical="center" textRotation="0" wrapText="true" indent="1" shrinkToFit="false"/>
      <protection locked="true" hidden="false"/>
    </xf>
    <xf numFmtId="167" fontId="35" fillId="15" borderId="4" xfId="0" applyFont="true" applyBorder="true" applyAlignment="true" applyProtection="false">
      <alignment horizontal="right" vertical="center" textRotation="0" wrapText="true" indent="1" shrinkToFit="false"/>
      <protection locked="true" hidden="false"/>
    </xf>
    <xf numFmtId="170" fontId="35" fillId="15" borderId="4" xfId="0" applyFont="true" applyBorder="true" applyAlignment="true" applyProtection="false">
      <alignment horizontal="center" vertical="center" textRotation="0" wrapText="false" indent="0" shrinkToFit="false"/>
      <protection locked="true" hidden="false"/>
    </xf>
    <xf numFmtId="167" fontId="35" fillId="16" borderId="4" xfId="0" applyFont="true" applyBorder="true" applyAlignment="true" applyProtection="false">
      <alignment horizontal="right" vertical="center" textRotation="0" wrapText="true" indent="1" shrinkToFit="false"/>
      <protection locked="true" hidden="false"/>
    </xf>
    <xf numFmtId="170" fontId="35" fillId="16" borderId="4" xfId="0" applyFont="true" applyBorder="true" applyAlignment="true" applyProtection="false">
      <alignment horizontal="center" vertical="center" textRotation="0" wrapText="false" indent="0" shrinkToFit="false"/>
      <protection locked="true" hidden="false"/>
    </xf>
    <xf numFmtId="167" fontId="35" fillId="17" borderId="4" xfId="0" applyFont="true" applyBorder="true" applyAlignment="true" applyProtection="false">
      <alignment horizontal="right" vertical="center" textRotation="0" wrapText="true" indent="1" shrinkToFit="false"/>
      <protection locked="true" hidden="false"/>
    </xf>
    <xf numFmtId="170" fontId="35" fillId="17" borderId="4" xfId="0" applyFont="true" applyBorder="true" applyAlignment="true" applyProtection="false">
      <alignment horizontal="center" vertical="center" textRotation="0" wrapText="false" indent="0" shrinkToFit="false"/>
      <protection locked="true" hidden="false"/>
    </xf>
    <xf numFmtId="167" fontId="35" fillId="18" borderId="4" xfId="0" applyFont="true" applyBorder="true" applyAlignment="true" applyProtection="false">
      <alignment horizontal="right" vertical="center" textRotation="0" wrapText="true" indent="1" shrinkToFit="false"/>
      <protection locked="true" hidden="false"/>
    </xf>
    <xf numFmtId="170" fontId="35" fillId="18" borderId="4" xfId="0" applyFont="true" applyBorder="true" applyAlignment="true" applyProtection="false">
      <alignment horizontal="center" vertical="center" textRotation="0" wrapText="false" indent="0" shrinkToFit="false"/>
      <protection locked="true" hidden="false"/>
    </xf>
    <xf numFmtId="167" fontId="35" fillId="19" borderId="4" xfId="0" applyFont="true" applyBorder="true" applyAlignment="true" applyProtection="false">
      <alignment horizontal="right" vertical="center" textRotation="0" wrapText="true" indent="1" shrinkToFit="false"/>
      <protection locked="true" hidden="false"/>
    </xf>
    <xf numFmtId="170" fontId="35" fillId="19" borderId="4" xfId="0" applyFont="true" applyBorder="true" applyAlignment="true" applyProtection="false">
      <alignment horizontal="center" vertical="center" textRotation="0" wrapText="false" indent="0" shrinkToFit="false"/>
      <protection locked="true" hidden="false"/>
    </xf>
    <xf numFmtId="167" fontId="43" fillId="22" borderId="4" xfId="0" applyFont="true" applyBorder="true" applyAlignment="true" applyProtection="false">
      <alignment horizontal="right" vertical="center" textRotation="0" wrapText="true" indent="1" shrinkToFit="false"/>
      <protection locked="true" hidden="false"/>
    </xf>
    <xf numFmtId="167" fontId="41" fillId="20" borderId="4" xfId="0" applyFont="true" applyBorder="true" applyAlignment="true" applyProtection="false">
      <alignment horizontal="right" vertical="center" textRotation="0" wrapText="true" indent="1" shrinkToFit="false"/>
      <protection locked="true" hidden="false"/>
    </xf>
    <xf numFmtId="167" fontId="41" fillId="27" borderId="4" xfId="0" applyFont="true" applyBorder="true" applyAlignment="true" applyProtection="false">
      <alignment horizontal="right" vertical="center" textRotation="0" wrapText="true" indent="1" shrinkToFit="false"/>
      <protection locked="true" hidden="false"/>
    </xf>
    <xf numFmtId="167" fontId="48" fillId="22" borderId="4" xfId="0" applyFont="true" applyBorder="true" applyAlignment="true" applyProtection="false">
      <alignment horizontal="right" vertical="center" textRotation="0" wrapText="true" indent="1" shrinkToFit="false"/>
      <protection locked="true" hidden="false"/>
    </xf>
    <xf numFmtId="164" fontId="55" fillId="2" borderId="0" xfId="0" applyFont="true" applyBorder="true" applyAlignment="true" applyProtection="false">
      <alignment horizontal="center" vertical="center" textRotation="0" wrapText="false" indent="0" shrinkToFit="false"/>
      <protection locked="true" hidden="false"/>
    </xf>
    <xf numFmtId="164" fontId="56" fillId="0" borderId="0" xfId="0" applyFont="true" applyBorder="false" applyAlignment="true" applyProtection="false">
      <alignment horizontal="left" vertical="bottom" textRotation="0" wrapText="false" indent="1" shrinkToFit="false"/>
      <protection locked="true" hidden="false"/>
    </xf>
    <xf numFmtId="165" fontId="56" fillId="0" borderId="0" xfId="0" applyFont="true" applyBorder="false" applyAlignment="true" applyProtection="false">
      <alignment horizontal="left" vertical="bottom" textRotation="0" wrapText="false" indent="1" shrinkToFit="false"/>
      <protection locked="true" hidden="false"/>
    </xf>
    <xf numFmtId="164" fontId="43" fillId="22" borderId="0" xfId="0" applyFont="true" applyBorder="true" applyAlignment="true" applyProtection="false">
      <alignment horizontal="left" vertical="center" textRotation="0" wrapText="false" indent="1" shrinkToFit="false"/>
      <protection locked="true" hidden="false"/>
    </xf>
    <xf numFmtId="164" fontId="27" fillId="22" borderId="0" xfId="0" applyFont="true" applyBorder="true" applyAlignment="true" applyProtection="false">
      <alignment horizontal="left" vertical="center" textRotation="0" wrapText="false" indent="0" shrinkToFit="false"/>
      <protection locked="true" hidden="false"/>
    </xf>
    <xf numFmtId="164" fontId="34" fillId="24" borderId="0" xfId="0" applyFont="true" applyBorder="true" applyAlignment="true" applyProtection="false">
      <alignment horizontal="left" vertical="center" textRotation="0" wrapText="false" indent="1" shrinkToFit="false"/>
      <protection locked="true" hidden="false"/>
    </xf>
    <xf numFmtId="167" fontId="48" fillId="24" borderId="0" xfId="0" applyFont="true" applyBorder="true" applyAlignment="true" applyProtection="false">
      <alignment horizontal="right" vertical="center" textRotation="0" wrapText="false" indent="0" shrinkToFit="false"/>
      <protection locked="true" hidden="false"/>
    </xf>
    <xf numFmtId="164" fontId="34" fillId="25" borderId="0" xfId="0" applyFont="true" applyBorder="true" applyAlignment="true" applyProtection="false">
      <alignment horizontal="left" vertical="center" textRotation="0" wrapText="false" indent="1" shrinkToFit="false"/>
      <protection locked="true" hidden="false"/>
    </xf>
    <xf numFmtId="168" fontId="48" fillId="25" borderId="0" xfId="0" applyFont="true" applyBorder="true" applyAlignment="true" applyProtection="false">
      <alignment horizontal="right" vertical="center" textRotation="0" wrapText="false" indent="0" shrinkToFit="false"/>
      <protection locked="true" hidden="false"/>
    </xf>
    <xf numFmtId="173" fontId="34" fillId="25" borderId="0" xfId="0" applyFont="true" applyBorder="true" applyAlignment="true" applyProtection="false">
      <alignment horizontal="left" vertical="center" textRotation="0" wrapText="false" indent="1" shrinkToFit="false"/>
      <protection locked="true" hidden="false"/>
    </xf>
    <xf numFmtId="167" fontId="48" fillId="25" borderId="0" xfId="0" applyFont="true" applyBorder="true" applyAlignment="true" applyProtection="false">
      <alignment horizontal="right" vertical="center" textRotation="0" wrapText="false" indent="0" shrinkToFit="false"/>
      <protection locked="true" hidden="false"/>
    </xf>
    <xf numFmtId="164" fontId="34" fillId="26" borderId="0" xfId="0" applyFont="true" applyBorder="true" applyAlignment="true" applyProtection="false">
      <alignment horizontal="left" vertical="center" textRotation="0" wrapText="true" indent="1" shrinkToFit="false"/>
      <protection locked="true" hidden="false"/>
    </xf>
    <xf numFmtId="167" fontId="48" fillId="26" borderId="0" xfId="0" applyFont="true" applyBorder="true" applyAlignment="true" applyProtection="false">
      <alignment horizontal="right" vertical="center" textRotation="0" wrapText="false" indent="0" shrinkToFit="false"/>
      <protection locked="true" hidden="false"/>
    </xf>
    <xf numFmtId="174" fontId="34" fillId="14" borderId="5" xfId="0" applyFont="true" applyBorder="true" applyAlignment="true" applyProtection="false">
      <alignment horizontal="center" vertical="center" textRotation="0" wrapText="true" indent="0" shrinkToFit="false"/>
      <protection locked="true" hidden="false"/>
    </xf>
    <xf numFmtId="173" fontId="34" fillId="14" borderId="5" xfId="0" applyFont="true" applyBorder="true" applyAlignment="true" applyProtection="false">
      <alignment horizontal="center" vertical="center"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35" fillId="20" borderId="5" xfId="0" applyFont="true" applyBorder="true" applyAlignment="true" applyProtection="false">
      <alignment horizontal="center" vertical="center" textRotation="0" wrapText="false" indent="0" shrinkToFit="false"/>
      <protection locked="true" hidden="false"/>
    </xf>
    <xf numFmtId="164" fontId="35" fillId="20" borderId="5" xfId="0" applyFont="true" applyBorder="true" applyAlignment="true" applyProtection="false">
      <alignment horizontal="left" vertical="center" textRotation="0" wrapText="false" indent="1" shrinkToFit="false"/>
      <protection locked="true" hidden="false"/>
    </xf>
    <xf numFmtId="164" fontId="35" fillId="20" borderId="5" xfId="0" applyFont="true" applyBorder="true" applyAlignment="true" applyProtection="false">
      <alignment horizontal="left" vertical="center" textRotation="0" wrapText="true" indent="1" shrinkToFit="false"/>
      <protection locked="true" hidden="false"/>
    </xf>
    <xf numFmtId="167" fontId="35" fillId="20" borderId="5" xfId="0" applyFont="true" applyBorder="true" applyAlignment="true" applyProtection="false">
      <alignment horizontal="right" vertical="center" textRotation="0" wrapText="false" indent="1" shrinkToFit="false"/>
      <protection locked="true" hidden="false"/>
    </xf>
    <xf numFmtId="174" fontId="35" fillId="20" borderId="5" xfId="0" applyFont="true" applyBorder="true" applyAlignment="true" applyProtection="false">
      <alignment horizontal="center" vertical="center" textRotation="0" wrapText="false" indent="0" shrinkToFit="false"/>
      <protection locked="true" hidden="false"/>
    </xf>
    <xf numFmtId="166" fontId="35" fillId="28" borderId="5" xfId="0" applyFont="true" applyBorder="true" applyAlignment="true" applyProtection="false">
      <alignment horizontal="center" vertical="center" textRotation="0" wrapText="false" indent="0" shrinkToFit="false"/>
      <protection locked="true" hidden="false"/>
    </xf>
    <xf numFmtId="164" fontId="34" fillId="20" borderId="5" xfId="0" applyFont="true" applyBorder="true" applyAlignment="true" applyProtection="false">
      <alignment horizontal="center" vertical="center" textRotation="0" wrapText="false" indent="0" shrinkToFit="false"/>
      <protection locked="true" hidden="false"/>
    </xf>
    <xf numFmtId="169" fontId="35" fillId="20" borderId="5" xfId="0" applyFont="true" applyBorder="true" applyAlignment="true" applyProtection="false">
      <alignment horizontal="center" vertical="center" textRotation="0" wrapText="false" indent="0" shrinkToFit="false"/>
      <protection locked="true" hidden="false"/>
    </xf>
    <xf numFmtId="164" fontId="35" fillId="20" borderId="5" xfId="0" applyFont="true" applyBorder="true" applyAlignment="true" applyProtection="false">
      <alignment horizontal="left" vertical="center" textRotation="0" wrapText="false" indent="0" shrinkToFit="false"/>
      <protection locked="true" hidden="false"/>
    </xf>
    <xf numFmtId="166" fontId="35" fillId="20" borderId="5" xfId="0" applyFont="true" applyBorder="true" applyAlignment="true" applyProtection="false">
      <alignment horizontal="right" vertical="center"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35" fillId="20" borderId="5" xfId="0" applyFont="true" applyBorder="true" applyAlignment="true" applyProtection="false">
      <alignment horizontal="right" vertical="center" textRotation="0" wrapText="false" indent="0" shrinkToFit="false"/>
      <protection locked="true" hidden="false"/>
    </xf>
    <xf numFmtId="166" fontId="35" fillId="20" borderId="5" xfId="0" applyFont="true" applyBorder="true" applyAlignment="true" applyProtection="false">
      <alignment horizontal="center" vertical="center" textRotation="0" wrapText="false" indent="0" shrinkToFit="false"/>
      <protection locked="true" hidden="false"/>
    </xf>
    <xf numFmtId="167" fontId="35" fillId="30" borderId="5" xfId="0" applyFont="true" applyBorder="true" applyAlignment="true" applyProtection="false">
      <alignment horizontal="right" vertical="center" textRotation="0" wrapText="false" indent="1" shrinkToFit="false"/>
      <protection locked="true" hidden="false"/>
    </xf>
    <xf numFmtId="164" fontId="35" fillId="20" borderId="5" xfId="0" applyFont="true" applyBorder="true" applyAlignment="true" applyProtection="false">
      <alignment horizontal="right" vertical="center" textRotation="0" wrapText="false" indent="1" shrinkToFit="false"/>
      <protection locked="true" hidden="false"/>
    </xf>
    <xf numFmtId="167" fontId="35" fillId="20" borderId="5" xfId="0" applyFont="true" applyBorder="true" applyAlignment="true" applyProtection="false">
      <alignment horizontal="right" vertical="center" textRotation="0" wrapText="false" indent="0" shrinkToFit="false"/>
      <protection locked="true" hidden="false"/>
    </xf>
    <xf numFmtId="164" fontId="59" fillId="20" borderId="5" xfId="0" applyFont="true" applyBorder="true" applyAlignment="true" applyProtection="false">
      <alignment horizontal="left" vertical="center" textRotation="0" wrapText="true" indent="1" shrinkToFit="false"/>
      <protection locked="true" hidden="false"/>
    </xf>
    <xf numFmtId="164" fontId="59" fillId="20" borderId="5" xfId="0" applyFont="true" applyBorder="true" applyAlignment="true" applyProtection="false">
      <alignment horizontal="center" vertical="center" textRotation="0" wrapText="false" indent="0" shrinkToFit="false"/>
      <protection locked="true" hidden="false"/>
    </xf>
    <xf numFmtId="164" fontId="35" fillId="20" borderId="5" xfId="0" applyFont="true" applyBorder="true" applyAlignment="true" applyProtection="false">
      <alignment horizontal="left" vertical="center" textRotation="0" wrapText="true" indent="0" shrinkToFit="false"/>
      <protection locked="true" hidden="false"/>
    </xf>
    <xf numFmtId="164" fontId="59" fillId="20" borderId="5" xfId="0" applyFont="true" applyBorder="true" applyAlignment="true" applyProtection="false">
      <alignment horizontal="left" vertical="center" textRotation="0" wrapText="false" indent="1" shrinkToFit="false"/>
      <protection locked="true" hidden="false"/>
    </xf>
    <xf numFmtId="167" fontId="59" fillId="20" borderId="5" xfId="0" applyFont="true" applyBorder="true" applyAlignment="true" applyProtection="false">
      <alignment horizontal="right" vertical="center" textRotation="0" wrapText="false" indent="1" shrinkToFit="false"/>
      <protection locked="true" hidden="false"/>
    </xf>
    <xf numFmtId="174" fontId="59" fillId="20" borderId="5" xfId="0" applyFont="true" applyBorder="true" applyAlignment="true" applyProtection="false">
      <alignment horizontal="center" vertical="center" textRotation="0" wrapText="false" indent="0" shrinkToFit="false"/>
      <protection locked="true" hidden="false"/>
    </xf>
    <xf numFmtId="164" fontId="0" fillId="20" borderId="5" xfId="0" applyFont="false" applyBorder="true" applyAlignment="true" applyProtection="false">
      <alignment horizontal="general" vertical="center" textRotation="0" wrapText="true" indent="0" shrinkToFit="false"/>
      <protection locked="true" hidden="false"/>
    </xf>
    <xf numFmtId="164" fontId="35" fillId="20" borderId="0" xfId="0" applyFont="true" applyBorder="false" applyAlignment="true" applyProtection="false">
      <alignment horizontal="left" vertical="center" textRotation="0" wrapText="true" indent="1" shrinkToFit="false"/>
      <protection locked="true" hidden="false"/>
    </xf>
    <xf numFmtId="167" fontId="35" fillId="20" borderId="5" xfId="0" applyFont="true" applyBorder="true" applyAlignment="true" applyProtection="false">
      <alignment horizontal="left" vertical="center" textRotation="0" wrapText="true" indent="1" shrinkToFit="false"/>
      <protection locked="true" hidden="false"/>
    </xf>
    <xf numFmtId="167" fontId="60" fillId="0" borderId="0" xfId="0" applyFont="true" applyBorder="false" applyAlignment="true" applyProtection="false">
      <alignment horizontal="general" vertical="bottom" textRotation="0" wrapText="false" indent="0" shrinkToFit="false"/>
      <protection locked="true" hidden="false"/>
    </xf>
    <xf numFmtId="167" fontId="60" fillId="30" borderId="0" xfId="0" applyFont="true" applyBorder="false" applyAlignment="true" applyProtection="false">
      <alignment horizontal="general" vertical="bottom" textRotation="0" wrapText="false" indent="0" shrinkToFit="false"/>
      <protection locked="true" hidden="false"/>
    </xf>
    <xf numFmtId="164" fontId="62" fillId="22" borderId="0" xfId="0" applyFont="true" applyBorder="true" applyAlignment="true" applyProtection="false">
      <alignment horizontal="center" vertical="center" textRotation="0" wrapText="false" indent="0" shrinkToFit="false"/>
      <protection locked="true" hidden="false"/>
    </xf>
    <xf numFmtId="164" fontId="63" fillId="22" borderId="0" xfId="0" applyFont="true" applyBorder="true" applyAlignment="true" applyProtection="false">
      <alignment horizontal="left" vertical="center" textRotation="0" wrapText="true" indent="0" shrinkToFit="false"/>
      <protection locked="true" hidden="false"/>
    </xf>
    <xf numFmtId="164" fontId="28" fillId="24" borderId="0" xfId="0" applyFont="true" applyBorder="true" applyAlignment="true" applyProtection="false">
      <alignment horizontal="left" vertical="center" textRotation="0" wrapText="false" indent="0" shrinkToFit="false"/>
      <protection locked="true" hidden="false"/>
    </xf>
    <xf numFmtId="164" fontId="41" fillId="20" borderId="4" xfId="0" applyFont="true" applyBorder="true" applyAlignment="true" applyProtection="false">
      <alignment horizontal="left" vertical="center" textRotation="0" wrapText="true" indent="1" shrinkToFit="false"/>
      <protection locked="true" hidden="false"/>
    </xf>
    <xf numFmtId="164" fontId="64" fillId="20" borderId="4" xfId="0" applyFont="true" applyBorder="true" applyAlignment="true" applyProtection="false">
      <alignment horizontal="left" vertical="center" textRotation="0" wrapText="true" indent="0" shrinkToFit="false"/>
      <protection locked="true" hidden="false"/>
    </xf>
    <xf numFmtId="164" fontId="65" fillId="27" borderId="4" xfId="0" applyFont="true" applyBorder="true" applyAlignment="true" applyProtection="false">
      <alignment horizontal="left" vertical="center" textRotation="0" wrapText="true" indent="0" shrinkToFit="false"/>
      <protection locked="true" hidden="false"/>
    </xf>
    <xf numFmtId="164" fontId="35" fillId="20" borderId="4" xfId="0" applyFont="true" applyBorder="true" applyAlignment="true" applyProtection="false">
      <alignment horizontal="left" vertical="center" textRotation="0" wrapText="true" indent="1" shrinkToFit="false"/>
      <protection locked="true" hidden="false"/>
    </xf>
    <xf numFmtId="168" fontId="47" fillId="20" borderId="4" xfId="0" applyFont="true" applyBorder="true" applyAlignment="true" applyProtection="false">
      <alignment horizontal="center" vertical="center" textRotation="0" wrapText="false" indent="0" shrinkToFit="false"/>
      <protection locked="true" hidden="false"/>
    </xf>
    <xf numFmtId="167" fontId="41" fillId="20" borderId="4" xfId="0" applyFont="true" applyBorder="true" applyAlignment="true" applyProtection="false">
      <alignment horizontal="right" vertical="center" textRotation="0" wrapText="false" indent="0" shrinkToFit="false"/>
      <protection locked="true" hidden="false"/>
    </xf>
    <xf numFmtId="164" fontId="42" fillId="27" borderId="4" xfId="0" applyFont="true" applyBorder="true" applyAlignment="true" applyProtection="false">
      <alignment horizontal="center" vertical="center" textRotation="0" wrapText="false" indent="0" shrinkToFit="false"/>
      <protection locked="true" hidden="false"/>
    </xf>
    <xf numFmtId="164" fontId="28" fillId="22" borderId="4" xfId="0" applyFont="true" applyBorder="true" applyAlignment="true" applyProtection="false">
      <alignment horizontal="left" vertical="center" textRotation="0" wrapText="false" indent="1" shrinkToFit="false"/>
      <protection locked="true" hidden="false"/>
    </xf>
    <xf numFmtId="168" fontId="66" fillId="22" borderId="4" xfId="0" applyFont="true" applyBorder="true" applyAlignment="true" applyProtection="false">
      <alignment horizontal="center" vertical="center" textRotation="0" wrapText="false" indent="0" shrinkToFit="false"/>
      <protection locked="true" hidden="false"/>
    </xf>
    <xf numFmtId="164" fontId="50" fillId="22" borderId="4" xfId="0" applyFont="true" applyBorder="true" applyAlignment="true" applyProtection="false">
      <alignment horizontal="left" vertical="center" textRotation="0" wrapText="false" indent="0" shrinkToFit="false"/>
      <protection locked="true" hidden="false"/>
    </xf>
    <xf numFmtId="164" fontId="41" fillId="27" borderId="4" xfId="0" applyFont="true" applyBorder="true" applyAlignment="true" applyProtection="false">
      <alignment horizontal="left" vertical="center" textRotation="0" wrapText="true" indent="1" shrinkToFit="false"/>
      <protection locked="true" hidden="false"/>
    </xf>
    <xf numFmtId="164" fontId="64" fillId="27" borderId="4" xfId="0" applyFont="true" applyBorder="true" applyAlignment="true" applyProtection="false">
      <alignment horizontal="left" vertical="center" textRotation="0" wrapText="true" indent="0" shrinkToFit="false"/>
      <protection locked="true" hidden="false"/>
    </xf>
    <xf numFmtId="164" fontId="35" fillId="20" borderId="4" xfId="0" applyFont="true" applyBorder="true" applyAlignment="true" applyProtection="false">
      <alignment horizontal="left" vertical="center" textRotation="0" wrapText="false" indent="1" shrinkToFit="false"/>
      <protection locked="true" hidden="false"/>
    </xf>
    <xf numFmtId="168" fontId="35" fillId="20" borderId="4" xfId="0" applyFont="true" applyBorder="true" applyAlignment="true" applyProtection="false">
      <alignment horizontal="center" vertical="center" textRotation="0" wrapText="false" indent="0" shrinkToFit="false"/>
      <protection locked="true" hidden="false"/>
    </xf>
    <xf numFmtId="167" fontId="35" fillId="20" borderId="4" xfId="0" applyFont="true" applyBorder="true" applyAlignment="true" applyProtection="false">
      <alignment horizontal="right" vertical="center" textRotation="0" wrapText="false" indent="0" shrinkToFit="false"/>
      <protection locked="true" hidden="false"/>
    </xf>
    <xf numFmtId="164" fontId="41" fillId="20" borderId="4" xfId="0" applyFont="true" applyBorder="true" applyAlignment="true" applyProtection="false">
      <alignment horizontal="left" vertical="center" textRotation="0" wrapText="false" indent="1" shrinkToFit="false"/>
      <protection locked="true" hidden="false"/>
    </xf>
    <xf numFmtId="164" fontId="47" fillId="28" borderId="4" xfId="0" applyFont="true" applyBorder="true" applyAlignment="true" applyProtection="false">
      <alignment horizontal="center" vertical="center" textRotation="0" wrapText="false" indent="0" shrinkToFit="false"/>
      <protection locked="true" hidden="false"/>
    </xf>
    <xf numFmtId="164" fontId="45" fillId="20" borderId="4" xfId="0" applyFont="true" applyBorder="true" applyAlignment="true" applyProtection="false">
      <alignment horizontal="left" vertical="center" textRotation="0" wrapText="true" indent="0" shrinkToFit="false"/>
      <protection locked="true" hidden="false"/>
    </xf>
    <xf numFmtId="170" fontId="47" fillId="28" borderId="4" xfId="0" applyFont="true" applyBorder="true" applyAlignment="true" applyProtection="false">
      <alignment horizontal="center" vertical="center" textRotation="0" wrapText="false" indent="0" shrinkToFit="false"/>
      <protection locked="true" hidden="false"/>
    </xf>
    <xf numFmtId="176" fontId="47" fillId="20" borderId="4" xfId="0" applyFont="true" applyBorder="true" applyAlignment="true" applyProtection="false">
      <alignment horizontal="center" vertical="center" textRotation="0" wrapText="false" indent="0" shrinkToFit="false"/>
      <protection locked="true" hidden="false"/>
    </xf>
    <xf numFmtId="164" fontId="41" fillId="18" borderId="4" xfId="0" applyFont="true" applyBorder="true" applyAlignment="true" applyProtection="false">
      <alignment horizontal="left" vertical="center" textRotation="0" wrapText="false" indent="1" shrinkToFit="false"/>
      <protection locked="true" hidden="false"/>
    </xf>
    <xf numFmtId="164" fontId="64" fillId="18" borderId="4" xfId="0" applyFont="true" applyBorder="true" applyAlignment="true" applyProtection="false">
      <alignment horizontal="left" vertical="center" textRotation="0" wrapText="true" indent="0" shrinkToFit="false"/>
      <protection locked="true" hidden="false"/>
    </xf>
    <xf numFmtId="164" fontId="67" fillId="18" borderId="4" xfId="0" applyFont="true" applyBorder="true" applyAlignment="true" applyProtection="false">
      <alignment horizontal="left" vertical="center" textRotation="0" wrapText="true" indent="0" shrinkToFit="false"/>
      <protection locked="true" hidden="false"/>
    </xf>
    <xf numFmtId="164" fontId="41" fillId="31" borderId="4" xfId="0" applyFont="true" applyBorder="true" applyAlignment="true" applyProtection="false">
      <alignment horizontal="left" vertical="center" textRotation="0" wrapText="false" indent="1" shrinkToFit="false"/>
      <protection locked="true" hidden="false"/>
    </xf>
    <xf numFmtId="164" fontId="64" fillId="31" borderId="4" xfId="0" applyFont="true" applyBorder="true" applyAlignment="true" applyProtection="false">
      <alignment horizontal="left" vertical="center" textRotation="0" wrapText="true" indent="0" shrinkToFit="false"/>
      <protection locked="true" hidden="false"/>
    </xf>
    <xf numFmtId="164" fontId="41" fillId="18" borderId="4" xfId="0" applyFont="true" applyBorder="true" applyAlignment="true" applyProtection="false">
      <alignment horizontal="left" vertical="center" textRotation="0" wrapText="true" indent="1" shrinkToFit="false"/>
      <protection locked="true" hidden="false"/>
    </xf>
    <xf numFmtId="164" fontId="67" fillId="27" borderId="4" xfId="0" applyFont="true" applyBorder="true" applyAlignment="true" applyProtection="false">
      <alignment horizontal="left" vertical="center" textRotation="0" wrapText="true" indent="0" shrinkToFit="false"/>
      <protection locked="true" hidden="false"/>
    </xf>
    <xf numFmtId="164" fontId="41" fillId="32" borderId="4" xfId="0" applyFont="true" applyBorder="true" applyAlignment="true" applyProtection="false">
      <alignment horizontal="left" vertical="center" textRotation="0" wrapText="true" indent="1" shrinkToFit="false"/>
      <protection locked="true" hidden="false"/>
    </xf>
    <xf numFmtId="164" fontId="64" fillId="32" borderId="4" xfId="0" applyFont="true" applyBorder="true" applyAlignment="true" applyProtection="false">
      <alignment horizontal="left" vertical="center" textRotation="0" wrapText="true" indent="1" shrinkToFit="false"/>
      <protection locked="true" hidden="false"/>
    </xf>
    <xf numFmtId="164" fontId="67" fillId="32" borderId="4" xfId="0" applyFont="true" applyBorder="true" applyAlignment="true" applyProtection="false">
      <alignment horizontal="center" vertical="center" textRotation="0" wrapText="true" indent="0" shrinkToFit="false"/>
      <protection locked="true" hidden="false"/>
    </xf>
    <xf numFmtId="164" fontId="41" fillId="32" borderId="4" xfId="0" applyFont="true" applyBorder="true" applyAlignment="true" applyProtection="false">
      <alignment horizontal="center" vertical="center" textRotation="0" wrapText="false" indent="0" shrinkToFit="false"/>
      <protection locked="true" hidden="false"/>
    </xf>
    <xf numFmtId="164" fontId="68" fillId="32" borderId="4" xfId="0" applyFont="true" applyBorder="true" applyAlignment="true" applyProtection="false">
      <alignment horizontal="left" vertical="center" textRotation="0" wrapText="true" indent="1" shrinkToFit="false"/>
      <protection locked="true" hidden="false"/>
    </xf>
    <xf numFmtId="168" fontId="41" fillId="27" borderId="4" xfId="0" applyFont="true" applyBorder="true" applyAlignment="true" applyProtection="false">
      <alignment horizontal="right" vertical="center" textRotation="0" wrapText="false" indent="1" shrinkToFit="false"/>
      <protection locked="true" hidden="false"/>
    </xf>
    <xf numFmtId="164" fontId="45" fillId="0" borderId="0" xfId="0" applyFont="true" applyBorder="true" applyAlignment="true" applyProtection="false">
      <alignment horizontal="left" vertical="center" textRotation="0" wrapText="true" indent="0" shrinkToFit="false"/>
      <protection locked="true" hidden="false"/>
    </xf>
    <xf numFmtId="164" fontId="69" fillId="20" borderId="4" xfId="0" applyFont="true" applyBorder="true" applyAlignment="true" applyProtection="false">
      <alignment horizontal="left" vertical="center" textRotation="0" wrapText="true" indent="1" shrinkToFit="false"/>
      <protection locked="true" hidden="false"/>
    </xf>
    <xf numFmtId="164" fontId="70" fillId="20" borderId="4" xfId="0" applyFont="true" applyBorder="true" applyAlignment="true" applyProtection="false">
      <alignment horizontal="left" vertical="center" textRotation="0" wrapText="true" indent="1" shrinkToFit="false"/>
      <protection locked="true" hidden="false"/>
    </xf>
    <xf numFmtId="164" fontId="64" fillId="20" borderId="4" xfId="0" applyFont="true" applyBorder="true" applyAlignment="true" applyProtection="false">
      <alignment horizontal="center" vertical="center" textRotation="0" wrapText="false" indent="0" shrinkToFit="false"/>
      <protection locked="true" hidden="false"/>
    </xf>
    <xf numFmtId="164" fontId="68" fillId="20" borderId="4" xfId="0" applyFont="true" applyBorder="true" applyAlignment="true" applyProtection="false">
      <alignment horizontal="left" vertical="center" textRotation="0" wrapText="true" indent="1" shrinkToFit="false"/>
      <protection locked="true" hidden="false"/>
    </xf>
    <xf numFmtId="176" fontId="41" fillId="27" borderId="4" xfId="0" applyFont="true" applyBorder="true" applyAlignment="true" applyProtection="false">
      <alignment horizontal="right" vertical="center" textRotation="0" wrapText="false" indent="1" shrinkToFit="false"/>
      <protection locked="true" hidden="false"/>
    </xf>
    <xf numFmtId="164" fontId="70" fillId="32" borderId="4" xfId="0" applyFont="true" applyBorder="true" applyAlignment="true" applyProtection="false">
      <alignment horizontal="left" vertical="center" textRotation="0" wrapText="true" indent="1" shrinkToFit="false"/>
      <protection locked="true" hidden="false"/>
    </xf>
    <xf numFmtId="164" fontId="64" fillId="32" borderId="4" xfId="0" applyFont="true" applyBorder="true" applyAlignment="true" applyProtection="false">
      <alignment horizontal="center" vertical="center" textRotation="0" wrapText="false" indent="0" shrinkToFit="false"/>
      <protection locked="true" hidden="false"/>
    </xf>
    <xf numFmtId="166" fontId="41" fillId="27" borderId="4" xfId="0" applyFont="true" applyBorder="true" applyAlignment="true" applyProtection="false">
      <alignment horizontal="right" vertical="center" textRotation="0" wrapText="false" indent="1" shrinkToFit="false"/>
      <protection locked="true" hidden="false"/>
    </xf>
    <xf numFmtId="169" fontId="41" fillId="27" borderId="4" xfId="0" applyFont="true" applyBorder="true" applyAlignment="true" applyProtection="false">
      <alignment horizontal="right" vertical="center" textRotation="0" wrapText="false" indent="1" shrinkToFit="false"/>
      <protection locked="true" hidden="false"/>
    </xf>
    <xf numFmtId="164" fontId="41" fillId="27" borderId="4" xfId="0" applyFont="true" applyBorder="true" applyAlignment="true" applyProtection="false">
      <alignment horizontal="left" vertical="center" textRotation="0" wrapText="false" indent="1" shrinkToFit="false"/>
      <protection locked="true" hidden="false"/>
    </xf>
    <xf numFmtId="164" fontId="65" fillId="20" borderId="4" xfId="0" applyFont="true" applyBorder="true" applyAlignment="true" applyProtection="false">
      <alignment horizontal="left" vertical="center" textRotation="0" wrapText="true" indent="1" shrinkToFit="false"/>
      <protection locked="true" hidden="false"/>
    </xf>
    <xf numFmtId="164" fontId="64" fillId="20" borderId="4" xfId="0" applyFont="true" applyBorder="true" applyAlignment="true" applyProtection="false">
      <alignment horizontal="left" vertical="center" textRotation="0" wrapText="true" indent="1" shrinkToFit="false"/>
      <protection locked="true" hidden="false"/>
    </xf>
    <xf numFmtId="164" fontId="67" fillId="27" borderId="4" xfId="0" applyFont="true" applyBorder="true" applyAlignment="true" applyProtection="false">
      <alignment horizontal="left" vertical="center" textRotation="0" wrapText="false" indent="1" shrinkToFit="false"/>
      <protection locked="true" hidden="false"/>
    </xf>
    <xf numFmtId="164" fontId="50" fillId="2" borderId="4" xfId="0" applyFont="true" applyBorder="true" applyAlignment="true" applyProtection="false">
      <alignment horizontal="left" vertical="center" textRotation="0" wrapText="true" indent="1" shrinkToFit="false"/>
      <protection locked="true" hidden="false"/>
    </xf>
    <xf numFmtId="164" fontId="64" fillId="2" borderId="4" xfId="0" applyFont="true" applyBorder="true" applyAlignment="true" applyProtection="false">
      <alignment horizontal="general" vertical="center" textRotation="0" wrapText="false" indent="0" shrinkToFit="false"/>
      <protection locked="true" hidden="false"/>
    </xf>
    <xf numFmtId="164" fontId="33" fillId="2" borderId="4" xfId="0" applyFont="true" applyBorder="true" applyAlignment="true" applyProtection="false">
      <alignment horizontal="right" vertical="center" textRotation="0" wrapText="false" indent="0" shrinkToFit="false"/>
      <protection locked="true" hidden="false"/>
    </xf>
    <xf numFmtId="164" fontId="71" fillId="2" borderId="4" xfId="0" applyFont="true" applyBorder="true" applyAlignment="true" applyProtection="false">
      <alignment horizontal="left" vertical="center" textRotation="0" wrapText="true" indent="1" shrinkToFit="false"/>
      <protection locked="true" hidden="false"/>
    </xf>
    <xf numFmtId="164" fontId="28" fillId="2" borderId="0" xfId="0" applyFont="true" applyBorder="true" applyAlignment="true" applyProtection="false">
      <alignment horizontal="left" vertical="center" textRotation="0" wrapText="false" indent="0" shrinkToFit="false"/>
      <protection locked="true" hidden="false"/>
    </xf>
    <xf numFmtId="164" fontId="42" fillId="27" borderId="4" xfId="0" applyFont="true" applyBorder="true" applyAlignment="true" applyProtection="false">
      <alignment horizontal="center" vertical="center" textRotation="0" wrapText="true" indent="0" shrinkToFit="false"/>
      <protection locked="true" hidden="false"/>
    </xf>
    <xf numFmtId="164" fontId="64" fillId="20" borderId="4" xfId="0" applyFont="true" applyBorder="true" applyAlignment="true" applyProtection="false">
      <alignment horizontal="center" vertical="center" textRotation="0" wrapText="true" indent="0" shrinkToFit="false"/>
      <protection locked="true" hidden="false"/>
    </xf>
    <xf numFmtId="170" fontId="41" fillId="27" borderId="4" xfId="0" applyFont="true" applyBorder="true" applyAlignment="true" applyProtection="false">
      <alignment horizontal="right" vertical="center" textRotation="0" wrapText="false" indent="1" shrinkToFit="false"/>
      <protection locked="true" hidden="false"/>
    </xf>
    <xf numFmtId="164" fontId="41" fillId="20" borderId="4" xfId="0" applyFont="true" applyBorder="true" applyAlignment="true" applyProtection="false">
      <alignment horizontal="center" vertical="center" textRotation="0" wrapText="false" indent="0" shrinkToFit="false"/>
      <protection locked="true" hidden="false"/>
    </xf>
    <xf numFmtId="164" fontId="72" fillId="18" borderId="4" xfId="0" applyFont="true" applyBorder="true" applyAlignment="true" applyProtection="false">
      <alignment horizontal="left" vertical="center" textRotation="0" wrapText="true" indent="1" shrinkToFit="false"/>
      <protection locked="true" hidden="false"/>
    </xf>
    <xf numFmtId="164" fontId="64" fillId="18" borderId="4" xfId="0" applyFont="true" applyBorder="true" applyAlignment="true" applyProtection="false">
      <alignment horizontal="center" vertical="center" textRotation="0" wrapText="false" indent="0" shrinkToFit="false"/>
      <protection locked="true" hidden="false"/>
    </xf>
    <xf numFmtId="164" fontId="68" fillId="18" borderId="4" xfId="0" applyFont="true" applyBorder="true" applyAlignment="true" applyProtection="false">
      <alignment horizontal="left" vertical="center" textRotation="0" wrapText="true" indent="1" shrinkToFit="false"/>
      <protection locked="true" hidden="false"/>
    </xf>
    <xf numFmtId="164" fontId="72" fillId="32" borderId="4" xfId="0" applyFont="true" applyBorder="true" applyAlignment="true" applyProtection="false">
      <alignment horizontal="left" vertical="center" textRotation="0" wrapText="true" indent="1" shrinkToFit="false"/>
      <protection locked="true" hidden="false"/>
    </xf>
    <xf numFmtId="164" fontId="41" fillId="15" borderId="4" xfId="0" applyFont="true" applyBorder="true" applyAlignment="true" applyProtection="false">
      <alignment horizontal="left" vertical="center" textRotation="0" wrapText="true" indent="1" shrinkToFit="false"/>
      <protection locked="true" hidden="false"/>
    </xf>
    <xf numFmtId="164" fontId="72" fillId="15" borderId="4" xfId="0" applyFont="true" applyBorder="true" applyAlignment="true" applyProtection="false">
      <alignment horizontal="left" vertical="center" textRotation="0" wrapText="true" indent="1" shrinkToFit="false"/>
      <protection locked="true" hidden="false"/>
    </xf>
    <xf numFmtId="164" fontId="64" fillId="15" borderId="4" xfId="0" applyFont="true" applyBorder="true" applyAlignment="true" applyProtection="false">
      <alignment horizontal="center" vertical="center" textRotation="0" wrapText="false" indent="0" shrinkToFit="false"/>
      <protection locked="true" hidden="false"/>
    </xf>
    <xf numFmtId="164" fontId="68" fillId="15" borderId="4" xfId="0" applyFont="true" applyBorder="true" applyAlignment="true" applyProtection="false">
      <alignment horizontal="left" vertical="center" textRotation="0" wrapText="true" indent="1" shrinkToFit="false"/>
      <protection locked="true" hidden="false"/>
    </xf>
    <xf numFmtId="164" fontId="73" fillId="20" borderId="4" xfId="0" applyFont="true" applyBorder="true" applyAlignment="true" applyProtection="false">
      <alignment horizontal="left" vertical="center" textRotation="0" wrapText="true" indent="0" shrinkToFit="false"/>
      <protection locked="true" hidden="false"/>
    </xf>
    <xf numFmtId="164" fontId="68" fillId="20" borderId="4" xfId="0" applyFont="true" applyBorder="true" applyAlignment="true" applyProtection="false">
      <alignment horizontal="left" vertical="center" textRotation="0" wrapText="true" indent="0" shrinkToFit="false"/>
      <protection locked="true" hidden="false"/>
    </xf>
    <xf numFmtId="164" fontId="68" fillId="27" borderId="4" xfId="0" applyFont="true" applyBorder="true" applyAlignment="true" applyProtection="false">
      <alignment horizontal="left" vertical="center" textRotation="0" wrapText="true" indent="0" shrinkToFit="false"/>
      <protection locked="true" hidden="false"/>
    </xf>
    <xf numFmtId="164" fontId="74" fillId="33" borderId="0" xfId="0" applyFont="true" applyBorder="true" applyAlignment="true" applyProtection="false">
      <alignment horizontal="left" vertical="center" textRotation="0" wrapText="false" indent="0" shrinkToFit="false"/>
      <protection locked="true" hidden="false"/>
    </xf>
    <xf numFmtId="164" fontId="75" fillId="20" borderId="4" xfId="0" applyFont="true" applyBorder="true" applyAlignment="true" applyProtection="false">
      <alignment horizontal="center" vertical="center" textRotation="0" wrapText="false" indent="0" shrinkToFit="false"/>
      <protection locked="true" hidden="false"/>
    </xf>
    <xf numFmtId="169" fontId="76" fillId="27" borderId="4" xfId="0" applyFont="true" applyBorder="true" applyAlignment="true" applyProtection="false">
      <alignment horizontal="center" vertical="center" textRotation="0" wrapText="false" indent="0" shrinkToFit="false"/>
      <protection locked="true" hidden="false"/>
    </xf>
    <xf numFmtId="164" fontId="77" fillId="20" borderId="4" xfId="0" applyFont="true" applyBorder="true" applyAlignment="true" applyProtection="false">
      <alignment horizontal="left" vertical="center" textRotation="0" wrapText="true" indent="0" shrinkToFit="false"/>
      <protection locked="true" hidden="false"/>
    </xf>
    <xf numFmtId="164" fontId="41" fillId="15" borderId="4" xfId="0" applyFont="true" applyBorder="true" applyAlignment="true" applyProtection="false">
      <alignment horizontal="center" vertical="center" textRotation="0" wrapText="false" indent="0" shrinkToFit="false"/>
      <protection locked="true" hidden="false"/>
    </xf>
    <xf numFmtId="169" fontId="35" fillId="15" borderId="4" xfId="0" applyFont="true" applyBorder="true" applyAlignment="true" applyProtection="false">
      <alignment horizontal="center" vertical="center" textRotation="0" wrapText="false" indent="0" shrinkToFit="false"/>
      <protection locked="true" hidden="false"/>
    </xf>
    <xf numFmtId="169" fontId="78" fillId="27" borderId="4" xfId="0" applyFont="true" applyBorder="true" applyAlignment="true" applyProtection="false">
      <alignment horizontal="center" vertical="center" textRotation="0" wrapText="false" indent="0" shrinkToFit="false"/>
      <protection locked="true" hidden="false"/>
    </xf>
    <xf numFmtId="167" fontId="42" fillId="15" borderId="4" xfId="0" applyFont="true" applyBorder="true" applyAlignment="true" applyProtection="false">
      <alignment horizontal="right" vertical="center" textRotation="0" wrapText="false" indent="1" shrinkToFit="false"/>
      <protection locked="true" hidden="false"/>
    </xf>
    <xf numFmtId="164" fontId="41" fillId="16" borderId="4" xfId="0" applyFont="true" applyBorder="true" applyAlignment="true" applyProtection="false">
      <alignment horizontal="center" vertical="center" textRotation="0" wrapText="false" indent="0" shrinkToFit="false"/>
      <protection locked="true" hidden="false"/>
    </xf>
    <xf numFmtId="169" fontId="35" fillId="16" borderId="4" xfId="0" applyFont="true" applyBorder="true" applyAlignment="true" applyProtection="false">
      <alignment horizontal="center" vertical="center" textRotation="0" wrapText="false" indent="0" shrinkToFit="false"/>
      <protection locked="true" hidden="false"/>
    </xf>
    <xf numFmtId="167" fontId="42" fillId="16" borderId="4" xfId="0" applyFont="true" applyBorder="true" applyAlignment="true" applyProtection="false">
      <alignment horizontal="right" vertical="center" textRotation="0" wrapText="false" indent="1" shrinkToFit="false"/>
      <protection locked="true" hidden="false"/>
    </xf>
    <xf numFmtId="164" fontId="41" fillId="17" borderId="4" xfId="0" applyFont="true" applyBorder="true" applyAlignment="true" applyProtection="false">
      <alignment horizontal="center" vertical="center" textRotation="0" wrapText="false" indent="0" shrinkToFit="false"/>
      <protection locked="true" hidden="false"/>
    </xf>
    <xf numFmtId="169" fontId="35" fillId="17" borderId="4" xfId="0" applyFont="true" applyBorder="true" applyAlignment="true" applyProtection="false">
      <alignment horizontal="center" vertical="center" textRotation="0" wrapText="false" indent="0" shrinkToFit="false"/>
      <protection locked="true" hidden="false"/>
    </xf>
    <xf numFmtId="167" fontId="42" fillId="17" borderId="4" xfId="0" applyFont="true" applyBorder="true" applyAlignment="true" applyProtection="false">
      <alignment horizontal="right" vertical="center" textRotation="0" wrapText="false" indent="1" shrinkToFit="false"/>
      <protection locked="true" hidden="false"/>
    </xf>
    <xf numFmtId="164" fontId="41" fillId="18" borderId="4" xfId="0" applyFont="true" applyBorder="true" applyAlignment="true" applyProtection="false">
      <alignment horizontal="center" vertical="center" textRotation="0" wrapText="false" indent="0" shrinkToFit="false"/>
      <protection locked="true" hidden="false"/>
    </xf>
    <xf numFmtId="169" fontId="35" fillId="18" borderId="4" xfId="0" applyFont="true" applyBorder="true" applyAlignment="true" applyProtection="false">
      <alignment horizontal="center" vertical="center" textRotation="0" wrapText="false" indent="0" shrinkToFit="false"/>
      <protection locked="true" hidden="false"/>
    </xf>
    <xf numFmtId="167" fontId="42" fillId="18" borderId="4" xfId="0" applyFont="true" applyBorder="true" applyAlignment="true" applyProtection="false">
      <alignment horizontal="right" vertical="center" textRotation="0" wrapText="false" indent="1" shrinkToFit="false"/>
      <protection locked="true" hidden="false"/>
    </xf>
    <xf numFmtId="164" fontId="41" fillId="19" borderId="4" xfId="0" applyFont="true" applyBorder="true" applyAlignment="true" applyProtection="false">
      <alignment horizontal="center" vertical="center" textRotation="0" wrapText="false" indent="0" shrinkToFit="false"/>
      <protection locked="true" hidden="false"/>
    </xf>
    <xf numFmtId="169" fontId="35" fillId="19" borderId="4" xfId="0" applyFont="true" applyBorder="true" applyAlignment="true" applyProtection="false">
      <alignment horizontal="center" vertical="center" textRotation="0" wrapText="false" indent="0" shrinkToFit="false"/>
      <protection locked="true" hidden="false"/>
    </xf>
    <xf numFmtId="167" fontId="42" fillId="19" borderId="4" xfId="0" applyFont="true" applyBorder="true" applyAlignment="true" applyProtection="false">
      <alignment horizontal="right" vertical="center" textRotation="0" wrapText="false" indent="1" shrinkToFit="false"/>
      <protection locked="true" hidden="false"/>
    </xf>
    <xf numFmtId="164" fontId="50" fillId="22" borderId="4" xfId="0" applyFont="true" applyBorder="true" applyAlignment="true" applyProtection="false">
      <alignment horizontal="center" vertical="center" textRotation="0" wrapText="false" indent="0" shrinkToFit="false"/>
      <protection locked="true" hidden="false"/>
    </xf>
    <xf numFmtId="167" fontId="41" fillId="27" borderId="4" xfId="0" applyFont="true" applyBorder="true" applyAlignment="true" applyProtection="false">
      <alignment horizontal="left" vertical="center" textRotation="0" wrapText="false" indent="0" shrinkToFit="false"/>
      <protection locked="true" hidden="false"/>
    </xf>
    <xf numFmtId="177" fontId="41" fillId="27" borderId="4" xfId="0" applyFont="true" applyBorder="true" applyAlignment="true" applyProtection="false">
      <alignment horizontal="left" vertical="center" textRotation="0" wrapText="false" indent="0" shrinkToFit="false"/>
      <protection locked="true" hidden="false"/>
    </xf>
    <xf numFmtId="164" fontId="41" fillId="27" borderId="4" xfId="0" applyFont="true" applyBorder="true" applyAlignment="true" applyProtection="false">
      <alignment horizontal="left" vertical="center" textRotation="0" wrapText="false" indent="0" shrinkToFit="false"/>
      <protection locked="true" hidden="false"/>
    </xf>
    <xf numFmtId="168" fontId="41" fillId="27" borderId="4" xfId="0" applyFont="true" applyBorder="true" applyAlignment="true" applyProtection="false">
      <alignment horizontal="left" vertical="center" textRotation="0" wrapText="false" indent="0" shrinkToFit="false"/>
      <protection locked="true" hidden="false"/>
    </xf>
    <xf numFmtId="164" fontId="41" fillId="27" borderId="4" xfId="0" applyFont="true" applyBorder="true" applyAlignment="true" applyProtection="false">
      <alignment horizontal="left" vertical="center" textRotation="0" wrapText="true" indent="0" shrinkToFit="false"/>
      <protection locked="true" hidden="false"/>
    </xf>
    <xf numFmtId="164" fontId="79" fillId="27" borderId="6" xfId="0" applyFont="true" applyBorder="true" applyAlignment="true" applyProtection="false">
      <alignment horizontal="left" vertical="center" textRotation="0" wrapText="true" indent="0" shrinkToFit="false"/>
      <protection locked="true" hidden="false"/>
    </xf>
    <xf numFmtId="169" fontId="41" fillId="18" borderId="4" xfId="0" applyFont="true" applyBorder="true" applyAlignment="true" applyProtection="false">
      <alignment horizontal="center" vertical="center" textRotation="0" wrapText="false" indent="0" shrinkToFit="false"/>
      <protection locked="true" hidden="false"/>
    </xf>
    <xf numFmtId="164" fontId="80" fillId="18" borderId="4" xfId="0" applyFont="true" applyBorder="true" applyAlignment="true" applyProtection="false">
      <alignment horizontal="center" vertical="center" textRotation="0" wrapText="true" indent="0" shrinkToFit="false"/>
      <protection locked="true" hidden="false"/>
    </xf>
    <xf numFmtId="169" fontId="41" fillId="31" borderId="4" xfId="0" applyFont="true" applyBorder="true" applyAlignment="true" applyProtection="false">
      <alignment horizontal="center" vertical="center" textRotation="0" wrapText="false" indent="0" shrinkToFit="false"/>
      <protection locked="true" hidden="false"/>
    </xf>
    <xf numFmtId="169" fontId="35" fillId="31" borderId="4" xfId="0" applyFont="true" applyBorder="true" applyAlignment="true" applyProtection="false">
      <alignment horizontal="center" vertical="center" textRotation="0" wrapText="false" indent="0" shrinkToFit="false"/>
      <protection locked="true" hidden="false"/>
    </xf>
    <xf numFmtId="168" fontId="35" fillId="31" borderId="4" xfId="0" applyFont="true" applyBorder="true" applyAlignment="true" applyProtection="false">
      <alignment horizontal="center" vertical="center" textRotation="0" wrapText="false" indent="0" shrinkToFit="false"/>
      <protection locked="true" hidden="false"/>
    </xf>
    <xf numFmtId="167" fontId="35" fillId="31" borderId="4" xfId="0" applyFont="true" applyBorder="true" applyAlignment="true" applyProtection="false">
      <alignment horizontal="right" vertical="center" textRotation="0" wrapText="false" indent="1" shrinkToFit="false"/>
      <protection locked="true" hidden="false"/>
    </xf>
    <xf numFmtId="167" fontId="42" fillId="31" borderId="4" xfId="0" applyFont="true" applyBorder="true" applyAlignment="true" applyProtection="false">
      <alignment horizontal="right" vertical="center" textRotation="0" wrapText="false" indent="1" shrinkToFit="false"/>
      <protection locked="true" hidden="false"/>
    </xf>
    <xf numFmtId="164" fontId="81" fillId="31" borderId="4" xfId="0" applyFont="true" applyBorder="true" applyAlignment="true" applyProtection="false">
      <alignment horizontal="center" vertical="center" textRotation="0" wrapText="true" indent="0" shrinkToFit="false"/>
      <protection locked="true" hidden="false"/>
    </xf>
    <xf numFmtId="168" fontId="50" fillId="22" borderId="4" xfId="0" applyFont="true" applyBorder="true" applyAlignment="true" applyProtection="false">
      <alignment horizontal="center" vertical="center" textRotation="0" wrapText="false" indent="0" shrinkToFit="false"/>
      <protection locked="true" hidden="false"/>
    </xf>
    <xf numFmtId="167" fontId="66" fillId="22" borderId="4" xfId="0" applyFont="true" applyBorder="true" applyAlignment="true" applyProtection="false">
      <alignment horizontal="right" vertical="center" textRotation="0" wrapText="false" indent="1" shrinkToFit="false"/>
      <protection locked="true" hidden="false"/>
    </xf>
    <xf numFmtId="164" fontId="35" fillId="20" borderId="4" xfId="0" applyFont="true" applyBorder="true" applyAlignment="true" applyProtection="false">
      <alignment horizontal="left" vertical="center" textRotation="0" wrapText="true" indent="0" shrinkToFit="false"/>
      <protection locked="true" hidden="false"/>
    </xf>
    <xf numFmtId="164" fontId="65" fillId="27" borderId="6" xfId="0" applyFont="true" applyBorder="true" applyAlignment="true" applyProtection="false">
      <alignment horizontal="left" vertical="center" textRotation="0" wrapText="true" indent="0" shrinkToFit="false"/>
      <protection locked="true" hidden="false"/>
    </xf>
    <xf numFmtId="168" fontId="75" fillId="20" borderId="4" xfId="0" applyFont="true" applyBorder="true" applyAlignment="true" applyProtection="false">
      <alignment horizontal="center" vertical="center" textRotation="0" wrapText="false" indent="0" shrinkToFit="false"/>
      <protection locked="true" hidden="false"/>
    </xf>
    <xf numFmtId="167" fontId="35" fillId="20" borderId="4" xfId="0" applyFont="true" applyBorder="true" applyAlignment="true" applyProtection="false">
      <alignment horizontal="right" vertical="center" textRotation="0" wrapText="false" indent="1" shrinkToFit="false"/>
      <protection locked="true" hidden="false"/>
    </xf>
    <xf numFmtId="169" fontId="41" fillId="28" borderId="4" xfId="0" applyFont="true" applyBorder="true" applyAlignment="true" applyProtection="false">
      <alignment horizontal="center" vertical="center" textRotation="0" wrapText="false" indent="0" shrinkToFit="false"/>
      <protection locked="true" hidden="false"/>
    </xf>
    <xf numFmtId="166" fontId="35" fillId="28" borderId="4" xfId="0" applyFont="true" applyBorder="true" applyAlignment="true" applyProtection="false">
      <alignment horizontal="center" vertical="center" textRotation="0" wrapText="false" indent="0" shrinkToFit="false"/>
      <protection locked="true" hidden="false"/>
    </xf>
    <xf numFmtId="164" fontId="28" fillId="14" borderId="0" xfId="0" applyFont="true" applyBorder="true" applyAlignment="true" applyProtection="false">
      <alignment horizontal="left" vertical="center"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
    <dxf>
      <fill>
        <patternFill patternType="solid">
          <fgColor rgb="FF1E273A"/>
          <bgColor rgb="FF000000"/>
        </patternFill>
      </fill>
    </dxf>
    <dxf>
      <fill>
        <patternFill patternType="solid">
          <fgColor rgb="FFDCFCE7"/>
          <bgColor rgb="FF000000"/>
        </patternFill>
      </fill>
    </dxf>
    <dxf>
      <fill>
        <patternFill patternType="solid">
          <fgColor rgb="FF111111"/>
          <bgColor rgb="FF000000"/>
        </patternFill>
      </fill>
    </dxf>
    <dxf>
      <fill>
        <patternFill patternType="solid">
          <fgColor rgb="FFFFFFFF"/>
          <bgColor rgb="FF000000"/>
        </patternFill>
      </fill>
    </dxf>
    <dxf>
      <fill>
        <patternFill patternType="solid">
          <fgColor rgb="FF2E7D32"/>
          <bgColor rgb="FF000000"/>
        </patternFill>
      </fill>
    </dxf>
    <dxf>
      <font>
        <b val="1"/>
        <color rgb="FFFFFFFF"/>
      </font>
      <fill>
        <patternFill>
          <bgColor rgb="FF2E7D32"/>
        </patternFill>
      </fill>
    </dxf>
    <dxf>
      <font>
        <b val="1"/>
        <color rgb="FFFFFFFF"/>
      </font>
      <fill>
        <patternFill>
          <bgColor rgb="FF1565C0"/>
        </patternFill>
      </fill>
    </dxf>
    <dxf>
      <font>
        <b val="1"/>
        <color rgb="FFFFFFFF"/>
      </font>
      <fill>
        <patternFill>
          <bgColor rgb="FF1976D2"/>
        </patternFill>
      </fill>
    </dxf>
    <dxf>
      <font>
        <b val="1"/>
        <color rgb="FFFFFFFF"/>
      </font>
      <fill>
        <patternFill>
          <bgColor rgb="FFF57C00"/>
        </patternFill>
      </fill>
    </dxf>
    <dxf>
      <font>
        <b val="1"/>
        <color rgb="FF000000"/>
      </font>
      <fill>
        <patternFill>
          <bgColor rgb="FFFFD600"/>
        </patternFill>
      </fill>
    </dxf>
    <dxf>
      <font>
        <b val="1"/>
        <color rgb="FFFFFFFF"/>
      </font>
      <fill>
        <patternFill>
          <bgColor rgb="FF9E9E9E"/>
        </patternFill>
      </fill>
    </dxf>
    <dxf>
      <font>
        <b val="1"/>
        <color rgb="FFFFFFFF"/>
      </font>
      <fill>
        <patternFill>
          <bgColor rgb="FFBDBDBD"/>
        </patternFill>
      </fill>
    </dxf>
    <dxf>
      <font>
        <b val="1"/>
        <color rgb="FFFFFFFF"/>
      </font>
      <fill>
        <patternFill>
          <bgColor rgb="FFC62828"/>
        </patternFill>
      </fill>
    </dxf>
    <dxf>
      <font>
        <b val="1"/>
        <color rgb="FFFFFFFF"/>
      </font>
      <fill>
        <patternFill>
          <bgColor rgb="FFB71C1C"/>
        </patternFill>
      </fill>
    </dxf>
    <dxf>
      <fill>
        <patternFill patternType="solid">
          <fgColor rgb="FFF8FAFC"/>
          <bgColor rgb="FF000000"/>
        </patternFill>
      </fill>
    </dxf>
    <dxf>
      <fill>
        <patternFill patternType="solid">
          <bgColor rgb="FF000000"/>
        </patternFill>
      </fill>
    </dxf>
    <dxf>
      <fill>
        <patternFill patternType="solid">
          <fgColor rgb="FF000000"/>
          <bgColor rgb="FF000000"/>
        </patternFill>
      </fill>
    </dxf>
    <dxf>
      <fill>
        <patternFill patternType="solid">
          <fgColor rgb="FFFEF3C7"/>
          <bgColor rgb="FF000000"/>
        </patternFill>
      </fill>
    </dxf>
    <dxf>
      <fill>
        <patternFill patternType="solid">
          <fgColor rgb="FFFFF9C4"/>
          <bgColor rgb="FF000000"/>
        </patternFill>
      </fill>
    </dxf>
    <dxf>
      <fill>
        <patternFill patternType="solid">
          <fgColor rgb="FFFFFF00"/>
          <bgColor rgb="FF000000"/>
        </patternFill>
      </fill>
    </dxf>
    <dxf>
      <fill>
        <patternFill patternType="solid">
          <fgColor rgb="FF1565C0"/>
          <bgColor rgb="FF000000"/>
        </patternFill>
      </fill>
    </dxf>
    <dxf>
      <fill>
        <patternFill patternType="solid">
          <fgColor rgb="FF9E9E9E"/>
          <bgColor rgb="FF000000"/>
        </patternFill>
      </fill>
    </dxf>
    <dxf>
      <fill>
        <patternFill patternType="solid">
          <fgColor rgb="FFB71C1C"/>
          <bgColor rgb="FF000000"/>
        </patternFill>
      </fill>
    </dxf>
    <dxf>
      <fill>
        <patternFill patternType="solid">
          <fgColor rgb="FFBDBDBD"/>
          <bgColor rgb="FF000000"/>
        </patternFill>
      </fill>
    </dxf>
    <dxf>
      <fill>
        <patternFill patternType="solid">
          <fgColor rgb="FFC62828"/>
          <bgColor rgb="FF000000"/>
        </patternFill>
      </fill>
    </dxf>
    <dxf>
      <fill>
        <patternFill patternType="solid">
          <fgColor rgb="FFFFE0B2"/>
          <bgColor rgb="FF000000"/>
        </patternFill>
      </fill>
    </dxf>
    <dxf>
      <fill>
        <patternFill patternType="solid">
          <fgColor rgb="FF9A3412"/>
          <bgColor rgb="FF000000"/>
        </patternFill>
      </fill>
    </dxf>
    <dxf>
      <font>
        <name val="Arial"/>
        <charset val="1"/>
        <family val="0"/>
        <b val="1"/>
        <color rgb="FF9A3412"/>
        <sz val="10"/>
      </font>
      <fill>
        <patternFill>
          <bgColor rgb="FFFFE0B2"/>
        </patternFill>
      </fill>
    </dxf>
    <dxf>
      <font>
        <name val="Arial"/>
        <charset val="1"/>
        <family val="0"/>
        <b val="1"/>
        <color rgb="FF991B1B"/>
        <sz val="10"/>
      </font>
      <fill>
        <patternFill>
          <bgColor rgb="FFFECACA"/>
        </patternFill>
      </fill>
    </dxf>
    <dxf>
      <font>
        <name val="Arial"/>
        <charset val="1"/>
        <family val="0"/>
        <b val="1"/>
        <color rgb="FF92400E"/>
        <sz val="10"/>
      </font>
      <fill>
        <patternFill>
          <bgColor rgb="FFFEF3C7"/>
        </patternFill>
      </fill>
    </dxf>
    <dxf>
      <font>
        <name val="Arial"/>
        <charset val="1"/>
        <family val="0"/>
        <b val="1"/>
        <color rgb="FF166534"/>
        <sz val="10"/>
      </font>
      <fill>
        <patternFill>
          <bgColor rgb="FFDCFCE7"/>
        </patternFill>
      </fill>
    </dxf>
    <dxf>
      <fill>
        <patternFill>
          <bgColor rgb="FFFEF3C7"/>
        </patternFill>
      </fill>
    </dxf>
    <dxf>
      <font>
        <name val="Arial"/>
        <charset val="1"/>
        <family val="0"/>
        <i val="1"/>
        <color rgb="FF64748B"/>
        <sz val="10"/>
      </font>
      <fill>
        <patternFill>
          <bgColor rgb="FFF1F5F9"/>
        </patternFill>
      </fill>
    </dxf>
  </dxfs>
  <colors>
    <indexedColors>
      <rgbColor rgb="FF000000"/>
      <rgbColor rgb="FFFFFFFF"/>
      <rgbColor rgb="FFD60030"/>
      <rgbColor rgb="FFF5F5F5"/>
      <rgbColor rgb="FF52555A"/>
      <rgbColor rgb="FFFFFF00"/>
      <rgbColor rgb="FFC62929"/>
      <rgbColor rgb="FFE0E7FF"/>
      <rgbColor rgb="FF7C0030"/>
      <rgbColor rgb="FF166534"/>
      <rgbColor rgb="FF111111"/>
      <rgbColor rgb="FF97A136"/>
      <rgbColor rgb="FFC8102E"/>
      <rgbColor rgb="FF2E5496"/>
      <rgbColor rgb="FFBDBEBB"/>
      <rgbColor rgb="FF808080"/>
      <rgbColor rgb="FFAFA7A9"/>
      <rgbColor rgb="FF7D3230"/>
      <rgbColor rgb="FFFFF9C4"/>
      <rgbColor rgb="FFDCFCE7"/>
      <rgbColor rgb="FFC00000"/>
      <rgbColor rgb="FF888888"/>
      <rgbColor rgb="FF1565C0"/>
      <rgbColor rgb="FFCBD5E5"/>
      <rgbColor rgb="FF1E3A5F"/>
      <rgbColor rgb="FFFEE2E2"/>
      <rgbColor rgb="FFFFF3CD"/>
      <rgbColor rgb="FFE8EDF4"/>
      <rgbColor rgb="FFB71C1C"/>
      <rgbColor rgb="FF991B1B"/>
      <rgbColor rgb="FF1D4ED8"/>
      <rgbColor rgb="FFF8FAFC"/>
      <rgbColor rgb="FFF1F5F9"/>
      <rgbColor rgb="FFDBEAFE"/>
      <rgbColor rgb="FFBBF9D0"/>
      <rgbColor rgb="FFFEF3C7"/>
      <rgbColor rgb="FFBDBDBD"/>
      <rgbColor rgb="FFFFE0AF"/>
      <rgbColor rgb="FFAEAEAE"/>
      <rgbColor rgb="FFFECACA"/>
      <rgbColor rgb="FF1976D2"/>
      <rgbColor rgb="FF65C030"/>
      <rgbColor rgb="FFBDBD30"/>
      <rgbColor rgb="FFFFD600"/>
      <rgbColor rgb="FFD4A017"/>
      <rgbColor rgb="FFF57C00"/>
      <rgbColor rgb="FF607590"/>
      <rgbColor rgb="FF9E9E9E"/>
      <rgbColor rgb="FF1F3864"/>
      <rgbColor rgb="FF2E7D32"/>
      <rgbColor rgb="FF0D1117"/>
      <rgbColor rgb="FF1E273A"/>
      <rgbColor rgb="FF97360F"/>
      <rgbColor rgb="FF7C2D12"/>
      <rgbColor rgb="FF4C1D95"/>
      <rgbColor rgb="FF292C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CH" sz="1800" spc="-1" strike="noStrike">
                <a:solidFill>
                  <a:srgbClr val="000000"/>
                </a:solidFill>
                <a:latin typeface="Calibri"/>
              </a:defRPr>
            </a:pPr>
            <a:r>
              <a:rPr b="1" lang="de-CH" sz="1800" spc="-1" strike="noStrike">
                <a:solidFill>
                  <a:srgbClr val="000000"/>
                </a:solidFill>
                <a:latin typeface="Calibri"/>
              </a:rPr>
              <a:t>Pipeline — Status (Anzahl)</a:t>
            </a:r>
          </a:p>
        </c:rich>
      </c:tx>
      <c:overlay val="0"/>
      <c:spPr>
        <a:noFill/>
        <a:ln w="0">
          <a:noFill/>
        </a:ln>
      </c:spPr>
    </c:title>
    <c:autoTitleDeleted val="0"/>
    <c:plotArea>
      <c:doughnutChart>
        <c:varyColors val="1"/>
        <c:ser>
          <c:idx val="0"/>
          <c:order val="0"/>
          <c:tx>
            <c:strRef>
              <c:f>_data!$C$1</c:f>
              <c:strCache>
                <c:ptCount val="1"/>
                <c:pt idx="0">
                  <c:v>Anzahl</c:v>
                </c:pt>
              </c:strCache>
            </c:strRef>
          </c:tx>
          <c:spPr>
            <a:solidFill>
              <a:srgbClr val="4f81bd"/>
            </a:solidFill>
            <a:ln w="0">
              <a:noFill/>
            </a:ln>
          </c:spPr>
          <c:explosion val="0"/>
          <c:dPt>
            <c:idx val="0"/>
            <c:spPr>
              <a:solidFill>
                <a:srgbClr val="2e7d32"/>
              </a:solidFill>
              <a:ln w="0">
                <a:noFill/>
              </a:ln>
            </c:spPr>
          </c:dPt>
          <c:dPt>
            <c:idx val="1"/>
            <c:spPr>
              <a:solidFill>
                <a:srgbClr val="1565c0"/>
              </a:solidFill>
              <a:ln w="0">
                <a:noFill/>
              </a:ln>
            </c:spPr>
          </c:dPt>
          <c:dPt>
            <c:idx val="2"/>
            <c:spPr>
              <a:solidFill>
                <a:srgbClr val="1976d2"/>
              </a:solidFill>
              <a:ln w="0">
                <a:noFill/>
              </a:ln>
            </c:spPr>
          </c:dPt>
          <c:dPt>
            <c:idx val="3"/>
            <c:spPr>
              <a:solidFill>
                <a:srgbClr val="f57c00"/>
              </a:solidFill>
              <a:ln w="0">
                <a:noFill/>
              </a:ln>
            </c:spPr>
          </c:dPt>
          <c:dPt>
            <c:idx val="4"/>
            <c:spPr>
              <a:solidFill>
                <a:srgbClr val="ffd600"/>
              </a:solidFill>
              <a:ln w="0">
                <a:noFill/>
              </a:ln>
            </c:spPr>
          </c:dPt>
          <c:dPt>
            <c:idx val="5"/>
            <c:spPr>
              <a:solidFill>
                <a:srgbClr val="ffd600"/>
              </a:solidFill>
              <a:ln w="0">
                <a:noFill/>
              </a:ln>
            </c:spPr>
          </c:dPt>
          <c:dPt>
            <c:idx val="6"/>
            <c:spPr>
              <a:solidFill>
                <a:srgbClr val="9e9e9e"/>
              </a:solidFill>
              <a:ln w="0">
                <a:noFill/>
              </a:ln>
            </c:spPr>
          </c:dPt>
          <c:dPt>
            <c:idx val="7"/>
            <c:spPr>
              <a:solidFill>
                <a:srgbClr val="bdbdbd"/>
              </a:solidFill>
              <a:ln w="0">
                <a:noFill/>
              </a:ln>
            </c:spPr>
          </c:dPt>
          <c:dPt>
            <c:idx val="8"/>
            <c:spPr>
              <a:solidFill>
                <a:srgbClr val="c62828"/>
              </a:solidFill>
              <a:ln w="0">
                <a:noFill/>
              </a:ln>
            </c:spPr>
          </c:dPt>
          <c:dPt>
            <c:idx val="9"/>
            <c:spPr>
              <a:solidFill>
                <a:srgbClr val="b71c1c"/>
              </a:solidFill>
              <a:ln w="0">
                <a:noFill/>
              </a:ln>
            </c:spPr>
          </c:dPt>
          <c:dLbls>
            <c:dLbl>
              <c:idx val="0"/>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dLbl>
              <c:idx val="4"/>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dLbl>
              <c:idx val="5"/>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dLbl>
              <c:idx val="6"/>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dLbl>
              <c:idx val="7"/>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dLbl>
              <c:idx val="8"/>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dLbl>
              <c:idx val="9"/>
              <c:txPr>
                <a:bodyPr wrap="square"/>
                <a:lstStyle/>
                <a:p>
                  <a:pPr>
                    <a:defRPr b="0" sz="1000" spc="-1" strike="noStrike">
                      <a:solidFill>
                        <a:srgbClr val="000000"/>
                      </a:solidFill>
                      <a:latin typeface="Calibri"/>
                    </a:defRPr>
                  </a:pPr>
                </a:p>
              </c:txPr>
              <c:showLegendKey val="1"/>
              <c:showVal val="0"/>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0"/>
            <c:showCatName val="1"/>
            <c:showSerName val="1"/>
            <c:showPercent val="1"/>
            <c:separator>
</c:separator>
            <c:showLeaderLines val="1"/>
          </c:dLbls>
          <c:cat>
            <c:strRef>
              <c:f>_data!$B$2:$B$11</c:f>
              <c:strCache>
                <c:ptCount val="10"/>
                <c:pt idx="0">
                  <c:v>✅ WON</c:v>
                </c:pt>
                <c:pt idx="1">
                  <c:v>📄 Offerte</c:v>
                </c:pt>
                <c:pt idx="2">
                  <c:v>📝 To Offer</c:v>
                </c:pt>
                <c:pt idx="3">
                  <c:v>🎯 Follow-Up</c:v>
                </c:pt>
                <c:pt idx="4">
                  <c:v>🔍 Evaluation</c:v>
                </c:pt>
                <c:pt idx="5">
                  <c:v>🔍 In Eval</c:v>
                </c:pt>
                <c:pt idx="6">
                  <c:v>⏸ On Hold</c:v>
                </c:pt>
                <c:pt idx="7">
                  <c:v>❓ TBD</c:v>
                </c:pt>
                <c:pt idx="8">
                  <c:v>❌ LOST</c:v>
                </c:pt>
                <c:pt idx="9">
                  <c:v>🚫 Declined</c:v>
                </c:pt>
              </c:strCache>
            </c:strRef>
          </c:cat>
          <c:val>
            <c:numRef>
              <c:f>_data!$C$2:$C$11</c:f>
              <c:numCache>
                <c:formatCode>General</c:formatCode>
                <c:ptCount val="10"/>
                <c:pt idx="0">
                  <c:v>12</c:v>
                </c:pt>
                <c:pt idx="1">
                  <c:v>29</c:v>
                </c:pt>
                <c:pt idx="2">
                  <c:v>0</c:v>
                </c:pt>
                <c:pt idx="3">
                  <c:v>0</c:v>
                </c:pt>
                <c:pt idx="4">
                  <c:v>0</c:v>
                </c:pt>
                <c:pt idx="5">
                  <c:v>0</c:v>
                </c:pt>
                <c:pt idx="6">
                  <c:v>4</c:v>
                </c:pt>
                <c:pt idx="7">
                  <c:v>1</c:v>
                </c:pt>
                <c:pt idx="8">
                  <c:v>7</c:v>
                </c:pt>
                <c:pt idx="9">
                  <c:v>13</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CH" sz="1800" spc="-1" strike="noStrike">
                <a:solidFill>
                  <a:srgbClr val="000000"/>
                </a:solidFill>
                <a:latin typeface="Calibri"/>
              </a:defRPr>
            </a:pPr>
            <a:r>
              <a:rPr b="1" lang="de-CH" sz="1800" spc="-1" strike="noStrike">
                <a:solidFill>
                  <a:srgbClr val="000000"/>
                </a:solidFill>
                <a:latin typeface="Calibri"/>
              </a:rPr>
              <a:t>Pipeline — Status nach Volumen CHF</a:t>
            </a:r>
          </a:p>
        </c:rich>
      </c:tx>
      <c:overlay val="0"/>
      <c:spPr>
        <a:noFill/>
        <a:ln w="0">
          <a:noFill/>
        </a:ln>
      </c:spPr>
    </c:title>
    <c:autoTitleDeleted val="0"/>
    <c:plotArea>
      <c:barChart>
        <c:barDir val="bar"/>
        <c:grouping val="clustered"/>
        <c:varyColors val="0"/>
        <c:ser>
          <c:idx val="0"/>
          <c:order val="0"/>
          <c:tx>
            <c:strRef>
              <c:f>_data!$D$1</c:f>
              <c:strCache>
                <c:ptCount val="1"/>
                <c:pt idx="0">
                  <c:v>Volumen</c:v>
                </c:pt>
              </c:strCache>
            </c:strRef>
          </c:tx>
          <c:spPr>
            <a:solidFill>
              <a:srgbClr val="4f81bd"/>
            </a:solidFill>
            <a:ln w="0">
              <a:noFill/>
            </a:ln>
          </c:spPr>
          <c:invertIfNegative val="0"/>
          <c:dPt>
            <c:idx val="0"/>
            <c:invertIfNegative val="0"/>
            <c:spPr>
              <a:solidFill>
                <a:srgbClr val="2e7d32"/>
              </a:solidFill>
              <a:ln w="0">
                <a:noFill/>
              </a:ln>
            </c:spPr>
          </c:dPt>
          <c:dPt>
            <c:idx val="1"/>
            <c:invertIfNegative val="0"/>
            <c:spPr>
              <a:solidFill>
                <a:srgbClr val="1565c0"/>
              </a:solidFill>
              <a:ln w="0">
                <a:noFill/>
              </a:ln>
            </c:spPr>
          </c:dPt>
          <c:dPt>
            <c:idx val="2"/>
            <c:invertIfNegative val="0"/>
            <c:spPr>
              <a:solidFill>
                <a:srgbClr val="1976d2"/>
              </a:solidFill>
              <a:ln w="0">
                <a:noFill/>
              </a:ln>
            </c:spPr>
          </c:dPt>
          <c:dPt>
            <c:idx val="3"/>
            <c:invertIfNegative val="0"/>
            <c:spPr>
              <a:solidFill>
                <a:srgbClr val="f57c00"/>
              </a:solidFill>
              <a:ln w="0">
                <a:noFill/>
              </a:ln>
            </c:spPr>
          </c:dPt>
          <c:dPt>
            <c:idx val="4"/>
            <c:invertIfNegative val="0"/>
            <c:spPr>
              <a:solidFill>
                <a:srgbClr val="ffd600"/>
              </a:solidFill>
              <a:ln w="0">
                <a:noFill/>
              </a:ln>
            </c:spPr>
          </c:dPt>
          <c:dPt>
            <c:idx val="5"/>
            <c:invertIfNegative val="0"/>
            <c:spPr>
              <a:solidFill>
                <a:srgbClr val="ffd600"/>
              </a:solidFill>
              <a:ln w="0">
                <a:noFill/>
              </a:ln>
            </c:spPr>
          </c:dPt>
          <c:dPt>
            <c:idx val="6"/>
            <c:invertIfNegative val="0"/>
            <c:spPr>
              <a:solidFill>
                <a:srgbClr val="9e9e9e"/>
              </a:solidFill>
              <a:ln w="0">
                <a:noFill/>
              </a:ln>
            </c:spPr>
          </c:dPt>
          <c:dPt>
            <c:idx val="7"/>
            <c:invertIfNegative val="0"/>
            <c:spPr>
              <a:solidFill>
                <a:srgbClr val="bdbdbd"/>
              </a:solidFill>
              <a:ln w="0">
                <a:noFill/>
              </a:ln>
            </c:spPr>
          </c:dPt>
          <c:dPt>
            <c:idx val="8"/>
            <c:invertIfNegative val="0"/>
            <c:spPr>
              <a:solidFill>
                <a:srgbClr val="c62828"/>
              </a:solidFill>
              <a:ln w="0">
                <a:noFill/>
              </a:ln>
            </c:spPr>
          </c:dPt>
          <c:dPt>
            <c:idx val="9"/>
            <c:invertIfNegative val="0"/>
            <c:spPr>
              <a:solidFill>
                <a:srgbClr val="b71c1c"/>
              </a:solidFill>
              <a:ln w="0">
                <a:noFill/>
              </a:ln>
            </c:spPr>
          </c:dPt>
          <c:dLbls>
            <c:dLbl>
              <c:idx val="0"/>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3"/>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4"/>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5"/>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6"/>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7"/>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8"/>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9"/>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_data!$B$2:$B$11</c:f>
              <c:strCache>
                <c:ptCount val="10"/>
                <c:pt idx="0">
                  <c:v>✅ WON</c:v>
                </c:pt>
                <c:pt idx="1">
                  <c:v>📄 Offerte</c:v>
                </c:pt>
                <c:pt idx="2">
                  <c:v>📝 To Offer</c:v>
                </c:pt>
                <c:pt idx="3">
                  <c:v>🎯 Follow-Up</c:v>
                </c:pt>
                <c:pt idx="4">
                  <c:v>🔍 Evaluation</c:v>
                </c:pt>
                <c:pt idx="5">
                  <c:v>🔍 In Eval</c:v>
                </c:pt>
                <c:pt idx="6">
                  <c:v>⏸ On Hold</c:v>
                </c:pt>
                <c:pt idx="7">
                  <c:v>❓ TBD</c:v>
                </c:pt>
                <c:pt idx="8">
                  <c:v>❌ LOST</c:v>
                </c:pt>
                <c:pt idx="9">
                  <c:v>🚫 Declined</c:v>
                </c:pt>
              </c:strCache>
            </c:strRef>
          </c:cat>
          <c:val>
            <c:numRef>
              <c:f>_data!$D$2:$D$11</c:f>
              <c:numCache>
                <c:formatCode>General</c:formatCode>
                <c:ptCount val="10"/>
                <c:pt idx="0">
                  <c:v>1428553.13</c:v>
                </c:pt>
                <c:pt idx="1">
                  <c:v>4887938.3</c:v>
                </c:pt>
                <c:pt idx="2">
                  <c:v>0</c:v>
                </c:pt>
                <c:pt idx="3">
                  <c:v>0</c:v>
                </c:pt>
                <c:pt idx="4">
                  <c:v>0</c:v>
                </c:pt>
                <c:pt idx="5">
                  <c:v>0</c:v>
                </c:pt>
                <c:pt idx="6">
                  <c:v>545657.8</c:v>
                </c:pt>
                <c:pt idx="7">
                  <c:v>0</c:v>
                </c:pt>
                <c:pt idx="8">
                  <c:v>78251.62</c:v>
                </c:pt>
                <c:pt idx="9">
                  <c:v>96029.01</c:v>
                </c:pt>
              </c:numCache>
            </c:numRef>
          </c:val>
        </c:ser>
        <c:gapWidth val="150"/>
        <c:overlap val="0"/>
        <c:axId val="18439227"/>
        <c:axId val="46474879"/>
      </c:barChart>
      <c:catAx>
        <c:axId val="1843922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6474879"/>
        <c:crosses val="autoZero"/>
        <c:auto val="1"/>
        <c:lblAlgn val="ctr"/>
        <c:lblOffset val="100"/>
        <c:noMultiLvlLbl val="0"/>
      </c:catAx>
      <c:valAx>
        <c:axId val="46474879"/>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84392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tx>
            <c:strRef>
              <c:f>_data!$C$1</c:f>
              <c:strCache>
                <c:ptCount val="1"/>
                <c:pt idx="0">
                  <c:v>Anzahl</c:v>
                </c:pt>
              </c:strCache>
            </c:strRef>
          </c:tx>
          <c:spPr>
            <a:solidFill>
              <a:srgbClr val="4f81bd"/>
            </a:solidFill>
            <a:ln w="0">
              <a:noFill/>
            </a:ln>
          </c:spPr>
          <c:explosion val="0"/>
          <c:dPt>
            <c:idx val="0"/>
            <c:spPr>
              <a:solidFill>
                <a:srgbClr val="2e7d32"/>
              </a:solidFill>
              <a:ln w="0">
                <a:noFill/>
              </a:ln>
            </c:spPr>
          </c:dPt>
          <c:dPt>
            <c:idx val="1"/>
            <c:spPr>
              <a:solidFill>
                <a:srgbClr val="1565c0"/>
              </a:solidFill>
              <a:ln w="0">
                <a:noFill/>
              </a:ln>
            </c:spPr>
          </c:dPt>
          <c:dPt>
            <c:idx val="2"/>
            <c:spPr>
              <a:solidFill>
                <a:srgbClr val="1976d2"/>
              </a:solidFill>
              <a:ln w="0">
                <a:noFill/>
              </a:ln>
            </c:spPr>
          </c:dPt>
          <c:dPt>
            <c:idx val="3"/>
            <c:spPr>
              <a:solidFill>
                <a:srgbClr val="f57c00"/>
              </a:solidFill>
              <a:ln w="0">
                <a:noFill/>
              </a:ln>
            </c:spPr>
          </c:dPt>
          <c:dPt>
            <c:idx val="4"/>
            <c:spPr>
              <a:solidFill>
                <a:srgbClr val="ffd600"/>
              </a:solidFill>
              <a:ln w="0">
                <a:noFill/>
              </a:ln>
            </c:spPr>
          </c:dPt>
          <c:dPt>
            <c:idx val="5"/>
            <c:spPr>
              <a:solidFill>
                <a:srgbClr val="ffd600"/>
              </a:solidFill>
              <a:ln w="0">
                <a:noFill/>
              </a:ln>
            </c:spPr>
          </c:dPt>
          <c:dPt>
            <c:idx val="6"/>
            <c:spPr>
              <a:solidFill>
                <a:srgbClr val="9e9e9e"/>
              </a:solidFill>
              <a:ln w="0">
                <a:noFill/>
              </a:ln>
            </c:spPr>
          </c:dPt>
          <c:dPt>
            <c:idx val="7"/>
            <c:spPr>
              <a:solidFill>
                <a:srgbClr val="bdbdbd"/>
              </a:solidFill>
              <a:ln w="0">
                <a:noFill/>
              </a:ln>
            </c:spPr>
          </c:dPt>
          <c:dPt>
            <c:idx val="8"/>
            <c:spPr>
              <a:solidFill>
                <a:srgbClr val="c62828"/>
              </a:solidFill>
              <a:ln w="0">
                <a:noFill/>
              </a:ln>
            </c:spPr>
          </c:dPt>
          <c:dPt>
            <c:idx val="9"/>
            <c:spPr>
              <a:solidFill>
                <a:srgbClr val="b71c1c"/>
              </a:solidFill>
              <a:ln w="0">
                <a:noFill/>
              </a:ln>
            </c:spPr>
          </c:dPt>
          <c:dLbls>
            <c:numFmt formatCode="General" sourceLinked="1"/>
            <c:dLbl>
              <c:idx val="0"/>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dLbl>
              <c:idx val="1"/>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dLbl>
              <c:idx val="2"/>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dLbl>
              <c:idx val="3"/>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dLbl>
              <c:idx val="4"/>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dLbl>
              <c:idx val="5"/>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dLbl>
              <c:idx val="6"/>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dLbl>
              <c:idx val="7"/>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dLbl>
              <c:idx val="8"/>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dLbl>
              <c:idx val="9"/>
              <c:numFmt formatCode="General" sourceLinked="1"/>
              <c:txPr>
                <a:bodyPr wrap="square"/>
                <a:lstStyle/>
                <a:p>
                  <a:pPr>
                    <a:defRPr b="0" sz="1000" spc="-1" strike="noStrike">
                      <a:solidFill>
                        <a:srgbClr val="000000"/>
                      </a:solidFill>
                      <a:latin typeface="Calibri"/>
                    </a:defRPr>
                  </a:pPr>
                </a:p>
              </c:txPr>
              <c:showLegendKey val="1"/>
              <c:showVal val="1"/>
              <c:showCatName val="0"/>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0"/>
            <c:showSerName val="1"/>
            <c:showPercent val="1"/>
            <c:separator>; </c:separator>
            <c:showLeaderLines val="1"/>
          </c:dLbls>
          <c:cat>
            <c:strRef>
              <c:f>_data!$B$2:$B$11</c:f>
              <c:strCache>
                <c:ptCount val="10"/>
                <c:pt idx="0">
                  <c:v>✅ WON</c:v>
                </c:pt>
                <c:pt idx="1">
                  <c:v>📄 Offerte</c:v>
                </c:pt>
                <c:pt idx="2">
                  <c:v>📝 To Offer</c:v>
                </c:pt>
                <c:pt idx="3">
                  <c:v>🎯 Follow-Up</c:v>
                </c:pt>
                <c:pt idx="4">
                  <c:v>🔍 Evaluation</c:v>
                </c:pt>
                <c:pt idx="5">
                  <c:v>🔍 In Eval</c:v>
                </c:pt>
                <c:pt idx="6">
                  <c:v>⏸ On Hold</c:v>
                </c:pt>
                <c:pt idx="7">
                  <c:v>❓ TBD</c:v>
                </c:pt>
                <c:pt idx="8">
                  <c:v>❌ LOST</c:v>
                </c:pt>
                <c:pt idx="9">
                  <c:v>🚫 Declined</c:v>
                </c:pt>
              </c:strCache>
            </c:strRef>
          </c:cat>
          <c:val>
            <c:numRef>
              <c:f>_data!$C$2:$C$11</c:f>
              <c:numCache>
                <c:formatCode>General</c:formatCode>
                <c:ptCount val="10"/>
                <c:pt idx="0">
                  <c:v>12</c:v>
                </c:pt>
                <c:pt idx="1">
                  <c:v>29</c:v>
                </c:pt>
                <c:pt idx="2">
                  <c:v>0</c:v>
                </c:pt>
                <c:pt idx="3">
                  <c:v>0</c:v>
                </c:pt>
                <c:pt idx="4">
                  <c:v>0</c:v>
                </c:pt>
                <c:pt idx="5">
                  <c:v>0</c:v>
                </c:pt>
                <c:pt idx="6">
                  <c:v>4</c:v>
                </c:pt>
                <c:pt idx="7">
                  <c:v>1</c:v>
                </c:pt>
                <c:pt idx="8">
                  <c:v>7</c:v>
                </c:pt>
                <c:pt idx="9">
                  <c:v>13</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_data!$D$1</c:f>
              <c:strCache>
                <c:ptCount val="1"/>
                <c:pt idx="0">
                  <c:v>Volumen</c:v>
                </c:pt>
              </c:strCache>
            </c:strRef>
          </c:tx>
          <c:spPr>
            <a:solidFill>
              <a:srgbClr val="4f81bd"/>
            </a:solidFill>
            <a:ln w="0">
              <a:noFill/>
            </a:ln>
          </c:spPr>
          <c:invertIfNegative val="0"/>
          <c:dPt>
            <c:idx val="0"/>
            <c:invertIfNegative val="0"/>
            <c:spPr>
              <a:solidFill>
                <a:srgbClr val="2e7d32"/>
              </a:solidFill>
              <a:ln w="0">
                <a:noFill/>
              </a:ln>
            </c:spPr>
          </c:dPt>
          <c:dPt>
            <c:idx val="1"/>
            <c:invertIfNegative val="0"/>
            <c:spPr>
              <a:solidFill>
                <a:srgbClr val="1565c0"/>
              </a:solidFill>
              <a:ln w="0">
                <a:noFill/>
              </a:ln>
            </c:spPr>
          </c:dPt>
          <c:dPt>
            <c:idx val="2"/>
            <c:invertIfNegative val="0"/>
            <c:spPr>
              <a:solidFill>
                <a:srgbClr val="1976d2"/>
              </a:solidFill>
              <a:ln w="0">
                <a:noFill/>
              </a:ln>
            </c:spPr>
          </c:dPt>
          <c:dPt>
            <c:idx val="3"/>
            <c:invertIfNegative val="0"/>
            <c:spPr>
              <a:solidFill>
                <a:srgbClr val="f57c00"/>
              </a:solidFill>
              <a:ln w="0">
                <a:noFill/>
              </a:ln>
            </c:spPr>
          </c:dPt>
          <c:dPt>
            <c:idx val="4"/>
            <c:invertIfNegative val="0"/>
            <c:spPr>
              <a:solidFill>
                <a:srgbClr val="ffd600"/>
              </a:solidFill>
              <a:ln w="0">
                <a:noFill/>
              </a:ln>
            </c:spPr>
          </c:dPt>
          <c:dPt>
            <c:idx val="5"/>
            <c:invertIfNegative val="0"/>
            <c:spPr>
              <a:solidFill>
                <a:srgbClr val="ffd600"/>
              </a:solidFill>
              <a:ln w="0">
                <a:noFill/>
              </a:ln>
            </c:spPr>
          </c:dPt>
          <c:dPt>
            <c:idx val="6"/>
            <c:invertIfNegative val="0"/>
            <c:spPr>
              <a:solidFill>
                <a:srgbClr val="9e9e9e"/>
              </a:solidFill>
              <a:ln w="0">
                <a:noFill/>
              </a:ln>
            </c:spPr>
          </c:dPt>
          <c:dPt>
            <c:idx val="7"/>
            <c:invertIfNegative val="0"/>
            <c:spPr>
              <a:solidFill>
                <a:srgbClr val="bdbdbd"/>
              </a:solidFill>
              <a:ln w="0">
                <a:noFill/>
              </a:ln>
            </c:spPr>
          </c:dPt>
          <c:dPt>
            <c:idx val="8"/>
            <c:invertIfNegative val="0"/>
            <c:spPr>
              <a:solidFill>
                <a:srgbClr val="c62828"/>
              </a:solidFill>
              <a:ln w="0">
                <a:noFill/>
              </a:ln>
            </c:spPr>
          </c:dPt>
          <c:dPt>
            <c:idx val="9"/>
            <c:invertIfNegative val="0"/>
            <c:spPr>
              <a:solidFill>
                <a:srgbClr val="b71c1c"/>
              </a:solidFill>
              <a:ln w="0">
                <a:noFill/>
              </a:ln>
            </c:spPr>
          </c:dPt>
          <c:dLbls>
            <c:dLbl>
              <c:idx val="0"/>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3"/>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4"/>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5"/>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6"/>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7"/>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8"/>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9"/>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_data!$B$2:$B$11</c:f>
              <c:strCache>
                <c:ptCount val="10"/>
                <c:pt idx="0">
                  <c:v>✅ WON</c:v>
                </c:pt>
                <c:pt idx="1">
                  <c:v>📄 Offerte</c:v>
                </c:pt>
                <c:pt idx="2">
                  <c:v>📝 To Offer</c:v>
                </c:pt>
                <c:pt idx="3">
                  <c:v>🎯 Follow-Up</c:v>
                </c:pt>
                <c:pt idx="4">
                  <c:v>🔍 Evaluation</c:v>
                </c:pt>
                <c:pt idx="5">
                  <c:v>🔍 In Eval</c:v>
                </c:pt>
                <c:pt idx="6">
                  <c:v>⏸ On Hold</c:v>
                </c:pt>
                <c:pt idx="7">
                  <c:v>❓ TBD</c:v>
                </c:pt>
                <c:pt idx="8">
                  <c:v>❌ LOST</c:v>
                </c:pt>
                <c:pt idx="9">
                  <c:v>🚫 Declined</c:v>
                </c:pt>
              </c:strCache>
            </c:strRef>
          </c:cat>
          <c:val>
            <c:numRef>
              <c:f>_data!$D$2:$D$11</c:f>
              <c:numCache>
                <c:formatCode>General</c:formatCode>
                <c:ptCount val="10"/>
                <c:pt idx="0">
                  <c:v>1428553.13</c:v>
                </c:pt>
                <c:pt idx="1">
                  <c:v>4887938.3</c:v>
                </c:pt>
                <c:pt idx="2">
                  <c:v>0</c:v>
                </c:pt>
                <c:pt idx="3">
                  <c:v>0</c:v>
                </c:pt>
                <c:pt idx="4">
                  <c:v>0</c:v>
                </c:pt>
                <c:pt idx="5">
                  <c:v>0</c:v>
                </c:pt>
                <c:pt idx="6">
                  <c:v>545657.8</c:v>
                </c:pt>
                <c:pt idx="7">
                  <c:v>0</c:v>
                </c:pt>
                <c:pt idx="8">
                  <c:v>78251.62</c:v>
                </c:pt>
                <c:pt idx="9">
                  <c:v>96029.01</c:v>
                </c:pt>
              </c:numCache>
            </c:numRef>
          </c:val>
        </c:ser>
        <c:gapWidth val="150"/>
        <c:overlap val="0"/>
        <c:axId val="2242143"/>
        <c:axId val="22744020"/>
      </c:barChart>
      <c:catAx>
        <c:axId val="224214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2744020"/>
        <c:crosses val="autoZero"/>
        <c:auto val="1"/>
        <c:lblAlgn val="ctr"/>
        <c:lblOffset val="100"/>
        <c:noMultiLvlLbl val="0"/>
      </c:catAx>
      <c:valAx>
        <c:axId val="22744020"/>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24214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_data!$B$13</c:f>
              <c:strCache>
                <c:ptCount val="1"/>
                <c:pt idx="0">
                  <c:v>Volumen</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_data!$A$14:$A$39</c:f>
              <c:strCache>
                <c:ptCount val="26"/>
                <c:pt idx="0">
                  <c:v>AG</c:v>
                </c:pt>
                <c:pt idx="1">
                  <c:v>AI</c:v>
                </c:pt>
                <c:pt idx="2">
                  <c:v>AR</c:v>
                </c:pt>
                <c:pt idx="3">
                  <c:v>BE</c:v>
                </c:pt>
                <c:pt idx="4">
                  <c:v>BL</c:v>
                </c:pt>
                <c:pt idx="5">
                  <c:v>BS</c:v>
                </c:pt>
                <c:pt idx="6">
                  <c:v>FR</c:v>
                </c:pt>
                <c:pt idx="7">
                  <c:v>GE</c:v>
                </c:pt>
                <c:pt idx="8">
                  <c:v>GL</c:v>
                </c:pt>
                <c:pt idx="9">
                  <c:v>GR</c:v>
                </c:pt>
                <c:pt idx="10">
                  <c:v>JU</c:v>
                </c:pt>
                <c:pt idx="11">
                  <c:v>LU</c:v>
                </c:pt>
                <c:pt idx="12">
                  <c:v>NE</c:v>
                </c:pt>
                <c:pt idx="13">
                  <c:v>NW</c:v>
                </c:pt>
                <c:pt idx="14">
                  <c:v>OW</c:v>
                </c:pt>
                <c:pt idx="15">
                  <c:v>SG</c:v>
                </c:pt>
                <c:pt idx="16">
                  <c:v>SH</c:v>
                </c:pt>
                <c:pt idx="17">
                  <c:v>SO</c:v>
                </c:pt>
                <c:pt idx="18">
                  <c:v>SZ</c:v>
                </c:pt>
                <c:pt idx="19">
                  <c:v>TG</c:v>
                </c:pt>
                <c:pt idx="20">
                  <c:v>TI</c:v>
                </c:pt>
                <c:pt idx="21">
                  <c:v>UR</c:v>
                </c:pt>
                <c:pt idx="22">
                  <c:v>VD</c:v>
                </c:pt>
                <c:pt idx="23">
                  <c:v>VS</c:v>
                </c:pt>
                <c:pt idx="24">
                  <c:v>ZG</c:v>
                </c:pt>
                <c:pt idx="25">
                  <c:v>ZH</c:v>
                </c:pt>
              </c:strCache>
            </c:strRef>
          </c:cat>
          <c:val>
            <c:numRef>
              <c:f>_data!$B$14:$B$39</c:f>
              <c:numCache>
                <c:formatCode>General</c:formatCode>
                <c:ptCount val="26"/>
                <c:pt idx="0">
                  <c:v>444672.95</c:v>
                </c:pt>
                <c:pt idx="1">
                  <c:v>0</c:v>
                </c:pt>
                <c:pt idx="2">
                  <c:v>0</c:v>
                </c:pt>
                <c:pt idx="3">
                  <c:v>58012.12</c:v>
                </c:pt>
                <c:pt idx="4">
                  <c:v>13472.18</c:v>
                </c:pt>
                <c:pt idx="5">
                  <c:v>13866.21</c:v>
                </c:pt>
                <c:pt idx="6">
                  <c:v>0</c:v>
                </c:pt>
                <c:pt idx="7">
                  <c:v>38885</c:v>
                </c:pt>
                <c:pt idx="8">
                  <c:v>0</c:v>
                </c:pt>
                <c:pt idx="9">
                  <c:v>77325.62</c:v>
                </c:pt>
                <c:pt idx="10">
                  <c:v>0</c:v>
                </c:pt>
                <c:pt idx="11">
                  <c:v>23626.77</c:v>
                </c:pt>
                <c:pt idx="12">
                  <c:v>0</c:v>
                </c:pt>
                <c:pt idx="13">
                  <c:v>0</c:v>
                </c:pt>
                <c:pt idx="14">
                  <c:v>0</c:v>
                </c:pt>
                <c:pt idx="15">
                  <c:v>101192.62</c:v>
                </c:pt>
                <c:pt idx="16">
                  <c:v>2637287.63</c:v>
                </c:pt>
                <c:pt idx="17">
                  <c:v>390750.65</c:v>
                </c:pt>
                <c:pt idx="18">
                  <c:v>0</c:v>
                </c:pt>
                <c:pt idx="19">
                  <c:v>160817.26</c:v>
                </c:pt>
                <c:pt idx="20">
                  <c:v>0</c:v>
                </c:pt>
                <c:pt idx="21">
                  <c:v>0</c:v>
                </c:pt>
                <c:pt idx="22">
                  <c:v>0</c:v>
                </c:pt>
                <c:pt idx="23">
                  <c:v>303790.2</c:v>
                </c:pt>
                <c:pt idx="24">
                  <c:v>40491.67</c:v>
                </c:pt>
                <c:pt idx="25">
                  <c:v>2732238.98</c:v>
                </c:pt>
              </c:numCache>
            </c:numRef>
          </c:val>
        </c:ser>
        <c:gapWidth val="150"/>
        <c:overlap val="0"/>
        <c:axId val="96080401"/>
        <c:axId val="31418683"/>
      </c:barChart>
      <c:catAx>
        <c:axId val="9608040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1418683"/>
        <c:crosses val="autoZero"/>
        <c:auto val="1"/>
        <c:lblAlgn val="ctr"/>
        <c:lblOffset val="100"/>
        <c:noMultiLvlLbl val="0"/>
      </c:catAx>
      <c:valAx>
        <c:axId val="31418683"/>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608040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_data!$H$1</c:f>
              <c:strCache>
                <c:ptCount val="1"/>
                <c:pt idx="0">
                  <c:v>Volumen</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_data!$G$2:$G$27</c:f>
              <c:strCache>
                <c:ptCount val="26"/>
                <c:pt idx="0">
                  <c:v>Events &amp; Sport</c:v>
                </c:pt>
                <c:pt idx="1">
                  <c:v>Industrie / Oberfläche</c:v>
                </c:pt>
                <c:pt idx="2">
                  <c:v>Industrie / Elektro</c:v>
                </c:pt>
                <c:pt idx="3">
                  <c:v>Events &amp; Kultur</c:v>
                </c:pt>
                <c:pt idx="4">
                  <c:v>Immobilien / FM</c:v>
                </c:pt>
                <c:pt idx="5">
                  <c:v>EVU / Energie</c:v>
                </c:pt>
                <c:pt idx="6">
                  <c:v>Infrastruktur / Bau</c:v>
                </c:pt>
                <c:pt idx="7">
                  <c:v>Industrie / Metall</c:v>
                </c:pt>
                <c:pt idx="8">
                  <c:v>Elektroinstallation</c:v>
                </c:pt>
                <c:pt idx="9">
                  <c:v>Events / Medien</c:v>
                </c:pt>
                <c:pt idx="10">
                  <c:v>Forschung / Hightech</c:v>
                </c:pt>
                <c:pt idx="11">
                  <c:v>Industrie / Messtechnik</c:v>
                </c:pt>
                <c:pt idx="12">
                  <c:v>Infrastruktur / Bahn</c:v>
                </c:pt>
                <c:pt idx="13">
                  <c:v>Bildung / Forschung</c:v>
                </c:pt>
                <c:pt idx="14">
                  <c:v>tbd</c:v>
                </c:pt>
                <c:pt idx="15">
                  <c:v>Industrie / Generatoren</c:v>
                </c:pt>
                <c:pt idx="16">
                  <c:v>Ingenieure / Planung</c:v>
                </c:pt>
                <c:pt idx="17">
                  <c:v>Kühlung / Konkurrenz</c:v>
                </c:pt>
                <c:pt idx="18">
                  <c:v>Gemeinde</c:v>
                </c:pt>
                <c:pt idx="19">
                  <c:v>Hochschule</c:v>
                </c:pt>
                <c:pt idx="20">
                  <c:v>Industrie</c:v>
                </c:pt>
                <c:pt idx="21">
                  <c:v>Event</c:v>
                </c:pt>
                <c:pt idx="22">
                  <c:v>Festival</c:v>
                </c:pt>
                <c:pt idx="23">
                  <c:v>Veranstaltung</c:v>
                </c:pt>
                <c:pt idx="24">
                  <c:v>EVU</c:v>
                </c:pt>
                <c:pt idx="25">
                  <c:v>Forschung</c:v>
                </c:pt>
              </c:strCache>
            </c:strRef>
          </c:cat>
          <c:val>
            <c:numRef>
              <c:f>_data!$H$2:$H$27</c:f>
              <c:numCache>
                <c:formatCode>General</c:formatCode>
                <c:ptCount val="26"/>
                <c:pt idx="0">
                  <c:v>380000</c:v>
                </c:pt>
                <c:pt idx="1">
                  <c:v>13100</c:v>
                </c:pt>
                <c:pt idx="2">
                  <c:v>10000</c:v>
                </c:pt>
                <c:pt idx="3">
                  <c:v>150000</c:v>
                </c:pt>
                <c:pt idx="4">
                  <c:v>390000</c:v>
                </c:pt>
                <c:pt idx="5">
                  <c:v>137658.69</c:v>
                </c:pt>
                <c:pt idx="6">
                  <c:v>57897.12</c:v>
                </c:pt>
                <c:pt idx="7">
                  <c:v>500000</c:v>
                </c:pt>
                <c:pt idx="8">
                  <c:v>97679.21</c:v>
                </c:pt>
                <c:pt idx="9">
                  <c:v>0</c:v>
                </c:pt>
                <c:pt idx="10">
                  <c:v>365003</c:v>
                </c:pt>
                <c:pt idx="11">
                  <c:v>75769</c:v>
                </c:pt>
                <c:pt idx="12">
                  <c:v>0</c:v>
                </c:pt>
                <c:pt idx="13">
                  <c:v>0</c:v>
                </c:pt>
                <c:pt idx="14">
                  <c:v>0</c:v>
                </c:pt>
                <c:pt idx="15">
                  <c:v>48950</c:v>
                </c:pt>
                <c:pt idx="16">
                  <c:v>39000</c:v>
                </c:pt>
                <c:pt idx="17">
                  <c:v>12572.63</c:v>
                </c:pt>
                <c:pt idx="18">
                  <c:v>0</c:v>
                </c:pt>
                <c:pt idx="19">
                  <c:v>0</c:v>
                </c:pt>
                <c:pt idx="20">
                  <c:v>3224511.48</c:v>
                </c:pt>
                <c:pt idx="21">
                  <c:v>211297.08</c:v>
                </c:pt>
                <c:pt idx="22">
                  <c:v>750.65</c:v>
                </c:pt>
                <c:pt idx="23">
                  <c:v>5328.36</c:v>
                </c:pt>
                <c:pt idx="24">
                  <c:v>231093.64</c:v>
                </c:pt>
                <c:pt idx="25">
                  <c:v>13533</c:v>
                </c:pt>
              </c:numCache>
            </c:numRef>
          </c:val>
        </c:ser>
        <c:gapWidth val="150"/>
        <c:overlap val="0"/>
        <c:axId val="21490174"/>
        <c:axId val="95452436"/>
      </c:barChart>
      <c:catAx>
        <c:axId val="2149017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452436"/>
        <c:crosses val="autoZero"/>
        <c:auto val="1"/>
        <c:lblAlgn val="ctr"/>
        <c:lblOffset val="100"/>
        <c:noMultiLvlLbl val="0"/>
      </c:catAx>
      <c:valAx>
        <c:axId val="95452436"/>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149017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  Pipeline nach Wahrscheinlichkeits-Band — Umsatz vs. gewichtet (Aggreko)</a:t>
            </a:r>
          </a:p>
        </c:rich>
      </c:tx>
      <c:overlay val="0"/>
      <c:spPr>
        <a:noFill/>
        <a:ln w="0">
          <a:noFill/>
        </a:ln>
      </c:spPr>
    </c:title>
    <c:autoTitleDeleted val="0"/>
    <c:plotArea>
      <c:barChart>
        <c:barDir val="col"/>
        <c:grouping val="clustered"/>
        <c:varyColors val="0"/>
        <c:ser>
          <c:idx val="0"/>
          <c:order val="0"/>
          <c:tx>
            <c:strRef>
              <c:f>_data!M1</c:f>
              <c:strCache>
                <c:ptCount val="1"/>
                <c:pt idx="0">
                  <c:v>Umsatz CHF</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_data!$K$2:$K$6</c:f>
              <c:strCache>
                <c:ptCount val="5"/>
                <c:pt idx="0">
                  <c:v>0 – 44 %</c:v>
                </c:pt>
                <c:pt idx="1">
                  <c:v>45 – 59 %</c:v>
                </c:pt>
                <c:pt idx="2">
                  <c:v>60 – 89 %</c:v>
                </c:pt>
                <c:pt idx="3">
                  <c:v>90 – 99 %</c:v>
                </c:pt>
                <c:pt idx="4">
                  <c:v>100 %  ·  WON</c:v>
                </c:pt>
              </c:strCache>
            </c:strRef>
          </c:cat>
          <c:val>
            <c:numRef>
              <c:f>_data!$M$2:$M$6</c:f>
              <c:numCache>
                <c:formatCode>#,##0</c:formatCode>
                <c:ptCount val="5"/>
                <c:pt idx="0">
                  <c:v>5092182.15</c:v>
                </c:pt>
                <c:pt idx="1">
                  <c:v>0</c:v>
                </c:pt>
                <c:pt idx="2">
                  <c:v>268500.23</c:v>
                </c:pt>
                <c:pt idx="3">
                  <c:v>72913.72</c:v>
                </c:pt>
                <c:pt idx="4">
                  <c:v>1428553.13</c:v>
                </c:pt>
              </c:numCache>
            </c:numRef>
          </c:val>
        </c:ser>
        <c:ser>
          <c:idx val="1"/>
          <c:order val="1"/>
          <c:tx>
            <c:strRef>
              <c:f>_data!N1</c:f>
              <c:strCache>
                <c:ptCount val="1"/>
                <c:pt idx="0">
                  <c:v>Gewichtet CHF</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_data!$K$2:$K$6</c:f>
              <c:strCache>
                <c:ptCount val="5"/>
                <c:pt idx="0">
                  <c:v>0 – 44 %</c:v>
                </c:pt>
                <c:pt idx="1">
                  <c:v>45 – 59 %</c:v>
                </c:pt>
                <c:pt idx="2">
                  <c:v>60 – 89 %</c:v>
                </c:pt>
                <c:pt idx="3">
                  <c:v>90 – 99 %</c:v>
                </c:pt>
                <c:pt idx="4">
                  <c:v>100 %  ·  WON</c:v>
                </c:pt>
              </c:strCache>
            </c:strRef>
          </c:cat>
          <c:val>
            <c:numRef>
              <c:f>_data!$N$2:$N$6</c:f>
              <c:numCache>
                <c:formatCode>#,##0</c:formatCode>
                <c:ptCount val="5"/>
                <c:pt idx="0">
                  <c:v>0</c:v>
                </c:pt>
                <c:pt idx="1">
                  <c:v>0</c:v>
                </c:pt>
                <c:pt idx="2">
                  <c:v>134250.115</c:v>
                </c:pt>
                <c:pt idx="3">
                  <c:v>65622.348</c:v>
                </c:pt>
                <c:pt idx="4">
                  <c:v>1428553.13</c:v>
                </c:pt>
              </c:numCache>
            </c:numRef>
          </c:val>
        </c:ser>
        <c:gapWidth val="60"/>
        <c:overlap val="0"/>
        <c:axId val="26432717"/>
        <c:axId val="72975948"/>
      </c:barChart>
      <c:catAx>
        <c:axId val="2643271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2975948"/>
        <c:crosses val="autoZero"/>
        <c:auto val="1"/>
        <c:lblAlgn val="ctr"/>
        <c:lblOffset val="100"/>
        <c:noMultiLvlLbl val="0"/>
      </c:catAx>
      <c:valAx>
        <c:axId val="72975948"/>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CHF</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643271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624960</xdr:colOff>
      <xdr:row>207</xdr:row>
      <xdr:rowOff>133200</xdr:rowOff>
    </xdr:from>
    <xdr:to>
      <xdr:col>11</xdr:col>
      <xdr:colOff>250560</xdr:colOff>
      <xdr:row>238</xdr:row>
      <xdr:rowOff>37080</xdr:rowOff>
    </xdr:to>
    <xdr:graphicFrame>
      <xdr:nvGraphicFramePr>
        <xdr:cNvPr id="0" name="Chart 1"/>
        <xdr:cNvGraphicFramePr/>
      </xdr:nvGraphicFramePr>
      <xdr:xfrm>
        <a:off x="7794000" y="53520840"/>
        <a:ext cx="5595840" cy="6971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207</xdr:row>
      <xdr:rowOff>86400</xdr:rowOff>
    </xdr:from>
    <xdr:to>
      <xdr:col>5</xdr:col>
      <xdr:colOff>849960</xdr:colOff>
      <xdr:row>234</xdr:row>
      <xdr:rowOff>67320</xdr:rowOff>
    </xdr:to>
    <xdr:graphicFrame>
      <xdr:nvGraphicFramePr>
        <xdr:cNvPr id="1" name="Chart 2"/>
        <xdr:cNvGraphicFramePr/>
      </xdr:nvGraphicFramePr>
      <xdr:xfrm>
        <a:off x="0" y="53474040"/>
        <a:ext cx="6186600" cy="621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8</xdr:col>
      <xdr:colOff>774720</xdr:colOff>
      <xdr:row>46</xdr:row>
      <xdr:rowOff>190080</xdr:rowOff>
    </xdr:to>
    <xdr:graphicFrame>
      <xdr:nvGraphicFramePr>
        <xdr:cNvPr id="2" name="Chart 1"/>
        <xdr:cNvGraphicFramePr/>
      </xdr:nvGraphicFramePr>
      <xdr:xfrm>
        <a:off x="0" y="1000080"/>
        <a:ext cx="6977520" cy="8353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4</xdr:row>
      <xdr:rowOff>0</xdr:rowOff>
    </xdr:from>
    <xdr:to>
      <xdr:col>17</xdr:col>
      <xdr:colOff>775080</xdr:colOff>
      <xdr:row>46</xdr:row>
      <xdr:rowOff>190080</xdr:rowOff>
    </xdr:to>
    <xdr:graphicFrame>
      <xdr:nvGraphicFramePr>
        <xdr:cNvPr id="3" name="Chart 2"/>
        <xdr:cNvGraphicFramePr/>
      </xdr:nvGraphicFramePr>
      <xdr:xfrm>
        <a:off x="6977880" y="1000080"/>
        <a:ext cx="6977880" cy="8353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49</xdr:row>
      <xdr:rowOff>0</xdr:rowOff>
    </xdr:from>
    <xdr:to>
      <xdr:col>8</xdr:col>
      <xdr:colOff>774720</xdr:colOff>
      <xdr:row>92</xdr:row>
      <xdr:rowOff>190080</xdr:rowOff>
    </xdr:to>
    <xdr:graphicFrame>
      <xdr:nvGraphicFramePr>
        <xdr:cNvPr id="4" name="Chart 3"/>
        <xdr:cNvGraphicFramePr/>
      </xdr:nvGraphicFramePr>
      <xdr:xfrm>
        <a:off x="0" y="9734400"/>
        <a:ext cx="6977520" cy="83912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49</xdr:row>
      <xdr:rowOff>0</xdr:rowOff>
    </xdr:from>
    <xdr:to>
      <xdr:col>17</xdr:col>
      <xdr:colOff>775080</xdr:colOff>
      <xdr:row>92</xdr:row>
      <xdr:rowOff>190080</xdr:rowOff>
    </xdr:to>
    <xdr:graphicFrame>
      <xdr:nvGraphicFramePr>
        <xdr:cNvPr id="5" name="Chart 4"/>
        <xdr:cNvGraphicFramePr/>
      </xdr:nvGraphicFramePr>
      <xdr:xfrm>
        <a:off x="6977880" y="9734400"/>
        <a:ext cx="6977880" cy="83912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95</xdr:row>
      <xdr:rowOff>0</xdr:rowOff>
    </xdr:from>
    <xdr:to>
      <xdr:col>17</xdr:col>
      <xdr:colOff>775080</xdr:colOff>
      <xdr:row>137</xdr:row>
      <xdr:rowOff>190080</xdr:rowOff>
    </xdr:to>
    <xdr:graphicFrame>
      <xdr:nvGraphicFramePr>
        <xdr:cNvPr id="6" name="Chart 5"/>
        <xdr:cNvGraphicFramePr/>
      </xdr:nvGraphicFramePr>
      <xdr:xfrm>
        <a:off x="0" y="18507240"/>
        <a:ext cx="13955760" cy="81910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 width="3"/>
    <col collapsed="false" customWidth="true" hidden="false" outlineLevel="0" max="2" min="2" style="1" width="5"/>
    <col collapsed="false" customWidth="true" hidden="false" outlineLevel="0" max="3" min="3" style="1" width="26"/>
    <col collapsed="false" customWidth="true" hidden="false" outlineLevel="0" max="4" min="4" style="1" width="5.76"/>
    <col collapsed="false" customWidth="true" hidden="false" outlineLevel="0" max="5" min="5" style="1" width="12"/>
    <col collapsed="false" customWidth="true" hidden="false" outlineLevel="0" max="6" min="6" style="1" width="17"/>
    <col collapsed="false" customWidth="true" hidden="false" outlineLevel="0" max="7" min="7" style="1" width="12"/>
    <col collapsed="false" customWidth="true" hidden="false" outlineLevel="0" max="8" min="8" style="1" width="16"/>
    <col collapsed="false" customWidth="true" hidden="false" outlineLevel="0" max="9" min="9" style="1" width="3"/>
  </cols>
  <sheetData>
    <row r="1" customFormat="false" ht="37.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3" customFormat="false" ht="15" hidden="false" customHeight="true" outlineLevel="0" collapsed="false">
      <c r="A3" s="4" t="str">
        <f aca="true">"Stand: "&amp;TEXT(TODAY(),"DD.MM.YYYY")&amp;"  ·  Live aus Pipeline"</f>
        <v>Stand: 10.08.2026  ·  Live aus Pipeline</v>
      </c>
      <c r="B3" s="4"/>
      <c r="C3" s="4"/>
      <c r="D3" s="4"/>
      <c r="E3" s="4"/>
      <c r="F3" s="4"/>
      <c r="G3" s="4"/>
      <c r="H3" s="4"/>
    </row>
    <row r="5" customFormat="false" ht="21.75" hidden="false" customHeight="true" outlineLevel="0" collapsed="false">
      <c r="B5" s="5" t="s">
        <v>2</v>
      </c>
      <c r="C5" s="5"/>
      <c r="D5" s="5"/>
      <c r="E5" s="6" t="s">
        <v>3</v>
      </c>
      <c r="F5" s="6"/>
      <c r="G5" s="7" t="s">
        <v>4</v>
      </c>
      <c r="H5" s="7"/>
    </row>
    <row r="6" customFormat="false" ht="18" hidden="false" customHeight="true" outlineLevel="0" collapsed="false">
      <c r="B6" s="8" t="n">
        <f aca="false">Dashboard!A6</f>
        <v>1428553.13</v>
      </c>
      <c r="C6" s="8"/>
      <c r="D6" s="8"/>
      <c r="E6" s="8" t="n">
        <f aca="false">Dashboard!D6</f>
        <v>5433596.1</v>
      </c>
      <c r="F6" s="8"/>
      <c r="G6" s="8" t="n">
        <f aca="false">Dashboard!G6</f>
        <v>0</v>
      </c>
      <c r="H6" s="8"/>
    </row>
    <row r="7" customFormat="false" ht="18" hidden="false" customHeight="true" outlineLevel="0" collapsed="false">
      <c r="B7" s="8"/>
      <c r="C7" s="8"/>
      <c r="D7" s="8"/>
      <c r="E7" s="8"/>
      <c r="F7" s="8"/>
      <c r="G7" s="8"/>
      <c r="H7" s="8"/>
    </row>
    <row r="8" customFormat="false" ht="18" hidden="false" customHeight="true" outlineLevel="0" collapsed="false">
      <c r="B8" s="9" t="str">
        <f aca="false">Dashboard!A7&amp;IF(Dashboard!A7=1," Deal"," Deals")</f>
        <v>12 Deals</v>
      </c>
      <c r="C8" s="9"/>
      <c r="D8" s="9"/>
      <c r="E8" s="9" t="str">
        <f aca="false">Dashboard!D7&amp;IF(Dashboard!D7=1," Deal"," Deals")</f>
        <v>33 Deals</v>
      </c>
      <c r="F8" s="9"/>
      <c r="G8" s="9" t="str">
        <f aca="false">Dashboard!G7&amp;IF(Dashboard!G7=1," Deal"," Deals")</f>
        <v>1 Deal</v>
      </c>
      <c r="H8" s="9"/>
    </row>
    <row r="10" customFormat="false" ht="27.75" hidden="false" customHeight="true" outlineLevel="0" collapsed="false">
      <c r="B10" s="10" t="str">
        <f aca="false">"📊  PIPELINE: "&amp;TEXT(Dashboard!I6,"#,##0")&amp;" CHF  ·  "&amp;Dashboard!I7&amp;" Deals  ·  ⚖️ GEWICHTET: "&amp;TEXT('⚖️ Wahrscheinlichkeit'!$G$22,"#,##0")&amp;" CHF"</f>
        <v>📊  PIPELINE: 6,862,149 CHF  ·  46 Deals  ·  ⚖️ GEWICHTET: 1,628,426 CHF</v>
      </c>
      <c r="C10" s="10"/>
      <c r="D10" s="10"/>
      <c r="E10" s="10"/>
      <c r="F10" s="10"/>
      <c r="G10" s="10"/>
      <c r="H10" s="10"/>
    </row>
    <row r="12" customFormat="false" ht="16.5" hidden="false" customHeight="true" outlineLevel="0" collapsed="false">
      <c r="B12" s="11" t="s">
        <v>5</v>
      </c>
      <c r="C12" s="11"/>
      <c r="D12" s="11"/>
      <c r="E12" s="11"/>
      <c r="F12" s="11"/>
      <c r="G12" s="11"/>
    </row>
    <row r="13" customFormat="false" ht="15" hidden="false" customHeight="true" outlineLevel="0" collapsed="false">
      <c r="B13" s="12" t="s">
        <v>6</v>
      </c>
      <c r="C13" s="12" t="s">
        <v>7</v>
      </c>
      <c r="D13" s="12" t="s">
        <v>8</v>
      </c>
      <c r="E13" s="12" t="s">
        <v>9</v>
      </c>
      <c r="F13" s="12" t="s">
        <v>10</v>
      </c>
      <c r="G13" s="12" t="s">
        <v>11</v>
      </c>
      <c r="H13" s="12" t="s">
        <v>12</v>
      </c>
    </row>
    <row r="14" customFormat="false" ht="15" hidden="false" customHeight="true" outlineLevel="0" collapsed="false">
      <c r="B14" s="13" t="n">
        <v>1</v>
      </c>
      <c r="C14" s="14" t="str">
        <f aca="false">IFERROR(INDEX('MiT Strom Pipeline'!B6:B860,MATCH(LARGE('MiT Strom Pipeline'!AK6:AK860,1),'MiT Strom Pipeline'!AK6:AK860,0)),"")</f>
        <v>Ice Hockey Championship</v>
      </c>
      <c r="D14" s="13" t="str">
        <f aca="false">IFERROR(INDEX('MiT Strom Pipeline'!C6:C860,MATCH(LARGE('MiT Strom Pipeline'!AK6:AK860,1),'MiT Strom Pipeline'!AK6:AK860,0)),"")</f>
        <v>ZH</v>
      </c>
      <c r="E14" s="15" t="str">
        <f aca="false">IFERROR(IF(ISNUMBER(INDEX('MiT Strom Pipeline'!$O$6:$O$860,MATCH(LARGE('MiT Strom Pipeline'!$AK$6:$AK$860,1),'MiT Strom Pipeline'!$AK$6:$AK$860,0))),INDEX('MiT Strom Pipeline'!$O$6:$O$860,MATCH(LARGE('MiT Strom Pipeline'!$AK$6:$AK$860,1),'MiT Strom Pipeline'!$AK$6:$AK$860,0)),IF(INDEX('MiT Strom Pipeline'!$H$6:$H$860,MATCH(LARGE('MiT Strom Pipeline'!$AK$6:$AK$860,1),'MiT Strom Pipeline'!$AK$6:$AK$860,0))="","",INDEX('MiT Strom Pipeline'!$H$6:$H$860,MATCH(LARGE('MiT Strom Pipeline'!$AK$6:$AK$860,1),'MiT Strom Pipeline'!$AK$6:$AK$860,0)))),"")</f>
        <v>Mai</v>
      </c>
      <c r="F14" s="14" t="str">
        <f aca="false">IFERROR(INDEX('MiT Strom Pipeline'!D6:D860,MATCH(LARGE('MiT Strom Pipeline'!AK6:AK860,1),'MiT Strom Pipeline'!AK6:AK860,0)),"")</f>
        <v>Events &amp; Sport</v>
      </c>
      <c r="G14" s="16" t="n">
        <f aca="false">IFERROR(INDEX('MiT Strom Pipeline'!I6:I860,MATCH(LARGE('MiT Strom Pipeline'!AK6:AK860,1),'MiT Strom Pipeline'!AK6:AK860,0)),"")</f>
        <v>380000</v>
      </c>
      <c r="H14" s="15" t="str">
        <f aca="false">IFERROR(IF(ISNUMBER(INDEX('MiT Strom Pipeline'!$P$6:$P$860,MATCH(LARGE('MiT Strom Pipeline'!$AK$6:$AK$860,1),'MiT Strom Pipeline'!$AK$6:$AK$860,0))),INDEX('MiT Strom Pipeline'!$P$6:$P$860,MATCH(LARGE('MiT Strom Pipeline'!$AK$6:$AK$860,1),'MiT Strom Pipeline'!$AK$6:$AK$860,0)),""),"")</f>
        <v/>
      </c>
    </row>
    <row r="15" customFormat="false" ht="15" hidden="false" customHeight="true" outlineLevel="0" collapsed="false">
      <c r="B15" s="13" t="n">
        <v>2</v>
      </c>
      <c r="C15" s="14" t="str">
        <f aca="false">IFERROR(INDEX('MiT Strom Pipeline'!B6:B860,MATCH(LARGE('MiT Strom Pipeline'!AK6:AK860,2),'MiT Strom Pipeline'!AK6:AK860,0)),"")</f>
        <v>DPR Heat Loadbank</v>
      </c>
      <c r="D15" s="13" t="str">
        <f aca="false">IFERROR(INDEX('MiT Strom Pipeline'!C6:C860,MATCH(LARGE('MiT Strom Pipeline'!AK6:AK860,2),'MiT Strom Pipeline'!AK6:AK860,0)),"")</f>
        <v>ZH</v>
      </c>
      <c r="E15" s="15" t="str">
        <f aca="false">IFERROR(IF(ISNUMBER(INDEX('MiT Strom Pipeline'!$O$6:$O$860,MATCH(LARGE('MiT Strom Pipeline'!$AK$6:$AK$860,2),'MiT Strom Pipeline'!$AK$6:$AK$860,0))),INDEX('MiT Strom Pipeline'!$O$6:$O$860,MATCH(LARGE('MiT Strom Pipeline'!$AK$6:$AK$860,2),'MiT Strom Pipeline'!$AK$6:$AK$860,0)),IF(INDEX('MiT Strom Pipeline'!$H$6:$H$860,MATCH(LARGE('MiT Strom Pipeline'!$AK$6:$AK$860,2),'MiT Strom Pipeline'!$AK$6:$AK$860,0))="","",INDEX('MiT Strom Pipeline'!$H$6:$H$860,MATCH(LARGE('MiT Strom Pipeline'!$AK$6:$AK$860,2),'MiT Strom Pipeline'!$AK$6:$AK$860,0)))),"")</f>
        <v>Aug</v>
      </c>
      <c r="F15" s="14" t="str">
        <f aca="false">IFERROR(INDEX('MiT Strom Pipeline'!D6:D860,MATCH(LARGE('MiT Strom Pipeline'!AK6:AK860,2),'MiT Strom Pipeline'!AK6:AK860,0)),"")</f>
        <v>Datacenter</v>
      </c>
      <c r="G15" s="16" t="n">
        <f aca="false">IFERROR(INDEX('MiT Strom Pipeline'!I6:I860,MATCH(LARGE('MiT Strom Pipeline'!AK6:AK860,2),'MiT Strom Pipeline'!AK6:AK860,0)),"")</f>
        <v>333790</v>
      </c>
      <c r="H15" s="15" t="str">
        <f aca="false">IFERROR(IF(ISNUMBER(INDEX('MiT Strom Pipeline'!$P$6:$P$860,MATCH(LARGE('MiT Strom Pipeline'!$AK$6:$AK$860,2),'MiT Strom Pipeline'!$AK$6:$AK$860,0))),INDEX('MiT Strom Pipeline'!$P$6:$P$860,MATCH(LARGE('MiT Strom Pipeline'!$AK$6:$AK$860,2),'MiT Strom Pipeline'!$AK$6:$AK$860,0)),""),"")</f>
        <v/>
      </c>
    </row>
    <row r="16" customFormat="false" ht="15" hidden="false" customHeight="true" outlineLevel="0" collapsed="false">
      <c r="B16" s="13" t="n">
        <v>3</v>
      </c>
      <c r="C16" s="14" t="str">
        <f aca="false">IFERROR(INDEX('MiT Strom Pipeline'!B6:B860,MATCH(LARGE('MiT Strom Pipeline'!AK6:AK860,3),'MiT Strom Pipeline'!AK6:AK860,0)),"")</f>
        <v>DPR Generator Loadbank Test</v>
      </c>
      <c r="D16" s="13" t="str">
        <f aca="false">IFERROR(INDEX('MiT Strom Pipeline'!C6:C860,MATCH(LARGE('MiT Strom Pipeline'!AK6:AK860,3),'MiT Strom Pipeline'!AK6:AK860,0)),"")</f>
        <v>ZH</v>
      </c>
      <c r="E16" s="15" t="str">
        <f aca="false">IFERROR(IF(ISNUMBER(INDEX('MiT Strom Pipeline'!$O$6:$O$860,MATCH(LARGE('MiT Strom Pipeline'!$AK$6:$AK$860,3),'MiT Strom Pipeline'!$AK$6:$AK$860,0))),INDEX('MiT Strom Pipeline'!$O$6:$O$860,MATCH(LARGE('MiT Strom Pipeline'!$AK$6:$AK$860,3),'MiT Strom Pipeline'!$AK$6:$AK$860,0)),IF(INDEX('MiT Strom Pipeline'!$H$6:$H$860,MATCH(LARGE('MiT Strom Pipeline'!$AK$6:$AK$860,3),'MiT Strom Pipeline'!$AK$6:$AK$860,0))="","",INDEX('MiT Strom Pipeline'!$H$6:$H$860,MATCH(LARGE('MiT Strom Pipeline'!$AK$6:$AK$860,3),'MiT Strom Pipeline'!$AK$6:$AK$860,0)))),"")</f>
        <v>Aug</v>
      </c>
      <c r="F16" s="14" t="str">
        <f aca="false">IFERROR(INDEX('MiT Strom Pipeline'!D6:D860,MATCH(LARGE('MiT Strom Pipeline'!AK6:AK860,3),'MiT Strom Pipeline'!AK6:AK860,0)),"")</f>
        <v>Datacenter</v>
      </c>
      <c r="G16" s="16" t="n">
        <f aca="false">IFERROR(INDEX('MiT Strom Pipeline'!I6:I860,MATCH(LARGE('MiT Strom Pipeline'!AK6:AK860,3),'MiT Strom Pipeline'!AK6:AK860,0)),"")</f>
        <v>331889.15</v>
      </c>
      <c r="H16" s="15" t="str">
        <f aca="false">IFERROR(IF(ISNUMBER(INDEX('MiT Strom Pipeline'!$P$6:$P$860,MATCH(LARGE('MiT Strom Pipeline'!$AK$6:$AK$860,3),'MiT Strom Pipeline'!$AK$6:$AK$860,0))),INDEX('MiT Strom Pipeline'!$P$6:$P$860,MATCH(LARGE('MiT Strom Pipeline'!$AK$6:$AK$860,3),'MiT Strom Pipeline'!$AK$6:$AK$860,0)),""),"")</f>
        <v/>
      </c>
    </row>
    <row r="17" customFormat="false" ht="15" hidden="false" customHeight="true" outlineLevel="0" collapsed="false">
      <c r="B17" s="13" t="n">
        <v>4</v>
      </c>
      <c r="C17" s="17" t="str">
        <f aca="false">IFERROR(INDEX('MiT Strom Pipeline'!B6:B860,MATCH(LARGE('MiT Strom Pipeline'!AK6:AK860,4),'MiT Strom Pipeline'!AK6:AK860,0)),"")</f>
        <v>Stagelight – OpenAir Frauenfeld</v>
      </c>
      <c r="D17" s="13" t="str">
        <f aca="false">IFERROR(INDEX('MiT Strom Pipeline'!C6:C860,MATCH(LARGE('MiT Strom Pipeline'!AK6:AK860,4),'MiT Strom Pipeline'!AK6:AK860,0)),"")</f>
        <v>TG</v>
      </c>
      <c r="E17" s="15" t="str">
        <f aca="false">IFERROR(IF(ISNUMBER(INDEX('MiT Strom Pipeline'!$O$6:$O$860,MATCH(LARGE('MiT Strom Pipeline'!$AK$6:$AK$860,4),'MiT Strom Pipeline'!$AK$6:$AK$860,0))),INDEX('MiT Strom Pipeline'!$O$6:$O$860,MATCH(LARGE('MiT Strom Pipeline'!$AK$6:$AK$860,4),'MiT Strom Pipeline'!$AK$6:$AK$860,0)),IF(INDEX('MiT Strom Pipeline'!$H$6:$H$860,MATCH(LARGE('MiT Strom Pipeline'!$AK$6:$AK$860,4),'MiT Strom Pipeline'!$AK$6:$AK$860,0))="","",INDEX('MiT Strom Pipeline'!$H$6:$H$860,MATCH(LARGE('MiT Strom Pipeline'!$AK$6:$AK$860,4),'MiT Strom Pipeline'!$AK$6:$AK$860,0)))),"")</f>
        <v>Juli</v>
      </c>
      <c r="F17" s="14" t="str">
        <f aca="false">IFERROR(INDEX('MiT Strom Pipeline'!D6:D860,MATCH(LARGE('MiT Strom Pipeline'!AK6:AK860,4),'MiT Strom Pipeline'!AK6:AK860,0)),"")</f>
        <v>Events &amp; Kultur</v>
      </c>
      <c r="G17" s="16" t="n">
        <f aca="false">IFERROR(INDEX('MiT Strom Pipeline'!I6:I860,MATCH(LARGE('MiT Strom Pipeline'!AK6:AK860,4),'MiT Strom Pipeline'!AK6:AK860,0)),"")</f>
        <v>150000</v>
      </c>
      <c r="H17" s="15" t="str">
        <f aca="false">IFERROR(IF(ISNUMBER(INDEX('MiT Strom Pipeline'!$P$6:$P$860,MATCH(LARGE('MiT Strom Pipeline'!$AK$6:$AK$860,4),'MiT Strom Pipeline'!$AK$6:$AK$860,0))),INDEX('MiT Strom Pipeline'!$P$6:$P$860,MATCH(LARGE('MiT Strom Pipeline'!$AK$6:$AK$860,4),'MiT Strom Pipeline'!$AK$6:$AK$860,0)),""),"")</f>
        <v/>
      </c>
    </row>
    <row r="18" customFormat="false" ht="15" hidden="false" customHeight="true" outlineLevel="0" collapsed="false">
      <c r="B18" s="13" t="n">
        <v>5</v>
      </c>
      <c r="C18" s="14" t="str">
        <f aca="false">IFERROR(INDEX('MiT Strom Pipeline'!B6:B860,MATCH(LARGE('MiT Strom Pipeline'!AK6:AK860,5),'MiT Strom Pipeline'!AK6:AK860,0)),"")</f>
        <v>Murg Flums Energie</v>
      </c>
      <c r="D18" s="13" t="str">
        <f aca="false">IFERROR(INDEX('MiT Strom Pipeline'!C6:C860,MATCH(LARGE('MiT Strom Pipeline'!AK6:AK860,5),'MiT Strom Pipeline'!AK6:AK860,0)),"")</f>
        <v>SG</v>
      </c>
      <c r="E18" s="15" t="str">
        <f aca="false">IFERROR(IF(ISNUMBER(INDEX('MiT Strom Pipeline'!$O$6:$O$860,MATCH(LARGE('MiT Strom Pipeline'!$AK$6:$AK$860,5),'MiT Strom Pipeline'!$AK$6:$AK$860,0))),INDEX('MiT Strom Pipeline'!$O$6:$O$860,MATCH(LARGE('MiT Strom Pipeline'!$AK$6:$AK$860,5),'MiT Strom Pipeline'!$AK$6:$AK$860,0)),IF(INDEX('MiT Strom Pipeline'!$H$6:$H$860,MATCH(LARGE('MiT Strom Pipeline'!$AK$6:$AK$860,5),'MiT Strom Pipeline'!$AK$6:$AK$860,0))="","",INDEX('MiT Strom Pipeline'!$H$6:$H$860,MATCH(LARGE('MiT Strom Pipeline'!$AK$6:$AK$860,5),'MiT Strom Pipeline'!$AK$6:$AK$860,0)))),"")</f>
        <v>Auf Abruf</v>
      </c>
      <c r="F18" s="14" t="str">
        <f aca="false">IFERROR(INDEX('MiT Strom Pipeline'!D6:D860,MATCH(LARGE('MiT Strom Pipeline'!AK6:AK860,5),'MiT Strom Pipeline'!AK6:AK860,0)),"")</f>
        <v>EVU / Energie</v>
      </c>
      <c r="G18" s="16" t="n">
        <f aca="false">IFERROR(INDEX('MiT Strom Pipeline'!I6:I860,MATCH(LARGE('MiT Strom Pipeline'!AK6:AK860,5),'MiT Strom Pipeline'!AK6:AK860,0)),"")</f>
        <v>96658.69</v>
      </c>
      <c r="H18" s="15" t="str">
        <f aca="false">IFERROR(IF(ISNUMBER(INDEX('MiT Strom Pipeline'!$P$6:$P$860,MATCH(LARGE('MiT Strom Pipeline'!$AK$6:$AK$860,5),'MiT Strom Pipeline'!$AK$6:$AK$860,0))),INDEX('MiT Strom Pipeline'!$P$6:$P$860,MATCH(LARGE('MiT Strom Pipeline'!$AK$6:$AK$860,5),'MiT Strom Pipeline'!$AK$6:$AK$860,0)),""),"")</f>
        <v/>
      </c>
    </row>
    <row r="21" customFormat="false" ht="16.5" hidden="false" customHeight="true" outlineLevel="0" collapsed="false">
      <c r="B21" s="11" t="s">
        <v>13</v>
      </c>
      <c r="C21" s="11"/>
      <c r="D21" s="11"/>
      <c r="E21" s="11"/>
      <c r="F21" s="11"/>
      <c r="G21" s="11"/>
    </row>
    <row r="22" customFormat="false" ht="15" hidden="false" customHeight="true" outlineLevel="0" collapsed="false">
      <c r="B22" s="18" t="s">
        <v>14</v>
      </c>
      <c r="C22" s="18"/>
      <c r="D22" s="19" t="s">
        <v>15</v>
      </c>
      <c r="E22" s="18" t="s">
        <v>16</v>
      </c>
      <c r="F22" s="18"/>
      <c r="G22" s="19" t="s">
        <v>17</v>
      </c>
    </row>
    <row r="23" customFormat="false" ht="15" hidden="false" customHeight="true" outlineLevel="0" collapsed="false">
      <c r="B23" s="20" t="s">
        <v>2</v>
      </c>
      <c r="C23" s="20"/>
      <c r="D23" s="21" t="n">
        <f aca="false">COUNTIF('MiT Strom Pipeline'!R6:R860,"WON")</f>
        <v>12</v>
      </c>
      <c r="E23" s="22" t="n">
        <f aca="false">SUMIFS('MiT Strom Pipeline'!I6:I860,'MiT Strom Pipeline'!R6:R860,"WON")</f>
        <v>1428553.13</v>
      </c>
      <c r="F23" s="22"/>
      <c r="G23" s="23" t="n">
        <f aca="false">IFERROR(E23/Dashboard!I6,0)</f>
        <v>0.208178674365553</v>
      </c>
    </row>
    <row r="24" customFormat="false" ht="15" hidden="false" customHeight="true" outlineLevel="0" collapsed="false">
      <c r="B24" s="24" t="s">
        <v>18</v>
      </c>
      <c r="C24" s="24"/>
      <c r="D24" s="21" t="n">
        <f aca="false">COUNTIF('MiT Strom Pipeline'!R6:R860,"offered")+COUNTIF('MiT Strom Pipeline'!R6:R860,"to be offered")</f>
        <v>29</v>
      </c>
      <c r="E24" s="22" t="n">
        <f aca="false">SUMIFS('MiT Strom Pipeline'!I6:I860,'MiT Strom Pipeline'!R6:R860,"offered")+SUMIFS('MiT Strom Pipeline'!I6:I860,'MiT Strom Pipeline'!R6:R860,"to be offered")</f>
        <v>4887938.3</v>
      </c>
      <c r="F24" s="22"/>
      <c r="G24" s="23" t="n">
        <f aca="false">IFERROR(E24/Dashboard!I6,0)</f>
        <v>0.712304284877815</v>
      </c>
    </row>
    <row r="25" customFormat="false" ht="15" hidden="false" customHeight="true" outlineLevel="0" collapsed="false">
      <c r="B25" s="25" t="s">
        <v>19</v>
      </c>
      <c r="C25" s="25"/>
      <c r="D25" s="21" t="n">
        <f aca="false">COUNTIF('MiT Strom Pipeline'!R6:R860,"follow-up")</f>
        <v>0</v>
      </c>
      <c r="E25" s="22" t="n">
        <f aca="false">SUMIFS('MiT Strom Pipeline'!I6:I860,'MiT Strom Pipeline'!R6:R860,"follow-up")</f>
        <v>0</v>
      </c>
      <c r="F25" s="22"/>
      <c r="G25" s="23" t="n">
        <f aca="false">IFERROR(E25/Dashboard!I6,0)</f>
        <v>0</v>
      </c>
    </row>
    <row r="26" customFormat="false" ht="15" hidden="false" customHeight="true" outlineLevel="0" collapsed="false">
      <c r="B26" s="26" t="s">
        <v>20</v>
      </c>
      <c r="C26" s="26"/>
      <c r="D26" s="21" t="n">
        <f aca="false">COUNTIF('MiT Strom Pipeline'!R6:R860,"Evaluation")+COUNTIF('MiT Strom Pipeline'!R6:R860,"In evaluation")</f>
        <v>0</v>
      </c>
      <c r="E26" s="22" t="n">
        <f aca="false">SUMIFS('MiT Strom Pipeline'!I6:I860,'MiT Strom Pipeline'!R6:R860,"Evaluation")+SUMIFS('MiT Strom Pipeline'!I6:I860,'MiT Strom Pipeline'!R6:R860,"In evaluation")</f>
        <v>0</v>
      </c>
      <c r="F26" s="22"/>
      <c r="G26" s="23" t="n">
        <f aca="false">IFERROR(E26/Dashboard!I6,0)</f>
        <v>0</v>
      </c>
    </row>
    <row r="27" customFormat="false" ht="15" hidden="false" customHeight="true" outlineLevel="0" collapsed="false">
      <c r="B27" s="27" t="s">
        <v>21</v>
      </c>
      <c r="C27" s="27"/>
      <c r="D27" s="21" t="n">
        <f aca="false">COUNTIF('MiT Strom Pipeline'!R6:R860,"on hold")</f>
        <v>4</v>
      </c>
      <c r="E27" s="22" t="n">
        <f aca="false">SUMIFS('MiT Strom Pipeline'!I6:I860,'MiT Strom Pipeline'!R6:R860,"on hold")</f>
        <v>545657.8</v>
      </c>
      <c r="F27" s="22"/>
      <c r="G27" s="23" t="n">
        <f aca="false">IFERROR(E27/Dashboard!I6,0)</f>
        <v>0.0795170407566319</v>
      </c>
    </row>
    <row r="28" customFormat="false" ht="15" hidden="false" customHeight="true" outlineLevel="0" collapsed="false">
      <c r="B28" s="28" t="s">
        <v>22</v>
      </c>
      <c r="C28" s="28"/>
      <c r="D28" s="21" t="n">
        <f aca="false">COUNTIF('MiT Strom Pipeline'!R6:R860,"tbd")</f>
        <v>1</v>
      </c>
      <c r="E28" s="22" t="n">
        <f aca="false">SUMIFS('MiT Strom Pipeline'!I6:I860,'MiT Strom Pipeline'!R6:R860,"tbd")</f>
        <v>0</v>
      </c>
      <c r="F28" s="22"/>
      <c r="G28" s="23" t="n">
        <f aca="false">IFERROR(E28/Dashboard!I6,0)</f>
        <v>0</v>
      </c>
    </row>
    <row r="29" customFormat="false" ht="15" hidden="false" customHeight="true" outlineLevel="0" collapsed="false">
      <c r="B29" s="29" t="s">
        <v>23</v>
      </c>
      <c r="C29" s="29"/>
      <c r="D29" s="21" t="n">
        <f aca="false">COUNTIF('MiT Strom Pipeline'!R6:R860,"LOST")</f>
        <v>7</v>
      </c>
      <c r="E29" s="22" t="n">
        <f aca="false">SUMIFS('MiT Strom Pipeline'!I6:I860,'MiT Strom Pipeline'!R6:R860,"LOST")</f>
        <v>78251.62</v>
      </c>
      <c r="F29" s="22"/>
      <c r="G29" s="23" t="n">
        <f aca="false">IFERROR(E29/Dashboard!I6,0)</f>
        <v>0.0114033690287438</v>
      </c>
    </row>
    <row r="30" customFormat="false" ht="15" hidden="false" customHeight="true" outlineLevel="0" collapsed="false">
      <c r="B30" s="30" t="s">
        <v>24</v>
      </c>
      <c r="C30" s="30"/>
      <c r="D30" s="21" t="n">
        <f aca="false">COUNTIF('MiT Strom Pipeline'!R6:R860,"Declined")</f>
        <v>13</v>
      </c>
      <c r="E30" s="22" t="n">
        <f aca="false">SUMIFS('MiT Strom Pipeline'!I6:I860,'MiT Strom Pipeline'!R6:R860,"Declined")</f>
        <v>96029.01</v>
      </c>
      <c r="F30" s="22"/>
      <c r="G30" s="23" t="n">
        <f aca="false">IFERROR(E30/Dashboard!I6,0)</f>
        <v>0.0139940136510264</v>
      </c>
    </row>
    <row r="32" customFormat="false" ht="16.5" hidden="false" customHeight="true" outlineLevel="0" collapsed="false">
      <c r="B32" s="11" t="s">
        <v>25</v>
      </c>
      <c r="C32" s="11"/>
      <c r="D32" s="11"/>
      <c r="E32" s="11"/>
      <c r="F32" s="11"/>
      <c r="G32" s="11"/>
    </row>
    <row r="33" customFormat="false" ht="15" hidden="false" customHeight="true" outlineLevel="0" collapsed="false">
      <c r="B33" s="18" t="s">
        <v>26</v>
      </c>
      <c r="C33" s="18"/>
      <c r="D33" s="19" t="s">
        <v>27</v>
      </c>
      <c r="E33" s="18" t="s">
        <v>28</v>
      </c>
      <c r="F33" s="18"/>
      <c r="G33" s="18" t="s">
        <v>29</v>
      </c>
      <c r="H33" s="18"/>
    </row>
    <row r="34" customFormat="false" ht="15" hidden="false" customHeight="true" outlineLevel="0" collapsed="false">
      <c r="B34" s="31" t="str">
        <f aca="false">'⚖️ Wahrscheinlichkeit'!$A$17</f>
        <v>0 – 44 %</v>
      </c>
      <c r="C34" s="31"/>
      <c r="D34" s="32" t="n">
        <f aca="false">'⚖️ Wahrscheinlichkeit'!$D$17</f>
        <v>0</v>
      </c>
      <c r="E34" s="33" t="n">
        <f aca="false">'⚖️ Wahrscheinlichkeit'!$F$17</f>
        <v>5092182.15</v>
      </c>
      <c r="F34" s="33"/>
      <c r="G34" s="33" t="n">
        <f aca="false">'⚖️ Wahrscheinlichkeit'!$G$17</f>
        <v>0</v>
      </c>
      <c r="H34" s="33"/>
    </row>
    <row r="35" customFormat="false" ht="15" hidden="false" customHeight="true" outlineLevel="0" collapsed="false">
      <c r="A35" s="34"/>
      <c r="B35" s="35" t="str">
        <f aca="false">'⚖️ Wahrscheinlichkeit'!$A$18</f>
        <v>45 – 59 %</v>
      </c>
      <c r="C35" s="35"/>
      <c r="D35" s="36" t="n">
        <f aca="false">'⚖️ Wahrscheinlichkeit'!$D$18</f>
        <v>0.3</v>
      </c>
      <c r="E35" s="37" t="n">
        <f aca="false">'⚖️ Wahrscheinlichkeit'!$F$18</f>
        <v>0</v>
      </c>
      <c r="F35" s="37"/>
      <c r="G35" s="37" t="n">
        <f aca="false">'⚖️ Wahrscheinlichkeit'!$G$18</f>
        <v>0</v>
      </c>
      <c r="H35" s="37"/>
    </row>
    <row r="36" customFormat="false" ht="15" hidden="false" customHeight="true" outlineLevel="0" collapsed="false">
      <c r="B36" s="38" t="str">
        <f aca="false">'⚖️ Wahrscheinlichkeit'!$A$19</f>
        <v>60 – 89 %</v>
      </c>
      <c r="C36" s="38"/>
      <c r="D36" s="39" t="n">
        <f aca="false">'⚖️ Wahrscheinlichkeit'!$D$19</f>
        <v>0.5</v>
      </c>
      <c r="E36" s="40" t="n">
        <f aca="false">'⚖️ Wahrscheinlichkeit'!$F$19</f>
        <v>268500.23</v>
      </c>
      <c r="F36" s="40"/>
      <c r="G36" s="40" t="n">
        <f aca="false">'⚖️ Wahrscheinlichkeit'!$G$19</f>
        <v>134250.115</v>
      </c>
      <c r="H36" s="40"/>
    </row>
    <row r="37" customFormat="false" ht="15" hidden="false" customHeight="true" outlineLevel="0" collapsed="false">
      <c r="B37" s="41" t="str">
        <f aca="false">'⚖️ Wahrscheinlichkeit'!$A$20</f>
        <v>90 – 99 %</v>
      </c>
      <c r="C37" s="41"/>
      <c r="D37" s="42" t="n">
        <f aca="false">'⚖️ Wahrscheinlichkeit'!$D$20</f>
        <v>0.9</v>
      </c>
      <c r="E37" s="43" t="n">
        <f aca="false">'⚖️ Wahrscheinlichkeit'!$F$20</f>
        <v>72913.72</v>
      </c>
      <c r="F37" s="43"/>
      <c r="G37" s="43" t="n">
        <f aca="false">'⚖️ Wahrscheinlichkeit'!$G$20</f>
        <v>65622.348</v>
      </c>
      <c r="H37" s="43"/>
    </row>
    <row r="38" customFormat="false" ht="15" hidden="false" customHeight="true" outlineLevel="0" collapsed="false">
      <c r="B38" s="44" t="str">
        <f aca="false">'⚖️ Wahrscheinlichkeit'!$A$21</f>
        <v>100 %  ·  WON</v>
      </c>
      <c r="C38" s="44"/>
      <c r="D38" s="45" t="n">
        <f aca="false">'⚖️ Wahrscheinlichkeit'!$D$21</f>
        <v>1</v>
      </c>
      <c r="E38" s="46" t="n">
        <f aca="false">'⚖️ Wahrscheinlichkeit'!$F$21</f>
        <v>1428553.13</v>
      </c>
      <c r="F38" s="46"/>
      <c r="G38" s="46" t="n">
        <f aca="false">'⚖️ Wahrscheinlichkeit'!$G$21</f>
        <v>1428553.13</v>
      </c>
      <c r="H38" s="46"/>
    </row>
    <row r="39" customFormat="false" ht="15" hidden="false" customHeight="true" outlineLevel="0" collapsed="false">
      <c r="B39" s="47" t="s">
        <v>30</v>
      </c>
      <c r="C39" s="47"/>
      <c r="D39" s="47"/>
      <c r="E39" s="48" t="n">
        <f aca="false">'⚖️ Wahrscheinlichkeit'!$F$22</f>
        <v>6862149.23</v>
      </c>
      <c r="F39" s="48"/>
      <c r="G39" s="48" t="n">
        <f aca="false">'⚖️ Wahrscheinlichkeit'!$G$22</f>
        <v>1628425.593</v>
      </c>
      <c r="H39" s="48"/>
    </row>
    <row r="40" customFormat="false" ht="15" hidden="false" customHeight="true" outlineLevel="0" collapsed="false">
      <c r="B40" s="49" t="str">
        <f aca="false">"Faktoren: 0–44 % → 0 %  |  45–59 % → 30 %  |  60–89 % → 50 %  |  90–99 % → 90 %  |  100 % → 100 %   ·   Gewichtungsgrad: "&amp;TEXT('⚖️ Wahrscheinlichkeit'!$H$22,"0.0%")</f>
        <v>Faktoren: 0–44 % → 0 %  |  45–59 % → 30 %  |  60–89 % → 50 %  |  90–99 % → 90 %  |  100 % → 100 %   ·   Gewichtungsgrad: 23.7%</v>
      </c>
      <c r="C40" s="49"/>
      <c r="D40" s="49"/>
      <c r="E40" s="49"/>
      <c r="F40" s="49"/>
      <c r="G40" s="49"/>
      <c r="H40" s="49"/>
    </row>
    <row r="42" customFormat="false" ht="16.5" hidden="false" customHeight="true" outlineLevel="0" collapsed="false">
      <c r="A42" s="34"/>
      <c r="B42" s="11" t="s">
        <v>31</v>
      </c>
      <c r="C42" s="11"/>
      <c r="D42" s="11"/>
      <c r="E42" s="11"/>
      <c r="F42" s="11"/>
      <c r="G42" s="11"/>
    </row>
    <row r="43" customFormat="false" ht="15" hidden="false" customHeight="true" outlineLevel="0" collapsed="false">
      <c r="B43" s="50" t="s">
        <v>32</v>
      </c>
      <c r="C43" s="50"/>
      <c r="D43" s="50"/>
      <c r="E43" s="51" t="n">
        <f aca="false">SUMPRODUCT(--('MiT Strom Pipeline'!$R$6:$R$860="WON"),'MiT Strom Pipeline'!$AZ$6:$AZ$860)</f>
        <v>1321510.75855689</v>
      </c>
      <c r="F43" s="51"/>
      <c r="G43" s="52"/>
      <c r="H43" s="52"/>
    </row>
    <row r="44" customFormat="false" ht="15" hidden="false" customHeight="true" outlineLevel="0" collapsed="false">
      <c r="B44" s="50" t="s">
        <v>33</v>
      </c>
      <c r="C44" s="50"/>
      <c r="D44" s="50"/>
      <c r="E44" s="51" t="n">
        <f aca="false">SUMPRODUCT('MiT Strom Pipeline'!$AT$6:$AT$860,'MiT Strom Pipeline'!$AL$6:$AL$860)</f>
        <v>0</v>
      </c>
      <c r="F44" s="51"/>
      <c r="G44" s="52"/>
      <c r="H44" s="52"/>
    </row>
    <row r="45" customFormat="false" ht="15" hidden="false" customHeight="true" outlineLevel="0" collapsed="false">
      <c r="B45" s="53" t="s">
        <v>34</v>
      </c>
      <c r="C45" s="53"/>
      <c r="D45" s="53"/>
      <c r="E45" s="54" t="n">
        <f aca="false">IFERROR(SUMPRODUCT('MiT Strom Pipeline'!$AT$6:$AT$860,'MiT Strom Pipeline'!$AL$6:$AL$860)/SUMIFS('MiT Strom Pipeline'!$I$6:$I$860,'MiT Strom Pipeline'!$R$6:$R$860,"WON"),0)</f>
        <v>0</v>
      </c>
      <c r="F45" s="54"/>
      <c r="G45" s="55"/>
      <c r="H45" s="55"/>
    </row>
    <row r="46" customFormat="false" ht="15" hidden="false" customHeight="true" outlineLevel="0" collapsed="false">
      <c r="B46" s="53" t="s">
        <v>35</v>
      </c>
      <c r="C46" s="53"/>
      <c r="D46" s="53"/>
      <c r="E46" s="41" t="str">
        <f aca="false">SUMPRODUCT('MiT Strom Pipeline'!$AP$6:$AP$860,'MiT Strom Pipeline'!$AY$6:$AY$860)&amp;" von "&amp;SUMPRODUCT('MiT Strom Pipeline'!$AP$6:$AP$860)</f>
        <v>0 von 46</v>
      </c>
      <c r="F46" s="41"/>
      <c r="G46" s="55"/>
      <c r="H46" s="55"/>
    </row>
    <row r="47" customFormat="false" ht="15" hidden="false" customHeight="true" outlineLevel="0" collapsed="false">
      <c r="B47" s="49" t="str">
        <f aca="false">"Offene Pflichtangaben: "&amp;'📋 Definitionen &amp; Klärung'!$C$23&amp;"  ·  Definitionen und offene Punkte: Blatt «📋 Definitionen &amp; Klärung»"</f>
        <v>Offene Pflichtangaben: 101  ·  Definitionen und offene Punkte: Blatt «📋 Definitionen &amp; Klärung»</v>
      </c>
      <c r="C47" s="49"/>
      <c r="D47" s="49"/>
      <c r="E47" s="49"/>
      <c r="F47" s="49"/>
      <c r="G47" s="49"/>
      <c r="H47" s="49"/>
    </row>
    <row r="49" customFormat="false" ht="15" hidden="false" customHeight="true" outlineLevel="0" collapsed="false">
      <c r="A49" s="56" t="s">
        <v>36</v>
      </c>
      <c r="B49" s="56"/>
      <c r="C49" s="56"/>
      <c r="D49" s="56"/>
      <c r="E49" s="56"/>
      <c r="F49" s="56"/>
      <c r="G49" s="56"/>
      <c r="H49" s="56"/>
    </row>
  </sheetData>
  <mergeCells count="71">
    <mergeCell ref="A1:H1"/>
    <mergeCell ref="A2:H2"/>
    <mergeCell ref="A3:H3"/>
    <mergeCell ref="B5:D5"/>
    <mergeCell ref="E5:F5"/>
    <mergeCell ref="G5:H5"/>
    <mergeCell ref="B6:D7"/>
    <mergeCell ref="E6:F7"/>
    <mergeCell ref="G6:H7"/>
    <mergeCell ref="B8:D8"/>
    <mergeCell ref="E8:F8"/>
    <mergeCell ref="G8:H8"/>
    <mergeCell ref="B10:H10"/>
    <mergeCell ref="B12:G12"/>
    <mergeCell ref="B21:G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2:G32"/>
    <mergeCell ref="B33:C33"/>
    <mergeCell ref="E33:F33"/>
    <mergeCell ref="G33:H33"/>
    <mergeCell ref="B34:C34"/>
    <mergeCell ref="E34:F34"/>
    <mergeCell ref="G34:H34"/>
    <mergeCell ref="B35:C35"/>
    <mergeCell ref="E35:F35"/>
    <mergeCell ref="G35:H35"/>
    <mergeCell ref="B36:C36"/>
    <mergeCell ref="E36:F36"/>
    <mergeCell ref="G36:H36"/>
    <mergeCell ref="B37:C37"/>
    <mergeCell ref="E37:F37"/>
    <mergeCell ref="G37:H37"/>
    <mergeCell ref="B38:C38"/>
    <mergeCell ref="E38:F38"/>
    <mergeCell ref="G38:H38"/>
    <mergeCell ref="B39:C39"/>
    <mergeCell ref="E39:F39"/>
    <mergeCell ref="G39:H39"/>
    <mergeCell ref="B40:H40"/>
    <mergeCell ref="B42:G42"/>
    <mergeCell ref="B43:D43"/>
    <mergeCell ref="E43:F43"/>
    <mergeCell ref="G43:H43"/>
    <mergeCell ref="B44:D44"/>
    <mergeCell ref="E44:F44"/>
    <mergeCell ref="G44:H44"/>
    <mergeCell ref="B45:D45"/>
    <mergeCell ref="E45:F45"/>
    <mergeCell ref="G45:H45"/>
    <mergeCell ref="B46:D46"/>
    <mergeCell ref="E46:F46"/>
    <mergeCell ref="G46:H46"/>
    <mergeCell ref="B47:H47"/>
    <mergeCell ref="A49:H49"/>
  </mergeCells>
  <printOptions headings="false" gridLines="false" gridLinesSet="true" horizontalCentered="true" verticalCentered="false"/>
  <pageMargins left="0.3" right="0.3" top="0.5" bottom="0.5" header="0.25" footer="0.25"/>
  <pageSetup paperSize="9" scale="100" fitToWidth="1" fitToHeight="1" pageOrder="downThenOver" orientation="portrait" blackAndWhite="false" draft="false" cellComments="none" horizontalDpi="300" verticalDpi="300" copies="1"/>
  <headerFooter differentFirst="false" differentOddEven="false">
    <oddHeader>&amp;C&amp;"Calibri,Bold"&amp;10 MiT Strom Schweiz — Executive Sales Summary</oddHeader>
    <oddFooter>&amp;L&amp;8 Mobil in Time AG · An Aggreko Company&amp;C&amp;"Calibri,Italic"&amp;8 Stand: &amp;D&amp;R&amp;8 Seite &amp;P von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L72"/>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 width="21"/>
    <col collapsed="false" customWidth="true" hidden="false" outlineLevel="0" max="2" min="2" style="1" width="28.15"/>
    <col collapsed="false" customWidth="true" hidden="false" outlineLevel="0" max="3" min="3" style="1" width="14.71"/>
    <col collapsed="false" customWidth="true" hidden="false" outlineLevel="0" max="4" min="4" style="1" width="20"/>
    <col collapsed="false" customWidth="true" hidden="false" outlineLevel="0" max="6" min="5" style="1" width="14"/>
    <col collapsed="false" customWidth="true" hidden="false" outlineLevel="0" max="8" min="7" style="1" width="13"/>
    <col collapsed="false" customWidth="true" hidden="true" outlineLevel="0" max="12" min="10" style="1" width="13"/>
  </cols>
  <sheetData>
    <row r="1" customFormat="false" ht="36" hidden="false" customHeight="true" outlineLevel="0" collapsed="false">
      <c r="A1" s="57" t="s">
        <v>37</v>
      </c>
      <c r="B1" s="57"/>
      <c r="C1" s="57"/>
      <c r="D1" s="57"/>
      <c r="E1" s="57"/>
      <c r="F1" s="57"/>
      <c r="G1" s="57"/>
      <c r="H1" s="57"/>
    </row>
    <row r="2" customFormat="false" ht="15" hidden="false" customHeight="true" outlineLevel="0" collapsed="false">
      <c r="A2" s="58" t="s">
        <v>38</v>
      </c>
      <c r="B2" s="58"/>
      <c r="C2" s="58"/>
      <c r="D2" s="58"/>
      <c r="E2" s="58"/>
      <c r="F2" s="58"/>
      <c r="G2" s="58"/>
      <c r="H2" s="58"/>
    </row>
    <row r="3" customFormat="false" ht="15" hidden="false" customHeight="true" outlineLevel="0" collapsed="false">
      <c r="A3" s="59" t="str">
        <f aca="true">"Stand: "&amp;TEXT(TODAY(),"DD.MM.YYYY")&amp;"  ·  Auto-Update via Pipeline-Daten"</f>
        <v>Stand: 10.08.2026  ·  Auto-Update via Pipeline-Daten</v>
      </c>
      <c r="B3" s="59"/>
      <c r="C3" s="59"/>
      <c r="D3" s="59"/>
      <c r="E3" s="59"/>
      <c r="F3" s="59"/>
      <c r="G3" s="59"/>
      <c r="H3" s="59"/>
    </row>
    <row r="5" customFormat="false" ht="18.75" hidden="false" customHeight="true" outlineLevel="0" collapsed="false">
      <c r="A5" s="60" t="s">
        <v>39</v>
      </c>
      <c r="B5" s="60"/>
      <c r="C5" s="60"/>
      <c r="D5" s="60"/>
      <c r="E5" s="60"/>
      <c r="F5" s="60"/>
      <c r="G5" s="60"/>
      <c r="H5" s="60"/>
    </row>
    <row r="6" customFormat="false" ht="15" hidden="false" customHeight="true" outlineLevel="0" collapsed="false">
      <c r="A6" s="61" t="s">
        <v>40</v>
      </c>
      <c r="B6" s="61" t="s">
        <v>41</v>
      </c>
      <c r="C6" s="61" t="s">
        <v>15</v>
      </c>
      <c r="D6" s="61" t="s">
        <v>42</v>
      </c>
    </row>
    <row r="7" customFormat="false" ht="15" hidden="false" customHeight="true" outlineLevel="0" collapsed="false">
      <c r="A7" s="62" t="s">
        <v>2</v>
      </c>
      <c r="B7" s="63" t="n">
        <f aca="false">Dashboard!A6</f>
        <v>1428553.13</v>
      </c>
      <c r="C7" s="64" t="n">
        <f aca="false">Dashboard!A7</f>
        <v>12</v>
      </c>
      <c r="D7" s="65" t="n">
        <f aca="false">IFERROR(B7/$B$10,0)</f>
        <v>0.208178674365553</v>
      </c>
    </row>
    <row r="8" customFormat="false" ht="15" hidden="false" customHeight="true" outlineLevel="0" collapsed="false">
      <c r="A8" s="62" t="s">
        <v>43</v>
      </c>
      <c r="B8" s="63" t="n">
        <f aca="false">Dashboard!D6</f>
        <v>5433596.1</v>
      </c>
      <c r="C8" s="64" t="n">
        <f aca="false">Dashboard!D7</f>
        <v>33</v>
      </c>
      <c r="D8" s="65" t="n">
        <f aca="false">IFERROR(B8/$B$10,0)</f>
        <v>0.791821325634447</v>
      </c>
    </row>
    <row r="9" customFormat="false" ht="15" hidden="false" customHeight="true" outlineLevel="0" collapsed="false">
      <c r="A9" s="62" t="s">
        <v>44</v>
      </c>
      <c r="B9" s="63" t="n">
        <f aca="false">Dashboard!G6</f>
        <v>0</v>
      </c>
      <c r="C9" s="64" t="n">
        <f aca="false">Dashboard!G7</f>
        <v>1</v>
      </c>
      <c r="D9" s="65" t="n">
        <f aca="false">IFERROR(B9/$B$10,0)</f>
        <v>0</v>
      </c>
    </row>
    <row r="10" customFormat="false" ht="15.75" hidden="false" customHeight="true" outlineLevel="0" collapsed="false">
      <c r="A10" s="66" t="s">
        <v>45</v>
      </c>
      <c r="B10" s="67" t="n">
        <f aca="false">Dashboard!I6</f>
        <v>6862149.23</v>
      </c>
      <c r="C10" s="68" t="n">
        <f aca="false">Dashboard!I7</f>
        <v>46</v>
      </c>
      <c r="D10" s="69" t="n">
        <f aca="false">IFERROR(B10/$B$10,0)</f>
        <v>1</v>
      </c>
    </row>
    <row r="11" customFormat="false" ht="15.75" hidden="false" customHeight="true" outlineLevel="0" collapsed="false">
      <c r="A11" s="70" t="s">
        <v>46</v>
      </c>
      <c r="B11" s="67" t="n">
        <f aca="false">'⚖️ Wahrscheinlichkeit'!$G$22</f>
        <v>1628425.593</v>
      </c>
      <c r="C11" s="68" t="n">
        <f aca="false">'⚖️ Wahrscheinlichkeit'!$E$22</f>
        <v>46</v>
      </c>
      <c r="D11" s="69" t="n">
        <f aca="false">IFERROR(B11/$B$10,0)</f>
        <v>0.237305476523424</v>
      </c>
    </row>
    <row r="12" customFormat="false" ht="15.75" hidden="false" customHeight="true" outlineLevel="0" collapsed="false">
      <c r="A12" s="70" t="s">
        <v>47</v>
      </c>
      <c r="B12" s="67" t="n">
        <f aca="false">SUMPRODUCT('MiT Strom Pipeline'!$AT$6:$AT$860,'MiT Strom Pipeline'!$AL$6:$AL$860)</f>
        <v>0</v>
      </c>
      <c r="C12" s="68" t="n">
        <f aca="false">SUMPRODUCT('MiT Strom Pipeline'!$AT$6:$AT$860)</f>
        <v>0</v>
      </c>
      <c r="D12" s="69" t="n">
        <f aca="false">IFERROR(SUMPRODUCT('MiT Strom Pipeline'!$AT$6:$AT$860,'MiT Strom Pipeline'!$AL$6:$AL$860)/SUMIFS('MiT Strom Pipeline'!$I$6:$I$860,'MiT Strom Pipeline'!$R$6:$R$860,"WON"),0)</f>
        <v>0</v>
      </c>
      <c r="E12" s="71" t="n">
        <f aca="false">IFERROR(SUMPRODUCT('MiT Strom Pipeline'!$AT$6:$AT$860,'MiT Strom Pipeline'!$AL$6:$AL$860)/SUMIFS('MiT Strom Pipeline'!$I$6:$I$860,'MiT Strom Pipeline'!$R$6:$R$860,"WON"),0)</f>
        <v>0</v>
      </c>
    </row>
    <row r="13" customFormat="false" ht="18.75" hidden="false" customHeight="true" outlineLevel="0" collapsed="false">
      <c r="A13" s="60" t="s">
        <v>48</v>
      </c>
      <c r="B13" s="60"/>
      <c r="C13" s="60"/>
      <c r="D13" s="60"/>
      <c r="E13" s="60"/>
      <c r="F13" s="60"/>
      <c r="G13" s="60"/>
      <c r="H13" s="60"/>
      <c r="J13" s="1" t="s">
        <v>49</v>
      </c>
      <c r="K13" s="1" t="s">
        <v>50</v>
      </c>
      <c r="L13" s="1" t="s">
        <v>51</v>
      </c>
    </row>
    <row r="14" customFormat="false" ht="15" hidden="false" customHeight="true" outlineLevel="0" collapsed="false">
      <c r="A14" s="61" t="s">
        <v>52</v>
      </c>
      <c r="B14" s="61" t="s">
        <v>53</v>
      </c>
      <c r="C14" s="61" t="s">
        <v>16</v>
      </c>
      <c r="D14" s="61" t="s">
        <v>54</v>
      </c>
      <c r="E14" s="61" t="s">
        <v>55</v>
      </c>
      <c r="J14" s="1" t="s">
        <v>56</v>
      </c>
      <c r="K14" s="1" t="n">
        <f aca="false">SUMIF('MiT Strom Pipeline'!$C$6:$C$860,J14,'MiT Strom Pipeline'!$I$6:$I$860)</f>
        <v>444672.95</v>
      </c>
      <c r="L14" s="1" t="n">
        <f aca="false">K14+(26-ROW())*0.0001</f>
        <v>444672.9512</v>
      </c>
    </row>
    <row r="15" customFormat="false" ht="15" hidden="false" customHeight="true" outlineLevel="0" collapsed="false">
      <c r="A15" s="72" t="n">
        <v>1</v>
      </c>
      <c r="B15" s="73" t="str">
        <f aca="false">IFERROR(INDEX($J$14:$J$39,MATCH(LARGE($L$14:$L$39,1),$L$14:$L$39,0)),"")</f>
        <v>ZH</v>
      </c>
      <c r="C15" s="74" t="n">
        <f aca="false">IF(B15="","",SUMIF('MiT Strom Pipeline'!$C$6:$C$860,B15,'MiT Strom Pipeline'!$I$6:$I$860))</f>
        <v>2732238.98</v>
      </c>
      <c r="D15" s="75" t="n">
        <f aca="false">IF(B15="","",COUNTIF('MiT Strom Pipeline'!$C$6:$C$860,B15))</f>
        <v>25</v>
      </c>
      <c r="E15" s="76" t="n">
        <f aca="false">IF(OR(B15="",D15=0),"",COUNTIFS('MiT Strom Pipeline'!$C$6:$C$860,B15,'MiT Strom Pipeline'!$R$6:$R$860,"WON")/D15)</f>
        <v>0.2</v>
      </c>
      <c r="J15" s="1" t="s">
        <v>57</v>
      </c>
      <c r="K15" s="1" t="n">
        <f aca="false">SUMIF('MiT Strom Pipeline'!$C$6:$C$860,J15,'MiT Strom Pipeline'!$I$6:$I$860)</f>
        <v>0</v>
      </c>
      <c r="L15" s="1" t="n">
        <f aca="false">K15+(26-ROW())*0.0001</f>
        <v>0.0011</v>
      </c>
    </row>
    <row r="16" customFormat="false" ht="15" hidden="false" customHeight="true" outlineLevel="0" collapsed="false">
      <c r="A16" s="72" t="n">
        <v>2</v>
      </c>
      <c r="B16" s="73" t="str">
        <f aca="false">IFERROR(INDEX($J$14:$J$39,MATCH(LARGE($L$14:$L$39,2),$L$14:$L$39,0)),"")</f>
        <v>SH</v>
      </c>
      <c r="C16" s="74" t="n">
        <f aca="false">IF(B16="","",SUMIF('MiT Strom Pipeline'!$C$6:$C$860,B16,'MiT Strom Pipeline'!$I$6:$I$860))</f>
        <v>2637287.63</v>
      </c>
      <c r="D16" s="75" t="n">
        <f aca="false">IF(B16="","",COUNTIF('MiT Strom Pipeline'!$C$6:$C$860,B16))</f>
        <v>5</v>
      </c>
      <c r="E16" s="76" t="n">
        <f aca="false">IF(OR(B16="",D16=0),"",COUNTIFS('MiT Strom Pipeline'!$C$6:$C$860,B16,'MiT Strom Pipeline'!$R$6:$R$860,"WON")/D16)</f>
        <v>0.2</v>
      </c>
      <c r="J16" s="1" t="s">
        <v>58</v>
      </c>
      <c r="K16" s="1" t="n">
        <f aca="false">SUMIF('MiT Strom Pipeline'!$C$6:$C$860,J16,'MiT Strom Pipeline'!$I$6:$I$860)</f>
        <v>0</v>
      </c>
      <c r="L16" s="1" t="n">
        <f aca="false">K16+(26-ROW())*0.0001</f>
        <v>0.001</v>
      </c>
    </row>
    <row r="17" customFormat="false" ht="15" hidden="false" customHeight="true" outlineLevel="0" collapsed="false">
      <c r="A17" s="72" t="n">
        <v>3</v>
      </c>
      <c r="B17" s="73" t="str">
        <f aca="false">IFERROR(INDEX($J$14:$J$39,MATCH(LARGE($L$14:$L$39,3),$L$14:$L$39,0)),"")</f>
        <v>AG</v>
      </c>
      <c r="C17" s="74" t="n">
        <f aca="false">IF(B17="","",SUMIF('MiT Strom Pipeline'!$C$6:$C$860,B17,'MiT Strom Pipeline'!$I$6:$I$860))</f>
        <v>444672.95</v>
      </c>
      <c r="D17" s="75" t="n">
        <f aca="false">IF(B17="","",COUNTIF('MiT Strom Pipeline'!$C$6:$C$860,B17))</f>
        <v>7</v>
      </c>
      <c r="E17" s="76" t="n">
        <f aca="false">IF(OR(B17="",D17=0),"",COUNTIFS('MiT Strom Pipeline'!$C$6:$C$860,B17,'MiT Strom Pipeline'!$R$6:$R$860,"WON")/D17)</f>
        <v>0.142857142857143</v>
      </c>
      <c r="J17" s="1" t="s">
        <v>59</v>
      </c>
      <c r="K17" s="1" t="n">
        <f aca="false">SUMIF('MiT Strom Pipeline'!$C$6:$C$860,J17,'MiT Strom Pipeline'!$I$6:$I$860)</f>
        <v>58012.12</v>
      </c>
      <c r="L17" s="1" t="n">
        <f aca="false">K17+(26-ROW())*0.0001</f>
        <v>58012.1209</v>
      </c>
    </row>
    <row r="18" customFormat="false" ht="15" hidden="false" customHeight="true" outlineLevel="0" collapsed="false">
      <c r="A18" s="72" t="n">
        <v>4</v>
      </c>
      <c r="B18" s="73" t="str">
        <f aca="false">IFERROR(INDEX($J$14:$J$39,MATCH(LARGE($L$14:$L$39,4),$L$14:$L$39,0)),"")</f>
        <v>SO</v>
      </c>
      <c r="C18" s="74" t="n">
        <f aca="false">IF(B18="","",SUMIF('MiT Strom Pipeline'!$C$6:$C$860,B18,'MiT Strom Pipeline'!$I$6:$I$860))</f>
        <v>390750.65</v>
      </c>
      <c r="D18" s="75" t="n">
        <f aca="false">IF(B18="","",COUNTIF('MiT Strom Pipeline'!$C$6:$C$860,B18))</f>
        <v>2</v>
      </c>
      <c r="E18" s="76" t="n">
        <f aca="false">IF(OR(B18="",D18=0),"",COUNTIFS('MiT Strom Pipeline'!$C$6:$C$860,B18,'MiT Strom Pipeline'!$R$6:$R$860,"WON")/D18)</f>
        <v>0</v>
      </c>
      <c r="J18" s="1" t="s">
        <v>60</v>
      </c>
      <c r="K18" s="1" t="n">
        <f aca="false">SUMIF('MiT Strom Pipeline'!$C$6:$C$860,J18,'MiT Strom Pipeline'!$I$6:$I$860)</f>
        <v>13472.18</v>
      </c>
      <c r="L18" s="1" t="n">
        <f aca="false">K18+(26-ROW())*0.0001</f>
        <v>13472.1808</v>
      </c>
    </row>
    <row r="19" customFormat="false" ht="15" hidden="false" customHeight="true" outlineLevel="0" collapsed="false">
      <c r="A19" s="72" t="n">
        <v>5</v>
      </c>
      <c r="B19" s="73" t="str">
        <f aca="false">IFERROR(INDEX($J$14:$J$39,MATCH(LARGE($L$14:$L$39,5),$L$14:$L$39,0)),"")</f>
        <v>VS</v>
      </c>
      <c r="C19" s="74" t="n">
        <f aca="false">IF(B19="","",SUMIF('MiT Strom Pipeline'!$C$6:$C$860,B19,'MiT Strom Pipeline'!$I$6:$I$860))</f>
        <v>303790.2</v>
      </c>
      <c r="D19" s="75" t="n">
        <f aca="false">IF(B19="","",COUNTIF('MiT Strom Pipeline'!$C$6:$C$860,B19))</f>
        <v>3</v>
      </c>
      <c r="E19" s="76" t="n">
        <f aca="false">IF(OR(B19="",D19=0),"",COUNTIFS('MiT Strom Pipeline'!$C$6:$C$860,B19,'MiT Strom Pipeline'!$R$6:$R$860,"WON")/D19)</f>
        <v>0.333333333333333</v>
      </c>
      <c r="J19" s="1" t="s">
        <v>61</v>
      </c>
      <c r="K19" s="1" t="n">
        <f aca="false">SUMIF('MiT Strom Pipeline'!$C$6:$C$860,J19,'MiT Strom Pipeline'!$I$6:$I$860)</f>
        <v>13866.21</v>
      </c>
      <c r="L19" s="1" t="n">
        <f aca="false">K19+(26-ROW())*0.0001</f>
        <v>13866.2107</v>
      </c>
    </row>
    <row r="20" customFormat="false" ht="15" hidden="false" customHeight="true" outlineLevel="0" collapsed="false">
      <c r="A20" s="72" t="n">
        <v>6</v>
      </c>
      <c r="B20" s="73" t="str">
        <f aca="false">IFERROR(INDEX($J$14:$J$39,MATCH(LARGE($L$14:$L$39,6),$L$14:$L$39,0)),"")</f>
        <v>TG</v>
      </c>
      <c r="C20" s="74" t="n">
        <f aca="false">IF(B20="","",SUMIF('MiT Strom Pipeline'!$C$6:$C$860,B20,'MiT Strom Pipeline'!$I$6:$I$860))</f>
        <v>160817.26</v>
      </c>
      <c r="D20" s="75" t="n">
        <f aca="false">IF(B20="","",COUNTIF('MiT Strom Pipeline'!$C$6:$C$860,B20))</f>
        <v>3</v>
      </c>
      <c r="E20" s="76" t="n">
        <f aca="false">IF(OR(B20="",D20=0),"",COUNTIFS('MiT Strom Pipeline'!$C$6:$C$860,B20,'MiT Strom Pipeline'!$R$6:$R$860,"WON")/D20)</f>
        <v>0.666666666666667</v>
      </c>
      <c r="J20" s="1" t="s">
        <v>62</v>
      </c>
      <c r="K20" s="1" t="n">
        <f aca="false">SUMIF('MiT Strom Pipeline'!$C$6:$C$860,J20,'MiT Strom Pipeline'!$I$6:$I$860)</f>
        <v>0</v>
      </c>
      <c r="L20" s="1" t="n">
        <f aca="false">K20+(26-ROW())*0.0001</f>
        <v>0.0006</v>
      </c>
    </row>
    <row r="21" customFormat="false" ht="15" hidden="false" customHeight="true" outlineLevel="0" collapsed="false">
      <c r="A21" s="72" t="n">
        <v>7</v>
      </c>
      <c r="B21" s="73" t="str">
        <f aca="false">IFERROR(INDEX($J$14:$J$39,MATCH(LARGE($L$14:$L$39,7),$L$14:$L$39,0)),"")</f>
        <v>SG</v>
      </c>
      <c r="C21" s="74" t="n">
        <f aca="false">IF(B21="","",SUMIF('MiT Strom Pipeline'!$C$6:$C$860,B21,'MiT Strom Pipeline'!$I$6:$I$860))</f>
        <v>101192.62</v>
      </c>
      <c r="D21" s="75" t="n">
        <f aca="false">IF(B21="","",COUNTIF('MiT Strom Pipeline'!$C$6:$C$860,B21))</f>
        <v>3</v>
      </c>
      <c r="E21" s="76" t="n">
        <f aca="false">IF(OR(B21="",D21=0),"",COUNTIFS('MiT Strom Pipeline'!$C$6:$C$860,B21,'MiT Strom Pipeline'!$R$6:$R$860,"WON")/D21)</f>
        <v>0.333333333333333</v>
      </c>
      <c r="J21" s="1" t="s">
        <v>63</v>
      </c>
      <c r="K21" s="1" t="n">
        <f aca="false">SUMIF('MiT Strom Pipeline'!$C$6:$C$860,J21,'MiT Strom Pipeline'!$I$6:$I$860)</f>
        <v>38885</v>
      </c>
      <c r="L21" s="1" t="n">
        <f aca="false">K21+(26-ROW())*0.0001</f>
        <v>38885.0005</v>
      </c>
    </row>
    <row r="22" customFormat="false" ht="15" hidden="false" customHeight="true" outlineLevel="0" collapsed="false">
      <c r="A22" s="72" t="n">
        <v>8</v>
      </c>
      <c r="B22" s="73" t="str">
        <f aca="false">IFERROR(INDEX($J$14:$J$39,MATCH(LARGE($L$14:$L$39,8),$L$14:$L$39,0)),"")</f>
        <v>GR</v>
      </c>
      <c r="C22" s="74" t="n">
        <f aca="false">IF(B22="","",SUMIF('MiT Strom Pipeline'!$C$6:$C$860,B22,'MiT Strom Pipeline'!$I$6:$I$860))</f>
        <v>77325.62</v>
      </c>
      <c r="D22" s="75" t="n">
        <f aca="false">IF(B22="","",COUNTIF('MiT Strom Pipeline'!$C$6:$C$860,B22))</f>
        <v>2</v>
      </c>
      <c r="E22" s="76" t="n">
        <f aca="false">IF(OR(B22="",D22=0),"",COUNTIFS('MiT Strom Pipeline'!$C$6:$C$860,B22,'MiT Strom Pipeline'!$R$6:$R$860,"WON")/D22)</f>
        <v>0</v>
      </c>
      <c r="J22" s="1" t="s">
        <v>64</v>
      </c>
      <c r="K22" s="1" t="n">
        <f aca="false">SUMIF('MiT Strom Pipeline'!$C$6:$C$860,J22,'MiT Strom Pipeline'!$I$6:$I$860)</f>
        <v>0</v>
      </c>
      <c r="L22" s="1" t="n">
        <f aca="false">K22+(26-ROW())*0.0001</f>
        <v>0.0004</v>
      </c>
    </row>
    <row r="23" customFormat="false" ht="15" hidden="false" customHeight="true" outlineLevel="0" collapsed="false">
      <c r="A23" s="72" t="n">
        <v>9</v>
      </c>
      <c r="B23" s="73" t="str">
        <f aca="false">IFERROR(INDEX($J$14:$J$39,MATCH(LARGE($L$14:$L$39,9),$L$14:$L$39,0)),"")</f>
        <v>BE</v>
      </c>
      <c r="C23" s="74" t="n">
        <f aca="false">IF(B23="","",SUMIF('MiT Strom Pipeline'!$C$6:$C$860,B23,'MiT Strom Pipeline'!$I$6:$I$860))</f>
        <v>58012.12</v>
      </c>
      <c r="D23" s="75" t="n">
        <f aca="false">IF(B23="","",COUNTIF('MiT Strom Pipeline'!$C$6:$C$860,B23))</f>
        <v>5</v>
      </c>
      <c r="E23" s="76" t="n">
        <f aca="false">IF(OR(B23="",D23=0),"",COUNTIFS('MiT Strom Pipeline'!$C$6:$C$860,B23,'MiT Strom Pipeline'!$R$6:$R$860,"WON")/D23)</f>
        <v>0</v>
      </c>
      <c r="J23" s="1" t="s">
        <v>65</v>
      </c>
      <c r="K23" s="1" t="n">
        <f aca="false">SUMIF('MiT Strom Pipeline'!$C$6:$C$860,J23,'MiT Strom Pipeline'!$I$6:$I$860)</f>
        <v>77325.62</v>
      </c>
      <c r="L23" s="1" t="n">
        <f aca="false">K23+(26-ROW())*0.0001</f>
        <v>77325.6203</v>
      </c>
    </row>
    <row r="24" customFormat="false" ht="15" hidden="false" customHeight="true" outlineLevel="0" collapsed="false">
      <c r="A24" s="72" t="n">
        <v>10</v>
      </c>
      <c r="B24" s="73" t="str">
        <f aca="false">IFERROR(INDEX($J$14:$J$39,MATCH(LARGE($L$14:$L$39,10),$L$14:$L$39,0)),"")</f>
        <v>ZG</v>
      </c>
      <c r="C24" s="74" t="n">
        <f aca="false">IF(B24="","",SUMIF('MiT Strom Pipeline'!$C$6:$C$860,B24,'MiT Strom Pipeline'!$I$6:$I$860))</f>
        <v>40491.67</v>
      </c>
      <c r="D24" s="75" t="n">
        <f aca="false">IF(B24="","",COUNTIF('MiT Strom Pipeline'!$C$6:$C$860,B24))</f>
        <v>1</v>
      </c>
      <c r="E24" s="76" t="n">
        <f aca="false">IF(OR(B24="",D24=0),"",COUNTIFS('MiT Strom Pipeline'!$C$6:$C$860,B24,'MiT Strom Pipeline'!$R$6:$R$860,"WON")/D24)</f>
        <v>0</v>
      </c>
      <c r="J24" s="1" t="s">
        <v>66</v>
      </c>
      <c r="K24" s="1" t="n">
        <f aca="false">SUMIF('MiT Strom Pipeline'!$C$6:$C$860,J24,'MiT Strom Pipeline'!$I$6:$I$860)</f>
        <v>0</v>
      </c>
      <c r="L24" s="1" t="n">
        <f aca="false">K24+(26-ROW())*0.0001</f>
        <v>0.0002</v>
      </c>
    </row>
    <row r="25" customFormat="false" ht="15" hidden="false" customHeight="true" outlineLevel="0" collapsed="false">
      <c r="J25" s="1" t="s">
        <v>67</v>
      </c>
      <c r="K25" s="1" t="n">
        <f aca="false">SUMIF('MiT Strom Pipeline'!$C$6:$C$860,J25,'MiT Strom Pipeline'!$I$6:$I$860)</f>
        <v>23626.77</v>
      </c>
      <c r="L25" s="1" t="n">
        <f aca="false">K25+(26-ROW())*0.0001</f>
        <v>23626.7701</v>
      </c>
    </row>
    <row r="26" customFormat="false" ht="15" hidden="false" customHeight="true" outlineLevel="0" collapsed="false">
      <c r="J26" s="1" t="s">
        <v>68</v>
      </c>
      <c r="K26" s="1" t="n">
        <f aca="false">SUMIF('MiT Strom Pipeline'!$C$6:$C$860,J26,'MiT Strom Pipeline'!$I$6:$I$860)</f>
        <v>0</v>
      </c>
      <c r="L26" s="1" t="n">
        <f aca="false">K26+(26-ROW())*0.0001</f>
        <v>0</v>
      </c>
    </row>
    <row r="27" customFormat="false" ht="18.75" hidden="false" customHeight="true" outlineLevel="0" collapsed="false">
      <c r="A27" s="60" t="s">
        <v>69</v>
      </c>
      <c r="B27" s="60"/>
      <c r="C27" s="60"/>
      <c r="D27" s="60"/>
      <c r="E27" s="60"/>
      <c r="F27" s="60"/>
      <c r="G27" s="60"/>
      <c r="H27" s="60"/>
      <c r="J27" s="1" t="s">
        <v>70</v>
      </c>
      <c r="K27" s="1" t="n">
        <f aca="false">SUMIF('MiT Strom Pipeline'!$C$6:$C$860,J27,'MiT Strom Pipeline'!$I$6:$I$860)</f>
        <v>0</v>
      </c>
      <c r="L27" s="1" t="n">
        <f aca="false">K27+(26-ROW())*0.0001</f>
        <v>-0.0001</v>
      </c>
    </row>
    <row r="28" customFormat="false" ht="15" hidden="false" customHeight="true" outlineLevel="0" collapsed="false">
      <c r="A28" s="61" t="s">
        <v>52</v>
      </c>
      <c r="B28" s="61" t="s">
        <v>7</v>
      </c>
      <c r="C28" s="61" t="s">
        <v>53</v>
      </c>
      <c r="D28" s="61" t="s">
        <v>10</v>
      </c>
      <c r="E28" s="61" t="s">
        <v>16</v>
      </c>
      <c r="F28" s="61" t="s">
        <v>9</v>
      </c>
      <c r="G28" s="61" t="s">
        <v>12</v>
      </c>
      <c r="J28" s="1" t="s">
        <v>71</v>
      </c>
      <c r="K28" s="1" t="n">
        <f aca="false">SUMIF('MiT Strom Pipeline'!$C$6:$C$860,J28,'MiT Strom Pipeline'!$I$6:$I$860)</f>
        <v>0</v>
      </c>
      <c r="L28" s="1" t="n">
        <f aca="false">K28+(26-ROW())*0.0001</f>
        <v>-0.0002</v>
      </c>
    </row>
    <row r="29" customFormat="false" ht="15" hidden="false" customHeight="true" outlineLevel="0" collapsed="false">
      <c r="A29" s="72" t="n">
        <v>1</v>
      </c>
      <c r="B29" s="73" t="str">
        <f aca="false">IFERROR(INDEX('MiT Strom Pipeline'!$B$6:$B$860,MATCH(LARGE('MiT Strom Pipeline'!$AK$6:$AK$860,1),'MiT Strom Pipeline'!$AK$6:$AK$860,0)),"")</f>
        <v>Ice Hockey Championship</v>
      </c>
      <c r="C29" s="72" t="str">
        <f aca="false">IFERROR(INDEX('MiT Strom Pipeline'!$C$6:$C$860,MATCH(LARGE('MiT Strom Pipeline'!$AK$6:$AK$860,1),'MiT Strom Pipeline'!$AK$6:$AK$860,0)),"")</f>
        <v>ZH</v>
      </c>
      <c r="D29" s="73" t="str">
        <f aca="false">IFERROR(INDEX('MiT Strom Pipeline'!$D$6:$D$860,MATCH(LARGE('MiT Strom Pipeline'!$AK$6:$AK$860,1),'MiT Strom Pipeline'!$AK$6:$AK$860,0)),"")</f>
        <v>Events &amp; Sport</v>
      </c>
      <c r="E29" s="74" t="n">
        <f aca="false">IFERROR(INDEX('MiT Strom Pipeline'!$I$6:$I$860,MATCH(LARGE('MiT Strom Pipeline'!$AK$6:$AK$860,1),'MiT Strom Pipeline'!$AK$6:$AK$860,0)),"")</f>
        <v>380000</v>
      </c>
      <c r="F29" s="77" t="str">
        <f aca="false">IFERROR(IF(ISNUMBER(INDEX('MiT Strom Pipeline'!$O$6:$O$860,MATCH(LARGE('MiT Strom Pipeline'!$AK$6:$AK$860,1),'MiT Strom Pipeline'!$AK$6:$AK$860,0))),INDEX('MiT Strom Pipeline'!$O$6:$O$860,MATCH(LARGE('MiT Strom Pipeline'!$AK$6:$AK$860,1),'MiT Strom Pipeline'!$AK$6:$AK$860,0)),IF(INDEX('MiT Strom Pipeline'!$H$6:$H$860,MATCH(LARGE('MiT Strom Pipeline'!$AK$6:$AK$860,1),'MiT Strom Pipeline'!$AK$6:$AK$860,0))="","",INDEX('MiT Strom Pipeline'!$H$6:$H$860,MATCH(LARGE('MiT Strom Pipeline'!$AK$6:$AK$860,1),'MiT Strom Pipeline'!$AK$6:$AK$860,0)))),"")</f>
        <v>Mai</v>
      </c>
      <c r="G29" s="77" t="str">
        <f aca="false">IFERROR(IF(ISNUMBER(INDEX('MiT Strom Pipeline'!$P$6:$P$860,MATCH(LARGE('MiT Strom Pipeline'!$AK$6:$AK$860,1),'MiT Strom Pipeline'!$AK$6:$AK$860,0))),INDEX('MiT Strom Pipeline'!$P$6:$P$860,MATCH(LARGE('MiT Strom Pipeline'!$AK$6:$AK$860,1),'MiT Strom Pipeline'!$AK$6:$AK$860,0)),""),"")</f>
        <v/>
      </c>
      <c r="J29" s="1" t="s">
        <v>72</v>
      </c>
      <c r="K29" s="1" t="n">
        <f aca="false">SUMIF('MiT Strom Pipeline'!$C$6:$C$860,J29,'MiT Strom Pipeline'!$I$6:$I$860)</f>
        <v>101192.62</v>
      </c>
      <c r="L29" s="1" t="n">
        <f aca="false">K29+(26-ROW())*0.0001</f>
        <v>101192.6197</v>
      </c>
    </row>
    <row r="30" customFormat="false" ht="15" hidden="false" customHeight="true" outlineLevel="0" collapsed="false">
      <c r="A30" s="72" t="n">
        <v>2</v>
      </c>
      <c r="B30" s="73" t="str">
        <f aca="false">IFERROR(INDEX('MiT Strom Pipeline'!$B$6:$B$860,MATCH(LARGE('MiT Strom Pipeline'!$AK$6:$AK$860,2),'MiT Strom Pipeline'!$AK$6:$AK$860,0)),"")</f>
        <v>DPR Heat Loadbank</v>
      </c>
      <c r="C30" s="72" t="str">
        <f aca="false">IFERROR(INDEX('MiT Strom Pipeline'!$C$6:$C$860,MATCH(LARGE('MiT Strom Pipeline'!$AK$6:$AK$860,2),'MiT Strom Pipeline'!$AK$6:$AK$860,0)),"")</f>
        <v>ZH</v>
      </c>
      <c r="D30" s="73" t="str">
        <f aca="false">IFERROR(INDEX('MiT Strom Pipeline'!$D$6:$D$860,MATCH(LARGE('MiT Strom Pipeline'!$AK$6:$AK$860,2),'MiT Strom Pipeline'!$AK$6:$AK$860,0)),"")</f>
        <v>Datacenter</v>
      </c>
      <c r="E30" s="74" t="n">
        <f aca="false">IFERROR(INDEX('MiT Strom Pipeline'!$I$6:$I$860,MATCH(LARGE('MiT Strom Pipeline'!$AK$6:$AK$860,2),'MiT Strom Pipeline'!$AK$6:$AK$860,0)),"")</f>
        <v>333790</v>
      </c>
      <c r="F30" s="77" t="str">
        <f aca="false">IFERROR(IF(ISNUMBER(INDEX('MiT Strom Pipeline'!$O$6:$O$860,MATCH(LARGE('MiT Strom Pipeline'!$AK$6:$AK$860,2),'MiT Strom Pipeline'!$AK$6:$AK$860,0))),INDEX('MiT Strom Pipeline'!$O$6:$O$860,MATCH(LARGE('MiT Strom Pipeline'!$AK$6:$AK$860,2),'MiT Strom Pipeline'!$AK$6:$AK$860,0)),IF(INDEX('MiT Strom Pipeline'!$H$6:$H$860,MATCH(LARGE('MiT Strom Pipeline'!$AK$6:$AK$860,2),'MiT Strom Pipeline'!$AK$6:$AK$860,0))="","",INDEX('MiT Strom Pipeline'!$H$6:$H$860,MATCH(LARGE('MiT Strom Pipeline'!$AK$6:$AK$860,2),'MiT Strom Pipeline'!$AK$6:$AK$860,0)))),"")</f>
        <v>Aug</v>
      </c>
      <c r="G30" s="77" t="str">
        <f aca="false">IFERROR(IF(ISNUMBER(INDEX('MiT Strom Pipeline'!$P$6:$P$860,MATCH(LARGE('MiT Strom Pipeline'!$AK$6:$AK$860,2),'MiT Strom Pipeline'!$AK$6:$AK$860,0))),INDEX('MiT Strom Pipeline'!$P$6:$P$860,MATCH(LARGE('MiT Strom Pipeline'!$AK$6:$AK$860,2),'MiT Strom Pipeline'!$AK$6:$AK$860,0)),""),"")</f>
        <v/>
      </c>
      <c r="J30" s="1" t="s">
        <v>73</v>
      </c>
      <c r="K30" s="1" t="n">
        <f aca="false">SUMIF('MiT Strom Pipeline'!$C$6:$C$860,J30,'MiT Strom Pipeline'!$I$6:$I$860)</f>
        <v>2637287.63</v>
      </c>
      <c r="L30" s="1" t="n">
        <f aca="false">K30+(26-ROW())*0.0001</f>
        <v>2637287.6296</v>
      </c>
    </row>
    <row r="31" customFormat="false" ht="15" hidden="false" customHeight="true" outlineLevel="0" collapsed="false">
      <c r="A31" s="72" t="n">
        <v>3</v>
      </c>
      <c r="B31" s="73" t="str">
        <f aca="false">IFERROR(INDEX('MiT Strom Pipeline'!$B$6:$B$860,MATCH(LARGE('MiT Strom Pipeline'!$AK$6:$AK$860,3),'MiT Strom Pipeline'!$AK$6:$AK$860,0)),"")</f>
        <v>DPR Generator Loadbank Test</v>
      </c>
      <c r="C31" s="72" t="str">
        <f aca="false">IFERROR(INDEX('MiT Strom Pipeline'!$C$6:$C$860,MATCH(LARGE('MiT Strom Pipeline'!$AK$6:$AK$860,3),'MiT Strom Pipeline'!$AK$6:$AK$860,0)),"")</f>
        <v>ZH</v>
      </c>
      <c r="D31" s="73" t="str">
        <f aca="false">IFERROR(INDEX('MiT Strom Pipeline'!$D$6:$D$860,MATCH(LARGE('MiT Strom Pipeline'!$AK$6:$AK$860,3),'MiT Strom Pipeline'!$AK$6:$AK$860,0)),"")</f>
        <v>Datacenter</v>
      </c>
      <c r="E31" s="74" t="n">
        <f aca="false">IFERROR(INDEX('MiT Strom Pipeline'!$I$6:$I$860,MATCH(LARGE('MiT Strom Pipeline'!$AK$6:$AK$860,3),'MiT Strom Pipeline'!$AK$6:$AK$860,0)),"")</f>
        <v>331889.15</v>
      </c>
      <c r="F31" s="77" t="str">
        <f aca="false">IFERROR(IF(ISNUMBER(INDEX('MiT Strom Pipeline'!$O$6:$O$860,MATCH(LARGE('MiT Strom Pipeline'!$AK$6:$AK$860,3),'MiT Strom Pipeline'!$AK$6:$AK$860,0))),INDEX('MiT Strom Pipeline'!$O$6:$O$860,MATCH(LARGE('MiT Strom Pipeline'!$AK$6:$AK$860,3),'MiT Strom Pipeline'!$AK$6:$AK$860,0)),IF(INDEX('MiT Strom Pipeline'!$H$6:$H$860,MATCH(LARGE('MiT Strom Pipeline'!$AK$6:$AK$860,3),'MiT Strom Pipeline'!$AK$6:$AK$860,0))="","",INDEX('MiT Strom Pipeline'!$H$6:$H$860,MATCH(LARGE('MiT Strom Pipeline'!$AK$6:$AK$860,3),'MiT Strom Pipeline'!$AK$6:$AK$860,0)))),"")</f>
        <v>Aug</v>
      </c>
      <c r="G31" s="77" t="str">
        <f aca="false">IFERROR(IF(ISNUMBER(INDEX('MiT Strom Pipeline'!$P$6:$P$860,MATCH(LARGE('MiT Strom Pipeline'!$AK$6:$AK$860,3),'MiT Strom Pipeline'!$AK$6:$AK$860,0))),INDEX('MiT Strom Pipeline'!$P$6:$P$860,MATCH(LARGE('MiT Strom Pipeline'!$AK$6:$AK$860,3),'MiT Strom Pipeline'!$AK$6:$AK$860,0)),""),"")</f>
        <v/>
      </c>
      <c r="J31" s="1" t="s">
        <v>74</v>
      </c>
      <c r="K31" s="1" t="n">
        <f aca="false">SUMIF('MiT Strom Pipeline'!$C$6:$C$860,J31,'MiT Strom Pipeline'!$I$6:$I$860)</f>
        <v>390750.65</v>
      </c>
      <c r="L31" s="1" t="n">
        <f aca="false">K31+(26-ROW())*0.0001</f>
        <v>390750.6495</v>
      </c>
    </row>
    <row r="32" customFormat="false" ht="15" hidden="false" customHeight="true" outlineLevel="0" collapsed="false">
      <c r="A32" s="72" t="n">
        <v>4</v>
      </c>
      <c r="B32" s="73" t="str">
        <f aca="false">IFERROR(INDEX('MiT Strom Pipeline'!$B$6:$B$860,MATCH(LARGE('MiT Strom Pipeline'!$AK$6:$AK$860,4),'MiT Strom Pipeline'!$AK$6:$AK$860,0)),"")</f>
        <v>Stagelight – OpenAir Frauenfeld</v>
      </c>
      <c r="C32" s="72" t="str">
        <f aca="false">IFERROR(INDEX('MiT Strom Pipeline'!$C$6:$C$860,MATCH(LARGE('MiT Strom Pipeline'!$AK$6:$AK$860,4),'MiT Strom Pipeline'!$AK$6:$AK$860,0)),"")</f>
        <v>TG</v>
      </c>
      <c r="D32" s="73" t="str">
        <f aca="false">IFERROR(INDEX('MiT Strom Pipeline'!$D$6:$D$860,MATCH(LARGE('MiT Strom Pipeline'!$AK$6:$AK$860,4),'MiT Strom Pipeline'!$AK$6:$AK$860,0)),"")</f>
        <v>Events &amp; Kultur</v>
      </c>
      <c r="E32" s="74" t="n">
        <f aca="false">IFERROR(INDEX('MiT Strom Pipeline'!$I$6:$I$860,MATCH(LARGE('MiT Strom Pipeline'!$AK$6:$AK$860,4),'MiT Strom Pipeline'!$AK$6:$AK$860,0)),"")</f>
        <v>150000</v>
      </c>
      <c r="F32" s="77" t="str">
        <f aca="false">IFERROR(IF(ISNUMBER(INDEX('MiT Strom Pipeline'!$O$6:$O$860,MATCH(LARGE('MiT Strom Pipeline'!$AK$6:$AK$860,4),'MiT Strom Pipeline'!$AK$6:$AK$860,0))),INDEX('MiT Strom Pipeline'!$O$6:$O$860,MATCH(LARGE('MiT Strom Pipeline'!$AK$6:$AK$860,4),'MiT Strom Pipeline'!$AK$6:$AK$860,0)),IF(INDEX('MiT Strom Pipeline'!$H$6:$H$860,MATCH(LARGE('MiT Strom Pipeline'!$AK$6:$AK$860,4),'MiT Strom Pipeline'!$AK$6:$AK$860,0))="","",INDEX('MiT Strom Pipeline'!$H$6:$H$860,MATCH(LARGE('MiT Strom Pipeline'!$AK$6:$AK$860,4),'MiT Strom Pipeline'!$AK$6:$AK$860,0)))),"")</f>
        <v>Juli</v>
      </c>
      <c r="G32" s="77" t="str">
        <f aca="false">IFERROR(IF(ISNUMBER(INDEX('MiT Strom Pipeline'!$P$6:$P$860,MATCH(LARGE('MiT Strom Pipeline'!$AK$6:$AK$860,4),'MiT Strom Pipeline'!$AK$6:$AK$860,0))),INDEX('MiT Strom Pipeline'!$P$6:$P$860,MATCH(LARGE('MiT Strom Pipeline'!$AK$6:$AK$860,4),'MiT Strom Pipeline'!$AK$6:$AK$860,0)),""),"")</f>
        <v/>
      </c>
      <c r="J32" s="1" t="s">
        <v>75</v>
      </c>
      <c r="K32" s="1" t="n">
        <f aca="false">SUMIF('MiT Strom Pipeline'!$C$6:$C$860,J32,'MiT Strom Pipeline'!$I$6:$I$860)</f>
        <v>0</v>
      </c>
      <c r="L32" s="1" t="n">
        <f aca="false">K32+(26-ROW())*0.0001</f>
        <v>-0.0006</v>
      </c>
    </row>
    <row r="33" customFormat="false" ht="15" hidden="false" customHeight="true" outlineLevel="0" collapsed="false">
      <c r="A33" s="72" t="n">
        <v>5</v>
      </c>
      <c r="B33" s="73" t="str">
        <f aca="false">IFERROR(INDEX('MiT Strom Pipeline'!$B$6:$B$860,MATCH(LARGE('MiT Strom Pipeline'!$AK$6:$AK$860,5),'MiT Strom Pipeline'!$AK$6:$AK$860,0)),"")</f>
        <v>Murg Flums Energie</v>
      </c>
      <c r="C33" s="72" t="str">
        <f aca="false">IFERROR(INDEX('MiT Strom Pipeline'!$C$6:$C$860,MATCH(LARGE('MiT Strom Pipeline'!$AK$6:$AK$860,5),'MiT Strom Pipeline'!$AK$6:$AK$860,0)),"")</f>
        <v>SG</v>
      </c>
      <c r="D33" s="73" t="str">
        <f aca="false">IFERROR(INDEX('MiT Strom Pipeline'!$D$6:$D$860,MATCH(LARGE('MiT Strom Pipeline'!$AK$6:$AK$860,5),'MiT Strom Pipeline'!$AK$6:$AK$860,0)),"")</f>
        <v>EVU / Energie</v>
      </c>
      <c r="E33" s="74" t="n">
        <f aca="false">IFERROR(INDEX('MiT Strom Pipeline'!$I$6:$I$860,MATCH(LARGE('MiT Strom Pipeline'!$AK$6:$AK$860,5),'MiT Strom Pipeline'!$AK$6:$AK$860,0)),"")</f>
        <v>96658.69</v>
      </c>
      <c r="F33" s="77" t="str">
        <f aca="false">IFERROR(IF(ISNUMBER(INDEX('MiT Strom Pipeline'!$O$6:$O$860,MATCH(LARGE('MiT Strom Pipeline'!$AK$6:$AK$860,5),'MiT Strom Pipeline'!$AK$6:$AK$860,0))),INDEX('MiT Strom Pipeline'!$O$6:$O$860,MATCH(LARGE('MiT Strom Pipeline'!$AK$6:$AK$860,5),'MiT Strom Pipeline'!$AK$6:$AK$860,0)),IF(INDEX('MiT Strom Pipeline'!$H$6:$H$860,MATCH(LARGE('MiT Strom Pipeline'!$AK$6:$AK$860,5),'MiT Strom Pipeline'!$AK$6:$AK$860,0))="","",INDEX('MiT Strom Pipeline'!$H$6:$H$860,MATCH(LARGE('MiT Strom Pipeline'!$AK$6:$AK$860,5),'MiT Strom Pipeline'!$AK$6:$AK$860,0)))),"")</f>
        <v>Auf Abruf</v>
      </c>
      <c r="G33" s="77" t="str">
        <f aca="false">IFERROR(IF(ISNUMBER(INDEX('MiT Strom Pipeline'!$P$6:$P$860,MATCH(LARGE('MiT Strom Pipeline'!$AK$6:$AK$860,5),'MiT Strom Pipeline'!$AK$6:$AK$860,0))),INDEX('MiT Strom Pipeline'!$P$6:$P$860,MATCH(LARGE('MiT Strom Pipeline'!$AK$6:$AK$860,5),'MiT Strom Pipeline'!$AK$6:$AK$860,0)),""),"")</f>
        <v/>
      </c>
      <c r="J33" s="1" t="s">
        <v>76</v>
      </c>
      <c r="K33" s="1" t="n">
        <f aca="false">SUMIF('MiT Strom Pipeline'!$C$6:$C$860,J33,'MiT Strom Pipeline'!$I$6:$I$860)</f>
        <v>160817.26</v>
      </c>
      <c r="L33" s="1" t="n">
        <f aca="false">K33+(26-ROW())*0.0001</f>
        <v>160817.2593</v>
      </c>
    </row>
    <row r="34" customFormat="false" ht="15" hidden="false" customHeight="true" outlineLevel="0" collapsed="false">
      <c r="A34" s="72" t="n">
        <v>6</v>
      </c>
      <c r="B34" s="73" t="str">
        <f aca="false">IFERROR(INDEX('MiT Strom Pipeline'!$B$6:$B$860,MATCH(LARGE('MiT Strom Pipeline'!$AK$6:$AK$860,6),'MiT Strom Pipeline'!$AK$6:$AK$860,0)),"")</f>
        <v>Gampeln</v>
      </c>
      <c r="C34" s="72" t="str">
        <f aca="false">IFERROR(INDEX('MiT Strom Pipeline'!$C$6:$C$860,MATCH(LARGE('MiT Strom Pipeline'!$AK$6:$AK$860,6),'MiT Strom Pipeline'!$AK$6:$AK$860,0)),"")</f>
        <v>VS</v>
      </c>
      <c r="D34" s="73" t="str">
        <f aca="false">IFERROR(INDEX('MiT Strom Pipeline'!$D$6:$D$860,MATCH(LARGE('MiT Strom Pipeline'!$AK$6:$AK$860,6),'MiT Strom Pipeline'!$AK$6:$AK$860,0)),"")</f>
        <v>Event</v>
      </c>
      <c r="E34" s="74" t="n">
        <f aca="false">IFERROR(INDEX('MiT Strom Pipeline'!$I$6:$I$860,MATCH(LARGE('MiT Strom Pipeline'!$AK$6:$AK$860,6),'MiT Strom Pipeline'!$AK$6:$AK$860,0)),"")</f>
        <v>80621.21</v>
      </c>
      <c r="F34" s="77" t="str">
        <f aca="false">IFERROR(IF(ISNUMBER(INDEX('MiT Strom Pipeline'!$O$6:$O$860,MATCH(LARGE('MiT Strom Pipeline'!$AK$6:$AK$860,6),'MiT Strom Pipeline'!$AK$6:$AK$860,0))),INDEX('MiT Strom Pipeline'!$O$6:$O$860,MATCH(LARGE('MiT Strom Pipeline'!$AK$6:$AK$860,6),'MiT Strom Pipeline'!$AK$6:$AK$860,0)),IF(INDEX('MiT Strom Pipeline'!$H$6:$H$860,MATCH(LARGE('MiT Strom Pipeline'!$AK$6:$AK$860,6),'MiT Strom Pipeline'!$AK$6:$AK$860,0))="","",INDEX('MiT Strom Pipeline'!$H$6:$H$860,MATCH(LARGE('MiT Strom Pipeline'!$AK$6:$AK$860,6),'MiT Strom Pipeline'!$AK$6:$AK$860,0)))),"")</f>
        <v>Aug</v>
      </c>
      <c r="G34" s="77" t="str">
        <f aca="false">IFERROR(IF(ISNUMBER(INDEX('MiT Strom Pipeline'!$P$6:$P$860,MATCH(LARGE('MiT Strom Pipeline'!$AK$6:$AK$860,6),'MiT Strom Pipeline'!$AK$6:$AK$860,0))),INDEX('MiT Strom Pipeline'!$P$6:$P$860,MATCH(LARGE('MiT Strom Pipeline'!$AK$6:$AK$860,6),'MiT Strom Pipeline'!$AK$6:$AK$860,0)),""),"")</f>
        <v/>
      </c>
      <c r="J34" s="1" t="s">
        <v>77</v>
      </c>
      <c r="K34" s="1" t="n">
        <f aca="false">SUMIF('MiT Strom Pipeline'!$C$6:$C$860,J34,'MiT Strom Pipeline'!$I$6:$I$860)</f>
        <v>0</v>
      </c>
      <c r="L34" s="1" t="n">
        <f aca="false">K34+(26-ROW())*0.0001</f>
        <v>-0.0008</v>
      </c>
    </row>
    <row r="35" customFormat="false" ht="15" hidden="false" customHeight="true" outlineLevel="0" collapsed="false">
      <c r="A35" s="72" t="n">
        <v>7</v>
      </c>
      <c r="B35" s="73" t="str">
        <f aca="false">IFERROR(INDEX('MiT Strom Pipeline'!$B$6:$B$860,MATCH(LARGE('MiT Strom Pipeline'!$AK$6:$AK$860,7),'MiT Strom Pipeline'!$AK$6:$AK$860,0)),"")</f>
        <v>EIDG AMT Agroscope</v>
      </c>
      <c r="C35" s="72" t="str">
        <f aca="false">IFERROR(INDEX('MiT Strom Pipeline'!$C$6:$C$860,MATCH(LARGE('MiT Strom Pipeline'!$AK$6:$AK$860,7),'MiT Strom Pipeline'!$AK$6:$AK$860,0)),"")</f>
        <v>ZH</v>
      </c>
      <c r="D35" s="73" t="str">
        <f aca="false">IFERROR(INDEX('MiT Strom Pipeline'!$D$6:$D$860,MATCH(LARGE('MiT Strom Pipeline'!$AK$6:$AK$860,7),'MiT Strom Pipeline'!$AK$6:$AK$860,0)),"")</f>
        <v>Forschung</v>
      </c>
      <c r="E35" s="74" t="n">
        <f aca="false">IFERROR(INDEX('MiT Strom Pipeline'!$I$6:$I$860,MATCH(LARGE('MiT Strom Pipeline'!$AK$6:$AK$860,7),'MiT Strom Pipeline'!$AK$6:$AK$860,0)),"")</f>
        <v>13533</v>
      </c>
      <c r="F35" s="77" t="str">
        <f aca="false">IFERROR(IF(ISNUMBER(INDEX('MiT Strom Pipeline'!$O$6:$O$860,MATCH(LARGE('MiT Strom Pipeline'!$AK$6:$AK$860,7),'MiT Strom Pipeline'!$AK$6:$AK$860,0))),INDEX('MiT Strom Pipeline'!$O$6:$O$860,MATCH(LARGE('MiT Strom Pipeline'!$AK$6:$AK$860,7),'MiT Strom Pipeline'!$AK$6:$AK$860,0)),IF(INDEX('MiT Strom Pipeline'!$H$6:$H$860,MATCH(LARGE('MiT Strom Pipeline'!$AK$6:$AK$860,7),'MiT Strom Pipeline'!$AK$6:$AK$860,0))="","",INDEX('MiT Strom Pipeline'!$H$6:$H$860,MATCH(LARGE('MiT Strom Pipeline'!$AK$6:$AK$860,7),'MiT Strom Pipeline'!$AK$6:$AK$860,0)))),"")</f>
        <v>Aug</v>
      </c>
      <c r="G35" s="77" t="str">
        <f aca="false">IFERROR(IF(ISNUMBER(INDEX('MiT Strom Pipeline'!$P$6:$P$860,MATCH(LARGE('MiT Strom Pipeline'!$AK$6:$AK$860,7),'MiT Strom Pipeline'!$AK$6:$AK$860,0))),INDEX('MiT Strom Pipeline'!$P$6:$P$860,MATCH(LARGE('MiT Strom Pipeline'!$AK$6:$AK$860,7),'MiT Strom Pipeline'!$AK$6:$AK$860,0)),""),"")</f>
        <v/>
      </c>
      <c r="J35" s="1" t="s">
        <v>78</v>
      </c>
      <c r="K35" s="1" t="n">
        <f aca="false">SUMIF('MiT Strom Pipeline'!$C$6:$C$860,J35,'MiT Strom Pipeline'!$I$6:$I$860)</f>
        <v>0</v>
      </c>
      <c r="L35" s="1" t="n">
        <f aca="false">K35+(26-ROW())*0.0001</f>
        <v>-0.0009</v>
      </c>
    </row>
    <row r="36" customFormat="false" ht="15" hidden="false" customHeight="true" outlineLevel="0" collapsed="false">
      <c r="A36" s="72" t="n">
        <v>8</v>
      </c>
      <c r="B36" s="73" t="str">
        <f aca="false">IFERROR(INDEX('MiT Strom Pipeline'!$B$6:$B$860,MATCH(LARGE('MiT Strom Pipeline'!$AK$6:$AK$860,8),'MiT Strom Pipeline'!$AK$6:$AK$860,0)),"")</f>
        <v>GETEC Park.Swiss AG</v>
      </c>
      <c r="C36" s="72" t="str">
        <f aca="false">IFERROR(INDEX('MiT Strom Pipeline'!$C$6:$C$860,MATCH(LARGE('MiT Strom Pipeline'!$AK$6:$AK$860,8),'MiT Strom Pipeline'!$AK$6:$AK$860,0)),"")</f>
        <v>BL</v>
      </c>
      <c r="D36" s="73" t="str">
        <f aca="false">IFERROR(INDEX('MiT Strom Pipeline'!$D$6:$D$860,MATCH(LARGE('MiT Strom Pipeline'!$AK$6:$AK$860,8),'MiT Strom Pipeline'!$AK$6:$AK$860,0)),"")</f>
        <v>Industrie</v>
      </c>
      <c r="E36" s="74" t="n">
        <f aca="false">IFERROR(INDEX('MiT Strom Pipeline'!$I$6:$I$860,MATCH(LARGE('MiT Strom Pipeline'!$AK$6:$AK$860,8),'MiT Strom Pipeline'!$AK$6:$AK$860,0)),"")</f>
        <v>13472.18</v>
      </c>
      <c r="F36" s="77" t="str">
        <f aca="false">IFERROR(IF(ISNUMBER(INDEX('MiT Strom Pipeline'!$O$6:$O$860,MATCH(LARGE('MiT Strom Pipeline'!$AK$6:$AK$860,8),'MiT Strom Pipeline'!$AK$6:$AK$860,0))),INDEX('MiT Strom Pipeline'!$O$6:$O$860,MATCH(LARGE('MiT Strom Pipeline'!$AK$6:$AK$860,8),'MiT Strom Pipeline'!$AK$6:$AK$860,0)),IF(INDEX('MiT Strom Pipeline'!$H$6:$H$860,MATCH(LARGE('MiT Strom Pipeline'!$AK$6:$AK$860,8),'MiT Strom Pipeline'!$AK$6:$AK$860,0))="","",INDEX('MiT Strom Pipeline'!$H$6:$H$860,MATCH(LARGE('MiT Strom Pipeline'!$AK$6:$AK$860,8),'MiT Strom Pipeline'!$AK$6:$AK$860,0)))),"")</f>
        <v>August</v>
      </c>
      <c r="G36" s="77" t="str">
        <f aca="false">IFERROR(IF(ISNUMBER(INDEX('MiT Strom Pipeline'!$P$6:$P$860,MATCH(LARGE('MiT Strom Pipeline'!$AK$6:$AK$860,8),'MiT Strom Pipeline'!$AK$6:$AK$860,0))),INDEX('MiT Strom Pipeline'!$P$6:$P$860,MATCH(LARGE('MiT Strom Pipeline'!$AK$6:$AK$860,8),'MiT Strom Pipeline'!$AK$6:$AK$860,0)),""),"")</f>
        <v/>
      </c>
      <c r="J36" s="1" t="s">
        <v>79</v>
      </c>
      <c r="K36" s="1" t="n">
        <f aca="false">SUMIF('MiT Strom Pipeline'!$C$6:$C$860,J36,'MiT Strom Pipeline'!$I$6:$I$860)</f>
        <v>0</v>
      </c>
      <c r="L36" s="1" t="n">
        <f aca="false">K36+(26-ROW())*0.0001</f>
        <v>-0.001</v>
      </c>
    </row>
    <row r="37" customFormat="false" ht="15" hidden="false" customHeight="true" outlineLevel="0" collapsed="false">
      <c r="A37" s="72" t="n">
        <v>9</v>
      </c>
      <c r="B37" s="73" t="str">
        <f aca="false">IFERROR(INDEX('MiT Strom Pipeline'!$B$6:$B$860,MATCH(LARGE('MiT Strom Pipeline'!$AK$6:$AK$860,9),'MiT Strom Pipeline'!$AK$6:$AK$860,0)),"")</f>
        <v>Oerlikon Metco Wohlen</v>
      </c>
      <c r="C37" s="72" t="str">
        <f aca="false">IFERROR(INDEX('MiT Strom Pipeline'!$C$6:$C$860,MATCH(LARGE('MiT Strom Pipeline'!$AK$6:$AK$860,9),'MiT Strom Pipeline'!$AK$6:$AK$860,0)),"")</f>
        <v>AG</v>
      </c>
      <c r="D37" s="73" t="str">
        <f aca="false">IFERROR(INDEX('MiT Strom Pipeline'!$D$6:$D$860,MATCH(LARGE('MiT Strom Pipeline'!$AK$6:$AK$860,9),'MiT Strom Pipeline'!$AK$6:$AK$860,0)),"")</f>
        <v>Industrie / Oberfläche</v>
      </c>
      <c r="E37" s="74" t="n">
        <f aca="false">IFERROR(INDEX('MiT Strom Pipeline'!$I$6:$I$860,MATCH(LARGE('MiT Strom Pipeline'!$AK$6:$AK$860,9),'MiT Strom Pipeline'!$AK$6:$AK$860,0)),"")</f>
        <v>13100</v>
      </c>
      <c r="F37" s="77" t="str">
        <f aca="false">IFERROR(IF(ISNUMBER(INDEX('MiT Strom Pipeline'!$O$6:$O$860,MATCH(LARGE('MiT Strom Pipeline'!$AK$6:$AK$860,9),'MiT Strom Pipeline'!$AK$6:$AK$860,0))),INDEX('MiT Strom Pipeline'!$O$6:$O$860,MATCH(LARGE('MiT Strom Pipeline'!$AK$6:$AK$860,9),'MiT Strom Pipeline'!$AK$6:$AK$860,0)),IF(INDEX('MiT Strom Pipeline'!$H$6:$H$860,MATCH(LARGE('MiT Strom Pipeline'!$AK$6:$AK$860,9),'MiT Strom Pipeline'!$AK$6:$AK$860,0))="","",INDEX('MiT Strom Pipeline'!$H$6:$H$860,MATCH(LARGE('MiT Strom Pipeline'!$AK$6:$AK$860,9),'MiT Strom Pipeline'!$AK$6:$AK$860,0)))),"")</f>
        <v>April</v>
      </c>
      <c r="G37" s="77" t="str">
        <f aca="false">IFERROR(IF(ISNUMBER(INDEX('MiT Strom Pipeline'!$P$6:$P$860,MATCH(LARGE('MiT Strom Pipeline'!$AK$6:$AK$860,9),'MiT Strom Pipeline'!$AK$6:$AK$860,0))),INDEX('MiT Strom Pipeline'!$P$6:$P$860,MATCH(LARGE('MiT Strom Pipeline'!$AK$6:$AK$860,9),'MiT Strom Pipeline'!$AK$6:$AK$860,0)),""),"")</f>
        <v/>
      </c>
      <c r="J37" s="1" t="s">
        <v>80</v>
      </c>
      <c r="K37" s="1" t="n">
        <f aca="false">SUMIF('MiT Strom Pipeline'!$C$6:$C$860,J37,'MiT Strom Pipeline'!$I$6:$I$860)</f>
        <v>303790.2</v>
      </c>
      <c r="L37" s="1" t="n">
        <f aca="false">K37+(26-ROW())*0.0001</f>
        <v>303790.1989</v>
      </c>
    </row>
    <row r="38" customFormat="false" ht="15" hidden="false" customHeight="true" outlineLevel="0" collapsed="false">
      <c r="A38" s="72" t="n">
        <v>10</v>
      </c>
      <c r="B38" s="73" t="str">
        <f aca="false">IFERROR(INDEX('MiT Strom Pipeline'!$B$6:$B$860,MATCH(LARGE('MiT Strom Pipeline'!$AK$6:$AK$860,10),'MiT Strom Pipeline'!$AK$6:$AK$860,0)),"")</f>
        <v>Siemens</v>
      </c>
      <c r="C38" s="72" t="str">
        <f aca="false">IFERROR(INDEX('MiT Strom Pipeline'!$C$6:$C$860,MATCH(LARGE('MiT Strom Pipeline'!$AK$6:$AK$860,10),'MiT Strom Pipeline'!$AK$6:$AK$860,0)),"")</f>
        <v>ZH</v>
      </c>
      <c r="D38" s="73" t="str">
        <f aca="false">IFERROR(INDEX('MiT Strom Pipeline'!$D$6:$D$860,MATCH(LARGE('MiT Strom Pipeline'!$AK$6:$AK$860,10),'MiT Strom Pipeline'!$AK$6:$AK$860,0)),"")</f>
        <v>Industrie / Elektro</v>
      </c>
      <c r="E38" s="74" t="n">
        <f aca="false">IFERROR(INDEX('MiT Strom Pipeline'!$I$6:$I$860,MATCH(LARGE('MiT Strom Pipeline'!$AK$6:$AK$860,10),'MiT Strom Pipeline'!$AK$6:$AK$860,0)),"")</f>
        <v>10000</v>
      </c>
      <c r="F38" s="77" t="str">
        <f aca="false">IFERROR(IF(ISNUMBER(INDEX('MiT Strom Pipeline'!$O$6:$O$860,MATCH(LARGE('MiT Strom Pipeline'!$AK$6:$AK$860,10),'MiT Strom Pipeline'!$AK$6:$AK$860,0))),INDEX('MiT Strom Pipeline'!$O$6:$O$860,MATCH(LARGE('MiT Strom Pipeline'!$AK$6:$AK$860,10),'MiT Strom Pipeline'!$AK$6:$AK$860,0)),IF(INDEX('MiT Strom Pipeline'!$H$6:$H$860,MATCH(LARGE('MiT Strom Pipeline'!$AK$6:$AK$860,10),'MiT Strom Pipeline'!$AK$6:$AK$860,0))="","",INDEX('MiT Strom Pipeline'!$H$6:$H$860,MATCH(LARGE('MiT Strom Pipeline'!$AK$6:$AK$860,10),'MiT Strom Pipeline'!$AK$6:$AK$860,0)))),"")</f>
        <v>tbd</v>
      </c>
      <c r="G38" s="77" t="str">
        <f aca="false">IFERROR(IF(ISNUMBER(INDEX('MiT Strom Pipeline'!$P$6:$P$860,MATCH(LARGE('MiT Strom Pipeline'!$AK$6:$AK$860,10),'MiT Strom Pipeline'!$AK$6:$AK$860,0))),INDEX('MiT Strom Pipeline'!$P$6:$P$860,MATCH(LARGE('MiT Strom Pipeline'!$AK$6:$AK$860,10),'MiT Strom Pipeline'!$AK$6:$AK$860,0)),""),"")</f>
        <v/>
      </c>
      <c r="J38" s="1" t="s">
        <v>81</v>
      </c>
      <c r="K38" s="1" t="n">
        <f aca="false">SUMIF('MiT Strom Pipeline'!$C$6:$C$860,J38,'MiT Strom Pipeline'!$I$6:$I$860)</f>
        <v>40491.67</v>
      </c>
      <c r="L38" s="1" t="n">
        <f aca="false">K38+(26-ROW())*0.0001</f>
        <v>40491.6688</v>
      </c>
    </row>
    <row r="39" customFormat="false" ht="15" hidden="false" customHeight="true" outlineLevel="0" collapsed="false">
      <c r="J39" s="1" t="s">
        <v>82</v>
      </c>
      <c r="K39" s="1" t="n">
        <f aca="false">SUMIF('MiT Strom Pipeline'!$C$6:$C$860,J39,'MiT Strom Pipeline'!$I$6:$I$860)</f>
        <v>2732238.98</v>
      </c>
      <c r="L39" s="1" t="n">
        <f aca="false">K39+(26-ROW())*0.0001</f>
        <v>2732238.9787</v>
      </c>
    </row>
    <row r="40" customFormat="false" ht="15" hidden="false" customHeight="true" outlineLevel="0" collapsed="false">
      <c r="A40" s="78" t="s">
        <v>83</v>
      </c>
      <c r="B40" s="78"/>
      <c r="C40" s="78"/>
      <c r="D40" s="78"/>
      <c r="E40" s="78"/>
      <c r="F40" s="78"/>
    </row>
    <row r="41" customFormat="false" ht="15" hidden="false" customHeight="true" outlineLevel="0" collapsed="false">
      <c r="A41" s="79"/>
    </row>
    <row r="43" customFormat="false" ht="18.75" hidden="false" customHeight="true" outlineLevel="0" collapsed="false">
      <c r="A43" s="60" t="s">
        <v>84</v>
      </c>
      <c r="B43" s="60"/>
      <c r="C43" s="60"/>
      <c r="D43" s="60"/>
      <c r="E43" s="60"/>
      <c r="F43" s="60"/>
      <c r="G43" s="60"/>
    </row>
    <row r="44" customFormat="false" ht="15" hidden="false" customHeight="true" outlineLevel="0" collapsed="false">
      <c r="A44" s="61" t="s">
        <v>85</v>
      </c>
      <c r="B44" s="61" t="s">
        <v>27</v>
      </c>
      <c r="C44" s="61" t="s">
        <v>54</v>
      </c>
      <c r="D44" s="61" t="s">
        <v>28</v>
      </c>
      <c r="E44" s="61" t="s">
        <v>29</v>
      </c>
    </row>
    <row r="45" customFormat="false" ht="15" hidden="false" customHeight="true" outlineLevel="0" collapsed="false">
      <c r="A45" s="80" t="str">
        <f aca="false">'⚖️ Wahrscheinlichkeit'!$A$17</f>
        <v>0 – 44 %</v>
      </c>
      <c r="B45" s="81" t="n">
        <f aca="false">'⚖️ Wahrscheinlichkeit'!$D$17</f>
        <v>0</v>
      </c>
      <c r="C45" s="82" t="n">
        <f aca="false">'⚖️ Wahrscheinlichkeit'!$E$17</f>
        <v>30</v>
      </c>
      <c r="D45" s="83" t="n">
        <f aca="false">'⚖️ Wahrscheinlichkeit'!$F$17</f>
        <v>5092182.15</v>
      </c>
      <c r="E45" s="83" t="n">
        <f aca="false">'⚖️ Wahrscheinlichkeit'!$G$17</f>
        <v>0</v>
      </c>
    </row>
    <row r="46" customFormat="false" ht="15" hidden="false" customHeight="true" outlineLevel="0" collapsed="false">
      <c r="A46" s="84" t="str">
        <f aca="false">'⚖️ Wahrscheinlichkeit'!$A$18</f>
        <v>45 – 59 %</v>
      </c>
      <c r="B46" s="85" t="n">
        <f aca="false">'⚖️ Wahrscheinlichkeit'!$D$18</f>
        <v>0.3</v>
      </c>
      <c r="C46" s="86" t="n">
        <f aca="false">'⚖️ Wahrscheinlichkeit'!$E$18</f>
        <v>0</v>
      </c>
      <c r="D46" s="87" t="n">
        <f aca="false">'⚖️ Wahrscheinlichkeit'!$F$18</f>
        <v>0</v>
      </c>
      <c r="E46" s="87" t="n">
        <f aca="false">'⚖️ Wahrscheinlichkeit'!$G$18</f>
        <v>0</v>
      </c>
    </row>
    <row r="47" customFormat="false" ht="15" hidden="false" customHeight="true" outlineLevel="0" collapsed="false">
      <c r="A47" s="88" t="str">
        <f aca="false">'⚖️ Wahrscheinlichkeit'!$A$19</f>
        <v>60 – 89 %</v>
      </c>
      <c r="B47" s="89" t="n">
        <f aca="false">'⚖️ Wahrscheinlichkeit'!$D$19</f>
        <v>0.5</v>
      </c>
      <c r="C47" s="90" t="n">
        <f aca="false">'⚖️ Wahrscheinlichkeit'!$E$19</f>
        <v>2</v>
      </c>
      <c r="D47" s="91" t="n">
        <f aca="false">'⚖️ Wahrscheinlichkeit'!$F$19</f>
        <v>268500.23</v>
      </c>
      <c r="E47" s="91" t="n">
        <f aca="false">'⚖️ Wahrscheinlichkeit'!$G$19</f>
        <v>134250.115</v>
      </c>
    </row>
    <row r="48" customFormat="false" ht="15" hidden="false" customHeight="true" outlineLevel="0" collapsed="false">
      <c r="A48" s="92" t="str">
        <f aca="false">'⚖️ Wahrscheinlichkeit'!$A$20</f>
        <v>90 – 99 %</v>
      </c>
      <c r="B48" s="93" t="n">
        <f aca="false">'⚖️ Wahrscheinlichkeit'!$D$20</f>
        <v>0.9</v>
      </c>
      <c r="C48" s="94" t="n">
        <f aca="false">'⚖️ Wahrscheinlichkeit'!$E$20</f>
        <v>2</v>
      </c>
      <c r="D48" s="95" t="n">
        <f aca="false">'⚖️ Wahrscheinlichkeit'!$F$20</f>
        <v>72913.72</v>
      </c>
      <c r="E48" s="95" t="n">
        <f aca="false">'⚖️ Wahrscheinlichkeit'!$G$20</f>
        <v>65622.348</v>
      </c>
    </row>
    <row r="49" customFormat="false" ht="15" hidden="false" customHeight="true" outlineLevel="0" collapsed="false">
      <c r="A49" s="96" t="str">
        <f aca="false">'⚖️ Wahrscheinlichkeit'!$A$21</f>
        <v>100 %  ·  WON</v>
      </c>
      <c r="B49" s="97" t="n">
        <f aca="false">'⚖️ Wahrscheinlichkeit'!$D$21</f>
        <v>1</v>
      </c>
      <c r="C49" s="98" t="n">
        <f aca="false">'⚖️ Wahrscheinlichkeit'!$E$21</f>
        <v>12</v>
      </c>
      <c r="D49" s="99" t="n">
        <f aca="false">'⚖️ Wahrscheinlichkeit'!$F$21</f>
        <v>1428553.13</v>
      </c>
      <c r="E49" s="99" t="n">
        <f aca="false">'⚖️ Wahrscheinlichkeit'!$G$21</f>
        <v>1428553.13</v>
      </c>
    </row>
    <row r="50" customFormat="false" ht="15" hidden="false" customHeight="true" outlineLevel="0" collapsed="false">
      <c r="A50" s="100" t="s">
        <v>30</v>
      </c>
      <c r="B50" s="101"/>
      <c r="C50" s="102" t="n">
        <f aca="false">'⚖️ Wahrscheinlichkeit'!$E$22</f>
        <v>46</v>
      </c>
      <c r="D50" s="103" t="n">
        <f aca="false">'⚖️ Wahrscheinlichkeit'!$F$22</f>
        <v>6862149.23</v>
      </c>
      <c r="E50" s="103" t="n">
        <f aca="false">'⚖️ Wahrscheinlichkeit'!$G$22</f>
        <v>1628425.593</v>
      </c>
    </row>
    <row r="51" customFormat="false" ht="15" hidden="false" customHeight="true" outlineLevel="0" collapsed="false">
      <c r="A51" s="104" t="str">
        <f aca="false">"Faktoren: 0–44 % → 0 %  |  45–59 % → 30 %  |  60–89 % → 50 %  |  90–99 % → 90 %  |  100 % → 100 %.   Gewichtungsgrad gesamt: "&amp;TEXT('⚖️ Wahrscheinlichkeit'!$H$22,"0.0%")&amp;"   ·   Modell: Blatt «⚖️ Wahrscheinlichkeit»"</f>
        <v>Faktoren: 0–44 % → 0 %  |  45–59 % → 30 %  |  60–89 % → 50 %  |  90–99 % → 90 %  |  100 % → 100 %.   Gewichtungsgrad gesamt: 23.7%   ·   Modell: Blatt «⚖️ Wahrscheinlichkeit»</v>
      </c>
      <c r="B51" s="104"/>
      <c r="C51" s="104"/>
      <c r="D51" s="104"/>
      <c r="E51" s="104"/>
      <c r="F51" s="104"/>
      <c r="G51" s="104"/>
    </row>
    <row r="53" customFormat="false" ht="18.75" hidden="false" customHeight="true" outlineLevel="0" collapsed="false">
      <c r="A53" s="60" t="s">
        <v>86</v>
      </c>
      <c r="B53" s="60"/>
      <c r="C53" s="60"/>
      <c r="D53" s="60"/>
      <c r="E53" s="60"/>
      <c r="F53" s="60"/>
      <c r="G53" s="60"/>
    </row>
    <row r="54" customFormat="false" ht="15" hidden="false" customHeight="true" outlineLevel="0" collapsed="false">
      <c r="A54" s="61" t="s">
        <v>87</v>
      </c>
      <c r="B54" s="105" t="n">
        <f aca="true">YEAR(TODAY())</f>
        <v>2026</v>
      </c>
      <c r="C54" s="72"/>
      <c r="D54" s="106"/>
      <c r="E54" s="107"/>
    </row>
    <row r="55" customFormat="false" ht="15" hidden="false" customHeight="true" outlineLevel="0" collapsed="false">
      <c r="A55" s="61" t="s">
        <v>88</v>
      </c>
      <c r="B55" s="61" t="s">
        <v>89</v>
      </c>
      <c r="C55" s="61" t="s">
        <v>15</v>
      </c>
      <c r="D55" s="61" t="s">
        <v>16</v>
      </c>
      <c r="E55" s="61" t="s">
        <v>42</v>
      </c>
    </row>
    <row r="56" customFormat="false" ht="15" hidden="false" customHeight="true" outlineLevel="0" collapsed="false">
      <c r="A56" s="72" t="s">
        <v>90</v>
      </c>
      <c r="B56" s="73" t="s">
        <v>91</v>
      </c>
      <c r="C56" s="75" t="n">
        <f aca="false">SUMPRODUCT('MiT Strom Pipeline'!$AP$6:$AP$860,--('MiT Strom Pipeline'!$AX$6:$AX$860=DATE($B$54,1,1)))</f>
        <v>0</v>
      </c>
      <c r="D56" s="74" t="n">
        <f aca="false">SUMPRODUCT('MiT Strom Pipeline'!$AP$6:$AP$860,--('MiT Strom Pipeline'!$AX$6:$AX$860=DATE($B$54,1,1)),'MiT Strom Pipeline'!$AL$6:$AL$860)</f>
        <v>0</v>
      </c>
      <c r="E56" s="108" t="n">
        <f aca="false">IFERROR(SUMPRODUCT('MiT Strom Pipeline'!$AP$6:$AP$860,--('MiT Strom Pipeline'!$AX$6:$AX$860=DATE($B$54,1,1)),'MiT Strom Pipeline'!$AL$6:$AL$860)/SUMPRODUCT('MiT Strom Pipeline'!$AP$6:$AP$860,'MiT Strom Pipeline'!$AL$6:$AL$860),0)</f>
        <v>0</v>
      </c>
    </row>
    <row r="57" customFormat="false" ht="15" hidden="false" customHeight="true" outlineLevel="0" collapsed="false">
      <c r="A57" s="72" t="s">
        <v>92</v>
      </c>
      <c r="B57" s="73" t="s">
        <v>91</v>
      </c>
      <c r="C57" s="75" t="n">
        <f aca="false">SUMPRODUCT('MiT Strom Pipeline'!$AP$6:$AP$860,--('MiT Strom Pipeline'!$AX$6:$AX$860=DATE($B$54,2,1)))</f>
        <v>0</v>
      </c>
      <c r="D57" s="74" t="n">
        <f aca="false">SUMPRODUCT('MiT Strom Pipeline'!$AP$6:$AP$860,--('MiT Strom Pipeline'!$AX$6:$AX$860=DATE($B$54,2,1)),'MiT Strom Pipeline'!$AL$6:$AL$860)</f>
        <v>0</v>
      </c>
      <c r="E57" s="108" t="n">
        <f aca="false">IFERROR(SUMPRODUCT('MiT Strom Pipeline'!$AP$6:$AP$860,--('MiT Strom Pipeline'!$AX$6:$AX$860=DATE($B$54,2,1)),'MiT Strom Pipeline'!$AL$6:$AL$860)/SUMPRODUCT('MiT Strom Pipeline'!$AP$6:$AP$860,'MiT Strom Pipeline'!$AL$6:$AL$860),0)</f>
        <v>0</v>
      </c>
    </row>
    <row r="58" customFormat="false" ht="15" hidden="false" customHeight="true" outlineLevel="0" collapsed="false">
      <c r="A58" s="72" t="s">
        <v>93</v>
      </c>
      <c r="B58" s="73" t="s">
        <v>91</v>
      </c>
      <c r="C58" s="75" t="n">
        <f aca="false">SUMPRODUCT('MiT Strom Pipeline'!$AP$6:$AP$860,--('MiT Strom Pipeline'!$AX$6:$AX$860=DATE($B$54,3,1)))</f>
        <v>0</v>
      </c>
      <c r="D58" s="74" t="n">
        <f aca="false">SUMPRODUCT('MiT Strom Pipeline'!$AP$6:$AP$860,--('MiT Strom Pipeline'!$AX$6:$AX$860=DATE($B$54,3,1)),'MiT Strom Pipeline'!$AL$6:$AL$860)</f>
        <v>0</v>
      </c>
      <c r="E58" s="108" t="n">
        <f aca="false">IFERROR(SUMPRODUCT('MiT Strom Pipeline'!$AP$6:$AP$860,--('MiT Strom Pipeline'!$AX$6:$AX$860=DATE($B$54,3,1)),'MiT Strom Pipeline'!$AL$6:$AL$860)/SUMPRODUCT('MiT Strom Pipeline'!$AP$6:$AP$860,'MiT Strom Pipeline'!$AL$6:$AL$860),0)</f>
        <v>0</v>
      </c>
    </row>
    <row r="59" customFormat="false" ht="15" hidden="false" customHeight="true" outlineLevel="0" collapsed="false">
      <c r="A59" s="72" t="s">
        <v>94</v>
      </c>
      <c r="B59" s="73" t="s">
        <v>95</v>
      </c>
      <c r="C59" s="75" t="n">
        <f aca="false">SUMPRODUCT('MiT Strom Pipeline'!$AP$6:$AP$860,--('MiT Strom Pipeline'!$AX$6:$AX$860=DATE($B$54,4,1)))</f>
        <v>0</v>
      </c>
      <c r="D59" s="74" t="n">
        <f aca="false">SUMPRODUCT('MiT Strom Pipeline'!$AP$6:$AP$860,--('MiT Strom Pipeline'!$AX$6:$AX$860=DATE($B$54,4,1)),'MiT Strom Pipeline'!$AL$6:$AL$860)</f>
        <v>0</v>
      </c>
      <c r="E59" s="108" t="n">
        <f aca="false">IFERROR(SUMPRODUCT('MiT Strom Pipeline'!$AP$6:$AP$860,--('MiT Strom Pipeline'!$AX$6:$AX$860=DATE($B$54,4,1)),'MiT Strom Pipeline'!$AL$6:$AL$860)/SUMPRODUCT('MiT Strom Pipeline'!$AP$6:$AP$860,'MiT Strom Pipeline'!$AL$6:$AL$860),0)</f>
        <v>0</v>
      </c>
    </row>
    <row r="60" customFormat="false" ht="15" hidden="false" customHeight="true" outlineLevel="0" collapsed="false">
      <c r="A60" s="72" t="s">
        <v>96</v>
      </c>
      <c r="B60" s="73" t="s">
        <v>95</v>
      </c>
      <c r="C60" s="75" t="n">
        <f aca="false">SUMPRODUCT('MiT Strom Pipeline'!$AP$6:$AP$860,--('MiT Strom Pipeline'!$AX$6:$AX$860=DATE($B$54,5,1)))</f>
        <v>0</v>
      </c>
      <c r="D60" s="74" t="n">
        <f aca="false">SUMPRODUCT('MiT Strom Pipeline'!$AP$6:$AP$860,--('MiT Strom Pipeline'!$AX$6:$AX$860=DATE($B$54,5,1)),'MiT Strom Pipeline'!$AL$6:$AL$860)</f>
        <v>0</v>
      </c>
      <c r="E60" s="108" t="n">
        <f aca="false">IFERROR(SUMPRODUCT('MiT Strom Pipeline'!$AP$6:$AP$860,--('MiT Strom Pipeline'!$AX$6:$AX$860=DATE($B$54,5,1)),'MiT Strom Pipeline'!$AL$6:$AL$860)/SUMPRODUCT('MiT Strom Pipeline'!$AP$6:$AP$860,'MiT Strom Pipeline'!$AL$6:$AL$860),0)</f>
        <v>0</v>
      </c>
    </row>
    <row r="61" customFormat="false" ht="15" hidden="false" customHeight="true" outlineLevel="0" collapsed="false">
      <c r="A61" s="72" t="s">
        <v>97</v>
      </c>
      <c r="B61" s="73" t="s">
        <v>95</v>
      </c>
      <c r="C61" s="75" t="n">
        <f aca="false">SUMPRODUCT('MiT Strom Pipeline'!$AP$6:$AP$860,--('MiT Strom Pipeline'!$AX$6:$AX$860=DATE($B$54,6,1)))</f>
        <v>0</v>
      </c>
      <c r="D61" s="74" t="n">
        <f aca="false">SUMPRODUCT('MiT Strom Pipeline'!$AP$6:$AP$860,--('MiT Strom Pipeline'!$AX$6:$AX$860=DATE($B$54,6,1)),'MiT Strom Pipeline'!$AL$6:$AL$860)</f>
        <v>0</v>
      </c>
      <c r="E61" s="108" t="n">
        <f aca="false">IFERROR(SUMPRODUCT('MiT Strom Pipeline'!$AP$6:$AP$860,--('MiT Strom Pipeline'!$AX$6:$AX$860=DATE($B$54,6,1)),'MiT Strom Pipeline'!$AL$6:$AL$860)/SUMPRODUCT('MiT Strom Pipeline'!$AP$6:$AP$860,'MiT Strom Pipeline'!$AL$6:$AL$860),0)</f>
        <v>0</v>
      </c>
    </row>
    <row r="62" customFormat="false" ht="15" hidden="false" customHeight="true" outlineLevel="0" collapsed="false">
      <c r="A62" s="72" t="s">
        <v>98</v>
      </c>
      <c r="B62" s="73" t="s">
        <v>99</v>
      </c>
      <c r="C62" s="75" t="n">
        <f aca="false">SUMPRODUCT('MiT Strom Pipeline'!$AP$6:$AP$860,--('MiT Strom Pipeline'!$AX$6:$AX$860=DATE($B$54,7,1)))</f>
        <v>0</v>
      </c>
      <c r="D62" s="74" t="n">
        <f aca="false">SUMPRODUCT('MiT Strom Pipeline'!$AP$6:$AP$860,--('MiT Strom Pipeline'!$AX$6:$AX$860=DATE($B$54,7,1)),'MiT Strom Pipeline'!$AL$6:$AL$860)</f>
        <v>0</v>
      </c>
      <c r="E62" s="108" t="n">
        <f aca="false">IFERROR(SUMPRODUCT('MiT Strom Pipeline'!$AP$6:$AP$860,--('MiT Strom Pipeline'!$AX$6:$AX$860=DATE($B$54,7,1)),'MiT Strom Pipeline'!$AL$6:$AL$860)/SUMPRODUCT('MiT Strom Pipeline'!$AP$6:$AP$860,'MiT Strom Pipeline'!$AL$6:$AL$860),0)</f>
        <v>0</v>
      </c>
    </row>
    <row r="63" customFormat="false" ht="15" hidden="false" customHeight="true" outlineLevel="0" collapsed="false">
      <c r="A63" s="72" t="s">
        <v>100</v>
      </c>
      <c r="B63" s="73" t="s">
        <v>99</v>
      </c>
      <c r="C63" s="75" t="n">
        <f aca="false">SUMPRODUCT('MiT Strom Pipeline'!$AP$6:$AP$860,--('MiT Strom Pipeline'!$AX$6:$AX$860=DATE($B$54,8,1)))</f>
        <v>0</v>
      </c>
      <c r="D63" s="74" t="n">
        <f aca="false">SUMPRODUCT('MiT Strom Pipeline'!$AP$6:$AP$860,--('MiT Strom Pipeline'!$AX$6:$AX$860=DATE($B$54,8,1)),'MiT Strom Pipeline'!$AL$6:$AL$860)</f>
        <v>0</v>
      </c>
      <c r="E63" s="108" t="n">
        <f aca="false">IFERROR(SUMPRODUCT('MiT Strom Pipeline'!$AP$6:$AP$860,--('MiT Strom Pipeline'!$AX$6:$AX$860=DATE($B$54,8,1)),'MiT Strom Pipeline'!$AL$6:$AL$860)/SUMPRODUCT('MiT Strom Pipeline'!$AP$6:$AP$860,'MiT Strom Pipeline'!$AL$6:$AL$860),0)</f>
        <v>0</v>
      </c>
    </row>
    <row r="64" customFormat="false" ht="15" hidden="false" customHeight="true" outlineLevel="0" collapsed="false">
      <c r="A64" s="72" t="s">
        <v>101</v>
      </c>
      <c r="B64" s="73" t="s">
        <v>99</v>
      </c>
      <c r="C64" s="75" t="n">
        <f aca="false">SUMPRODUCT('MiT Strom Pipeline'!$AP$6:$AP$860,--('MiT Strom Pipeline'!$AX$6:$AX$860=DATE($B$54,9,1)))</f>
        <v>0</v>
      </c>
      <c r="D64" s="74" t="n">
        <f aca="false">SUMPRODUCT('MiT Strom Pipeline'!$AP$6:$AP$860,--('MiT Strom Pipeline'!$AX$6:$AX$860=DATE($B$54,9,1)),'MiT Strom Pipeline'!$AL$6:$AL$860)</f>
        <v>0</v>
      </c>
      <c r="E64" s="108" t="n">
        <f aca="false">IFERROR(SUMPRODUCT('MiT Strom Pipeline'!$AP$6:$AP$860,--('MiT Strom Pipeline'!$AX$6:$AX$860=DATE($B$54,9,1)),'MiT Strom Pipeline'!$AL$6:$AL$860)/SUMPRODUCT('MiT Strom Pipeline'!$AP$6:$AP$860,'MiT Strom Pipeline'!$AL$6:$AL$860),0)</f>
        <v>0</v>
      </c>
    </row>
    <row r="65" customFormat="false" ht="15" hidden="false" customHeight="true" outlineLevel="0" collapsed="false">
      <c r="A65" s="72" t="s">
        <v>102</v>
      </c>
      <c r="B65" s="73" t="s">
        <v>103</v>
      </c>
      <c r="C65" s="75" t="n">
        <f aca="false">SUMPRODUCT('MiT Strom Pipeline'!$AP$6:$AP$860,--('MiT Strom Pipeline'!$AX$6:$AX$860=DATE($B$54,10,1)))</f>
        <v>0</v>
      </c>
      <c r="D65" s="74" t="n">
        <f aca="false">SUMPRODUCT('MiT Strom Pipeline'!$AP$6:$AP$860,--('MiT Strom Pipeline'!$AX$6:$AX$860=DATE($B$54,10,1)),'MiT Strom Pipeline'!$AL$6:$AL$860)</f>
        <v>0</v>
      </c>
      <c r="E65" s="108" t="n">
        <f aca="false">IFERROR(SUMPRODUCT('MiT Strom Pipeline'!$AP$6:$AP$860,--('MiT Strom Pipeline'!$AX$6:$AX$860=DATE($B$54,10,1)),'MiT Strom Pipeline'!$AL$6:$AL$860)/SUMPRODUCT('MiT Strom Pipeline'!$AP$6:$AP$860,'MiT Strom Pipeline'!$AL$6:$AL$860),0)</f>
        <v>0</v>
      </c>
    </row>
    <row r="66" customFormat="false" ht="15" hidden="false" customHeight="true" outlineLevel="0" collapsed="false">
      <c r="A66" s="72" t="s">
        <v>104</v>
      </c>
      <c r="B66" s="73" t="s">
        <v>103</v>
      </c>
      <c r="C66" s="75" t="n">
        <f aca="false">SUMPRODUCT('MiT Strom Pipeline'!$AP$6:$AP$860,--('MiT Strom Pipeline'!$AX$6:$AX$860=DATE($B$54,11,1)))</f>
        <v>0</v>
      </c>
      <c r="D66" s="74" t="n">
        <f aca="false">SUMPRODUCT('MiT Strom Pipeline'!$AP$6:$AP$860,--('MiT Strom Pipeline'!$AX$6:$AX$860=DATE($B$54,11,1)),'MiT Strom Pipeline'!$AL$6:$AL$860)</f>
        <v>0</v>
      </c>
      <c r="E66" s="108" t="n">
        <f aca="false">IFERROR(SUMPRODUCT('MiT Strom Pipeline'!$AP$6:$AP$860,--('MiT Strom Pipeline'!$AX$6:$AX$860=DATE($B$54,11,1)),'MiT Strom Pipeline'!$AL$6:$AL$860)/SUMPRODUCT('MiT Strom Pipeline'!$AP$6:$AP$860,'MiT Strom Pipeline'!$AL$6:$AL$860),0)</f>
        <v>0</v>
      </c>
    </row>
    <row r="67" customFormat="false" ht="15" hidden="false" customHeight="true" outlineLevel="0" collapsed="false">
      <c r="A67" s="72" t="s">
        <v>105</v>
      </c>
      <c r="B67" s="73" t="s">
        <v>103</v>
      </c>
      <c r="C67" s="75" t="n">
        <f aca="false">SUMPRODUCT('MiT Strom Pipeline'!$AP$6:$AP$860,--('MiT Strom Pipeline'!$AX$6:$AX$860=DATE($B$54,12,1)))</f>
        <v>0</v>
      </c>
      <c r="D67" s="74" t="n">
        <f aca="false">SUMPRODUCT('MiT Strom Pipeline'!$AP$6:$AP$860,--('MiT Strom Pipeline'!$AX$6:$AX$860=DATE($B$54,12,1)),'MiT Strom Pipeline'!$AL$6:$AL$860)</f>
        <v>0</v>
      </c>
      <c r="E67" s="108" t="n">
        <f aca="false">IFERROR(SUMPRODUCT('MiT Strom Pipeline'!$AP$6:$AP$860,--('MiT Strom Pipeline'!$AX$6:$AX$860=DATE($B$54,12,1)),'MiT Strom Pipeline'!$AL$6:$AL$860)/SUMPRODUCT('MiT Strom Pipeline'!$AP$6:$AP$860,'MiT Strom Pipeline'!$AL$6:$AL$860),0)</f>
        <v>0</v>
      </c>
    </row>
    <row r="68" customFormat="false" ht="15" hidden="false" customHeight="true" outlineLevel="0" collapsed="false">
      <c r="A68" s="72" t="s">
        <v>106</v>
      </c>
      <c r="B68" s="73" t="s">
        <v>107</v>
      </c>
      <c r="C68" s="75" t="n">
        <f aca="false">SUMPRODUCT('MiT Strom Pipeline'!$AP$6:$AP$860,'MiT Strom Pipeline'!$AY$6:$AY$860,--('MiT Strom Pipeline'!$AX$6:$AX$860&lt;DATE($B$54,1,1))+--('MiT Strom Pipeline'!$AX$6:$AX$860&gt;DATE($B$54,12,1)))</f>
        <v>0</v>
      </c>
      <c r="D68" s="74" t="n">
        <f aca="false">SUMPRODUCT('MiT Strom Pipeline'!$AP$6:$AP$860,'MiT Strom Pipeline'!$AY$6:$AY$860,--('MiT Strom Pipeline'!$AX$6:$AX$860&lt;DATE($B$54,1,1))+--('MiT Strom Pipeline'!$AX$6:$AX$860&gt;DATE($B$54,12,1)),'MiT Strom Pipeline'!$AL$6:$AL$860)</f>
        <v>0</v>
      </c>
      <c r="E68" s="108" t="n">
        <f aca="false">IFERROR(SUMPRODUCT('MiT Strom Pipeline'!$AP$6:$AP$860,'MiT Strom Pipeline'!$AY$6:$AY$860,--('MiT Strom Pipeline'!$AX$6:$AX$860&lt;DATE($B$54,1,1))+--('MiT Strom Pipeline'!$AX$6:$AX$860&gt;DATE($B$54,12,1)),'MiT Strom Pipeline'!$AL$6:$AL$860)/SUMPRODUCT('MiT Strom Pipeline'!$AP$6:$AP$860,'MiT Strom Pipeline'!$AL$6:$AL$860),0)</f>
        <v>0</v>
      </c>
    </row>
    <row r="69" customFormat="false" ht="15" hidden="false" customHeight="true" outlineLevel="0" collapsed="false">
      <c r="A69" s="72" t="s">
        <v>108</v>
      </c>
      <c r="B69" s="73" t="s">
        <v>107</v>
      </c>
      <c r="C69" s="75" t="n">
        <f aca="false">SUMPRODUCT('MiT Strom Pipeline'!$AP$6:$AP$860,--('MiT Strom Pipeline'!$AY$6:$AY$860=0))</f>
        <v>46</v>
      </c>
      <c r="D69" s="74" t="n">
        <f aca="false">SUMPRODUCT('MiT Strom Pipeline'!$AP$6:$AP$860,--('MiT Strom Pipeline'!$AY$6:$AY$860=0),'MiT Strom Pipeline'!$AL$6:$AL$860)</f>
        <v>6862149.23</v>
      </c>
      <c r="E69" s="108" t="n">
        <f aca="false">IFERROR(SUMPRODUCT('MiT Strom Pipeline'!$AP$6:$AP$860,--('MiT Strom Pipeline'!$AY$6:$AY$860=0),'MiT Strom Pipeline'!$AL$6:$AL$860)/SUMPRODUCT('MiT Strom Pipeline'!$AP$6:$AP$860,'MiT Strom Pipeline'!$AL$6:$AL$860),0)</f>
        <v>1</v>
      </c>
    </row>
    <row r="70" customFormat="false" ht="15" hidden="false" customHeight="true" outlineLevel="0" collapsed="false">
      <c r="A70" s="100" t="s">
        <v>30</v>
      </c>
      <c r="B70" s="109"/>
      <c r="C70" s="102" t="n">
        <f aca="false">SUM(C56:C69)</f>
        <v>46</v>
      </c>
      <c r="D70" s="103" t="n">
        <f aca="false">SUM(D56:D69)</f>
        <v>6862149.23</v>
      </c>
      <c r="E70" s="110" t="n">
        <f aca="false">SUM(E56:E69)</f>
        <v>1</v>
      </c>
    </row>
    <row r="72" customFormat="false" ht="15" hidden="false" customHeight="true" outlineLevel="0" collapsed="false">
      <c r="A72" s="78" t="s">
        <v>109</v>
      </c>
      <c r="B72" s="78"/>
      <c r="C72" s="78"/>
      <c r="D72" s="78"/>
      <c r="E72" s="78"/>
      <c r="F72" s="78"/>
      <c r="G72" s="78"/>
      <c r="H72" s="78"/>
    </row>
  </sheetData>
  <mergeCells count="11">
    <mergeCell ref="A1:H1"/>
    <mergeCell ref="A2:H2"/>
    <mergeCell ref="A3:H3"/>
    <mergeCell ref="A5:H5"/>
    <mergeCell ref="A13:H13"/>
    <mergeCell ref="A27:H27"/>
    <mergeCell ref="A40:F40"/>
    <mergeCell ref="A43:G43"/>
    <mergeCell ref="A51:G51"/>
    <mergeCell ref="A53:G53"/>
    <mergeCell ref="A72:H72"/>
  </mergeCells>
  <printOptions headings="false" gridLines="false" gridLinesSet="true" horizontalCentered="true" verticalCentered="false"/>
  <pageMargins left="0.3" right="0.3" top="0.5" bottom="0.5" header="0.25" footer="0.25"/>
  <pageSetup paperSize="9" scale="100" fitToWidth="1" fitToHeight="0" pageOrder="downThenOver" orientation="portrait" blackAndWhite="false" draft="false" cellComments="none" horizontalDpi="300" verticalDpi="300" copies="1"/>
  <headerFooter differentFirst="false" differentOddEven="false">
    <oddHeader>&amp;C&amp;"Calibri,Bold"&amp;10 MiT Strom Schweiz — Sales-Report</oddHeader>
    <oddFooter>&amp;L&amp;8 Mobil in Time AG · An Aggreko Company&amp;C&amp;8 Stand: &amp;D&amp;R&amp;"Calibri,Italic"&amp;8 Seite &amp;P von &amp;N</oddFooter>
  </headerFooter>
  <rowBreaks count="1" manualBreakCount="1">
    <brk id="52"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U251"/>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D85" activeCellId="0" sqref="D85"/>
    </sheetView>
  </sheetViews>
  <sheetFormatPr defaultColWidth="9.1484375" defaultRowHeight="15" zeroHeight="false" outlineLevelRow="0" outlineLevelCol="0"/>
  <cols>
    <col collapsed="false" customWidth="true" hidden="false" outlineLevel="0" max="1" min="1" style="1" width="4"/>
    <col collapsed="false" customWidth="true" hidden="false" outlineLevel="0" max="2" min="2" style="1" width="27"/>
    <col collapsed="false" customWidth="true" hidden="false" outlineLevel="0" max="3" min="3" style="1" width="7.71"/>
    <col collapsed="false" customWidth="true" hidden="false" outlineLevel="0" max="4" min="4" style="1" width="18"/>
    <col collapsed="false" customWidth="true" hidden="false" outlineLevel="0" max="5" min="5" style="1" width="12"/>
    <col collapsed="false" customWidth="true" hidden="false" outlineLevel="0" max="6" min="6" style="1" width="14"/>
    <col collapsed="false" customWidth="true" hidden="false" outlineLevel="0" max="7" min="7" style="1" width="12.39"/>
    <col collapsed="false" customWidth="true" hidden="false" outlineLevel="0" max="8" min="8" style="1" width="13.35"/>
    <col collapsed="false" customWidth="true" hidden="false" outlineLevel="0" max="9" min="9" style="1" width="24"/>
    <col collapsed="false" customWidth="true" hidden="false" outlineLevel="0" max="10" min="10" style="1" width="11"/>
    <col collapsed="false" customWidth="true" hidden="false" outlineLevel="0" max="11" min="11" style="1" width="7"/>
    <col collapsed="false" customWidth="true" hidden="false" outlineLevel="0" max="12" min="12" style="1" width="22"/>
    <col collapsed="false" customWidth="true" hidden="false" outlineLevel="0" max="13" min="13" style="1" width="14"/>
    <col collapsed="false" customWidth="true" hidden="false" outlineLevel="0" max="14" min="14" style="1" width="16"/>
    <col collapsed="false" customWidth="true" hidden="false" outlineLevel="0" max="20" min="15" style="1" width="8.42"/>
    <col collapsed="false" customWidth="true" hidden="true" outlineLevel="0" max="21" min="21" style="1" width="13"/>
  </cols>
  <sheetData>
    <row r="1" customFormat="false" ht="39.75" hidden="false" customHeight="true" outlineLevel="0" collapsed="false">
      <c r="A1" s="111" t="str">
        <f aca="true">"⚡  MiT Strom Schweiz — CEO Sales Report  ·  "&amp;TEXT(TODAY(),"MMMM YYYY")</f>
        <v>⚡  MiT Strom Schweiz — CEO Sales Report  ·  August 2026</v>
      </c>
      <c r="B1" s="111"/>
      <c r="C1" s="111"/>
      <c r="D1" s="111"/>
      <c r="E1" s="111"/>
      <c r="F1" s="111"/>
      <c r="G1" s="111"/>
      <c r="H1" s="111"/>
      <c r="I1" s="111"/>
      <c r="J1" s="111"/>
      <c r="K1" s="111"/>
      <c r="L1" s="111"/>
      <c r="M1" s="111"/>
      <c r="N1" s="111"/>
      <c r="O1" s="112"/>
      <c r="P1" s="112"/>
      <c r="Q1" s="112"/>
      <c r="R1" s="112"/>
      <c r="S1" s="112"/>
    </row>
    <row r="2" customFormat="false" ht="18" hidden="false" customHeight="true" outlineLevel="0" collapsed="false">
      <c r="A2" s="113" t="s">
        <v>110</v>
      </c>
      <c r="B2" s="113"/>
      <c r="C2" s="113"/>
      <c r="D2" s="113"/>
      <c r="E2" s="113"/>
      <c r="F2" s="113"/>
      <c r="G2" s="113"/>
      <c r="H2" s="113"/>
      <c r="I2" s="113"/>
      <c r="J2" s="113"/>
      <c r="K2" s="113"/>
      <c r="L2" s="113"/>
      <c r="M2" s="113"/>
      <c r="N2" s="113"/>
      <c r="O2" s="112"/>
      <c r="P2" s="112"/>
      <c r="Q2" s="112"/>
      <c r="R2" s="112"/>
      <c r="S2" s="112"/>
    </row>
    <row r="3" customFormat="false" ht="4.5" hidden="false" customHeight="true" outlineLevel="0" collapsed="false">
      <c r="A3" s="114"/>
      <c r="B3" s="114"/>
      <c r="C3" s="114"/>
      <c r="D3" s="114"/>
      <c r="E3" s="114"/>
      <c r="F3" s="114"/>
      <c r="G3" s="114"/>
      <c r="H3" s="114"/>
      <c r="I3" s="114"/>
      <c r="J3" s="114"/>
      <c r="K3" s="114"/>
      <c r="L3" s="114"/>
      <c r="M3" s="114"/>
      <c r="N3" s="114"/>
      <c r="O3" s="112"/>
      <c r="P3" s="112"/>
      <c r="Q3" s="112"/>
      <c r="R3" s="112"/>
      <c r="S3" s="112"/>
    </row>
    <row r="4" customFormat="false" ht="9.75" hidden="false" customHeight="true" outlineLevel="0" collapsed="false">
      <c r="M4" s="112"/>
      <c r="N4" s="112"/>
      <c r="O4" s="112"/>
      <c r="P4" s="112"/>
      <c r="Q4" s="112"/>
      <c r="R4" s="112"/>
      <c r="S4" s="112"/>
    </row>
    <row r="5" customFormat="false" ht="21.75" hidden="false" customHeight="true" outlineLevel="0" collapsed="false">
      <c r="A5" s="115" t="s">
        <v>111</v>
      </c>
      <c r="B5" s="115"/>
      <c r="C5" s="115"/>
      <c r="D5" s="115"/>
      <c r="E5" s="116" t="s">
        <v>112</v>
      </c>
      <c r="F5" s="116"/>
      <c r="G5" s="116"/>
      <c r="H5" s="116"/>
      <c r="I5" s="117" t="s">
        <v>113</v>
      </c>
      <c r="J5" s="117"/>
      <c r="K5" s="117"/>
      <c r="L5" s="117"/>
      <c r="M5" s="117"/>
      <c r="N5" s="117"/>
      <c r="O5" s="112"/>
      <c r="P5" s="112"/>
      <c r="Q5" s="112"/>
      <c r="R5" s="112"/>
      <c r="S5" s="112"/>
    </row>
    <row r="6" customFormat="false" ht="36" hidden="false" customHeight="true" outlineLevel="0" collapsed="false">
      <c r="A6" s="118" t="n">
        <f aca="false">SUMIFS('MiT Strom Pipeline'!I$6:I$860,'MiT Strom Pipeline'!R$6:R$860,"WON")</f>
        <v>1428553.13</v>
      </c>
      <c r="B6" s="118"/>
      <c r="C6" s="118"/>
      <c r="D6" s="118"/>
      <c r="E6" s="119" t="n">
        <f aca="false">SUMIFS('MiT Strom Pipeline'!I$6:I$860,'MiT Strom Pipeline'!R$6:R$860,"offered")+SUMIFS('MiT Strom Pipeline'!I$6:I$860,'MiT Strom Pipeline'!R$6:R$860,"to be offered")+SUMIFS('MiT Strom Pipeline'!I$6:I$860,'MiT Strom Pipeline'!R$6:R$860,"on hold")</f>
        <v>5433596.1</v>
      </c>
      <c r="F6" s="119"/>
      <c r="G6" s="119"/>
      <c r="H6" s="119"/>
      <c r="I6" s="120" t="n">
        <f aca="false">SUMIFS('MiT Strom Pipeline'!I$6:I$860,'MiT Strom Pipeline'!R$6:R$860,"follow-up")+SUMIFS('MiT Strom Pipeline'!I$6:I$860,'MiT Strom Pipeline'!R$6:R$860,"Evaluation")+SUMIFS('MiT Strom Pipeline'!I$6:I$860,'MiT Strom Pipeline'!R$6:R$860,"tbd")+SUMIFS('MiT Strom Pipeline'!I$6:I$860,'MiT Strom Pipeline'!R$6:R$860,"In evaluation")</f>
        <v>0</v>
      </c>
      <c r="J6" s="120"/>
      <c r="K6" s="120"/>
      <c r="L6" s="120"/>
      <c r="M6" s="120"/>
      <c r="N6" s="120"/>
      <c r="O6" s="112"/>
      <c r="P6" s="112"/>
      <c r="Q6" s="112"/>
      <c r="R6" s="112"/>
      <c r="S6" s="112"/>
    </row>
    <row r="7" customFormat="false" ht="19.5" hidden="false" customHeight="true" outlineLevel="0" collapsed="false">
      <c r="A7" s="121" t="n">
        <f aca="false">COUNTIF('MiT Strom Pipeline'!R$6:R$860,"WON")</f>
        <v>12</v>
      </c>
      <c r="B7" s="121"/>
      <c r="C7" s="121"/>
      <c r="D7" s="121"/>
      <c r="E7" s="122" t="n">
        <f aca="false">COUNTIF('MiT Strom Pipeline'!R$6:R$860,"offered")+COUNTIF('MiT Strom Pipeline'!R$6:R$860,"to be offered")+COUNTIF('MiT Strom Pipeline'!R$6:R$860,"on hold")</f>
        <v>33</v>
      </c>
      <c r="F7" s="122"/>
      <c r="G7" s="122"/>
      <c r="H7" s="122"/>
      <c r="I7" s="123" t="n">
        <f aca="false">COUNTIF('MiT Strom Pipeline'!R$6:R$860,"follow-up")+COUNTIF('MiT Strom Pipeline'!R$6:R$860,"Evaluation")+COUNTIF('MiT Strom Pipeline'!R$6:R$860,"tbd")+COUNTIF('MiT Strom Pipeline'!R$6:R$860,"In evaluation")</f>
        <v>1</v>
      </c>
      <c r="J7" s="123"/>
      <c r="K7" s="123"/>
      <c r="L7" s="123"/>
      <c r="M7" s="123"/>
      <c r="N7" s="123"/>
      <c r="O7" s="112"/>
      <c r="P7" s="112"/>
      <c r="Q7" s="112"/>
      <c r="R7" s="112"/>
      <c r="S7" s="112"/>
    </row>
    <row r="8" customFormat="false" ht="21.75" hidden="false" customHeight="true" outlineLevel="0" collapsed="false">
      <c r="A8" s="124" t="str">
        <f aca="false">"⚖️  Gewichtete Pipeline (Aggreko-Faktoren 0 / 30 / 50 / 90 %): "&amp;TEXT(SUMIFS('MiT Strom Pipeline'!$Q$6:$Q$860,'MiT Strom Pipeline'!$R$6:$R$860,"WON")+SUMIFS('MiT Strom Pipeline'!$Q$6:$Q$860,'MiT Strom Pipeline'!$R$6:$R$860,"offered")+SUMIFS('MiT Strom Pipeline'!$Q$6:$Q$860,'MiT Strom Pipeline'!$R$6:$R$860,"to be offered")+SUMIFS('MiT Strom Pipeline'!$Q$6:$Q$860,'MiT Strom Pipeline'!$R$6:$R$860,"on hold")+SUMIFS('MiT Strom Pipeline'!$Q$6:$Q$860,'MiT Strom Pipeline'!$R$6:$R$860,"follow-up")+SUMIFS('MiT Strom Pipeline'!$Q$6:$Q$860,'MiT Strom Pipeline'!$R$6:$R$860,"Evaluation")+SUMIFS('MiT Strom Pipeline'!$Q$6:$Q$860,'MiT Strom Pipeline'!$R$6:$R$860,"In evaluation")+SUMIFS('MiT Strom Pipeline'!$Q$6:$Q$860,'MiT Strom Pipeline'!$R$6:$R$860,"tbd"),"#,##0")&amp;" CHF   ·   davon Offerte: "&amp;TEXT(SUMIFS('MiT Strom Pipeline'!$Q$6:$Q$860,'MiT Strom Pipeline'!$R$6:$R$860,"offered")+SUMIFS('MiT Strom Pipeline'!$Q$6:$Q$860,'MiT Strom Pipeline'!$R$6:$R$860,"to be offered")+SUMIFS('MiT Strom Pipeline'!$Q$6:$Q$860,'MiT Strom Pipeline'!$R$6:$R$860,"on hold"),"#,##0")&amp;" CHF   ·   Opportunität: "&amp;TEXT(SUMIFS('MiT Strom Pipeline'!$Q$6:$Q$860,'MiT Strom Pipeline'!$R$6:$R$860,"follow-up")+SUMIFS('MiT Strom Pipeline'!$Q$6:$Q$860,'MiT Strom Pipeline'!$R$6:$R$860,"Evaluation")+SUMIFS('MiT Strom Pipeline'!$Q$6:$Q$860,'MiT Strom Pipeline'!$R$6:$R$860,"In evaluation")+SUMIFS('MiT Strom Pipeline'!$Q$6:$Q$860,'MiT Strom Pipeline'!$R$6:$R$860,"tbd"),"#,##0")&amp;" CHF   ·   Modell: Blatt «⚖️ Wahrscheinlichkeit»"</f>
        <v>⚖️  Gewichtete Pipeline (Aggreko-Faktoren 0 / 30 / 50 / 90 %): 1,628,426 CHF   ·   davon Offerte: 199,872 CHF   ·   Opportunität: 0 CHF   ·   Modell: Blatt «⚖️ Wahrscheinlichkeit»</v>
      </c>
      <c r="B8" s="124"/>
      <c r="C8" s="124"/>
      <c r="D8" s="124"/>
      <c r="E8" s="124"/>
      <c r="F8" s="124"/>
      <c r="G8" s="124"/>
      <c r="H8" s="124"/>
      <c r="I8" s="124"/>
      <c r="J8" s="124"/>
      <c r="K8" s="124"/>
      <c r="L8" s="124"/>
      <c r="M8" s="124"/>
      <c r="N8" s="124"/>
      <c r="O8" s="112"/>
      <c r="P8" s="112"/>
      <c r="Q8" s="112"/>
      <c r="R8" s="112"/>
      <c r="S8" s="112"/>
    </row>
    <row r="9" customFormat="false" ht="24" hidden="false" customHeight="true" outlineLevel="0" collapsed="false">
      <c r="A9" s="125" t="s">
        <v>114</v>
      </c>
      <c r="B9" s="125"/>
      <c r="C9" s="125"/>
      <c r="D9" s="125"/>
      <c r="E9" s="125"/>
      <c r="F9" s="125"/>
      <c r="G9" s="125"/>
      <c r="H9" s="125"/>
      <c r="I9" s="125"/>
      <c r="J9" s="125"/>
      <c r="K9" s="125"/>
      <c r="L9" s="125"/>
      <c r="M9" s="125"/>
      <c r="N9" s="125"/>
      <c r="O9" s="112"/>
      <c r="P9" s="112"/>
      <c r="Q9" s="112"/>
      <c r="R9" s="112"/>
      <c r="S9" s="112"/>
    </row>
    <row r="10" customFormat="false" ht="19.5" hidden="false" customHeight="true" outlineLevel="0" collapsed="false">
      <c r="A10" s="126" t="s">
        <v>6</v>
      </c>
      <c r="B10" s="127" t="s">
        <v>115</v>
      </c>
      <c r="C10" s="126" t="s">
        <v>8</v>
      </c>
      <c r="D10" s="127" t="s">
        <v>10</v>
      </c>
      <c r="E10" s="126" t="s">
        <v>9</v>
      </c>
      <c r="F10" s="126" t="s">
        <v>12</v>
      </c>
      <c r="G10" s="126" t="s">
        <v>16</v>
      </c>
      <c r="H10" s="126" t="s">
        <v>116</v>
      </c>
      <c r="I10" s="127" t="s">
        <v>117</v>
      </c>
      <c r="J10" s="126" t="s">
        <v>14</v>
      </c>
      <c r="K10" s="126" t="s">
        <v>118</v>
      </c>
      <c r="L10" s="127" t="s">
        <v>119</v>
      </c>
      <c r="M10" s="127" t="s">
        <v>120</v>
      </c>
      <c r="N10" s="127" t="s">
        <v>121</v>
      </c>
      <c r="O10" s="112"/>
      <c r="P10" s="112"/>
      <c r="Q10" s="112"/>
      <c r="R10" s="112"/>
      <c r="S10" s="112"/>
    </row>
    <row r="11" customFormat="false" ht="25.5" hidden="false" customHeight="true" outlineLevel="0" collapsed="false">
      <c r="A11" s="128" t="n">
        <f aca="false">IF($U11="","",IF(ISNUMBER(INDEX('MiT Strom Pipeline'!$A$1:$A$860,$U11)),INDEX('MiT Strom Pipeline'!$A$1:$A$860,$U11),""))</f>
        <v>1</v>
      </c>
      <c r="B11" s="129" t="str">
        <f aca="false">IF($U11="","",IF(INDEX('MiT Strom Pipeline'!$B$1:$B$860,$U11)="","",INDEX('MiT Strom Pipeline'!$B$1:$B$860,$U11)))</f>
        <v>Ice Hockey Championship</v>
      </c>
      <c r="C11" s="130" t="str">
        <f aca="false">IF($U11="","",IF(INDEX('MiT Strom Pipeline'!$C$1:$C$860,$U11)="","",INDEX('MiT Strom Pipeline'!$C$1:$C$860,$U11)))</f>
        <v>ZH</v>
      </c>
      <c r="D11" s="129" t="str">
        <f aca="false">IF($U11="","",IF(INDEX('MiT Strom Pipeline'!$D$1:$D$860,$U11)="","",INDEX('MiT Strom Pipeline'!$D$1:$D$860,$U11)))</f>
        <v>Events &amp; Sport</v>
      </c>
      <c r="E11" s="131" t="str">
        <f aca="false">IF($U11="","",IF(ISNUMBER(INDEX('MiT Strom Pipeline'!$O$1:$O$860,$U11)),INDEX('MiT Strom Pipeline'!$O$1:$O$860,$U11),IF(INDEX('MiT Strom Pipeline'!$H$1:$H$860,$U11)="","",INDEX('MiT Strom Pipeline'!$H$1:$H$860,$U11))))</f>
        <v>Mai</v>
      </c>
      <c r="F11" s="131" t="str">
        <f aca="false">IF($U11="","",IF(ISNUMBER(INDEX('MiT Strom Pipeline'!$P$1:$P$860,$U11)),INDEX('MiT Strom Pipeline'!$P$1:$P$860,$U11),""))</f>
        <v/>
      </c>
      <c r="G11" s="132" t="n">
        <f aca="false">IF($U11="","",IF(ISNUMBER(INDEX('MiT Strom Pipeline'!$I$1:$I$860,$U11)),INDEX('MiT Strom Pipeline'!$I$1:$I$860,$U11),0))</f>
        <v>380000</v>
      </c>
      <c r="H11" s="132" t="n">
        <f aca="false">IF($U11="","",IF(ISNUMBER(INDEX('MiT Strom Pipeline'!$Q$1:$Q$860,$U11)),INDEX('MiT Strom Pipeline'!$Q$1:$Q$860,$U11),0))</f>
        <v>380000</v>
      </c>
      <c r="I11" s="129" t="str">
        <f aca="false">IF($U11="","",IF(INDEX('MiT Strom Pipeline'!$E$1:$E$860,$U11)="","",INDEX('MiT Strom Pipeline'!$E$1:$E$860,$U11)))</f>
        <v>2×600+2×200 kVA</v>
      </c>
      <c r="J11" s="130" t="str">
        <f aca="false">IF($U11="","",INDEX('MiT Strom Pipeline'!$R$1:$R$860,$U11))</f>
        <v>WON</v>
      </c>
      <c r="K11" s="133" t="n">
        <f aca="false">IF($U11="","",IF(ISNUMBER(INDEX('MiT Strom Pipeline'!$S$1:$S$860,$U11)),INDEX('MiT Strom Pipeline'!$S$1:$S$860,$U11),""))</f>
        <v>1</v>
      </c>
      <c r="L11" s="129" t="str">
        <f aca="false">IF($U11="","",IF(LEN(INDEX('MiT Strom Pipeline'!$V$1:$V$860,$U11))&gt;0,LEFT(INDEX('MiT Strom Pipeline'!$V$1:$V$860,$U11),55),""))</f>
        <v>Abgeschlossen</v>
      </c>
      <c r="M11" s="129" t="str">
        <f aca="false">IF($U11="","",IF(INDEX('MiT Strom Pipeline'!$AF$1:$AF$860,$U11)="","",INDEX('MiT Strom Pipeline'!$AF$1:$AF$860,$U11)))</f>
        <v/>
      </c>
      <c r="N11" s="129" t="str">
        <f aca="false">IF($U11="","",IF(INDEX('MiT Strom Pipeline'!$BB$1:$BB$860,$U11)="","",INDEX('MiT Strom Pipeline'!$BB$1:$BB$860,$U11)))</f>
        <v>⛔ Nachweis fehlt</v>
      </c>
      <c r="O11" s="112"/>
      <c r="P11" s="112"/>
      <c r="Q11" s="112"/>
      <c r="R11" s="112"/>
      <c r="S11" s="112"/>
      <c r="U11" s="1" t="n">
        <f aca="false">IFERROR(MATCH(1,'MiT Strom Pipeline'!$AM$6:$AM$860,0)+5,"")</f>
        <v>9</v>
      </c>
    </row>
    <row r="12" customFormat="false" ht="25.5" hidden="false" customHeight="true" outlineLevel="0" collapsed="false">
      <c r="A12" s="128" t="n">
        <f aca="false">IF($U12="","",IF(ISNUMBER(INDEX('MiT Strom Pipeline'!$A$1:$A$860,$U12)),INDEX('MiT Strom Pipeline'!$A$1:$A$860,$U12),""))</f>
        <v>2</v>
      </c>
      <c r="B12" s="129" t="str">
        <f aca="false">IF($U12="","",IF(INDEX('MiT Strom Pipeline'!$B$1:$B$860,$U12)="","",INDEX('MiT Strom Pipeline'!$B$1:$B$860,$U12)))</f>
        <v>Oerlikon Metco Wohlen</v>
      </c>
      <c r="C12" s="130" t="str">
        <f aca="false">IF($U12="","",IF(INDEX('MiT Strom Pipeline'!$C$1:$C$860,$U12)="","",INDEX('MiT Strom Pipeline'!$C$1:$C$860,$U12)))</f>
        <v>AG</v>
      </c>
      <c r="D12" s="129" t="str">
        <f aca="false">IF($U12="","",IF(INDEX('MiT Strom Pipeline'!$D$1:$D$860,$U12)="","",INDEX('MiT Strom Pipeline'!$D$1:$D$860,$U12)))</f>
        <v>Industrie / Oberfläche</v>
      </c>
      <c r="E12" s="131" t="str">
        <f aca="false">IF($U12="","",IF(ISNUMBER(INDEX('MiT Strom Pipeline'!$O$1:$O$860,$U12)),INDEX('MiT Strom Pipeline'!$O$1:$O$860,$U12),IF(INDEX('MiT Strom Pipeline'!$H$1:$H$860,$U12)="","",INDEX('MiT Strom Pipeline'!$H$1:$H$860,$U12))))</f>
        <v>April</v>
      </c>
      <c r="F12" s="131" t="str">
        <f aca="false">IF($U12="","",IF(ISNUMBER(INDEX('MiT Strom Pipeline'!$P$1:$P$860,$U12)),INDEX('MiT Strom Pipeline'!$P$1:$P$860,$U12),""))</f>
        <v/>
      </c>
      <c r="G12" s="132" t="n">
        <f aca="false">IF($U12="","",IF(ISNUMBER(INDEX('MiT Strom Pipeline'!$I$1:$I$860,$U12)),INDEX('MiT Strom Pipeline'!$I$1:$I$860,$U12),0))</f>
        <v>13100</v>
      </c>
      <c r="H12" s="132" t="n">
        <f aca="false">IF($U12="","",IF(ISNUMBER(INDEX('MiT Strom Pipeline'!$Q$1:$Q$860,$U12)),INDEX('MiT Strom Pipeline'!$Q$1:$Q$860,$U12),0))</f>
        <v>13100</v>
      </c>
      <c r="I12" s="129" t="str">
        <f aca="false">IF($U12="","",IF(INDEX('MiT Strom Pipeline'!$E$1:$E$860,$U12)="","",INDEX('MiT Strom Pipeline'!$E$1:$E$860,$U12)))</f>
        <v>240 kVA Generator</v>
      </c>
      <c r="J12" s="130" t="str">
        <f aca="false">IF($U12="","",INDEX('MiT Strom Pipeline'!$R$1:$R$860,$U12))</f>
        <v>WON</v>
      </c>
      <c r="K12" s="133" t="n">
        <f aca="false">IF($U12="","",IF(ISNUMBER(INDEX('MiT Strom Pipeline'!$S$1:$S$860,$U12)),INDEX('MiT Strom Pipeline'!$S$1:$S$860,$U12),""))</f>
        <v>1</v>
      </c>
      <c r="L12" s="129" t="str">
        <f aca="false">IF($U12="","",IF(LEN(INDEX('MiT Strom Pipeline'!$V$1:$V$860,$U12))&gt;0,LEFT(INDEX('MiT Strom Pipeline'!$V$1:$V$860,$U12),55),""))</f>
        <v>Abgeschlossen</v>
      </c>
      <c r="M12" s="129" t="str">
        <f aca="false">IF($U12="","",IF(INDEX('MiT Strom Pipeline'!$AF$1:$AF$860,$U12)="","",INDEX('MiT Strom Pipeline'!$AF$1:$AF$860,$U12)))</f>
        <v/>
      </c>
      <c r="N12" s="129" t="str">
        <f aca="false">IF($U12="","",IF(INDEX('MiT Strom Pipeline'!$BB$1:$BB$860,$U12)="","",INDEX('MiT Strom Pipeline'!$BB$1:$BB$860,$U12)))</f>
        <v>⛔ Nachweis fehlt</v>
      </c>
      <c r="O12" s="112"/>
      <c r="P12" s="112"/>
      <c r="Q12" s="112"/>
      <c r="R12" s="112"/>
      <c r="S12" s="112"/>
      <c r="U12" s="1" t="n">
        <f aca="false">IFERROR(MATCH(2,'MiT Strom Pipeline'!$AM$6:$AM$860,0)+5,"")</f>
        <v>10</v>
      </c>
    </row>
    <row r="13" customFormat="false" ht="25.5" hidden="false" customHeight="true" outlineLevel="0" collapsed="false">
      <c r="A13" s="128" t="n">
        <f aca="false">IF($U13="","",IF(ISNUMBER(INDEX('MiT Strom Pipeline'!$A$1:$A$860,$U13)),INDEX('MiT Strom Pipeline'!$A$1:$A$860,$U13),""))</f>
        <v>3</v>
      </c>
      <c r="B13" s="129" t="str">
        <f aca="false">IF($U13="","",IF(INDEX('MiT Strom Pipeline'!$B$1:$B$860,$U13)="","",INDEX('MiT Strom Pipeline'!$B$1:$B$860,$U13)))</f>
        <v>Siemens</v>
      </c>
      <c r="C13" s="130" t="str">
        <f aca="false">IF($U13="","",IF(INDEX('MiT Strom Pipeline'!$C$1:$C$860,$U13)="","",INDEX('MiT Strom Pipeline'!$C$1:$C$860,$U13)))</f>
        <v>ZH</v>
      </c>
      <c r="D13" s="129" t="str">
        <f aca="false">IF($U13="","",IF(INDEX('MiT Strom Pipeline'!$D$1:$D$860,$U13)="","",INDEX('MiT Strom Pipeline'!$D$1:$D$860,$U13)))</f>
        <v>Industrie / Elektro</v>
      </c>
      <c r="E13" s="131" t="str">
        <f aca="false">IF($U13="","",IF(ISNUMBER(INDEX('MiT Strom Pipeline'!$O$1:$O$860,$U13)),INDEX('MiT Strom Pipeline'!$O$1:$O$860,$U13),IF(INDEX('MiT Strom Pipeline'!$H$1:$H$860,$U13)="","",INDEX('MiT Strom Pipeline'!$H$1:$H$860,$U13))))</f>
        <v>tbd</v>
      </c>
      <c r="F13" s="131" t="str">
        <f aca="false">IF($U13="","",IF(ISNUMBER(INDEX('MiT Strom Pipeline'!$P$1:$P$860,$U13)),INDEX('MiT Strom Pipeline'!$P$1:$P$860,$U13),""))</f>
        <v/>
      </c>
      <c r="G13" s="132" t="n">
        <f aca="false">IF($U13="","",IF(ISNUMBER(INDEX('MiT Strom Pipeline'!$I$1:$I$860,$U13)),INDEX('MiT Strom Pipeline'!$I$1:$I$860,$U13),0))</f>
        <v>10000</v>
      </c>
      <c r="H13" s="132" t="n">
        <f aca="false">IF($U13="","",IF(ISNUMBER(INDEX('MiT Strom Pipeline'!$Q$1:$Q$860,$U13)),INDEX('MiT Strom Pipeline'!$Q$1:$Q$860,$U13),0))</f>
        <v>10000</v>
      </c>
      <c r="I13" s="129" t="str">
        <f aca="false">IF($U13="","",IF(INDEX('MiT Strom Pipeline'!$E$1:$E$860,$U13)="","",INDEX('MiT Strom Pipeline'!$E$1:$E$860,$U13)))</f>
        <v>600 kVA Generator</v>
      </c>
      <c r="J13" s="130" t="str">
        <f aca="false">IF($U13="","",INDEX('MiT Strom Pipeline'!$R$1:$R$860,$U13))</f>
        <v>WON</v>
      </c>
      <c r="K13" s="133" t="n">
        <f aca="false">IF($U13="","",IF(ISNUMBER(INDEX('MiT Strom Pipeline'!$S$1:$S$860,$U13)),INDEX('MiT Strom Pipeline'!$S$1:$S$860,$U13),""))</f>
        <v>1</v>
      </c>
      <c r="L13" s="129" t="str">
        <f aca="false">IF($U13="","",IF(LEN(INDEX('MiT Strom Pipeline'!$V$1:$V$860,$U13))&gt;0,LEFT(INDEX('MiT Strom Pipeline'!$V$1:$V$860,$U13),55),""))</f>
        <v>Abgeschlossen</v>
      </c>
      <c r="M13" s="129" t="str">
        <f aca="false">IF($U13="","",IF(INDEX('MiT Strom Pipeline'!$AF$1:$AF$860,$U13)="","",INDEX('MiT Strom Pipeline'!$AF$1:$AF$860,$U13)))</f>
        <v/>
      </c>
      <c r="N13" s="129" t="str">
        <f aca="false">IF($U13="","",IF(INDEX('MiT Strom Pipeline'!$BB$1:$BB$860,$U13)="","",INDEX('MiT Strom Pipeline'!$BB$1:$BB$860,$U13)))</f>
        <v>⛔ Nachweis fehlt</v>
      </c>
      <c r="O13" s="112"/>
      <c r="P13" s="112"/>
      <c r="Q13" s="112"/>
      <c r="R13" s="112"/>
      <c r="S13" s="112"/>
      <c r="U13" s="1" t="n">
        <f aca="false">IFERROR(MATCH(3,'MiT Strom Pipeline'!$AM$6:$AM$860,0)+5,"")</f>
        <v>12</v>
      </c>
    </row>
    <row r="14" customFormat="false" ht="25.5" hidden="false" customHeight="true" outlineLevel="0" collapsed="false">
      <c r="A14" s="128" t="n">
        <f aca="false">IF($U14="","",IF(ISNUMBER(INDEX('MiT Strom Pipeline'!$A$1:$A$860,$U14)),INDEX('MiT Strom Pipeline'!$A$1:$A$860,$U14),""))</f>
        <v>4</v>
      </c>
      <c r="B14" s="129" t="str">
        <f aca="false">IF($U14="","",IF(INDEX('MiT Strom Pipeline'!$B$1:$B$860,$U14)="","",INDEX('MiT Strom Pipeline'!$B$1:$B$860,$U14)))</f>
        <v>Stagelight – OpenAir Frauenfeld</v>
      </c>
      <c r="C14" s="130" t="str">
        <f aca="false">IF($U14="","",IF(INDEX('MiT Strom Pipeline'!$C$1:$C$860,$U14)="","",INDEX('MiT Strom Pipeline'!$C$1:$C$860,$U14)))</f>
        <v>TG</v>
      </c>
      <c r="D14" s="129" t="str">
        <f aca="false">IF($U14="","",IF(INDEX('MiT Strom Pipeline'!$D$1:$D$860,$U14)="","",INDEX('MiT Strom Pipeline'!$D$1:$D$860,$U14)))</f>
        <v>Events &amp; Kultur</v>
      </c>
      <c r="E14" s="131" t="str">
        <f aca="false">IF($U14="","",IF(ISNUMBER(INDEX('MiT Strom Pipeline'!$O$1:$O$860,$U14)),INDEX('MiT Strom Pipeline'!$O$1:$O$860,$U14),IF(INDEX('MiT Strom Pipeline'!$H$1:$H$860,$U14)="","",INDEX('MiT Strom Pipeline'!$H$1:$H$860,$U14))))</f>
        <v>Juli</v>
      </c>
      <c r="F14" s="131" t="str">
        <f aca="false">IF($U14="","",IF(ISNUMBER(INDEX('MiT Strom Pipeline'!$P$1:$P$860,$U14)),INDEX('MiT Strom Pipeline'!$P$1:$P$860,$U14),""))</f>
        <v/>
      </c>
      <c r="G14" s="132" t="n">
        <f aca="false">IF($U14="","",IF(ISNUMBER(INDEX('MiT Strom Pipeline'!$I$1:$I$860,$U14)),INDEX('MiT Strom Pipeline'!$I$1:$I$860,$U14),0))</f>
        <v>150000</v>
      </c>
      <c r="H14" s="132" t="n">
        <f aca="false">IF($U14="","",IF(ISNUMBER(INDEX('MiT Strom Pipeline'!$Q$1:$Q$860,$U14)),INDEX('MiT Strom Pipeline'!$Q$1:$Q$860,$U14),0))</f>
        <v>150000</v>
      </c>
      <c r="I14" s="129" t="str">
        <f aca="false">IF($U14="","",IF(INDEX('MiT Strom Pipeline'!$E$1:$E$860,$U14)="","",INDEX('MiT Strom Pipeline'!$E$1:$E$860,$U14)))</f>
        <v>~500 kVA Generator</v>
      </c>
      <c r="J14" s="130" t="str">
        <f aca="false">IF($U14="","",INDEX('MiT Strom Pipeline'!$R$1:$R$860,$U14))</f>
        <v>WON</v>
      </c>
      <c r="K14" s="133" t="n">
        <f aca="false">IF($U14="","",IF(ISNUMBER(INDEX('MiT Strom Pipeline'!$S$1:$S$860,$U14)),INDEX('MiT Strom Pipeline'!$S$1:$S$860,$U14),""))</f>
        <v>1</v>
      </c>
      <c r="L14" s="129" t="str">
        <f aca="false">IF($U14="","",IF(LEN(INDEX('MiT Strom Pipeline'!$V$1:$V$860,$U14))&gt;0,LEFT(INDEX('MiT Strom Pipeline'!$V$1:$V$860,$U14),55),""))</f>
        <v>Abgeschlossen</v>
      </c>
      <c r="M14" s="129" t="str">
        <f aca="false">IF($U14="","",IF(INDEX('MiT Strom Pipeline'!$AF$1:$AF$860,$U14)="","",INDEX('MiT Strom Pipeline'!$AF$1:$AF$860,$U14)))</f>
        <v/>
      </c>
      <c r="N14" s="129" t="str">
        <f aca="false">IF($U14="","",IF(INDEX('MiT Strom Pipeline'!$BB$1:$BB$860,$U14)="","",INDEX('MiT Strom Pipeline'!$BB$1:$BB$860,$U14)))</f>
        <v>⛔ Nachweis fehlt</v>
      </c>
      <c r="O14" s="112"/>
      <c r="P14" s="112"/>
      <c r="Q14" s="112"/>
      <c r="R14" s="112"/>
      <c r="S14" s="112"/>
      <c r="U14" s="1" t="n">
        <f aca="false">IFERROR(MATCH(4,'MiT Strom Pipeline'!$AM$6:$AM$860,0)+5,"")</f>
        <v>13</v>
      </c>
    </row>
    <row r="15" customFormat="false" ht="25.5" hidden="false" customHeight="true" outlineLevel="0" collapsed="false">
      <c r="A15" s="128" t="n">
        <f aca="false">IF($U15="","",IF(ISNUMBER(INDEX('MiT Strom Pipeline'!$A$1:$A$860,$U15)),INDEX('MiT Strom Pipeline'!$A$1:$A$860,$U15),""))</f>
        <v>10</v>
      </c>
      <c r="B15" s="129" t="str">
        <f aca="false">IF($U15="","",IF(INDEX('MiT Strom Pipeline'!$B$1:$B$860,$U15)="","",INDEX('MiT Strom Pipeline'!$B$1:$B$860,$U15)))</f>
        <v>Murg Flums Energie</v>
      </c>
      <c r="C15" s="130" t="str">
        <f aca="false">IF($U15="","",IF(INDEX('MiT Strom Pipeline'!$C$1:$C$860,$U15)="","",INDEX('MiT Strom Pipeline'!$C$1:$C$860,$U15)))</f>
        <v>SG</v>
      </c>
      <c r="D15" s="129" t="str">
        <f aca="false">IF($U15="","",IF(INDEX('MiT Strom Pipeline'!$D$1:$D$860,$U15)="","",INDEX('MiT Strom Pipeline'!$D$1:$D$860,$U15)))</f>
        <v>EVU / Energie</v>
      </c>
      <c r="E15" s="131" t="str">
        <f aca="false">IF($U15="","",IF(ISNUMBER(INDEX('MiT Strom Pipeline'!$O$1:$O$860,$U15)),INDEX('MiT Strom Pipeline'!$O$1:$O$860,$U15),IF(INDEX('MiT Strom Pipeline'!$H$1:$H$860,$U15)="","",INDEX('MiT Strom Pipeline'!$H$1:$H$860,$U15))))</f>
        <v>Auf Abruf</v>
      </c>
      <c r="F15" s="131" t="str">
        <f aca="false">IF($U15="","",IF(ISNUMBER(INDEX('MiT Strom Pipeline'!$P$1:$P$860,$U15)),INDEX('MiT Strom Pipeline'!$P$1:$P$860,$U15),""))</f>
        <v/>
      </c>
      <c r="G15" s="132" t="n">
        <f aca="false">IF($U15="","",IF(ISNUMBER(INDEX('MiT Strom Pipeline'!$I$1:$I$860,$U15)),INDEX('MiT Strom Pipeline'!$I$1:$I$860,$U15),0))</f>
        <v>96658.69</v>
      </c>
      <c r="H15" s="132" t="n">
        <f aca="false">IF($U15="","",IF(ISNUMBER(INDEX('MiT Strom Pipeline'!$Q$1:$Q$860,$U15)),INDEX('MiT Strom Pipeline'!$Q$1:$Q$860,$U15),0))</f>
        <v>96658.69</v>
      </c>
      <c r="I15" s="129" t="str">
        <f aca="false">IF($U15="","",IF(INDEX('MiT Strom Pipeline'!$E$1:$E$860,$U15)="","",INDEX('MiT Strom Pipeline'!$E$1:$E$860,$U15)))</f>
        <v>250 kVA Generator</v>
      </c>
      <c r="J15" s="130" t="str">
        <f aca="false">IF($U15="","",INDEX('MiT Strom Pipeline'!$R$1:$R$860,$U15))</f>
        <v>WON</v>
      </c>
      <c r="K15" s="133" t="n">
        <f aca="false">IF($U15="","",IF(ISNUMBER(INDEX('MiT Strom Pipeline'!$S$1:$S$860,$U15)),INDEX('MiT Strom Pipeline'!$S$1:$S$860,$U15),""))</f>
        <v>1</v>
      </c>
      <c r="L15" s="129" t="str">
        <f aca="false">IF($U15="","",IF(LEN(INDEX('MiT Strom Pipeline'!$V$1:$V$860,$U15))&gt;0,LEFT(INDEX('MiT Strom Pipeline'!$V$1:$V$860,$U15),55),""))</f>
        <v>Abrufbereitschaft</v>
      </c>
      <c r="M15" s="129" t="str">
        <f aca="false">IF($U15="","",IF(INDEX('MiT Strom Pipeline'!$AF$1:$AF$860,$U15)="","",INDEX('MiT Strom Pipeline'!$AF$1:$AF$860,$U15)))</f>
        <v/>
      </c>
      <c r="N15" s="129" t="str">
        <f aca="false">IF($U15="","",IF(INDEX('MiT Strom Pipeline'!$BB$1:$BB$860,$U15)="","",INDEX('MiT Strom Pipeline'!$BB$1:$BB$860,$U15)))</f>
        <v>⛔ Nachweis fehlt</v>
      </c>
      <c r="O15" s="112"/>
      <c r="P15" s="112"/>
      <c r="Q15" s="112"/>
      <c r="R15" s="112"/>
      <c r="S15" s="112"/>
      <c r="U15" s="1" t="n">
        <f aca="false">IFERROR(MATCH(5,'MiT Strom Pipeline'!$AM$6:$AM$860,0)+5,"")</f>
        <v>14</v>
      </c>
    </row>
    <row r="16" customFormat="false" ht="25.5" hidden="false" customHeight="true" outlineLevel="0" collapsed="false">
      <c r="A16" s="128" t="n">
        <f aca="false">IF($U16="","",IF(ISNUMBER(INDEX('MiT Strom Pipeline'!$A$1:$A$860,$U16)),INDEX('MiT Strom Pipeline'!$A$1:$A$860,$U16),""))</f>
        <v>21</v>
      </c>
      <c r="B16" s="129" t="str">
        <f aca="false">IF($U16="","",IF(INDEX('MiT Strom Pipeline'!$B$1:$B$860,$U16)="","",INDEX('MiT Strom Pipeline'!$B$1:$B$860,$U16)))</f>
        <v>X-Event</v>
      </c>
      <c r="C16" s="130" t="str">
        <f aca="false">IF($U16="","",IF(INDEX('MiT Strom Pipeline'!$C$1:$C$860,$U16)="","",INDEX('MiT Strom Pipeline'!$C$1:$C$860,$U16)))</f>
        <v>SH</v>
      </c>
      <c r="D16" s="129" t="str">
        <f aca="false">IF($U16="","",IF(INDEX('MiT Strom Pipeline'!$D$1:$D$860,$U16)="","",INDEX('MiT Strom Pipeline'!$D$1:$D$860,$U16)))</f>
        <v>Events / Medien</v>
      </c>
      <c r="E16" s="131" t="str">
        <f aca="false">IF($U16="","",IF(ISNUMBER(INDEX('MiT Strom Pipeline'!$O$1:$O$860,$U16)),INDEX('MiT Strom Pipeline'!$O$1:$O$860,$U16),IF(INDEX('MiT Strom Pipeline'!$H$1:$H$860,$U16)="","",INDEX('MiT Strom Pipeline'!$H$1:$H$860,$U16))))</f>
        <v>Juni</v>
      </c>
      <c r="F16" s="131" t="str">
        <f aca="false">IF($U16="","",IF(ISNUMBER(INDEX('MiT Strom Pipeline'!$P$1:$P$860,$U16)),INDEX('MiT Strom Pipeline'!$P$1:$P$860,$U16),""))</f>
        <v/>
      </c>
      <c r="G16" s="132" t="n">
        <f aca="false">IF($U16="","",IF(ISNUMBER(INDEX('MiT Strom Pipeline'!$I$1:$I$860,$U16)),INDEX('MiT Strom Pipeline'!$I$1:$I$860,$U16),0))</f>
        <v>0</v>
      </c>
      <c r="H16" s="132" t="n">
        <f aca="false">IF($U16="","",IF(ISNUMBER(INDEX('MiT Strom Pipeline'!$Q$1:$Q$860,$U16)),INDEX('MiT Strom Pipeline'!$Q$1:$Q$860,$U16),0))</f>
        <v>0</v>
      </c>
      <c r="I16" s="129" t="str">
        <f aca="false">IF($U16="","",IF(INDEX('MiT Strom Pipeline'!$E$1:$E$860,$U16)="","",INDEX('MiT Strom Pipeline'!$E$1:$E$860,$U16)))</f>
        <v>100 kVA Generator</v>
      </c>
      <c r="J16" s="130" t="str">
        <f aca="false">IF($U16="","",INDEX('MiT Strom Pipeline'!$R$1:$R$860,$U16))</f>
        <v>WON</v>
      </c>
      <c r="K16" s="133" t="n">
        <f aca="false">IF($U16="","",IF(ISNUMBER(INDEX('MiT Strom Pipeline'!$S$1:$S$860,$U16)),INDEX('MiT Strom Pipeline'!$S$1:$S$860,$U16),""))</f>
        <v>1</v>
      </c>
      <c r="L16" s="129" t="str">
        <f aca="false">IF($U16="","",IF(LEN(INDEX('MiT Strom Pipeline'!$V$1:$V$860,$U16))&gt;0,LEFT(INDEX('MiT Strom Pipeline'!$V$1:$V$860,$U16),55),""))</f>
        <v>Abgeschlossen</v>
      </c>
      <c r="M16" s="129" t="str">
        <f aca="false">IF($U16="","",IF(INDEX('MiT Strom Pipeline'!$AF$1:$AF$860,$U16)="","",INDEX('MiT Strom Pipeline'!$AF$1:$AF$860,$U16)))</f>
        <v/>
      </c>
      <c r="N16" s="129" t="str">
        <f aca="false">IF($U16="","",IF(INDEX('MiT Strom Pipeline'!$BB$1:$BB$860,$U16)="","",INDEX('MiT Strom Pipeline'!$BB$1:$BB$860,$U16)))</f>
        <v>⛔ Nachweis fehlt</v>
      </c>
      <c r="O16" s="112"/>
      <c r="P16" s="112"/>
      <c r="Q16" s="112"/>
      <c r="R16" s="112"/>
      <c r="S16" s="112"/>
      <c r="U16" s="1" t="n">
        <f aca="false">IFERROR(MATCH(6,'MiT Strom Pipeline'!$AM$6:$AM$860,0)+5,"")</f>
        <v>15</v>
      </c>
    </row>
    <row r="17" customFormat="false" ht="38.25" hidden="false" customHeight="true" outlineLevel="0" collapsed="false">
      <c r="A17" s="128" t="n">
        <f aca="false">IF($U17="","",IF(ISNUMBER(INDEX('MiT Strom Pipeline'!$A$1:$A$860,$U17)),INDEX('MiT Strom Pipeline'!$A$1:$A$860,$U17),""))</f>
        <v>29</v>
      </c>
      <c r="B17" s="129" t="str">
        <f aca="false">IF($U17="","",IF(INDEX('MiT Strom Pipeline'!$B$1:$B$860,$U17)="","",INDEX('MiT Strom Pipeline'!$B$1:$B$860,$U17)))</f>
        <v>Gampeln</v>
      </c>
      <c r="C17" s="130" t="str">
        <f aca="false">IF($U17="","",IF(INDEX('MiT Strom Pipeline'!$C$1:$C$860,$U17)="","",INDEX('MiT Strom Pipeline'!$C$1:$C$860,$U17)))</f>
        <v>VS</v>
      </c>
      <c r="D17" s="129" t="str">
        <f aca="false">IF($U17="","",IF(INDEX('MiT Strom Pipeline'!$D$1:$D$860,$U17)="","",INDEX('MiT Strom Pipeline'!$D$1:$D$860,$U17)))</f>
        <v>Event</v>
      </c>
      <c r="E17" s="131" t="str">
        <f aca="false">IF($U17="","",IF(ISNUMBER(INDEX('MiT Strom Pipeline'!$O$1:$O$860,$U17)),INDEX('MiT Strom Pipeline'!$O$1:$O$860,$U17),IF(INDEX('MiT Strom Pipeline'!$H$1:$H$860,$U17)="","",INDEX('MiT Strom Pipeline'!$H$1:$H$860,$U17))))</f>
        <v>Aug</v>
      </c>
      <c r="F17" s="131" t="str">
        <f aca="false">IF($U17="","",IF(ISNUMBER(INDEX('MiT Strom Pipeline'!$P$1:$P$860,$U17)),INDEX('MiT Strom Pipeline'!$P$1:$P$860,$U17),""))</f>
        <v/>
      </c>
      <c r="G17" s="132" t="n">
        <f aca="false">IF($U17="","",IF(ISNUMBER(INDEX('MiT Strom Pipeline'!$I$1:$I$860,$U17)),INDEX('MiT Strom Pipeline'!$I$1:$I$860,$U17),0))</f>
        <v>80621.21</v>
      </c>
      <c r="H17" s="132" t="n">
        <f aca="false">IF($U17="","",IF(ISNUMBER(INDEX('MiT Strom Pipeline'!$Q$1:$Q$860,$U17)),INDEX('MiT Strom Pipeline'!$Q$1:$Q$860,$U17),0))</f>
        <v>80621.21</v>
      </c>
      <c r="I17" s="129" t="str">
        <f aca="false">IF($U17="","",IF(INDEX('MiT Strom Pipeline'!$E$1:$E$860,$U17)="","",INDEX('MiT Strom Pipeline'!$E$1:$E$860,$U17)))</f>
        <v>6x300 kVA, 9x200 kVA Generator ,1x150 kWH BESS</v>
      </c>
      <c r="J17" s="130" t="str">
        <f aca="false">IF($U17="","",INDEX('MiT Strom Pipeline'!$R$1:$R$860,$U17))</f>
        <v>WON</v>
      </c>
      <c r="K17" s="133" t="n">
        <f aca="false">IF($U17="","",IF(ISNUMBER(INDEX('MiT Strom Pipeline'!$S$1:$S$860,$U17)),INDEX('MiT Strom Pipeline'!$S$1:$S$860,$U17),""))</f>
        <v>1</v>
      </c>
      <c r="L17" s="129" t="str">
        <f aca="false">IF($U17="","",IF(LEN(INDEX('MiT Strom Pipeline'!$V$1:$V$860,$U17))&gt;0,LEFT(INDEX('MiT Strom Pipeline'!$V$1:$V$860,$U17),55),""))</f>
        <v>Abgeschlossen</v>
      </c>
      <c r="M17" s="129" t="str">
        <f aca="false">IF($U17="","",IF(INDEX('MiT Strom Pipeline'!$AF$1:$AF$860,$U17)="","",INDEX('MiT Strom Pipeline'!$AF$1:$AF$860,$U17)))</f>
        <v/>
      </c>
      <c r="N17" s="129" t="str">
        <f aca="false">IF($U17="","",IF(INDEX('MiT Strom Pipeline'!$BB$1:$BB$860,$U17)="","",INDEX('MiT Strom Pipeline'!$BB$1:$BB$860,$U17)))</f>
        <v>⛔ Nachweis fehlt</v>
      </c>
      <c r="O17" s="112"/>
      <c r="P17" s="112"/>
      <c r="Q17" s="112"/>
      <c r="R17" s="112"/>
      <c r="S17" s="112"/>
      <c r="U17" s="1" t="n">
        <f aca="false">IFERROR(MATCH(7,'MiT Strom Pipeline'!$AM$6:$AM$860,0)+5,"")</f>
        <v>22</v>
      </c>
    </row>
    <row r="18" customFormat="false" ht="25.5" hidden="false" customHeight="true" outlineLevel="0" collapsed="false">
      <c r="A18" s="128" t="n">
        <f aca="false">IF($U18="","",IF(ISNUMBER(INDEX('MiT Strom Pipeline'!$A$1:$A$860,$U18)),INDEX('MiT Strom Pipeline'!$A$1:$A$860,$U18),""))</f>
        <v>50</v>
      </c>
      <c r="B18" s="129" t="str">
        <f aca="false">IF($U18="","",IF(INDEX('MiT Strom Pipeline'!$B$1:$B$860,$U18)="","",INDEX('MiT Strom Pipeline'!$B$1:$B$860,$U18)))</f>
        <v>EIDG AMT Agroscope</v>
      </c>
      <c r="C18" s="130" t="str">
        <f aca="false">IF($U18="","",IF(INDEX('MiT Strom Pipeline'!$C$1:$C$860,$U18)="","",INDEX('MiT Strom Pipeline'!$C$1:$C$860,$U18)))</f>
        <v>ZH</v>
      </c>
      <c r="D18" s="129" t="str">
        <f aca="false">IF($U18="","",IF(INDEX('MiT Strom Pipeline'!$D$1:$D$860,$U18)="","",INDEX('MiT Strom Pipeline'!$D$1:$D$860,$U18)))</f>
        <v>Forschung</v>
      </c>
      <c r="E18" s="131" t="str">
        <f aca="false">IF($U18="","",IF(ISNUMBER(INDEX('MiT Strom Pipeline'!$O$1:$O$860,$U18)),INDEX('MiT Strom Pipeline'!$O$1:$O$860,$U18),IF(INDEX('MiT Strom Pipeline'!$H$1:$H$860,$U18)="","",INDEX('MiT Strom Pipeline'!$H$1:$H$860,$U18))))</f>
        <v>Aug</v>
      </c>
      <c r="F18" s="131" t="str">
        <f aca="false">IF($U18="","",IF(ISNUMBER(INDEX('MiT Strom Pipeline'!$P$1:$P$860,$U18)),INDEX('MiT Strom Pipeline'!$P$1:$P$860,$U18),""))</f>
        <v/>
      </c>
      <c r="G18" s="132" t="n">
        <f aca="false">IF($U18="","",IF(ISNUMBER(INDEX('MiT Strom Pipeline'!$I$1:$I$860,$U18)),INDEX('MiT Strom Pipeline'!$I$1:$I$860,$U18),0))</f>
        <v>13533</v>
      </c>
      <c r="H18" s="132" t="n">
        <f aca="false">IF($U18="","",IF(ISNUMBER(INDEX('MiT Strom Pipeline'!$Q$1:$Q$860,$U18)),INDEX('MiT Strom Pipeline'!$Q$1:$Q$860,$U18),0))</f>
        <v>13533</v>
      </c>
      <c r="I18" s="129" t="str">
        <f aca="false">IF($U18="","",IF(INDEX('MiT Strom Pipeline'!$E$1:$E$860,$U18)="","",INDEX('MiT Strom Pipeline'!$E$1:$E$860,$U18)))</f>
        <v>450 kVA</v>
      </c>
      <c r="J18" s="130" t="str">
        <f aca="false">IF($U18="","",INDEX('MiT Strom Pipeline'!$R$1:$R$860,$U18))</f>
        <v>WON</v>
      </c>
      <c r="K18" s="133" t="n">
        <f aca="false">IF($U18="","",IF(ISNUMBER(INDEX('MiT Strom Pipeline'!$S$1:$S$860,$U18)),INDEX('MiT Strom Pipeline'!$S$1:$S$860,$U18),""))</f>
        <v>1</v>
      </c>
      <c r="L18" s="129" t="str">
        <f aca="false">IF($U18="","",IF(LEN(INDEX('MiT Strom Pipeline'!$V$1:$V$860,$U18))&gt;0,LEFT(INDEX('MiT Strom Pipeline'!$V$1:$V$860,$U18),55),""))</f>
        <v>Abgeschlossen</v>
      </c>
      <c r="M18" s="129" t="str">
        <f aca="false">IF($U18="","",IF(INDEX('MiT Strom Pipeline'!$AF$1:$AF$860,$U18)="","",INDEX('MiT Strom Pipeline'!$AF$1:$AF$860,$U18)))</f>
        <v/>
      </c>
      <c r="N18" s="129" t="str">
        <f aca="false">IF($U18="","",IF(INDEX('MiT Strom Pipeline'!$BB$1:$BB$860,$U18)="","",INDEX('MiT Strom Pipeline'!$BB$1:$BB$860,$U18)))</f>
        <v>⛔ Nachweis fehlt</v>
      </c>
      <c r="O18" s="112"/>
      <c r="P18" s="112"/>
      <c r="Q18" s="112"/>
      <c r="R18" s="112"/>
      <c r="S18" s="112"/>
      <c r="U18" s="1" t="n">
        <f aca="false">IFERROR(MATCH(8,'MiT Strom Pipeline'!$AM$6:$AM$860,0)+5,"")</f>
        <v>60</v>
      </c>
    </row>
    <row r="19" customFormat="false" ht="25.5" hidden="false" customHeight="true" outlineLevel="0" collapsed="false">
      <c r="A19" s="128" t="n">
        <f aca="false">IF($U19="","",IF(ISNUMBER(INDEX('MiT Strom Pipeline'!$A$1:$A$860,$U19)),INDEX('MiT Strom Pipeline'!$A$1:$A$860,$U19),""))</f>
        <v>51</v>
      </c>
      <c r="B19" s="129" t="str">
        <f aca="false">IF($U19="","",IF(INDEX('MiT Strom Pipeline'!$B$1:$B$860,$U19)="","",INDEX('MiT Strom Pipeline'!$B$1:$B$860,$U19)))</f>
        <v>(Megger) Power Diagnostix Service GmbH</v>
      </c>
      <c r="C19" s="130" t="str">
        <f aca="false">IF($U19="","",IF(INDEX('MiT Strom Pipeline'!$C$1:$C$860,$U19)="","",INDEX('MiT Strom Pipeline'!$C$1:$C$860,$U19)))</f>
        <v>TG</v>
      </c>
      <c r="D19" s="129" t="str">
        <f aca="false">IF($U19="","",IF(INDEX('MiT Strom Pipeline'!$D$1:$D$860,$U19)="","",INDEX('MiT Strom Pipeline'!$D$1:$D$860,$U19)))</f>
        <v>EVU</v>
      </c>
      <c r="E19" s="131" t="str">
        <f aca="false">IF($U19="","",IF(ISNUMBER(INDEX('MiT Strom Pipeline'!$O$1:$O$860,$U19)),INDEX('MiT Strom Pipeline'!$O$1:$O$860,$U19),IF(INDEX('MiT Strom Pipeline'!$H$1:$H$860,$U19)="","",INDEX('MiT Strom Pipeline'!$H$1:$H$860,$U19))))</f>
        <v>Juli</v>
      </c>
      <c r="F19" s="131" t="str">
        <f aca="false">IF($U19="","",IF(ISNUMBER(INDEX('MiT Strom Pipeline'!$P$1:$P$860,$U19)),INDEX('MiT Strom Pipeline'!$P$1:$P$860,$U19),""))</f>
        <v/>
      </c>
      <c r="G19" s="132" t="n">
        <f aca="false">IF($U19="","",IF(ISNUMBER(INDEX('MiT Strom Pipeline'!$I$1:$I$860,$U19)),INDEX('MiT Strom Pipeline'!$I$1:$I$860,$U19),0))</f>
        <v>5488.9</v>
      </c>
      <c r="H19" s="132" t="n">
        <f aca="false">IF($U19="","",IF(ISNUMBER(INDEX('MiT Strom Pipeline'!$Q$1:$Q$860,$U19)),INDEX('MiT Strom Pipeline'!$Q$1:$Q$860,$U19),0))</f>
        <v>5488.9</v>
      </c>
      <c r="I19" s="129" t="str">
        <f aca="false">IF($U19="","",IF(INDEX('MiT Strom Pipeline'!$E$1:$E$860,$U19)="","",INDEX('MiT Strom Pipeline'!$E$1:$E$860,$U19)))</f>
        <v>600 kVA</v>
      </c>
      <c r="J19" s="130" t="str">
        <f aca="false">IF($U19="","",INDEX('MiT Strom Pipeline'!$R$1:$R$860,$U19))</f>
        <v>WON</v>
      </c>
      <c r="K19" s="133" t="n">
        <f aca="false">IF($U19="","",IF(ISNUMBER(INDEX('MiT Strom Pipeline'!$S$1:$S$860,$U19)),INDEX('MiT Strom Pipeline'!$S$1:$S$860,$U19),""))</f>
        <v>1</v>
      </c>
      <c r="L19" s="129" t="str">
        <f aca="false">IF($U19="","",IF(LEN(INDEX('MiT Strom Pipeline'!$V$1:$V$860,$U19))&gt;0,LEFT(INDEX('MiT Strom Pipeline'!$V$1:$V$860,$U19),55),""))</f>
        <v>Abgeschlossen</v>
      </c>
      <c r="M19" s="129" t="str">
        <f aca="false">IF($U19="","",IF(INDEX('MiT Strom Pipeline'!$AF$1:$AF$860,$U19)="","",INDEX('MiT Strom Pipeline'!$AF$1:$AF$860,$U19)))</f>
        <v/>
      </c>
      <c r="N19" s="129" t="str">
        <f aca="false">IF($U19="","",IF(INDEX('MiT Strom Pipeline'!$BB$1:$BB$860,$U19)="","",INDEX('MiT Strom Pipeline'!$BB$1:$BB$860,$U19)))</f>
        <v>⛔ Nachweis fehlt</v>
      </c>
      <c r="O19" s="112"/>
      <c r="P19" s="112"/>
      <c r="Q19" s="112"/>
      <c r="R19" s="112"/>
      <c r="S19" s="112"/>
      <c r="U19" s="1" t="n">
        <f aca="false">IFERROR(MATCH(9,'MiT Strom Pipeline'!$AM$6:$AM$860,0)+5,"")</f>
        <v>61</v>
      </c>
    </row>
    <row r="20" customFormat="false" ht="38.25" hidden="false" customHeight="true" outlineLevel="0" collapsed="false">
      <c r="A20" s="128" t="n">
        <f aca="false">IF($U20="","",IF(ISNUMBER(INDEX('MiT Strom Pipeline'!$A$1:$A$860,$U20)),INDEX('MiT Strom Pipeline'!$A$1:$A$860,$U20),""))</f>
        <v>52</v>
      </c>
      <c r="B20" s="129" t="str">
        <f aca="false">IF($U20="","",IF(INDEX('MiT Strom Pipeline'!$B$1:$B$860,$U20)="","",INDEX('MiT Strom Pipeline'!$B$1:$B$860,$U20)))</f>
        <v>DPR Heat Loadbank</v>
      </c>
      <c r="C20" s="130" t="str">
        <f aca="false">IF($U20="","",IF(INDEX('MiT Strom Pipeline'!$C$1:$C$860,$U20)="","",INDEX('MiT Strom Pipeline'!$C$1:$C$860,$U20)))</f>
        <v>ZH</v>
      </c>
      <c r="D20" s="129" t="str">
        <f aca="false">IF($U20="","",IF(INDEX('MiT Strom Pipeline'!$D$1:$D$860,$U20)="","",INDEX('MiT Strom Pipeline'!$D$1:$D$860,$U20)))</f>
        <v>Datacenter</v>
      </c>
      <c r="E20" s="131" t="str">
        <f aca="false">IF($U20="","",IF(ISNUMBER(INDEX('MiT Strom Pipeline'!$O$1:$O$860,$U20)),INDEX('MiT Strom Pipeline'!$O$1:$O$860,$U20),IF(INDEX('MiT Strom Pipeline'!$H$1:$H$860,$U20)="","",INDEX('MiT Strom Pipeline'!$H$1:$H$860,$U20))))</f>
        <v>Aug</v>
      </c>
      <c r="F20" s="131" t="str">
        <f aca="false">IF($U20="","",IF(ISNUMBER(INDEX('MiT Strom Pipeline'!$P$1:$P$860,$U20)),INDEX('MiT Strom Pipeline'!$P$1:$P$860,$U20),""))</f>
        <v/>
      </c>
      <c r="G20" s="132" t="n">
        <f aca="false">IF($U20="","",IF(ISNUMBER(INDEX('MiT Strom Pipeline'!$I$1:$I$860,$U20)),INDEX('MiT Strom Pipeline'!$I$1:$I$860,$U20),0))</f>
        <v>333790</v>
      </c>
      <c r="H20" s="132" t="n">
        <f aca="false">IF($U20="","",IF(ISNUMBER(INDEX('MiT Strom Pipeline'!$Q$1:$Q$860,$U20)),INDEX('MiT Strom Pipeline'!$Q$1:$Q$860,$U20),0))</f>
        <v>333790</v>
      </c>
      <c r="I20" s="129" t="str">
        <f aca="false">IF($U20="","",IF(INDEX('MiT Strom Pipeline'!$E$1:$E$860,$U20)="","",INDEX('MiT Strom Pipeline'!$E$1:$E$860,$U20)))</f>
        <v>54x200 kVA Loadbank</v>
      </c>
      <c r="J20" s="130" t="str">
        <f aca="false">IF($U20="","",INDEX('MiT Strom Pipeline'!$R$1:$R$860,$U20))</f>
        <v>WON</v>
      </c>
      <c r="K20" s="133" t="n">
        <f aca="false">IF($U20="","",IF(ISNUMBER(INDEX('MiT Strom Pipeline'!$S$1:$S$860,$U20)),INDEX('MiT Strom Pipeline'!$S$1:$S$860,$U20),""))</f>
        <v>1</v>
      </c>
      <c r="L20" s="129" t="str">
        <f aca="false">IF($U20="","",IF(LEN(INDEX('MiT Strom Pipeline'!$V$1:$V$860,$U20))&gt;0,LEFT(INDEX('MiT Strom Pipeline'!$V$1:$V$860,$U20),55),""))</f>
        <v>Kunde angeschrieben auf MiT seite mit aktueller CHF Pre</v>
      </c>
      <c r="M20" s="129" t="str">
        <f aca="false">IF($U20="","",IF(INDEX('MiT Strom Pipeline'!$AF$1:$AF$860,$U20)="","",INDEX('MiT Strom Pipeline'!$AF$1:$AF$860,$U20)))</f>
        <v/>
      </c>
      <c r="N20" s="129" t="str">
        <f aca="false">IF($U20="","",IF(INDEX('MiT Strom Pipeline'!$BB$1:$BB$860,$U20)="","",INDEX('MiT Strom Pipeline'!$BB$1:$BB$860,$U20)))</f>
        <v>⛔ Nachweis fehlt</v>
      </c>
      <c r="O20" s="112"/>
      <c r="P20" s="112"/>
      <c r="Q20" s="112"/>
      <c r="R20" s="112"/>
      <c r="S20" s="112"/>
      <c r="U20" s="1" t="n">
        <f aca="false">IFERROR(MATCH(10,'MiT Strom Pipeline'!$AM$6:$AM$860,0)+5,"")</f>
        <v>62</v>
      </c>
    </row>
    <row r="21" customFormat="false" ht="38.25" hidden="false" customHeight="true" outlineLevel="0" collapsed="false">
      <c r="A21" s="128" t="n">
        <f aca="false">IF($U21="","",IF(ISNUMBER(INDEX('MiT Strom Pipeline'!$A$1:$A$860,$U21)),INDEX('MiT Strom Pipeline'!$A$1:$A$860,$U21),""))</f>
        <v>53</v>
      </c>
      <c r="B21" s="129" t="str">
        <f aca="false">IF($U21="","",IF(INDEX('MiT Strom Pipeline'!$B$1:$B$860,$U21)="","",INDEX('MiT Strom Pipeline'!$B$1:$B$860,$U21)))</f>
        <v>DPR Generator Loadbank Test</v>
      </c>
      <c r="C21" s="130" t="str">
        <f aca="false">IF($U21="","",IF(INDEX('MiT Strom Pipeline'!$C$1:$C$860,$U21)="","",INDEX('MiT Strom Pipeline'!$C$1:$C$860,$U21)))</f>
        <v>ZH</v>
      </c>
      <c r="D21" s="129" t="str">
        <f aca="false">IF($U21="","",IF(INDEX('MiT Strom Pipeline'!$D$1:$D$860,$U21)="","",INDEX('MiT Strom Pipeline'!$D$1:$D$860,$U21)))</f>
        <v>Datacenter</v>
      </c>
      <c r="E21" s="131" t="str">
        <f aca="false">IF($U21="","",IF(ISNUMBER(INDEX('MiT Strom Pipeline'!$O$1:$O$860,$U21)),INDEX('MiT Strom Pipeline'!$O$1:$O$860,$U21),IF(INDEX('MiT Strom Pipeline'!$H$1:$H$860,$U21)="","",INDEX('MiT Strom Pipeline'!$H$1:$H$860,$U21))))</f>
        <v>Aug</v>
      </c>
      <c r="F21" s="131" t="str">
        <f aca="false">IF($U21="","",IF(ISNUMBER(INDEX('MiT Strom Pipeline'!$P$1:$P$860,$U21)),INDEX('MiT Strom Pipeline'!$P$1:$P$860,$U21),""))</f>
        <v/>
      </c>
      <c r="G21" s="132" t="n">
        <f aca="false">IF($U21="","",IF(ISNUMBER(INDEX('MiT Strom Pipeline'!$I$1:$I$860,$U21)),INDEX('MiT Strom Pipeline'!$I$1:$I$860,$U21),0))</f>
        <v>331889.15</v>
      </c>
      <c r="H21" s="132" t="n">
        <f aca="false">IF($U21="","",IF(ISNUMBER(INDEX('MiT Strom Pipeline'!$Q$1:$Q$860,$U21)),INDEX('MiT Strom Pipeline'!$Q$1:$Q$860,$U21),0))</f>
        <v>331889.15</v>
      </c>
      <c r="I21" s="129" t="str">
        <f aca="false">IF($U21="","",IF(INDEX('MiT Strom Pipeline'!$E$1:$E$860,$U21)="","",INDEX('MiT Strom Pipeline'!$E$1:$E$860,$U21)))</f>
        <v>6000 kVA Loadbank</v>
      </c>
      <c r="J21" s="130" t="str">
        <f aca="false">IF($U21="","",INDEX('MiT Strom Pipeline'!$R$1:$R$860,$U21))</f>
        <v>WON</v>
      </c>
      <c r="K21" s="133" t="n">
        <f aca="false">IF($U21="","",IF(ISNUMBER(INDEX('MiT Strom Pipeline'!$S$1:$S$860,$U21)),INDEX('MiT Strom Pipeline'!$S$1:$S$860,$U21),""))</f>
        <v>1</v>
      </c>
      <c r="L21" s="129" t="str">
        <f aca="false">IF($U21="","",IF(LEN(INDEX('MiT Strom Pipeline'!$V$1:$V$860,$U21))&gt;0,LEFT(INDEX('MiT Strom Pipeline'!$V$1:$V$860,$U21),55),""))</f>
        <v>Kunde angeschrieben auf MiT seite mit aktueller CHF Pre</v>
      </c>
      <c r="M21" s="129" t="str">
        <f aca="false">IF($U21="","",IF(INDEX('MiT Strom Pipeline'!$AF$1:$AF$860,$U21)="","",INDEX('MiT Strom Pipeline'!$AF$1:$AF$860,$U21)))</f>
        <v/>
      </c>
      <c r="N21" s="129" t="str">
        <f aca="false">IF($U21="","",IF(INDEX('MiT Strom Pipeline'!$BB$1:$BB$860,$U21)="","",INDEX('MiT Strom Pipeline'!$BB$1:$BB$860,$U21)))</f>
        <v>⛔ Nachweis fehlt</v>
      </c>
      <c r="O21" s="112"/>
      <c r="P21" s="112"/>
      <c r="Q21" s="112"/>
      <c r="R21" s="112"/>
      <c r="S21" s="112"/>
      <c r="U21" s="1" t="n">
        <f aca="false">IFERROR(MATCH(11,'MiT Strom Pipeline'!$AM$6:$AM$860,0)+5,"")</f>
        <v>63</v>
      </c>
    </row>
    <row r="22" customFormat="false" ht="38.25" hidden="false" customHeight="true" outlineLevel="0" collapsed="false">
      <c r="A22" s="128" t="n">
        <f aca="false">IF($U22="","",IF(ISNUMBER(INDEX('MiT Strom Pipeline'!$A$1:$A$860,$U22)),INDEX('MiT Strom Pipeline'!$A$1:$A$860,$U22),""))</f>
        <v>61</v>
      </c>
      <c r="B22" s="129" t="str">
        <f aca="false">IF($U22="","",IF(INDEX('MiT Strom Pipeline'!$B$1:$B$860,$U22)="","",INDEX('MiT Strom Pipeline'!$B$1:$B$860,$U22)))</f>
        <v>GETEC Park.Swiss AG</v>
      </c>
      <c r="C22" s="130" t="str">
        <f aca="false">IF($U22="","",IF(INDEX('MiT Strom Pipeline'!$C$1:$C$860,$U22)="","",INDEX('MiT Strom Pipeline'!$C$1:$C$860,$U22)))</f>
        <v>BL</v>
      </c>
      <c r="D22" s="129" t="str">
        <f aca="false">IF($U22="","",IF(INDEX('MiT Strom Pipeline'!$D$1:$D$860,$U22)="","",INDEX('MiT Strom Pipeline'!$D$1:$D$860,$U22)))</f>
        <v>Industrie</v>
      </c>
      <c r="E22" s="131" t="str">
        <f aca="false">IF($U22="","",IF(ISNUMBER(INDEX('MiT Strom Pipeline'!$O$1:$O$860,$U22)),INDEX('MiT Strom Pipeline'!$O$1:$O$860,$U22),IF(INDEX('MiT Strom Pipeline'!$H$1:$H$860,$U22)="","",INDEX('MiT Strom Pipeline'!$H$1:$H$860,$U22))))</f>
        <v>August</v>
      </c>
      <c r="F22" s="131" t="str">
        <f aca="false">IF($U22="","",IF(ISNUMBER(INDEX('MiT Strom Pipeline'!$P$1:$P$860,$U22)),INDEX('MiT Strom Pipeline'!$P$1:$P$860,$U22),""))</f>
        <v/>
      </c>
      <c r="G22" s="132" t="n">
        <f aca="false">IF($U22="","",IF(ISNUMBER(INDEX('MiT Strom Pipeline'!$I$1:$I$860,$U22)),INDEX('MiT Strom Pipeline'!$I$1:$I$860,$U22),0))</f>
        <v>13472.18</v>
      </c>
      <c r="H22" s="132" t="n">
        <f aca="false">IF($U22="","",IF(ISNUMBER(INDEX('MiT Strom Pipeline'!$Q$1:$Q$860,$U22)),INDEX('MiT Strom Pipeline'!$Q$1:$Q$860,$U22),0))</f>
        <v>13472.18</v>
      </c>
      <c r="I22" s="129" t="str">
        <f aca="false">IF($U22="","",IF(INDEX('MiT Strom Pipeline'!$E$1:$E$860,$U22)="","",INDEX('MiT Strom Pipeline'!$E$1:$E$860,$U22)))</f>
        <v>600 kVA</v>
      </c>
      <c r="J22" s="130" t="str">
        <f aca="false">IF($U22="","",INDEX('MiT Strom Pipeline'!$R$1:$R$860,$U22))</f>
        <v>WON</v>
      </c>
      <c r="K22" s="133" t="n">
        <f aca="false">IF($U22="","",IF(ISNUMBER(INDEX('MiT Strom Pipeline'!$S$1:$S$860,$U22)),INDEX('MiT Strom Pipeline'!$S$1:$S$860,$U22),""))</f>
        <v>1</v>
      </c>
      <c r="L22" s="129" t="str">
        <f aca="false">IF($U22="","",IF(LEN(INDEX('MiT Strom Pipeline'!$V$1:$V$860,$U22))&gt;0,LEFT(INDEX('MiT Strom Pipeline'!$V$1:$V$860,$U22),55),""))</f>
        <v>Kunde angeschrieben, Offerte erstellt, Kunde hat Offert</v>
      </c>
      <c r="M22" s="129" t="str">
        <f aca="false">IF($U22="","",IF(INDEX('MiT Strom Pipeline'!$AF$1:$AF$860,$U22)="","",INDEX('MiT Strom Pipeline'!$AF$1:$AF$860,$U22)))</f>
        <v/>
      </c>
      <c r="N22" s="129" t="str">
        <f aca="false">IF($U22="","",IF(INDEX('MiT Strom Pipeline'!$BB$1:$BB$860,$U22)="","",INDEX('MiT Strom Pipeline'!$BB$1:$BB$860,$U22)))</f>
        <v>⛔ Nachweis fehlt</v>
      </c>
      <c r="O22" s="112"/>
      <c r="P22" s="112"/>
      <c r="Q22" s="112"/>
      <c r="R22" s="112"/>
      <c r="S22" s="112"/>
      <c r="U22" s="1" t="n">
        <f aca="false">IFERROR(MATCH(12,'MiT Strom Pipeline'!$AM$6:$AM$860,0)+5,"")</f>
        <v>71</v>
      </c>
    </row>
    <row r="23" customFormat="false" ht="15.75" hidden="false" customHeight="true" outlineLevel="0" collapsed="false">
      <c r="A23" s="128" t="str">
        <f aca="false">IF($U23="","",IF(ISNUMBER(INDEX('MiT Strom Pipeline'!$A$1:$A$860,$U23)),INDEX('MiT Strom Pipeline'!$A$1:$A$860,$U23),""))</f>
        <v/>
      </c>
      <c r="B23" s="129" t="str">
        <f aca="false">IF($U23="","",IF(INDEX('MiT Strom Pipeline'!$B$1:$B$860,$U23)="","",INDEX('MiT Strom Pipeline'!$B$1:$B$860,$U23)))</f>
        <v/>
      </c>
      <c r="C23" s="130" t="str">
        <f aca="false">IF($U23="","",IF(INDEX('MiT Strom Pipeline'!$C$1:$C$860,$U23)="","",INDEX('MiT Strom Pipeline'!$C$1:$C$860,$U23)))</f>
        <v/>
      </c>
      <c r="D23" s="129" t="str">
        <f aca="false">IF($U23="","",IF(INDEX('MiT Strom Pipeline'!$D$1:$D$860,$U23)="","",INDEX('MiT Strom Pipeline'!$D$1:$D$860,$U23)))</f>
        <v/>
      </c>
      <c r="E23" s="131" t="str">
        <f aca="false">IF($U23="","",IF(ISNUMBER(INDEX('MiT Strom Pipeline'!$O$1:$O$860,$U23)),INDEX('MiT Strom Pipeline'!$O$1:$O$860,$U23),IF(INDEX('MiT Strom Pipeline'!$H$1:$H$860,$U23)="","",INDEX('MiT Strom Pipeline'!$H$1:$H$860,$U23))))</f>
        <v/>
      </c>
      <c r="F23" s="131" t="str">
        <f aca="false">IF($U23="","",IF(ISNUMBER(INDEX('MiT Strom Pipeline'!$P$1:$P$860,$U23)),INDEX('MiT Strom Pipeline'!$P$1:$P$860,$U23),""))</f>
        <v/>
      </c>
      <c r="G23" s="132" t="str">
        <f aca="false">IF($U23="","",IF(ISNUMBER(INDEX('MiT Strom Pipeline'!$I$1:$I$860,$U23)),INDEX('MiT Strom Pipeline'!$I$1:$I$860,$U23),0))</f>
        <v/>
      </c>
      <c r="H23" s="132" t="str">
        <f aca="false">IF($U23="","",IF(ISNUMBER(INDEX('MiT Strom Pipeline'!$Q$1:$Q$860,$U23)),INDEX('MiT Strom Pipeline'!$Q$1:$Q$860,$U23),0))</f>
        <v/>
      </c>
      <c r="I23" s="129" t="str">
        <f aca="false">IF($U23="","",IF(INDEX('MiT Strom Pipeline'!$E$1:$E$860,$U23)="","",INDEX('MiT Strom Pipeline'!$E$1:$E$860,$U23)))</f>
        <v/>
      </c>
      <c r="J23" s="130" t="str">
        <f aca="false">IF($U23="","",INDEX('MiT Strom Pipeline'!$R$1:$R$860,$U23))</f>
        <v/>
      </c>
      <c r="K23" s="133" t="str">
        <f aca="false">IF($U23="","",IF(ISNUMBER(INDEX('MiT Strom Pipeline'!$S$1:$S$860,$U23)),INDEX('MiT Strom Pipeline'!$S$1:$S$860,$U23),""))</f>
        <v/>
      </c>
      <c r="L23" s="129" t="str">
        <f aca="false">IF($U23="","",IF(LEN(INDEX('MiT Strom Pipeline'!$V$1:$V$860,$U23))&gt;0,LEFT(INDEX('MiT Strom Pipeline'!$V$1:$V$860,$U23),55),""))</f>
        <v/>
      </c>
      <c r="M23" s="129" t="str">
        <f aca="false">IF($U23="","",IF(INDEX('MiT Strom Pipeline'!$AF$1:$AF$860,$U23)="","",INDEX('MiT Strom Pipeline'!$AF$1:$AF$860,$U23)))</f>
        <v/>
      </c>
      <c r="N23" s="129" t="str">
        <f aca="false">IF($U23="","",IF(INDEX('MiT Strom Pipeline'!$BB$1:$BB$860,$U23)="","",INDEX('MiT Strom Pipeline'!$BB$1:$BB$860,$U23)))</f>
        <v/>
      </c>
      <c r="O23" s="112"/>
      <c r="P23" s="112"/>
      <c r="Q23" s="112"/>
      <c r="R23" s="112"/>
      <c r="S23" s="112"/>
      <c r="U23" s="1" t="str">
        <f aca="false">IFERROR(MATCH(13,'MiT Strom Pipeline'!$AM$6:$AM$860,0)+5,"")</f>
        <v/>
      </c>
    </row>
    <row r="24" customFormat="false" ht="15.75" hidden="false" customHeight="true" outlineLevel="0" collapsed="false">
      <c r="A24" s="128" t="str">
        <f aca="false">IF($U24="","",IF(ISNUMBER(INDEX('MiT Strom Pipeline'!$A$1:$A$860,$U24)),INDEX('MiT Strom Pipeline'!$A$1:$A$860,$U24),""))</f>
        <v/>
      </c>
      <c r="B24" s="129" t="str">
        <f aca="false">IF($U24="","",IF(INDEX('MiT Strom Pipeline'!$B$1:$B$860,$U24)="","",INDEX('MiT Strom Pipeline'!$B$1:$B$860,$U24)))</f>
        <v/>
      </c>
      <c r="C24" s="130" t="str">
        <f aca="false">IF($U24="","",IF(INDEX('MiT Strom Pipeline'!$C$1:$C$860,$U24)="","",INDEX('MiT Strom Pipeline'!$C$1:$C$860,$U24)))</f>
        <v/>
      </c>
      <c r="D24" s="129" t="str">
        <f aca="false">IF($U24="","",IF(INDEX('MiT Strom Pipeline'!$D$1:$D$860,$U24)="","",INDEX('MiT Strom Pipeline'!$D$1:$D$860,$U24)))</f>
        <v/>
      </c>
      <c r="E24" s="131" t="str">
        <f aca="false">IF($U24="","",IF(ISNUMBER(INDEX('MiT Strom Pipeline'!$O$1:$O$860,$U24)),INDEX('MiT Strom Pipeline'!$O$1:$O$860,$U24),IF(INDEX('MiT Strom Pipeline'!$H$1:$H$860,$U24)="","",INDEX('MiT Strom Pipeline'!$H$1:$H$860,$U24))))</f>
        <v/>
      </c>
      <c r="F24" s="131" t="str">
        <f aca="false">IF($U24="","",IF(ISNUMBER(INDEX('MiT Strom Pipeline'!$P$1:$P$860,$U24)),INDEX('MiT Strom Pipeline'!$P$1:$P$860,$U24),""))</f>
        <v/>
      </c>
      <c r="G24" s="132" t="str">
        <f aca="false">IF($U24="","",IF(ISNUMBER(INDEX('MiT Strom Pipeline'!$I$1:$I$860,$U24)),INDEX('MiT Strom Pipeline'!$I$1:$I$860,$U24),0))</f>
        <v/>
      </c>
      <c r="H24" s="132" t="str">
        <f aca="false">IF($U24="","",IF(ISNUMBER(INDEX('MiT Strom Pipeline'!$Q$1:$Q$860,$U24)),INDEX('MiT Strom Pipeline'!$Q$1:$Q$860,$U24),0))</f>
        <v/>
      </c>
      <c r="I24" s="129" t="str">
        <f aca="false">IF($U24="","",IF(INDEX('MiT Strom Pipeline'!$E$1:$E$860,$U24)="","",INDEX('MiT Strom Pipeline'!$E$1:$E$860,$U24)))</f>
        <v/>
      </c>
      <c r="J24" s="130" t="str">
        <f aca="false">IF($U24="","",INDEX('MiT Strom Pipeline'!$R$1:$R$860,$U24))</f>
        <v/>
      </c>
      <c r="K24" s="133" t="str">
        <f aca="false">IF($U24="","",IF(ISNUMBER(INDEX('MiT Strom Pipeline'!$S$1:$S$860,$U24)),INDEX('MiT Strom Pipeline'!$S$1:$S$860,$U24),""))</f>
        <v/>
      </c>
      <c r="L24" s="129" t="str">
        <f aca="false">IF($U24="","",IF(LEN(INDEX('MiT Strom Pipeline'!$V$1:$V$860,$U24))&gt;0,LEFT(INDEX('MiT Strom Pipeline'!$V$1:$V$860,$U24),55),""))</f>
        <v/>
      </c>
      <c r="M24" s="129" t="str">
        <f aca="false">IF($U24="","",IF(INDEX('MiT Strom Pipeline'!$AF$1:$AF$860,$U24)="","",INDEX('MiT Strom Pipeline'!$AF$1:$AF$860,$U24)))</f>
        <v/>
      </c>
      <c r="N24" s="129" t="str">
        <f aca="false">IF($U24="","",IF(INDEX('MiT Strom Pipeline'!$BB$1:$BB$860,$U24)="","",INDEX('MiT Strom Pipeline'!$BB$1:$BB$860,$U24)))</f>
        <v/>
      </c>
      <c r="O24" s="112"/>
      <c r="P24" s="112"/>
      <c r="Q24" s="112"/>
      <c r="R24" s="112"/>
      <c r="S24" s="112"/>
      <c r="U24" s="1" t="str">
        <f aca="false">IFERROR(MATCH(14,'MiT Strom Pipeline'!$AM$6:$AM$860,0)+5,"")</f>
        <v/>
      </c>
    </row>
    <row r="25" customFormat="false" ht="15.75" hidden="false" customHeight="true" outlineLevel="0" collapsed="false">
      <c r="A25" s="128" t="str">
        <f aca="false">IF($U25="","",IF(ISNUMBER(INDEX('MiT Strom Pipeline'!$A$1:$A$860,$U25)),INDEX('MiT Strom Pipeline'!$A$1:$A$860,$U25),""))</f>
        <v/>
      </c>
      <c r="B25" s="129" t="str">
        <f aca="false">IF($U25="","",IF(INDEX('MiT Strom Pipeline'!$B$1:$B$860,$U25)="","",INDEX('MiT Strom Pipeline'!$B$1:$B$860,$U25)))</f>
        <v/>
      </c>
      <c r="C25" s="130" t="str">
        <f aca="false">IF($U25="","",IF(INDEX('MiT Strom Pipeline'!$C$1:$C$860,$U25)="","",INDEX('MiT Strom Pipeline'!$C$1:$C$860,$U25)))</f>
        <v/>
      </c>
      <c r="D25" s="129" t="str">
        <f aca="false">IF($U25="","",IF(INDEX('MiT Strom Pipeline'!$D$1:$D$860,$U25)="","",INDEX('MiT Strom Pipeline'!$D$1:$D$860,$U25)))</f>
        <v/>
      </c>
      <c r="E25" s="131" t="str">
        <f aca="false">IF($U25="","",IF(ISNUMBER(INDEX('MiT Strom Pipeline'!$O$1:$O$860,$U25)),INDEX('MiT Strom Pipeline'!$O$1:$O$860,$U25),IF(INDEX('MiT Strom Pipeline'!$H$1:$H$860,$U25)="","",INDEX('MiT Strom Pipeline'!$H$1:$H$860,$U25))))</f>
        <v/>
      </c>
      <c r="F25" s="131" t="str">
        <f aca="false">IF($U25="","",IF(ISNUMBER(INDEX('MiT Strom Pipeline'!$P$1:$P$860,$U25)),INDEX('MiT Strom Pipeline'!$P$1:$P$860,$U25),""))</f>
        <v/>
      </c>
      <c r="G25" s="132" t="str">
        <f aca="false">IF($U25="","",IF(ISNUMBER(INDEX('MiT Strom Pipeline'!$I$1:$I$860,$U25)),INDEX('MiT Strom Pipeline'!$I$1:$I$860,$U25),0))</f>
        <v/>
      </c>
      <c r="H25" s="132" t="str">
        <f aca="false">IF($U25="","",IF(ISNUMBER(INDEX('MiT Strom Pipeline'!$Q$1:$Q$860,$U25)),INDEX('MiT Strom Pipeline'!$Q$1:$Q$860,$U25),0))</f>
        <v/>
      </c>
      <c r="I25" s="129" t="str">
        <f aca="false">IF($U25="","",IF(INDEX('MiT Strom Pipeline'!$E$1:$E$860,$U25)="","",INDEX('MiT Strom Pipeline'!$E$1:$E$860,$U25)))</f>
        <v/>
      </c>
      <c r="J25" s="130" t="str">
        <f aca="false">IF($U25="","",INDEX('MiT Strom Pipeline'!$R$1:$R$860,$U25))</f>
        <v/>
      </c>
      <c r="K25" s="133" t="str">
        <f aca="false">IF($U25="","",IF(ISNUMBER(INDEX('MiT Strom Pipeline'!$S$1:$S$860,$U25)),INDEX('MiT Strom Pipeline'!$S$1:$S$860,$U25),""))</f>
        <v/>
      </c>
      <c r="L25" s="129" t="str">
        <f aca="false">IF($U25="","",IF(LEN(INDEX('MiT Strom Pipeline'!$V$1:$V$860,$U25))&gt;0,LEFT(INDEX('MiT Strom Pipeline'!$V$1:$V$860,$U25),55),""))</f>
        <v/>
      </c>
      <c r="M25" s="129" t="str">
        <f aca="false">IF($U25="","",IF(INDEX('MiT Strom Pipeline'!$AF$1:$AF$860,$U25)="","",INDEX('MiT Strom Pipeline'!$AF$1:$AF$860,$U25)))</f>
        <v/>
      </c>
      <c r="N25" s="129" t="str">
        <f aca="false">IF($U25="","",IF(INDEX('MiT Strom Pipeline'!$BB$1:$BB$860,$U25)="","",INDEX('MiT Strom Pipeline'!$BB$1:$BB$860,$U25)))</f>
        <v/>
      </c>
      <c r="O25" s="112"/>
      <c r="P25" s="112"/>
      <c r="Q25" s="112"/>
      <c r="R25" s="112"/>
      <c r="S25" s="112"/>
      <c r="U25" s="1" t="str">
        <f aca="false">IFERROR(MATCH(15,'MiT Strom Pipeline'!$AM$6:$AM$860,0)+5,"")</f>
        <v/>
      </c>
    </row>
    <row r="26" customFormat="false" ht="15.75" hidden="false" customHeight="true" outlineLevel="0" collapsed="false">
      <c r="A26" s="128" t="str">
        <f aca="false">IF($U26="","",IF(ISNUMBER(INDEX('MiT Strom Pipeline'!$A$1:$A$860,$U26)),INDEX('MiT Strom Pipeline'!$A$1:$A$860,$U26),""))</f>
        <v/>
      </c>
      <c r="B26" s="129" t="str">
        <f aca="false">IF($U26="","",IF(INDEX('MiT Strom Pipeline'!$B$1:$B$860,$U26)="","",INDEX('MiT Strom Pipeline'!$B$1:$B$860,$U26)))</f>
        <v/>
      </c>
      <c r="C26" s="130" t="str">
        <f aca="false">IF($U26="","",IF(INDEX('MiT Strom Pipeline'!$C$1:$C$860,$U26)="","",INDEX('MiT Strom Pipeline'!$C$1:$C$860,$U26)))</f>
        <v/>
      </c>
      <c r="D26" s="129" t="str">
        <f aca="false">IF($U26="","",IF(INDEX('MiT Strom Pipeline'!$D$1:$D$860,$U26)="","",INDEX('MiT Strom Pipeline'!$D$1:$D$860,$U26)))</f>
        <v/>
      </c>
      <c r="E26" s="131" t="str">
        <f aca="false">IF($U26="","",IF(ISNUMBER(INDEX('MiT Strom Pipeline'!$O$1:$O$860,$U26)),INDEX('MiT Strom Pipeline'!$O$1:$O$860,$U26),IF(INDEX('MiT Strom Pipeline'!$H$1:$H$860,$U26)="","",INDEX('MiT Strom Pipeline'!$H$1:$H$860,$U26))))</f>
        <v/>
      </c>
      <c r="F26" s="131" t="str">
        <f aca="false">IF($U26="","",IF(ISNUMBER(INDEX('MiT Strom Pipeline'!$P$1:$P$860,$U26)),INDEX('MiT Strom Pipeline'!$P$1:$P$860,$U26),""))</f>
        <v/>
      </c>
      <c r="G26" s="132" t="str">
        <f aca="false">IF($U26="","",IF(ISNUMBER(INDEX('MiT Strom Pipeline'!$I$1:$I$860,$U26)),INDEX('MiT Strom Pipeline'!$I$1:$I$860,$U26),0))</f>
        <v/>
      </c>
      <c r="H26" s="132" t="str">
        <f aca="false">IF($U26="","",IF(ISNUMBER(INDEX('MiT Strom Pipeline'!$Q$1:$Q$860,$U26)),INDEX('MiT Strom Pipeline'!$Q$1:$Q$860,$U26),0))</f>
        <v/>
      </c>
      <c r="I26" s="129" t="str">
        <f aca="false">IF($U26="","",IF(INDEX('MiT Strom Pipeline'!$E$1:$E$860,$U26)="","",INDEX('MiT Strom Pipeline'!$E$1:$E$860,$U26)))</f>
        <v/>
      </c>
      <c r="J26" s="130" t="str">
        <f aca="false">IF($U26="","",INDEX('MiT Strom Pipeline'!$R$1:$R$860,$U26))</f>
        <v/>
      </c>
      <c r="K26" s="133" t="str">
        <f aca="false">IF($U26="","",IF(ISNUMBER(INDEX('MiT Strom Pipeline'!$S$1:$S$860,$U26)),INDEX('MiT Strom Pipeline'!$S$1:$S$860,$U26),""))</f>
        <v/>
      </c>
      <c r="L26" s="129" t="str">
        <f aca="false">IF($U26="","",IF(LEN(INDEX('MiT Strom Pipeline'!$V$1:$V$860,$U26))&gt;0,LEFT(INDEX('MiT Strom Pipeline'!$V$1:$V$860,$U26),55),""))</f>
        <v/>
      </c>
      <c r="M26" s="129" t="str">
        <f aca="false">IF($U26="","",IF(INDEX('MiT Strom Pipeline'!$AF$1:$AF$860,$U26)="","",INDEX('MiT Strom Pipeline'!$AF$1:$AF$860,$U26)))</f>
        <v/>
      </c>
      <c r="N26" s="129" t="str">
        <f aca="false">IF($U26="","",IF(INDEX('MiT Strom Pipeline'!$BB$1:$BB$860,$U26)="","",INDEX('MiT Strom Pipeline'!$BB$1:$BB$860,$U26)))</f>
        <v/>
      </c>
      <c r="O26" s="112"/>
      <c r="P26" s="112"/>
      <c r="Q26" s="112"/>
      <c r="R26" s="112"/>
      <c r="S26" s="112"/>
      <c r="U26" s="1" t="str">
        <f aca="false">IFERROR(MATCH(16,'MiT Strom Pipeline'!$AM$6:$AM$860,0)+5,"")</f>
        <v/>
      </c>
    </row>
    <row r="27" customFormat="false" ht="15.75" hidden="false" customHeight="true" outlineLevel="0" collapsed="false">
      <c r="A27" s="128" t="str">
        <f aca="false">IF($U27="","",IF(ISNUMBER(INDEX('MiT Strom Pipeline'!$A$1:$A$860,$U27)),INDEX('MiT Strom Pipeline'!$A$1:$A$860,$U27),""))</f>
        <v/>
      </c>
      <c r="B27" s="129" t="str">
        <f aca="false">IF($U27="","",IF(INDEX('MiT Strom Pipeline'!$B$1:$B$860,$U27)="","",INDEX('MiT Strom Pipeline'!$B$1:$B$860,$U27)))</f>
        <v/>
      </c>
      <c r="C27" s="130" t="str">
        <f aca="false">IF($U27="","",IF(INDEX('MiT Strom Pipeline'!$C$1:$C$860,$U27)="","",INDEX('MiT Strom Pipeline'!$C$1:$C$860,$U27)))</f>
        <v/>
      </c>
      <c r="D27" s="129" t="str">
        <f aca="false">IF($U27="","",IF(INDEX('MiT Strom Pipeline'!$D$1:$D$860,$U27)="","",INDEX('MiT Strom Pipeline'!$D$1:$D$860,$U27)))</f>
        <v/>
      </c>
      <c r="E27" s="131" t="str">
        <f aca="false">IF($U27="","",IF(ISNUMBER(INDEX('MiT Strom Pipeline'!$O$1:$O$860,$U27)),INDEX('MiT Strom Pipeline'!$O$1:$O$860,$U27),IF(INDEX('MiT Strom Pipeline'!$H$1:$H$860,$U27)="","",INDEX('MiT Strom Pipeline'!$H$1:$H$860,$U27))))</f>
        <v/>
      </c>
      <c r="F27" s="131" t="str">
        <f aca="false">IF($U27="","",IF(ISNUMBER(INDEX('MiT Strom Pipeline'!$P$1:$P$860,$U27)),INDEX('MiT Strom Pipeline'!$P$1:$P$860,$U27),""))</f>
        <v/>
      </c>
      <c r="G27" s="132" t="str">
        <f aca="false">IF($U27="","",IF(ISNUMBER(INDEX('MiT Strom Pipeline'!$I$1:$I$860,$U27)),INDEX('MiT Strom Pipeline'!$I$1:$I$860,$U27),0))</f>
        <v/>
      </c>
      <c r="H27" s="132" t="str">
        <f aca="false">IF($U27="","",IF(ISNUMBER(INDEX('MiT Strom Pipeline'!$Q$1:$Q$860,$U27)),INDEX('MiT Strom Pipeline'!$Q$1:$Q$860,$U27),0))</f>
        <v/>
      </c>
      <c r="I27" s="129" t="str">
        <f aca="false">IF($U27="","",IF(INDEX('MiT Strom Pipeline'!$E$1:$E$860,$U27)="","",INDEX('MiT Strom Pipeline'!$E$1:$E$860,$U27)))</f>
        <v/>
      </c>
      <c r="J27" s="130" t="str">
        <f aca="false">IF($U27="","",INDEX('MiT Strom Pipeline'!$R$1:$R$860,$U27))</f>
        <v/>
      </c>
      <c r="K27" s="133" t="str">
        <f aca="false">IF($U27="","",IF(ISNUMBER(INDEX('MiT Strom Pipeline'!$S$1:$S$860,$U27)),INDEX('MiT Strom Pipeline'!$S$1:$S$860,$U27),""))</f>
        <v/>
      </c>
      <c r="L27" s="129" t="str">
        <f aca="false">IF($U27="","",IF(LEN(INDEX('MiT Strom Pipeline'!$V$1:$V$860,$U27))&gt;0,LEFT(INDEX('MiT Strom Pipeline'!$V$1:$V$860,$U27),55),""))</f>
        <v/>
      </c>
      <c r="M27" s="129" t="str">
        <f aca="false">IF($U27="","",IF(INDEX('MiT Strom Pipeline'!$AF$1:$AF$860,$U27)="","",INDEX('MiT Strom Pipeline'!$AF$1:$AF$860,$U27)))</f>
        <v/>
      </c>
      <c r="N27" s="129" t="str">
        <f aca="false">IF($U27="","",IF(INDEX('MiT Strom Pipeline'!$BB$1:$BB$860,$U27)="","",INDEX('MiT Strom Pipeline'!$BB$1:$BB$860,$U27)))</f>
        <v/>
      </c>
      <c r="O27" s="112"/>
      <c r="P27" s="112"/>
      <c r="Q27" s="112"/>
      <c r="R27" s="112"/>
      <c r="S27" s="112"/>
      <c r="U27" s="1" t="str">
        <f aca="false">IFERROR(MATCH(17,'MiT Strom Pipeline'!$AM$6:$AM$860,0)+5,"")</f>
        <v/>
      </c>
    </row>
    <row r="28" customFormat="false" ht="15.75" hidden="false" customHeight="true" outlineLevel="0" collapsed="false">
      <c r="A28" s="128" t="str">
        <f aca="false">IF($U28="","",IF(ISNUMBER(INDEX('MiT Strom Pipeline'!$A$1:$A$860,$U28)),INDEX('MiT Strom Pipeline'!$A$1:$A$860,$U28),""))</f>
        <v/>
      </c>
      <c r="B28" s="129" t="str">
        <f aca="false">IF($U28="","",IF(INDEX('MiT Strom Pipeline'!$B$1:$B$860,$U28)="","",INDEX('MiT Strom Pipeline'!$B$1:$B$860,$U28)))</f>
        <v/>
      </c>
      <c r="C28" s="130" t="str">
        <f aca="false">IF($U28="","",IF(INDEX('MiT Strom Pipeline'!$C$1:$C$860,$U28)="","",INDEX('MiT Strom Pipeline'!$C$1:$C$860,$U28)))</f>
        <v/>
      </c>
      <c r="D28" s="129" t="str">
        <f aca="false">IF($U28="","",IF(INDEX('MiT Strom Pipeline'!$D$1:$D$860,$U28)="","",INDEX('MiT Strom Pipeline'!$D$1:$D$860,$U28)))</f>
        <v/>
      </c>
      <c r="E28" s="131" t="str">
        <f aca="false">IF($U28="","",IF(ISNUMBER(INDEX('MiT Strom Pipeline'!$O$1:$O$860,$U28)),INDEX('MiT Strom Pipeline'!$O$1:$O$860,$U28),IF(INDEX('MiT Strom Pipeline'!$H$1:$H$860,$U28)="","",INDEX('MiT Strom Pipeline'!$H$1:$H$860,$U28))))</f>
        <v/>
      </c>
      <c r="F28" s="131" t="str">
        <f aca="false">IF($U28="","",IF(ISNUMBER(INDEX('MiT Strom Pipeline'!$P$1:$P$860,$U28)),INDEX('MiT Strom Pipeline'!$P$1:$P$860,$U28),""))</f>
        <v/>
      </c>
      <c r="G28" s="132" t="str">
        <f aca="false">IF($U28="","",IF(ISNUMBER(INDEX('MiT Strom Pipeline'!$I$1:$I$860,$U28)),INDEX('MiT Strom Pipeline'!$I$1:$I$860,$U28),0))</f>
        <v/>
      </c>
      <c r="H28" s="132" t="str">
        <f aca="false">IF($U28="","",IF(ISNUMBER(INDEX('MiT Strom Pipeline'!$Q$1:$Q$860,$U28)),INDEX('MiT Strom Pipeline'!$Q$1:$Q$860,$U28),0))</f>
        <v/>
      </c>
      <c r="I28" s="129" t="str">
        <f aca="false">IF($U28="","",IF(INDEX('MiT Strom Pipeline'!$E$1:$E$860,$U28)="","",INDEX('MiT Strom Pipeline'!$E$1:$E$860,$U28)))</f>
        <v/>
      </c>
      <c r="J28" s="130" t="str">
        <f aca="false">IF($U28="","",INDEX('MiT Strom Pipeline'!$R$1:$R$860,$U28))</f>
        <v/>
      </c>
      <c r="K28" s="133" t="str">
        <f aca="false">IF($U28="","",IF(ISNUMBER(INDEX('MiT Strom Pipeline'!$S$1:$S$860,$U28)),INDEX('MiT Strom Pipeline'!$S$1:$S$860,$U28),""))</f>
        <v/>
      </c>
      <c r="L28" s="129" t="str">
        <f aca="false">IF($U28="","",IF(LEN(INDEX('MiT Strom Pipeline'!$V$1:$V$860,$U28))&gt;0,LEFT(INDEX('MiT Strom Pipeline'!$V$1:$V$860,$U28),55),""))</f>
        <v/>
      </c>
      <c r="M28" s="129" t="str">
        <f aca="false">IF($U28="","",IF(INDEX('MiT Strom Pipeline'!$AF$1:$AF$860,$U28)="","",INDEX('MiT Strom Pipeline'!$AF$1:$AF$860,$U28)))</f>
        <v/>
      </c>
      <c r="N28" s="129" t="str">
        <f aca="false">IF($U28="","",IF(INDEX('MiT Strom Pipeline'!$BB$1:$BB$860,$U28)="","",INDEX('MiT Strom Pipeline'!$BB$1:$BB$860,$U28)))</f>
        <v/>
      </c>
      <c r="O28" s="112"/>
      <c r="P28" s="112"/>
      <c r="Q28" s="112"/>
      <c r="R28" s="112"/>
      <c r="S28" s="112"/>
      <c r="U28" s="1" t="str">
        <f aca="false">IFERROR(MATCH(18,'MiT Strom Pipeline'!$AM$6:$AM$860,0)+5,"")</f>
        <v/>
      </c>
    </row>
    <row r="29" customFormat="false" ht="15.75" hidden="false" customHeight="true" outlineLevel="0" collapsed="false">
      <c r="A29" s="128" t="str">
        <f aca="false">IF($U29="","",IF(ISNUMBER(INDEX('MiT Strom Pipeline'!$A$1:$A$860,$U29)),INDEX('MiT Strom Pipeline'!$A$1:$A$860,$U29),""))</f>
        <v/>
      </c>
      <c r="B29" s="129" t="str">
        <f aca="false">IF($U29="","",IF(INDEX('MiT Strom Pipeline'!$B$1:$B$860,$U29)="","",INDEX('MiT Strom Pipeline'!$B$1:$B$860,$U29)))</f>
        <v/>
      </c>
      <c r="C29" s="130" t="str">
        <f aca="false">IF($U29="","",IF(INDEX('MiT Strom Pipeline'!$C$1:$C$860,$U29)="","",INDEX('MiT Strom Pipeline'!$C$1:$C$860,$U29)))</f>
        <v/>
      </c>
      <c r="D29" s="129" t="str">
        <f aca="false">IF($U29="","",IF(INDEX('MiT Strom Pipeline'!$D$1:$D$860,$U29)="","",INDEX('MiT Strom Pipeline'!$D$1:$D$860,$U29)))</f>
        <v/>
      </c>
      <c r="E29" s="131" t="str">
        <f aca="false">IF($U29="","",IF(ISNUMBER(INDEX('MiT Strom Pipeline'!$O$1:$O$860,$U29)),INDEX('MiT Strom Pipeline'!$O$1:$O$860,$U29),IF(INDEX('MiT Strom Pipeline'!$H$1:$H$860,$U29)="","",INDEX('MiT Strom Pipeline'!$H$1:$H$860,$U29))))</f>
        <v/>
      </c>
      <c r="F29" s="131" t="str">
        <f aca="false">IF($U29="","",IF(ISNUMBER(INDEX('MiT Strom Pipeline'!$P$1:$P$860,$U29)),INDEX('MiT Strom Pipeline'!$P$1:$P$860,$U29),""))</f>
        <v/>
      </c>
      <c r="G29" s="132" t="str">
        <f aca="false">IF($U29="","",IF(ISNUMBER(INDEX('MiT Strom Pipeline'!$I$1:$I$860,$U29)),INDEX('MiT Strom Pipeline'!$I$1:$I$860,$U29),0))</f>
        <v/>
      </c>
      <c r="H29" s="132" t="str">
        <f aca="false">IF($U29="","",IF(ISNUMBER(INDEX('MiT Strom Pipeline'!$Q$1:$Q$860,$U29)),INDEX('MiT Strom Pipeline'!$Q$1:$Q$860,$U29),0))</f>
        <v/>
      </c>
      <c r="I29" s="129" t="str">
        <f aca="false">IF($U29="","",IF(INDEX('MiT Strom Pipeline'!$E$1:$E$860,$U29)="","",INDEX('MiT Strom Pipeline'!$E$1:$E$860,$U29)))</f>
        <v/>
      </c>
      <c r="J29" s="130" t="str">
        <f aca="false">IF($U29="","",INDEX('MiT Strom Pipeline'!$R$1:$R$860,$U29))</f>
        <v/>
      </c>
      <c r="K29" s="133" t="str">
        <f aca="false">IF($U29="","",IF(ISNUMBER(INDEX('MiT Strom Pipeline'!$S$1:$S$860,$U29)),INDEX('MiT Strom Pipeline'!$S$1:$S$860,$U29),""))</f>
        <v/>
      </c>
      <c r="L29" s="129" t="str">
        <f aca="false">IF($U29="","",IF(LEN(INDEX('MiT Strom Pipeline'!$V$1:$V$860,$U29))&gt;0,LEFT(INDEX('MiT Strom Pipeline'!$V$1:$V$860,$U29),55),""))</f>
        <v/>
      </c>
      <c r="M29" s="129" t="str">
        <f aca="false">IF($U29="","",IF(INDEX('MiT Strom Pipeline'!$AF$1:$AF$860,$U29)="","",INDEX('MiT Strom Pipeline'!$AF$1:$AF$860,$U29)))</f>
        <v/>
      </c>
      <c r="N29" s="129" t="str">
        <f aca="false">IF($U29="","",IF(INDEX('MiT Strom Pipeline'!$BB$1:$BB$860,$U29)="","",INDEX('MiT Strom Pipeline'!$BB$1:$BB$860,$U29)))</f>
        <v/>
      </c>
      <c r="O29" s="112"/>
      <c r="P29" s="112"/>
      <c r="Q29" s="112"/>
      <c r="R29" s="112"/>
      <c r="S29" s="112"/>
      <c r="U29" s="1" t="str">
        <f aca="false">IFERROR(MATCH(19,'MiT Strom Pipeline'!$AM$6:$AM$860,0)+5,"")</f>
        <v/>
      </c>
    </row>
    <row r="30" customFormat="false" ht="15.75" hidden="false" customHeight="true" outlineLevel="0" collapsed="false">
      <c r="A30" s="128" t="str">
        <f aca="false">IF($U30="","",IF(ISNUMBER(INDEX('MiT Strom Pipeline'!$A$1:$A$860,$U30)),INDEX('MiT Strom Pipeline'!$A$1:$A$860,$U30),""))</f>
        <v/>
      </c>
      <c r="B30" s="129" t="str">
        <f aca="false">IF($U30="","",IF(INDEX('MiT Strom Pipeline'!$B$1:$B$860,$U30)="","",INDEX('MiT Strom Pipeline'!$B$1:$B$860,$U30)))</f>
        <v/>
      </c>
      <c r="C30" s="130" t="str">
        <f aca="false">IF($U30="","",IF(INDEX('MiT Strom Pipeline'!$C$1:$C$860,$U30)="","",INDEX('MiT Strom Pipeline'!$C$1:$C$860,$U30)))</f>
        <v/>
      </c>
      <c r="D30" s="129" t="str">
        <f aca="false">IF($U30="","",IF(INDEX('MiT Strom Pipeline'!$D$1:$D$860,$U30)="","",INDEX('MiT Strom Pipeline'!$D$1:$D$860,$U30)))</f>
        <v/>
      </c>
      <c r="E30" s="131" t="str">
        <f aca="false">IF($U30="","",IF(ISNUMBER(INDEX('MiT Strom Pipeline'!$O$1:$O$860,$U30)),INDEX('MiT Strom Pipeline'!$O$1:$O$860,$U30),IF(INDEX('MiT Strom Pipeline'!$H$1:$H$860,$U30)="","",INDEX('MiT Strom Pipeline'!$H$1:$H$860,$U30))))</f>
        <v/>
      </c>
      <c r="F30" s="131" t="str">
        <f aca="false">IF($U30="","",IF(ISNUMBER(INDEX('MiT Strom Pipeline'!$P$1:$P$860,$U30)),INDEX('MiT Strom Pipeline'!$P$1:$P$860,$U30),""))</f>
        <v/>
      </c>
      <c r="G30" s="132" t="str">
        <f aca="false">IF($U30="","",IF(ISNUMBER(INDEX('MiT Strom Pipeline'!$I$1:$I$860,$U30)),INDEX('MiT Strom Pipeline'!$I$1:$I$860,$U30),0))</f>
        <v/>
      </c>
      <c r="H30" s="132" t="str">
        <f aca="false">IF($U30="","",IF(ISNUMBER(INDEX('MiT Strom Pipeline'!$Q$1:$Q$860,$U30)),INDEX('MiT Strom Pipeline'!$Q$1:$Q$860,$U30),0))</f>
        <v/>
      </c>
      <c r="I30" s="129" t="str">
        <f aca="false">IF($U30="","",IF(INDEX('MiT Strom Pipeline'!$E$1:$E$860,$U30)="","",INDEX('MiT Strom Pipeline'!$E$1:$E$860,$U30)))</f>
        <v/>
      </c>
      <c r="J30" s="130" t="str">
        <f aca="false">IF($U30="","",INDEX('MiT Strom Pipeline'!$R$1:$R$860,$U30))</f>
        <v/>
      </c>
      <c r="K30" s="133" t="str">
        <f aca="false">IF($U30="","",IF(ISNUMBER(INDEX('MiT Strom Pipeline'!$S$1:$S$860,$U30)),INDEX('MiT Strom Pipeline'!$S$1:$S$860,$U30),""))</f>
        <v/>
      </c>
      <c r="L30" s="129" t="str">
        <f aca="false">IF($U30="","",IF(LEN(INDEX('MiT Strom Pipeline'!$V$1:$V$860,$U30))&gt;0,LEFT(INDEX('MiT Strom Pipeline'!$V$1:$V$860,$U30),55),""))</f>
        <v/>
      </c>
      <c r="M30" s="129" t="str">
        <f aca="false">IF($U30="","",IF(INDEX('MiT Strom Pipeline'!$AF$1:$AF$860,$U30)="","",INDEX('MiT Strom Pipeline'!$AF$1:$AF$860,$U30)))</f>
        <v/>
      </c>
      <c r="N30" s="129" t="str">
        <f aca="false">IF($U30="","",IF(INDEX('MiT Strom Pipeline'!$BB$1:$BB$860,$U30)="","",INDEX('MiT Strom Pipeline'!$BB$1:$BB$860,$U30)))</f>
        <v/>
      </c>
      <c r="O30" s="112"/>
      <c r="P30" s="112"/>
      <c r="Q30" s="112"/>
      <c r="R30" s="112"/>
      <c r="S30" s="112"/>
      <c r="U30" s="1" t="str">
        <f aca="false">IFERROR(MATCH(20,'MiT Strom Pipeline'!$AM$6:$AM$860,0)+5,"")</f>
        <v/>
      </c>
    </row>
    <row r="31" customFormat="false" ht="15.75" hidden="false" customHeight="true" outlineLevel="0" collapsed="false">
      <c r="A31" s="128" t="str">
        <f aca="false">IF($U31="","",IF(ISNUMBER(INDEX('MiT Strom Pipeline'!$A$1:$A$860,$U31)),INDEX('MiT Strom Pipeline'!$A$1:$A$860,$U31),""))</f>
        <v/>
      </c>
      <c r="B31" s="129" t="str">
        <f aca="false">IF($U31="","",IF(INDEX('MiT Strom Pipeline'!$B$1:$B$860,$U31)="","",INDEX('MiT Strom Pipeline'!$B$1:$B$860,$U31)))</f>
        <v/>
      </c>
      <c r="C31" s="130" t="str">
        <f aca="false">IF($U31="","",IF(INDEX('MiT Strom Pipeline'!$C$1:$C$860,$U31)="","",INDEX('MiT Strom Pipeline'!$C$1:$C$860,$U31)))</f>
        <v/>
      </c>
      <c r="D31" s="129" t="str">
        <f aca="false">IF($U31="","",IF(INDEX('MiT Strom Pipeline'!$D$1:$D$860,$U31)="","",INDEX('MiT Strom Pipeline'!$D$1:$D$860,$U31)))</f>
        <v/>
      </c>
      <c r="E31" s="131" t="str">
        <f aca="false">IF($U31="","",IF(ISNUMBER(INDEX('MiT Strom Pipeline'!$O$1:$O$860,$U31)),INDEX('MiT Strom Pipeline'!$O$1:$O$860,$U31),IF(INDEX('MiT Strom Pipeline'!$H$1:$H$860,$U31)="","",INDEX('MiT Strom Pipeline'!$H$1:$H$860,$U31))))</f>
        <v/>
      </c>
      <c r="F31" s="131" t="str">
        <f aca="false">IF($U31="","",IF(ISNUMBER(INDEX('MiT Strom Pipeline'!$P$1:$P$860,$U31)),INDEX('MiT Strom Pipeline'!$P$1:$P$860,$U31),""))</f>
        <v/>
      </c>
      <c r="G31" s="132" t="str">
        <f aca="false">IF($U31="","",IF(ISNUMBER(INDEX('MiT Strom Pipeline'!$I$1:$I$860,$U31)),INDEX('MiT Strom Pipeline'!$I$1:$I$860,$U31),0))</f>
        <v/>
      </c>
      <c r="H31" s="132" t="str">
        <f aca="false">IF($U31="","",IF(ISNUMBER(INDEX('MiT Strom Pipeline'!$Q$1:$Q$860,$U31)),INDEX('MiT Strom Pipeline'!$Q$1:$Q$860,$U31),0))</f>
        <v/>
      </c>
      <c r="I31" s="129" t="str">
        <f aca="false">IF($U31="","",IF(INDEX('MiT Strom Pipeline'!$E$1:$E$860,$U31)="","",INDEX('MiT Strom Pipeline'!$E$1:$E$860,$U31)))</f>
        <v/>
      </c>
      <c r="J31" s="130" t="str">
        <f aca="false">IF($U31="","",INDEX('MiT Strom Pipeline'!$R$1:$R$860,$U31))</f>
        <v/>
      </c>
      <c r="K31" s="133" t="str">
        <f aca="false">IF($U31="","",IF(ISNUMBER(INDEX('MiT Strom Pipeline'!$S$1:$S$860,$U31)),INDEX('MiT Strom Pipeline'!$S$1:$S$860,$U31),""))</f>
        <v/>
      </c>
      <c r="L31" s="129" t="str">
        <f aca="false">IF($U31="","",IF(LEN(INDEX('MiT Strom Pipeline'!$V$1:$V$860,$U31))&gt;0,LEFT(INDEX('MiT Strom Pipeline'!$V$1:$V$860,$U31),55),""))</f>
        <v/>
      </c>
      <c r="M31" s="129" t="str">
        <f aca="false">IF($U31="","",IF(INDEX('MiT Strom Pipeline'!$AF$1:$AF$860,$U31)="","",INDEX('MiT Strom Pipeline'!$AF$1:$AF$860,$U31)))</f>
        <v/>
      </c>
      <c r="N31" s="129" t="str">
        <f aca="false">IF($U31="","",IF(INDEX('MiT Strom Pipeline'!$BB$1:$BB$860,$U31)="","",INDEX('MiT Strom Pipeline'!$BB$1:$BB$860,$U31)))</f>
        <v/>
      </c>
      <c r="O31" s="112"/>
      <c r="P31" s="112"/>
      <c r="Q31" s="112"/>
      <c r="R31" s="112"/>
      <c r="S31" s="112"/>
      <c r="U31" s="1" t="str">
        <f aca="false">IFERROR(MATCH(21,'MiT Strom Pipeline'!$AM$6:$AM$860,0)+5,"")</f>
        <v/>
      </c>
    </row>
    <row r="32" customFormat="false" ht="25.5" hidden="false" customHeight="true" outlineLevel="0" collapsed="false">
      <c r="A32" s="128" t="str">
        <f aca="false">IF($U32="","",IF(ISNUMBER(INDEX('MiT Strom Pipeline'!$A$1:$A$860,$U32)),INDEX('MiT Strom Pipeline'!$A$1:$A$860,$U32),""))</f>
        <v/>
      </c>
      <c r="B32" s="129" t="str">
        <f aca="false">IF($U32="","",IF(INDEX('MiT Strom Pipeline'!$B$1:$B$860,$U32)="","",INDEX('MiT Strom Pipeline'!$B$1:$B$860,$U32)))</f>
        <v/>
      </c>
      <c r="C32" s="130" t="str">
        <f aca="false">IF($U32="","",IF(INDEX('MiT Strom Pipeline'!$C$1:$C$860,$U32)="","",INDEX('MiT Strom Pipeline'!$C$1:$C$860,$U32)))</f>
        <v/>
      </c>
      <c r="D32" s="129" t="str">
        <f aca="false">IF($U32="","",IF(INDEX('MiT Strom Pipeline'!$D$1:$D$860,$U32)="","",INDEX('MiT Strom Pipeline'!$D$1:$D$860,$U32)))</f>
        <v/>
      </c>
      <c r="E32" s="131" t="str">
        <f aca="false">IF($U32="","",IF(ISNUMBER(INDEX('MiT Strom Pipeline'!$O$1:$O$860,$U32)),INDEX('MiT Strom Pipeline'!$O$1:$O$860,$U32),IF(INDEX('MiT Strom Pipeline'!$H$1:$H$860,$U32)="","",INDEX('MiT Strom Pipeline'!$H$1:$H$860,$U32))))</f>
        <v/>
      </c>
      <c r="F32" s="131" t="str">
        <f aca="false">IF($U32="","",IF(ISNUMBER(INDEX('MiT Strom Pipeline'!$P$1:$P$860,$U32)),INDEX('MiT Strom Pipeline'!$P$1:$P$860,$U32),""))</f>
        <v/>
      </c>
      <c r="G32" s="132" t="str">
        <f aca="false">IF($U32="","",IF(ISNUMBER(INDEX('MiT Strom Pipeline'!$I$1:$I$860,$U32)),INDEX('MiT Strom Pipeline'!$I$1:$I$860,$U32),0))</f>
        <v/>
      </c>
      <c r="H32" s="132" t="str">
        <f aca="false">IF($U32="","",IF(ISNUMBER(INDEX('MiT Strom Pipeline'!$Q$1:$Q$860,$U32)),INDEX('MiT Strom Pipeline'!$Q$1:$Q$860,$U32),0))</f>
        <v/>
      </c>
      <c r="I32" s="129" t="str">
        <f aca="false">IF($U32="","",IF(INDEX('MiT Strom Pipeline'!$E$1:$E$860,$U32)="","",INDEX('MiT Strom Pipeline'!$E$1:$E$860,$U32)))</f>
        <v/>
      </c>
      <c r="J32" s="130" t="str">
        <f aca="false">IF($U32="","",INDEX('MiT Strom Pipeline'!$R$1:$R$860,$U32))</f>
        <v/>
      </c>
      <c r="K32" s="133" t="str">
        <f aca="false">IF($U32="","",IF(ISNUMBER(INDEX('MiT Strom Pipeline'!$S$1:$S$860,$U32)),INDEX('MiT Strom Pipeline'!$S$1:$S$860,$U32),""))</f>
        <v/>
      </c>
      <c r="L32" s="129" t="str">
        <f aca="false">IF($U32="","",IF(LEN(INDEX('MiT Strom Pipeline'!$V$1:$V$860,$U32))&gt;0,LEFT(INDEX('MiT Strom Pipeline'!$V$1:$V$860,$U32),55),""))</f>
        <v/>
      </c>
      <c r="M32" s="129" t="str">
        <f aca="false">IF($U32="","",IF(INDEX('MiT Strom Pipeline'!$AF$1:$AF$860,$U32)="","",INDEX('MiT Strom Pipeline'!$AF$1:$AF$860,$U32)))</f>
        <v/>
      </c>
      <c r="N32" s="129" t="str">
        <f aca="false">IF($U32="","",IF(INDEX('MiT Strom Pipeline'!$BB$1:$BB$860,$U32)="","",INDEX('MiT Strom Pipeline'!$BB$1:$BB$860,$U32)))</f>
        <v/>
      </c>
      <c r="O32" s="112"/>
      <c r="P32" s="112"/>
      <c r="Q32" s="112"/>
      <c r="R32" s="112"/>
      <c r="S32" s="112"/>
      <c r="U32" s="1" t="str">
        <f aca="false">IFERROR(MATCH(22,'MiT Strom Pipeline'!$AM$6:$AM$860,0)+5,"")</f>
        <v/>
      </c>
    </row>
    <row r="33" customFormat="false" ht="15.75" hidden="false" customHeight="true" outlineLevel="0" collapsed="false">
      <c r="A33" s="128" t="str">
        <f aca="false">IF($U33="","",IF(ISNUMBER(INDEX('MiT Strom Pipeline'!$A$1:$A$860,$U33)),INDEX('MiT Strom Pipeline'!$A$1:$A$860,$U33),""))</f>
        <v/>
      </c>
      <c r="B33" s="129" t="str">
        <f aca="false">IF($U33="","",IF(INDEX('MiT Strom Pipeline'!$B$1:$B$860,$U33)="","",INDEX('MiT Strom Pipeline'!$B$1:$B$860,$U33)))</f>
        <v/>
      </c>
      <c r="C33" s="130" t="str">
        <f aca="false">IF($U33="","",IF(INDEX('MiT Strom Pipeline'!$C$1:$C$860,$U33)="","",INDEX('MiT Strom Pipeline'!$C$1:$C$860,$U33)))</f>
        <v/>
      </c>
      <c r="D33" s="129" t="str">
        <f aca="false">IF($U33="","",IF(INDEX('MiT Strom Pipeline'!$D$1:$D$860,$U33)="","",INDEX('MiT Strom Pipeline'!$D$1:$D$860,$U33)))</f>
        <v/>
      </c>
      <c r="E33" s="131" t="str">
        <f aca="false">IF($U33="","",IF(ISNUMBER(INDEX('MiT Strom Pipeline'!$O$1:$O$860,$U33)),INDEX('MiT Strom Pipeline'!$O$1:$O$860,$U33),IF(INDEX('MiT Strom Pipeline'!$H$1:$H$860,$U33)="","",INDEX('MiT Strom Pipeline'!$H$1:$H$860,$U33))))</f>
        <v/>
      </c>
      <c r="F33" s="131" t="str">
        <f aca="false">IF($U33="","",IF(ISNUMBER(INDEX('MiT Strom Pipeline'!$P$1:$P$860,$U33)),INDEX('MiT Strom Pipeline'!$P$1:$P$860,$U33),""))</f>
        <v/>
      </c>
      <c r="G33" s="132" t="str">
        <f aca="false">IF($U33="","",IF(ISNUMBER(INDEX('MiT Strom Pipeline'!$I$1:$I$860,$U33)),INDEX('MiT Strom Pipeline'!$I$1:$I$860,$U33),0))</f>
        <v/>
      </c>
      <c r="H33" s="132" t="str">
        <f aca="false">IF($U33="","",IF(ISNUMBER(INDEX('MiT Strom Pipeline'!$Q$1:$Q$860,$U33)),INDEX('MiT Strom Pipeline'!$Q$1:$Q$860,$U33),0))</f>
        <v/>
      </c>
      <c r="I33" s="129" t="str">
        <f aca="false">IF($U33="","",IF(INDEX('MiT Strom Pipeline'!$E$1:$E$860,$U33)="","",INDEX('MiT Strom Pipeline'!$E$1:$E$860,$U33)))</f>
        <v/>
      </c>
      <c r="J33" s="130" t="str">
        <f aca="false">IF($U33="","",INDEX('MiT Strom Pipeline'!$R$1:$R$860,$U33))</f>
        <v/>
      </c>
      <c r="K33" s="133" t="str">
        <f aca="false">IF($U33="","",IF(ISNUMBER(INDEX('MiT Strom Pipeline'!$S$1:$S$860,$U33)),INDEX('MiT Strom Pipeline'!$S$1:$S$860,$U33),""))</f>
        <v/>
      </c>
      <c r="L33" s="129" t="str">
        <f aca="false">IF($U33="","",IF(LEN(INDEX('MiT Strom Pipeline'!$V$1:$V$860,$U33))&gt;0,LEFT(INDEX('MiT Strom Pipeline'!$V$1:$V$860,$U33),55),""))</f>
        <v/>
      </c>
      <c r="M33" s="129" t="str">
        <f aca="false">IF($U33="","",IF(INDEX('MiT Strom Pipeline'!$AF$1:$AF$860,$U33)="","",INDEX('MiT Strom Pipeline'!$AF$1:$AF$860,$U33)))</f>
        <v/>
      </c>
      <c r="N33" s="129" t="str">
        <f aca="false">IF($U33="","",IF(INDEX('MiT Strom Pipeline'!$BB$1:$BB$860,$U33)="","",INDEX('MiT Strom Pipeline'!$BB$1:$BB$860,$U33)))</f>
        <v/>
      </c>
      <c r="O33" s="112"/>
      <c r="P33" s="112"/>
      <c r="Q33" s="112"/>
      <c r="R33" s="112"/>
      <c r="S33" s="112"/>
      <c r="U33" s="1" t="str">
        <f aca="false">IFERROR(MATCH(23,'MiT Strom Pipeline'!$AM$6:$AM$860,0)+5,"")</f>
        <v/>
      </c>
    </row>
    <row r="34" customFormat="false" ht="15.75" hidden="false" customHeight="true" outlineLevel="0" collapsed="false">
      <c r="A34" s="128" t="str">
        <f aca="false">IF($U34="","",IF(ISNUMBER(INDEX('MiT Strom Pipeline'!$A$1:$A$860,$U34)),INDEX('MiT Strom Pipeline'!$A$1:$A$860,$U34),""))</f>
        <v/>
      </c>
      <c r="B34" s="129" t="str">
        <f aca="false">IF($U34="","",IF(INDEX('MiT Strom Pipeline'!$B$1:$B$860,$U34)="","",INDEX('MiT Strom Pipeline'!$B$1:$B$860,$U34)))</f>
        <v/>
      </c>
      <c r="C34" s="130" t="str">
        <f aca="false">IF($U34="","",IF(INDEX('MiT Strom Pipeline'!$C$1:$C$860,$U34)="","",INDEX('MiT Strom Pipeline'!$C$1:$C$860,$U34)))</f>
        <v/>
      </c>
      <c r="D34" s="129" t="str">
        <f aca="false">IF($U34="","",IF(INDEX('MiT Strom Pipeline'!$D$1:$D$860,$U34)="","",INDEX('MiT Strom Pipeline'!$D$1:$D$860,$U34)))</f>
        <v/>
      </c>
      <c r="E34" s="131" t="str">
        <f aca="false">IF($U34="","",IF(ISNUMBER(INDEX('MiT Strom Pipeline'!$O$1:$O$860,$U34)),INDEX('MiT Strom Pipeline'!$O$1:$O$860,$U34),IF(INDEX('MiT Strom Pipeline'!$H$1:$H$860,$U34)="","",INDEX('MiT Strom Pipeline'!$H$1:$H$860,$U34))))</f>
        <v/>
      </c>
      <c r="F34" s="131" t="str">
        <f aca="false">IF($U34="","",IF(ISNUMBER(INDEX('MiT Strom Pipeline'!$P$1:$P$860,$U34)),INDEX('MiT Strom Pipeline'!$P$1:$P$860,$U34),""))</f>
        <v/>
      </c>
      <c r="G34" s="132" t="str">
        <f aca="false">IF($U34="","",IF(ISNUMBER(INDEX('MiT Strom Pipeline'!$I$1:$I$860,$U34)),INDEX('MiT Strom Pipeline'!$I$1:$I$860,$U34),0))</f>
        <v/>
      </c>
      <c r="H34" s="132" t="str">
        <f aca="false">IF($U34="","",IF(ISNUMBER(INDEX('MiT Strom Pipeline'!$Q$1:$Q$860,$U34)),INDEX('MiT Strom Pipeline'!$Q$1:$Q$860,$U34),0))</f>
        <v/>
      </c>
      <c r="I34" s="129" t="str">
        <f aca="false">IF($U34="","",IF(INDEX('MiT Strom Pipeline'!$E$1:$E$860,$U34)="","",INDEX('MiT Strom Pipeline'!$E$1:$E$860,$U34)))</f>
        <v/>
      </c>
      <c r="J34" s="130" t="str">
        <f aca="false">IF($U34="","",INDEX('MiT Strom Pipeline'!$R$1:$R$860,$U34))</f>
        <v/>
      </c>
      <c r="K34" s="133" t="str">
        <f aca="false">IF($U34="","",IF(ISNUMBER(INDEX('MiT Strom Pipeline'!$S$1:$S$860,$U34)),INDEX('MiT Strom Pipeline'!$S$1:$S$860,$U34),""))</f>
        <v/>
      </c>
      <c r="L34" s="129" t="str">
        <f aca="false">IF($U34="","",IF(LEN(INDEX('MiT Strom Pipeline'!$V$1:$V$860,$U34))&gt;0,LEFT(INDEX('MiT Strom Pipeline'!$V$1:$V$860,$U34),55),""))</f>
        <v/>
      </c>
      <c r="M34" s="129" t="str">
        <f aca="false">IF($U34="","",IF(INDEX('MiT Strom Pipeline'!$AF$1:$AF$860,$U34)="","",INDEX('MiT Strom Pipeline'!$AF$1:$AF$860,$U34)))</f>
        <v/>
      </c>
      <c r="N34" s="129" t="str">
        <f aca="false">IF($U34="","",IF(INDEX('MiT Strom Pipeline'!$BB$1:$BB$860,$U34)="","",INDEX('MiT Strom Pipeline'!$BB$1:$BB$860,$U34)))</f>
        <v/>
      </c>
      <c r="O34" s="112"/>
      <c r="P34" s="112"/>
      <c r="Q34" s="112"/>
      <c r="R34" s="112"/>
      <c r="S34" s="112"/>
      <c r="U34" s="1" t="str">
        <f aca="false">IFERROR(MATCH(24,'MiT Strom Pipeline'!$AM$6:$AM$860,0)+5,"")</f>
        <v/>
      </c>
    </row>
    <row r="35" customFormat="false" ht="15.75" hidden="false" customHeight="true" outlineLevel="0" collapsed="false">
      <c r="A35" s="128" t="str">
        <f aca="false">IF($U35="","",IF(ISNUMBER(INDEX('MiT Strom Pipeline'!$A$1:$A$860,$U35)),INDEX('MiT Strom Pipeline'!$A$1:$A$860,$U35),""))</f>
        <v/>
      </c>
      <c r="B35" s="129" t="str">
        <f aca="false">IF($U35="","",IF(INDEX('MiT Strom Pipeline'!$B$1:$B$860,$U35)="","",INDEX('MiT Strom Pipeline'!$B$1:$B$860,$U35)))</f>
        <v/>
      </c>
      <c r="C35" s="130" t="str">
        <f aca="false">IF($U35="","",IF(INDEX('MiT Strom Pipeline'!$C$1:$C$860,$U35)="","",INDEX('MiT Strom Pipeline'!$C$1:$C$860,$U35)))</f>
        <v/>
      </c>
      <c r="D35" s="129" t="str">
        <f aca="false">IF($U35="","",IF(INDEX('MiT Strom Pipeline'!$D$1:$D$860,$U35)="","",INDEX('MiT Strom Pipeline'!$D$1:$D$860,$U35)))</f>
        <v/>
      </c>
      <c r="E35" s="131" t="str">
        <f aca="false">IF($U35="","",IF(ISNUMBER(INDEX('MiT Strom Pipeline'!$O$1:$O$860,$U35)),INDEX('MiT Strom Pipeline'!$O$1:$O$860,$U35),IF(INDEX('MiT Strom Pipeline'!$H$1:$H$860,$U35)="","",INDEX('MiT Strom Pipeline'!$H$1:$H$860,$U35))))</f>
        <v/>
      </c>
      <c r="F35" s="131" t="str">
        <f aca="false">IF($U35="","",IF(ISNUMBER(INDEX('MiT Strom Pipeline'!$P$1:$P$860,$U35)),INDEX('MiT Strom Pipeline'!$P$1:$P$860,$U35),""))</f>
        <v/>
      </c>
      <c r="G35" s="132" t="str">
        <f aca="false">IF($U35="","",IF(ISNUMBER(INDEX('MiT Strom Pipeline'!$I$1:$I$860,$U35)),INDEX('MiT Strom Pipeline'!$I$1:$I$860,$U35),0))</f>
        <v/>
      </c>
      <c r="H35" s="132" t="str">
        <f aca="false">IF($U35="","",IF(ISNUMBER(INDEX('MiT Strom Pipeline'!$Q$1:$Q$860,$U35)),INDEX('MiT Strom Pipeline'!$Q$1:$Q$860,$U35),0))</f>
        <v/>
      </c>
      <c r="I35" s="129" t="str">
        <f aca="false">IF($U35="","",IF(INDEX('MiT Strom Pipeline'!$E$1:$E$860,$U35)="","",INDEX('MiT Strom Pipeline'!$E$1:$E$860,$U35)))</f>
        <v/>
      </c>
      <c r="J35" s="130" t="str">
        <f aca="false">IF($U35="","",INDEX('MiT Strom Pipeline'!$R$1:$R$860,$U35))</f>
        <v/>
      </c>
      <c r="K35" s="133" t="str">
        <f aca="false">IF($U35="","",IF(ISNUMBER(INDEX('MiT Strom Pipeline'!$S$1:$S$860,$U35)),INDEX('MiT Strom Pipeline'!$S$1:$S$860,$U35),""))</f>
        <v/>
      </c>
      <c r="L35" s="129" t="str">
        <f aca="false">IF($U35="","",IF(LEN(INDEX('MiT Strom Pipeline'!$V$1:$V$860,$U35))&gt;0,LEFT(INDEX('MiT Strom Pipeline'!$V$1:$V$860,$U35),55),""))</f>
        <v/>
      </c>
      <c r="M35" s="129" t="str">
        <f aca="false">IF($U35="","",IF(INDEX('MiT Strom Pipeline'!$AF$1:$AF$860,$U35)="","",INDEX('MiT Strom Pipeline'!$AF$1:$AF$860,$U35)))</f>
        <v/>
      </c>
      <c r="N35" s="129" t="str">
        <f aca="false">IF($U35="","",IF(INDEX('MiT Strom Pipeline'!$BB$1:$BB$860,$U35)="","",INDEX('MiT Strom Pipeline'!$BB$1:$BB$860,$U35)))</f>
        <v/>
      </c>
      <c r="O35" s="112"/>
      <c r="P35" s="112"/>
      <c r="Q35" s="112"/>
      <c r="R35" s="112"/>
      <c r="S35" s="112"/>
      <c r="U35" s="1" t="str">
        <f aca="false">IFERROR(MATCH(25,'MiT Strom Pipeline'!$AM$6:$AM$860,0)+5,"")</f>
        <v/>
      </c>
    </row>
    <row r="36" customFormat="false" ht="15.75" hidden="false" customHeight="true" outlineLevel="0" collapsed="false">
      <c r="A36" s="128" t="str">
        <f aca="false">IF($U36="","",IF(ISNUMBER(INDEX('MiT Strom Pipeline'!$A$1:$A$860,$U36)),INDEX('MiT Strom Pipeline'!$A$1:$A$860,$U36),""))</f>
        <v/>
      </c>
      <c r="B36" s="129" t="str">
        <f aca="false">IF($U36="","",IF(INDEX('MiT Strom Pipeline'!$B$1:$B$860,$U36)="","",INDEX('MiT Strom Pipeline'!$B$1:$B$860,$U36)))</f>
        <v/>
      </c>
      <c r="C36" s="130" t="str">
        <f aca="false">IF($U36="","",IF(INDEX('MiT Strom Pipeline'!$C$1:$C$860,$U36)="","",INDEX('MiT Strom Pipeline'!$C$1:$C$860,$U36)))</f>
        <v/>
      </c>
      <c r="D36" s="129" t="str">
        <f aca="false">IF($U36="","",IF(INDEX('MiT Strom Pipeline'!$D$1:$D$860,$U36)="","",INDEX('MiT Strom Pipeline'!$D$1:$D$860,$U36)))</f>
        <v/>
      </c>
      <c r="E36" s="131" t="str">
        <f aca="false">IF($U36="","",IF(ISNUMBER(INDEX('MiT Strom Pipeline'!$O$1:$O$860,$U36)),INDEX('MiT Strom Pipeline'!$O$1:$O$860,$U36),IF(INDEX('MiT Strom Pipeline'!$H$1:$H$860,$U36)="","",INDEX('MiT Strom Pipeline'!$H$1:$H$860,$U36))))</f>
        <v/>
      </c>
      <c r="F36" s="131" t="str">
        <f aca="false">IF($U36="","",IF(ISNUMBER(INDEX('MiT Strom Pipeline'!$P$1:$P$860,$U36)),INDEX('MiT Strom Pipeline'!$P$1:$P$860,$U36),""))</f>
        <v/>
      </c>
      <c r="G36" s="132" t="str">
        <f aca="false">IF($U36="","",IF(ISNUMBER(INDEX('MiT Strom Pipeline'!$I$1:$I$860,$U36)),INDEX('MiT Strom Pipeline'!$I$1:$I$860,$U36),0))</f>
        <v/>
      </c>
      <c r="H36" s="132" t="str">
        <f aca="false">IF($U36="","",IF(ISNUMBER(INDEX('MiT Strom Pipeline'!$Q$1:$Q$860,$U36)),INDEX('MiT Strom Pipeline'!$Q$1:$Q$860,$U36),0))</f>
        <v/>
      </c>
      <c r="I36" s="129" t="str">
        <f aca="false">IF($U36="","",IF(INDEX('MiT Strom Pipeline'!$E$1:$E$860,$U36)="","",INDEX('MiT Strom Pipeline'!$E$1:$E$860,$U36)))</f>
        <v/>
      </c>
      <c r="J36" s="130" t="str">
        <f aca="false">IF($U36="","",INDEX('MiT Strom Pipeline'!$R$1:$R$860,$U36))</f>
        <v/>
      </c>
      <c r="K36" s="133" t="str">
        <f aca="false">IF($U36="","",IF(ISNUMBER(INDEX('MiT Strom Pipeline'!$S$1:$S$860,$U36)),INDEX('MiT Strom Pipeline'!$S$1:$S$860,$U36),""))</f>
        <v/>
      </c>
      <c r="L36" s="129" t="str">
        <f aca="false">IF($U36="","",IF(LEN(INDEX('MiT Strom Pipeline'!$V$1:$V$860,$U36))&gt;0,LEFT(INDEX('MiT Strom Pipeline'!$V$1:$V$860,$U36),55),""))</f>
        <v/>
      </c>
      <c r="M36" s="129" t="str">
        <f aca="false">IF($U36="","",IF(INDEX('MiT Strom Pipeline'!$AF$1:$AF$860,$U36)="","",INDEX('MiT Strom Pipeline'!$AF$1:$AF$860,$U36)))</f>
        <v/>
      </c>
      <c r="N36" s="129" t="str">
        <f aca="false">IF($U36="","",IF(INDEX('MiT Strom Pipeline'!$BB$1:$BB$860,$U36)="","",INDEX('MiT Strom Pipeline'!$BB$1:$BB$860,$U36)))</f>
        <v/>
      </c>
      <c r="O36" s="112"/>
      <c r="P36" s="112"/>
      <c r="Q36" s="112"/>
      <c r="R36" s="112"/>
      <c r="S36" s="112"/>
      <c r="U36" s="1" t="str">
        <f aca="false">IFERROR(MATCH(26,'MiT Strom Pipeline'!$AM$6:$AM$860,0)+5,"")</f>
        <v/>
      </c>
    </row>
    <row r="37" customFormat="false" ht="15.75" hidden="false" customHeight="true" outlineLevel="0" collapsed="false">
      <c r="A37" s="128" t="str">
        <f aca="false">IF($U37="","",IF(ISNUMBER(INDEX('MiT Strom Pipeline'!$A$1:$A$860,$U37)),INDEX('MiT Strom Pipeline'!$A$1:$A$860,$U37),""))</f>
        <v/>
      </c>
      <c r="B37" s="129" t="str">
        <f aca="false">IF($U37="","",IF(INDEX('MiT Strom Pipeline'!$B$1:$B$860,$U37)="","",INDEX('MiT Strom Pipeline'!$B$1:$B$860,$U37)))</f>
        <v/>
      </c>
      <c r="C37" s="130" t="str">
        <f aca="false">IF($U37="","",IF(INDEX('MiT Strom Pipeline'!$C$1:$C$860,$U37)="","",INDEX('MiT Strom Pipeline'!$C$1:$C$860,$U37)))</f>
        <v/>
      </c>
      <c r="D37" s="129" t="str">
        <f aca="false">IF($U37="","",IF(INDEX('MiT Strom Pipeline'!$D$1:$D$860,$U37)="","",INDEX('MiT Strom Pipeline'!$D$1:$D$860,$U37)))</f>
        <v/>
      </c>
      <c r="E37" s="131" t="str">
        <f aca="false">IF($U37="","",IF(ISNUMBER(INDEX('MiT Strom Pipeline'!$O$1:$O$860,$U37)),INDEX('MiT Strom Pipeline'!$O$1:$O$860,$U37),IF(INDEX('MiT Strom Pipeline'!$H$1:$H$860,$U37)="","",INDEX('MiT Strom Pipeline'!$H$1:$H$860,$U37))))</f>
        <v/>
      </c>
      <c r="F37" s="131" t="str">
        <f aca="false">IF($U37="","",IF(ISNUMBER(INDEX('MiT Strom Pipeline'!$P$1:$P$860,$U37)),INDEX('MiT Strom Pipeline'!$P$1:$P$860,$U37),""))</f>
        <v/>
      </c>
      <c r="G37" s="132" t="str">
        <f aca="false">IF($U37="","",IF(ISNUMBER(INDEX('MiT Strom Pipeline'!$I$1:$I$860,$U37)),INDEX('MiT Strom Pipeline'!$I$1:$I$860,$U37),0))</f>
        <v/>
      </c>
      <c r="H37" s="132" t="str">
        <f aca="false">IF($U37="","",IF(ISNUMBER(INDEX('MiT Strom Pipeline'!$Q$1:$Q$860,$U37)),INDEX('MiT Strom Pipeline'!$Q$1:$Q$860,$U37),0))</f>
        <v/>
      </c>
      <c r="I37" s="129" t="str">
        <f aca="false">IF($U37="","",IF(INDEX('MiT Strom Pipeline'!$E$1:$E$860,$U37)="","",INDEX('MiT Strom Pipeline'!$E$1:$E$860,$U37)))</f>
        <v/>
      </c>
      <c r="J37" s="130" t="str">
        <f aca="false">IF($U37="","",INDEX('MiT Strom Pipeline'!$R$1:$R$860,$U37))</f>
        <v/>
      </c>
      <c r="K37" s="133" t="str">
        <f aca="false">IF($U37="","",IF(ISNUMBER(INDEX('MiT Strom Pipeline'!$S$1:$S$860,$U37)),INDEX('MiT Strom Pipeline'!$S$1:$S$860,$U37),""))</f>
        <v/>
      </c>
      <c r="L37" s="129" t="str">
        <f aca="false">IF($U37="","",IF(LEN(INDEX('MiT Strom Pipeline'!$V$1:$V$860,$U37))&gt;0,LEFT(INDEX('MiT Strom Pipeline'!$V$1:$V$860,$U37),55),""))</f>
        <v/>
      </c>
      <c r="M37" s="129" t="str">
        <f aca="false">IF($U37="","",IF(INDEX('MiT Strom Pipeline'!$AF$1:$AF$860,$U37)="","",INDEX('MiT Strom Pipeline'!$AF$1:$AF$860,$U37)))</f>
        <v/>
      </c>
      <c r="N37" s="129" t="str">
        <f aca="false">IF($U37="","",IF(INDEX('MiT Strom Pipeline'!$BB$1:$BB$860,$U37)="","",INDEX('MiT Strom Pipeline'!$BB$1:$BB$860,$U37)))</f>
        <v/>
      </c>
      <c r="O37" s="112"/>
      <c r="P37" s="112"/>
      <c r="Q37" s="112"/>
      <c r="R37" s="112"/>
      <c r="S37" s="112"/>
      <c r="U37" s="1" t="str">
        <f aca="false">IFERROR(MATCH(27,'MiT Strom Pipeline'!$AM$6:$AM$860,0)+5,"")</f>
        <v/>
      </c>
    </row>
    <row r="38" customFormat="false" ht="15.75" hidden="false" customHeight="true" outlineLevel="0" collapsed="false">
      <c r="A38" s="128" t="str">
        <f aca="false">IF($U38="","",IF(ISNUMBER(INDEX('MiT Strom Pipeline'!$A$1:$A$860,$U38)),INDEX('MiT Strom Pipeline'!$A$1:$A$860,$U38),""))</f>
        <v/>
      </c>
      <c r="B38" s="129" t="str">
        <f aca="false">IF($U38="","",IF(INDEX('MiT Strom Pipeline'!$B$1:$B$860,$U38)="","",INDEX('MiT Strom Pipeline'!$B$1:$B$860,$U38)))</f>
        <v/>
      </c>
      <c r="C38" s="130" t="str">
        <f aca="false">IF($U38="","",IF(INDEX('MiT Strom Pipeline'!$C$1:$C$860,$U38)="","",INDEX('MiT Strom Pipeline'!$C$1:$C$860,$U38)))</f>
        <v/>
      </c>
      <c r="D38" s="129" t="str">
        <f aca="false">IF($U38="","",IF(INDEX('MiT Strom Pipeline'!$D$1:$D$860,$U38)="","",INDEX('MiT Strom Pipeline'!$D$1:$D$860,$U38)))</f>
        <v/>
      </c>
      <c r="E38" s="131" t="str">
        <f aca="false">IF($U38="","",IF(ISNUMBER(INDEX('MiT Strom Pipeline'!$O$1:$O$860,$U38)),INDEX('MiT Strom Pipeline'!$O$1:$O$860,$U38),IF(INDEX('MiT Strom Pipeline'!$H$1:$H$860,$U38)="","",INDEX('MiT Strom Pipeline'!$H$1:$H$860,$U38))))</f>
        <v/>
      </c>
      <c r="F38" s="131" t="str">
        <f aca="false">IF($U38="","",IF(ISNUMBER(INDEX('MiT Strom Pipeline'!$P$1:$P$860,$U38)),INDEX('MiT Strom Pipeline'!$P$1:$P$860,$U38),""))</f>
        <v/>
      </c>
      <c r="G38" s="132" t="str">
        <f aca="false">IF($U38="","",IF(ISNUMBER(INDEX('MiT Strom Pipeline'!$I$1:$I$860,$U38)),INDEX('MiT Strom Pipeline'!$I$1:$I$860,$U38),0))</f>
        <v/>
      </c>
      <c r="H38" s="132" t="str">
        <f aca="false">IF($U38="","",IF(ISNUMBER(INDEX('MiT Strom Pipeline'!$Q$1:$Q$860,$U38)),INDEX('MiT Strom Pipeline'!$Q$1:$Q$860,$U38),0))</f>
        <v/>
      </c>
      <c r="I38" s="129" t="str">
        <f aca="false">IF($U38="","",IF(INDEX('MiT Strom Pipeline'!$E$1:$E$860,$U38)="","",INDEX('MiT Strom Pipeline'!$E$1:$E$860,$U38)))</f>
        <v/>
      </c>
      <c r="J38" s="130" t="str">
        <f aca="false">IF($U38="","",INDEX('MiT Strom Pipeline'!$R$1:$R$860,$U38))</f>
        <v/>
      </c>
      <c r="K38" s="133" t="str">
        <f aca="false">IF($U38="","",IF(ISNUMBER(INDEX('MiT Strom Pipeline'!$S$1:$S$860,$U38)),INDEX('MiT Strom Pipeline'!$S$1:$S$860,$U38),""))</f>
        <v/>
      </c>
      <c r="L38" s="129" t="str">
        <f aca="false">IF($U38="","",IF(LEN(INDEX('MiT Strom Pipeline'!$V$1:$V$860,$U38))&gt;0,LEFT(INDEX('MiT Strom Pipeline'!$V$1:$V$860,$U38),55),""))</f>
        <v/>
      </c>
      <c r="M38" s="129" t="str">
        <f aca="false">IF($U38="","",IF(INDEX('MiT Strom Pipeline'!$AF$1:$AF$860,$U38)="","",INDEX('MiT Strom Pipeline'!$AF$1:$AF$860,$U38)))</f>
        <v/>
      </c>
      <c r="N38" s="129" t="str">
        <f aca="false">IF($U38="","",IF(INDEX('MiT Strom Pipeline'!$BB$1:$BB$860,$U38)="","",INDEX('MiT Strom Pipeline'!$BB$1:$BB$860,$U38)))</f>
        <v/>
      </c>
      <c r="O38" s="112"/>
      <c r="P38" s="112"/>
      <c r="Q38" s="112"/>
      <c r="R38" s="112"/>
      <c r="S38" s="112"/>
      <c r="U38" s="1" t="str">
        <f aca="false">IFERROR(MATCH(28,'MiT Strom Pipeline'!$AM$6:$AM$860,0)+5,"")</f>
        <v/>
      </c>
    </row>
    <row r="39" customFormat="false" ht="15.75" hidden="false" customHeight="true" outlineLevel="0" collapsed="false">
      <c r="A39" s="128" t="str">
        <f aca="false">IF($U39="","",IF(ISNUMBER(INDEX('MiT Strom Pipeline'!$A$1:$A$860,$U39)),INDEX('MiT Strom Pipeline'!$A$1:$A$860,$U39),""))</f>
        <v/>
      </c>
      <c r="B39" s="129" t="str">
        <f aca="false">IF($U39="","",IF(INDEX('MiT Strom Pipeline'!$B$1:$B$860,$U39)="","",INDEX('MiT Strom Pipeline'!$B$1:$B$860,$U39)))</f>
        <v/>
      </c>
      <c r="C39" s="130" t="str">
        <f aca="false">IF($U39="","",IF(INDEX('MiT Strom Pipeline'!$C$1:$C$860,$U39)="","",INDEX('MiT Strom Pipeline'!$C$1:$C$860,$U39)))</f>
        <v/>
      </c>
      <c r="D39" s="129" t="str">
        <f aca="false">IF($U39="","",IF(INDEX('MiT Strom Pipeline'!$D$1:$D$860,$U39)="","",INDEX('MiT Strom Pipeline'!$D$1:$D$860,$U39)))</f>
        <v/>
      </c>
      <c r="E39" s="131" t="str">
        <f aca="false">IF($U39="","",IF(ISNUMBER(INDEX('MiT Strom Pipeline'!$O$1:$O$860,$U39)),INDEX('MiT Strom Pipeline'!$O$1:$O$860,$U39),IF(INDEX('MiT Strom Pipeline'!$H$1:$H$860,$U39)="","",INDEX('MiT Strom Pipeline'!$H$1:$H$860,$U39))))</f>
        <v/>
      </c>
      <c r="F39" s="131" t="str">
        <f aca="false">IF($U39="","",IF(ISNUMBER(INDEX('MiT Strom Pipeline'!$P$1:$P$860,$U39)),INDEX('MiT Strom Pipeline'!$P$1:$P$860,$U39),""))</f>
        <v/>
      </c>
      <c r="G39" s="132" t="str">
        <f aca="false">IF($U39="","",IF(ISNUMBER(INDEX('MiT Strom Pipeline'!$I$1:$I$860,$U39)),INDEX('MiT Strom Pipeline'!$I$1:$I$860,$U39),0))</f>
        <v/>
      </c>
      <c r="H39" s="132" t="str">
        <f aca="false">IF($U39="","",IF(ISNUMBER(INDEX('MiT Strom Pipeline'!$Q$1:$Q$860,$U39)),INDEX('MiT Strom Pipeline'!$Q$1:$Q$860,$U39),0))</f>
        <v/>
      </c>
      <c r="I39" s="129" t="str">
        <f aca="false">IF($U39="","",IF(INDEX('MiT Strom Pipeline'!$E$1:$E$860,$U39)="","",INDEX('MiT Strom Pipeline'!$E$1:$E$860,$U39)))</f>
        <v/>
      </c>
      <c r="J39" s="130" t="str">
        <f aca="false">IF($U39="","",INDEX('MiT Strom Pipeline'!$R$1:$R$860,$U39))</f>
        <v/>
      </c>
      <c r="K39" s="133" t="str">
        <f aca="false">IF($U39="","",IF(ISNUMBER(INDEX('MiT Strom Pipeline'!$S$1:$S$860,$U39)),INDEX('MiT Strom Pipeline'!$S$1:$S$860,$U39),""))</f>
        <v/>
      </c>
      <c r="L39" s="129" t="str">
        <f aca="false">IF($U39="","",IF(LEN(INDEX('MiT Strom Pipeline'!$V$1:$V$860,$U39))&gt;0,LEFT(INDEX('MiT Strom Pipeline'!$V$1:$V$860,$U39),55),""))</f>
        <v/>
      </c>
      <c r="M39" s="129" t="str">
        <f aca="false">IF($U39="","",IF(INDEX('MiT Strom Pipeline'!$AF$1:$AF$860,$U39)="","",INDEX('MiT Strom Pipeline'!$AF$1:$AF$860,$U39)))</f>
        <v/>
      </c>
      <c r="N39" s="129" t="str">
        <f aca="false">IF($U39="","",IF(INDEX('MiT Strom Pipeline'!$BB$1:$BB$860,$U39)="","",INDEX('MiT Strom Pipeline'!$BB$1:$BB$860,$U39)))</f>
        <v/>
      </c>
      <c r="O39" s="112"/>
      <c r="P39" s="112"/>
      <c r="Q39" s="112"/>
      <c r="R39" s="112"/>
      <c r="S39" s="112"/>
      <c r="U39" s="1" t="str">
        <f aca="false">IFERROR(MATCH(29,'MiT Strom Pipeline'!$AM$6:$AM$860,0)+5,"")</f>
        <v/>
      </c>
    </row>
    <row r="40" customFormat="false" ht="15.75" hidden="false" customHeight="true" outlineLevel="0" collapsed="false">
      <c r="A40" s="128" t="str">
        <f aca="false">IF($U40="","",IF(ISNUMBER(INDEX('MiT Strom Pipeline'!$A$1:$A$860,$U40)),INDEX('MiT Strom Pipeline'!$A$1:$A$860,$U40),""))</f>
        <v/>
      </c>
      <c r="B40" s="129" t="str">
        <f aca="false">IF($U40="","",IF(INDEX('MiT Strom Pipeline'!$B$1:$B$860,$U40)="","",INDEX('MiT Strom Pipeline'!$B$1:$B$860,$U40)))</f>
        <v/>
      </c>
      <c r="C40" s="130" t="str">
        <f aca="false">IF($U40="","",IF(INDEX('MiT Strom Pipeline'!$C$1:$C$860,$U40)="","",INDEX('MiT Strom Pipeline'!$C$1:$C$860,$U40)))</f>
        <v/>
      </c>
      <c r="D40" s="129" t="str">
        <f aca="false">IF($U40="","",IF(INDEX('MiT Strom Pipeline'!$D$1:$D$860,$U40)="","",INDEX('MiT Strom Pipeline'!$D$1:$D$860,$U40)))</f>
        <v/>
      </c>
      <c r="E40" s="131" t="str">
        <f aca="false">IF($U40="","",IF(ISNUMBER(INDEX('MiT Strom Pipeline'!$O$1:$O$860,$U40)),INDEX('MiT Strom Pipeline'!$O$1:$O$860,$U40),IF(INDEX('MiT Strom Pipeline'!$H$1:$H$860,$U40)="","",INDEX('MiT Strom Pipeline'!$H$1:$H$860,$U40))))</f>
        <v/>
      </c>
      <c r="F40" s="131" t="str">
        <f aca="false">IF($U40="","",IF(ISNUMBER(INDEX('MiT Strom Pipeline'!$P$1:$P$860,$U40)),INDEX('MiT Strom Pipeline'!$P$1:$P$860,$U40),""))</f>
        <v/>
      </c>
      <c r="G40" s="132" t="str">
        <f aca="false">IF($U40="","",IF(ISNUMBER(INDEX('MiT Strom Pipeline'!$I$1:$I$860,$U40)),INDEX('MiT Strom Pipeline'!$I$1:$I$860,$U40),0))</f>
        <v/>
      </c>
      <c r="H40" s="132" t="str">
        <f aca="false">IF($U40="","",IF(ISNUMBER(INDEX('MiT Strom Pipeline'!$Q$1:$Q$860,$U40)),INDEX('MiT Strom Pipeline'!$Q$1:$Q$860,$U40),0))</f>
        <v/>
      </c>
      <c r="I40" s="129" t="str">
        <f aca="false">IF($U40="","",IF(INDEX('MiT Strom Pipeline'!$E$1:$E$860,$U40)="","",INDEX('MiT Strom Pipeline'!$E$1:$E$860,$U40)))</f>
        <v/>
      </c>
      <c r="J40" s="130" t="str">
        <f aca="false">IF($U40="","",INDEX('MiT Strom Pipeline'!$R$1:$R$860,$U40))</f>
        <v/>
      </c>
      <c r="K40" s="133" t="str">
        <f aca="false">IF($U40="","",IF(ISNUMBER(INDEX('MiT Strom Pipeline'!$S$1:$S$860,$U40)),INDEX('MiT Strom Pipeline'!$S$1:$S$860,$U40),""))</f>
        <v/>
      </c>
      <c r="L40" s="129" t="str">
        <f aca="false">IF($U40="","",IF(LEN(INDEX('MiT Strom Pipeline'!$V$1:$V$860,$U40))&gt;0,LEFT(INDEX('MiT Strom Pipeline'!$V$1:$V$860,$U40),55),""))</f>
        <v/>
      </c>
      <c r="M40" s="129" t="str">
        <f aca="false">IF($U40="","",IF(INDEX('MiT Strom Pipeline'!$AF$1:$AF$860,$U40)="","",INDEX('MiT Strom Pipeline'!$AF$1:$AF$860,$U40)))</f>
        <v/>
      </c>
      <c r="N40" s="129" t="str">
        <f aca="false">IF($U40="","",IF(INDEX('MiT Strom Pipeline'!$BB$1:$BB$860,$U40)="","",INDEX('MiT Strom Pipeline'!$BB$1:$BB$860,$U40)))</f>
        <v/>
      </c>
      <c r="O40" s="112"/>
      <c r="P40" s="112"/>
      <c r="Q40" s="112"/>
      <c r="R40" s="112"/>
      <c r="S40" s="112"/>
      <c r="U40" s="1" t="str">
        <f aca="false">IFERROR(MATCH(30,'MiT Strom Pipeline'!$AM$6:$AM$860,0)+5,"")</f>
        <v/>
      </c>
    </row>
    <row r="41" customFormat="false" ht="15.75" hidden="false" customHeight="true" outlineLevel="0" collapsed="false">
      <c r="A41" s="128" t="str">
        <f aca="false">IF($U41="","",IF(ISNUMBER(INDEX('MiT Strom Pipeline'!$A$1:$A$860,$U41)),INDEX('MiT Strom Pipeline'!$A$1:$A$860,$U41),""))</f>
        <v/>
      </c>
      <c r="B41" s="129" t="str">
        <f aca="false">IF($U41="","",IF(INDEX('MiT Strom Pipeline'!$B$1:$B$860,$U41)="","",INDEX('MiT Strom Pipeline'!$B$1:$B$860,$U41)))</f>
        <v/>
      </c>
      <c r="C41" s="130" t="str">
        <f aca="false">IF($U41="","",IF(INDEX('MiT Strom Pipeline'!$C$1:$C$860,$U41)="","",INDEX('MiT Strom Pipeline'!$C$1:$C$860,$U41)))</f>
        <v/>
      </c>
      <c r="D41" s="129" t="str">
        <f aca="false">IF($U41="","",IF(INDEX('MiT Strom Pipeline'!$D$1:$D$860,$U41)="","",INDEX('MiT Strom Pipeline'!$D$1:$D$860,$U41)))</f>
        <v/>
      </c>
      <c r="E41" s="131" t="str">
        <f aca="false">IF($U41="","",IF(ISNUMBER(INDEX('MiT Strom Pipeline'!$O$1:$O$860,$U41)),INDEX('MiT Strom Pipeline'!$O$1:$O$860,$U41),IF(INDEX('MiT Strom Pipeline'!$H$1:$H$860,$U41)="","",INDEX('MiT Strom Pipeline'!$H$1:$H$860,$U41))))</f>
        <v/>
      </c>
      <c r="F41" s="131" t="str">
        <f aca="false">IF($U41="","",IF(ISNUMBER(INDEX('MiT Strom Pipeline'!$P$1:$P$860,$U41)),INDEX('MiT Strom Pipeline'!$P$1:$P$860,$U41),""))</f>
        <v/>
      </c>
      <c r="G41" s="132" t="str">
        <f aca="false">IF($U41="","",IF(ISNUMBER(INDEX('MiT Strom Pipeline'!$I$1:$I$860,$U41)),INDEX('MiT Strom Pipeline'!$I$1:$I$860,$U41),0))</f>
        <v/>
      </c>
      <c r="H41" s="132" t="str">
        <f aca="false">IF($U41="","",IF(ISNUMBER(INDEX('MiT Strom Pipeline'!$Q$1:$Q$860,$U41)),INDEX('MiT Strom Pipeline'!$Q$1:$Q$860,$U41),0))</f>
        <v/>
      </c>
      <c r="I41" s="129" t="str">
        <f aca="false">IF($U41="","",IF(INDEX('MiT Strom Pipeline'!$E$1:$E$860,$U41)="","",INDEX('MiT Strom Pipeline'!$E$1:$E$860,$U41)))</f>
        <v/>
      </c>
      <c r="J41" s="130" t="str">
        <f aca="false">IF($U41="","",INDEX('MiT Strom Pipeline'!$R$1:$R$860,$U41))</f>
        <v/>
      </c>
      <c r="K41" s="133" t="str">
        <f aca="false">IF($U41="","",IF(ISNUMBER(INDEX('MiT Strom Pipeline'!$S$1:$S$860,$U41)),INDEX('MiT Strom Pipeline'!$S$1:$S$860,$U41),""))</f>
        <v/>
      </c>
      <c r="L41" s="129" t="str">
        <f aca="false">IF($U41="","",IF(LEN(INDEX('MiT Strom Pipeline'!$V$1:$V$860,$U41))&gt;0,LEFT(INDEX('MiT Strom Pipeline'!$V$1:$V$860,$U41),55),""))</f>
        <v/>
      </c>
      <c r="M41" s="129" t="str">
        <f aca="false">IF($U41="","",IF(INDEX('MiT Strom Pipeline'!$AF$1:$AF$860,$U41)="","",INDEX('MiT Strom Pipeline'!$AF$1:$AF$860,$U41)))</f>
        <v/>
      </c>
      <c r="N41" s="129" t="str">
        <f aca="false">IF($U41="","",IF(INDEX('MiT Strom Pipeline'!$BB$1:$BB$860,$U41)="","",INDEX('MiT Strom Pipeline'!$BB$1:$BB$860,$U41)))</f>
        <v/>
      </c>
      <c r="O41" s="112"/>
      <c r="P41" s="112"/>
      <c r="Q41" s="112"/>
      <c r="R41" s="112"/>
      <c r="S41" s="112"/>
      <c r="U41" s="1" t="str">
        <f aca="false">IFERROR(MATCH(31,'MiT Strom Pipeline'!$AM$6:$AM$860,0)+5,"")</f>
        <v/>
      </c>
    </row>
    <row r="42" customFormat="false" ht="15.75" hidden="false" customHeight="true" outlineLevel="0" collapsed="false">
      <c r="A42" s="128" t="str">
        <f aca="false">IF($U42="","",IF(ISNUMBER(INDEX('MiT Strom Pipeline'!$A$1:$A$860,$U42)),INDEX('MiT Strom Pipeline'!$A$1:$A$860,$U42),""))</f>
        <v/>
      </c>
      <c r="B42" s="129" t="str">
        <f aca="false">IF($U42="","",IF(INDEX('MiT Strom Pipeline'!$B$1:$B$860,$U42)="","",INDEX('MiT Strom Pipeline'!$B$1:$B$860,$U42)))</f>
        <v/>
      </c>
      <c r="C42" s="130" t="str">
        <f aca="false">IF($U42="","",IF(INDEX('MiT Strom Pipeline'!$C$1:$C$860,$U42)="","",INDEX('MiT Strom Pipeline'!$C$1:$C$860,$U42)))</f>
        <v/>
      </c>
      <c r="D42" s="129" t="str">
        <f aca="false">IF($U42="","",IF(INDEX('MiT Strom Pipeline'!$D$1:$D$860,$U42)="","",INDEX('MiT Strom Pipeline'!$D$1:$D$860,$U42)))</f>
        <v/>
      </c>
      <c r="E42" s="131" t="str">
        <f aca="false">IF($U42="","",IF(ISNUMBER(INDEX('MiT Strom Pipeline'!$O$1:$O$860,$U42)),INDEX('MiT Strom Pipeline'!$O$1:$O$860,$U42),IF(INDEX('MiT Strom Pipeline'!$H$1:$H$860,$U42)="","",INDEX('MiT Strom Pipeline'!$H$1:$H$860,$U42))))</f>
        <v/>
      </c>
      <c r="F42" s="131" t="str">
        <f aca="false">IF($U42="","",IF(ISNUMBER(INDEX('MiT Strom Pipeline'!$P$1:$P$860,$U42)),INDEX('MiT Strom Pipeline'!$P$1:$P$860,$U42),""))</f>
        <v/>
      </c>
      <c r="G42" s="132" t="str">
        <f aca="false">IF($U42="","",IF(ISNUMBER(INDEX('MiT Strom Pipeline'!$I$1:$I$860,$U42)),INDEX('MiT Strom Pipeline'!$I$1:$I$860,$U42),0))</f>
        <v/>
      </c>
      <c r="H42" s="132" t="str">
        <f aca="false">IF($U42="","",IF(ISNUMBER(INDEX('MiT Strom Pipeline'!$Q$1:$Q$860,$U42)),INDEX('MiT Strom Pipeline'!$Q$1:$Q$860,$U42),0))</f>
        <v/>
      </c>
      <c r="I42" s="129" t="str">
        <f aca="false">IF($U42="","",IF(INDEX('MiT Strom Pipeline'!$E$1:$E$860,$U42)="","",INDEX('MiT Strom Pipeline'!$E$1:$E$860,$U42)))</f>
        <v/>
      </c>
      <c r="J42" s="130" t="str">
        <f aca="false">IF($U42="","",INDEX('MiT Strom Pipeline'!$R$1:$R$860,$U42))</f>
        <v/>
      </c>
      <c r="K42" s="133" t="str">
        <f aca="false">IF($U42="","",IF(ISNUMBER(INDEX('MiT Strom Pipeline'!$S$1:$S$860,$U42)),INDEX('MiT Strom Pipeline'!$S$1:$S$860,$U42),""))</f>
        <v/>
      </c>
      <c r="L42" s="129" t="str">
        <f aca="false">IF($U42="","",IF(LEN(INDEX('MiT Strom Pipeline'!$V$1:$V$860,$U42))&gt;0,LEFT(INDEX('MiT Strom Pipeline'!$V$1:$V$860,$U42),55),""))</f>
        <v/>
      </c>
      <c r="M42" s="129" t="str">
        <f aca="false">IF($U42="","",IF(INDEX('MiT Strom Pipeline'!$AF$1:$AF$860,$U42)="","",INDEX('MiT Strom Pipeline'!$AF$1:$AF$860,$U42)))</f>
        <v/>
      </c>
      <c r="N42" s="129" t="str">
        <f aca="false">IF($U42="","",IF(INDEX('MiT Strom Pipeline'!$BB$1:$BB$860,$U42)="","",INDEX('MiT Strom Pipeline'!$BB$1:$BB$860,$U42)))</f>
        <v/>
      </c>
      <c r="O42" s="112"/>
      <c r="P42" s="112"/>
      <c r="Q42" s="112"/>
      <c r="R42" s="112"/>
      <c r="S42" s="112"/>
      <c r="U42" s="1" t="str">
        <f aca="false">IFERROR(MATCH(32,'MiT Strom Pipeline'!$AM$6:$AM$860,0)+5,"")</f>
        <v/>
      </c>
    </row>
    <row r="43" customFormat="false" ht="15.75" hidden="false" customHeight="true" outlineLevel="0" collapsed="false">
      <c r="A43" s="128" t="str">
        <f aca="false">IF($U43="","",IF(ISNUMBER(INDEX('MiT Strom Pipeline'!$A$1:$A$860,$U43)),INDEX('MiT Strom Pipeline'!$A$1:$A$860,$U43),""))</f>
        <v/>
      </c>
      <c r="B43" s="129" t="str">
        <f aca="false">IF($U43="","",IF(INDEX('MiT Strom Pipeline'!$B$1:$B$860,$U43)="","",INDEX('MiT Strom Pipeline'!$B$1:$B$860,$U43)))</f>
        <v/>
      </c>
      <c r="C43" s="130" t="str">
        <f aca="false">IF($U43="","",IF(INDEX('MiT Strom Pipeline'!$C$1:$C$860,$U43)="","",INDEX('MiT Strom Pipeline'!$C$1:$C$860,$U43)))</f>
        <v/>
      </c>
      <c r="D43" s="129" t="str">
        <f aca="false">IF($U43="","",IF(INDEX('MiT Strom Pipeline'!$D$1:$D$860,$U43)="","",INDEX('MiT Strom Pipeline'!$D$1:$D$860,$U43)))</f>
        <v/>
      </c>
      <c r="E43" s="131" t="str">
        <f aca="false">IF($U43="","",IF(ISNUMBER(INDEX('MiT Strom Pipeline'!$O$1:$O$860,$U43)),INDEX('MiT Strom Pipeline'!$O$1:$O$860,$U43),IF(INDEX('MiT Strom Pipeline'!$H$1:$H$860,$U43)="","",INDEX('MiT Strom Pipeline'!$H$1:$H$860,$U43))))</f>
        <v/>
      </c>
      <c r="F43" s="131" t="str">
        <f aca="false">IF($U43="","",IF(ISNUMBER(INDEX('MiT Strom Pipeline'!$P$1:$P$860,$U43)),INDEX('MiT Strom Pipeline'!$P$1:$P$860,$U43),""))</f>
        <v/>
      </c>
      <c r="G43" s="132" t="str">
        <f aca="false">IF($U43="","",IF(ISNUMBER(INDEX('MiT Strom Pipeline'!$I$1:$I$860,$U43)),INDEX('MiT Strom Pipeline'!$I$1:$I$860,$U43),0))</f>
        <v/>
      </c>
      <c r="H43" s="132" t="str">
        <f aca="false">IF($U43="","",IF(ISNUMBER(INDEX('MiT Strom Pipeline'!$Q$1:$Q$860,$U43)),INDEX('MiT Strom Pipeline'!$Q$1:$Q$860,$U43),0))</f>
        <v/>
      </c>
      <c r="I43" s="129" t="str">
        <f aca="false">IF($U43="","",IF(INDEX('MiT Strom Pipeline'!$E$1:$E$860,$U43)="","",INDEX('MiT Strom Pipeline'!$E$1:$E$860,$U43)))</f>
        <v/>
      </c>
      <c r="J43" s="130" t="str">
        <f aca="false">IF($U43="","",INDEX('MiT Strom Pipeline'!$R$1:$R$860,$U43))</f>
        <v/>
      </c>
      <c r="K43" s="133" t="str">
        <f aca="false">IF($U43="","",IF(ISNUMBER(INDEX('MiT Strom Pipeline'!$S$1:$S$860,$U43)),INDEX('MiT Strom Pipeline'!$S$1:$S$860,$U43),""))</f>
        <v/>
      </c>
      <c r="L43" s="129" t="str">
        <f aca="false">IF($U43="","",IF(LEN(INDEX('MiT Strom Pipeline'!$V$1:$V$860,$U43))&gt;0,LEFT(INDEX('MiT Strom Pipeline'!$V$1:$V$860,$U43),55),""))</f>
        <v/>
      </c>
      <c r="M43" s="129" t="str">
        <f aca="false">IF($U43="","",IF(INDEX('MiT Strom Pipeline'!$AF$1:$AF$860,$U43)="","",INDEX('MiT Strom Pipeline'!$AF$1:$AF$860,$U43)))</f>
        <v/>
      </c>
      <c r="N43" s="129" t="str">
        <f aca="false">IF($U43="","",IF(INDEX('MiT Strom Pipeline'!$BB$1:$BB$860,$U43)="","",INDEX('MiT Strom Pipeline'!$BB$1:$BB$860,$U43)))</f>
        <v/>
      </c>
      <c r="O43" s="112"/>
      <c r="P43" s="112"/>
      <c r="Q43" s="112"/>
      <c r="R43" s="112"/>
      <c r="S43" s="112"/>
      <c r="U43" s="1" t="str">
        <f aca="false">IFERROR(MATCH(33,'MiT Strom Pipeline'!$AM$6:$AM$860,0)+5,"")</f>
        <v/>
      </c>
    </row>
    <row r="44" customFormat="false" ht="15.75" hidden="false" customHeight="true" outlineLevel="0" collapsed="false">
      <c r="A44" s="128" t="str">
        <f aca="false">IF($U44="","",IF(ISNUMBER(INDEX('MiT Strom Pipeline'!$A$1:$A$860,$U44)),INDEX('MiT Strom Pipeline'!$A$1:$A$860,$U44),""))</f>
        <v/>
      </c>
      <c r="B44" s="129" t="str">
        <f aca="false">IF($U44="","",IF(INDEX('MiT Strom Pipeline'!$B$1:$B$860,$U44)="","",INDEX('MiT Strom Pipeline'!$B$1:$B$860,$U44)))</f>
        <v/>
      </c>
      <c r="C44" s="130" t="str">
        <f aca="false">IF($U44="","",IF(INDEX('MiT Strom Pipeline'!$C$1:$C$860,$U44)="","",INDEX('MiT Strom Pipeline'!$C$1:$C$860,$U44)))</f>
        <v/>
      </c>
      <c r="D44" s="129" t="str">
        <f aca="false">IF($U44="","",IF(INDEX('MiT Strom Pipeline'!$D$1:$D$860,$U44)="","",INDEX('MiT Strom Pipeline'!$D$1:$D$860,$U44)))</f>
        <v/>
      </c>
      <c r="E44" s="131" t="str">
        <f aca="false">IF($U44="","",IF(ISNUMBER(INDEX('MiT Strom Pipeline'!$O$1:$O$860,$U44)),INDEX('MiT Strom Pipeline'!$O$1:$O$860,$U44),IF(INDEX('MiT Strom Pipeline'!$H$1:$H$860,$U44)="","",INDEX('MiT Strom Pipeline'!$H$1:$H$860,$U44))))</f>
        <v/>
      </c>
      <c r="F44" s="131" t="str">
        <f aca="false">IF($U44="","",IF(ISNUMBER(INDEX('MiT Strom Pipeline'!$P$1:$P$860,$U44)),INDEX('MiT Strom Pipeline'!$P$1:$P$860,$U44),""))</f>
        <v/>
      </c>
      <c r="G44" s="132" t="str">
        <f aca="false">IF($U44="","",IF(ISNUMBER(INDEX('MiT Strom Pipeline'!$I$1:$I$860,$U44)),INDEX('MiT Strom Pipeline'!$I$1:$I$860,$U44),0))</f>
        <v/>
      </c>
      <c r="H44" s="132" t="str">
        <f aca="false">IF($U44="","",IF(ISNUMBER(INDEX('MiT Strom Pipeline'!$Q$1:$Q$860,$U44)),INDEX('MiT Strom Pipeline'!$Q$1:$Q$860,$U44),0))</f>
        <v/>
      </c>
      <c r="I44" s="129" t="str">
        <f aca="false">IF($U44="","",IF(INDEX('MiT Strom Pipeline'!$E$1:$E$860,$U44)="","",INDEX('MiT Strom Pipeline'!$E$1:$E$860,$U44)))</f>
        <v/>
      </c>
      <c r="J44" s="130" t="str">
        <f aca="false">IF($U44="","",INDEX('MiT Strom Pipeline'!$R$1:$R$860,$U44))</f>
        <v/>
      </c>
      <c r="K44" s="133" t="str">
        <f aca="false">IF($U44="","",IF(ISNUMBER(INDEX('MiT Strom Pipeline'!$S$1:$S$860,$U44)),INDEX('MiT Strom Pipeline'!$S$1:$S$860,$U44),""))</f>
        <v/>
      </c>
      <c r="L44" s="129" t="str">
        <f aca="false">IF($U44="","",IF(LEN(INDEX('MiT Strom Pipeline'!$V$1:$V$860,$U44))&gt;0,LEFT(INDEX('MiT Strom Pipeline'!$V$1:$V$860,$U44),55),""))</f>
        <v/>
      </c>
      <c r="M44" s="129" t="str">
        <f aca="false">IF($U44="","",IF(INDEX('MiT Strom Pipeline'!$AF$1:$AF$860,$U44)="","",INDEX('MiT Strom Pipeline'!$AF$1:$AF$860,$U44)))</f>
        <v/>
      </c>
      <c r="N44" s="129" t="str">
        <f aca="false">IF($U44="","",IF(INDEX('MiT Strom Pipeline'!$BB$1:$BB$860,$U44)="","",INDEX('MiT Strom Pipeline'!$BB$1:$BB$860,$U44)))</f>
        <v/>
      </c>
      <c r="O44" s="112"/>
      <c r="P44" s="112"/>
      <c r="Q44" s="112"/>
      <c r="R44" s="112"/>
      <c r="S44" s="112"/>
      <c r="U44" s="1" t="str">
        <f aca="false">IFERROR(MATCH(34,'MiT Strom Pipeline'!$AM$6:$AM$860,0)+5,"")</f>
        <v/>
      </c>
    </row>
    <row r="45" customFormat="false" ht="15.75" hidden="false" customHeight="true" outlineLevel="0" collapsed="false">
      <c r="A45" s="128" t="str">
        <f aca="false">IF($U45="","",IF(ISNUMBER(INDEX('MiT Strom Pipeline'!$A$1:$A$860,$U45)),INDEX('MiT Strom Pipeline'!$A$1:$A$860,$U45),""))</f>
        <v/>
      </c>
      <c r="B45" s="129" t="str">
        <f aca="false">IF($U45="","",IF(INDEX('MiT Strom Pipeline'!$B$1:$B$860,$U45)="","",INDEX('MiT Strom Pipeline'!$B$1:$B$860,$U45)))</f>
        <v/>
      </c>
      <c r="C45" s="130" t="str">
        <f aca="false">IF($U45="","",IF(INDEX('MiT Strom Pipeline'!$C$1:$C$860,$U45)="","",INDEX('MiT Strom Pipeline'!$C$1:$C$860,$U45)))</f>
        <v/>
      </c>
      <c r="D45" s="129" t="str">
        <f aca="false">IF($U45="","",IF(INDEX('MiT Strom Pipeline'!$D$1:$D$860,$U45)="","",INDEX('MiT Strom Pipeline'!$D$1:$D$860,$U45)))</f>
        <v/>
      </c>
      <c r="E45" s="131" t="str">
        <f aca="false">IF($U45="","",IF(ISNUMBER(INDEX('MiT Strom Pipeline'!$O$1:$O$860,$U45)),INDEX('MiT Strom Pipeline'!$O$1:$O$860,$U45),IF(INDEX('MiT Strom Pipeline'!$H$1:$H$860,$U45)="","",INDEX('MiT Strom Pipeline'!$H$1:$H$860,$U45))))</f>
        <v/>
      </c>
      <c r="F45" s="131" t="str">
        <f aca="false">IF($U45="","",IF(ISNUMBER(INDEX('MiT Strom Pipeline'!$P$1:$P$860,$U45)),INDEX('MiT Strom Pipeline'!$P$1:$P$860,$U45),""))</f>
        <v/>
      </c>
      <c r="G45" s="132" t="str">
        <f aca="false">IF($U45="","",IF(ISNUMBER(INDEX('MiT Strom Pipeline'!$I$1:$I$860,$U45)),INDEX('MiT Strom Pipeline'!$I$1:$I$860,$U45),0))</f>
        <v/>
      </c>
      <c r="H45" s="132" t="str">
        <f aca="false">IF($U45="","",IF(ISNUMBER(INDEX('MiT Strom Pipeline'!$Q$1:$Q$860,$U45)),INDEX('MiT Strom Pipeline'!$Q$1:$Q$860,$U45),0))</f>
        <v/>
      </c>
      <c r="I45" s="129" t="str">
        <f aca="false">IF($U45="","",IF(INDEX('MiT Strom Pipeline'!$E$1:$E$860,$U45)="","",INDEX('MiT Strom Pipeline'!$E$1:$E$860,$U45)))</f>
        <v/>
      </c>
      <c r="J45" s="130" t="str">
        <f aca="false">IF($U45="","",INDEX('MiT Strom Pipeline'!$R$1:$R$860,$U45))</f>
        <v/>
      </c>
      <c r="K45" s="133" t="str">
        <f aca="false">IF($U45="","",IF(ISNUMBER(INDEX('MiT Strom Pipeline'!$S$1:$S$860,$U45)),INDEX('MiT Strom Pipeline'!$S$1:$S$860,$U45),""))</f>
        <v/>
      </c>
      <c r="L45" s="129" t="str">
        <f aca="false">IF($U45="","",IF(LEN(INDEX('MiT Strom Pipeline'!$V$1:$V$860,$U45))&gt;0,LEFT(INDEX('MiT Strom Pipeline'!$V$1:$V$860,$U45),55),""))</f>
        <v/>
      </c>
      <c r="M45" s="129" t="str">
        <f aca="false">IF($U45="","",IF(INDEX('MiT Strom Pipeline'!$AF$1:$AF$860,$U45)="","",INDEX('MiT Strom Pipeline'!$AF$1:$AF$860,$U45)))</f>
        <v/>
      </c>
      <c r="N45" s="129" t="str">
        <f aca="false">IF($U45="","",IF(INDEX('MiT Strom Pipeline'!$BB$1:$BB$860,$U45)="","",INDEX('MiT Strom Pipeline'!$BB$1:$BB$860,$U45)))</f>
        <v/>
      </c>
      <c r="O45" s="112"/>
      <c r="P45" s="112"/>
      <c r="Q45" s="112"/>
      <c r="R45" s="112"/>
      <c r="S45" s="112"/>
      <c r="U45" s="1" t="str">
        <f aca="false">IFERROR(MATCH(35,'MiT Strom Pipeline'!$AM$6:$AM$860,0)+5,"")</f>
        <v/>
      </c>
    </row>
    <row r="46" customFormat="false" ht="15.75" hidden="false" customHeight="true" outlineLevel="0" collapsed="false">
      <c r="A46" s="128" t="str">
        <f aca="false">IF($U46="","",IF(ISNUMBER(INDEX('MiT Strom Pipeline'!$A$1:$A$860,$U46)),INDEX('MiT Strom Pipeline'!$A$1:$A$860,$U46),""))</f>
        <v/>
      </c>
      <c r="B46" s="129" t="str">
        <f aca="false">IF($U46="","",IF(INDEX('MiT Strom Pipeline'!$B$1:$B$860,$U46)="","",INDEX('MiT Strom Pipeline'!$B$1:$B$860,$U46)))</f>
        <v/>
      </c>
      <c r="C46" s="130" t="str">
        <f aca="false">IF($U46="","",IF(INDEX('MiT Strom Pipeline'!$C$1:$C$860,$U46)="","",INDEX('MiT Strom Pipeline'!$C$1:$C$860,$U46)))</f>
        <v/>
      </c>
      <c r="D46" s="129" t="str">
        <f aca="false">IF($U46="","",IF(INDEX('MiT Strom Pipeline'!$D$1:$D$860,$U46)="","",INDEX('MiT Strom Pipeline'!$D$1:$D$860,$U46)))</f>
        <v/>
      </c>
      <c r="E46" s="131" t="str">
        <f aca="false">IF($U46="","",IF(ISNUMBER(INDEX('MiT Strom Pipeline'!$O$1:$O$860,$U46)),INDEX('MiT Strom Pipeline'!$O$1:$O$860,$U46),IF(INDEX('MiT Strom Pipeline'!$H$1:$H$860,$U46)="","",INDEX('MiT Strom Pipeline'!$H$1:$H$860,$U46))))</f>
        <v/>
      </c>
      <c r="F46" s="131" t="str">
        <f aca="false">IF($U46="","",IF(ISNUMBER(INDEX('MiT Strom Pipeline'!$P$1:$P$860,$U46)),INDEX('MiT Strom Pipeline'!$P$1:$P$860,$U46),""))</f>
        <v/>
      </c>
      <c r="G46" s="132" t="str">
        <f aca="false">IF($U46="","",IF(ISNUMBER(INDEX('MiT Strom Pipeline'!$I$1:$I$860,$U46)),INDEX('MiT Strom Pipeline'!$I$1:$I$860,$U46),0))</f>
        <v/>
      </c>
      <c r="H46" s="132" t="str">
        <f aca="false">IF($U46="","",IF(ISNUMBER(INDEX('MiT Strom Pipeline'!$Q$1:$Q$860,$U46)),INDEX('MiT Strom Pipeline'!$Q$1:$Q$860,$U46),0))</f>
        <v/>
      </c>
      <c r="I46" s="129" t="str">
        <f aca="false">IF($U46="","",IF(INDEX('MiT Strom Pipeline'!$E$1:$E$860,$U46)="","",INDEX('MiT Strom Pipeline'!$E$1:$E$860,$U46)))</f>
        <v/>
      </c>
      <c r="J46" s="130" t="str">
        <f aca="false">IF($U46="","",INDEX('MiT Strom Pipeline'!$R$1:$R$860,$U46))</f>
        <v/>
      </c>
      <c r="K46" s="133" t="str">
        <f aca="false">IF($U46="","",IF(ISNUMBER(INDEX('MiT Strom Pipeline'!$S$1:$S$860,$U46)),INDEX('MiT Strom Pipeline'!$S$1:$S$860,$U46),""))</f>
        <v/>
      </c>
      <c r="L46" s="129" t="str">
        <f aca="false">IF($U46="","",IF(LEN(INDEX('MiT Strom Pipeline'!$V$1:$V$860,$U46))&gt;0,LEFT(INDEX('MiT Strom Pipeline'!$V$1:$V$860,$U46),55),""))</f>
        <v/>
      </c>
      <c r="M46" s="129" t="str">
        <f aca="false">IF($U46="","",IF(INDEX('MiT Strom Pipeline'!$AF$1:$AF$860,$U46)="","",INDEX('MiT Strom Pipeline'!$AF$1:$AF$860,$U46)))</f>
        <v/>
      </c>
      <c r="N46" s="129" t="str">
        <f aca="false">IF($U46="","",IF(INDEX('MiT Strom Pipeline'!$BB$1:$BB$860,$U46)="","",INDEX('MiT Strom Pipeline'!$BB$1:$BB$860,$U46)))</f>
        <v/>
      </c>
      <c r="O46" s="112"/>
      <c r="P46" s="112"/>
      <c r="Q46" s="112"/>
      <c r="R46" s="112"/>
      <c r="S46" s="112"/>
      <c r="U46" s="1" t="str">
        <f aca="false">IFERROR(MATCH(36,'MiT Strom Pipeline'!$AM$6:$AM$860,0)+5,"")</f>
        <v/>
      </c>
    </row>
    <row r="47" customFormat="false" ht="15.75" hidden="false" customHeight="true" outlineLevel="0" collapsed="false">
      <c r="A47" s="128" t="str">
        <f aca="false">IF($U47="","",IF(ISNUMBER(INDEX('MiT Strom Pipeline'!$A$1:$A$860,$U47)),INDEX('MiT Strom Pipeline'!$A$1:$A$860,$U47),""))</f>
        <v/>
      </c>
      <c r="B47" s="129" t="str">
        <f aca="false">IF($U47="","",IF(INDEX('MiT Strom Pipeline'!$B$1:$B$860,$U47)="","",INDEX('MiT Strom Pipeline'!$B$1:$B$860,$U47)))</f>
        <v/>
      </c>
      <c r="C47" s="130" t="str">
        <f aca="false">IF($U47="","",IF(INDEX('MiT Strom Pipeline'!$C$1:$C$860,$U47)="","",INDEX('MiT Strom Pipeline'!$C$1:$C$860,$U47)))</f>
        <v/>
      </c>
      <c r="D47" s="129" t="str">
        <f aca="false">IF($U47="","",IF(INDEX('MiT Strom Pipeline'!$D$1:$D$860,$U47)="","",INDEX('MiT Strom Pipeline'!$D$1:$D$860,$U47)))</f>
        <v/>
      </c>
      <c r="E47" s="131" t="str">
        <f aca="false">IF($U47="","",IF(ISNUMBER(INDEX('MiT Strom Pipeline'!$O$1:$O$860,$U47)),INDEX('MiT Strom Pipeline'!$O$1:$O$860,$U47),IF(INDEX('MiT Strom Pipeline'!$H$1:$H$860,$U47)="","",INDEX('MiT Strom Pipeline'!$H$1:$H$860,$U47))))</f>
        <v/>
      </c>
      <c r="F47" s="131" t="str">
        <f aca="false">IF($U47="","",IF(ISNUMBER(INDEX('MiT Strom Pipeline'!$P$1:$P$860,$U47)),INDEX('MiT Strom Pipeline'!$P$1:$P$860,$U47),""))</f>
        <v/>
      </c>
      <c r="G47" s="132" t="str">
        <f aca="false">IF($U47="","",IF(ISNUMBER(INDEX('MiT Strom Pipeline'!$I$1:$I$860,$U47)),INDEX('MiT Strom Pipeline'!$I$1:$I$860,$U47),0))</f>
        <v/>
      </c>
      <c r="H47" s="132" t="str">
        <f aca="false">IF($U47="","",IF(ISNUMBER(INDEX('MiT Strom Pipeline'!$Q$1:$Q$860,$U47)),INDEX('MiT Strom Pipeline'!$Q$1:$Q$860,$U47),0))</f>
        <v/>
      </c>
      <c r="I47" s="129" t="str">
        <f aca="false">IF($U47="","",IF(INDEX('MiT Strom Pipeline'!$E$1:$E$860,$U47)="","",INDEX('MiT Strom Pipeline'!$E$1:$E$860,$U47)))</f>
        <v/>
      </c>
      <c r="J47" s="130" t="str">
        <f aca="false">IF($U47="","",INDEX('MiT Strom Pipeline'!$R$1:$R$860,$U47))</f>
        <v/>
      </c>
      <c r="K47" s="133" t="str">
        <f aca="false">IF($U47="","",IF(ISNUMBER(INDEX('MiT Strom Pipeline'!$S$1:$S$860,$U47)),INDEX('MiT Strom Pipeline'!$S$1:$S$860,$U47),""))</f>
        <v/>
      </c>
      <c r="L47" s="129" t="str">
        <f aca="false">IF($U47="","",IF(LEN(INDEX('MiT Strom Pipeline'!$V$1:$V$860,$U47))&gt;0,LEFT(INDEX('MiT Strom Pipeline'!$V$1:$V$860,$U47),55),""))</f>
        <v/>
      </c>
      <c r="M47" s="129" t="str">
        <f aca="false">IF($U47="","",IF(INDEX('MiT Strom Pipeline'!$AF$1:$AF$860,$U47)="","",INDEX('MiT Strom Pipeline'!$AF$1:$AF$860,$U47)))</f>
        <v/>
      </c>
      <c r="N47" s="129" t="str">
        <f aca="false">IF($U47="","",IF(INDEX('MiT Strom Pipeline'!$BB$1:$BB$860,$U47)="","",INDEX('MiT Strom Pipeline'!$BB$1:$BB$860,$U47)))</f>
        <v/>
      </c>
      <c r="O47" s="112"/>
      <c r="P47" s="112"/>
      <c r="Q47" s="112"/>
      <c r="R47" s="112"/>
      <c r="S47" s="112"/>
      <c r="U47" s="1" t="str">
        <f aca="false">IFERROR(MATCH(37,'MiT Strom Pipeline'!$AM$6:$AM$860,0)+5,"")</f>
        <v/>
      </c>
    </row>
    <row r="48" customFormat="false" ht="15.75" hidden="false" customHeight="true" outlineLevel="0" collapsed="false">
      <c r="A48" s="128" t="str">
        <f aca="false">IF($U48="","",IF(ISNUMBER(INDEX('MiT Strom Pipeline'!$A$1:$A$860,$U48)),INDEX('MiT Strom Pipeline'!$A$1:$A$860,$U48),""))</f>
        <v/>
      </c>
      <c r="B48" s="129" t="str">
        <f aca="false">IF($U48="","",IF(INDEX('MiT Strom Pipeline'!$B$1:$B$860,$U48)="","",INDEX('MiT Strom Pipeline'!$B$1:$B$860,$U48)))</f>
        <v/>
      </c>
      <c r="C48" s="130" t="str">
        <f aca="false">IF($U48="","",IF(INDEX('MiT Strom Pipeline'!$C$1:$C$860,$U48)="","",INDEX('MiT Strom Pipeline'!$C$1:$C$860,$U48)))</f>
        <v/>
      </c>
      <c r="D48" s="129" t="str">
        <f aca="false">IF($U48="","",IF(INDEX('MiT Strom Pipeline'!$D$1:$D$860,$U48)="","",INDEX('MiT Strom Pipeline'!$D$1:$D$860,$U48)))</f>
        <v/>
      </c>
      <c r="E48" s="131" t="str">
        <f aca="false">IF($U48="","",IF(ISNUMBER(INDEX('MiT Strom Pipeline'!$O$1:$O$860,$U48)),INDEX('MiT Strom Pipeline'!$O$1:$O$860,$U48),IF(INDEX('MiT Strom Pipeline'!$H$1:$H$860,$U48)="","",INDEX('MiT Strom Pipeline'!$H$1:$H$860,$U48))))</f>
        <v/>
      </c>
      <c r="F48" s="131" t="str">
        <f aca="false">IF($U48="","",IF(ISNUMBER(INDEX('MiT Strom Pipeline'!$P$1:$P$860,$U48)),INDEX('MiT Strom Pipeline'!$P$1:$P$860,$U48),""))</f>
        <v/>
      </c>
      <c r="G48" s="132" t="str">
        <f aca="false">IF($U48="","",IF(ISNUMBER(INDEX('MiT Strom Pipeline'!$I$1:$I$860,$U48)),INDEX('MiT Strom Pipeline'!$I$1:$I$860,$U48),0))</f>
        <v/>
      </c>
      <c r="H48" s="132" t="str">
        <f aca="false">IF($U48="","",IF(ISNUMBER(INDEX('MiT Strom Pipeline'!$Q$1:$Q$860,$U48)),INDEX('MiT Strom Pipeline'!$Q$1:$Q$860,$U48),0))</f>
        <v/>
      </c>
      <c r="I48" s="129" t="str">
        <f aca="false">IF($U48="","",IF(INDEX('MiT Strom Pipeline'!$E$1:$E$860,$U48)="","",INDEX('MiT Strom Pipeline'!$E$1:$E$860,$U48)))</f>
        <v/>
      </c>
      <c r="J48" s="130" t="str">
        <f aca="false">IF($U48="","",INDEX('MiT Strom Pipeline'!$R$1:$R$860,$U48))</f>
        <v/>
      </c>
      <c r="K48" s="133" t="str">
        <f aca="false">IF($U48="","",IF(ISNUMBER(INDEX('MiT Strom Pipeline'!$S$1:$S$860,$U48)),INDEX('MiT Strom Pipeline'!$S$1:$S$860,$U48),""))</f>
        <v/>
      </c>
      <c r="L48" s="129" t="str">
        <f aca="false">IF($U48="","",IF(LEN(INDEX('MiT Strom Pipeline'!$V$1:$V$860,$U48))&gt;0,LEFT(INDEX('MiT Strom Pipeline'!$V$1:$V$860,$U48),55),""))</f>
        <v/>
      </c>
      <c r="M48" s="129" t="str">
        <f aca="false">IF($U48="","",IF(INDEX('MiT Strom Pipeline'!$AF$1:$AF$860,$U48)="","",INDEX('MiT Strom Pipeline'!$AF$1:$AF$860,$U48)))</f>
        <v/>
      </c>
      <c r="N48" s="129" t="str">
        <f aca="false">IF($U48="","",IF(INDEX('MiT Strom Pipeline'!$BB$1:$BB$860,$U48)="","",INDEX('MiT Strom Pipeline'!$BB$1:$BB$860,$U48)))</f>
        <v/>
      </c>
      <c r="O48" s="112"/>
      <c r="P48" s="112"/>
      <c r="Q48" s="112"/>
      <c r="R48" s="112"/>
      <c r="S48" s="112"/>
      <c r="U48" s="1" t="str">
        <f aca="false">IFERROR(MATCH(38,'MiT Strom Pipeline'!$AM$6:$AM$860,0)+5,"")</f>
        <v/>
      </c>
    </row>
    <row r="49" customFormat="false" ht="15.75" hidden="false" customHeight="true" outlineLevel="0" collapsed="false">
      <c r="A49" s="128" t="str">
        <f aca="false">IF($U49="","",IF(ISNUMBER(INDEX('MiT Strom Pipeline'!$A$1:$A$860,$U49)),INDEX('MiT Strom Pipeline'!$A$1:$A$860,$U49),""))</f>
        <v/>
      </c>
      <c r="B49" s="129" t="str">
        <f aca="false">IF($U49="","",IF(INDEX('MiT Strom Pipeline'!$B$1:$B$860,$U49)="","",INDEX('MiT Strom Pipeline'!$B$1:$B$860,$U49)))</f>
        <v/>
      </c>
      <c r="C49" s="130" t="str">
        <f aca="false">IF($U49="","",IF(INDEX('MiT Strom Pipeline'!$C$1:$C$860,$U49)="","",INDEX('MiT Strom Pipeline'!$C$1:$C$860,$U49)))</f>
        <v/>
      </c>
      <c r="D49" s="129" t="str">
        <f aca="false">IF($U49="","",IF(INDEX('MiT Strom Pipeline'!$D$1:$D$860,$U49)="","",INDEX('MiT Strom Pipeline'!$D$1:$D$860,$U49)))</f>
        <v/>
      </c>
      <c r="E49" s="131" t="str">
        <f aca="false">IF($U49="","",IF(ISNUMBER(INDEX('MiT Strom Pipeline'!$O$1:$O$860,$U49)),INDEX('MiT Strom Pipeline'!$O$1:$O$860,$U49),IF(INDEX('MiT Strom Pipeline'!$H$1:$H$860,$U49)="","",INDEX('MiT Strom Pipeline'!$H$1:$H$860,$U49))))</f>
        <v/>
      </c>
      <c r="F49" s="131" t="str">
        <f aca="false">IF($U49="","",IF(ISNUMBER(INDEX('MiT Strom Pipeline'!$P$1:$P$860,$U49)),INDEX('MiT Strom Pipeline'!$P$1:$P$860,$U49),""))</f>
        <v/>
      </c>
      <c r="G49" s="132" t="str">
        <f aca="false">IF($U49="","",IF(ISNUMBER(INDEX('MiT Strom Pipeline'!$I$1:$I$860,$U49)),INDEX('MiT Strom Pipeline'!$I$1:$I$860,$U49),0))</f>
        <v/>
      </c>
      <c r="H49" s="132" t="str">
        <f aca="false">IF($U49="","",IF(ISNUMBER(INDEX('MiT Strom Pipeline'!$Q$1:$Q$860,$U49)),INDEX('MiT Strom Pipeline'!$Q$1:$Q$860,$U49),0))</f>
        <v/>
      </c>
      <c r="I49" s="129" t="str">
        <f aca="false">IF($U49="","",IF(INDEX('MiT Strom Pipeline'!$E$1:$E$860,$U49)="","",INDEX('MiT Strom Pipeline'!$E$1:$E$860,$U49)))</f>
        <v/>
      </c>
      <c r="J49" s="130" t="str">
        <f aca="false">IF($U49="","",INDEX('MiT Strom Pipeline'!$R$1:$R$860,$U49))</f>
        <v/>
      </c>
      <c r="K49" s="133" t="str">
        <f aca="false">IF($U49="","",IF(ISNUMBER(INDEX('MiT Strom Pipeline'!$S$1:$S$860,$U49)),INDEX('MiT Strom Pipeline'!$S$1:$S$860,$U49),""))</f>
        <v/>
      </c>
      <c r="L49" s="129" t="str">
        <f aca="false">IF($U49="","",IF(LEN(INDEX('MiT Strom Pipeline'!$V$1:$V$860,$U49))&gt;0,LEFT(INDEX('MiT Strom Pipeline'!$V$1:$V$860,$U49),55),""))</f>
        <v/>
      </c>
      <c r="M49" s="129" t="str">
        <f aca="false">IF($U49="","",IF(INDEX('MiT Strom Pipeline'!$AF$1:$AF$860,$U49)="","",INDEX('MiT Strom Pipeline'!$AF$1:$AF$860,$U49)))</f>
        <v/>
      </c>
      <c r="N49" s="129" t="str">
        <f aca="false">IF($U49="","",IF(INDEX('MiT Strom Pipeline'!$BB$1:$BB$860,$U49)="","",INDEX('MiT Strom Pipeline'!$BB$1:$BB$860,$U49)))</f>
        <v/>
      </c>
      <c r="O49" s="112"/>
      <c r="P49" s="112"/>
      <c r="Q49" s="112"/>
      <c r="R49" s="112"/>
      <c r="S49" s="112"/>
      <c r="U49" s="1" t="str">
        <f aca="false">IFERROR(MATCH(39,'MiT Strom Pipeline'!$AM$6:$AM$860,0)+5,"")</f>
        <v/>
      </c>
    </row>
    <row r="50" customFormat="false" ht="15.75" hidden="false" customHeight="true" outlineLevel="0" collapsed="false">
      <c r="A50" s="128" t="str">
        <f aca="false">IF($U50="","",IF(ISNUMBER(INDEX('MiT Strom Pipeline'!$A$1:$A$860,$U50)),INDEX('MiT Strom Pipeline'!$A$1:$A$860,$U50),""))</f>
        <v/>
      </c>
      <c r="B50" s="129" t="str">
        <f aca="false">IF($U50="","",IF(INDEX('MiT Strom Pipeline'!$B$1:$B$860,$U50)="","",INDEX('MiT Strom Pipeline'!$B$1:$B$860,$U50)))</f>
        <v/>
      </c>
      <c r="C50" s="130" t="str">
        <f aca="false">IF($U50="","",IF(INDEX('MiT Strom Pipeline'!$C$1:$C$860,$U50)="","",INDEX('MiT Strom Pipeline'!$C$1:$C$860,$U50)))</f>
        <v/>
      </c>
      <c r="D50" s="129" t="str">
        <f aca="false">IF($U50="","",IF(INDEX('MiT Strom Pipeline'!$D$1:$D$860,$U50)="","",INDEX('MiT Strom Pipeline'!$D$1:$D$860,$U50)))</f>
        <v/>
      </c>
      <c r="E50" s="131" t="str">
        <f aca="false">IF($U50="","",IF(ISNUMBER(INDEX('MiT Strom Pipeline'!$O$1:$O$860,$U50)),INDEX('MiT Strom Pipeline'!$O$1:$O$860,$U50),IF(INDEX('MiT Strom Pipeline'!$H$1:$H$860,$U50)="","",INDEX('MiT Strom Pipeline'!$H$1:$H$860,$U50))))</f>
        <v/>
      </c>
      <c r="F50" s="131" t="str">
        <f aca="false">IF($U50="","",IF(ISNUMBER(INDEX('MiT Strom Pipeline'!$P$1:$P$860,$U50)),INDEX('MiT Strom Pipeline'!$P$1:$P$860,$U50),""))</f>
        <v/>
      </c>
      <c r="G50" s="132" t="str">
        <f aca="false">IF($U50="","",IF(ISNUMBER(INDEX('MiT Strom Pipeline'!$I$1:$I$860,$U50)),INDEX('MiT Strom Pipeline'!$I$1:$I$860,$U50),0))</f>
        <v/>
      </c>
      <c r="H50" s="132" t="str">
        <f aca="false">IF($U50="","",IF(ISNUMBER(INDEX('MiT Strom Pipeline'!$Q$1:$Q$860,$U50)),INDEX('MiT Strom Pipeline'!$Q$1:$Q$860,$U50),0))</f>
        <v/>
      </c>
      <c r="I50" s="129" t="str">
        <f aca="false">IF($U50="","",IF(INDEX('MiT Strom Pipeline'!$E$1:$E$860,$U50)="","",INDEX('MiT Strom Pipeline'!$E$1:$E$860,$U50)))</f>
        <v/>
      </c>
      <c r="J50" s="130" t="str">
        <f aca="false">IF($U50="","",INDEX('MiT Strom Pipeline'!$R$1:$R$860,$U50))</f>
        <v/>
      </c>
      <c r="K50" s="133" t="str">
        <f aca="false">IF($U50="","",IF(ISNUMBER(INDEX('MiT Strom Pipeline'!$S$1:$S$860,$U50)),INDEX('MiT Strom Pipeline'!$S$1:$S$860,$U50),""))</f>
        <v/>
      </c>
      <c r="L50" s="129" t="str">
        <f aca="false">IF($U50="","",IF(LEN(INDEX('MiT Strom Pipeline'!$V$1:$V$860,$U50))&gt;0,LEFT(INDEX('MiT Strom Pipeline'!$V$1:$V$860,$U50),55),""))</f>
        <v/>
      </c>
      <c r="M50" s="129" t="str">
        <f aca="false">IF($U50="","",IF(INDEX('MiT Strom Pipeline'!$AF$1:$AF$860,$U50)="","",INDEX('MiT Strom Pipeline'!$AF$1:$AF$860,$U50)))</f>
        <v/>
      </c>
      <c r="N50" s="129" t="str">
        <f aca="false">IF($U50="","",IF(INDEX('MiT Strom Pipeline'!$BB$1:$BB$860,$U50)="","",INDEX('MiT Strom Pipeline'!$BB$1:$BB$860,$U50)))</f>
        <v/>
      </c>
      <c r="O50" s="112"/>
      <c r="P50" s="112"/>
      <c r="Q50" s="112"/>
      <c r="R50" s="112"/>
      <c r="S50" s="112"/>
      <c r="U50" s="1" t="str">
        <f aca="false">IFERROR(MATCH(40,'MiT Strom Pipeline'!$AM$6:$AM$860,0)+5,"")</f>
        <v/>
      </c>
    </row>
    <row r="51" customFormat="false" ht="15.75" hidden="false" customHeight="true" outlineLevel="0" collapsed="false">
      <c r="A51" s="128" t="str">
        <f aca="false">IF($U51="","",IF(ISNUMBER(INDEX('MiT Strom Pipeline'!$A$1:$A$860,$U51)),INDEX('MiT Strom Pipeline'!$A$1:$A$860,$U51),""))</f>
        <v/>
      </c>
      <c r="B51" s="129" t="str">
        <f aca="false">IF($U51="","",IF(INDEX('MiT Strom Pipeline'!$B$1:$B$860,$U51)="","",INDEX('MiT Strom Pipeline'!$B$1:$B$860,$U51)))</f>
        <v/>
      </c>
      <c r="C51" s="130" t="str">
        <f aca="false">IF($U51="","",IF(INDEX('MiT Strom Pipeline'!$C$1:$C$860,$U51)="","",INDEX('MiT Strom Pipeline'!$C$1:$C$860,$U51)))</f>
        <v/>
      </c>
      <c r="D51" s="129" t="str">
        <f aca="false">IF($U51="","",IF(INDEX('MiT Strom Pipeline'!$D$1:$D$860,$U51)="","",INDEX('MiT Strom Pipeline'!$D$1:$D$860,$U51)))</f>
        <v/>
      </c>
      <c r="E51" s="131" t="str">
        <f aca="false">IF($U51="","",IF(ISNUMBER(INDEX('MiT Strom Pipeline'!$O$1:$O$860,$U51)),INDEX('MiT Strom Pipeline'!$O$1:$O$860,$U51),IF(INDEX('MiT Strom Pipeline'!$H$1:$H$860,$U51)="","",INDEX('MiT Strom Pipeline'!$H$1:$H$860,$U51))))</f>
        <v/>
      </c>
      <c r="F51" s="131" t="str">
        <f aca="false">IF($U51="","",IF(ISNUMBER(INDEX('MiT Strom Pipeline'!$P$1:$P$860,$U51)),INDEX('MiT Strom Pipeline'!$P$1:$P$860,$U51),""))</f>
        <v/>
      </c>
      <c r="G51" s="132" t="str">
        <f aca="false">IF($U51="","",IF(ISNUMBER(INDEX('MiT Strom Pipeline'!$I$1:$I$860,$U51)),INDEX('MiT Strom Pipeline'!$I$1:$I$860,$U51),0))</f>
        <v/>
      </c>
      <c r="H51" s="132" t="str">
        <f aca="false">IF($U51="","",IF(ISNUMBER(INDEX('MiT Strom Pipeline'!$Q$1:$Q$860,$U51)),INDEX('MiT Strom Pipeline'!$Q$1:$Q$860,$U51),0))</f>
        <v/>
      </c>
      <c r="I51" s="129" t="str">
        <f aca="false">IF($U51="","",IF(INDEX('MiT Strom Pipeline'!$E$1:$E$860,$U51)="","",INDEX('MiT Strom Pipeline'!$E$1:$E$860,$U51)))</f>
        <v/>
      </c>
      <c r="J51" s="130" t="str">
        <f aca="false">IF($U51="","",INDEX('MiT Strom Pipeline'!$R$1:$R$860,$U51))</f>
        <v/>
      </c>
      <c r="K51" s="133" t="str">
        <f aca="false">IF($U51="","",IF(ISNUMBER(INDEX('MiT Strom Pipeline'!$S$1:$S$860,$U51)),INDEX('MiT Strom Pipeline'!$S$1:$S$860,$U51),""))</f>
        <v/>
      </c>
      <c r="L51" s="129" t="str">
        <f aca="false">IF($U51="","",IF(LEN(INDEX('MiT Strom Pipeline'!$V$1:$V$860,$U51))&gt;0,LEFT(INDEX('MiT Strom Pipeline'!$V$1:$V$860,$U51),55),""))</f>
        <v/>
      </c>
      <c r="M51" s="129" t="str">
        <f aca="false">IF($U51="","",IF(INDEX('MiT Strom Pipeline'!$AF$1:$AF$860,$U51)="","",INDEX('MiT Strom Pipeline'!$AF$1:$AF$860,$U51)))</f>
        <v/>
      </c>
      <c r="N51" s="129" t="str">
        <f aca="false">IF($U51="","",IF(INDEX('MiT Strom Pipeline'!$BB$1:$BB$860,$U51)="","",INDEX('MiT Strom Pipeline'!$BB$1:$BB$860,$U51)))</f>
        <v/>
      </c>
      <c r="O51" s="112"/>
      <c r="P51" s="112"/>
      <c r="Q51" s="112"/>
      <c r="R51" s="112"/>
      <c r="S51" s="112"/>
      <c r="U51" s="1" t="str">
        <f aca="false">IFERROR(MATCH(41,'MiT Strom Pipeline'!$AM$6:$AM$860,0)+5,"")</f>
        <v/>
      </c>
    </row>
    <row r="52" customFormat="false" ht="15.75" hidden="false" customHeight="true" outlineLevel="0" collapsed="false">
      <c r="A52" s="128" t="str">
        <f aca="false">IF($U52="","",IF(ISNUMBER(INDEX('MiT Strom Pipeline'!$A$1:$A$860,$U52)),INDEX('MiT Strom Pipeline'!$A$1:$A$860,$U52),""))</f>
        <v/>
      </c>
      <c r="B52" s="129" t="str">
        <f aca="false">IF($U52="","",IF(INDEX('MiT Strom Pipeline'!$B$1:$B$860,$U52)="","",INDEX('MiT Strom Pipeline'!$B$1:$B$860,$U52)))</f>
        <v/>
      </c>
      <c r="C52" s="130" t="str">
        <f aca="false">IF($U52="","",IF(INDEX('MiT Strom Pipeline'!$C$1:$C$860,$U52)="","",INDEX('MiT Strom Pipeline'!$C$1:$C$860,$U52)))</f>
        <v/>
      </c>
      <c r="D52" s="129" t="str">
        <f aca="false">IF($U52="","",IF(INDEX('MiT Strom Pipeline'!$D$1:$D$860,$U52)="","",INDEX('MiT Strom Pipeline'!$D$1:$D$860,$U52)))</f>
        <v/>
      </c>
      <c r="E52" s="131" t="str">
        <f aca="false">IF($U52="","",IF(ISNUMBER(INDEX('MiT Strom Pipeline'!$O$1:$O$860,$U52)),INDEX('MiT Strom Pipeline'!$O$1:$O$860,$U52),IF(INDEX('MiT Strom Pipeline'!$H$1:$H$860,$U52)="","",INDEX('MiT Strom Pipeline'!$H$1:$H$860,$U52))))</f>
        <v/>
      </c>
      <c r="F52" s="131" t="str">
        <f aca="false">IF($U52="","",IF(ISNUMBER(INDEX('MiT Strom Pipeline'!$P$1:$P$860,$U52)),INDEX('MiT Strom Pipeline'!$P$1:$P$860,$U52),""))</f>
        <v/>
      </c>
      <c r="G52" s="132" t="str">
        <f aca="false">IF($U52="","",IF(ISNUMBER(INDEX('MiT Strom Pipeline'!$I$1:$I$860,$U52)),INDEX('MiT Strom Pipeline'!$I$1:$I$860,$U52),0))</f>
        <v/>
      </c>
      <c r="H52" s="132" t="str">
        <f aca="false">IF($U52="","",IF(ISNUMBER(INDEX('MiT Strom Pipeline'!$Q$1:$Q$860,$U52)),INDEX('MiT Strom Pipeline'!$Q$1:$Q$860,$U52),0))</f>
        <v/>
      </c>
      <c r="I52" s="129" t="str">
        <f aca="false">IF($U52="","",IF(INDEX('MiT Strom Pipeline'!$E$1:$E$860,$U52)="","",INDEX('MiT Strom Pipeline'!$E$1:$E$860,$U52)))</f>
        <v/>
      </c>
      <c r="J52" s="130" t="str">
        <f aca="false">IF($U52="","",INDEX('MiT Strom Pipeline'!$R$1:$R$860,$U52))</f>
        <v/>
      </c>
      <c r="K52" s="133" t="str">
        <f aca="false">IF($U52="","",IF(ISNUMBER(INDEX('MiT Strom Pipeline'!$S$1:$S$860,$U52)),INDEX('MiT Strom Pipeline'!$S$1:$S$860,$U52),""))</f>
        <v/>
      </c>
      <c r="L52" s="129" t="str">
        <f aca="false">IF($U52="","",IF(LEN(INDEX('MiT Strom Pipeline'!$V$1:$V$860,$U52))&gt;0,LEFT(INDEX('MiT Strom Pipeline'!$V$1:$V$860,$U52),55),""))</f>
        <v/>
      </c>
      <c r="M52" s="129" t="str">
        <f aca="false">IF($U52="","",IF(INDEX('MiT Strom Pipeline'!$AF$1:$AF$860,$U52)="","",INDEX('MiT Strom Pipeline'!$AF$1:$AF$860,$U52)))</f>
        <v/>
      </c>
      <c r="N52" s="129" t="str">
        <f aca="false">IF($U52="","",IF(INDEX('MiT Strom Pipeline'!$BB$1:$BB$860,$U52)="","",INDEX('MiT Strom Pipeline'!$BB$1:$BB$860,$U52)))</f>
        <v/>
      </c>
      <c r="O52" s="112"/>
      <c r="P52" s="112"/>
      <c r="Q52" s="112"/>
      <c r="R52" s="112"/>
      <c r="S52" s="112"/>
      <c r="U52" s="1" t="str">
        <f aca="false">IFERROR(MATCH(42,'MiT Strom Pipeline'!$AM$6:$AM$860,0)+5,"")</f>
        <v/>
      </c>
    </row>
    <row r="53" customFormat="false" ht="15.75" hidden="false" customHeight="true" outlineLevel="0" collapsed="false">
      <c r="A53" s="128" t="str">
        <f aca="false">IF($U53="","",IF(ISNUMBER(INDEX('MiT Strom Pipeline'!$A$1:$A$860,$U53)),INDEX('MiT Strom Pipeline'!$A$1:$A$860,$U53),""))</f>
        <v/>
      </c>
      <c r="B53" s="129" t="str">
        <f aca="false">IF($U53="","",IF(INDEX('MiT Strom Pipeline'!$B$1:$B$860,$U53)="","",INDEX('MiT Strom Pipeline'!$B$1:$B$860,$U53)))</f>
        <v/>
      </c>
      <c r="C53" s="130" t="str">
        <f aca="false">IF($U53="","",IF(INDEX('MiT Strom Pipeline'!$C$1:$C$860,$U53)="","",INDEX('MiT Strom Pipeline'!$C$1:$C$860,$U53)))</f>
        <v/>
      </c>
      <c r="D53" s="129" t="str">
        <f aca="false">IF($U53="","",IF(INDEX('MiT Strom Pipeline'!$D$1:$D$860,$U53)="","",INDEX('MiT Strom Pipeline'!$D$1:$D$860,$U53)))</f>
        <v/>
      </c>
      <c r="E53" s="131" t="str">
        <f aca="false">IF($U53="","",IF(ISNUMBER(INDEX('MiT Strom Pipeline'!$O$1:$O$860,$U53)),INDEX('MiT Strom Pipeline'!$O$1:$O$860,$U53),IF(INDEX('MiT Strom Pipeline'!$H$1:$H$860,$U53)="","",INDEX('MiT Strom Pipeline'!$H$1:$H$860,$U53))))</f>
        <v/>
      </c>
      <c r="F53" s="131" t="str">
        <f aca="false">IF($U53="","",IF(ISNUMBER(INDEX('MiT Strom Pipeline'!$P$1:$P$860,$U53)),INDEX('MiT Strom Pipeline'!$P$1:$P$860,$U53),""))</f>
        <v/>
      </c>
      <c r="G53" s="132" t="str">
        <f aca="false">IF($U53="","",IF(ISNUMBER(INDEX('MiT Strom Pipeline'!$I$1:$I$860,$U53)),INDEX('MiT Strom Pipeline'!$I$1:$I$860,$U53),0))</f>
        <v/>
      </c>
      <c r="H53" s="132" t="str">
        <f aca="false">IF($U53="","",IF(ISNUMBER(INDEX('MiT Strom Pipeline'!$Q$1:$Q$860,$U53)),INDEX('MiT Strom Pipeline'!$Q$1:$Q$860,$U53),0))</f>
        <v/>
      </c>
      <c r="I53" s="129" t="str">
        <f aca="false">IF($U53="","",IF(INDEX('MiT Strom Pipeline'!$E$1:$E$860,$U53)="","",INDEX('MiT Strom Pipeline'!$E$1:$E$860,$U53)))</f>
        <v/>
      </c>
      <c r="J53" s="130" t="str">
        <f aca="false">IF($U53="","",INDEX('MiT Strom Pipeline'!$R$1:$R$860,$U53))</f>
        <v/>
      </c>
      <c r="K53" s="133" t="str">
        <f aca="false">IF($U53="","",IF(ISNUMBER(INDEX('MiT Strom Pipeline'!$S$1:$S$860,$U53)),INDEX('MiT Strom Pipeline'!$S$1:$S$860,$U53),""))</f>
        <v/>
      </c>
      <c r="L53" s="129" t="str">
        <f aca="false">IF($U53="","",IF(LEN(INDEX('MiT Strom Pipeline'!$V$1:$V$860,$U53))&gt;0,LEFT(INDEX('MiT Strom Pipeline'!$V$1:$V$860,$U53),55),""))</f>
        <v/>
      </c>
      <c r="M53" s="129" t="str">
        <f aca="false">IF($U53="","",IF(INDEX('MiT Strom Pipeline'!$AF$1:$AF$860,$U53)="","",INDEX('MiT Strom Pipeline'!$AF$1:$AF$860,$U53)))</f>
        <v/>
      </c>
      <c r="N53" s="129" t="str">
        <f aca="false">IF($U53="","",IF(INDEX('MiT Strom Pipeline'!$BB$1:$BB$860,$U53)="","",INDEX('MiT Strom Pipeline'!$BB$1:$BB$860,$U53)))</f>
        <v/>
      </c>
      <c r="O53" s="112"/>
      <c r="P53" s="112"/>
      <c r="Q53" s="112"/>
      <c r="R53" s="112"/>
      <c r="S53" s="112"/>
      <c r="U53" s="1" t="str">
        <f aca="false">IFERROR(MATCH(43,'MiT Strom Pipeline'!$AM$6:$AM$860,0)+5,"")</f>
        <v/>
      </c>
    </row>
    <row r="54" customFormat="false" ht="15.75" hidden="false" customHeight="true" outlineLevel="0" collapsed="false">
      <c r="A54" s="128" t="str">
        <f aca="false">IF($U54="","",IF(ISNUMBER(INDEX('MiT Strom Pipeline'!$A$1:$A$860,$U54)),INDEX('MiT Strom Pipeline'!$A$1:$A$860,$U54),""))</f>
        <v/>
      </c>
      <c r="B54" s="129" t="str">
        <f aca="false">IF($U54="","",IF(INDEX('MiT Strom Pipeline'!$B$1:$B$860,$U54)="","",INDEX('MiT Strom Pipeline'!$B$1:$B$860,$U54)))</f>
        <v/>
      </c>
      <c r="C54" s="130" t="str">
        <f aca="false">IF($U54="","",IF(INDEX('MiT Strom Pipeline'!$C$1:$C$860,$U54)="","",INDEX('MiT Strom Pipeline'!$C$1:$C$860,$U54)))</f>
        <v/>
      </c>
      <c r="D54" s="129" t="str">
        <f aca="false">IF($U54="","",IF(INDEX('MiT Strom Pipeline'!$D$1:$D$860,$U54)="","",INDEX('MiT Strom Pipeline'!$D$1:$D$860,$U54)))</f>
        <v/>
      </c>
      <c r="E54" s="131" t="str">
        <f aca="false">IF($U54="","",IF(ISNUMBER(INDEX('MiT Strom Pipeline'!$O$1:$O$860,$U54)),INDEX('MiT Strom Pipeline'!$O$1:$O$860,$U54),IF(INDEX('MiT Strom Pipeline'!$H$1:$H$860,$U54)="","",INDEX('MiT Strom Pipeline'!$H$1:$H$860,$U54))))</f>
        <v/>
      </c>
      <c r="F54" s="131" t="str">
        <f aca="false">IF($U54="","",IF(ISNUMBER(INDEX('MiT Strom Pipeline'!$P$1:$P$860,$U54)),INDEX('MiT Strom Pipeline'!$P$1:$P$860,$U54),""))</f>
        <v/>
      </c>
      <c r="G54" s="132" t="str">
        <f aca="false">IF($U54="","",IF(ISNUMBER(INDEX('MiT Strom Pipeline'!$I$1:$I$860,$U54)),INDEX('MiT Strom Pipeline'!$I$1:$I$860,$U54),0))</f>
        <v/>
      </c>
      <c r="H54" s="132" t="str">
        <f aca="false">IF($U54="","",IF(ISNUMBER(INDEX('MiT Strom Pipeline'!$Q$1:$Q$860,$U54)),INDEX('MiT Strom Pipeline'!$Q$1:$Q$860,$U54),0))</f>
        <v/>
      </c>
      <c r="I54" s="129" t="str">
        <f aca="false">IF($U54="","",IF(INDEX('MiT Strom Pipeline'!$E$1:$E$860,$U54)="","",INDEX('MiT Strom Pipeline'!$E$1:$E$860,$U54)))</f>
        <v/>
      </c>
      <c r="J54" s="130" t="str">
        <f aca="false">IF($U54="","",INDEX('MiT Strom Pipeline'!$R$1:$R$860,$U54))</f>
        <v/>
      </c>
      <c r="K54" s="133" t="str">
        <f aca="false">IF($U54="","",IF(ISNUMBER(INDEX('MiT Strom Pipeline'!$S$1:$S$860,$U54)),INDEX('MiT Strom Pipeline'!$S$1:$S$860,$U54),""))</f>
        <v/>
      </c>
      <c r="L54" s="129" t="str">
        <f aca="false">IF($U54="","",IF(LEN(INDEX('MiT Strom Pipeline'!$V$1:$V$860,$U54))&gt;0,LEFT(INDEX('MiT Strom Pipeline'!$V$1:$V$860,$U54),55),""))</f>
        <v/>
      </c>
      <c r="M54" s="129" t="str">
        <f aca="false">IF($U54="","",IF(INDEX('MiT Strom Pipeline'!$AF$1:$AF$860,$U54)="","",INDEX('MiT Strom Pipeline'!$AF$1:$AF$860,$U54)))</f>
        <v/>
      </c>
      <c r="N54" s="129" t="str">
        <f aca="false">IF($U54="","",IF(INDEX('MiT Strom Pipeline'!$BB$1:$BB$860,$U54)="","",INDEX('MiT Strom Pipeline'!$BB$1:$BB$860,$U54)))</f>
        <v/>
      </c>
      <c r="O54" s="112"/>
      <c r="P54" s="112"/>
      <c r="Q54" s="112"/>
      <c r="R54" s="112"/>
      <c r="S54" s="112"/>
      <c r="U54" s="1" t="str">
        <f aca="false">IFERROR(MATCH(44,'MiT Strom Pipeline'!$AM$6:$AM$860,0)+5,"")</f>
        <v/>
      </c>
    </row>
    <row r="55" customFormat="false" ht="15.75" hidden="false" customHeight="true" outlineLevel="0" collapsed="false">
      <c r="A55" s="128" t="str">
        <f aca="false">IF($U55="","",IF(ISNUMBER(INDEX('MiT Strom Pipeline'!$A$1:$A$860,$U55)),INDEX('MiT Strom Pipeline'!$A$1:$A$860,$U55),""))</f>
        <v/>
      </c>
      <c r="B55" s="129" t="str">
        <f aca="false">IF($U55="","",IF(INDEX('MiT Strom Pipeline'!$B$1:$B$860,$U55)="","",INDEX('MiT Strom Pipeline'!$B$1:$B$860,$U55)))</f>
        <v/>
      </c>
      <c r="C55" s="130" t="str">
        <f aca="false">IF($U55="","",IF(INDEX('MiT Strom Pipeline'!$C$1:$C$860,$U55)="","",INDEX('MiT Strom Pipeline'!$C$1:$C$860,$U55)))</f>
        <v/>
      </c>
      <c r="D55" s="129" t="str">
        <f aca="false">IF($U55="","",IF(INDEX('MiT Strom Pipeline'!$D$1:$D$860,$U55)="","",INDEX('MiT Strom Pipeline'!$D$1:$D$860,$U55)))</f>
        <v/>
      </c>
      <c r="E55" s="131" t="str">
        <f aca="false">IF($U55="","",IF(ISNUMBER(INDEX('MiT Strom Pipeline'!$O$1:$O$860,$U55)),INDEX('MiT Strom Pipeline'!$O$1:$O$860,$U55),IF(INDEX('MiT Strom Pipeline'!$H$1:$H$860,$U55)="","",INDEX('MiT Strom Pipeline'!$H$1:$H$860,$U55))))</f>
        <v/>
      </c>
      <c r="F55" s="131" t="str">
        <f aca="false">IF($U55="","",IF(ISNUMBER(INDEX('MiT Strom Pipeline'!$P$1:$P$860,$U55)),INDEX('MiT Strom Pipeline'!$P$1:$P$860,$U55),""))</f>
        <v/>
      </c>
      <c r="G55" s="132" t="str">
        <f aca="false">IF($U55="","",IF(ISNUMBER(INDEX('MiT Strom Pipeline'!$I$1:$I$860,$U55)),INDEX('MiT Strom Pipeline'!$I$1:$I$860,$U55),0))</f>
        <v/>
      </c>
      <c r="H55" s="132" t="str">
        <f aca="false">IF($U55="","",IF(ISNUMBER(INDEX('MiT Strom Pipeline'!$Q$1:$Q$860,$U55)),INDEX('MiT Strom Pipeline'!$Q$1:$Q$860,$U55),0))</f>
        <v/>
      </c>
      <c r="I55" s="129" t="str">
        <f aca="false">IF($U55="","",IF(INDEX('MiT Strom Pipeline'!$E$1:$E$860,$U55)="","",INDEX('MiT Strom Pipeline'!$E$1:$E$860,$U55)))</f>
        <v/>
      </c>
      <c r="J55" s="130" t="str">
        <f aca="false">IF($U55="","",INDEX('MiT Strom Pipeline'!$R$1:$R$860,$U55))</f>
        <v/>
      </c>
      <c r="K55" s="133" t="str">
        <f aca="false">IF($U55="","",IF(ISNUMBER(INDEX('MiT Strom Pipeline'!$S$1:$S$860,$U55)),INDEX('MiT Strom Pipeline'!$S$1:$S$860,$U55),""))</f>
        <v/>
      </c>
      <c r="L55" s="129" t="str">
        <f aca="false">IF($U55="","",IF(LEN(INDEX('MiT Strom Pipeline'!$V$1:$V$860,$U55))&gt;0,LEFT(INDEX('MiT Strom Pipeline'!$V$1:$V$860,$U55),55),""))</f>
        <v/>
      </c>
      <c r="M55" s="129" t="str">
        <f aca="false">IF($U55="","",IF(INDEX('MiT Strom Pipeline'!$AF$1:$AF$860,$U55)="","",INDEX('MiT Strom Pipeline'!$AF$1:$AF$860,$U55)))</f>
        <v/>
      </c>
      <c r="N55" s="129" t="str">
        <f aca="false">IF($U55="","",IF(INDEX('MiT Strom Pipeline'!$BB$1:$BB$860,$U55)="","",INDEX('MiT Strom Pipeline'!$BB$1:$BB$860,$U55)))</f>
        <v/>
      </c>
      <c r="O55" s="112"/>
      <c r="P55" s="112"/>
      <c r="Q55" s="112"/>
      <c r="R55" s="112"/>
      <c r="S55" s="112"/>
      <c r="U55" s="1" t="str">
        <f aca="false">IFERROR(MATCH(45,'MiT Strom Pipeline'!$AM$6:$AM$860,0)+5,"")</f>
        <v/>
      </c>
    </row>
    <row r="56" customFormat="false" ht="15.75" hidden="false" customHeight="true" outlineLevel="0" collapsed="false">
      <c r="A56" s="128" t="str">
        <f aca="false">IF($U56="","",IF(ISNUMBER(INDEX('MiT Strom Pipeline'!$A$1:$A$860,$U56)),INDEX('MiT Strom Pipeline'!$A$1:$A$860,$U56),""))</f>
        <v/>
      </c>
      <c r="B56" s="129" t="str">
        <f aca="false">IF($U56="","",IF(INDEX('MiT Strom Pipeline'!$B$1:$B$860,$U56)="","",INDEX('MiT Strom Pipeline'!$B$1:$B$860,$U56)))</f>
        <v/>
      </c>
      <c r="C56" s="130" t="str">
        <f aca="false">IF($U56="","",IF(INDEX('MiT Strom Pipeline'!$C$1:$C$860,$U56)="","",INDEX('MiT Strom Pipeline'!$C$1:$C$860,$U56)))</f>
        <v/>
      </c>
      <c r="D56" s="129" t="str">
        <f aca="false">IF($U56="","",IF(INDEX('MiT Strom Pipeline'!$D$1:$D$860,$U56)="","",INDEX('MiT Strom Pipeline'!$D$1:$D$860,$U56)))</f>
        <v/>
      </c>
      <c r="E56" s="131" t="str">
        <f aca="false">IF($U56="","",IF(ISNUMBER(INDEX('MiT Strom Pipeline'!$O$1:$O$860,$U56)),INDEX('MiT Strom Pipeline'!$O$1:$O$860,$U56),IF(INDEX('MiT Strom Pipeline'!$H$1:$H$860,$U56)="","",INDEX('MiT Strom Pipeline'!$H$1:$H$860,$U56))))</f>
        <v/>
      </c>
      <c r="F56" s="131" t="str">
        <f aca="false">IF($U56="","",IF(ISNUMBER(INDEX('MiT Strom Pipeline'!$P$1:$P$860,$U56)),INDEX('MiT Strom Pipeline'!$P$1:$P$860,$U56),""))</f>
        <v/>
      </c>
      <c r="G56" s="132" t="str">
        <f aca="false">IF($U56="","",IF(ISNUMBER(INDEX('MiT Strom Pipeline'!$I$1:$I$860,$U56)),INDEX('MiT Strom Pipeline'!$I$1:$I$860,$U56),0))</f>
        <v/>
      </c>
      <c r="H56" s="132" t="str">
        <f aca="false">IF($U56="","",IF(ISNUMBER(INDEX('MiT Strom Pipeline'!$Q$1:$Q$860,$U56)),INDEX('MiT Strom Pipeline'!$Q$1:$Q$860,$U56),0))</f>
        <v/>
      </c>
      <c r="I56" s="129" t="str">
        <f aca="false">IF($U56="","",IF(INDEX('MiT Strom Pipeline'!$E$1:$E$860,$U56)="","",INDEX('MiT Strom Pipeline'!$E$1:$E$860,$U56)))</f>
        <v/>
      </c>
      <c r="J56" s="130" t="str">
        <f aca="false">IF($U56="","",INDEX('MiT Strom Pipeline'!$R$1:$R$860,$U56))</f>
        <v/>
      </c>
      <c r="K56" s="133" t="str">
        <f aca="false">IF($U56="","",IF(ISNUMBER(INDEX('MiT Strom Pipeline'!$S$1:$S$860,$U56)),INDEX('MiT Strom Pipeline'!$S$1:$S$860,$U56),""))</f>
        <v/>
      </c>
      <c r="L56" s="129" t="str">
        <f aca="false">IF($U56="","",IF(LEN(INDEX('MiT Strom Pipeline'!$V$1:$V$860,$U56))&gt;0,LEFT(INDEX('MiT Strom Pipeline'!$V$1:$V$860,$U56),55),""))</f>
        <v/>
      </c>
      <c r="M56" s="129" t="str">
        <f aca="false">IF($U56="","",IF(INDEX('MiT Strom Pipeline'!$AF$1:$AF$860,$U56)="","",INDEX('MiT Strom Pipeline'!$AF$1:$AF$860,$U56)))</f>
        <v/>
      </c>
      <c r="N56" s="129" t="str">
        <f aca="false">IF($U56="","",IF(INDEX('MiT Strom Pipeline'!$BB$1:$BB$860,$U56)="","",INDEX('MiT Strom Pipeline'!$BB$1:$BB$860,$U56)))</f>
        <v/>
      </c>
      <c r="O56" s="112"/>
      <c r="P56" s="112"/>
      <c r="Q56" s="112"/>
      <c r="R56" s="112"/>
      <c r="S56" s="112"/>
      <c r="U56" s="1" t="str">
        <f aca="false">IFERROR(MATCH(46,'MiT Strom Pipeline'!$AM$6:$AM$860,0)+5,"")</f>
        <v/>
      </c>
    </row>
    <row r="57" customFormat="false" ht="15.75" hidden="false" customHeight="true" outlineLevel="0" collapsed="false">
      <c r="A57" s="128" t="str">
        <f aca="false">IF($U57="","",IF(ISNUMBER(INDEX('MiT Strom Pipeline'!$A$1:$A$860,$U57)),INDEX('MiT Strom Pipeline'!$A$1:$A$860,$U57),""))</f>
        <v/>
      </c>
      <c r="B57" s="129" t="str">
        <f aca="false">IF($U57="","",IF(INDEX('MiT Strom Pipeline'!$B$1:$B$860,$U57)="","",INDEX('MiT Strom Pipeline'!$B$1:$B$860,$U57)))</f>
        <v/>
      </c>
      <c r="C57" s="130" t="str">
        <f aca="false">IF($U57="","",IF(INDEX('MiT Strom Pipeline'!$C$1:$C$860,$U57)="","",INDEX('MiT Strom Pipeline'!$C$1:$C$860,$U57)))</f>
        <v/>
      </c>
      <c r="D57" s="129" t="str">
        <f aca="false">IF($U57="","",IF(INDEX('MiT Strom Pipeline'!$D$1:$D$860,$U57)="","",INDEX('MiT Strom Pipeline'!$D$1:$D$860,$U57)))</f>
        <v/>
      </c>
      <c r="E57" s="131" t="str">
        <f aca="false">IF($U57="","",IF(ISNUMBER(INDEX('MiT Strom Pipeline'!$O$1:$O$860,$U57)),INDEX('MiT Strom Pipeline'!$O$1:$O$860,$U57),IF(INDEX('MiT Strom Pipeline'!$H$1:$H$860,$U57)="","",INDEX('MiT Strom Pipeline'!$H$1:$H$860,$U57))))</f>
        <v/>
      </c>
      <c r="F57" s="131" t="str">
        <f aca="false">IF($U57="","",IF(ISNUMBER(INDEX('MiT Strom Pipeline'!$P$1:$P$860,$U57)),INDEX('MiT Strom Pipeline'!$P$1:$P$860,$U57),""))</f>
        <v/>
      </c>
      <c r="G57" s="132" t="str">
        <f aca="false">IF($U57="","",IF(ISNUMBER(INDEX('MiT Strom Pipeline'!$I$1:$I$860,$U57)),INDEX('MiT Strom Pipeline'!$I$1:$I$860,$U57),0))</f>
        <v/>
      </c>
      <c r="H57" s="132" t="str">
        <f aca="false">IF($U57="","",IF(ISNUMBER(INDEX('MiT Strom Pipeline'!$Q$1:$Q$860,$U57)),INDEX('MiT Strom Pipeline'!$Q$1:$Q$860,$U57),0))</f>
        <v/>
      </c>
      <c r="I57" s="129" t="str">
        <f aca="false">IF($U57="","",IF(INDEX('MiT Strom Pipeline'!$E$1:$E$860,$U57)="","",INDEX('MiT Strom Pipeline'!$E$1:$E$860,$U57)))</f>
        <v/>
      </c>
      <c r="J57" s="130" t="str">
        <f aca="false">IF($U57="","",INDEX('MiT Strom Pipeline'!$R$1:$R$860,$U57))</f>
        <v/>
      </c>
      <c r="K57" s="133" t="str">
        <f aca="false">IF($U57="","",IF(ISNUMBER(INDEX('MiT Strom Pipeline'!$S$1:$S$860,$U57)),INDEX('MiT Strom Pipeline'!$S$1:$S$860,$U57),""))</f>
        <v/>
      </c>
      <c r="L57" s="129" t="str">
        <f aca="false">IF($U57="","",IF(LEN(INDEX('MiT Strom Pipeline'!$V$1:$V$860,$U57))&gt;0,LEFT(INDEX('MiT Strom Pipeline'!$V$1:$V$860,$U57),55),""))</f>
        <v/>
      </c>
      <c r="M57" s="129" t="str">
        <f aca="false">IF($U57="","",IF(INDEX('MiT Strom Pipeline'!$AF$1:$AF$860,$U57)="","",INDEX('MiT Strom Pipeline'!$AF$1:$AF$860,$U57)))</f>
        <v/>
      </c>
      <c r="N57" s="129" t="str">
        <f aca="false">IF($U57="","",IF(INDEX('MiT Strom Pipeline'!$BB$1:$BB$860,$U57)="","",INDEX('MiT Strom Pipeline'!$BB$1:$BB$860,$U57)))</f>
        <v/>
      </c>
      <c r="O57" s="112"/>
      <c r="P57" s="112"/>
      <c r="Q57" s="112"/>
      <c r="R57" s="112"/>
      <c r="S57" s="112"/>
      <c r="U57" s="1" t="str">
        <f aca="false">IFERROR(MATCH(47,'MiT Strom Pipeline'!$AM$6:$AM$860,0)+5,"")</f>
        <v/>
      </c>
    </row>
    <row r="58" customFormat="false" ht="15.75" hidden="false" customHeight="true" outlineLevel="0" collapsed="false">
      <c r="A58" s="128" t="str">
        <f aca="false">IF($U58="","",IF(ISNUMBER(INDEX('MiT Strom Pipeline'!$A$1:$A$860,$U58)),INDEX('MiT Strom Pipeline'!$A$1:$A$860,$U58),""))</f>
        <v/>
      </c>
      <c r="B58" s="129" t="str">
        <f aca="false">IF($U58="","",IF(INDEX('MiT Strom Pipeline'!$B$1:$B$860,$U58)="","",INDEX('MiT Strom Pipeline'!$B$1:$B$860,$U58)))</f>
        <v/>
      </c>
      <c r="C58" s="130" t="str">
        <f aca="false">IF($U58="","",IF(INDEX('MiT Strom Pipeline'!$C$1:$C$860,$U58)="","",INDEX('MiT Strom Pipeline'!$C$1:$C$860,$U58)))</f>
        <v/>
      </c>
      <c r="D58" s="129" t="str">
        <f aca="false">IF($U58="","",IF(INDEX('MiT Strom Pipeline'!$D$1:$D$860,$U58)="","",INDEX('MiT Strom Pipeline'!$D$1:$D$860,$U58)))</f>
        <v/>
      </c>
      <c r="E58" s="131" t="str">
        <f aca="false">IF($U58="","",IF(ISNUMBER(INDEX('MiT Strom Pipeline'!$O$1:$O$860,$U58)),INDEX('MiT Strom Pipeline'!$O$1:$O$860,$U58),IF(INDEX('MiT Strom Pipeline'!$H$1:$H$860,$U58)="","",INDEX('MiT Strom Pipeline'!$H$1:$H$860,$U58))))</f>
        <v/>
      </c>
      <c r="F58" s="131" t="str">
        <f aca="false">IF($U58="","",IF(ISNUMBER(INDEX('MiT Strom Pipeline'!$P$1:$P$860,$U58)),INDEX('MiT Strom Pipeline'!$P$1:$P$860,$U58),""))</f>
        <v/>
      </c>
      <c r="G58" s="132" t="str">
        <f aca="false">IF($U58="","",IF(ISNUMBER(INDEX('MiT Strom Pipeline'!$I$1:$I$860,$U58)),INDEX('MiT Strom Pipeline'!$I$1:$I$860,$U58),0))</f>
        <v/>
      </c>
      <c r="H58" s="132" t="str">
        <f aca="false">IF($U58="","",IF(ISNUMBER(INDEX('MiT Strom Pipeline'!$Q$1:$Q$860,$U58)),INDEX('MiT Strom Pipeline'!$Q$1:$Q$860,$U58),0))</f>
        <v/>
      </c>
      <c r="I58" s="129" t="str">
        <f aca="false">IF($U58="","",IF(INDEX('MiT Strom Pipeline'!$E$1:$E$860,$U58)="","",INDEX('MiT Strom Pipeline'!$E$1:$E$860,$U58)))</f>
        <v/>
      </c>
      <c r="J58" s="130" t="str">
        <f aca="false">IF($U58="","",INDEX('MiT Strom Pipeline'!$R$1:$R$860,$U58))</f>
        <v/>
      </c>
      <c r="K58" s="133" t="str">
        <f aca="false">IF($U58="","",IF(ISNUMBER(INDEX('MiT Strom Pipeline'!$S$1:$S$860,$U58)),INDEX('MiT Strom Pipeline'!$S$1:$S$860,$U58),""))</f>
        <v/>
      </c>
      <c r="L58" s="129" t="str">
        <f aca="false">IF($U58="","",IF(LEN(INDEX('MiT Strom Pipeline'!$V$1:$V$860,$U58))&gt;0,LEFT(INDEX('MiT Strom Pipeline'!$V$1:$V$860,$U58),55),""))</f>
        <v/>
      </c>
      <c r="M58" s="129" t="str">
        <f aca="false">IF($U58="","",IF(INDEX('MiT Strom Pipeline'!$AF$1:$AF$860,$U58)="","",INDEX('MiT Strom Pipeline'!$AF$1:$AF$860,$U58)))</f>
        <v/>
      </c>
      <c r="N58" s="129" t="str">
        <f aca="false">IF($U58="","",IF(INDEX('MiT Strom Pipeline'!$BB$1:$BB$860,$U58)="","",INDEX('MiT Strom Pipeline'!$BB$1:$BB$860,$U58)))</f>
        <v/>
      </c>
      <c r="O58" s="112"/>
      <c r="P58" s="112"/>
      <c r="Q58" s="112"/>
      <c r="R58" s="112"/>
      <c r="S58" s="112"/>
      <c r="U58" s="1" t="str">
        <f aca="false">IFERROR(MATCH(48,'MiT Strom Pipeline'!$AM$6:$AM$860,0)+5,"")</f>
        <v/>
      </c>
    </row>
    <row r="59" customFormat="false" ht="15.75" hidden="false" customHeight="true" outlineLevel="0" collapsed="false">
      <c r="A59" s="128" t="str">
        <f aca="false">IF($U59="","",IF(ISNUMBER(INDEX('MiT Strom Pipeline'!$A$1:$A$860,$U59)),INDEX('MiT Strom Pipeline'!$A$1:$A$860,$U59),""))</f>
        <v/>
      </c>
      <c r="B59" s="129" t="str">
        <f aca="false">IF($U59="","",IF(INDEX('MiT Strom Pipeline'!$B$1:$B$860,$U59)="","",INDEX('MiT Strom Pipeline'!$B$1:$B$860,$U59)))</f>
        <v/>
      </c>
      <c r="C59" s="130" t="str">
        <f aca="false">IF($U59="","",IF(INDEX('MiT Strom Pipeline'!$C$1:$C$860,$U59)="","",INDEX('MiT Strom Pipeline'!$C$1:$C$860,$U59)))</f>
        <v/>
      </c>
      <c r="D59" s="129" t="str">
        <f aca="false">IF($U59="","",IF(INDEX('MiT Strom Pipeline'!$D$1:$D$860,$U59)="","",INDEX('MiT Strom Pipeline'!$D$1:$D$860,$U59)))</f>
        <v/>
      </c>
      <c r="E59" s="131" t="str">
        <f aca="false">IF($U59="","",IF(ISNUMBER(INDEX('MiT Strom Pipeline'!$O$1:$O$860,$U59)),INDEX('MiT Strom Pipeline'!$O$1:$O$860,$U59),IF(INDEX('MiT Strom Pipeline'!$H$1:$H$860,$U59)="","",INDEX('MiT Strom Pipeline'!$H$1:$H$860,$U59))))</f>
        <v/>
      </c>
      <c r="F59" s="131" t="str">
        <f aca="false">IF($U59="","",IF(ISNUMBER(INDEX('MiT Strom Pipeline'!$P$1:$P$860,$U59)),INDEX('MiT Strom Pipeline'!$P$1:$P$860,$U59),""))</f>
        <v/>
      </c>
      <c r="G59" s="132" t="str">
        <f aca="false">IF($U59="","",IF(ISNUMBER(INDEX('MiT Strom Pipeline'!$I$1:$I$860,$U59)),INDEX('MiT Strom Pipeline'!$I$1:$I$860,$U59),0))</f>
        <v/>
      </c>
      <c r="H59" s="132" t="str">
        <f aca="false">IF($U59="","",IF(ISNUMBER(INDEX('MiT Strom Pipeline'!$Q$1:$Q$860,$U59)),INDEX('MiT Strom Pipeline'!$Q$1:$Q$860,$U59),0))</f>
        <v/>
      </c>
      <c r="I59" s="129" t="str">
        <f aca="false">IF($U59="","",IF(INDEX('MiT Strom Pipeline'!$E$1:$E$860,$U59)="","",INDEX('MiT Strom Pipeline'!$E$1:$E$860,$U59)))</f>
        <v/>
      </c>
      <c r="J59" s="130" t="str">
        <f aca="false">IF($U59="","",INDEX('MiT Strom Pipeline'!$R$1:$R$860,$U59))</f>
        <v/>
      </c>
      <c r="K59" s="133" t="str">
        <f aca="false">IF($U59="","",IF(ISNUMBER(INDEX('MiT Strom Pipeline'!$S$1:$S$860,$U59)),INDEX('MiT Strom Pipeline'!$S$1:$S$860,$U59),""))</f>
        <v/>
      </c>
      <c r="L59" s="129" t="str">
        <f aca="false">IF($U59="","",IF(LEN(INDEX('MiT Strom Pipeline'!$V$1:$V$860,$U59))&gt;0,LEFT(INDEX('MiT Strom Pipeline'!$V$1:$V$860,$U59),55),""))</f>
        <v/>
      </c>
      <c r="M59" s="129" t="str">
        <f aca="false">IF($U59="","",IF(INDEX('MiT Strom Pipeline'!$AF$1:$AF$860,$U59)="","",INDEX('MiT Strom Pipeline'!$AF$1:$AF$860,$U59)))</f>
        <v/>
      </c>
      <c r="N59" s="129" t="str">
        <f aca="false">IF($U59="","",IF(INDEX('MiT Strom Pipeline'!$BB$1:$BB$860,$U59)="","",INDEX('MiT Strom Pipeline'!$BB$1:$BB$860,$U59)))</f>
        <v/>
      </c>
      <c r="O59" s="112"/>
      <c r="P59" s="112"/>
      <c r="Q59" s="112"/>
      <c r="R59" s="112"/>
      <c r="S59" s="112"/>
      <c r="U59" s="1" t="str">
        <f aca="false">IFERROR(MATCH(49,'MiT Strom Pipeline'!$AM$6:$AM$860,0)+5,"")</f>
        <v/>
      </c>
    </row>
    <row r="60" customFormat="false" ht="15.75" hidden="false" customHeight="true" outlineLevel="0" collapsed="false">
      <c r="A60" s="128" t="str">
        <f aca="false">IF($U60="","",IF(ISNUMBER(INDEX('MiT Strom Pipeline'!$A$1:$A$860,$U60)),INDEX('MiT Strom Pipeline'!$A$1:$A$860,$U60),""))</f>
        <v/>
      </c>
      <c r="B60" s="129" t="str">
        <f aca="false">IF($U60="","",IF(INDEX('MiT Strom Pipeline'!$B$1:$B$860,$U60)="","",INDEX('MiT Strom Pipeline'!$B$1:$B$860,$U60)))</f>
        <v/>
      </c>
      <c r="C60" s="130" t="str">
        <f aca="false">IF($U60="","",IF(INDEX('MiT Strom Pipeline'!$C$1:$C$860,$U60)="","",INDEX('MiT Strom Pipeline'!$C$1:$C$860,$U60)))</f>
        <v/>
      </c>
      <c r="D60" s="129" t="str">
        <f aca="false">IF($U60="","",IF(INDEX('MiT Strom Pipeline'!$D$1:$D$860,$U60)="","",INDEX('MiT Strom Pipeline'!$D$1:$D$860,$U60)))</f>
        <v/>
      </c>
      <c r="E60" s="131" t="str">
        <f aca="false">IF($U60="","",IF(ISNUMBER(INDEX('MiT Strom Pipeline'!$O$1:$O$860,$U60)),INDEX('MiT Strom Pipeline'!$O$1:$O$860,$U60),IF(INDEX('MiT Strom Pipeline'!$H$1:$H$860,$U60)="","",INDEX('MiT Strom Pipeline'!$H$1:$H$860,$U60))))</f>
        <v/>
      </c>
      <c r="F60" s="131" t="str">
        <f aca="false">IF($U60="","",IF(ISNUMBER(INDEX('MiT Strom Pipeline'!$P$1:$P$860,$U60)),INDEX('MiT Strom Pipeline'!$P$1:$P$860,$U60),""))</f>
        <v/>
      </c>
      <c r="G60" s="132" t="str">
        <f aca="false">IF($U60="","",IF(ISNUMBER(INDEX('MiT Strom Pipeline'!$I$1:$I$860,$U60)),INDEX('MiT Strom Pipeline'!$I$1:$I$860,$U60),0))</f>
        <v/>
      </c>
      <c r="H60" s="132" t="str">
        <f aca="false">IF($U60="","",IF(ISNUMBER(INDEX('MiT Strom Pipeline'!$Q$1:$Q$860,$U60)),INDEX('MiT Strom Pipeline'!$Q$1:$Q$860,$U60),0))</f>
        <v/>
      </c>
      <c r="I60" s="129" t="str">
        <f aca="false">IF($U60="","",IF(INDEX('MiT Strom Pipeline'!$E$1:$E$860,$U60)="","",INDEX('MiT Strom Pipeline'!$E$1:$E$860,$U60)))</f>
        <v/>
      </c>
      <c r="J60" s="130" t="str">
        <f aca="false">IF($U60="","",INDEX('MiT Strom Pipeline'!$R$1:$R$860,$U60))</f>
        <v/>
      </c>
      <c r="K60" s="133" t="str">
        <f aca="false">IF($U60="","",IF(ISNUMBER(INDEX('MiT Strom Pipeline'!$S$1:$S$860,$U60)),INDEX('MiT Strom Pipeline'!$S$1:$S$860,$U60),""))</f>
        <v/>
      </c>
      <c r="L60" s="129" t="str">
        <f aca="false">IF($U60="","",IF(LEN(INDEX('MiT Strom Pipeline'!$V$1:$V$860,$U60))&gt;0,LEFT(INDEX('MiT Strom Pipeline'!$V$1:$V$860,$U60),55),""))</f>
        <v/>
      </c>
      <c r="M60" s="129" t="str">
        <f aca="false">IF($U60="","",IF(INDEX('MiT Strom Pipeline'!$AF$1:$AF$860,$U60)="","",INDEX('MiT Strom Pipeline'!$AF$1:$AF$860,$U60)))</f>
        <v/>
      </c>
      <c r="N60" s="129" t="str">
        <f aca="false">IF($U60="","",IF(INDEX('MiT Strom Pipeline'!$BB$1:$BB$860,$U60)="","",INDEX('MiT Strom Pipeline'!$BB$1:$BB$860,$U60)))</f>
        <v/>
      </c>
      <c r="O60" s="112"/>
      <c r="P60" s="112"/>
      <c r="Q60" s="112"/>
      <c r="R60" s="112"/>
      <c r="S60" s="112"/>
      <c r="U60" s="1" t="str">
        <f aca="false">IFERROR(MATCH(50,'MiT Strom Pipeline'!$AM$6:$AM$860,0)+5,"")</f>
        <v/>
      </c>
    </row>
    <row r="61" customFormat="false" ht="15.75" hidden="false" customHeight="true" outlineLevel="0" collapsed="false">
      <c r="A61" s="128" t="str">
        <f aca="false">IF($U61="","",IF(ISNUMBER(INDEX('MiT Strom Pipeline'!$A$1:$A$860,$U61)),INDEX('MiT Strom Pipeline'!$A$1:$A$860,$U61),""))</f>
        <v/>
      </c>
      <c r="B61" s="129" t="str">
        <f aca="false">IF($U61="","",IF(INDEX('MiT Strom Pipeline'!$B$1:$B$860,$U61)="","",INDEX('MiT Strom Pipeline'!$B$1:$B$860,$U61)))</f>
        <v/>
      </c>
      <c r="C61" s="130" t="str">
        <f aca="false">IF($U61="","",IF(INDEX('MiT Strom Pipeline'!$C$1:$C$860,$U61)="","",INDEX('MiT Strom Pipeline'!$C$1:$C$860,$U61)))</f>
        <v/>
      </c>
      <c r="D61" s="129" t="str">
        <f aca="false">IF($U61="","",IF(INDEX('MiT Strom Pipeline'!$D$1:$D$860,$U61)="","",INDEX('MiT Strom Pipeline'!$D$1:$D$860,$U61)))</f>
        <v/>
      </c>
      <c r="E61" s="131" t="str">
        <f aca="false">IF($U61="","",IF(ISNUMBER(INDEX('MiT Strom Pipeline'!$O$1:$O$860,$U61)),INDEX('MiT Strom Pipeline'!$O$1:$O$860,$U61),IF(INDEX('MiT Strom Pipeline'!$H$1:$H$860,$U61)="","",INDEX('MiT Strom Pipeline'!$H$1:$H$860,$U61))))</f>
        <v/>
      </c>
      <c r="F61" s="131" t="str">
        <f aca="false">IF($U61="","",IF(ISNUMBER(INDEX('MiT Strom Pipeline'!$P$1:$P$860,$U61)),INDEX('MiT Strom Pipeline'!$P$1:$P$860,$U61),""))</f>
        <v/>
      </c>
      <c r="G61" s="132" t="str">
        <f aca="false">IF($U61="","",IF(ISNUMBER(INDEX('MiT Strom Pipeline'!$I$1:$I$860,$U61)),INDEX('MiT Strom Pipeline'!$I$1:$I$860,$U61),0))</f>
        <v/>
      </c>
      <c r="H61" s="132" t="str">
        <f aca="false">IF($U61="","",IF(ISNUMBER(INDEX('MiT Strom Pipeline'!$Q$1:$Q$860,$U61)),INDEX('MiT Strom Pipeline'!$Q$1:$Q$860,$U61),0))</f>
        <v/>
      </c>
      <c r="I61" s="129" t="str">
        <f aca="false">IF($U61="","",IF(INDEX('MiT Strom Pipeline'!$E$1:$E$860,$U61)="","",INDEX('MiT Strom Pipeline'!$E$1:$E$860,$U61)))</f>
        <v/>
      </c>
      <c r="J61" s="130" t="str">
        <f aca="false">IF($U61="","",INDEX('MiT Strom Pipeline'!$R$1:$R$860,$U61))</f>
        <v/>
      </c>
      <c r="K61" s="133" t="str">
        <f aca="false">IF($U61="","",IF(ISNUMBER(INDEX('MiT Strom Pipeline'!$S$1:$S$860,$U61)),INDEX('MiT Strom Pipeline'!$S$1:$S$860,$U61),""))</f>
        <v/>
      </c>
      <c r="L61" s="129" t="str">
        <f aca="false">IF($U61="","",IF(LEN(INDEX('MiT Strom Pipeline'!$V$1:$V$860,$U61))&gt;0,LEFT(INDEX('MiT Strom Pipeline'!$V$1:$V$860,$U61),55),""))</f>
        <v/>
      </c>
      <c r="M61" s="129" t="str">
        <f aca="false">IF($U61="","",IF(INDEX('MiT Strom Pipeline'!$AF$1:$AF$860,$U61)="","",INDEX('MiT Strom Pipeline'!$AF$1:$AF$860,$U61)))</f>
        <v/>
      </c>
      <c r="N61" s="129" t="str">
        <f aca="false">IF($U61="","",IF(INDEX('MiT Strom Pipeline'!$BB$1:$BB$860,$U61)="","",INDEX('MiT Strom Pipeline'!$BB$1:$BB$860,$U61)))</f>
        <v/>
      </c>
      <c r="O61" s="112"/>
      <c r="P61" s="112"/>
      <c r="Q61" s="112"/>
      <c r="R61" s="112"/>
      <c r="S61" s="112"/>
      <c r="U61" s="1" t="str">
        <f aca="false">IFERROR(MATCH(51,'MiT Strom Pipeline'!$AM$6:$AM$860,0)+5,"")</f>
        <v/>
      </c>
    </row>
    <row r="62" customFormat="false" ht="15.75" hidden="false" customHeight="true" outlineLevel="0" collapsed="false">
      <c r="A62" s="128" t="str">
        <f aca="false">IF($U62="","",IF(ISNUMBER(INDEX('MiT Strom Pipeline'!$A$1:$A$860,$U62)),INDEX('MiT Strom Pipeline'!$A$1:$A$860,$U62),""))</f>
        <v/>
      </c>
      <c r="B62" s="129" t="str">
        <f aca="false">IF($U62="","",IF(INDEX('MiT Strom Pipeline'!$B$1:$B$860,$U62)="","",INDEX('MiT Strom Pipeline'!$B$1:$B$860,$U62)))</f>
        <v/>
      </c>
      <c r="C62" s="130" t="str">
        <f aca="false">IF($U62="","",IF(INDEX('MiT Strom Pipeline'!$C$1:$C$860,$U62)="","",INDEX('MiT Strom Pipeline'!$C$1:$C$860,$U62)))</f>
        <v/>
      </c>
      <c r="D62" s="129" t="str">
        <f aca="false">IF($U62="","",IF(INDEX('MiT Strom Pipeline'!$D$1:$D$860,$U62)="","",INDEX('MiT Strom Pipeline'!$D$1:$D$860,$U62)))</f>
        <v/>
      </c>
      <c r="E62" s="131" t="str">
        <f aca="false">IF($U62="","",IF(ISNUMBER(INDEX('MiT Strom Pipeline'!$O$1:$O$860,$U62)),INDEX('MiT Strom Pipeline'!$O$1:$O$860,$U62),IF(INDEX('MiT Strom Pipeline'!$H$1:$H$860,$U62)="","",INDEX('MiT Strom Pipeline'!$H$1:$H$860,$U62))))</f>
        <v/>
      </c>
      <c r="F62" s="131" t="str">
        <f aca="false">IF($U62="","",IF(ISNUMBER(INDEX('MiT Strom Pipeline'!$P$1:$P$860,$U62)),INDEX('MiT Strom Pipeline'!$P$1:$P$860,$U62),""))</f>
        <v/>
      </c>
      <c r="G62" s="132" t="str">
        <f aca="false">IF($U62="","",IF(ISNUMBER(INDEX('MiT Strom Pipeline'!$I$1:$I$860,$U62)),INDEX('MiT Strom Pipeline'!$I$1:$I$860,$U62),0))</f>
        <v/>
      </c>
      <c r="H62" s="132" t="str">
        <f aca="false">IF($U62="","",IF(ISNUMBER(INDEX('MiT Strom Pipeline'!$Q$1:$Q$860,$U62)),INDEX('MiT Strom Pipeline'!$Q$1:$Q$860,$U62),0))</f>
        <v/>
      </c>
      <c r="I62" s="129" t="str">
        <f aca="false">IF($U62="","",IF(INDEX('MiT Strom Pipeline'!$E$1:$E$860,$U62)="","",INDEX('MiT Strom Pipeline'!$E$1:$E$860,$U62)))</f>
        <v/>
      </c>
      <c r="J62" s="130" t="str">
        <f aca="false">IF($U62="","",INDEX('MiT Strom Pipeline'!$R$1:$R$860,$U62))</f>
        <v/>
      </c>
      <c r="K62" s="133" t="str">
        <f aca="false">IF($U62="","",IF(ISNUMBER(INDEX('MiT Strom Pipeline'!$S$1:$S$860,$U62)),INDEX('MiT Strom Pipeline'!$S$1:$S$860,$U62),""))</f>
        <v/>
      </c>
      <c r="L62" s="129" t="str">
        <f aca="false">IF($U62="","",IF(LEN(INDEX('MiT Strom Pipeline'!$V$1:$V$860,$U62))&gt;0,LEFT(INDEX('MiT Strom Pipeline'!$V$1:$V$860,$U62),55),""))</f>
        <v/>
      </c>
      <c r="M62" s="129" t="str">
        <f aca="false">IF($U62="","",IF(INDEX('MiT Strom Pipeline'!$AF$1:$AF$860,$U62)="","",INDEX('MiT Strom Pipeline'!$AF$1:$AF$860,$U62)))</f>
        <v/>
      </c>
      <c r="N62" s="129" t="str">
        <f aca="false">IF($U62="","",IF(INDEX('MiT Strom Pipeline'!$BB$1:$BB$860,$U62)="","",INDEX('MiT Strom Pipeline'!$BB$1:$BB$860,$U62)))</f>
        <v/>
      </c>
      <c r="O62" s="112"/>
      <c r="P62" s="112"/>
      <c r="Q62" s="112"/>
      <c r="R62" s="112"/>
      <c r="S62" s="112"/>
      <c r="U62" s="1" t="str">
        <f aca="false">IFERROR(MATCH(52,'MiT Strom Pipeline'!$AM$6:$AM$860,0)+5,"")</f>
        <v/>
      </c>
    </row>
    <row r="63" customFormat="false" ht="15.75" hidden="false" customHeight="true" outlineLevel="0" collapsed="false">
      <c r="A63" s="128" t="str">
        <f aca="false">IF($U63="","",IF(ISNUMBER(INDEX('MiT Strom Pipeline'!$A$1:$A$860,$U63)),INDEX('MiT Strom Pipeline'!$A$1:$A$860,$U63),""))</f>
        <v/>
      </c>
      <c r="B63" s="129" t="str">
        <f aca="false">IF($U63="","",IF(INDEX('MiT Strom Pipeline'!$B$1:$B$860,$U63)="","",INDEX('MiT Strom Pipeline'!$B$1:$B$860,$U63)))</f>
        <v/>
      </c>
      <c r="C63" s="130" t="str">
        <f aca="false">IF($U63="","",IF(INDEX('MiT Strom Pipeline'!$C$1:$C$860,$U63)="","",INDEX('MiT Strom Pipeline'!$C$1:$C$860,$U63)))</f>
        <v/>
      </c>
      <c r="D63" s="129" t="str">
        <f aca="false">IF($U63="","",IF(INDEX('MiT Strom Pipeline'!$D$1:$D$860,$U63)="","",INDEX('MiT Strom Pipeline'!$D$1:$D$860,$U63)))</f>
        <v/>
      </c>
      <c r="E63" s="131" t="str">
        <f aca="false">IF($U63="","",IF(ISNUMBER(INDEX('MiT Strom Pipeline'!$O$1:$O$860,$U63)),INDEX('MiT Strom Pipeline'!$O$1:$O$860,$U63),IF(INDEX('MiT Strom Pipeline'!$H$1:$H$860,$U63)="","",INDEX('MiT Strom Pipeline'!$H$1:$H$860,$U63))))</f>
        <v/>
      </c>
      <c r="F63" s="131" t="str">
        <f aca="false">IF($U63="","",IF(ISNUMBER(INDEX('MiT Strom Pipeline'!$P$1:$P$860,$U63)),INDEX('MiT Strom Pipeline'!$P$1:$P$860,$U63),""))</f>
        <v/>
      </c>
      <c r="G63" s="132" t="str">
        <f aca="false">IF($U63="","",IF(ISNUMBER(INDEX('MiT Strom Pipeline'!$I$1:$I$860,$U63)),INDEX('MiT Strom Pipeline'!$I$1:$I$860,$U63),0))</f>
        <v/>
      </c>
      <c r="H63" s="132" t="str">
        <f aca="false">IF($U63="","",IF(ISNUMBER(INDEX('MiT Strom Pipeline'!$Q$1:$Q$860,$U63)),INDEX('MiT Strom Pipeline'!$Q$1:$Q$860,$U63),0))</f>
        <v/>
      </c>
      <c r="I63" s="129" t="str">
        <f aca="false">IF($U63="","",IF(INDEX('MiT Strom Pipeline'!$E$1:$E$860,$U63)="","",INDEX('MiT Strom Pipeline'!$E$1:$E$860,$U63)))</f>
        <v/>
      </c>
      <c r="J63" s="130" t="str">
        <f aca="false">IF($U63="","",INDEX('MiT Strom Pipeline'!$R$1:$R$860,$U63))</f>
        <v/>
      </c>
      <c r="K63" s="133" t="str">
        <f aca="false">IF($U63="","",IF(ISNUMBER(INDEX('MiT Strom Pipeline'!$S$1:$S$860,$U63)),INDEX('MiT Strom Pipeline'!$S$1:$S$860,$U63),""))</f>
        <v/>
      </c>
      <c r="L63" s="129" t="str">
        <f aca="false">IF($U63="","",IF(LEN(INDEX('MiT Strom Pipeline'!$V$1:$V$860,$U63))&gt;0,LEFT(INDEX('MiT Strom Pipeline'!$V$1:$V$860,$U63),55),""))</f>
        <v/>
      </c>
      <c r="M63" s="129" t="str">
        <f aca="false">IF($U63="","",IF(INDEX('MiT Strom Pipeline'!$AF$1:$AF$860,$U63)="","",INDEX('MiT Strom Pipeline'!$AF$1:$AF$860,$U63)))</f>
        <v/>
      </c>
      <c r="N63" s="129" t="str">
        <f aca="false">IF($U63="","",IF(INDEX('MiT Strom Pipeline'!$BB$1:$BB$860,$U63)="","",INDEX('MiT Strom Pipeline'!$BB$1:$BB$860,$U63)))</f>
        <v/>
      </c>
      <c r="O63" s="112"/>
      <c r="P63" s="112"/>
      <c r="Q63" s="112"/>
      <c r="R63" s="112"/>
      <c r="S63" s="112"/>
      <c r="U63" s="1" t="str">
        <f aca="false">IFERROR(MATCH(53,'MiT Strom Pipeline'!$AM$6:$AM$860,0)+5,"")</f>
        <v/>
      </c>
    </row>
    <row r="64" customFormat="false" ht="15.75" hidden="false" customHeight="true" outlineLevel="0" collapsed="false">
      <c r="A64" s="128" t="str">
        <f aca="false">IF($U64="","",IF(ISNUMBER(INDEX('MiT Strom Pipeline'!$A$1:$A$860,$U64)),INDEX('MiT Strom Pipeline'!$A$1:$A$860,$U64),""))</f>
        <v/>
      </c>
      <c r="B64" s="129" t="str">
        <f aca="false">IF($U64="","",IF(INDEX('MiT Strom Pipeline'!$B$1:$B$860,$U64)="","",INDEX('MiT Strom Pipeline'!$B$1:$B$860,$U64)))</f>
        <v/>
      </c>
      <c r="C64" s="130" t="str">
        <f aca="false">IF($U64="","",IF(INDEX('MiT Strom Pipeline'!$C$1:$C$860,$U64)="","",INDEX('MiT Strom Pipeline'!$C$1:$C$860,$U64)))</f>
        <v/>
      </c>
      <c r="D64" s="129" t="str">
        <f aca="false">IF($U64="","",IF(INDEX('MiT Strom Pipeline'!$D$1:$D$860,$U64)="","",INDEX('MiT Strom Pipeline'!$D$1:$D$860,$U64)))</f>
        <v/>
      </c>
      <c r="E64" s="131" t="str">
        <f aca="false">IF($U64="","",IF(ISNUMBER(INDEX('MiT Strom Pipeline'!$O$1:$O$860,$U64)),INDEX('MiT Strom Pipeline'!$O$1:$O$860,$U64),IF(INDEX('MiT Strom Pipeline'!$H$1:$H$860,$U64)="","",INDEX('MiT Strom Pipeline'!$H$1:$H$860,$U64))))</f>
        <v/>
      </c>
      <c r="F64" s="131" t="str">
        <f aca="false">IF($U64="","",IF(ISNUMBER(INDEX('MiT Strom Pipeline'!$P$1:$P$860,$U64)),INDEX('MiT Strom Pipeline'!$P$1:$P$860,$U64),""))</f>
        <v/>
      </c>
      <c r="G64" s="132" t="str">
        <f aca="false">IF($U64="","",IF(ISNUMBER(INDEX('MiT Strom Pipeline'!$I$1:$I$860,$U64)),INDEX('MiT Strom Pipeline'!$I$1:$I$860,$U64),0))</f>
        <v/>
      </c>
      <c r="H64" s="132" t="str">
        <f aca="false">IF($U64="","",IF(ISNUMBER(INDEX('MiT Strom Pipeline'!$Q$1:$Q$860,$U64)),INDEX('MiT Strom Pipeline'!$Q$1:$Q$860,$U64),0))</f>
        <v/>
      </c>
      <c r="I64" s="129" t="str">
        <f aca="false">IF($U64="","",IF(INDEX('MiT Strom Pipeline'!$E$1:$E$860,$U64)="","",INDEX('MiT Strom Pipeline'!$E$1:$E$860,$U64)))</f>
        <v/>
      </c>
      <c r="J64" s="130" t="str">
        <f aca="false">IF($U64="","",INDEX('MiT Strom Pipeline'!$R$1:$R$860,$U64))</f>
        <v/>
      </c>
      <c r="K64" s="133" t="str">
        <f aca="false">IF($U64="","",IF(ISNUMBER(INDEX('MiT Strom Pipeline'!$S$1:$S$860,$U64)),INDEX('MiT Strom Pipeline'!$S$1:$S$860,$U64),""))</f>
        <v/>
      </c>
      <c r="L64" s="129" t="str">
        <f aca="false">IF($U64="","",IF(LEN(INDEX('MiT Strom Pipeline'!$V$1:$V$860,$U64))&gt;0,LEFT(INDEX('MiT Strom Pipeline'!$V$1:$V$860,$U64),55),""))</f>
        <v/>
      </c>
      <c r="M64" s="129" t="str">
        <f aca="false">IF($U64="","",IF(INDEX('MiT Strom Pipeline'!$AF$1:$AF$860,$U64)="","",INDEX('MiT Strom Pipeline'!$AF$1:$AF$860,$U64)))</f>
        <v/>
      </c>
      <c r="N64" s="129" t="str">
        <f aca="false">IF($U64="","",IF(INDEX('MiT Strom Pipeline'!$BB$1:$BB$860,$U64)="","",INDEX('MiT Strom Pipeline'!$BB$1:$BB$860,$U64)))</f>
        <v/>
      </c>
      <c r="O64" s="112"/>
      <c r="P64" s="112"/>
      <c r="Q64" s="112"/>
      <c r="R64" s="112"/>
      <c r="S64" s="112"/>
      <c r="U64" s="1" t="str">
        <f aca="false">IFERROR(MATCH(54,'MiT Strom Pipeline'!$AM$6:$AM$860,0)+5,"")</f>
        <v/>
      </c>
    </row>
    <row r="65" customFormat="false" ht="15.75" hidden="false" customHeight="true" outlineLevel="0" collapsed="false">
      <c r="A65" s="128" t="str">
        <f aca="false">IF($U65="","",IF(ISNUMBER(INDEX('MiT Strom Pipeline'!$A$1:$A$860,$U65)),INDEX('MiT Strom Pipeline'!$A$1:$A$860,$U65),""))</f>
        <v/>
      </c>
      <c r="B65" s="129" t="str">
        <f aca="false">IF($U65="","",IF(INDEX('MiT Strom Pipeline'!$B$1:$B$860,$U65)="","",INDEX('MiT Strom Pipeline'!$B$1:$B$860,$U65)))</f>
        <v/>
      </c>
      <c r="C65" s="130" t="str">
        <f aca="false">IF($U65="","",IF(INDEX('MiT Strom Pipeline'!$C$1:$C$860,$U65)="","",INDEX('MiT Strom Pipeline'!$C$1:$C$860,$U65)))</f>
        <v/>
      </c>
      <c r="D65" s="129" t="str">
        <f aca="false">IF($U65="","",IF(INDEX('MiT Strom Pipeline'!$D$1:$D$860,$U65)="","",INDEX('MiT Strom Pipeline'!$D$1:$D$860,$U65)))</f>
        <v/>
      </c>
      <c r="E65" s="131" t="str">
        <f aca="false">IF($U65="","",IF(ISNUMBER(INDEX('MiT Strom Pipeline'!$O$1:$O$860,$U65)),INDEX('MiT Strom Pipeline'!$O$1:$O$860,$U65),IF(INDEX('MiT Strom Pipeline'!$H$1:$H$860,$U65)="","",INDEX('MiT Strom Pipeline'!$H$1:$H$860,$U65))))</f>
        <v/>
      </c>
      <c r="F65" s="131" t="str">
        <f aca="false">IF($U65="","",IF(ISNUMBER(INDEX('MiT Strom Pipeline'!$P$1:$P$860,$U65)),INDEX('MiT Strom Pipeline'!$P$1:$P$860,$U65),""))</f>
        <v/>
      </c>
      <c r="G65" s="132" t="str">
        <f aca="false">IF($U65="","",IF(ISNUMBER(INDEX('MiT Strom Pipeline'!$I$1:$I$860,$U65)),INDEX('MiT Strom Pipeline'!$I$1:$I$860,$U65),0))</f>
        <v/>
      </c>
      <c r="H65" s="132" t="str">
        <f aca="false">IF($U65="","",IF(ISNUMBER(INDEX('MiT Strom Pipeline'!$Q$1:$Q$860,$U65)),INDEX('MiT Strom Pipeline'!$Q$1:$Q$860,$U65),0))</f>
        <v/>
      </c>
      <c r="I65" s="129" t="str">
        <f aca="false">IF($U65="","",IF(INDEX('MiT Strom Pipeline'!$E$1:$E$860,$U65)="","",INDEX('MiT Strom Pipeline'!$E$1:$E$860,$U65)))</f>
        <v/>
      </c>
      <c r="J65" s="130" t="str">
        <f aca="false">IF($U65="","",INDEX('MiT Strom Pipeline'!$R$1:$R$860,$U65))</f>
        <v/>
      </c>
      <c r="K65" s="133" t="str">
        <f aca="false">IF($U65="","",IF(ISNUMBER(INDEX('MiT Strom Pipeline'!$S$1:$S$860,$U65)),INDEX('MiT Strom Pipeline'!$S$1:$S$860,$U65),""))</f>
        <v/>
      </c>
      <c r="L65" s="129" t="str">
        <f aca="false">IF($U65="","",IF(LEN(INDEX('MiT Strom Pipeline'!$V$1:$V$860,$U65))&gt;0,LEFT(INDEX('MiT Strom Pipeline'!$V$1:$V$860,$U65),55),""))</f>
        <v/>
      </c>
      <c r="M65" s="129" t="str">
        <f aca="false">IF($U65="","",IF(INDEX('MiT Strom Pipeline'!$AF$1:$AF$860,$U65)="","",INDEX('MiT Strom Pipeline'!$AF$1:$AF$860,$U65)))</f>
        <v/>
      </c>
      <c r="N65" s="129" t="str">
        <f aca="false">IF($U65="","",IF(INDEX('MiT Strom Pipeline'!$BB$1:$BB$860,$U65)="","",INDEX('MiT Strom Pipeline'!$BB$1:$BB$860,$U65)))</f>
        <v/>
      </c>
      <c r="O65" s="112"/>
      <c r="P65" s="112"/>
      <c r="Q65" s="112"/>
      <c r="R65" s="112"/>
      <c r="S65" s="112"/>
      <c r="U65" s="1" t="str">
        <f aca="false">IFERROR(MATCH(55,'MiT Strom Pipeline'!$AM$6:$AM$860,0)+5,"")</f>
        <v/>
      </c>
    </row>
    <row r="66" customFormat="false" ht="15.75" hidden="false" customHeight="true" outlineLevel="0" collapsed="false">
      <c r="A66" s="128" t="str">
        <f aca="false">IF($U66="","",IF(ISNUMBER(INDEX('MiT Strom Pipeline'!$A$1:$A$860,$U66)),INDEX('MiT Strom Pipeline'!$A$1:$A$860,$U66),""))</f>
        <v/>
      </c>
      <c r="B66" s="129" t="str">
        <f aca="false">IF($U66="","",IF(INDEX('MiT Strom Pipeline'!$B$1:$B$860,$U66)="","",INDEX('MiT Strom Pipeline'!$B$1:$B$860,$U66)))</f>
        <v/>
      </c>
      <c r="C66" s="130" t="str">
        <f aca="false">IF($U66="","",IF(INDEX('MiT Strom Pipeline'!$C$1:$C$860,$U66)="","",INDEX('MiT Strom Pipeline'!$C$1:$C$860,$U66)))</f>
        <v/>
      </c>
      <c r="D66" s="129" t="str">
        <f aca="false">IF($U66="","",IF(INDEX('MiT Strom Pipeline'!$D$1:$D$860,$U66)="","",INDEX('MiT Strom Pipeline'!$D$1:$D$860,$U66)))</f>
        <v/>
      </c>
      <c r="E66" s="131" t="str">
        <f aca="false">IF($U66="","",IF(ISNUMBER(INDEX('MiT Strom Pipeline'!$O$1:$O$860,$U66)),INDEX('MiT Strom Pipeline'!$O$1:$O$860,$U66),IF(INDEX('MiT Strom Pipeline'!$H$1:$H$860,$U66)="","",INDEX('MiT Strom Pipeline'!$H$1:$H$860,$U66))))</f>
        <v/>
      </c>
      <c r="F66" s="131" t="str">
        <f aca="false">IF($U66="","",IF(ISNUMBER(INDEX('MiT Strom Pipeline'!$P$1:$P$860,$U66)),INDEX('MiT Strom Pipeline'!$P$1:$P$860,$U66),""))</f>
        <v/>
      </c>
      <c r="G66" s="132" t="str">
        <f aca="false">IF($U66="","",IF(ISNUMBER(INDEX('MiT Strom Pipeline'!$I$1:$I$860,$U66)),INDEX('MiT Strom Pipeline'!$I$1:$I$860,$U66),0))</f>
        <v/>
      </c>
      <c r="H66" s="132" t="str">
        <f aca="false">IF($U66="","",IF(ISNUMBER(INDEX('MiT Strom Pipeline'!$Q$1:$Q$860,$U66)),INDEX('MiT Strom Pipeline'!$Q$1:$Q$860,$U66),0))</f>
        <v/>
      </c>
      <c r="I66" s="129" t="str">
        <f aca="false">IF($U66="","",IF(INDEX('MiT Strom Pipeline'!$E$1:$E$860,$U66)="","",INDEX('MiT Strom Pipeline'!$E$1:$E$860,$U66)))</f>
        <v/>
      </c>
      <c r="J66" s="130" t="str">
        <f aca="false">IF($U66="","",INDEX('MiT Strom Pipeline'!$R$1:$R$860,$U66))</f>
        <v/>
      </c>
      <c r="K66" s="133" t="str">
        <f aca="false">IF($U66="","",IF(ISNUMBER(INDEX('MiT Strom Pipeline'!$S$1:$S$860,$U66)),INDEX('MiT Strom Pipeline'!$S$1:$S$860,$U66),""))</f>
        <v/>
      </c>
      <c r="L66" s="129" t="str">
        <f aca="false">IF($U66="","",IF(LEN(INDEX('MiT Strom Pipeline'!$V$1:$V$860,$U66))&gt;0,LEFT(INDEX('MiT Strom Pipeline'!$V$1:$V$860,$U66),55),""))</f>
        <v/>
      </c>
      <c r="M66" s="129" t="str">
        <f aca="false">IF($U66="","",IF(INDEX('MiT Strom Pipeline'!$AF$1:$AF$860,$U66)="","",INDEX('MiT Strom Pipeline'!$AF$1:$AF$860,$U66)))</f>
        <v/>
      </c>
      <c r="N66" s="129" t="str">
        <f aca="false">IF($U66="","",IF(INDEX('MiT Strom Pipeline'!$BB$1:$BB$860,$U66)="","",INDEX('MiT Strom Pipeline'!$BB$1:$BB$860,$U66)))</f>
        <v/>
      </c>
      <c r="O66" s="112"/>
      <c r="P66" s="112"/>
      <c r="Q66" s="112"/>
      <c r="R66" s="112"/>
      <c r="S66" s="112"/>
      <c r="U66" s="1" t="str">
        <f aca="false">IFERROR(MATCH(56,'MiT Strom Pipeline'!$AM$6:$AM$860,0)+5,"")</f>
        <v/>
      </c>
    </row>
    <row r="67" customFormat="false" ht="15.75" hidden="false" customHeight="true" outlineLevel="0" collapsed="false">
      <c r="A67" s="128" t="str">
        <f aca="false">IF($U67="","",IF(ISNUMBER(INDEX('MiT Strom Pipeline'!$A$1:$A$860,$U67)),INDEX('MiT Strom Pipeline'!$A$1:$A$860,$U67),""))</f>
        <v/>
      </c>
      <c r="B67" s="129" t="str">
        <f aca="false">IF($U67="","",IF(INDEX('MiT Strom Pipeline'!$B$1:$B$860,$U67)="","",INDEX('MiT Strom Pipeline'!$B$1:$B$860,$U67)))</f>
        <v/>
      </c>
      <c r="C67" s="130" t="str">
        <f aca="false">IF($U67="","",IF(INDEX('MiT Strom Pipeline'!$C$1:$C$860,$U67)="","",INDEX('MiT Strom Pipeline'!$C$1:$C$860,$U67)))</f>
        <v/>
      </c>
      <c r="D67" s="129" t="str">
        <f aca="false">IF($U67="","",IF(INDEX('MiT Strom Pipeline'!$D$1:$D$860,$U67)="","",INDEX('MiT Strom Pipeline'!$D$1:$D$860,$U67)))</f>
        <v/>
      </c>
      <c r="E67" s="131" t="str">
        <f aca="false">IF($U67="","",IF(ISNUMBER(INDEX('MiT Strom Pipeline'!$O$1:$O$860,$U67)),INDEX('MiT Strom Pipeline'!$O$1:$O$860,$U67),IF(INDEX('MiT Strom Pipeline'!$H$1:$H$860,$U67)="","",INDEX('MiT Strom Pipeline'!$H$1:$H$860,$U67))))</f>
        <v/>
      </c>
      <c r="F67" s="131" t="str">
        <f aca="false">IF($U67="","",IF(ISNUMBER(INDEX('MiT Strom Pipeline'!$P$1:$P$860,$U67)),INDEX('MiT Strom Pipeline'!$P$1:$P$860,$U67),""))</f>
        <v/>
      </c>
      <c r="G67" s="132" t="str">
        <f aca="false">IF($U67="","",IF(ISNUMBER(INDEX('MiT Strom Pipeline'!$I$1:$I$860,$U67)),INDEX('MiT Strom Pipeline'!$I$1:$I$860,$U67),0))</f>
        <v/>
      </c>
      <c r="H67" s="132" t="str">
        <f aca="false">IF($U67="","",IF(ISNUMBER(INDEX('MiT Strom Pipeline'!$Q$1:$Q$860,$U67)),INDEX('MiT Strom Pipeline'!$Q$1:$Q$860,$U67),0))</f>
        <v/>
      </c>
      <c r="I67" s="129" t="str">
        <f aca="false">IF($U67="","",IF(INDEX('MiT Strom Pipeline'!$E$1:$E$860,$U67)="","",INDEX('MiT Strom Pipeline'!$E$1:$E$860,$U67)))</f>
        <v/>
      </c>
      <c r="J67" s="130" t="str">
        <f aca="false">IF($U67="","",INDEX('MiT Strom Pipeline'!$R$1:$R$860,$U67))</f>
        <v/>
      </c>
      <c r="K67" s="133" t="str">
        <f aca="false">IF($U67="","",IF(ISNUMBER(INDEX('MiT Strom Pipeline'!$S$1:$S$860,$U67)),INDEX('MiT Strom Pipeline'!$S$1:$S$860,$U67),""))</f>
        <v/>
      </c>
      <c r="L67" s="129" t="str">
        <f aca="false">IF($U67="","",IF(LEN(INDEX('MiT Strom Pipeline'!$V$1:$V$860,$U67))&gt;0,LEFT(INDEX('MiT Strom Pipeline'!$V$1:$V$860,$U67),55),""))</f>
        <v/>
      </c>
      <c r="M67" s="129" t="str">
        <f aca="false">IF($U67="","",IF(INDEX('MiT Strom Pipeline'!$AF$1:$AF$860,$U67)="","",INDEX('MiT Strom Pipeline'!$AF$1:$AF$860,$U67)))</f>
        <v/>
      </c>
      <c r="N67" s="129" t="str">
        <f aca="false">IF($U67="","",IF(INDEX('MiT Strom Pipeline'!$BB$1:$BB$860,$U67)="","",INDEX('MiT Strom Pipeline'!$BB$1:$BB$860,$U67)))</f>
        <v/>
      </c>
      <c r="O67" s="112"/>
      <c r="P67" s="112"/>
      <c r="Q67" s="112"/>
      <c r="R67" s="112"/>
      <c r="S67" s="112"/>
      <c r="U67" s="1" t="str">
        <f aca="false">IFERROR(MATCH(57,'MiT Strom Pipeline'!$AM$6:$AM$860,0)+5,"")</f>
        <v/>
      </c>
    </row>
    <row r="68" customFormat="false" ht="15.75" hidden="false" customHeight="true" outlineLevel="0" collapsed="false">
      <c r="A68" s="128" t="str">
        <f aca="false">IF($U68="","",IF(ISNUMBER(INDEX('MiT Strom Pipeline'!$A$1:$A$860,$U68)),INDEX('MiT Strom Pipeline'!$A$1:$A$860,$U68),""))</f>
        <v/>
      </c>
      <c r="B68" s="129" t="str">
        <f aca="false">IF($U68="","",IF(INDEX('MiT Strom Pipeline'!$B$1:$B$860,$U68)="","",INDEX('MiT Strom Pipeline'!$B$1:$B$860,$U68)))</f>
        <v/>
      </c>
      <c r="C68" s="130" t="str">
        <f aca="false">IF($U68="","",IF(INDEX('MiT Strom Pipeline'!$C$1:$C$860,$U68)="","",INDEX('MiT Strom Pipeline'!$C$1:$C$860,$U68)))</f>
        <v/>
      </c>
      <c r="D68" s="129" t="str">
        <f aca="false">IF($U68="","",IF(INDEX('MiT Strom Pipeline'!$D$1:$D$860,$U68)="","",INDEX('MiT Strom Pipeline'!$D$1:$D$860,$U68)))</f>
        <v/>
      </c>
      <c r="E68" s="131" t="str">
        <f aca="false">IF($U68="","",IF(ISNUMBER(INDEX('MiT Strom Pipeline'!$O$1:$O$860,$U68)),INDEX('MiT Strom Pipeline'!$O$1:$O$860,$U68),IF(INDEX('MiT Strom Pipeline'!$H$1:$H$860,$U68)="","",INDEX('MiT Strom Pipeline'!$H$1:$H$860,$U68))))</f>
        <v/>
      </c>
      <c r="F68" s="131" t="str">
        <f aca="false">IF($U68="","",IF(ISNUMBER(INDEX('MiT Strom Pipeline'!$P$1:$P$860,$U68)),INDEX('MiT Strom Pipeline'!$P$1:$P$860,$U68),""))</f>
        <v/>
      </c>
      <c r="G68" s="132" t="str">
        <f aca="false">IF($U68="","",IF(ISNUMBER(INDEX('MiT Strom Pipeline'!$I$1:$I$860,$U68)),INDEX('MiT Strom Pipeline'!$I$1:$I$860,$U68),0))</f>
        <v/>
      </c>
      <c r="H68" s="132" t="str">
        <f aca="false">IF($U68="","",IF(ISNUMBER(INDEX('MiT Strom Pipeline'!$Q$1:$Q$860,$U68)),INDEX('MiT Strom Pipeline'!$Q$1:$Q$860,$U68),0))</f>
        <v/>
      </c>
      <c r="I68" s="129" t="str">
        <f aca="false">IF($U68="","",IF(INDEX('MiT Strom Pipeline'!$E$1:$E$860,$U68)="","",INDEX('MiT Strom Pipeline'!$E$1:$E$860,$U68)))</f>
        <v/>
      </c>
      <c r="J68" s="130" t="str">
        <f aca="false">IF($U68="","",INDEX('MiT Strom Pipeline'!$R$1:$R$860,$U68))</f>
        <v/>
      </c>
      <c r="K68" s="133" t="str">
        <f aca="false">IF($U68="","",IF(ISNUMBER(INDEX('MiT Strom Pipeline'!$S$1:$S$860,$U68)),INDEX('MiT Strom Pipeline'!$S$1:$S$860,$U68),""))</f>
        <v/>
      </c>
      <c r="L68" s="129" t="str">
        <f aca="false">IF($U68="","",IF(LEN(INDEX('MiT Strom Pipeline'!$V$1:$V$860,$U68))&gt;0,LEFT(INDEX('MiT Strom Pipeline'!$V$1:$V$860,$U68),55),""))</f>
        <v/>
      </c>
      <c r="M68" s="129" t="str">
        <f aca="false">IF($U68="","",IF(INDEX('MiT Strom Pipeline'!$AF$1:$AF$860,$U68)="","",INDEX('MiT Strom Pipeline'!$AF$1:$AF$860,$U68)))</f>
        <v/>
      </c>
      <c r="N68" s="129" t="str">
        <f aca="false">IF($U68="","",IF(INDEX('MiT Strom Pipeline'!$BB$1:$BB$860,$U68)="","",INDEX('MiT Strom Pipeline'!$BB$1:$BB$860,$U68)))</f>
        <v/>
      </c>
      <c r="O68" s="112"/>
      <c r="P68" s="112"/>
      <c r="Q68" s="112"/>
      <c r="R68" s="112"/>
      <c r="S68" s="112"/>
      <c r="U68" s="1" t="str">
        <f aca="false">IFERROR(MATCH(58,'MiT Strom Pipeline'!$AM$6:$AM$860,0)+5,"")</f>
        <v/>
      </c>
    </row>
    <row r="69" customFormat="false" ht="15.75" hidden="false" customHeight="true" outlineLevel="0" collapsed="false">
      <c r="A69" s="128" t="str">
        <f aca="false">IF($U69="","",IF(ISNUMBER(INDEX('MiT Strom Pipeline'!$A$1:$A$860,$U69)),INDEX('MiT Strom Pipeline'!$A$1:$A$860,$U69),""))</f>
        <v/>
      </c>
      <c r="B69" s="129" t="str">
        <f aca="false">IF($U69="","",IF(INDEX('MiT Strom Pipeline'!$B$1:$B$860,$U69)="","",INDEX('MiT Strom Pipeline'!$B$1:$B$860,$U69)))</f>
        <v/>
      </c>
      <c r="C69" s="130" t="str">
        <f aca="false">IF($U69="","",IF(INDEX('MiT Strom Pipeline'!$C$1:$C$860,$U69)="","",INDEX('MiT Strom Pipeline'!$C$1:$C$860,$U69)))</f>
        <v/>
      </c>
      <c r="D69" s="129" t="str">
        <f aca="false">IF($U69="","",IF(INDEX('MiT Strom Pipeline'!$D$1:$D$860,$U69)="","",INDEX('MiT Strom Pipeline'!$D$1:$D$860,$U69)))</f>
        <v/>
      </c>
      <c r="E69" s="131" t="str">
        <f aca="false">IF($U69="","",IF(ISNUMBER(INDEX('MiT Strom Pipeline'!$O$1:$O$860,$U69)),INDEX('MiT Strom Pipeline'!$O$1:$O$860,$U69),IF(INDEX('MiT Strom Pipeline'!$H$1:$H$860,$U69)="","",INDEX('MiT Strom Pipeline'!$H$1:$H$860,$U69))))</f>
        <v/>
      </c>
      <c r="F69" s="131" t="str">
        <f aca="false">IF($U69="","",IF(ISNUMBER(INDEX('MiT Strom Pipeline'!$P$1:$P$860,$U69)),INDEX('MiT Strom Pipeline'!$P$1:$P$860,$U69),""))</f>
        <v/>
      </c>
      <c r="G69" s="132" t="str">
        <f aca="false">IF($U69="","",IF(ISNUMBER(INDEX('MiT Strom Pipeline'!$I$1:$I$860,$U69)),INDEX('MiT Strom Pipeline'!$I$1:$I$860,$U69),0))</f>
        <v/>
      </c>
      <c r="H69" s="132" t="str">
        <f aca="false">IF($U69="","",IF(ISNUMBER(INDEX('MiT Strom Pipeline'!$Q$1:$Q$860,$U69)),INDEX('MiT Strom Pipeline'!$Q$1:$Q$860,$U69),0))</f>
        <v/>
      </c>
      <c r="I69" s="129" t="str">
        <f aca="false">IF($U69="","",IF(INDEX('MiT Strom Pipeline'!$E$1:$E$860,$U69)="","",INDEX('MiT Strom Pipeline'!$E$1:$E$860,$U69)))</f>
        <v/>
      </c>
      <c r="J69" s="130" t="str">
        <f aca="false">IF($U69="","",INDEX('MiT Strom Pipeline'!$R$1:$R$860,$U69))</f>
        <v/>
      </c>
      <c r="K69" s="133" t="str">
        <f aca="false">IF($U69="","",IF(ISNUMBER(INDEX('MiT Strom Pipeline'!$S$1:$S$860,$U69)),INDEX('MiT Strom Pipeline'!$S$1:$S$860,$U69),""))</f>
        <v/>
      </c>
      <c r="L69" s="129" t="str">
        <f aca="false">IF($U69="","",IF(LEN(INDEX('MiT Strom Pipeline'!$V$1:$V$860,$U69))&gt;0,LEFT(INDEX('MiT Strom Pipeline'!$V$1:$V$860,$U69),55),""))</f>
        <v/>
      </c>
      <c r="M69" s="129" t="str">
        <f aca="false">IF($U69="","",IF(INDEX('MiT Strom Pipeline'!$AF$1:$AF$860,$U69)="","",INDEX('MiT Strom Pipeline'!$AF$1:$AF$860,$U69)))</f>
        <v/>
      </c>
      <c r="N69" s="129" t="str">
        <f aca="false">IF($U69="","",IF(INDEX('MiT Strom Pipeline'!$BB$1:$BB$860,$U69)="","",INDEX('MiT Strom Pipeline'!$BB$1:$BB$860,$U69)))</f>
        <v/>
      </c>
      <c r="O69" s="112"/>
      <c r="P69" s="112"/>
      <c r="Q69" s="112"/>
      <c r="R69" s="112"/>
      <c r="S69" s="112"/>
      <c r="U69" s="1" t="str">
        <f aca="false">IFERROR(MATCH(59,'MiT Strom Pipeline'!$AM$6:$AM$860,0)+5,"")</f>
        <v/>
      </c>
    </row>
    <row r="70" customFormat="false" ht="15.75" hidden="false" customHeight="true" outlineLevel="0" collapsed="false">
      <c r="A70" s="128" t="str">
        <f aca="false">IF($U70="","",IF(ISNUMBER(INDEX('MiT Strom Pipeline'!$A$1:$A$860,$U70)),INDEX('MiT Strom Pipeline'!$A$1:$A$860,$U70),""))</f>
        <v/>
      </c>
      <c r="B70" s="129" t="str">
        <f aca="false">IF($U70="","",IF(INDEX('MiT Strom Pipeline'!$B$1:$B$860,$U70)="","",INDEX('MiT Strom Pipeline'!$B$1:$B$860,$U70)))</f>
        <v/>
      </c>
      <c r="C70" s="130" t="str">
        <f aca="false">IF($U70="","",IF(INDEX('MiT Strom Pipeline'!$C$1:$C$860,$U70)="","",INDEX('MiT Strom Pipeline'!$C$1:$C$860,$U70)))</f>
        <v/>
      </c>
      <c r="D70" s="129" t="str">
        <f aca="false">IF($U70="","",IF(INDEX('MiT Strom Pipeline'!$D$1:$D$860,$U70)="","",INDEX('MiT Strom Pipeline'!$D$1:$D$860,$U70)))</f>
        <v/>
      </c>
      <c r="E70" s="131" t="str">
        <f aca="false">IF($U70="","",IF(ISNUMBER(INDEX('MiT Strom Pipeline'!$O$1:$O$860,$U70)),INDEX('MiT Strom Pipeline'!$O$1:$O$860,$U70),IF(INDEX('MiT Strom Pipeline'!$H$1:$H$860,$U70)="","",INDEX('MiT Strom Pipeline'!$H$1:$H$860,$U70))))</f>
        <v/>
      </c>
      <c r="F70" s="131" t="str">
        <f aca="false">IF($U70="","",IF(ISNUMBER(INDEX('MiT Strom Pipeline'!$P$1:$P$860,$U70)),INDEX('MiT Strom Pipeline'!$P$1:$P$860,$U70),""))</f>
        <v/>
      </c>
      <c r="G70" s="132" t="str">
        <f aca="false">IF($U70="","",IF(ISNUMBER(INDEX('MiT Strom Pipeline'!$I$1:$I$860,$U70)),INDEX('MiT Strom Pipeline'!$I$1:$I$860,$U70),0))</f>
        <v/>
      </c>
      <c r="H70" s="132" t="str">
        <f aca="false">IF($U70="","",IF(ISNUMBER(INDEX('MiT Strom Pipeline'!$Q$1:$Q$860,$U70)),INDEX('MiT Strom Pipeline'!$Q$1:$Q$860,$U70),0))</f>
        <v/>
      </c>
      <c r="I70" s="129" t="str">
        <f aca="false">IF($U70="","",IF(INDEX('MiT Strom Pipeline'!$E$1:$E$860,$U70)="","",INDEX('MiT Strom Pipeline'!$E$1:$E$860,$U70)))</f>
        <v/>
      </c>
      <c r="J70" s="130" t="str">
        <f aca="false">IF($U70="","",INDEX('MiT Strom Pipeline'!$R$1:$R$860,$U70))</f>
        <v/>
      </c>
      <c r="K70" s="133" t="str">
        <f aca="false">IF($U70="","",IF(ISNUMBER(INDEX('MiT Strom Pipeline'!$S$1:$S$860,$U70)),INDEX('MiT Strom Pipeline'!$S$1:$S$860,$U70),""))</f>
        <v/>
      </c>
      <c r="L70" s="129" t="str">
        <f aca="false">IF($U70="","",IF(LEN(INDEX('MiT Strom Pipeline'!$V$1:$V$860,$U70))&gt;0,LEFT(INDEX('MiT Strom Pipeline'!$V$1:$V$860,$U70),55),""))</f>
        <v/>
      </c>
      <c r="M70" s="129" t="str">
        <f aca="false">IF($U70="","",IF(INDEX('MiT Strom Pipeline'!$AF$1:$AF$860,$U70)="","",INDEX('MiT Strom Pipeline'!$AF$1:$AF$860,$U70)))</f>
        <v/>
      </c>
      <c r="N70" s="129" t="str">
        <f aca="false">IF($U70="","",IF(INDEX('MiT Strom Pipeline'!$BB$1:$BB$860,$U70)="","",INDEX('MiT Strom Pipeline'!$BB$1:$BB$860,$U70)))</f>
        <v/>
      </c>
      <c r="O70" s="112"/>
      <c r="P70" s="112"/>
      <c r="Q70" s="112"/>
      <c r="R70" s="112"/>
      <c r="S70" s="112"/>
      <c r="U70" s="1" t="str">
        <f aca="false">IFERROR(MATCH(60,'MiT Strom Pipeline'!$AM$6:$AM$860,0)+5,"")</f>
        <v/>
      </c>
    </row>
    <row r="71" customFormat="false" ht="21.75" hidden="false" customHeight="true" outlineLevel="0" collapsed="false">
      <c r="A71" s="128" t="str">
        <f aca="false">IF($U71="","",IF(ISNUMBER(INDEX('MiT Strom Pipeline'!$A$1:$A$860,$U71)),INDEX('MiT Strom Pipeline'!$A$1:$A$860,$U71),""))</f>
        <v/>
      </c>
      <c r="B71" s="129" t="str">
        <f aca="false">IF($U71="","",IF(INDEX('MiT Strom Pipeline'!$B$1:$B$860,$U71)="","",INDEX('MiT Strom Pipeline'!$B$1:$B$860,$U71)))</f>
        <v/>
      </c>
      <c r="C71" s="130" t="str">
        <f aca="false">IF($U71="","",IF(INDEX('MiT Strom Pipeline'!$C$1:$C$860,$U71)="","",INDEX('MiT Strom Pipeline'!$C$1:$C$860,$U71)))</f>
        <v/>
      </c>
      <c r="D71" s="129" t="str">
        <f aca="false">IF($U71="","",IF(INDEX('MiT Strom Pipeline'!$D$1:$D$860,$U71)="","",INDEX('MiT Strom Pipeline'!$D$1:$D$860,$U71)))</f>
        <v/>
      </c>
      <c r="E71" s="131" t="str">
        <f aca="false">IF($U71="","",IF(ISNUMBER(INDEX('MiT Strom Pipeline'!$O$1:$O$860,$U71)),INDEX('MiT Strom Pipeline'!$O$1:$O$860,$U71),IF(INDEX('MiT Strom Pipeline'!$H$1:$H$860,$U71)="","",INDEX('MiT Strom Pipeline'!$H$1:$H$860,$U71))))</f>
        <v/>
      </c>
      <c r="F71" s="131" t="str">
        <f aca="false">IF($U71="","",IF(ISNUMBER(INDEX('MiT Strom Pipeline'!$P$1:$P$860,$U71)),INDEX('MiT Strom Pipeline'!$P$1:$P$860,$U71),""))</f>
        <v/>
      </c>
      <c r="G71" s="132" t="str">
        <f aca="false">IF($U71="","",IF(ISNUMBER(INDEX('MiT Strom Pipeline'!$I$1:$I$860,$U71)),INDEX('MiT Strom Pipeline'!$I$1:$I$860,$U71),0))</f>
        <v/>
      </c>
      <c r="H71" s="132" t="str">
        <f aca="false">IF($U71="","",IF(ISNUMBER(INDEX('MiT Strom Pipeline'!$Q$1:$Q$860,$U71)),INDEX('MiT Strom Pipeline'!$Q$1:$Q$860,$U71),0))</f>
        <v/>
      </c>
      <c r="I71" s="129" t="str">
        <f aca="false">IF($U71="","",IF(INDEX('MiT Strom Pipeline'!$E$1:$E$860,$U71)="","",INDEX('MiT Strom Pipeline'!$E$1:$E$860,$U71)))</f>
        <v/>
      </c>
      <c r="J71" s="130" t="str">
        <f aca="false">IF($U71="","",INDEX('MiT Strom Pipeline'!$R$1:$R$860,$U71))</f>
        <v/>
      </c>
      <c r="K71" s="133" t="str">
        <f aca="false">IF($U71="","",IF(ISNUMBER(INDEX('MiT Strom Pipeline'!$S$1:$S$860,$U71)),INDEX('MiT Strom Pipeline'!$S$1:$S$860,$U71),""))</f>
        <v/>
      </c>
      <c r="L71" s="129" t="str">
        <f aca="false">IF($U71="","",IF(LEN(INDEX('MiT Strom Pipeline'!$V$1:$V$860,$U71))&gt;0,LEFT(INDEX('MiT Strom Pipeline'!$V$1:$V$860,$U71),55),""))</f>
        <v/>
      </c>
      <c r="M71" s="129" t="str">
        <f aca="false">IF($U71="","",IF(INDEX('MiT Strom Pipeline'!$AF$1:$AF$860,$U71)="","",INDEX('MiT Strom Pipeline'!$AF$1:$AF$860,$U71)))</f>
        <v/>
      </c>
      <c r="N71" s="129" t="str">
        <f aca="false">IF($U71="","",IF(INDEX('MiT Strom Pipeline'!$BB$1:$BB$860,$U71)="","",INDEX('MiT Strom Pipeline'!$BB$1:$BB$860,$U71)))</f>
        <v/>
      </c>
      <c r="O71" s="112"/>
      <c r="P71" s="112"/>
      <c r="Q71" s="112"/>
      <c r="R71" s="112"/>
      <c r="S71" s="112"/>
      <c r="U71" s="1" t="str">
        <f aca="false">IFERROR(MATCH(61,'MiT Strom Pipeline'!$AM$6:$AM$860,0)+5,"")</f>
        <v/>
      </c>
    </row>
    <row r="72" customFormat="false" ht="3.75" hidden="false" customHeight="true" outlineLevel="0" collapsed="false">
      <c r="A72" s="128" t="str">
        <f aca="false">IF($U72="","",IF(ISNUMBER(INDEX('MiT Strom Pipeline'!$A$1:$A$860,$U72)),INDEX('MiT Strom Pipeline'!$A$1:$A$860,$U72),""))</f>
        <v/>
      </c>
      <c r="B72" s="129" t="str">
        <f aca="false">IF($U72="","",IF(INDEX('MiT Strom Pipeline'!$B$1:$B$860,$U72)="","",INDEX('MiT Strom Pipeline'!$B$1:$B$860,$U72)))</f>
        <v/>
      </c>
      <c r="C72" s="130" t="str">
        <f aca="false">IF($U72="","",IF(INDEX('MiT Strom Pipeline'!$C$1:$C$860,$U72)="","",INDEX('MiT Strom Pipeline'!$C$1:$C$860,$U72)))</f>
        <v/>
      </c>
      <c r="D72" s="129" t="str">
        <f aca="false">IF($U72="","",IF(INDEX('MiT Strom Pipeline'!$D$1:$D$860,$U72)="","",INDEX('MiT Strom Pipeline'!$D$1:$D$860,$U72)))</f>
        <v/>
      </c>
      <c r="E72" s="131" t="str">
        <f aca="false">IF($U72="","",IF(ISNUMBER(INDEX('MiT Strom Pipeline'!$O$1:$O$860,$U72)),INDEX('MiT Strom Pipeline'!$O$1:$O$860,$U72),IF(INDEX('MiT Strom Pipeline'!$H$1:$H$860,$U72)="","",INDEX('MiT Strom Pipeline'!$H$1:$H$860,$U72))))</f>
        <v/>
      </c>
      <c r="F72" s="131" t="str">
        <f aca="false">IF($U72="","",IF(ISNUMBER(INDEX('MiT Strom Pipeline'!$P$1:$P$860,$U72)),INDEX('MiT Strom Pipeline'!$P$1:$P$860,$U72),""))</f>
        <v/>
      </c>
      <c r="G72" s="132" t="str">
        <f aca="false">IF($U72="","",IF(ISNUMBER(INDEX('MiT Strom Pipeline'!$I$1:$I$860,$U72)),INDEX('MiT Strom Pipeline'!$I$1:$I$860,$U72),0))</f>
        <v/>
      </c>
      <c r="H72" s="132" t="str">
        <f aca="false">IF($U72="","",IF(ISNUMBER(INDEX('MiT Strom Pipeline'!$Q$1:$Q$860,$U72)),INDEX('MiT Strom Pipeline'!$Q$1:$Q$860,$U72),0))</f>
        <v/>
      </c>
      <c r="I72" s="129" t="str">
        <f aca="false">IF($U72="","",IF(INDEX('MiT Strom Pipeline'!$E$1:$E$860,$U72)="","",INDEX('MiT Strom Pipeline'!$E$1:$E$860,$U72)))</f>
        <v/>
      </c>
      <c r="J72" s="130" t="str">
        <f aca="false">IF($U72="","",INDEX('MiT Strom Pipeline'!$R$1:$R$860,$U72))</f>
        <v/>
      </c>
      <c r="K72" s="133" t="str">
        <f aca="false">IF($U72="","",IF(ISNUMBER(INDEX('MiT Strom Pipeline'!$S$1:$S$860,$U72)),INDEX('MiT Strom Pipeline'!$S$1:$S$860,$U72),""))</f>
        <v/>
      </c>
      <c r="L72" s="129" t="str">
        <f aca="false">IF($U72="","",IF(LEN(INDEX('MiT Strom Pipeline'!$V$1:$V$860,$U72))&gt;0,LEFT(INDEX('MiT Strom Pipeline'!$V$1:$V$860,$U72),55),""))</f>
        <v/>
      </c>
      <c r="M72" s="129" t="str">
        <f aca="false">IF($U72="","",IF(INDEX('MiT Strom Pipeline'!$AF$1:$AF$860,$U72)="","",INDEX('MiT Strom Pipeline'!$AF$1:$AF$860,$U72)))</f>
        <v/>
      </c>
      <c r="N72" s="129" t="str">
        <f aca="false">IF($U72="","",IF(INDEX('MiT Strom Pipeline'!$BB$1:$BB$860,$U72)="","",INDEX('MiT Strom Pipeline'!$BB$1:$BB$860,$U72)))</f>
        <v/>
      </c>
      <c r="O72" s="112"/>
      <c r="P72" s="112"/>
      <c r="Q72" s="112"/>
      <c r="R72" s="112"/>
      <c r="S72" s="112"/>
      <c r="U72" s="1" t="str">
        <f aca="false">IFERROR(MATCH(62,'MiT Strom Pipeline'!$AM$6:$AM$860,0)+5,"")</f>
        <v/>
      </c>
    </row>
    <row r="73" customFormat="false" ht="24" hidden="false" customHeight="true" outlineLevel="0" collapsed="false">
      <c r="A73" s="134" t="s">
        <v>122</v>
      </c>
      <c r="B73" s="134"/>
      <c r="C73" s="134"/>
      <c r="D73" s="134"/>
      <c r="E73" s="134"/>
      <c r="F73" s="134"/>
      <c r="G73" s="134"/>
      <c r="H73" s="134"/>
      <c r="I73" s="134"/>
      <c r="J73" s="134"/>
      <c r="K73" s="134"/>
      <c r="L73" s="134"/>
      <c r="M73" s="134"/>
      <c r="N73" s="134"/>
      <c r="O73" s="112"/>
      <c r="P73" s="112"/>
      <c r="Q73" s="112"/>
      <c r="R73" s="112"/>
      <c r="S73" s="112"/>
    </row>
    <row r="74" customFormat="false" ht="19.5" hidden="false" customHeight="true" outlineLevel="0" collapsed="false">
      <c r="A74" s="126" t="s">
        <v>6</v>
      </c>
      <c r="B74" s="127" t="s">
        <v>115</v>
      </c>
      <c r="C74" s="126" t="s">
        <v>8</v>
      </c>
      <c r="D74" s="127" t="s">
        <v>10</v>
      </c>
      <c r="E74" s="126" t="s">
        <v>9</v>
      </c>
      <c r="F74" s="126" t="s">
        <v>12</v>
      </c>
      <c r="G74" s="126" t="s">
        <v>16</v>
      </c>
      <c r="H74" s="126" t="s">
        <v>116</v>
      </c>
      <c r="I74" s="127" t="s">
        <v>117</v>
      </c>
      <c r="J74" s="126" t="s">
        <v>14</v>
      </c>
      <c r="K74" s="126" t="s">
        <v>118</v>
      </c>
      <c r="L74" s="127" t="s">
        <v>119</v>
      </c>
      <c r="M74" s="127" t="s">
        <v>120</v>
      </c>
      <c r="N74" s="127" t="s">
        <v>121</v>
      </c>
      <c r="O74" s="112"/>
      <c r="P74" s="112"/>
      <c r="Q74" s="112"/>
      <c r="R74" s="112"/>
      <c r="S74" s="112"/>
    </row>
    <row r="75" customFormat="false" ht="38.25" hidden="false" customHeight="true" outlineLevel="0" collapsed="false">
      <c r="A75" s="128" t="n">
        <f aca="false">IF($U75="","",IF(ISNUMBER(INDEX('MiT Strom Pipeline'!$A$1:$A$860,$U75)),INDEX('MiT Strom Pipeline'!$A$1:$A$860,$U75),""))</f>
        <v>6</v>
      </c>
      <c r="B75" s="129" t="str">
        <f aca="false">IF($U75="","",IF(INDEX('MiT Strom Pipeline'!$B$1:$B$860,$U75)="","",INDEX('MiT Strom Pipeline'!$B$1:$B$860,$U75)))</f>
        <v>Wincasa Solothurn</v>
      </c>
      <c r="C75" s="130" t="str">
        <f aca="false">IF($U75="","",IF(INDEX('MiT Strom Pipeline'!$C$1:$C$860,$U75)="","",INDEX('MiT Strom Pipeline'!$C$1:$C$860,$U75)))</f>
        <v>SO</v>
      </c>
      <c r="D75" s="129" t="str">
        <f aca="false">IF($U75="","",IF(INDEX('MiT Strom Pipeline'!$D$1:$D$860,$U75)="","",INDEX('MiT Strom Pipeline'!$D$1:$D$860,$U75)))</f>
        <v>Immobilien / FM</v>
      </c>
      <c r="E75" s="131" t="str">
        <f aca="false">IF($U75="","",IF(ISNUMBER(INDEX('MiT Strom Pipeline'!$O$1:$O$860,$U75)),INDEX('MiT Strom Pipeline'!$O$1:$O$860,$U75),IF(INDEX('MiT Strom Pipeline'!$H$1:$H$860,$U75)="","",INDEX('MiT Strom Pipeline'!$H$1:$H$860,$U75))))</f>
        <v>Mai</v>
      </c>
      <c r="F75" s="131" t="str">
        <f aca="false">IF($U75="","",IF(ISNUMBER(INDEX('MiT Strom Pipeline'!$P$1:$P$860,$U75)),INDEX('MiT Strom Pipeline'!$P$1:$P$860,$U75),""))</f>
        <v/>
      </c>
      <c r="G75" s="132" t="n">
        <f aca="false">IF($U75="","",IF(ISNUMBER(INDEX('MiT Strom Pipeline'!$I$1:$I$860,$U75)),INDEX('MiT Strom Pipeline'!$I$1:$I$860,$U75),0))</f>
        <v>390000</v>
      </c>
      <c r="H75" s="132" t="n">
        <f aca="false">IF($U75="","",IF(ISNUMBER(INDEX('MiT Strom Pipeline'!$Q$1:$Q$860,$U75)),INDEX('MiT Strom Pipeline'!$Q$1:$Q$860,$U75),0))</f>
        <v>0</v>
      </c>
      <c r="I75" s="129" t="str">
        <f aca="false">IF($U75="","",IF(INDEX('MiT Strom Pipeline'!$E$1:$E$860,$U75)="","",INDEX('MiT Strom Pipeline'!$E$1:$E$860,$U75)))</f>
        <v>BESS 1 MWh</v>
      </c>
      <c r="J75" s="130" t="str">
        <f aca="false">IF($U75="","",INDEX('MiT Strom Pipeline'!$R$1:$R$860,$U75))</f>
        <v>offered</v>
      </c>
      <c r="K75" s="133" t="n">
        <f aca="false">IF($U75="","",IF(ISNUMBER(INDEX('MiT Strom Pipeline'!$S$1:$S$860,$U75)),INDEX('MiT Strom Pipeline'!$S$1:$S$860,$U75),""))</f>
        <v>0.3</v>
      </c>
      <c r="L75" s="129" t="str">
        <f aca="false">IF($U75="","",IF(LEN(INDEX('MiT Strom Pipeline'!$V$1:$V$860,$U75))&gt;0,LEFT(INDEX('MiT Strom Pipeline'!$V$1:$V$860,$U75),55),""))</f>
        <v>Entscheider-Meeting anfordern, Businesscase Energie-ROI</v>
      </c>
      <c r="M75" s="129" t="str">
        <f aca="false">IF($U75="","",IF(INDEX('MiT Strom Pipeline'!$AF$1:$AF$860,$U75)="","",INDEX('MiT Strom Pipeline'!$AF$1:$AF$860,$U75)))</f>
        <v/>
      </c>
      <c r="N75" s="129" t="str">
        <f aca="false">IF($U75="","",IF(INDEX('MiT Strom Pipeline'!$BB$1:$BB$860,$U75)="","",INDEX('MiT Strom Pipeline'!$BB$1:$BB$860,$U75)))</f>
        <v>○ Zeitraum offen</v>
      </c>
      <c r="O75" s="112"/>
      <c r="P75" s="112"/>
      <c r="Q75" s="112"/>
      <c r="R75" s="112"/>
      <c r="S75" s="112"/>
      <c r="U75" s="1" t="n">
        <f aca="false">IFERROR(MATCH(1,'MiT Strom Pipeline'!$AN$6:$AN$860,0)+5,"")</f>
        <v>6</v>
      </c>
    </row>
    <row r="76" customFormat="false" ht="51" hidden="false" customHeight="true" outlineLevel="0" collapsed="false">
      <c r="A76" s="128" t="n">
        <f aca="false">IF($U76="","",IF(ISNUMBER(INDEX('MiT Strom Pipeline'!$A$1:$A$860,$U76)),INDEX('MiT Strom Pipeline'!$A$1:$A$860,$U76),""))</f>
        <v>15</v>
      </c>
      <c r="B76" s="129" t="str">
        <f aca="false">IF($U76="","",IF(INDEX('MiT Strom Pipeline'!$B$1:$B$860,$U76)="","",INDEX('MiT Strom Pipeline'!$B$1:$B$860,$U76)))</f>
        <v>Gotthard Base Tunnel</v>
      </c>
      <c r="C76" s="130" t="str">
        <f aca="false">IF($U76="","",IF(INDEX('MiT Strom Pipeline'!$C$1:$C$860,$U76)="","",INDEX('MiT Strom Pipeline'!$C$1:$C$860,$U76)))</f>
        <v>UR</v>
      </c>
      <c r="D76" s="129" t="str">
        <f aca="false">IF($U76="","",IF(INDEX('MiT Strom Pipeline'!$D$1:$D$860,$U76)="","",INDEX('MiT Strom Pipeline'!$D$1:$D$860,$U76)))</f>
        <v>Infrastruktur / Bahn</v>
      </c>
      <c r="E76" s="131" t="str">
        <f aca="false">IF($U76="","",IF(ISNUMBER(INDEX('MiT Strom Pipeline'!$O$1:$O$860,$U76)),INDEX('MiT Strom Pipeline'!$O$1:$O$860,$U76),IF(INDEX('MiT Strom Pipeline'!$H$1:$H$860,$U76)="","",INDEX('MiT Strom Pipeline'!$H$1:$H$860,$U76))))</f>
        <v>tbd</v>
      </c>
      <c r="F76" s="131" t="str">
        <f aca="false">IF($U76="","",IF(ISNUMBER(INDEX('MiT Strom Pipeline'!$P$1:$P$860,$U76)),INDEX('MiT Strom Pipeline'!$P$1:$P$860,$U76),""))</f>
        <v/>
      </c>
      <c r="G76" s="132" t="n">
        <f aca="false">IF($U76="","",IF(ISNUMBER(INDEX('MiT Strom Pipeline'!$I$1:$I$860,$U76)),INDEX('MiT Strom Pipeline'!$I$1:$I$860,$U76),0))</f>
        <v>0</v>
      </c>
      <c r="H76" s="132" t="n">
        <f aca="false">IF($U76="","",IF(ISNUMBER(INDEX('MiT Strom Pipeline'!$Q$1:$Q$860,$U76)),INDEX('MiT Strom Pipeline'!$Q$1:$Q$860,$U76),0))</f>
        <v>0</v>
      </c>
      <c r="I76" s="129" t="str">
        <f aca="false">IF($U76="","",IF(INDEX('MiT Strom Pipeline'!$E$1:$E$860,$U76)="","",INDEX('MiT Strom Pipeline'!$E$1:$E$860,$U76)))</f>
        <v>Grossanlage tbd</v>
      </c>
      <c r="J76" s="130" t="str">
        <f aca="false">IF($U76="","",INDEX('MiT Strom Pipeline'!$R$1:$R$860,$U76))</f>
        <v>on hold</v>
      </c>
      <c r="K76" s="133" t="n">
        <f aca="false">IF($U76="","",IF(ISNUMBER(INDEX('MiT Strom Pipeline'!$S$1:$S$860,$U76)),INDEX('MiT Strom Pipeline'!$S$1:$S$860,$U76),""))</f>
        <v>0.1</v>
      </c>
      <c r="L76" s="129" t="str">
        <f aca="false">IF($U76="","",IF(LEN(INDEX('MiT Strom Pipeline'!$V$1:$V$860,$U76))&gt;0,LEFT(INDEX('MiT Strom Pipeline'!$V$1:$V$860,$U76),55),""))</f>
        <v>Stakeholder identifizieren – AlpTransit/SBB kontaktiere</v>
      </c>
      <c r="M76" s="129" t="str">
        <f aca="false">IF($U76="","",IF(INDEX('MiT Strom Pipeline'!$AF$1:$AF$860,$U76)="","",INDEX('MiT Strom Pipeline'!$AF$1:$AF$860,$U76)))</f>
        <v/>
      </c>
      <c r="N76" s="129" t="str">
        <f aca="false">IF($U76="","",IF(INDEX('MiT Strom Pipeline'!$BB$1:$BB$860,$U76)="","",INDEX('MiT Strom Pipeline'!$BB$1:$BB$860,$U76)))</f>
        <v>○ Einstand offen</v>
      </c>
      <c r="O76" s="112"/>
      <c r="P76" s="112"/>
      <c r="Q76" s="112"/>
      <c r="R76" s="112"/>
      <c r="S76" s="112"/>
      <c r="U76" s="1" t="n">
        <f aca="false">IFERROR(MATCH(2,'MiT Strom Pipeline'!$AN$6:$AN$860,0)+5,"")</f>
        <v>8</v>
      </c>
    </row>
    <row r="77" customFormat="false" ht="38.25" hidden="false" customHeight="true" outlineLevel="0" collapsed="false">
      <c r="A77" s="128" t="n">
        <f aca="false">IF($U77="","",IF(ISNUMBER(INDEX('MiT Strom Pipeline'!$A$1:$A$860,$U77)),INDEX('MiT Strom Pipeline'!$A$1:$A$860,$U77),""))</f>
        <v>33</v>
      </c>
      <c r="B77" s="129" t="str">
        <f aca="false">IF($U77="","",IF(INDEX('MiT Strom Pipeline'!$B$1:$B$860,$U77)="","",INDEX('MiT Strom Pipeline'!$B$1:$B$860,$U77)))</f>
        <v>Oerlikon Metco Wohlen</v>
      </c>
      <c r="C77" s="130" t="str">
        <f aca="false">IF($U77="","",IF(INDEX('MiT Strom Pipeline'!$C$1:$C$860,$U77)="","",INDEX('MiT Strom Pipeline'!$C$1:$C$860,$U77)))</f>
        <v>AG</v>
      </c>
      <c r="D77" s="129" t="str">
        <f aca="false">IF($U77="","",IF(INDEX('MiT Strom Pipeline'!$D$1:$D$860,$U77)="","",INDEX('MiT Strom Pipeline'!$D$1:$D$860,$U77)))</f>
        <v>Industrie</v>
      </c>
      <c r="E77" s="131" t="str">
        <f aca="false">IF($U77="","",IF(ISNUMBER(INDEX('MiT Strom Pipeline'!$O$1:$O$860,$U77)),INDEX('MiT Strom Pipeline'!$O$1:$O$860,$U77),IF(INDEX('MiT Strom Pipeline'!$H$1:$H$860,$U77)="","",INDEX('MiT Strom Pipeline'!$H$1:$H$860,$U77))))</f>
        <v>August</v>
      </c>
      <c r="F77" s="131" t="str">
        <f aca="false">IF($U77="","",IF(ISNUMBER(INDEX('MiT Strom Pipeline'!$P$1:$P$860,$U77)),INDEX('MiT Strom Pipeline'!$P$1:$P$860,$U77),""))</f>
        <v/>
      </c>
      <c r="G77" s="132" t="n">
        <f aca="false">IF($U77="","",IF(ISNUMBER(INDEX('MiT Strom Pipeline'!$I$1:$I$860,$U77)),INDEX('MiT Strom Pipeline'!$I$1:$I$860,$U77),0))</f>
        <v>193598.12</v>
      </c>
      <c r="H77" s="132" t="n">
        <f aca="false">IF($U77="","",IF(ISNUMBER(INDEX('MiT Strom Pipeline'!$Q$1:$Q$860,$U77)),INDEX('MiT Strom Pipeline'!$Q$1:$Q$860,$U77),0))</f>
        <v>96799.06</v>
      </c>
      <c r="I77" s="129" t="str">
        <f aca="false">IF($U77="","",IF(INDEX('MiT Strom Pipeline'!$E$1:$E$860,$U77)="","",INDEX('MiT Strom Pipeline'!$E$1:$E$860,$U77)))</f>
        <v>300 kVA</v>
      </c>
      <c r="J77" s="130" t="str">
        <f aca="false">IF($U77="","",INDEX('MiT Strom Pipeline'!$R$1:$R$860,$U77))</f>
        <v>offered</v>
      </c>
      <c r="K77" s="133" t="n">
        <f aca="false">IF($U77="","",IF(ISNUMBER(INDEX('MiT Strom Pipeline'!$S$1:$S$860,$U77)),INDEX('MiT Strom Pipeline'!$S$1:$S$860,$U77),""))</f>
        <v>0.6</v>
      </c>
      <c r="L77" s="129" t="str">
        <f aca="false">IF($U77="","",IF(LEN(INDEX('MiT Strom Pipeline'!$V$1:$V$860,$U77))&gt;0,LEFT(INDEX('MiT Strom Pipeline'!$V$1:$V$860,$U77),55),""))</f>
        <v>Kunde wahr sehr Zufrieden mit dem 1. Auftrag und im Ans</v>
      </c>
      <c r="M77" s="129" t="str">
        <f aca="false">IF($U77="","",IF(INDEX('MiT Strom Pipeline'!$AF$1:$AF$860,$U77)="","",INDEX('MiT Strom Pipeline'!$AF$1:$AF$860,$U77)))</f>
        <v/>
      </c>
      <c r="N77" s="129" t="str">
        <f aca="false">IF($U77="","",IF(INDEX('MiT Strom Pipeline'!$BB$1:$BB$860,$U77)="","",INDEX('MiT Strom Pipeline'!$BB$1:$BB$860,$U77)))</f>
        <v>○ Zeitraum offen</v>
      </c>
      <c r="O77" s="112"/>
      <c r="P77" s="112"/>
      <c r="Q77" s="112"/>
      <c r="R77" s="112"/>
      <c r="S77" s="112"/>
      <c r="U77" s="1" t="n">
        <f aca="false">IFERROR(MATCH(3,'MiT Strom Pipeline'!$AN$6:$AN$860,0)+5,"")</f>
        <v>16</v>
      </c>
    </row>
    <row r="78" customFormat="false" ht="38.25" hidden="false" customHeight="true" outlineLevel="0" collapsed="false">
      <c r="A78" s="128" t="n">
        <f aca="false">IF($U78="","",IF(ISNUMBER(INDEX('MiT Strom Pipeline'!$A$1:$A$860,$U78)),INDEX('MiT Strom Pipeline'!$A$1:$A$860,$U78),""))</f>
        <v>33</v>
      </c>
      <c r="B78" s="129" t="str">
        <f aca="false">IF($U78="","",IF(INDEX('MiT Strom Pipeline'!$B$1:$B$860,$U78)="","",INDEX('MiT Strom Pipeline'!$B$1:$B$860,$U78)))</f>
        <v>Oerlikon Metco Wohlen</v>
      </c>
      <c r="C78" s="130" t="str">
        <f aca="false">IF($U78="","",IF(INDEX('MiT Strom Pipeline'!$C$1:$C$860,$U78)="","",INDEX('MiT Strom Pipeline'!$C$1:$C$860,$U78)))</f>
        <v>AG</v>
      </c>
      <c r="D78" s="129" t="str">
        <f aca="false">IF($U78="","",IF(INDEX('MiT Strom Pipeline'!$D$1:$D$860,$U78)="","",INDEX('MiT Strom Pipeline'!$D$1:$D$860,$U78)))</f>
        <v>Industrie</v>
      </c>
      <c r="E78" s="131" t="str">
        <f aca="false">IF($U78="","",IF(ISNUMBER(INDEX('MiT Strom Pipeline'!$O$1:$O$860,$U78)),INDEX('MiT Strom Pipeline'!$O$1:$O$860,$U78),IF(INDEX('MiT Strom Pipeline'!$H$1:$H$860,$U78)="","",INDEX('MiT Strom Pipeline'!$H$1:$H$860,$U78))))</f>
        <v>August</v>
      </c>
      <c r="F78" s="131" t="str">
        <f aca="false">IF($U78="","",IF(ISNUMBER(INDEX('MiT Strom Pipeline'!$P$1:$P$860,$U78)),INDEX('MiT Strom Pipeline'!$P$1:$P$860,$U78),""))</f>
        <v/>
      </c>
      <c r="G78" s="132" t="n">
        <f aca="false">IF($U78="","",IF(ISNUMBER(INDEX('MiT Strom Pipeline'!$I$1:$I$860,$U78)),INDEX('MiT Strom Pipeline'!$I$1:$I$860,$U78),0))</f>
        <v>74902.11</v>
      </c>
      <c r="H78" s="132" t="n">
        <f aca="false">IF($U78="","",IF(ISNUMBER(INDEX('MiT Strom Pipeline'!$Q$1:$Q$860,$U78)),INDEX('MiT Strom Pipeline'!$Q$1:$Q$860,$U78),0))</f>
        <v>37451.055</v>
      </c>
      <c r="I78" s="129" t="str">
        <f aca="false">IF($U78="","",IF(INDEX('MiT Strom Pipeline'!$E$1:$E$860,$U78)="","",INDEX('MiT Strom Pipeline'!$E$1:$E$860,$U78)))</f>
        <v>Kaltwasser 100 kW</v>
      </c>
      <c r="J78" s="130" t="str">
        <f aca="false">IF($U78="","",INDEX('MiT Strom Pipeline'!$R$1:$R$860,$U78))</f>
        <v>offered</v>
      </c>
      <c r="K78" s="133" t="n">
        <f aca="false">IF($U78="","",IF(ISNUMBER(INDEX('MiT Strom Pipeline'!$S$1:$S$860,$U78)),INDEX('MiT Strom Pipeline'!$S$1:$S$860,$U78),""))</f>
        <v>0.6</v>
      </c>
      <c r="L78" s="129" t="str">
        <f aca="false">IF($U78="","",IF(LEN(INDEX('MiT Strom Pipeline'!$V$1:$V$860,$U78))&gt;0,LEFT(INDEX('MiT Strom Pipeline'!$V$1:$V$860,$U78),55),""))</f>
        <v>Kunde wahr sehr Zufrieden mit dem 1. Auftrag und im Ans</v>
      </c>
      <c r="M78" s="129" t="str">
        <f aca="false">IF($U78="","",IF(INDEX('MiT Strom Pipeline'!$AF$1:$AF$860,$U78)="","",INDEX('MiT Strom Pipeline'!$AF$1:$AF$860,$U78)))</f>
        <v/>
      </c>
      <c r="N78" s="129" t="str">
        <f aca="false">IF($U78="","",IF(INDEX('MiT Strom Pipeline'!$BB$1:$BB$860,$U78)="","",INDEX('MiT Strom Pipeline'!$BB$1:$BB$860,$U78)))</f>
        <v>○ Zeitraum offen</v>
      </c>
      <c r="O78" s="112"/>
      <c r="P78" s="112"/>
      <c r="Q78" s="112"/>
      <c r="R78" s="112"/>
      <c r="S78" s="112"/>
      <c r="U78" s="1" t="n">
        <f aca="false">IFERROR(MATCH(4,'MiT Strom Pipeline'!$AN$6:$AN$860,0)+5,"")</f>
        <v>17</v>
      </c>
    </row>
    <row r="79" customFormat="false" ht="51" hidden="false" customHeight="true" outlineLevel="0" collapsed="false">
      <c r="A79" s="128" t="n">
        <f aca="false">IF($U79="","",IF(ISNUMBER(INDEX('MiT Strom Pipeline'!$A$1:$A$860,$U79)),INDEX('MiT Strom Pipeline'!$A$1:$A$860,$U79),""))</f>
        <v>13</v>
      </c>
      <c r="B79" s="129" t="str">
        <f aca="false">IF($U79="","",IF(INDEX('MiT Strom Pipeline'!$B$1:$B$860,$U79)="","",INDEX('MiT Strom Pipeline'!$B$1:$B$860,$U79)))</f>
        <v>Proxima Fusion AG</v>
      </c>
      <c r="C79" s="130" t="str">
        <f aca="false">IF($U79="","",IF(INDEX('MiT Strom Pipeline'!$C$1:$C$860,$U79)="","",INDEX('MiT Strom Pipeline'!$C$1:$C$860,$U79)))</f>
        <v>ZH</v>
      </c>
      <c r="D79" s="129" t="str">
        <f aca="false">IF($U79="","",IF(INDEX('MiT Strom Pipeline'!$D$1:$D$860,$U79)="","",INDEX('MiT Strom Pipeline'!$D$1:$D$860,$U79)))</f>
        <v>Forschung / Hightech</v>
      </c>
      <c r="E79" s="131" t="str">
        <f aca="false">IF($U79="","",IF(ISNUMBER(INDEX('MiT Strom Pipeline'!$O$1:$O$860,$U79)),INDEX('MiT Strom Pipeline'!$O$1:$O$860,$U79),IF(INDEX('MiT Strom Pipeline'!$H$1:$H$860,$U79)="","",INDEX('MiT Strom Pipeline'!$H$1:$H$860,$U79))))</f>
        <v>Juli</v>
      </c>
      <c r="F79" s="131" t="str">
        <f aca="false">IF($U79="","",IF(ISNUMBER(INDEX('MiT Strom Pipeline'!$P$1:$P$860,$U79)),INDEX('MiT Strom Pipeline'!$P$1:$P$860,$U79),""))</f>
        <v/>
      </c>
      <c r="G79" s="132" t="n">
        <f aca="false">IF($U79="","",IF(ISNUMBER(INDEX('MiT Strom Pipeline'!$I$1:$I$860,$U79)),INDEX('MiT Strom Pipeline'!$I$1:$I$860,$U79),0))</f>
        <v>365003</v>
      </c>
      <c r="H79" s="132" t="n">
        <f aca="false">IF($U79="","",IF(ISNUMBER(INDEX('MiT Strom Pipeline'!$Q$1:$Q$860,$U79)),INDEX('MiT Strom Pipeline'!$Q$1:$Q$860,$U79),0))</f>
        <v>0</v>
      </c>
      <c r="I79" s="129" t="str">
        <f aca="false">IF($U79="","",IF(INDEX('MiT Strom Pipeline'!$E$1:$E$860,$U79)="","",INDEX('MiT Strom Pipeline'!$E$1:$E$860,$U79)))</f>
        <v>BESS 1 MWh</v>
      </c>
      <c r="J79" s="130" t="str">
        <f aca="false">IF($U79="","",INDEX('MiT Strom Pipeline'!$R$1:$R$860,$U79))</f>
        <v>offered</v>
      </c>
      <c r="K79" s="133" t="n">
        <f aca="false">IF($U79="","",IF(ISNUMBER(INDEX('MiT Strom Pipeline'!$S$1:$S$860,$U79)),INDEX('MiT Strom Pipeline'!$S$1:$S$860,$U79),""))</f>
        <v>0.3</v>
      </c>
      <c r="L79" s="129" t="str">
        <f aca="false">IF($U79="","",IF(LEN(INDEX('MiT Strom Pipeline'!$V$1:$V$860,$U79))&gt;0,LEFT(INDEX('MiT Strom Pipeline'!$V$1:$V$860,$U79),55),""))</f>
        <v>Technisches Gespräch – USV + PQ-Anforderungen klären, K</v>
      </c>
      <c r="M79" s="129" t="str">
        <f aca="false">IF($U79="","",IF(INDEX('MiT Strom Pipeline'!$AF$1:$AF$860,$U79)="","",INDEX('MiT Strom Pipeline'!$AF$1:$AF$860,$U79)))</f>
        <v/>
      </c>
      <c r="N79" s="129" t="str">
        <f aca="false">IF($U79="","",IF(INDEX('MiT Strom Pipeline'!$BB$1:$BB$860,$U79)="","",INDEX('MiT Strom Pipeline'!$BB$1:$BB$860,$U79)))</f>
        <v>○ Zeitraum offen</v>
      </c>
      <c r="O79" s="112"/>
      <c r="P79" s="112"/>
      <c r="Q79" s="112"/>
      <c r="R79" s="112"/>
      <c r="S79" s="112"/>
      <c r="U79" s="1" t="n">
        <f aca="false">IFERROR(MATCH(5,'MiT Strom Pipeline'!$AN$6:$AN$860,0)+5,"")</f>
        <v>18</v>
      </c>
    </row>
    <row r="80" customFormat="false" ht="51" hidden="false" customHeight="true" outlineLevel="0" collapsed="false">
      <c r="A80" s="128" t="n">
        <f aca="false">IF($U80="","",IF(ISNUMBER(INDEX('MiT Strom Pipeline'!$A$1:$A$860,$U80)),INDEX('MiT Strom Pipeline'!$A$1:$A$860,$U80),""))</f>
        <v>25</v>
      </c>
      <c r="B80" s="129" t="str">
        <f aca="false">IF($U80="","",IF(INDEX('MiT Strom Pipeline'!$B$1:$B$860,$U80)="","",INDEX('MiT Strom Pipeline'!$B$1:$B$860,$U80)))</f>
        <v>Reto EKAG</v>
      </c>
      <c r="C80" s="130" t="str">
        <f aca="false">IF($U80="","",IF(INDEX('MiT Strom Pipeline'!$C$1:$C$860,$U80)="","",INDEX('MiT Strom Pipeline'!$C$1:$C$860,$U80)))</f>
        <v>AG</v>
      </c>
      <c r="D80" s="129" t="str">
        <f aca="false">IF($U80="","",IF(INDEX('MiT Strom Pipeline'!$D$1:$D$860,$U80)="","",INDEX('MiT Strom Pipeline'!$D$1:$D$860,$U80)))</f>
        <v>Elektroinstallation</v>
      </c>
      <c r="E80" s="131" t="str">
        <f aca="false">IF($U80="","",IF(ISNUMBER(INDEX('MiT Strom Pipeline'!$O$1:$O$860,$U80)),INDEX('MiT Strom Pipeline'!$O$1:$O$860,$U80),IF(INDEX('MiT Strom Pipeline'!$H$1:$H$860,$U80)="","",INDEX('MiT Strom Pipeline'!$H$1:$H$860,$U80))))</f>
        <v>Okt</v>
      </c>
      <c r="F80" s="131" t="str">
        <f aca="false">IF($U80="","",IF(ISNUMBER(INDEX('MiT Strom Pipeline'!$P$1:$P$860,$U80)),INDEX('MiT Strom Pipeline'!$P$1:$P$860,$U80),""))</f>
        <v/>
      </c>
      <c r="G80" s="132" t="n">
        <f aca="false">IF($U80="","",IF(ISNUMBER(INDEX('MiT Strom Pipeline'!$I$1:$I$860,$U80)),INDEX('MiT Strom Pipeline'!$I$1:$I$860,$U80),0))</f>
        <v>57249.54</v>
      </c>
      <c r="H80" s="132" t="n">
        <f aca="false">IF($U80="","",IF(ISNUMBER(INDEX('MiT Strom Pipeline'!$Q$1:$Q$860,$U80)),INDEX('MiT Strom Pipeline'!$Q$1:$Q$860,$U80),0))</f>
        <v>51524.586</v>
      </c>
      <c r="I80" s="129" t="str">
        <f aca="false">IF($U80="","",IF(INDEX('MiT Strom Pipeline'!$E$1:$E$860,$U80)="","",INDEX('MiT Strom Pipeline'!$E$1:$E$860,$U80)))</f>
        <v>Option B 1x 6 kVA Trafo, 1x 3000 kVA Trafo, 1x 6000 kVA Lastbank, 1x 3300 kVA Lastbank</v>
      </c>
      <c r="J80" s="130" t="str">
        <f aca="false">IF($U80="","",INDEX('MiT Strom Pipeline'!$R$1:$R$860,$U80))</f>
        <v>offered</v>
      </c>
      <c r="K80" s="133" t="n">
        <f aca="false">IF($U80="","",IF(ISNUMBER(INDEX('MiT Strom Pipeline'!$S$1:$S$860,$U80)),INDEX('MiT Strom Pipeline'!$S$1:$S$860,$U80),""))</f>
        <v>0.9</v>
      </c>
      <c r="L80" s="129" t="str">
        <f aca="false">IF($U80="","",IF(LEN(INDEX('MiT Strom Pipeline'!$V$1:$V$860,$U80))&gt;0,LEFT(INDEX('MiT Strom Pipeline'!$V$1:$V$860,$U80),55),""))</f>
        <v>Kunde Telefon Kontaktiert und Vor Ort 
Besichtigung und</v>
      </c>
      <c r="M80" s="129" t="str">
        <f aca="false">IF($U80="","",IF(INDEX('MiT Strom Pipeline'!$AF$1:$AF$860,$U80)="","",INDEX('MiT Strom Pipeline'!$AF$1:$AF$860,$U80)))</f>
        <v/>
      </c>
      <c r="N80" s="129" t="str">
        <f aca="false">IF($U80="","",IF(INDEX('MiT Strom Pipeline'!$BB$1:$BB$860,$U80)="","",INDEX('MiT Strom Pipeline'!$BB$1:$BB$860,$U80)))</f>
        <v>○ Zeitraum offen</v>
      </c>
      <c r="O80" s="112"/>
      <c r="P80" s="112"/>
      <c r="Q80" s="112"/>
      <c r="R80" s="112"/>
      <c r="S80" s="112"/>
      <c r="U80" s="1" t="n">
        <f aca="false">IFERROR(MATCH(6,'MiT Strom Pipeline'!$AN$6:$AN$860,0)+5,"")</f>
        <v>19</v>
      </c>
    </row>
    <row r="81" customFormat="false" ht="38.25" hidden="false" customHeight="true" outlineLevel="0" collapsed="false">
      <c r="A81" s="128" t="n">
        <f aca="false">IF($U81="","",IF(ISNUMBER(INDEX('MiT Strom Pipeline'!$A$1:$A$860,$U81)),INDEX('MiT Strom Pipeline'!$A$1:$A$860,$U81),""))</f>
        <v>25</v>
      </c>
      <c r="B81" s="129" t="str">
        <f aca="false">IF($U81="","",IF(INDEX('MiT Strom Pipeline'!$B$1:$B$860,$U81)="","",INDEX('MiT Strom Pipeline'!$B$1:$B$860,$U81)))</f>
        <v>Reto EKAG</v>
      </c>
      <c r="C81" s="130" t="str">
        <f aca="false">IF($U81="","",IF(INDEX('MiT Strom Pipeline'!$C$1:$C$860,$U81)="","",INDEX('MiT Strom Pipeline'!$C$1:$C$860,$U81)))</f>
        <v>AG</v>
      </c>
      <c r="D81" s="129" t="str">
        <f aca="false">IF($U81="","",IF(INDEX('MiT Strom Pipeline'!$D$1:$D$860,$U81)="","",INDEX('MiT Strom Pipeline'!$D$1:$D$860,$U81)))</f>
        <v>Elektroinstallation</v>
      </c>
      <c r="E81" s="131" t="str">
        <f aca="false">IF($U81="","",IF(ISNUMBER(INDEX('MiT Strom Pipeline'!$O$1:$O$860,$U81)),INDEX('MiT Strom Pipeline'!$O$1:$O$860,$U81),IF(INDEX('MiT Strom Pipeline'!$H$1:$H$860,$U81)="","",INDEX('MiT Strom Pipeline'!$H$1:$H$860,$U81))))</f>
        <v>Okt</v>
      </c>
      <c r="F81" s="131" t="str">
        <f aca="false">IF($U81="","",IF(ISNUMBER(INDEX('MiT Strom Pipeline'!$P$1:$P$860,$U81)),INDEX('MiT Strom Pipeline'!$P$1:$P$860,$U81),""))</f>
        <v/>
      </c>
      <c r="G81" s="132" t="n">
        <f aca="false">IF($U81="","",IF(ISNUMBER(INDEX('MiT Strom Pipeline'!$I$1:$I$860,$U81)),INDEX('MiT Strom Pipeline'!$I$1:$I$860,$U81),0))</f>
        <v>15664.18</v>
      </c>
      <c r="H81" s="132" t="n">
        <f aca="false">IF($U81="","",IF(ISNUMBER(INDEX('MiT Strom Pipeline'!$Q$1:$Q$860,$U81)),INDEX('MiT Strom Pipeline'!$Q$1:$Q$860,$U81),0))</f>
        <v>14097.762</v>
      </c>
      <c r="I81" s="129" t="str">
        <f aca="false">IF($U81="","",IF(INDEX('MiT Strom Pipeline'!$E$1:$E$860,$U81)="","",INDEX('MiT Strom Pipeline'!$E$1:$E$860,$U81)))</f>
        <v>MS Kabel 95mm</v>
      </c>
      <c r="J81" s="130" t="str">
        <f aca="false">IF($U81="","",INDEX('MiT Strom Pipeline'!$R$1:$R$860,$U81))</f>
        <v>offered</v>
      </c>
      <c r="K81" s="133" t="n">
        <f aca="false">IF($U81="","",IF(ISNUMBER(INDEX('MiT Strom Pipeline'!$S$1:$S$860,$U81)),INDEX('MiT Strom Pipeline'!$S$1:$S$860,$U81),""))</f>
        <v>0.9</v>
      </c>
      <c r="L81" s="129" t="str">
        <f aca="false">IF($U81="","",IF(LEN(INDEX('MiT Strom Pipeline'!$V$1:$V$860,$U81))&gt;0,LEFT(INDEX('MiT Strom Pipeline'!$V$1:$V$860,$U81),55),""))</f>
        <v>Kunde Telefon Kontaktiert und Vor Ort 
Besichtigung und</v>
      </c>
      <c r="M81" s="129" t="str">
        <f aca="false">IF($U81="","",IF(INDEX('MiT Strom Pipeline'!$AF$1:$AF$860,$U81)="","",INDEX('MiT Strom Pipeline'!$AF$1:$AF$860,$U81)))</f>
        <v/>
      </c>
      <c r="N81" s="129" t="str">
        <f aca="false">IF($U81="","",IF(INDEX('MiT Strom Pipeline'!$BB$1:$BB$860,$U81)="","",INDEX('MiT Strom Pipeline'!$BB$1:$BB$860,$U81)))</f>
        <v>○ Zeitraum offen</v>
      </c>
      <c r="O81" s="112"/>
      <c r="P81" s="112"/>
      <c r="Q81" s="112"/>
      <c r="R81" s="112"/>
      <c r="S81" s="112"/>
      <c r="U81" s="1" t="n">
        <f aca="false">IFERROR(MATCH(7,'MiT Strom Pipeline'!$AN$6:$AN$860,0)+5,"")</f>
        <v>20</v>
      </c>
    </row>
    <row r="82" customFormat="false" ht="38.25" hidden="false" customHeight="true" outlineLevel="0" collapsed="false">
      <c r="A82" s="128" t="n">
        <f aca="false">IF($U82="","",IF(ISNUMBER(INDEX('MiT Strom Pipeline'!$A$1:$A$860,$U82)),INDEX('MiT Strom Pipeline'!$A$1:$A$860,$U82),""))</f>
        <v>28</v>
      </c>
      <c r="B82" s="129" t="str">
        <f aca="false">IF($U82="","",IF(INDEX('MiT Strom Pipeline'!$B$1:$B$860,$U82)="","",INDEX('MiT Strom Pipeline'!$B$1:$B$860,$U82)))</f>
        <v>WEF</v>
      </c>
      <c r="C82" s="130" t="str">
        <f aca="false">IF($U82="","",IF(INDEX('MiT Strom Pipeline'!$C$1:$C$860,$U82)="","",INDEX('MiT Strom Pipeline'!$C$1:$C$860,$U82)))</f>
        <v>GR</v>
      </c>
      <c r="D82" s="129" t="str">
        <f aca="false">IF($U82="","",IF(INDEX('MiT Strom Pipeline'!$D$1:$D$860,$U82)="","",INDEX('MiT Strom Pipeline'!$D$1:$D$860,$U82)))</f>
        <v>Event</v>
      </c>
      <c r="E82" s="131" t="str">
        <f aca="false">IF($U82="","",IF(ISNUMBER(INDEX('MiT Strom Pipeline'!$O$1:$O$860,$U82)),INDEX('MiT Strom Pipeline'!$O$1:$O$860,$U82),IF(INDEX('MiT Strom Pipeline'!$H$1:$H$860,$U82)="","",INDEX('MiT Strom Pipeline'!$H$1:$H$860,$U82))))</f>
        <v>Jan</v>
      </c>
      <c r="F82" s="131" t="str">
        <f aca="false">IF($U82="","",IF(ISNUMBER(INDEX('MiT Strom Pipeline'!$P$1:$P$860,$U82)),INDEX('MiT Strom Pipeline'!$P$1:$P$860,$U82),""))</f>
        <v/>
      </c>
      <c r="G82" s="132" t="n">
        <f aca="false">IF($U82="","",IF(ISNUMBER(INDEX('MiT Strom Pipeline'!$I$1:$I$860,$U82)),INDEX('MiT Strom Pipeline'!$I$1:$I$860,$U82),0))</f>
        <v>77325.62</v>
      </c>
      <c r="H82" s="132" t="n">
        <f aca="false">IF($U82="","",IF(ISNUMBER(INDEX('MiT Strom Pipeline'!$Q$1:$Q$860,$U82)),INDEX('MiT Strom Pipeline'!$Q$1:$Q$860,$U82),0))</f>
        <v>0</v>
      </c>
      <c r="I82" s="129" t="str">
        <f aca="false">IF($U82="","",IF(INDEX('MiT Strom Pipeline'!$E$1:$E$860,$U82)="","",INDEX('MiT Strom Pipeline'!$E$1:$E$860,$U82)))</f>
        <v>1500 kVA, 600 kVA, 450 kVA, 450 kVA</v>
      </c>
      <c r="J82" s="130" t="str">
        <f aca="false">IF($U82="","",INDEX('MiT Strom Pipeline'!$R$1:$R$860,$U82))</f>
        <v>offered</v>
      </c>
      <c r="K82" s="133" t="n">
        <f aca="false">IF($U82="","",IF(ISNUMBER(INDEX('MiT Strom Pipeline'!$S$1:$S$860,$U82)),INDEX('MiT Strom Pipeline'!$S$1:$S$860,$U82),""))</f>
        <v>0.3</v>
      </c>
      <c r="L82" s="129" t="str">
        <f aca="false">IF($U82="","",IF(LEN(INDEX('MiT Strom Pipeline'!$V$1:$V$860,$U82))&gt;0,LEFT(INDEX('MiT Strom Pipeline'!$V$1:$V$860,$U82),55),""))</f>
        <v>Offerte erstellt, Stefan hat die Offerte bekommen, Stef</v>
      </c>
      <c r="M82" s="129" t="str">
        <f aca="false">IF($U82="","",IF(INDEX('MiT Strom Pipeline'!$AF$1:$AF$860,$U82)="","",INDEX('MiT Strom Pipeline'!$AF$1:$AF$860,$U82)))</f>
        <v/>
      </c>
      <c r="N82" s="129" t="str">
        <f aca="false">IF($U82="","",IF(INDEX('MiT Strom Pipeline'!$BB$1:$BB$860,$U82)="","",INDEX('MiT Strom Pipeline'!$BB$1:$BB$860,$U82)))</f>
        <v>○ Einstand offen</v>
      </c>
      <c r="O82" s="112"/>
      <c r="P82" s="112"/>
      <c r="Q82" s="112"/>
      <c r="R82" s="112"/>
      <c r="S82" s="112"/>
      <c r="U82" s="1" t="n">
        <f aca="false">IFERROR(MATCH(8,'MiT Strom Pipeline'!$AN$6:$AN$860,0)+5,"")</f>
        <v>21</v>
      </c>
    </row>
    <row r="83" customFormat="false" ht="38.25" hidden="false" customHeight="true" outlineLevel="0" collapsed="false">
      <c r="A83" s="128" t="n">
        <f aca="false">IF($U83="","",IF(ISNUMBER(INDEX('MiT Strom Pipeline'!$A$1:$A$860,$U83)),INDEX('MiT Strom Pipeline'!$A$1:$A$860,$U83),""))</f>
        <v>8</v>
      </c>
      <c r="B83" s="129" t="str">
        <f aca="false">IF($U83="","",IF(INDEX('MiT Strom Pipeline'!$B$1:$B$860,$U83)="","",INDEX('MiT Strom Pipeline'!$B$1:$B$860,$U83)))</f>
        <v>Sade CGTH (Schweiz)</v>
      </c>
      <c r="C83" s="130" t="str">
        <f aca="false">IF($U83="","",IF(INDEX('MiT Strom Pipeline'!$C$1:$C$860,$U83)="","",INDEX('MiT Strom Pipeline'!$C$1:$C$860,$U83)))</f>
        <v>GE</v>
      </c>
      <c r="D83" s="129" t="str">
        <f aca="false">IF($U83="","",IF(INDEX('MiT Strom Pipeline'!$D$1:$D$860,$U83)="","",INDEX('MiT Strom Pipeline'!$D$1:$D$860,$U83)))</f>
        <v>Infrastruktur / Bau</v>
      </c>
      <c r="E83" s="131" t="str">
        <f aca="false">IF($U83="","",IF(ISNUMBER(INDEX('MiT Strom Pipeline'!$O$1:$O$860,$U83)),INDEX('MiT Strom Pipeline'!$O$1:$O$860,$U83),IF(INDEX('MiT Strom Pipeline'!$H$1:$H$860,$U83)="","",INDEX('MiT Strom Pipeline'!$H$1:$H$860,$U83))))</f>
        <v>April</v>
      </c>
      <c r="F83" s="131" t="str">
        <f aca="false">IF($U83="","",IF(ISNUMBER(INDEX('MiT Strom Pipeline'!$P$1:$P$860,$U83)),INDEX('MiT Strom Pipeline'!$P$1:$P$860,$U83),""))</f>
        <v/>
      </c>
      <c r="G83" s="132" t="n">
        <f aca="false">IF($U83="","",IF(ISNUMBER(INDEX('MiT Strom Pipeline'!$I$1:$I$860,$U83)),INDEX('MiT Strom Pipeline'!$I$1:$I$860,$U83),0))</f>
        <v>38885</v>
      </c>
      <c r="H83" s="132" t="n">
        <f aca="false">IF($U83="","",IF(ISNUMBER(INDEX('MiT Strom Pipeline'!$Q$1:$Q$860,$U83)),INDEX('MiT Strom Pipeline'!$Q$1:$Q$860,$U83),0))</f>
        <v>0</v>
      </c>
      <c r="I83" s="129" t="str">
        <f aca="false">IF($U83="","",IF(INDEX('MiT Strom Pipeline'!$E$1:$E$860,$U83)="","",INDEX('MiT Strom Pipeline'!$E$1:$E$860,$U83)))</f>
        <v>750 kVA Generator</v>
      </c>
      <c r="J83" s="130" t="str">
        <f aca="false">IF($U83="","",INDEX('MiT Strom Pipeline'!$R$1:$R$860,$U83))</f>
        <v>on hold</v>
      </c>
      <c r="K83" s="133" t="n">
        <f aca="false">IF($U83="","",IF(ISNUMBER(INDEX('MiT Strom Pipeline'!$S$1:$S$860,$U83)),INDEX('MiT Strom Pipeline'!$S$1:$S$860,$U83),""))</f>
        <v>0.3</v>
      </c>
      <c r="L83" s="129" t="str">
        <f aca="false">IF($U83="","",IF(LEN(INDEX('MiT Strom Pipeline'!$V$1:$V$860,$U83))&gt;0,LEFT(INDEX('MiT Strom Pipeline'!$V$1:$V$860,$U83),55),""))</f>
        <v>Auftragsbestätigung anfordern – Entscheid steht bevor</v>
      </c>
      <c r="M83" s="129" t="str">
        <f aca="false">IF($U83="","",IF(INDEX('MiT Strom Pipeline'!$AF$1:$AF$860,$U83)="","",INDEX('MiT Strom Pipeline'!$AF$1:$AF$860,$U83)))</f>
        <v/>
      </c>
      <c r="N83" s="129" t="str">
        <f aca="false">IF($U83="","",IF(INDEX('MiT Strom Pipeline'!$BB$1:$BB$860,$U83)="","",INDEX('MiT Strom Pipeline'!$BB$1:$BB$860,$U83)))</f>
        <v>○ Zeitraum offen</v>
      </c>
      <c r="O83" s="112"/>
      <c r="P83" s="112"/>
      <c r="Q83" s="112"/>
      <c r="R83" s="112"/>
      <c r="S83" s="112"/>
      <c r="U83" s="1" t="n">
        <f aca="false">IFERROR(MATCH(9,'MiT Strom Pipeline'!$AN$6:$AN$860,0)+5,"")</f>
        <v>28</v>
      </c>
    </row>
    <row r="84" customFormat="false" ht="38.25" hidden="false" customHeight="true" outlineLevel="0" collapsed="false">
      <c r="A84" s="128" t="n">
        <f aca="false">IF($U84="","",IF(ISNUMBER(INDEX('MiT Strom Pipeline'!$A$1:$A$860,$U84)),INDEX('MiT Strom Pipeline'!$A$1:$A$860,$U84),""))</f>
        <v>14</v>
      </c>
      <c r="B84" s="129" t="str">
        <f aca="false">IF($U84="","",IF(INDEX('MiT Strom Pipeline'!$B$1:$B$860,$U84)="","",INDEX('MiT Strom Pipeline'!$B$1:$B$860,$U84)))</f>
        <v>Trafag AG</v>
      </c>
      <c r="C84" s="130" t="str">
        <f aca="false">IF($U84="","",IF(INDEX('MiT Strom Pipeline'!$C$1:$C$860,$U84)="","",INDEX('MiT Strom Pipeline'!$C$1:$C$860,$U84)))</f>
        <v>ZH</v>
      </c>
      <c r="D84" s="129" t="str">
        <f aca="false">IF($U84="","",IF(INDEX('MiT Strom Pipeline'!$D$1:$D$860,$U84)="","",INDEX('MiT Strom Pipeline'!$D$1:$D$860,$U84)))</f>
        <v>Industrie / Messtechnik</v>
      </c>
      <c r="E84" s="131" t="str">
        <f aca="false">IF($U84="","",IF(ISNUMBER(INDEX('MiT Strom Pipeline'!$O$1:$O$860,$U84)),INDEX('MiT Strom Pipeline'!$O$1:$O$860,$U84),IF(INDEX('MiT Strom Pipeline'!$H$1:$H$860,$U84)="","",INDEX('MiT Strom Pipeline'!$H$1:$H$860,$U84))))</f>
        <v>tbd</v>
      </c>
      <c r="F84" s="131" t="str">
        <f aca="false">IF($U84="","",IF(ISNUMBER(INDEX('MiT Strom Pipeline'!$P$1:$P$860,$U84)),INDEX('MiT Strom Pipeline'!$P$1:$P$860,$U84),""))</f>
        <v/>
      </c>
      <c r="G84" s="132" t="n">
        <f aca="false">IF($U84="","",IF(ISNUMBER(INDEX('MiT Strom Pipeline'!$I$1:$I$860,$U84)),INDEX('MiT Strom Pipeline'!$I$1:$I$860,$U84),0))</f>
        <v>17300</v>
      </c>
      <c r="H84" s="132" t="n">
        <f aca="false">IF($U84="","",IF(ISNUMBER(INDEX('MiT Strom Pipeline'!$Q$1:$Q$860,$U84)),INDEX('MiT Strom Pipeline'!$Q$1:$Q$860,$U84),0))</f>
        <v>0</v>
      </c>
      <c r="I84" s="129" t="str">
        <f aca="false">IF($U84="","",IF(INDEX('MiT Strom Pipeline'!$E$1:$E$860,$U84)="","",INDEX('MiT Strom Pipeline'!$E$1:$E$860,$U84)))</f>
        <v>450 kVA Generator</v>
      </c>
      <c r="J84" s="130" t="str">
        <f aca="false">IF($U84="","",INDEX('MiT Strom Pipeline'!$R$1:$R$860,$U84))</f>
        <v>offered</v>
      </c>
      <c r="K84" s="133" t="n">
        <f aca="false">IF($U84="","",IF(ISNUMBER(INDEX('MiT Strom Pipeline'!$S$1:$S$860,$U84)),INDEX('MiT Strom Pipeline'!$S$1:$S$860,$U84),""))</f>
        <v>0.3</v>
      </c>
      <c r="L84" s="129" t="str">
        <f aca="false">IF($U84="","",IF(LEN(INDEX('MiT Strom Pipeline'!$V$1:$V$860,$U84))&gt;0,LEFT(INDEX('MiT Strom Pipeline'!$V$1:$V$860,$U84),55),""))</f>
        <v>Angebot vorbereiten – PQ-Argument für Messtechnik, Stef</v>
      </c>
      <c r="M84" s="129" t="str">
        <f aca="false">IF($U84="","",IF(INDEX('MiT Strom Pipeline'!$AF$1:$AF$860,$U84)="","",INDEX('MiT Strom Pipeline'!$AF$1:$AF$860,$U84)))</f>
        <v/>
      </c>
      <c r="N84" s="129" t="str">
        <f aca="false">IF($U84="","",IF(INDEX('MiT Strom Pipeline'!$BB$1:$BB$860,$U84)="","",INDEX('MiT Strom Pipeline'!$BB$1:$BB$860,$U84)))</f>
        <v>○ Einstand offen</v>
      </c>
      <c r="O84" s="112"/>
      <c r="P84" s="112"/>
      <c r="Q84" s="112"/>
      <c r="R84" s="112"/>
      <c r="S84" s="112"/>
      <c r="U84" s="1" t="n">
        <f aca="false">IFERROR(MATCH(10,'MiT Strom Pipeline'!$AN$6:$AN$860,0)+5,"")</f>
        <v>33</v>
      </c>
    </row>
    <row r="85" customFormat="false" ht="38.25" hidden="false" customHeight="true" outlineLevel="0" collapsed="false">
      <c r="A85" s="128" t="n">
        <f aca="false">IF($U85="","",IF(ISNUMBER(INDEX('MiT Strom Pipeline'!$A$1:$A$860,$U85)),INDEX('MiT Strom Pipeline'!$A$1:$A$860,$U85),""))</f>
        <v>14</v>
      </c>
      <c r="B85" s="129" t="str">
        <f aca="false">IF($U85="","",IF(INDEX('MiT Strom Pipeline'!$B$1:$B$860,$U85)="","",INDEX('MiT Strom Pipeline'!$B$1:$B$860,$U85)))</f>
        <v>Trafag AG</v>
      </c>
      <c r="C85" s="130" t="str">
        <f aca="false">IF($U85="","",IF(INDEX('MiT Strom Pipeline'!$C$1:$C$860,$U85)="","",INDEX('MiT Strom Pipeline'!$C$1:$C$860,$U85)))</f>
        <v>ZH</v>
      </c>
      <c r="D85" s="129" t="str">
        <f aca="false">IF($U85="","",IF(INDEX('MiT Strom Pipeline'!$D$1:$D$860,$U85)="","",INDEX('MiT Strom Pipeline'!$D$1:$D$860,$U85)))</f>
        <v>Industrie / Messtechnik</v>
      </c>
      <c r="E85" s="131" t="str">
        <f aca="false">IF($U85="","",IF(ISNUMBER(INDEX('MiT Strom Pipeline'!$O$1:$O$860,$U85)),INDEX('MiT Strom Pipeline'!$O$1:$O$860,$U85),IF(INDEX('MiT Strom Pipeline'!$H$1:$H$860,$U85)="","",INDEX('MiT Strom Pipeline'!$H$1:$H$860,$U85))))</f>
        <v>tbd</v>
      </c>
      <c r="F85" s="131" t="str">
        <f aca="false">IF($U85="","",IF(ISNUMBER(INDEX('MiT Strom Pipeline'!$P$1:$P$860,$U85)),INDEX('MiT Strom Pipeline'!$P$1:$P$860,$U85),""))</f>
        <v/>
      </c>
      <c r="G85" s="132" t="n">
        <f aca="false">IF($U85="","",IF(ISNUMBER(INDEX('MiT Strom Pipeline'!$I$1:$I$860,$U85)),INDEX('MiT Strom Pipeline'!$I$1:$I$860,$U85),0))</f>
        <v>21025</v>
      </c>
      <c r="H85" s="132" t="n">
        <f aca="false">IF($U85="","",IF(ISNUMBER(INDEX('MiT Strom Pipeline'!$Q$1:$Q$860,$U85)),INDEX('MiT Strom Pipeline'!$Q$1:$Q$860,$U85),0))</f>
        <v>0</v>
      </c>
      <c r="I85" s="129" t="str">
        <f aca="false">IF($U85="","",IF(INDEX('MiT Strom Pipeline'!$E$1:$E$860,$U85)="","",INDEX('MiT Strom Pipeline'!$E$1:$E$860,$U85)))</f>
        <v>BESS 500 kVA</v>
      </c>
      <c r="J85" s="130" t="str">
        <f aca="false">IF($U85="","",INDEX('MiT Strom Pipeline'!$R$1:$R$860,$U85))</f>
        <v>offered</v>
      </c>
      <c r="K85" s="133" t="n">
        <f aca="false">IF($U85="","",IF(ISNUMBER(INDEX('MiT Strom Pipeline'!$S$1:$S$860,$U85)),INDEX('MiT Strom Pipeline'!$S$1:$S$860,$U85),""))</f>
        <v>0.3</v>
      </c>
      <c r="L85" s="129" t="str">
        <f aca="false">IF($U85="","",IF(LEN(INDEX('MiT Strom Pipeline'!$V$1:$V$860,$U85))&gt;0,LEFT(INDEX('MiT Strom Pipeline'!$V$1:$V$860,$U85),55),""))</f>
        <v>Angebot vorbereiten – PQ-Argument für Messtechnik, Stef</v>
      </c>
      <c r="M85" s="129" t="str">
        <f aca="false">IF($U85="","",IF(INDEX('MiT Strom Pipeline'!$AF$1:$AF$860,$U85)="","",INDEX('MiT Strom Pipeline'!$AF$1:$AF$860,$U85)))</f>
        <v/>
      </c>
      <c r="N85" s="129" t="str">
        <f aca="false">IF($U85="","",IF(INDEX('MiT Strom Pipeline'!$BB$1:$BB$860,$U85)="","",INDEX('MiT Strom Pipeline'!$BB$1:$BB$860,$U85)))</f>
        <v>○ Einstand offen</v>
      </c>
      <c r="O85" s="112"/>
      <c r="P85" s="112"/>
      <c r="Q85" s="112"/>
      <c r="R85" s="112"/>
      <c r="S85" s="112"/>
      <c r="U85" s="1" t="n">
        <f aca="false">IFERROR(MATCH(11,'MiT Strom Pipeline'!$AN$6:$AN$860,0)+5,"")</f>
        <v>35</v>
      </c>
    </row>
    <row r="86" customFormat="false" ht="38.25" hidden="false" customHeight="true" outlineLevel="0" collapsed="false">
      <c r="A86" s="128" t="n">
        <f aca="false">IF($U86="","",IF(ISNUMBER(INDEX('MiT Strom Pipeline'!$A$1:$A$860,$U86)),INDEX('MiT Strom Pipeline'!$A$1:$A$860,$U86),""))</f>
        <v>14</v>
      </c>
      <c r="B86" s="129" t="str">
        <f aca="false">IF($U86="","",IF(INDEX('MiT Strom Pipeline'!$B$1:$B$860,$U86)="","",INDEX('MiT Strom Pipeline'!$B$1:$B$860,$U86)))</f>
        <v>Trafag AG</v>
      </c>
      <c r="C86" s="130" t="str">
        <f aca="false">IF($U86="","",IF(INDEX('MiT Strom Pipeline'!$C$1:$C$860,$U86)="","",INDEX('MiT Strom Pipeline'!$C$1:$C$860,$U86)))</f>
        <v>ZH</v>
      </c>
      <c r="D86" s="129" t="str">
        <f aca="false">IF($U86="","",IF(INDEX('MiT Strom Pipeline'!$D$1:$D$860,$U86)="","",INDEX('MiT Strom Pipeline'!$D$1:$D$860,$U86)))</f>
        <v>Industrie / Messtechnik</v>
      </c>
      <c r="E86" s="131" t="str">
        <f aca="false">IF($U86="","",IF(ISNUMBER(INDEX('MiT Strom Pipeline'!$O$1:$O$860,$U86)),INDEX('MiT Strom Pipeline'!$O$1:$O$860,$U86),IF(INDEX('MiT Strom Pipeline'!$H$1:$H$860,$U86)="","",INDEX('MiT Strom Pipeline'!$H$1:$H$860,$U86))))</f>
        <v>tbd</v>
      </c>
      <c r="F86" s="131" t="str">
        <f aca="false">IF($U86="","",IF(ISNUMBER(INDEX('MiT Strom Pipeline'!$P$1:$P$860,$U86)),INDEX('MiT Strom Pipeline'!$P$1:$P$860,$U86),""))</f>
        <v/>
      </c>
      <c r="G86" s="132" t="n">
        <f aca="false">IF($U86="","",IF(ISNUMBER(INDEX('MiT Strom Pipeline'!$I$1:$I$860,$U86)),INDEX('MiT Strom Pipeline'!$I$1:$I$860,$U86),0))</f>
        <v>37444</v>
      </c>
      <c r="H86" s="132" t="n">
        <f aca="false">IF($U86="","",IF(ISNUMBER(INDEX('MiT Strom Pipeline'!$Q$1:$Q$860,$U86)),INDEX('MiT Strom Pipeline'!$Q$1:$Q$860,$U86),0))</f>
        <v>0</v>
      </c>
      <c r="I86" s="129" t="str">
        <f aca="false">IF($U86="","",IF(INDEX('MiT Strom Pipeline'!$E$1:$E$860,$U86)="","",INDEX('MiT Strom Pipeline'!$E$1:$E$860,$U86)))</f>
        <v>Kombi 450 kVA Generator / BESS 500 kVA</v>
      </c>
      <c r="J86" s="130" t="str">
        <f aca="false">IF($U86="","",INDEX('MiT Strom Pipeline'!$R$1:$R$860,$U86))</f>
        <v>offered</v>
      </c>
      <c r="K86" s="133" t="n">
        <f aca="false">IF($U86="","",IF(ISNUMBER(INDEX('MiT Strom Pipeline'!$S$1:$S$860,$U86)),INDEX('MiT Strom Pipeline'!$S$1:$S$860,$U86),""))</f>
        <v>0.3</v>
      </c>
      <c r="L86" s="129" t="str">
        <f aca="false">IF($U86="","",IF(LEN(INDEX('MiT Strom Pipeline'!$V$1:$V$860,$U86))&gt;0,LEFT(INDEX('MiT Strom Pipeline'!$V$1:$V$860,$U86),55),""))</f>
        <v>Angebot vorbereiten – PQ-Argument für Messtechnik, Stef</v>
      </c>
      <c r="M86" s="129" t="str">
        <f aca="false">IF($U86="","",IF(INDEX('MiT Strom Pipeline'!$AF$1:$AF$860,$U86)="","",INDEX('MiT Strom Pipeline'!$AF$1:$AF$860,$U86)))</f>
        <v/>
      </c>
      <c r="N86" s="129" t="str">
        <f aca="false">IF($U86="","",IF(INDEX('MiT Strom Pipeline'!$BB$1:$BB$860,$U86)="","",INDEX('MiT Strom Pipeline'!$BB$1:$BB$860,$U86)))</f>
        <v>○ Einstand offen</v>
      </c>
      <c r="O86" s="112"/>
      <c r="P86" s="112"/>
      <c r="Q86" s="112"/>
      <c r="R86" s="112"/>
      <c r="S86" s="112"/>
      <c r="U86" s="1" t="n">
        <f aca="false">IFERROR(MATCH(12,'MiT Strom Pipeline'!$AN$6:$AN$860,0)+5,"")</f>
        <v>36</v>
      </c>
    </row>
    <row r="87" customFormat="false" ht="38.25" hidden="false" customHeight="true" outlineLevel="0" collapsed="false">
      <c r="A87" s="128" t="n">
        <f aca="false">IF($U87="","",IF(ISNUMBER(INDEX('MiT Strom Pipeline'!$A$1:$A$860,$U87)),INDEX('MiT Strom Pipeline'!$A$1:$A$860,$U87),""))</f>
        <v>27</v>
      </c>
      <c r="B87" s="129" t="str">
        <f aca="false">IF($U87="","",IF(INDEX('MiT Strom Pipeline'!$B$1:$B$860,$U87)="","",INDEX('MiT Strom Pipeline'!$B$1:$B$860,$U87)))</f>
        <v>Rimus &amp; Sstrada</v>
      </c>
      <c r="C87" s="130" t="str">
        <f aca="false">IF($U87="","",IF(INDEX('MiT Strom Pipeline'!$C$1:$C$860,$U87)="","",INDEX('MiT Strom Pipeline'!$C$1:$C$860,$U87)))</f>
        <v>SH</v>
      </c>
      <c r="D87" s="129" t="str">
        <f aca="false">IF($U87="","",IF(INDEX('MiT Strom Pipeline'!$D$1:$D$860,$U87)="","",INDEX('MiT Strom Pipeline'!$D$1:$D$860,$U87)))</f>
        <v>Industrie</v>
      </c>
      <c r="E87" s="131" t="str">
        <f aca="false">IF($U87="","",IF(ISNUMBER(INDEX('MiT Strom Pipeline'!$O$1:$O$860,$U87)),INDEX('MiT Strom Pipeline'!$O$1:$O$860,$U87),IF(INDEX('MiT Strom Pipeline'!$H$1:$H$860,$U87)="","",INDEX('MiT Strom Pipeline'!$H$1:$H$860,$U87))))</f>
        <v>tbd</v>
      </c>
      <c r="F87" s="131" t="str">
        <f aca="false">IF($U87="","",IF(ISNUMBER(INDEX('MiT Strom Pipeline'!$P$1:$P$860,$U87)),INDEX('MiT Strom Pipeline'!$P$1:$P$860,$U87),""))</f>
        <v/>
      </c>
      <c r="G87" s="132" t="n">
        <f aca="false">IF($U87="","",IF(ISNUMBER(INDEX('MiT Strom Pipeline'!$I$1:$I$860,$U87)),INDEX('MiT Strom Pipeline'!$I$1:$I$860,$U87),0))</f>
        <v>425955</v>
      </c>
      <c r="H87" s="132" t="n">
        <f aca="false">IF($U87="","",IF(ISNUMBER(INDEX('MiT Strom Pipeline'!$Q$1:$Q$860,$U87)),INDEX('MiT Strom Pipeline'!$Q$1:$Q$860,$U87),0))</f>
        <v>0</v>
      </c>
      <c r="I87" s="129" t="str">
        <f aca="false">IF($U87="","",IF(INDEX('MiT Strom Pipeline'!$E$1:$E$860,$U87)="","",INDEX('MiT Strom Pipeline'!$E$1:$E$860,$U87)))</f>
        <v>500 kWh Small BESS</v>
      </c>
      <c r="J87" s="130" t="str">
        <f aca="false">IF($U87="","",INDEX('MiT Strom Pipeline'!$R$1:$R$860,$U87))</f>
        <v>offered</v>
      </c>
      <c r="K87" s="133" t="n">
        <f aca="false">IF($U87="","",IF(ISNUMBER(INDEX('MiT Strom Pipeline'!$S$1:$S$860,$U87)),INDEX('MiT Strom Pipeline'!$S$1:$S$860,$U87),""))</f>
        <v>0.3</v>
      </c>
      <c r="L87" s="129" t="str">
        <f aca="false">IF($U87="","",IF(LEN(INDEX('MiT Strom Pipeline'!$V$1:$V$860,$U87))&gt;0,LEFT(INDEX('MiT Strom Pipeline'!$V$1:$V$860,$U87),55),""))</f>
        <v>Kunde Telefon Kontaktiert und Vor Ort 
Besichtigung und</v>
      </c>
      <c r="M87" s="129" t="str">
        <f aca="false">IF($U87="","",IF(INDEX('MiT Strom Pipeline'!$AF$1:$AF$860,$U87)="","",INDEX('MiT Strom Pipeline'!$AF$1:$AF$860,$U87)))</f>
        <v/>
      </c>
      <c r="N87" s="129" t="str">
        <f aca="false">IF($U87="","",IF(INDEX('MiT Strom Pipeline'!$BB$1:$BB$860,$U87)="","",INDEX('MiT Strom Pipeline'!$BB$1:$BB$860,$U87)))</f>
        <v>○ Zeitraum offen</v>
      </c>
      <c r="O87" s="112"/>
      <c r="P87" s="112"/>
      <c r="Q87" s="112"/>
      <c r="R87" s="112"/>
      <c r="S87" s="112"/>
      <c r="U87" s="1" t="n">
        <f aca="false">IFERROR(MATCH(13,'MiT Strom Pipeline'!$AN$6:$AN$860,0)+5,"")</f>
        <v>37</v>
      </c>
    </row>
    <row r="88" customFormat="false" ht="38.25" hidden="false" customHeight="true" outlineLevel="0" collapsed="false">
      <c r="A88" s="128" t="n">
        <f aca="false">IF($U88="","",IF(ISNUMBER(INDEX('MiT Strom Pipeline'!$A$1:$A$860,$U88)),INDEX('MiT Strom Pipeline'!$A$1:$A$860,$U88),""))</f>
        <v>27</v>
      </c>
      <c r="B88" s="129" t="str">
        <f aca="false">IF($U88="","",IF(INDEX('MiT Strom Pipeline'!$B$1:$B$860,$U88)="","",INDEX('MiT Strom Pipeline'!$B$1:$B$860,$U88)))</f>
        <v>Rimus &amp; Sstrada</v>
      </c>
      <c r="C88" s="130" t="str">
        <f aca="false">IF($U88="","",IF(INDEX('MiT Strom Pipeline'!$C$1:$C$860,$U88)="","",INDEX('MiT Strom Pipeline'!$C$1:$C$860,$U88)))</f>
        <v>SH</v>
      </c>
      <c r="D88" s="129" t="str">
        <f aca="false">IF($U88="","",IF(INDEX('MiT Strom Pipeline'!$D$1:$D$860,$U88)="","",INDEX('MiT Strom Pipeline'!$D$1:$D$860,$U88)))</f>
        <v>Industrie</v>
      </c>
      <c r="E88" s="131" t="str">
        <f aca="false">IF($U88="","",IF(ISNUMBER(INDEX('MiT Strom Pipeline'!$O$1:$O$860,$U88)),INDEX('MiT Strom Pipeline'!$O$1:$O$860,$U88),IF(INDEX('MiT Strom Pipeline'!$H$1:$H$860,$U88)="","",INDEX('MiT Strom Pipeline'!$H$1:$H$860,$U88))))</f>
        <v>tbd</v>
      </c>
      <c r="F88" s="131" t="str">
        <f aca="false">IF($U88="","",IF(ISNUMBER(INDEX('MiT Strom Pipeline'!$P$1:$P$860,$U88)),INDEX('MiT Strom Pipeline'!$P$1:$P$860,$U88),""))</f>
        <v/>
      </c>
      <c r="G88" s="132" t="n">
        <f aca="false">IF($U88="","",IF(ISNUMBER(INDEX('MiT Strom Pipeline'!$I$1:$I$860,$U88)),INDEX('MiT Strom Pipeline'!$I$1:$I$860,$U88),0))</f>
        <v>891330</v>
      </c>
      <c r="H88" s="132" t="n">
        <f aca="false">IF($U88="","",IF(ISNUMBER(INDEX('MiT Strom Pipeline'!$Q$1:$Q$860,$U88)),INDEX('MiT Strom Pipeline'!$Q$1:$Q$860,$U88),0))</f>
        <v>0</v>
      </c>
      <c r="I88" s="129" t="str">
        <f aca="false">IF($U88="","",IF(INDEX('MiT Strom Pipeline'!$E$1:$E$860,$U88)="","",INDEX('MiT Strom Pipeline'!$E$1:$E$860,$U88)))</f>
        <v>1 MWh Medium BESS</v>
      </c>
      <c r="J88" s="130" t="str">
        <f aca="false">IF($U88="","",INDEX('MiT Strom Pipeline'!$R$1:$R$860,$U88))</f>
        <v>offered</v>
      </c>
      <c r="K88" s="133" t="n">
        <f aca="false">IF($U88="","",IF(ISNUMBER(INDEX('MiT Strom Pipeline'!$S$1:$S$860,$U88)),INDEX('MiT Strom Pipeline'!$S$1:$S$860,$U88),""))</f>
        <v>0.3</v>
      </c>
      <c r="L88" s="129" t="str">
        <f aca="false">IF($U88="","",IF(LEN(INDEX('MiT Strom Pipeline'!$V$1:$V$860,$U88))&gt;0,LEFT(INDEX('MiT Strom Pipeline'!$V$1:$V$860,$U88),55),""))</f>
        <v>Kunde Telefon Kontaktiert und Vor Ort 
Besichtigung und</v>
      </c>
      <c r="M88" s="129" t="str">
        <f aca="false">IF($U88="","",IF(INDEX('MiT Strom Pipeline'!$AF$1:$AF$860,$U88)="","",INDEX('MiT Strom Pipeline'!$AF$1:$AF$860,$U88)))</f>
        <v/>
      </c>
      <c r="N88" s="129" t="str">
        <f aca="false">IF($U88="","",IF(INDEX('MiT Strom Pipeline'!$BB$1:$BB$860,$U88)="","",INDEX('MiT Strom Pipeline'!$BB$1:$BB$860,$U88)))</f>
        <v>○ Zeitraum offen</v>
      </c>
      <c r="O88" s="112"/>
      <c r="P88" s="112"/>
      <c r="Q88" s="112"/>
      <c r="R88" s="112"/>
      <c r="S88" s="112"/>
      <c r="U88" s="1" t="n">
        <f aca="false">IFERROR(MATCH(14,'MiT Strom Pipeline'!$AN$6:$AN$860,0)+5,"")</f>
        <v>38</v>
      </c>
    </row>
    <row r="89" customFormat="false" ht="38.25" hidden="false" customHeight="true" outlineLevel="0" collapsed="false">
      <c r="A89" s="128" t="n">
        <f aca="false">IF($U89="","",IF(ISNUMBER(INDEX('MiT Strom Pipeline'!$A$1:$A$860,$U89)),INDEX('MiT Strom Pipeline'!$A$1:$A$860,$U89),""))</f>
        <v>27</v>
      </c>
      <c r="B89" s="129" t="str">
        <f aca="false">IF($U89="","",IF(INDEX('MiT Strom Pipeline'!$B$1:$B$860,$U89)="","",INDEX('MiT Strom Pipeline'!$B$1:$B$860,$U89)))</f>
        <v>Rimus &amp; Sstrada</v>
      </c>
      <c r="C89" s="130" t="str">
        <f aca="false">IF($U89="","",IF(INDEX('MiT Strom Pipeline'!$C$1:$C$860,$U89)="","",INDEX('MiT Strom Pipeline'!$C$1:$C$860,$U89)))</f>
        <v>SH</v>
      </c>
      <c r="D89" s="129" t="str">
        <f aca="false">IF($U89="","",IF(INDEX('MiT Strom Pipeline'!$D$1:$D$860,$U89)="","",INDEX('MiT Strom Pipeline'!$D$1:$D$860,$U89)))</f>
        <v>Industrie</v>
      </c>
      <c r="E89" s="131" t="str">
        <f aca="false">IF($U89="","",IF(ISNUMBER(INDEX('MiT Strom Pipeline'!$O$1:$O$860,$U89)),INDEX('MiT Strom Pipeline'!$O$1:$O$860,$U89),IF(INDEX('MiT Strom Pipeline'!$H$1:$H$860,$U89)="","",INDEX('MiT Strom Pipeline'!$H$1:$H$860,$U89))))</f>
        <v>tbd</v>
      </c>
      <c r="F89" s="131" t="str">
        <f aca="false">IF($U89="","",IF(ISNUMBER(INDEX('MiT Strom Pipeline'!$P$1:$P$860,$U89)),INDEX('MiT Strom Pipeline'!$P$1:$P$860,$U89),""))</f>
        <v/>
      </c>
      <c r="G89" s="132" t="n">
        <f aca="false">IF($U89="","",IF(ISNUMBER(INDEX('MiT Strom Pipeline'!$I$1:$I$860,$U89)),INDEX('MiT Strom Pipeline'!$I$1:$I$860,$U89),0))</f>
        <v>1307430</v>
      </c>
      <c r="H89" s="132" t="n">
        <f aca="false">IF($U89="","",IF(ISNUMBER(INDEX('MiT Strom Pipeline'!$Q$1:$Q$860,$U89)),INDEX('MiT Strom Pipeline'!$Q$1:$Q$860,$U89),0))</f>
        <v>0</v>
      </c>
      <c r="I89" s="129" t="str">
        <f aca="false">IF($U89="","",IF(INDEX('MiT Strom Pipeline'!$E$1:$E$860,$U89)="","",INDEX('MiT Strom Pipeline'!$E$1:$E$860,$U89)))</f>
        <v>1,5 MWh Large BESS</v>
      </c>
      <c r="J89" s="130" t="str">
        <f aca="false">IF($U89="","",INDEX('MiT Strom Pipeline'!$R$1:$R$860,$U89))</f>
        <v>offered</v>
      </c>
      <c r="K89" s="133" t="n">
        <f aca="false">IF($U89="","",IF(ISNUMBER(INDEX('MiT Strom Pipeline'!$S$1:$S$860,$U89)),INDEX('MiT Strom Pipeline'!$S$1:$S$860,$U89),""))</f>
        <v>0.3</v>
      </c>
      <c r="L89" s="129" t="str">
        <f aca="false">IF($U89="","",IF(LEN(INDEX('MiT Strom Pipeline'!$V$1:$V$860,$U89))&gt;0,LEFT(INDEX('MiT Strom Pipeline'!$V$1:$V$860,$U89),55),""))</f>
        <v>Kunde Telefon Kontaktiert und Vor Ort 
Besichtigung und</v>
      </c>
      <c r="M89" s="129" t="str">
        <f aca="false">IF($U89="","",IF(INDEX('MiT Strom Pipeline'!$AF$1:$AF$860,$U89)="","",INDEX('MiT Strom Pipeline'!$AF$1:$AF$860,$U89)))</f>
        <v/>
      </c>
      <c r="N89" s="129" t="str">
        <f aca="false">IF($U89="","",IF(INDEX('MiT Strom Pipeline'!$BB$1:$BB$860,$U89)="","",INDEX('MiT Strom Pipeline'!$BB$1:$BB$860,$U89)))</f>
        <v>○ Zeitraum offen</v>
      </c>
      <c r="O89" s="112"/>
      <c r="P89" s="112"/>
      <c r="Q89" s="112"/>
      <c r="R89" s="112"/>
      <c r="S89" s="112"/>
      <c r="U89" s="1" t="n">
        <f aca="false">IFERROR(MATCH(15,'MiT Strom Pipeline'!$AN$6:$AN$860,0)+5,"")</f>
        <v>39</v>
      </c>
    </row>
    <row r="90" customFormat="false" ht="38.25" hidden="false" customHeight="true" outlineLevel="0" collapsed="false">
      <c r="A90" s="128" t="n">
        <f aca="false">IF($U90="","",IF(ISNUMBER(INDEX('MiT Strom Pipeline'!$A$1:$A$860,$U90)),INDEX('MiT Strom Pipeline'!$A$1:$A$860,$U90),""))</f>
        <v>34</v>
      </c>
      <c r="B90" s="129" t="str">
        <f aca="false">IF($U90="","",IF(INDEX('MiT Strom Pipeline'!$B$1:$B$860,$U90)="","",INDEX('MiT Strom Pipeline'!$B$1:$B$860,$U90)))</f>
        <v>Creabeton</v>
      </c>
      <c r="C90" s="130" t="str">
        <f aca="false">IF($U90="","",IF(INDEX('MiT Strom Pipeline'!$C$1:$C$860,$U90)="","",INDEX('MiT Strom Pipeline'!$C$1:$C$860,$U90)))</f>
        <v>BE</v>
      </c>
      <c r="D90" s="129" t="str">
        <f aca="false">IF($U90="","",IF(INDEX('MiT Strom Pipeline'!$D$1:$D$860,$U90)="","",INDEX('MiT Strom Pipeline'!$D$1:$D$860,$U90)))</f>
        <v>Infrastruktur / Bau</v>
      </c>
      <c r="E90" s="131" t="str">
        <f aca="false">IF($U90="","",IF(ISNUMBER(INDEX('MiT Strom Pipeline'!$O$1:$O$860,$U90)),INDEX('MiT Strom Pipeline'!$O$1:$O$860,$U90),IF(INDEX('MiT Strom Pipeline'!$H$1:$H$860,$U90)="","",INDEX('MiT Strom Pipeline'!$H$1:$H$860,$U90))))</f>
        <v>Juli</v>
      </c>
      <c r="F90" s="131" t="str">
        <f aca="false">IF($U90="","",IF(ISNUMBER(INDEX('MiT Strom Pipeline'!$P$1:$P$860,$U90)),INDEX('MiT Strom Pipeline'!$P$1:$P$860,$U90),""))</f>
        <v/>
      </c>
      <c r="G90" s="132" t="n">
        <f aca="false">IF($U90="","",IF(ISNUMBER(INDEX('MiT Strom Pipeline'!$I$1:$I$860,$U90)),INDEX('MiT Strom Pipeline'!$I$1:$I$860,$U90),0))</f>
        <v>3232.41</v>
      </c>
      <c r="H90" s="132" t="n">
        <f aca="false">IF($U90="","",IF(ISNUMBER(INDEX('MiT Strom Pipeline'!$Q$1:$Q$860,$U90)),INDEX('MiT Strom Pipeline'!$Q$1:$Q$860,$U90),0))</f>
        <v>0</v>
      </c>
      <c r="I90" s="129" t="str">
        <f aca="false">IF($U90="","",IF(INDEX('MiT Strom Pipeline'!$E$1:$E$860,$U90)="","",INDEX('MiT Strom Pipeline'!$E$1:$E$860,$U90)))</f>
        <v>100 kVA Generator</v>
      </c>
      <c r="J90" s="130" t="str">
        <f aca="false">IF($U90="","",INDEX('MiT Strom Pipeline'!$R$1:$R$860,$U90))</f>
        <v>offered</v>
      </c>
      <c r="K90" s="133" t="n">
        <f aca="false">IF($U90="","",IF(ISNUMBER(INDEX('MiT Strom Pipeline'!$S$1:$S$860,$U90)),INDEX('MiT Strom Pipeline'!$S$1:$S$860,$U90),""))</f>
        <v>0.3</v>
      </c>
      <c r="L90" s="129" t="str">
        <f aca="false">IF($U90="","",IF(LEN(INDEX('MiT Strom Pipeline'!$V$1:$V$860,$U90))&gt;0,LEFT(INDEX('MiT Strom Pipeline'!$V$1:$V$860,$U90),55),""))</f>
        <v>Kunde angeschrieben, Warten auf Rückmeldung</v>
      </c>
      <c r="M90" s="129" t="str">
        <f aca="false">IF($U90="","",IF(INDEX('MiT Strom Pipeline'!$AF$1:$AF$860,$U90)="","",INDEX('MiT Strom Pipeline'!$AF$1:$AF$860,$U90)))</f>
        <v/>
      </c>
      <c r="N90" s="129" t="str">
        <f aca="false">IF($U90="","",IF(INDEX('MiT Strom Pipeline'!$BB$1:$BB$860,$U90)="","",INDEX('MiT Strom Pipeline'!$BB$1:$BB$860,$U90)))</f>
        <v>○ Zeitraum offen</v>
      </c>
      <c r="O90" s="112"/>
      <c r="P90" s="112"/>
      <c r="Q90" s="112"/>
      <c r="R90" s="112"/>
      <c r="S90" s="112"/>
      <c r="U90" s="1" t="n">
        <f aca="false">IFERROR(MATCH(16,'MiT Strom Pipeline'!$AN$6:$AN$860,0)+5,"")</f>
        <v>40</v>
      </c>
    </row>
    <row r="91" customFormat="false" ht="15.75" hidden="false" customHeight="true" outlineLevel="0" collapsed="false">
      <c r="A91" s="128" t="n">
        <f aca="false">IF($U91="","",IF(ISNUMBER(INDEX('MiT Strom Pipeline'!$A$1:$A$860,$U91)),INDEX('MiT Strom Pipeline'!$A$1:$A$860,$U91),""))</f>
        <v>38</v>
      </c>
      <c r="B91" s="129" t="str">
        <f aca="false">IF($U91="","",IF(INDEX('MiT Strom Pipeline'!$B$1:$B$860,$U91)="","",INDEX('MiT Strom Pipeline'!$B$1:$B$860,$U91)))</f>
        <v>Linde Gas Schweiz AG</v>
      </c>
      <c r="C91" s="130" t="str">
        <f aca="false">IF($U91="","",IF(INDEX('MiT Strom Pipeline'!$C$1:$C$860,$U91)="","",INDEX('MiT Strom Pipeline'!$C$1:$C$860,$U91)))</f>
        <v>LU</v>
      </c>
      <c r="D91" s="129" t="str">
        <f aca="false">IF($U91="","",IF(INDEX('MiT Strom Pipeline'!$D$1:$D$860,$U91)="","",INDEX('MiT Strom Pipeline'!$D$1:$D$860,$U91)))</f>
        <v>Industrie</v>
      </c>
      <c r="E91" s="131" t="str">
        <f aca="false">IF($U91="","",IF(ISNUMBER(INDEX('MiT Strom Pipeline'!$O$1:$O$860,$U91)),INDEX('MiT Strom Pipeline'!$O$1:$O$860,$U91),IF(INDEX('MiT Strom Pipeline'!$H$1:$H$860,$U91)="","",INDEX('MiT Strom Pipeline'!$H$1:$H$860,$U91))))</f>
        <v>Jan</v>
      </c>
      <c r="F91" s="131" t="str">
        <f aca="false">IF($U91="","",IF(ISNUMBER(INDEX('MiT Strom Pipeline'!$P$1:$P$860,$U91)),INDEX('MiT Strom Pipeline'!$P$1:$P$860,$U91),""))</f>
        <v/>
      </c>
      <c r="G91" s="132" t="n">
        <f aca="false">IF($U91="","",IF(ISNUMBER(INDEX('MiT Strom Pipeline'!$I$1:$I$860,$U91)),INDEX('MiT Strom Pipeline'!$I$1:$I$860,$U91),0))</f>
        <v>3686.2</v>
      </c>
      <c r="H91" s="132" t="n">
        <f aca="false">IF($U91="","",IF(ISNUMBER(INDEX('MiT Strom Pipeline'!$Q$1:$Q$860,$U91)),INDEX('MiT Strom Pipeline'!$Q$1:$Q$860,$U91),0))</f>
        <v>0</v>
      </c>
      <c r="I91" s="129" t="str">
        <f aca="false">IF($U91="","",IF(INDEX('MiT Strom Pipeline'!$E$1:$E$860,$U91)="","",INDEX('MiT Strom Pipeline'!$E$1:$E$860,$U91)))</f>
        <v>60 kVA Generator</v>
      </c>
      <c r="J91" s="130" t="str">
        <f aca="false">IF($U91="","",INDEX('MiT Strom Pipeline'!$R$1:$R$860,$U91))</f>
        <v>offered</v>
      </c>
      <c r="K91" s="133" t="n">
        <f aca="false">IF($U91="","",IF(ISNUMBER(INDEX('MiT Strom Pipeline'!$S$1:$S$860,$U91)),INDEX('MiT Strom Pipeline'!$S$1:$S$860,$U91),""))</f>
        <v>0.3</v>
      </c>
      <c r="L91" s="129" t="str">
        <f aca="false">IF($U91="","",IF(LEN(INDEX('MiT Strom Pipeline'!$V$1:$V$860,$U91))&gt;0,LEFT(INDEX('MiT Strom Pipeline'!$V$1:$V$860,$U91),55),""))</f>
        <v/>
      </c>
      <c r="M91" s="129" t="str">
        <f aca="false">IF($U91="","",IF(INDEX('MiT Strom Pipeline'!$AF$1:$AF$860,$U91)="","",INDEX('MiT Strom Pipeline'!$AF$1:$AF$860,$U91)))</f>
        <v/>
      </c>
      <c r="N91" s="129" t="str">
        <f aca="false">IF($U91="","",IF(INDEX('MiT Strom Pipeline'!$BB$1:$BB$860,$U91)="","",INDEX('MiT Strom Pipeline'!$BB$1:$BB$860,$U91)))</f>
        <v>○ Zeitraum offen</v>
      </c>
      <c r="O91" s="112"/>
      <c r="P91" s="112"/>
      <c r="Q91" s="112"/>
      <c r="R91" s="112"/>
      <c r="S91" s="112"/>
      <c r="U91" s="1" t="n">
        <f aca="false">IFERROR(MATCH(17,'MiT Strom Pipeline'!$AN$6:$AN$860,0)+5,"")</f>
        <v>42</v>
      </c>
    </row>
    <row r="92" customFormat="false" ht="38.25" hidden="false" customHeight="true" outlineLevel="0" collapsed="false">
      <c r="A92" s="128" t="n">
        <f aca="false">IF($U92="","",IF(ISNUMBER(INDEX('MiT Strom Pipeline'!$A$1:$A$860,$U92)),INDEX('MiT Strom Pipeline'!$A$1:$A$860,$U92),""))</f>
        <v>39</v>
      </c>
      <c r="B92" s="129" t="str">
        <f aca="false">IF($U92="","",IF(INDEX('MiT Strom Pipeline'!$B$1:$B$860,$U92)="","",INDEX('MiT Strom Pipeline'!$B$1:$B$860,$U92)))</f>
        <v>Baumeler Leitungsbau AG</v>
      </c>
      <c r="C92" s="130" t="str">
        <f aca="false">IF($U92="","",IF(INDEX('MiT Strom Pipeline'!$C$1:$C$860,$U92)="","",INDEX('MiT Strom Pipeline'!$C$1:$C$860,$U92)))</f>
        <v>LU</v>
      </c>
      <c r="D92" s="129" t="str">
        <f aca="false">IF($U92="","",IF(INDEX('MiT Strom Pipeline'!$D$1:$D$860,$U92)="","",INDEX('MiT Strom Pipeline'!$D$1:$D$860,$U92)))</f>
        <v>Industrie</v>
      </c>
      <c r="E92" s="131" t="str">
        <f aca="false">IF($U92="","",IF(ISNUMBER(INDEX('MiT Strom Pipeline'!$O$1:$O$860,$U92)),INDEX('MiT Strom Pipeline'!$O$1:$O$860,$U92),IF(INDEX('MiT Strom Pipeline'!$H$1:$H$860,$U92)="","",INDEX('MiT Strom Pipeline'!$H$1:$H$860,$U92))))</f>
        <v>Juli</v>
      </c>
      <c r="F92" s="131" t="str">
        <f aca="false">IF($U92="","",IF(ISNUMBER(INDEX('MiT Strom Pipeline'!$P$1:$P$860,$U92)),INDEX('MiT Strom Pipeline'!$P$1:$P$860,$U92),""))</f>
        <v/>
      </c>
      <c r="G92" s="132" t="n">
        <f aca="false">IF($U92="","",IF(ISNUMBER(INDEX('MiT Strom Pipeline'!$I$1:$I$860,$U92)),INDEX('MiT Strom Pipeline'!$I$1:$I$860,$U92),0))</f>
        <v>11559.36</v>
      </c>
      <c r="H92" s="132" t="n">
        <f aca="false">IF($U92="","",IF(ISNUMBER(INDEX('MiT Strom Pipeline'!$Q$1:$Q$860,$U92)),INDEX('MiT Strom Pipeline'!$Q$1:$Q$860,$U92),0))</f>
        <v>0</v>
      </c>
      <c r="I92" s="129" t="str">
        <f aca="false">IF($U92="","",IF(INDEX('MiT Strom Pipeline'!$E$1:$E$860,$U92)="","",INDEX('MiT Strom Pipeline'!$E$1:$E$860,$U92)))</f>
        <v>600 kVA </v>
      </c>
      <c r="J92" s="130" t="str">
        <f aca="false">IF($U92="","",INDEX('MiT Strom Pipeline'!$R$1:$R$860,$U92))</f>
        <v>offered</v>
      </c>
      <c r="K92" s="133" t="n">
        <f aca="false">IF($U92="","",IF(ISNUMBER(INDEX('MiT Strom Pipeline'!$S$1:$S$860,$U92)),INDEX('MiT Strom Pipeline'!$S$1:$S$860,$U92),""))</f>
        <v>0.3</v>
      </c>
      <c r="L92" s="129" t="str">
        <f aca="false">IF($U92="","",IF(LEN(INDEX('MiT Strom Pipeline'!$V$1:$V$860,$U92))&gt;0,LEFT(INDEX('MiT Strom Pipeline'!$V$1:$V$860,$U92),55),""))</f>
        <v>Kunde angeschrieben, Offerte erstellt, Kunde hat Offert</v>
      </c>
      <c r="M92" s="129" t="str">
        <f aca="false">IF($U92="","",IF(INDEX('MiT Strom Pipeline'!$AF$1:$AF$860,$U92)="","",INDEX('MiT Strom Pipeline'!$AF$1:$AF$860,$U92)))</f>
        <v/>
      </c>
      <c r="N92" s="129" t="str">
        <f aca="false">IF($U92="","",IF(INDEX('MiT Strom Pipeline'!$BB$1:$BB$860,$U92)="","",INDEX('MiT Strom Pipeline'!$BB$1:$BB$860,$U92)))</f>
        <v>○ Zeitraum offen</v>
      </c>
      <c r="O92" s="112"/>
      <c r="P92" s="112"/>
      <c r="Q92" s="112"/>
      <c r="R92" s="112"/>
      <c r="S92" s="112"/>
      <c r="U92" s="1" t="n">
        <f aca="false">IFERROR(MATCH(18,'MiT Strom Pipeline'!$AN$6:$AN$860,0)+5,"")</f>
        <v>43</v>
      </c>
    </row>
    <row r="93" customFormat="false" ht="38.25" hidden="false" customHeight="true" outlineLevel="0" collapsed="false">
      <c r="A93" s="128" t="n">
        <f aca="false">IF($U93="","",IF(ISNUMBER(INDEX('MiT Strom Pipeline'!$A$1:$A$860,$U93)),INDEX('MiT Strom Pipeline'!$A$1:$A$860,$U93),""))</f>
        <v>41</v>
      </c>
      <c r="B93" s="129" t="str">
        <f aca="false">IF($U93="","",IF(INDEX('MiT Strom Pipeline'!$B$1:$B$860,$U93)="","",INDEX('MiT Strom Pipeline'!$B$1:$B$860,$U93)))</f>
        <v>Verein Street Parade Zürich</v>
      </c>
      <c r="C93" s="130" t="str">
        <f aca="false">IF($U93="","",IF(INDEX('MiT Strom Pipeline'!$C$1:$C$860,$U93)="","",INDEX('MiT Strom Pipeline'!$C$1:$C$860,$U93)))</f>
        <v>ZH</v>
      </c>
      <c r="D93" s="129" t="str">
        <f aca="false">IF($U93="","",IF(INDEX('MiT Strom Pipeline'!$D$1:$D$860,$U93)="","",INDEX('MiT Strom Pipeline'!$D$1:$D$860,$U93)))</f>
        <v>Event</v>
      </c>
      <c r="E93" s="131" t="str">
        <f aca="false">IF($U93="","",IF(ISNUMBER(INDEX('MiT Strom Pipeline'!$O$1:$O$860,$U93)),INDEX('MiT Strom Pipeline'!$O$1:$O$860,$U93),IF(INDEX('MiT Strom Pipeline'!$H$1:$H$860,$U93)="","",INDEX('MiT Strom Pipeline'!$H$1:$H$860,$U93))))</f>
        <v>Aug</v>
      </c>
      <c r="F93" s="131" t="str">
        <f aca="false">IF($U93="","",IF(ISNUMBER(INDEX('MiT Strom Pipeline'!$P$1:$P$860,$U93)),INDEX('MiT Strom Pipeline'!$P$1:$P$860,$U93),""))</f>
        <v/>
      </c>
      <c r="G93" s="132" t="n">
        <f aca="false">IF($U93="","",IF(ISNUMBER(INDEX('MiT Strom Pipeline'!$I$1:$I$860,$U93)),INDEX('MiT Strom Pipeline'!$I$1:$I$860,$U93),0))</f>
        <v>3760.04</v>
      </c>
      <c r="H93" s="132" t="n">
        <f aca="false">IF($U93="","",IF(ISNUMBER(INDEX('MiT Strom Pipeline'!$Q$1:$Q$860,$U93)),INDEX('MiT Strom Pipeline'!$Q$1:$Q$860,$U93),0))</f>
        <v>0</v>
      </c>
      <c r="I93" s="129" t="str">
        <f aca="false">IF($U93="","",IF(INDEX('MiT Strom Pipeline'!$E$1:$E$860,$U93)="","",INDEX('MiT Strom Pipeline'!$E$1:$E$860,$U93)))</f>
        <v>100 kVA </v>
      </c>
      <c r="J93" s="130" t="str">
        <f aca="false">IF($U93="","",INDEX('MiT Strom Pipeline'!$R$1:$R$860,$U93))</f>
        <v>offered</v>
      </c>
      <c r="K93" s="133" t="n">
        <f aca="false">IF($U93="","",IF(ISNUMBER(INDEX('MiT Strom Pipeline'!$S$1:$S$860,$U93)),INDEX('MiT Strom Pipeline'!$S$1:$S$860,$U93),""))</f>
        <v>0.3</v>
      </c>
      <c r="L93" s="129" t="str">
        <f aca="false">IF($U93="","",IF(LEN(INDEX('MiT Strom Pipeline'!$V$1:$V$860,$U93))&gt;0,LEFT(INDEX('MiT Strom Pipeline'!$V$1:$V$860,$U93),55),""))</f>
        <v>Kunde angeschrieben, Offerte erstellt, Kunde hat Offert</v>
      </c>
      <c r="M93" s="129" t="str">
        <f aca="false">IF($U93="","",IF(INDEX('MiT Strom Pipeline'!$AF$1:$AF$860,$U93)="","",INDEX('MiT Strom Pipeline'!$AF$1:$AF$860,$U93)))</f>
        <v/>
      </c>
      <c r="N93" s="129" t="str">
        <f aca="false">IF($U93="","",IF(INDEX('MiT Strom Pipeline'!$BB$1:$BB$860,$U93)="","",INDEX('MiT Strom Pipeline'!$BB$1:$BB$860,$U93)))</f>
        <v>○ Zeitraum offen</v>
      </c>
      <c r="O93" s="112"/>
      <c r="P93" s="112"/>
      <c r="Q93" s="112"/>
      <c r="R93" s="112"/>
      <c r="S93" s="112"/>
      <c r="U93" s="1" t="n">
        <f aca="false">IFERROR(MATCH(19,'MiT Strom Pipeline'!$AN$6:$AN$860,0)+5,"")</f>
        <v>44</v>
      </c>
    </row>
    <row r="94" customFormat="false" ht="38.25" hidden="false" customHeight="true" outlineLevel="0" collapsed="false">
      <c r="A94" s="128" t="n">
        <f aca="false">IF($U94="","",IF(ISNUMBER(INDEX('MiT Strom Pipeline'!$A$1:$A$860,$U94)),INDEX('MiT Strom Pipeline'!$A$1:$A$860,$U94),""))</f>
        <v>9</v>
      </c>
      <c r="B94" s="129" t="str">
        <f aca="false">IF($U94="","",IF(INDEX('MiT Strom Pipeline'!$B$1:$B$860,$U94)="","",INDEX('MiT Strom Pipeline'!$B$1:$B$860,$U94)))</f>
        <v>Badermetaux Sàrl (Schweiz)</v>
      </c>
      <c r="C94" s="130" t="str">
        <f aca="false">IF($U94="","",IF(INDEX('MiT Strom Pipeline'!$C$1:$C$860,$U94)="","",INDEX('MiT Strom Pipeline'!$C$1:$C$860,$U94)))</f>
        <v>ZH</v>
      </c>
      <c r="D94" s="129" t="str">
        <f aca="false">IF($U94="","",IF(INDEX('MiT Strom Pipeline'!$D$1:$D$860,$U94)="","",INDEX('MiT Strom Pipeline'!$D$1:$D$860,$U94)))</f>
        <v>Industrie / Metall</v>
      </c>
      <c r="E94" s="131" t="str">
        <f aca="false">IF($U94="","",IF(ISNUMBER(INDEX('MiT Strom Pipeline'!$O$1:$O$860,$U94)),INDEX('MiT Strom Pipeline'!$O$1:$O$860,$U94),IF(INDEX('MiT Strom Pipeline'!$H$1:$H$860,$U94)="","",INDEX('MiT Strom Pipeline'!$H$1:$H$860,$U94))))</f>
        <v>Mai</v>
      </c>
      <c r="F94" s="131" t="str">
        <f aca="false">IF($U94="","",IF(ISNUMBER(INDEX('MiT Strom Pipeline'!$P$1:$P$860,$U94)),INDEX('MiT Strom Pipeline'!$P$1:$P$860,$U94),""))</f>
        <v/>
      </c>
      <c r="G94" s="132" t="n">
        <f aca="false">IF($U94="","",IF(ISNUMBER(INDEX('MiT Strom Pipeline'!$I$1:$I$860,$U94)),INDEX('MiT Strom Pipeline'!$I$1:$I$860,$U94),0))</f>
        <v>500000</v>
      </c>
      <c r="H94" s="132" t="n">
        <f aca="false">IF($U94="","",IF(ISNUMBER(INDEX('MiT Strom Pipeline'!$Q$1:$Q$860,$U94)),INDEX('MiT Strom Pipeline'!$Q$1:$Q$860,$U94),0))</f>
        <v>0</v>
      </c>
      <c r="I94" s="129" t="str">
        <f aca="false">IF($U94="","",IF(INDEX('MiT Strom Pipeline'!$E$1:$E$860,$U94)="","",INDEX('MiT Strom Pipeline'!$E$1:$E$860,$U94)))</f>
        <v>600 kVA Langzeitmiete</v>
      </c>
      <c r="J94" s="130" t="str">
        <f aca="false">IF($U94="","",INDEX('MiT Strom Pipeline'!$R$1:$R$860,$U94))</f>
        <v>on hold</v>
      </c>
      <c r="K94" s="133" t="n">
        <f aca="false">IF($U94="","",IF(ISNUMBER(INDEX('MiT Strom Pipeline'!$S$1:$S$860,$U94)),INDEX('MiT Strom Pipeline'!$S$1:$S$860,$U94),""))</f>
        <v>0.3</v>
      </c>
      <c r="L94" s="129" t="str">
        <f aca="false">IF($U94="","",IF(LEN(INDEX('MiT Strom Pipeline'!$V$1:$V$860,$U94))&gt;0,LEFT(INDEX('MiT Strom Pipeline'!$V$1:$V$860,$U94),55),""))</f>
        <v>PQ-Analyse + Langzeitkonzept vorlegen</v>
      </c>
      <c r="M94" s="129" t="str">
        <f aca="false">IF($U94="","",IF(INDEX('MiT Strom Pipeline'!$AF$1:$AF$860,$U94)="","",INDEX('MiT Strom Pipeline'!$AF$1:$AF$860,$U94)))</f>
        <v/>
      </c>
      <c r="N94" s="129" t="str">
        <f aca="false">IF($U94="","",IF(INDEX('MiT Strom Pipeline'!$BB$1:$BB$860,$U94)="","",INDEX('MiT Strom Pipeline'!$BB$1:$BB$860,$U94)))</f>
        <v>○ Zeitraum offen</v>
      </c>
      <c r="O94" s="112"/>
      <c r="P94" s="112"/>
      <c r="Q94" s="112"/>
      <c r="R94" s="112"/>
      <c r="S94" s="112"/>
      <c r="U94" s="1" t="n">
        <f aca="false">IFERROR(MATCH(20,'MiT Strom Pipeline'!$AN$6:$AN$860,0)+5,"")</f>
        <v>46</v>
      </c>
    </row>
    <row r="95" customFormat="false" ht="38.25" hidden="false" customHeight="true" outlineLevel="0" collapsed="false">
      <c r="A95" s="128" t="n">
        <f aca="false">IF($U95="","",IF(ISNUMBER(INDEX('MiT Strom Pipeline'!$A$1:$A$860,$U95)),INDEX('MiT Strom Pipeline'!$A$1:$A$860,$U95),""))</f>
        <v>42</v>
      </c>
      <c r="B95" s="129" t="str">
        <f aca="false">IF($U95="","",IF(INDEX('MiT Strom Pipeline'!$B$1:$B$860,$U95)="","",INDEX('MiT Strom Pipeline'!$B$1:$B$860,$U95)))</f>
        <v>SMT</v>
      </c>
      <c r="C95" s="130" t="str">
        <f aca="false">IF($U95="","",IF(INDEX('MiT Strom Pipeline'!$C$1:$C$860,$U95)="","",INDEX('MiT Strom Pipeline'!$C$1:$C$860,$U95)))</f>
        <v>ZH</v>
      </c>
      <c r="D95" s="129" t="str">
        <f aca="false">IF($U95="","",IF(INDEX('MiT Strom Pipeline'!$D$1:$D$860,$U95)="","",INDEX('MiT Strom Pipeline'!$D$1:$D$860,$U95)))</f>
        <v>Industrie</v>
      </c>
      <c r="E95" s="131" t="str">
        <f aca="false">IF($U95="","",IF(ISNUMBER(INDEX('MiT Strom Pipeline'!$O$1:$O$860,$U95)),INDEX('MiT Strom Pipeline'!$O$1:$O$860,$U95),IF(INDEX('MiT Strom Pipeline'!$H$1:$H$860,$U95)="","",INDEX('MiT Strom Pipeline'!$H$1:$H$860,$U95))))</f>
        <v>Aug</v>
      </c>
      <c r="F95" s="131" t="str">
        <f aca="false">IF($U95="","",IF(ISNUMBER(INDEX('MiT Strom Pipeline'!$P$1:$P$860,$U95)),INDEX('MiT Strom Pipeline'!$P$1:$P$860,$U95),""))</f>
        <v/>
      </c>
      <c r="G95" s="132" t="n">
        <f aca="false">IF($U95="","",IF(ISNUMBER(INDEX('MiT Strom Pipeline'!$I$1:$I$860,$U95)),INDEX('MiT Strom Pipeline'!$I$1:$I$860,$U95),0))</f>
        <v>6772.8</v>
      </c>
      <c r="H95" s="132" t="n">
        <f aca="false">IF($U95="","",IF(ISNUMBER(INDEX('MiT Strom Pipeline'!$Q$1:$Q$860,$U95)),INDEX('MiT Strom Pipeline'!$Q$1:$Q$860,$U95),0))</f>
        <v>0</v>
      </c>
      <c r="I95" s="129" t="str">
        <f aca="false">IF($U95="","",IF(INDEX('MiT Strom Pipeline'!$E$1:$E$860,$U95)="","",INDEX('MiT Strom Pipeline'!$E$1:$E$860,$U95)))</f>
        <v>1000 kVA</v>
      </c>
      <c r="J95" s="130" t="str">
        <f aca="false">IF($U95="","",INDEX('MiT Strom Pipeline'!$R$1:$R$860,$U95))</f>
        <v>on hold</v>
      </c>
      <c r="K95" s="133" t="n">
        <f aca="false">IF($U95="","",IF(ISNUMBER(INDEX('MiT Strom Pipeline'!$S$1:$S$860,$U95)),INDEX('MiT Strom Pipeline'!$S$1:$S$860,$U95),""))</f>
        <v>0.3</v>
      </c>
      <c r="L95" s="129" t="str">
        <f aca="false">IF($U95="","",IF(LEN(INDEX('MiT Strom Pipeline'!$V$1:$V$860,$U95))&gt;0,LEFT(INDEX('MiT Strom Pipeline'!$V$1:$V$860,$U95),55),""))</f>
        <v>Kunde angeschrieben, Offerte erstellt, Kunde hat Offert</v>
      </c>
      <c r="M95" s="129" t="str">
        <f aca="false">IF($U95="","",IF(INDEX('MiT Strom Pipeline'!$AF$1:$AF$860,$U95)="","",INDEX('MiT Strom Pipeline'!$AF$1:$AF$860,$U95)))</f>
        <v/>
      </c>
      <c r="N95" s="129" t="str">
        <f aca="false">IF($U95="","",IF(INDEX('MiT Strom Pipeline'!$BB$1:$BB$860,$U95)="","",INDEX('MiT Strom Pipeline'!$BB$1:$BB$860,$U95)))</f>
        <v>○ Zeitraum offen</v>
      </c>
      <c r="O95" s="112"/>
      <c r="P95" s="112"/>
      <c r="Q95" s="112"/>
      <c r="R95" s="112"/>
      <c r="S95" s="112"/>
      <c r="U95" s="1" t="n">
        <f aca="false">IFERROR(MATCH(21,'MiT Strom Pipeline'!$AN$6:$AN$860,0)+5,"")</f>
        <v>52</v>
      </c>
    </row>
    <row r="96" customFormat="false" ht="38.25" hidden="false" customHeight="true" outlineLevel="0" collapsed="false">
      <c r="A96" s="128" t="n">
        <f aca="false">IF($U96="","",IF(ISNUMBER(INDEX('MiT Strom Pipeline'!$A$1:$A$860,$U96)),INDEX('MiT Strom Pipeline'!$A$1:$A$860,$U96),""))</f>
        <v>43</v>
      </c>
      <c r="B96" s="129" t="str">
        <f aca="false">IF($U96="","",IF(INDEX('MiT Strom Pipeline'!$B$1:$B$860,$U96)="","",INDEX('MiT Strom Pipeline'!$B$1:$B$860,$U96)))</f>
        <v>Equans Switzerland Kloten</v>
      </c>
      <c r="C96" s="130" t="str">
        <f aca="false">IF($U96="","",IF(INDEX('MiT Strom Pipeline'!$C$1:$C$860,$U96)="","",INDEX('MiT Strom Pipeline'!$C$1:$C$860,$U96)))</f>
        <v>ZH</v>
      </c>
      <c r="D96" s="129" t="str">
        <f aca="false">IF($U96="","",IF(INDEX('MiT Strom Pipeline'!$D$1:$D$860,$U96)="","",INDEX('MiT Strom Pipeline'!$D$1:$D$860,$U96)))</f>
        <v>Industrie</v>
      </c>
      <c r="E96" s="131" t="str">
        <f aca="false">IF($U96="","",IF(ISNUMBER(INDEX('MiT Strom Pipeline'!$O$1:$O$860,$U96)),INDEX('MiT Strom Pipeline'!$O$1:$O$860,$U96),IF(INDEX('MiT Strom Pipeline'!$H$1:$H$860,$U96)="","",INDEX('MiT Strom Pipeline'!$H$1:$H$860,$U96))))</f>
        <v>Dez</v>
      </c>
      <c r="F96" s="131" t="str">
        <f aca="false">IF($U96="","",IF(ISNUMBER(INDEX('MiT Strom Pipeline'!$P$1:$P$860,$U96)),INDEX('MiT Strom Pipeline'!$P$1:$P$860,$U96),""))</f>
        <v/>
      </c>
      <c r="G96" s="132" t="n">
        <f aca="false">IF($U96="","",IF(ISNUMBER(INDEX('MiT Strom Pipeline'!$I$1:$I$860,$U96)),INDEX('MiT Strom Pipeline'!$I$1:$I$860,$U96),0))</f>
        <v>224236.15</v>
      </c>
      <c r="H96" s="132" t="n">
        <f aca="false">IF($U96="","",IF(ISNUMBER(INDEX('MiT Strom Pipeline'!$Q$1:$Q$860,$U96)),INDEX('MiT Strom Pipeline'!$Q$1:$Q$860,$U96),0))</f>
        <v>0</v>
      </c>
      <c r="I96" s="129" t="str">
        <f aca="false">IF($U96="","",IF(INDEX('MiT Strom Pipeline'!$E$1:$E$860,$U96)="","",INDEX('MiT Strom Pipeline'!$E$1:$E$860,$U96)))</f>
        <v>600 kVA</v>
      </c>
      <c r="J96" s="130" t="str">
        <f aca="false">IF($U96="","",INDEX('MiT Strom Pipeline'!$R$1:$R$860,$U96))</f>
        <v>offered</v>
      </c>
      <c r="K96" s="133" t="n">
        <f aca="false">IF($U96="","",IF(ISNUMBER(INDEX('MiT Strom Pipeline'!$S$1:$S$860,$U96)),INDEX('MiT Strom Pipeline'!$S$1:$S$860,$U96),""))</f>
        <v>0.3</v>
      </c>
      <c r="L96" s="129" t="str">
        <f aca="false">IF($U96="","",IF(LEN(INDEX('MiT Strom Pipeline'!$V$1:$V$860,$U96))&gt;0,LEFT(INDEX('MiT Strom Pipeline'!$V$1:$V$860,$U96),55),""))</f>
        <v>Kunde angeschrieben, Offerte erstellt, Kunde hat Offert</v>
      </c>
      <c r="M96" s="129" t="str">
        <f aca="false">IF($U96="","",IF(INDEX('MiT Strom Pipeline'!$AF$1:$AF$860,$U96)="","",INDEX('MiT Strom Pipeline'!$AF$1:$AF$860,$U96)))</f>
        <v/>
      </c>
      <c r="N96" s="129" t="str">
        <f aca="false">IF($U96="","",IF(INDEX('MiT Strom Pipeline'!$BB$1:$BB$860,$U96)="","",INDEX('MiT Strom Pipeline'!$BB$1:$BB$860,$U96)))</f>
        <v>○ Zeitraum offen</v>
      </c>
      <c r="O96" s="112"/>
      <c r="P96" s="112"/>
      <c r="Q96" s="112"/>
      <c r="R96" s="112"/>
      <c r="S96" s="112"/>
      <c r="U96" s="1" t="n">
        <f aca="false">IFERROR(MATCH(22,'MiT Strom Pipeline'!$AN$6:$AN$860,0)+5,"")</f>
        <v>53</v>
      </c>
    </row>
    <row r="97" customFormat="false" ht="38.25" hidden="false" customHeight="true" outlineLevel="0" collapsed="false">
      <c r="A97" s="128" t="n">
        <f aca="false">IF($U97="","",IF(ISNUMBER(INDEX('MiT Strom Pipeline'!$A$1:$A$860,$U97)),INDEX('MiT Strom Pipeline'!$A$1:$A$860,$U97),""))</f>
        <v>44</v>
      </c>
      <c r="B97" s="129" t="str">
        <f aca="false">IF($U97="","",IF(INDEX('MiT Strom Pipeline'!$B$1:$B$860,$U97)="","",INDEX('MiT Strom Pipeline'!$B$1:$B$860,$U97)))</f>
        <v>Equans Switzerland Kloten</v>
      </c>
      <c r="C97" s="130" t="str">
        <f aca="false">IF($U97="","",IF(INDEX('MiT Strom Pipeline'!$C$1:$C$860,$U97)="","",INDEX('MiT Strom Pipeline'!$C$1:$C$860,$U97)))</f>
        <v>ZH</v>
      </c>
      <c r="D97" s="129" t="str">
        <f aca="false">IF($U97="","",IF(INDEX('MiT Strom Pipeline'!$D$1:$D$860,$U97)="","",INDEX('MiT Strom Pipeline'!$D$1:$D$860,$U97)))</f>
        <v>Industrie</v>
      </c>
      <c r="E97" s="131" t="str">
        <f aca="false">IF($U97="","",IF(ISNUMBER(INDEX('MiT Strom Pipeline'!$O$1:$O$860,$U97)),INDEX('MiT Strom Pipeline'!$O$1:$O$860,$U97),IF(INDEX('MiT Strom Pipeline'!$H$1:$H$860,$U97)="","",INDEX('MiT Strom Pipeline'!$H$1:$H$860,$U97))))</f>
        <v>Juli</v>
      </c>
      <c r="F97" s="131" t="str">
        <f aca="false">IF($U97="","",IF(ISNUMBER(INDEX('MiT Strom Pipeline'!$P$1:$P$860,$U97)),INDEX('MiT Strom Pipeline'!$P$1:$P$860,$U97),""))</f>
        <v/>
      </c>
      <c r="G97" s="132" t="n">
        <f aca="false">IF($U97="","",IF(ISNUMBER(INDEX('MiT Strom Pipeline'!$I$1:$I$860,$U97)),INDEX('MiT Strom Pipeline'!$I$1:$I$860,$U97),0))</f>
        <v>31077.89</v>
      </c>
      <c r="H97" s="132" t="n">
        <f aca="false">IF($U97="","",IF(ISNUMBER(INDEX('MiT Strom Pipeline'!$Q$1:$Q$860,$U97)),INDEX('MiT Strom Pipeline'!$Q$1:$Q$860,$U97),0))</f>
        <v>0</v>
      </c>
      <c r="I97" s="129" t="str">
        <f aca="false">IF($U97="","",IF(INDEX('MiT Strom Pipeline'!$E$1:$E$860,$U97)="","",INDEX('MiT Strom Pipeline'!$E$1:$E$860,$U97)))</f>
        <v>300 kVA</v>
      </c>
      <c r="J97" s="130" t="str">
        <f aca="false">IF($U97="","",INDEX('MiT Strom Pipeline'!$R$1:$R$860,$U97))</f>
        <v>offered</v>
      </c>
      <c r="K97" s="133" t="n">
        <f aca="false">IF($U97="","",IF(ISNUMBER(INDEX('MiT Strom Pipeline'!$S$1:$S$860,$U97)),INDEX('MiT Strom Pipeline'!$S$1:$S$860,$U97),""))</f>
        <v>0.3</v>
      </c>
      <c r="L97" s="129" t="str">
        <f aca="false">IF($U97="","",IF(LEN(INDEX('MiT Strom Pipeline'!$V$1:$V$860,$U97))&gt;0,LEFT(INDEX('MiT Strom Pipeline'!$V$1:$V$860,$U97),55),""))</f>
        <v>Kunde angeschrieben, Offerte erstellt, Kunde hat Offert</v>
      </c>
      <c r="M97" s="129" t="str">
        <f aca="false">IF($U97="","",IF(INDEX('MiT Strom Pipeline'!$AF$1:$AF$860,$U97)="","",INDEX('MiT Strom Pipeline'!$AF$1:$AF$860,$U97)))</f>
        <v/>
      </c>
      <c r="N97" s="129" t="str">
        <f aca="false">IF($U97="","",IF(INDEX('MiT Strom Pipeline'!$BB$1:$BB$860,$U97)="","",INDEX('MiT Strom Pipeline'!$BB$1:$BB$860,$U97)))</f>
        <v>○ Zeitraum offen</v>
      </c>
      <c r="O97" s="112"/>
      <c r="P97" s="112"/>
      <c r="Q97" s="112"/>
      <c r="R97" s="112"/>
      <c r="S97" s="112"/>
      <c r="U97" s="1" t="n">
        <f aca="false">IFERROR(MATCH(23,'MiT Strom Pipeline'!$AN$6:$AN$860,0)+5,"")</f>
        <v>54</v>
      </c>
    </row>
    <row r="98" customFormat="false" ht="38.25" hidden="false" customHeight="true" outlineLevel="0" collapsed="false">
      <c r="A98" s="128" t="n">
        <f aca="false">IF($U98="","",IF(ISNUMBER(INDEX('MiT Strom Pipeline'!$A$1:$A$860,$U98)),INDEX('MiT Strom Pipeline'!$A$1:$A$860,$U98),""))</f>
        <v>45</v>
      </c>
      <c r="B98" s="129" t="str">
        <f aca="false">IF($U98="","",IF(INDEX('MiT Strom Pipeline'!$B$1:$B$860,$U98)="","",INDEX('MiT Strom Pipeline'!$B$1:$B$860,$U98)))</f>
        <v>ETAVIS Basel</v>
      </c>
      <c r="C98" s="130" t="str">
        <f aca="false">IF($U98="","",IF(INDEX('MiT Strom Pipeline'!$C$1:$C$860,$U98)="","",INDEX('MiT Strom Pipeline'!$C$1:$C$860,$U98)))</f>
        <v>BS</v>
      </c>
      <c r="D98" s="129" t="str">
        <f aca="false">IF($U98="","",IF(INDEX('MiT Strom Pipeline'!$D$1:$D$860,$U98)="","",INDEX('MiT Strom Pipeline'!$D$1:$D$860,$U98)))</f>
        <v>Elektroinstallation</v>
      </c>
      <c r="E98" s="131" t="str">
        <f aca="false">IF($U98="","",IF(ISNUMBER(INDEX('MiT Strom Pipeline'!$O$1:$O$860,$U98)),INDEX('MiT Strom Pipeline'!$O$1:$O$860,$U98),IF(INDEX('MiT Strom Pipeline'!$H$1:$H$860,$U98)="","",INDEX('MiT Strom Pipeline'!$H$1:$H$860,$U98))))</f>
        <v>Juli</v>
      </c>
      <c r="F98" s="131" t="str">
        <f aca="false">IF($U98="","",IF(ISNUMBER(INDEX('MiT Strom Pipeline'!$P$1:$P$860,$U98)),INDEX('MiT Strom Pipeline'!$P$1:$P$860,$U98),""))</f>
        <v/>
      </c>
      <c r="G98" s="132" t="n">
        <f aca="false">IF($U98="","",IF(ISNUMBER(INDEX('MiT Strom Pipeline'!$I$1:$I$860,$U98)),INDEX('MiT Strom Pipeline'!$I$1:$I$860,$U98),0))</f>
        <v>13866.21</v>
      </c>
      <c r="H98" s="132" t="n">
        <f aca="false">IF($U98="","",IF(ISNUMBER(INDEX('MiT Strom Pipeline'!$Q$1:$Q$860,$U98)),INDEX('MiT Strom Pipeline'!$Q$1:$Q$860,$U98),0))</f>
        <v>0</v>
      </c>
      <c r="I98" s="129" t="str">
        <f aca="false">IF($U98="","",IF(INDEX('MiT Strom Pipeline'!$E$1:$E$860,$U98)="","",INDEX('MiT Strom Pipeline'!$E$1:$E$860,$U98)))</f>
        <v>300 kVA</v>
      </c>
      <c r="J98" s="130" t="str">
        <f aca="false">IF($U98="","",INDEX('MiT Strom Pipeline'!$R$1:$R$860,$U98))</f>
        <v>offered</v>
      </c>
      <c r="K98" s="133" t="n">
        <f aca="false">IF($U98="","",IF(ISNUMBER(INDEX('MiT Strom Pipeline'!$S$1:$S$860,$U98)),INDEX('MiT Strom Pipeline'!$S$1:$S$860,$U98),""))</f>
        <v>0.3</v>
      </c>
      <c r="L98" s="129" t="str">
        <f aca="false">IF($U98="","",IF(LEN(INDEX('MiT Strom Pipeline'!$V$1:$V$860,$U98))&gt;0,LEFT(INDEX('MiT Strom Pipeline'!$V$1:$V$860,$U98),55),""))</f>
        <v>Kunde angeschrieben, Offerte erstellt, Kunde hat Offert</v>
      </c>
      <c r="M98" s="129" t="str">
        <f aca="false">IF($U98="","",IF(INDEX('MiT Strom Pipeline'!$AF$1:$AF$860,$U98)="","",INDEX('MiT Strom Pipeline'!$AF$1:$AF$860,$U98)))</f>
        <v/>
      </c>
      <c r="N98" s="129" t="str">
        <f aca="false">IF($U98="","",IF(INDEX('MiT Strom Pipeline'!$BB$1:$BB$860,$U98)="","",INDEX('MiT Strom Pipeline'!$BB$1:$BB$860,$U98)))</f>
        <v>○ Zeitraum offen</v>
      </c>
      <c r="O98" s="112"/>
      <c r="P98" s="112"/>
      <c r="Q98" s="112"/>
      <c r="R98" s="112"/>
      <c r="S98" s="112"/>
      <c r="U98" s="1" t="n">
        <f aca="false">IFERROR(MATCH(24,'MiT Strom Pipeline'!$AN$6:$AN$860,0)+5,"")</f>
        <v>55</v>
      </c>
    </row>
    <row r="99" customFormat="false" ht="38.25" hidden="false" customHeight="true" outlineLevel="0" collapsed="false">
      <c r="A99" s="128" t="n">
        <f aca="false">IF($U99="","",IF(ISNUMBER(INDEX('MiT Strom Pipeline'!$A$1:$A$860,$U99)),INDEX('MiT Strom Pipeline'!$A$1:$A$860,$U99),""))</f>
        <v>48</v>
      </c>
      <c r="B99" s="129" t="str">
        <f aca="false">IF($U99="","",IF(INDEX('MiT Strom Pipeline'!$B$1:$B$860,$U99)="","",INDEX('MiT Strom Pipeline'!$B$1:$B$860,$U99)))</f>
        <v>Coutaz CVS SA</v>
      </c>
      <c r="C99" s="130" t="str">
        <f aca="false">IF($U99="","",IF(INDEX('MiT Strom Pipeline'!$C$1:$C$860,$U99)="","",INDEX('MiT Strom Pipeline'!$C$1:$C$860,$U99)))</f>
        <v>VS</v>
      </c>
      <c r="D99" s="129" t="str">
        <f aca="false">IF($U99="","",IF(INDEX('MiT Strom Pipeline'!$D$1:$D$860,$U99)="","",INDEX('MiT Strom Pipeline'!$D$1:$D$860,$U99)))</f>
        <v>EVU</v>
      </c>
      <c r="E99" s="131" t="str">
        <f aca="false">IF($U99="","",IF(ISNUMBER(INDEX('MiT Strom Pipeline'!$O$1:$O$860,$U99)),INDEX('MiT Strom Pipeline'!$O$1:$O$860,$U99),IF(INDEX('MiT Strom Pipeline'!$H$1:$H$860,$U99)="","",INDEX('MiT Strom Pipeline'!$H$1:$H$860,$U99))))</f>
        <v>Okt</v>
      </c>
      <c r="F99" s="131" t="str">
        <f aca="false">IF($U99="","",IF(ISNUMBER(INDEX('MiT Strom Pipeline'!$P$1:$P$860,$U99)),INDEX('MiT Strom Pipeline'!$P$1:$P$860,$U99),""))</f>
        <v/>
      </c>
      <c r="G99" s="132" t="n">
        <f aca="false">IF($U99="","",IF(ISNUMBER(INDEX('MiT Strom Pipeline'!$I$1:$I$860,$U99)),INDEX('MiT Strom Pipeline'!$I$1:$I$860,$U99),0))</f>
        <v>190701.37</v>
      </c>
      <c r="H99" s="132" t="n">
        <f aca="false">IF($U99="","",IF(ISNUMBER(INDEX('MiT Strom Pipeline'!$Q$1:$Q$860,$U99)),INDEX('MiT Strom Pipeline'!$Q$1:$Q$860,$U99),0))</f>
        <v>0</v>
      </c>
      <c r="I99" s="129" t="str">
        <f aca="false">IF($U99="","",IF(INDEX('MiT Strom Pipeline'!$E$1:$E$860,$U99)="","",INDEX('MiT Strom Pipeline'!$E$1:$E$860,$U99)))</f>
        <v>600 kVA, 200 kVA</v>
      </c>
      <c r="J99" s="130" t="str">
        <f aca="false">IF($U99="","",INDEX('MiT Strom Pipeline'!$R$1:$R$860,$U99))</f>
        <v>offered</v>
      </c>
      <c r="K99" s="133" t="n">
        <f aca="false">IF($U99="","",IF(ISNUMBER(INDEX('MiT Strom Pipeline'!$S$1:$S$860,$U99)),INDEX('MiT Strom Pipeline'!$S$1:$S$860,$U99),""))</f>
        <v>0.3</v>
      </c>
      <c r="L99" s="129" t="str">
        <f aca="false">IF($U99="","",IF(LEN(INDEX('MiT Strom Pipeline'!$V$1:$V$860,$U99))&gt;0,LEFT(INDEX('MiT Strom Pipeline'!$V$1:$V$860,$U99),55),""))</f>
        <v>Kunde angeschrieben, Offerte erstellt, Kunde hat Offert</v>
      </c>
      <c r="M99" s="129" t="str">
        <f aca="false">IF($U99="","",IF(INDEX('MiT Strom Pipeline'!$AF$1:$AF$860,$U99)="","",INDEX('MiT Strom Pipeline'!$AF$1:$AF$860,$U99)))</f>
        <v/>
      </c>
      <c r="N99" s="129" t="str">
        <f aca="false">IF($U99="","",IF(INDEX('MiT Strom Pipeline'!$BB$1:$BB$860,$U99)="","",INDEX('MiT Strom Pipeline'!$BB$1:$BB$860,$U99)))</f>
        <v>○ Zeitraum offen</v>
      </c>
      <c r="O99" s="112"/>
      <c r="P99" s="112"/>
      <c r="Q99" s="112"/>
      <c r="R99" s="112"/>
      <c r="S99" s="112"/>
      <c r="U99" s="1" t="n">
        <f aca="false">IFERROR(MATCH(25,'MiT Strom Pipeline'!$AN$6:$AN$860,0)+5,"")</f>
        <v>58</v>
      </c>
    </row>
    <row r="100" customFormat="false" ht="38.25" hidden="false" customHeight="true" outlineLevel="0" collapsed="false">
      <c r="A100" s="128" t="n">
        <f aca="false">IF($U100="","",IF(ISNUMBER(INDEX('MiT Strom Pipeline'!$A$1:$A$860,$U100)),INDEX('MiT Strom Pipeline'!$A$1:$A$860,$U100),""))</f>
        <v>49</v>
      </c>
      <c r="B100" s="129" t="str">
        <f aca="false">IF($U100="","",IF(INDEX('MiT Strom Pipeline'!$B$1:$B$860,$U100)="","",INDEX('MiT Strom Pipeline'!$B$1:$B$860,$U100)))</f>
        <v>Romand Energei SA</v>
      </c>
      <c r="C100" s="130" t="str">
        <f aca="false">IF($U100="","",IF(INDEX('MiT Strom Pipeline'!$C$1:$C$860,$U100)="","",INDEX('MiT Strom Pipeline'!$C$1:$C$860,$U100)))</f>
        <v>VS</v>
      </c>
      <c r="D100" s="129" t="str">
        <f aca="false">IF($U100="","",IF(INDEX('MiT Strom Pipeline'!$D$1:$D$860,$U100)="","",INDEX('MiT Strom Pipeline'!$D$1:$D$860,$U100)))</f>
        <v>EVU</v>
      </c>
      <c r="E100" s="131" t="str">
        <f aca="false">IF($U100="","",IF(ISNUMBER(INDEX('MiT Strom Pipeline'!$O$1:$O$860,$U100)),INDEX('MiT Strom Pipeline'!$O$1:$O$860,$U100),IF(INDEX('MiT Strom Pipeline'!$H$1:$H$860,$U100)="","",INDEX('MiT Strom Pipeline'!$H$1:$H$860,$U100))))</f>
        <v>Aug</v>
      </c>
      <c r="F100" s="131" t="str">
        <f aca="false">IF($U100="","",IF(ISNUMBER(INDEX('MiT Strom Pipeline'!$P$1:$P$860,$U100)),INDEX('MiT Strom Pipeline'!$P$1:$P$860,$U100),""))</f>
        <v/>
      </c>
      <c r="G100" s="132" t="n">
        <f aca="false">IF($U100="","",IF(ISNUMBER(INDEX('MiT Strom Pipeline'!$I$1:$I$860,$U100)),INDEX('MiT Strom Pipeline'!$I$1:$I$860,$U100),0))</f>
        <v>32467.62</v>
      </c>
      <c r="H100" s="132" t="n">
        <f aca="false">IF($U100="","",IF(ISNUMBER(INDEX('MiT Strom Pipeline'!$Q$1:$Q$860,$U100)),INDEX('MiT Strom Pipeline'!$Q$1:$Q$860,$U100),0))</f>
        <v>0</v>
      </c>
      <c r="I100" s="129" t="str">
        <f aca="false">IF($U100="","",IF(INDEX('MiT Strom Pipeline'!$E$1:$E$860,$U100)="","",INDEX('MiT Strom Pipeline'!$E$1:$E$860,$U100)))</f>
        <v>600 kVA</v>
      </c>
      <c r="J100" s="130" t="str">
        <f aca="false">IF($U100="","",INDEX('MiT Strom Pipeline'!$R$1:$R$860,$U100))</f>
        <v>offered</v>
      </c>
      <c r="K100" s="133" t="n">
        <f aca="false">IF($U100="","",IF(ISNUMBER(INDEX('MiT Strom Pipeline'!$S$1:$S$860,$U100)),INDEX('MiT Strom Pipeline'!$S$1:$S$860,$U100),""))</f>
        <v>0.3</v>
      </c>
      <c r="L100" s="129" t="str">
        <f aca="false">IF($U100="","",IF(LEN(INDEX('MiT Strom Pipeline'!$V$1:$V$860,$U100))&gt;0,LEFT(INDEX('MiT Strom Pipeline'!$V$1:$V$860,$U100),55),""))</f>
        <v>Kunde angeschrieben, Offerte erstellt, Kunde hat Offert</v>
      </c>
      <c r="M100" s="129" t="str">
        <f aca="false">IF($U100="","",IF(INDEX('MiT Strom Pipeline'!$AF$1:$AF$860,$U100)="","",INDEX('MiT Strom Pipeline'!$AF$1:$AF$860,$U100)))</f>
        <v/>
      </c>
      <c r="N100" s="129" t="str">
        <f aca="false">IF($U100="","",IF(INDEX('MiT Strom Pipeline'!$BB$1:$BB$860,$U100)="","",INDEX('MiT Strom Pipeline'!$BB$1:$BB$860,$U100)))</f>
        <v>○ Zeitraum offen</v>
      </c>
      <c r="O100" s="112"/>
      <c r="P100" s="112"/>
      <c r="Q100" s="112"/>
      <c r="R100" s="112"/>
      <c r="S100" s="112"/>
      <c r="U100" s="1" t="n">
        <f aca="false">IFERROR(MATCH(26,'MiT Strom Pipeline'!$AN$6:$AN$860,0)+5,"")</f>
        <v>59</v>
      </c>
    </row>
    <row r="101" customFormat="false" ht="38.25" hidden="false" customHeight="true" outlineLevel="0" collapsed="false">
      <c r="A101" s="128" t="n">
        <f aca="false">IF($U101="","",IF(ISNUMBER(INDEX('MiT Strom Pipeline'!$A$1:$A$860,$U101)),INDEX('MiT Strom Pipeline'!$A$1:$A$860,$U101),""))</f>
        <v>54</v>
      </c>
      <c r="B101" s="129" t="str">
        <f aca="false">IF($U101="","",IF(INDEX('MiT Strom Pipeline'!$B$1:$B$860,$U101)="","",INDEX('MiT Strom Pipeline'!$B$1:$B$860,$U101)))</f>
        <v>Wyss Sound</v>
      </c>
      <c r="C101" s="130" t="str">
        <f aca="false">IF($U101="","",IF(INDEX('MiT Strom Pipeline'!$C$1:$C$860,$U101)="","",INDEX('MiT Strom Pipeline'!$C$1:$C$860,$U101)))</f>
        <v>LU</v>
      </c>
      <c r="D101" s="129" t="str">
        <f aca="false">IF($U101="","",IF(INDEX('MiT Strom Pipeline'!$D$1:$D$860,$U101)="","",INDEX('MiT Strom Pipeline'!$D$1:$D$860,$U101)))</f>
        <v>Event</v>
      </c>
      <c r="E101" s="131" t="str">
        <f aca="false">IF($U101="","",IF(ISNUMBER(INDEX('MiT Strom Pipeline'!$O$1:$O$860,$U101)),INDEX('MiT Strom Pipeline'!$O$1:$O$860,$U101),IF(INDEX('MiT Strom Pipeline'!$H$1:$H$860,$U101)="","",INDEX('MiT Strom Pipeline'!$H$1:$H$860,$U101))))</f>
        <v>Juli</v>
      </c>
      <c r="F101" s="131" t="str">
        <f aca="false">IF($U101="","",IF(ISNUMBER(INDEX('MiT Strom Pipeline'!$P$1:$P$860,$U101)),INDEX('MiT Strom Pipeline'!$P$1:$P$860,$U101),""))</f>
        <v/>
      </c>
      <c r="G101" s="132" t="n">
        <f aca="false">IF($U101="","",IF(ISNUMBER(INDEX('MiT Strom Pipeline'!$I$1:$I$860,$U101)),INDEX('MiT Strom Pipeline'!$I$1:$I$860,$U101),0))</f>
        <v>8381.21</v>
      </c>
      <c r="H101" s="132" t="n">
        <f aca="false">IF($U101="","",IF(ISNUMBER(INDEX('MiT Strom Pipeline'!$Q$1:$Q$860,$U101)),INDEX('MiT Strom Pipeline'!$Q$1:$Q$860,$U101),0))</f>
        <v>0</v>
      </c>
      <c r="I101" s="129" t="str">
        <f aca="false">IF($U101="","",IF(INDEX('MiT Strom Pipeline'!$E$1:$E$860,$U101)="","",INDEX('MiT Strom Pipeline'!$E$1:$E$860,$U101)))</f>
        <v>300 kVA</v>
      </c>
      <c r="J101" s="130" t="str">
        <f aca="false">IF($U101="","",INDEX('MiT Strom Pipeline'!$R$1:$R$860,$U101))</f>
        <v>offered</v>
      </c>
      <c r="K101" s="133" t="n">
        <f aca="false">IF($U101="","",IF(ISNUMBER(INDEX('MiT Strom Pipeline'!$S$1:$S$860,$U101)),INDEX('MiT Strom Pipeline'!$S$1:$S$860,$U101),""))</f>
        <v>0.3</v>
      </c>
      <c r="L101" s="129" t="str">
        <f aca="false">IF($U101="","",IF(LEN(INDEX('MiT Strom Pipeline'!$V$1:$V$860,$U101))&gt;0,LEFT(INDEX('MiT Strom Pipeline'!$V$1:$V$860,$U101),55),""))</f>
        <v>Kunde angeschrieben, Offerte erstellt, Kunde hat Offert</v>
      </c>
      <c r="M101" s="129" t="str">
        <f aca="false">IF($U101="","",IF(INDEX('MiT Strom Pipeline'!$AF$1:$AF$860,$U101)="","",INDEX('MiT Strom Pipeline'!$AF$1:$AF$860,$U101)))</f>
        <v/>
      </c>
      <c r="N101" s="129" t="str">
        <f aca="false">IF($U101="","",IF(INDEX('MiT Strom Pipeline'!$BB$1:$BB$860,$U101)="","",INDEX('MiT Strom Pipeline'!$BB$1:$BB$860,$U101)))</f>
        <v>○ Zeitraum offen</v>
      </c>
      <c r="O101" s="112"/>
      <c r="P101" s="112"/>
      <c r="Q101" s="112"/>
      <c r="R101" s="112"/>
      <c r="S101" s="112"/>
      <c r="U101" s="1" t="n">
        <f aca="false">IFERROR(MATCH(27,'MiT Strom Pipeline'!$AN$6:$AN$860,0)+5,"")</f>
        <v>64</v>
      </c>
    </row>
    <row r="102" customFormat="false" ht="38.25" hidden="false" customHeight="true" outlineLevel="0" collapsed="false">
      <c r="A102" s="128" t="n">
        <f aca="false">IF($U102="","",IF(ISNUMBER(INDEX('MiT Strom Pipeline'!$A$1:$A$860,$U102)),INDEX('MiT Strom Pipeline'!$A$1:$A$860,$U102),""))</f>
        <v>55</v>
      </c>
      <c r="B102" s="129" t="str">
        <f aca="false">IF($U102="","",IF(INDEX('MiT Strom Pipeline'!$B$1:$B$860,$U102)="","",INDEX('MiT Strom Pipeline'!$B$1:$B$860,$U102)))</f>
        <v>Schmidiger + Rosasco AG</v>
      </c>
      <c r="C102" s="130" t="str">
        <f aca="false">IF($U102="","",IF(INDEX('MiT Strom Pipeline'!$C$1:$C$860,$U102)="","",INDEX('MiT Strom Pipeline'!$C$1:$C$860,$U102)))</f>
        <v>ZH</v>
      </c>
      <c r="D102" s="129" t="str">
        <f aca="false">IF($U102="","",IF(INDEX('MiT Strom Pipeline'!$D$1:$D$860,$U102)="","",INDEX('MiT Strom Pipeline'!$D$1:$D$860,$U102)))</f>
        <v>Elektroplaner</v>
      </c>
      <c r="E102" s="131" t="str">
        <f aca="false">IF($U102="","",IF(ISNUMBER(INDEX('MiT Strom Pipeline'!$O$1:$O$860,$U102)),INDEX('MiT Strom Pipeline'!$O$1:$O$860,$U102),IF(INDEX('MiT Strom Pipeline'!$H$1:$H$860,$U102)="","",INDEX('MiT Strom Pipeline'!$H$1:$H$860,$U102))))</f>
        <v>Juli</v>
      </c>
      <c r="F102" s="131" t="str">
        <f aca="false">IF($U102="","",IF(ISNUMBER(INDEX('MiT Strom Pipeline'!$P$1:$P$860,$U102)),INDEX('MiT Strom Pipeline'!$P$1:$P$860,$U102),""))</f>
        <v/>
      </c>
      <c r="G102" s="132" t="n">
        <f aca="false">IF($U102="","",IF(ISNUMBER(INDEX('MiT Strom Pipeline'!$I$1:$I$860,$U102)),INDEX('MiT Strom Pipeline'!$I$1:$I$860,$U102),0))</f>
        <v>6227.21</v>
      </c>
      <c r="H102" s="132" t="n">
        <f aca="false">IF($U102="","",IF(ISNUMBER(INDEX('MiT Strom Pipeline'!$Q$1:$Q$860,$U102)),INDEX('MiT Strom Pipeline'!$Q$1:$Q$860,$U102),0))</f>
        <v>0</v>
      </c>
      <c r="I102" s="129" t="str">
        <f aca="false">IF($U102="","",IF(INDEX('MiT Strom Pipeline'!$E$1:$E$860,$U102)="","",INDEX('MiT Strom Pipeline'!$E$1:$E$860,$U102)))</f>
        <v>200 kVA</v>
      </c>
      <c r="J102" s="130" t="str">
        <f aca="false">IF($U102="","",INDEX('MiT Strom Pipeline'!$R$1:$R$860,$U102))</f>
        <v>offered</v>
      </c>
      <c r="K102" s="133" t="n">
        <f aca="false">IF($U102="","",IF(ISNUMBER(INDEX('MiT Strom Pipeline'!$S$1:$S$860,$U102)),INDEX('MiT Strom Pipeline'!$S$1:$S$860,$U102),""))</f>
        <v>0.3</v>
      </c>
      <c r="L102" s="129" t="str">
        <f aca="false">IF($U102="","",IF(LEN(INDEX('MiT Strom Pipeline'!$V$1:$V$860,$U102))&gt;0,LEFT(INDEX('MiT Strom Pipeline'!$V$1:$V$860,$U102),55),""))</f>
        <v>Kunde angeschrieben, Offerte erstellt, Kunde hat Offert</v>
      </c>
      <c r="M102" s="129" t="str">
        <f aca="false">IF($U102="","",IF(INDEX('MiT Strom Pipeline'!$AF$1:$AF$860,$U102)="","",INDEX('MiT Strom Pipeline'!$AF$1:$AF$860,$U102)))</f>
        <v/>
      </c>
      <c r="N102" s="129" t="str">
        <f aca="false">IF($U102="","",IF(INDEX('MiT Strom Pipeline'!$BB$1:$BB$860,$U102)="","",INDEX('MiT Strom Pipeline'!$BB$1:$BB$860,$U102)))</f>
        <v>○ Zeitraum offen</v>
      </c>
      <c r="O102" s="112"/>
      <c r="P102" s="112"/>
      <c r="Q102" s="112"/>
      <c r="R102" s="112"/>
      <c r="S102" s="112"/>
      <c r="U102" s="1" t="n">
        <f aca="false">IFERROR(MATCH(28,'MiT Strom Pipeline'!$AN$6:$AN$860,0)+5,"")</f>
        <v>65</v>
      </c>
    </row>
    <row r="103" customFormat="false" ht="38.25" hidden="false" customHeight="true" outlineLevel="0" collapsed="false">
      <c r="A103" s="128" t="n">
        <f aca="false">IF($U103="","",IF(ISNUMBER(INDEX('MiT Strom Pipeline'!$A$1:$A$860,$U103)),INDEX('MiT Strom Pipeline'!$A$1:$A$860,$U103),""))</f>
        <v>56</v>
      </c>
      <c r="B103" s="129" t="str">
        <f aca="false">IF($U103="","",IF(INDEX('MiT Strom Pipeline'!$B$1:$B$860,$U103)="","",INDEX('MiT Strom Pipeline'!$B$1:$B$860,$U103)))</f>
        <v>Winkler Livecom AG</v>
      </c>
      <c r="C103" s="130" t="str">
        <f aca="false">IF($U103="","",IF(INDEX('MiT Strom Pipeline'!$C$1:$C$860,$U103)="","",INDEX('MiT Strom Pipeline'!$C$1:$C$860,$U103)))</f>
        <v>AG</v>
      </c>
      <c r="D103" s="129" t="str">
        <f aca="false">IF($U103="","",IF(INDEX('MiT Strom Pipeline'!$D$1:$D$860,$U103)="","",INDEX('MiT Strom Pipeline'!$D$1:$D$860,$U103)))</f>
        <v>Event</v>
      </c>
      <c r="E103" s="131" t="str">
        <f aca="false">IF($U103="","",IF(ISNUMBER(INDEX('MiT Strom Pipeline'!$O$1:$O$860,$U103)),INDEX('MiT Strom Pipeline'!$O$1:$O$860,$U103),IF(INDEX('MiT Strom Pipeline'!$H$1:$H$860,$U103)="","",INDEX('MiT Strom Pipeline'!$H$1:$H$860,$U103))))</f>
        <v>Nov</v>
      </c>
      <c r="F103" s="131" t="str">
        <f aca="false">IF($U103="","",IF(ISNUMBER(INDEX('MiT Strom Pipeline'!$P$1:$P$860,$U103)),INDEX('MiT Strom Pipeline'!$P$1:$P$860,$U103),""))</f>
        <v/>
      </c>
      <c r="G103" s="132" t="n">
        <f aca="false">IF($U103="","",IF(ISNUMBER(INDEX('MiT Strom Pipeline'!$I$1:$I$860,$U103)),INDEX('MiT Strom Pipeline'!$I$1:$I$860,$U103),0))</f>
        <v>41209</v>
      </c>
      <c r="H103" s="132" t="n">
        <f aca="false">IF($U103="","",IF(ISNUMBER(INDEX('MiT Strom Pipeline'!$Q$1:$Q$860,$U103)),INDEX('MiT Strom Pipeline'!$Q$1:$Q$860,$U103),0))</f>
        <v>0</v>
      </c>
      <c r="I103" s="129" t="str">
        <f aca="false">IF($U103="","",IF(INDEX('MiT Strom Pipeline'!$E$1:$E$860,$U103)="","",INDEX('MiT Strom Pipeline'!$E$1:$E$860,$U103)))</f>
        <v>300 kVA, 300 kWh</v>
      </c>
      <c r="J103" s="130" t="str">
        <f aca="false">IF($U103="","",INDEX('MiT Strom Pipeline'!$R$1:$R$860,$U103))</f>
        <v>offered</v>
      </c>
      <c r="K103" s="133" t="n">
        <f aca="false">IF($U103="","",IF(ISNUMBER(INDEX('MiT Strom Pipeline'!$S$1:$S$860,$U103)),INDEX('MiT Strom Pipeline'!$S$1:$S$860,$U103),""))</f>
        <v>0.3</v>
      </c>
      <c r="L103" s="129" t="str">
        <f aca="false">IF($U103="","",IF(LEN(INDEX('MiT Strom Pipeline'!$V$1:$V$860,$U103))&gt;0,LEFT(INDEX('MiT Strom Pipeline'!$V$1:$V$860,$U103),55),""))</f>
        <v>Kunde angeschrieben, Offerte erstellt, Kunde hat Offert</v>
      </c>
      <c r="M103" s="129" t="str">
        <f aca="false">IF($U103="","",IF(INDEX('MiT Strom Pipeline'!$AF$1:$AF$860,$U103)="","",INDEX('MiT Strom Pipeline'!$AF$1:$AF$860,$U103)))</f>
        <v/>
      </c>
      <c r="N103" s="129" t="str">
        <f aca="false">IF($U103="","",IF(INDEX('MiT Strom Pipeline'!$BB$1:$BB$860,$U103)="","",INDEX('MiT Strom Pipeline'!$BB$1:$BB$860,$U103)))</f>
        <v>○ Zeitraum offen</v>
      </c>
      <c r="O103" s="112"/>
      <c r="P103" s="112"/>
      <c r="Q103" s="112"/>
      <c r="R103" s="112"/>
      <c r="S103" s="112"/>
      <c r="U103" s="1" t="n">
        <f aca="false">IFERROR(MATCH(29,'MiT Strom Pipeline'!$AN$6:$AN$860,0)+5,"")</f>
        <v>66</v>
      </c>
    </row>
    <row r="104" customFormat="false" ht="38.25" hidden="false" customHeight="true" outlineLevel="0" collapsed="false">
      <c r="A104" s="128" t="n">
        <f aca="false">IF($U104="","",IF(ISNUMBER(INDEX('MiT Strom Pipeline'!$A$1:$A$860,$U104)),INDEX('MiT Strom Pipeline'!$A$1:$A$860,$U104),""))</f>
        <v>57</v>
      </c>
      <c r="B104" s="129" t="str">
        <f aca="false">IF($U104="","",IF(INDEX('MiT Strom Pipeline'!$B$1:$B$860,$U104)="","",INDEX('MiT Strom Pipeline'!$B$1:$B$860,$U104)))</f>
        <v>Siemens</v>
      </c>
      <c r="C104" s="130" t="str">
        <f aca="false">IF($U104="","",IF(INDEX('MiT Strom Pipeline'!$C$1:$C$860,$U104)="","",INDEX('MiT Strom Pipeline'!$C$1:$C$860,$U104)))</f>
        <v>ZG</v>
      </c>
      <c r="D104" s="129" t="str">
        <f aca="false">IF($U104="","",IF(INDEX('MiT Strom Pipeline'!$D$1:$D$860,$U104)="","",INDEX('MiT Strom Pipeline'!$D$1:$D$860,$U104)))</f>
        <v>Industrie</v>
      </c>
      <c r="E104" s="131" t="str">
        <f aca="false">IF($U104="","",IF(ISNUMBER(INDEX('MiT Strom Pipeline'!$O$1:$O$860,$U104)),INDEX('MiT Strom Pipeline'!$O$1:$O$860,$U104),IF(INDEX('MiT Strom Pipeline'!$H$1:$H$860,$U104)="","",INDEX('MiT Strom Pipeline'!$H$1:$H$860,$U104))))</f>
        <v>Sep</v>
      </c>
      <c r="F104" s="131" t="str">
        <f aca="false">IF($U104="","",IF(ISNUMBER(INDEX('MiT Strom Pipeline'!$P$1:$P$860,$U104)),INDEX('MiT Strom Pipeline'!$P$1:$P$860,$U104),""))</f>
        <v/>
      </c>
      <c r="G104" s="132" t="n">
        <f aca="false">IF($U104="","",IF(ISNUMBER(INDEX('MiT Strom Pipeline'!$I$1:$I$860,$U104)),INDEX('MiT Strom Pipeline'!$I$1:$I$860,$U104),0))</f>
        <v>40491.67</v>
      </c>
      <c r="H104" s="132" t="n">
        <f aca="false">IF($U104="","",IF(ISNUMBER(INDEX('MiT Strom Pipeline'!$Q$1:$Q$860,$U104)),INDEX('MiT Strom Pipeline'!$Q$1:$Q$860,$U104),0))</f>
        <v>0</v>
      </c>
      <c r="I104" s="129" t="str">
        <f aca="false">IF($U104="","",IF(INDEX('MiT Strom Pipeline'!$E$1:$E$860,$U104)="","",INDEX('MiT Strom Pipeline'!$E$1:$E$860,$U104)))</f>
        <v>600 kVA</v>
      </c>
      <c r="J104" s="130" t="str">
        <f aca="false">IF($U104="","",INDEX('MiT Strom Pipeline'!$R$1:$R$860,$U104))</f>
        <v>offered</v>
      </c>
      <c r="K104" s="133" t="n">
        <f aca="false">IF($U104="","",IF(ISNUMBER(INDEX('MiT Strom Pipeline'!$S$1:$S$860,$U104)),INDEX('MiT Strom Pipeline'!$S$1:$S$860,$U104),""))</f>
        <v>0.3</v>
      </c>
      <c r="L104" s="129" t="str">
        <f aca="false">IF($U104="","",IF(LEN(INDEX('MiT Strom Pipeline'!$V$1:$V$860,$U104))&gt;0,LEFT(INDEX('MiT Strom Pipeline'!$V$1:$V$860,$U104),55),""))</f>
        <v>Kunde angeschrieben, Offerte erstellt, Kunde hat Offert</v>
      </c>
      <c r="M104" s="129" t="str">
        <f aca="false">IF($U104="","",IF(INDEX('MiT Strom Pipeline'!$AF$1:$AF$860,$U104)="","",INDEX('MiT Strom Pipeline'!$AF$1:$AF$860,$U104)))</f>
        <v/>
      </c>
      <c r="N104" s="129" t="str">
        <f aca="false">IF($U104="","",IF(INDEX('MiT Strom Pipeline'!$BB$1:$BB$860,$U104)="","",INDEX('MiT Strom Pipeline'!$BB$1:$BB$860,$U104)))</f>
        <v>○ Zeitraum offen</v>
      </c>
      <c r="O104" s="112"/>
      <c r="P104" s="112"/>
      <c r="Q104" s="112"/>
      <c r="R104" s="112"/>
      <c r="S104" s="112"/>
      <c r="U104" s="1" t="n">
        <f aca="false">IFERROR(MATCH(30,'MiT Strom Pipeline'!$AN$6:$AN$860,0)+5,"")</f>
        <v>67</v>
      </c>
    </row>
    <row r="105" customFormat="false" ht="38.25" hidden="false" customHeight="true" outlineLevel="0" collapsed="false">
      <c r="A105" s="128" t="n">
        <f aca="false">IF($U105="","",IF(ISNUMBER(INDEX('MiT Strom Pipeline'!$A$1:$A$860,$U105)),INDEX('MiT Strom Pipeline'!$A$1:$A$860,$U105),""))</f>
        <v>58</v>
      </c>
      <c r="B105" s="129" t="str">
        <f aca="false">IF($U105="","",IF(INDEX('MiT Strom Pipeline'!$B$1:$B$860,$U105)="","",INDEX('MiT Strom Pipeline'!$B$1:$B$860,$U105)))</f>
        <v>Kull Elektro AG</v>
      </c>
      <c r="C105" s="130" t="str">
        <f aca="false">IF($U105="","",IF(INDEX('MiT Strom Pipeline'!$C$1:$C$860,$U105)="","",INDEX('MiT Strom Pipeline'!$C$1:$C$860,$U105)))</f>
        <v>ZH</v>
      </c>
      <c r="D105" s="129" t="str">
        <f aca="false">IF($U105="","",IF(INDEX('MiT Strom Pipeline'!$D$1:$D$860,$U105)="","",INDEX('MiT Strom Pipeline'!$D$1:$D$860,$U105)))</f>
        <v>Elektroplaner</v>
      </c>
      <c r="E105" s="131" t="str">
        <f aca="false">IF($U105="","",IF(ISNUMBER(INDEX('MiT Strom Pipeline'!$O$1:$O$860,$U105)),INDEX('MiT Strom Pipeline'!$O$1:$O$860,$U105),IF(INDEX('MiT Strom Pipeline'!$H$1:$H$860,$U105)="","",INDEX('MiT Strom Pipeline'!$H$1:$H$860,$U105))))</f>
        <v>August</v>
      </c>
      <c r="F105" s="131" t="str">
        <f aca="false">IF($U105="","",IF(ISNUMBER(INDEX('MiT Strom Pipeline'!$P$1:$P$860,$U105)),INDEX('MiT Strom Pipeline'!$P$1:$P$860,$U105),""))</f>
        <v/>
      </c>
      <c r="G105" s="132" t="n">
        <f aca="false">IF($U105="","",IF(ISNUMBER(INDEX('MiT Strom Pipeline'!$I$1:$I$860,$U105)),INDEX('MiT Strom Pipeline'!$I$1:$I$860,$U105),0))</f>
        <v>113382.4</v>
      </c>
      <c r="H105" s="132" t="n">
        <f aca="false">IF($U105="","",IF(ISNUMBER(INDEX('MiT Strom Pipeline'!$Q$1:$Q$860,$U105)),INDEX('MiT Strom Pipeline'!$Q$1:$Q$860,$U105),0))</f>
        <v>0</v>
      </c>
      <c r="I105" s="129" t="str">
        <f aca="false">IF($U105="","",IF(INDEX('MiT Strom Pipeline'!$E$1:$E$860,$U105)="","",INDEX('MiT Strom Pipeline'!$E$1:$E$860,$U105)))</f>
        <v>150 kVA Generator</v>
      </c>
      <c r="J105" s="130" t="str">
        <f aca="false">IF($U105="","",INDEX('MiT Strom Pipeline'!$R$1:$R$860,$U105))</f>
        <v>offered</v>
      </c>
      <c r="K105" s="133" t="n">
        <f aca="false">IF($U105="","",IF(ISNUMBER(INDEX('MiT Strom Pipeline'!$S$1:$S$860,$U105)),INDEX('MiT Strom Pipeline'!$S$1:$S$860,$U105),""))</f>
        <v>0.3</v>
      </c>
      <c r="L105" s="129" t="str">
        <f aca="false">IF($U105="","",IF(LEN(INDEX('MiT Strom Pipeline'!$V$1:$V$860,$U105))&gt;0,LEFT(INDEX('MiT Strom Pipeline'!$V$1:$V$860,$U105),55),""))</f>
        <v>Kunde angeschrieben, Offerte erstellt, Kunde hat Offert</v>
      </c>
      <c r="M105" s="129" t="str">
        <f aca="false">IF($U105="","",IF(INDEX('MiT Strom Pipeline'!$AF$1:$AF$860,$U105)="","",INDEX('MiT Strom Pipeline'!$AF$1:$AF$860,$U105)))</f>
        <v/>
      </c>
      <c r="N105" s="129" t="str">
        <f aca="false">IF($U105="","",IF(INDEX('MiT Strom Pipeline'!$BB$1:$BB$860,$U105)="","",INDEX('MiT Strom Pipeline'!$BB$1:$BB$860,$U105)))</f>
        <v>○ Zeitraum offen</v>
      </c>
      <c r="O105" s="112"/>
      <c r="P105" s="112"/>
      <c r="Q105" s="112"/>
      <c r="R105" s="112"/>
      <c r="S105" s="112"/>
      <c r="U105" s="1" t="n">
        <f aca="false">IFERROR(MATCH(31,'MiT Strom Pipeline'!$AN$6:$AN$860,0)+5,"")</f>
        <v>68</v>
      </c>
    </row>
    <row r="106" customFormat="false" ht="38.25" hidden="false" customHeight="true" outlineLevel="0" collapsed="false">
      <c r="A106" s="128" t="n">
        <f aca="false">IF($U106="","",IF(ISNUMBER(INDEX('MiT Strom Pipeline'!$A$1:$A$860,$U106)),INDEX('MiT Strom Pipeline'!$A$1:$A$860,$U106),""))</f>
        <v>59</v>
      </c>
      <c r="B106" s="129" t="str">
        <f aca="false">IF($U106="","",IF(INDEX('MiT Strom Pipeline'!$B$1:$B$860,$U106)="","",INDEX('MiT Strom Pipeline'!$B$1:$B$860,$U106)))</f>
        <v>(Megger) Power Diagnostix Service GmbH</v>
      </c>
      <c r="C106" s="130" t="str">
        <f aca="false">IF($U106="","",IF(INDEX('MiT Strom Pipeline'!$C$1:$C$860,$U106)="","",INDEX('MiT Strom Pipeline'!$C$1:$C$860,$U106)))</f>
        <v>ZH</v>
      </c>
      <c r="D106" s="129" t="str">
        <f aca="false">IF($U106="","",IF(INDEX('MiT Strom Pipeline'!$D$1:$D$860,$U106)="","",INDEX('MiT Strom Pipeline'!$D$1:$D$860,$U106)))</f>
        <v>EVU</v>
      </c>
      <c r="E106" s="131" t="str">
        <f aca="false">IF($U106="","",IF(ISNUMBER(INDEX('MiT Strom Pipeline'!$O$1:$O$860,$U106)),INDEX('MiT Strom Pipeline'!$O$1:$O$860,$U106),IF(INDEX('MiT Strom Pipeline'!$H$1:$H$860,$U106)="","",INDEX('MiT Strom Pipeline'!$H$1:$H$860,$U106))))</f>
        <v>August</v>
      </c>
      <c r="F106" s="131" t="str">
        <f aca="false">IF($U106="","",IF(ISNUMBER(INDEX('MiT Strom Pipeline'!$P$1:$P$860,$U106)),INDEX('MiT Strom Pipeline'!$P$1:$P$860,$U106),""))</f>
        <v/>
      </c>
      <c r="G106" s="132" t="n">
        <f aca="false">IF($U106="","",IF(ISNUMBER(INDEX('MiT Strom Pipeline'!$I$1:$I$860,$U106)),INDEX('MiT Strom Pipeline'!$I$1:$I$860,$U106),0))</f>
        <v>2435.75</v>
      </c>
      <c r="H106" s="132" t="n">
        <f aca="false">IF($U106="","",IF(ISNUMBER(INDEX('MiT Strom Pipeline'!$Q$1:$Q$860,$U106)),INDEX('MiT Strom Pipeline'!$Q$1:$Q$860,$U106),0))</f>
        <v>0</v>
      </c>
      <c r="I106" s="129" t="str">
        <f aca="false">IF($U106="","",IF(INDEX('MiT Strom Pipeline'!$E$1:$E$860,$U106)="","",INDEX('MiT Strom Pipeline'!$E$1:$E$860,$U106)))</f>
        <v>150 kVA</v>
      </c>
      <c r="J106" s="130" t="str">
        <f aca="false">IF($U106="","",INDEX('MiT Strom Pipeline'!$R$1:$R$860,$U106))</f>
        <v>offered</v>
      </c>
      <c r="K106" s="133" t="n">
        <f aca="false">IF($U106="","",IF(ISNUMBER(INDEX('MiT Strom Pipeline'!$S$1:$S$860,$U106)),INDEX('MiT Strom Pipeline'!$S$1:$S$860,$U106),""))</f>
        <v>0.3</v>
      </c>
      <c r="L106" s="129" t="str">
        <f aca="false">IF($U106="","",IF(LEN(INDEX('MiT Strom Pipeline'!$V$1:$V$860,$U106))&gt;0,LEFT(INDEX('MiT Strom Pipeline'!$V$1:$V$860,$U106),55),""))</f>
        <v>Kunde angeschrieben, Offerte erstellt, Kunde hat Offert</v>
      </c>
      <c r="M106" s="129" t="str">
        <f aca="false">IF($U106="","",IF(INDEX('MiT Strom Pipeline'!$AF$1:$AF$860,$U106)="","",INDEX('MiT Strom Pipeline'!$AF$1:$AF$860,$U106)))</f>
        <v/>
      </c>
      <c r="N106" s="129" t="str">
        <f aca="false">IF($U106="","",IF(INDEX('MiT Strom Pipeline'!$BB$1:$BB$860,$U106)="","",INDEX('MiT Strom Pipeline'!$BB$1:$BB$860,$U106)))</f>
        <v>○ Zeitraum offen</v>
      </c>
      <c r="O106" s="112"/>
      <c r="P106" s="112"/>
      <c r="Q106" s="112"/>
      <c r="R106" s="112"/>
      <c r="S106" s="112"/>
      <c r="U106" s="1" t="n">
        <f aca="false">IFERROR(MATCH(32,'MiT Strom Pipeline'!$AN$6:$AN$860,0)+5,"")</f>
        <v>69</v>
      </c>
    </row>
    <row r="107" customFormat="false" ht="38.25" hidden="false" customHeight="true" outlineLevel="0" collapsed="false">
      <c r="A107" s="128" t="n">
        <f aca="false">IF($U107="","",IF(ISNUMBER(INDEX('MiT Strom Pipeline'!$A$1:$A$860,$U107)),INDEX('MiT Strom Pipeline'!$A$1:$A$860,$U107),""))</f>
        <v>60</v>
      </c>
      <c r="B107" s="129" t="str">
        <f aca="false">IF($U107="","",IF(INDEX('MiT Strom Pipeline'!$B$1:$B$860,$U107)="","",INDEX('MiT Strom Pipeline'!$B$1:$B$860,$U107)))</f>
        <v>Promacom engineering GmbH</v>
      </c>
      <c r="C107" s="130" t="str">
        <f aca="false">IF($U107="","",IF(INDEX('MiT Strom Pipeline'!$C$1:$C$860,$U107)="","",INDEX('MiT Strom Pipeline'!$C$1:$C$860,$U107)))</f>
        <v>ZH</v>
      </c>
      <c r="D107" s="129" t="str">
        <f aca="false">IF($U107="","",IF(INDEX('MiT Strom Pipeline'!$D$1:$D$860,$U107)="","",INDEX('MiT Strom Pipeline'!$D$1:$D$860,$U107)))</f>
        <v>Elektroplaner</v>
      </c>
      <c r="E107" s="131" t="str">
        <f aca="false">IF($U107="","",IF(ISNUMBER(INDEX('MiT Strom Pipeline'!$O$1:$O$860,$U107)),INDEX('MiT Strom Pipeline'!$O$1:$O$860,$U107),IF(INDEX('MiT Strom Pipeline'!$H$1:$H$860,$U107)="","",INDEX('MiT Strom Pipeline'!$H$1:$H$860,$U107))))</f>
        <v>Jan</v>
      </c>
      <c r="F107" s="131" t="str">
        <f aca="false">IF($U107="","",IF(ISNUMBER(INDEX('MiT Strom Pipeline'!$P$1:$P$860,$U107)),INDEX('MiT Strom Pipeline'!$P$1:$P$860,$U107),""))</f>
        <v/>
      </c>
      <c r="G107" s="132" t="n">
        <f aca="false">IF($U107="","",IF(ISNUMBER(INDEX('MiT Strom Pipeline'!$I$1:$I$860,$U107)),INDEX('MiT Strom Pipeline'!$I$1:$I$860,$U107),0))</f>
        <v>286997.24</v>
      </c>
      <c r="H107" s="132" t="n">
        <f aca="false">IF($U107="","",IF(ISNUMBER(INDEX('MiT Strom Pipeline'!$Q$1:$Q$860,$U107)),INDEX('MiT Strom Pipeline'!$Q$1:$Q$860,$U107),0))</f>
        <v>0</v>
      </c>
      <c r="I107" s="129" t="str">
        <f aca="false">IF($U107="","",IF(INDEX('MiT Strom Pipeline'!$E$1:$E$860,$U107)="","",INDEX('MiT Strom Pipeline'!$E$1:$E$860,$U107)))</f>
        <v>450 kVA</v>
      </c>
      <c r="J107" s="130" t="str">
        <f aca="false">IF($U107="","",INDEX('MiT Strom Pipeline'!$R$1:$R$860,$U107))</f>
        <v>offered</v>
      </c>
      <c r="K107" s="133" t="n">
        <f aca="false">IF($U107="","",IF(ISNUMBER(INDEX('MiT Strom Pipeline'!$S$1:$S$860,$U107)),INDEX('MiT Strom Pipeline'!$S$1:$S$860,$U107),""))</f>
        <v>0.3</v>
      </c>
      <c r="L107" s="129" t="str">
        <f aca="false">IF($U107="","",IF(LEN(INDEX('MiT Strom Pipeline'!$V$1:$V$860,$U107))&gt;0,LEFT(INDEX('MiT Strom Pipeline'!$V$1:$V$860,$U107),55),""))</f>
        <v>Kunde angeschrieben, Offerte erstellt, Kunde hat Offert</v>
      </c>
      <c r="M107" s="129" t="str">
        <f aca="false">IF($U107="","",IF(INDEX('MiT Strom Pipeline'!$AF$1:$AF$860,$U107)="","",INDEX('MiT Strom Pipeline'!$AF$1:$AF$860,$U107)))</f>
        <v/>
      </c>
      <c r="N107" s="129" t="str">
        <f aca="false">IF($U107="","",IF(INDEX('MiT Strom Pipeline'!$BB$1:$BB$860,$U107)="","",INDEX('MiT Strom Pipeline'!$BB$1:$BB$860,$U107)))</f>
        <v>○ Zeitraum offen</v>
      </c>
      <c r="O107" s="112"/>
      <c r="P107" s="112"/>
      <c r="Q107" s="112"/>
      <c r="R107" s="112"/>
      <c r="S107" s="112"/>
      <c r="U107" s="1" t="n">
        <f aca="false">IFERROR(MATCH(33,'MiT Strom Pipeline'!$AN$6:$AN$860,0)+5,"")</f>
        <v>70</v>
      </c>
    </row>
    <row r="108" customFormat="false" ht="15.75" hidden="false" customHeight="true" outlineLevel="0" collapsed="false">
      <c r="A108" s="128" t="str">
        <f aca="false">IF($U108="","",IF(ISNUMBER(INDEX('MiT Strom Pipeline'!$A$1:$A$860,$U108)),INDEX('MiT Strom Pipeline'!$A$1:$A$860,$U108),""))</f>
        <v/>
      </c>
      <c r="B108" s="129" t="str">
        <f aca="false">IF($U108="","",IF(INDEX('MiT Strom Pipeline'!$B$1:$B$860,$U108)="","",INDEX('MiT Strom Pipeline'!$B$1:$B$860,$U108)))</f>
        <v/>
      </c>
      <c r="C108" s="130" t="str">
        <f aca="false">IF($U108="","",IF(INDEX('MiT Strom Pipeline'!$C$1:$C$860,$U108)="","",INDEX('MiT Strom Pipeline'!$C$1:$C$860,$U108)))</f>
        <v/>
      </c>
      <c r="D108" s="129" t="str">
        <f aca="false">IF($U108="","",IF(INDEX('MiT Strom Pipeline'!$D$1:$D$860,$U108)="","",INDEX('MiT Strom Pipeline'!$D$1:$D$860,$U108)))</f>
        <v/>
      </c>
      <c r="E108" s="131" t="str">
        <f aca="false">IF($U108="","",IF(ISNUMBER(INDEX('MiT Strom Pipeline'!$O$1:$O$860,$U108)),INDEX('MiT Strom Pipeline'!$O$1:$O$860,$U108),IF(INDEX('MiT Strom Pipeline'!$H$1:$H$860,$U108)="","",INDEX('MiT Strom Pipeline'!$H$1:$H$860,$U108))))</f>
        <v/>
      </c>
      <c r="F108" s="131" t="str">
        <f aca="false">IF($U108="","",IF(ISNUMBER(INDEX('MiT Strom Pipeline'!$P$1:$P$860,$U108)),INDEX('MiT Strom Pipeline'!$P$1:$P$860,$U108),""))</f>
        <v/>
      </c>
      <c r="G108" s="132" t="str">
        <f aca="false">IF($U108="","",IF(ISNUMBER(INDEX('MiT Strom Pipeline'!$I$1:$I$860,$U108)),INDEX('MiT Strom Pipeline'!$I$1:$I$860,$U108),0))</f>
        <v/>
      </c>
      <c r="H108" s="132" t="str">
        <f aca="false">IF($U108="","",IF(ISNUMBER(INDEX('MiT Strom Pipeline'!$Q$1:$Q$860,$U108)),INDEX('MiT Strom Pipeline'!$Q$1:$Q$860,$U108),0))</f>
        <v/>
      </c>
      <c r="I108" s="129" t="str">
        <f aca="false">IF($U108="","",IF(INDEX('MiT Strom Pipeline'!$E$1:$E$860,$U108)="","",INDEX('MiT Strom Pipeline'!$E$1:$E$860,$U108)))</f>
        <v/>
      </c>
      <c r="J108" s="130" t="str">
        <f aca="false">IF($U108="","",INDEX('MiT Strom Pipeline'!$R$1:$R$860,$U108))</f>
        <v/>
      </c>
      <c r="K108" s="133" t="str">
        <f aca="false">IF($U108="","",IF(ISNUMBER(INDEX('MiT Strom Pipeline'!$S$1:$S$860,$U108)),INDEX('MiT Strom Pipeline'!$S$1:$S$860,$U108),""))</f>
        <v/>
      </c>
      <c r="L108" s="129" t="str">
        <f aca="false">IF($U108="","",IF(LEN(INDEX('MiT Strom Pipeline'!$V$1:$V$860,$U108))&gt;0,LEFT(INDEX('MiT Strom Pipeline'!$V$1:$V$860,$U108),55),""))</f>
        <v/>
      </c>
      <c r="M108" s="129" t="str">
        <f aca="false">IF($U108="","",IF(INDEX('MiT Strom Pipeline'!$AF$1:$AF$860,$U108)="","",INDEX('MiT Strom Pipeline'!$AF$1:$AF$860,$U108)))</f>
        <v/>
      </c>
      <c r="N108" s="129" t="str">
        <f aca="false">IF($U108="","",IF(INDEX('MiT Strom Pipeline'!$BB$1:$BB$860,$U108)="","",INDEX('MiT Strom Pipeline'!$BB$1:$BB$860,$U108)))</f>
        <v/>
      </c>
      <c r="O108" s="112"/>
      <c r="P108" s="112"/>
      <c r="Q108" s="112"/>
      <c r="R108" s="112"/>
      <c r="S108" s="112"/>
      <c r="U108" s="1" t="str">
        <f aca="false">IFERROR(MATCH(34,'MiT Strom Pipeline'!$AN$6:$AN$860,0)+5,"")</f>
        <v/>
      </c>
    </row>
    <row r="109" customFormat="false" ht="15.75" hidden="false" customHeight="true" outlineLevel="0" collapsed="false">
      <c r="A109" s="128" t="str">
        <f aca="false">IF($U109="","",IF(ISNUMBER(INDEX('MiT Strom Pipeline'!$A$1:$A$860,$U109)),INDEX('MiT Strom Pipeline'!$A$1:$A$860,$U109),""))</f>
        <v/>
      </c>
      <c r="B109" s="129" t="str">
        <f aca="false">IF($U109="","",IF(INDEX('MiT Strom Pipeline'!$B$1:$B$860,$U109)="","",INDEX('MiT Strom Pipeline'!$B$1:$B$860,$U109)))</f>
        <v/>
      </c>
      <c r="C109" s="130" t="str">
        <f aca="false">IF($U109="","",IF(INDEX('MiT Strom Pipeline'!$C$1:$C$860,$U109)="","",INDEX('MiT Strom Pipeline'!$C$1:$C$860,$U109)))</f>
        <v/>
      </c>
      <c r="D109" s="129" t="str">
        <f aca="false">IF($U109="","",IF(INDEX('MiT Strom Pipeline'!$D$1:$D$860,$U109)="","",INDEX('MiT Strom Pipeline'!$D$1:$D$860,$U109)))</f>
        <v/>
      </c>
      <c r="E109" s="131" t="str">
        <f aca="false">IF($U109="","",IF(ISNUMBER(INDEX('MiT Strom Pipeline'!$O$1:$O$860,$U109)),INDEX('MiT Strom Pipeline'!$O$1:$O$860,$U109),IF(INDEX('MiT Strom Pipeline'!$H$1:$H$860,$U109)="","",INDEX('MiT Strom Pipeline'!$H$1:$H$860,$U109))))</f>
        <v/>
      </c>
      <c r="F109" s="131" t="str">
        <f aca="false">IF($U109="","",IF(ISNUMBER(INDEX('MiT Strom Pipeline'!$P$1:$P$860,$U109)),INDEX('MiT Strom Pipeline'!$P$1:$P$860,$U109),""))</f>
        <v/>
      </c>
      <c r="G109" s="132" t="str">
        <f aca="false">IF($U109="","",IF(ISNUMBER(INDEX('MiT Strom Pipeline'!$I$1:$I$860,$U109)),INDEX('MiT Strom Pipeline'!$I$1:$I$860,$U109),0))</f>
        <v/>
      </c>
      <c r="H109" s="132" t="str">
        <f aca="false">IF($U109="","",IF(ISNUMBER(INDEX('MiT Strom Pipeline'!$Q$1:$Q$860,$U109)),INDEX('MiT Strom Pipeline'!$Q$1:$Q$860,$U109),0))</f>
        <v/>
      </c>
      <c r="I109" s="129" t="str">
        <f aca="false">IF($U109="","",IF(INDEX('MiT Strom Pipeline'!$E$1:$E$860,$U109)="","",INDEX('MiT Strom Pipeline'!$E$1:$E$860,$U109)))</f>
        <v/>
      </c>
      <c r="J109" s="130" t="str">
        <f aca="false">IF($U109="","",INDEX('MiT Strom Pipeline'!$R$1:$R$860,$U109))</f>
        <v/>
      </c>
      <c r="K109" s="133" t="str">
        <f aca="false">IF($U109="","",IF(ISNUMBER(INDEX('MiT Strom Pipeline'!$S$1:$S$860,$U109)),INDEX('MiT Strom Pipeline'!$S$1:$S$860,$U109),""))</f>
        <v/>
      </c>
      <c r="L109" s="129" t="str">
        <f aca="false">IF($U109="","",IF(LEN(INDEX('MiT Strom Pipeline'!$V$1:$V$860,$U109))&gt;0,LEFT(INDEX('MiT Strom Pipeline'!$V$1:$V$860,$U109),55),""))</f>
        <v/>
      </c>
      <c r="M109" s="129" t="str">
        <f aca="false">IF($U109="","",IF(INDEX('MiT Strom Pipeline'!$AF$1:$AF$860,$U109)="","",INDEX('MiT Strom Pipeline'!$AF$1:$AF$860,$U109)))</f>
        <v/>
      </c>
      <c r="N109" s="129" t="str">
        <f aca="false">IF($U109="","",IF(INDEX('MiT Strom Pipeline'!$BB$1:$BB$860,$U109)="","",INDEX('MiT Strom Pipeline'!$BB$1:$BB$860,$U109)))</f>
        <v/>
      </c>
      <c r="O109" s="112"/>
      <c r="P109" s="112"/>
      <c r="Q109" s="112"/>
      <c r="R109" s="112"/>
      <c r="S109" s="112"/>
      <c r="U109" s="1" t="str">
        <f aca="false">IFERROR(MATCH(35,'MiT Strom Pipeline'!$AN$6:$AN$860,0)+5,"")</f>
        <v/>
      </c>
    </row>
    <row r="110" customFormat="false" ht="15.75" hidden="false" customHeight="true" outlineLevel="0" collapsed="false">
      <c r="A110" s="128" t="str">
        <f aca="false">IF($U110="","",IF(ISNUMBER(INDEX('MiT Strom Pipeline'!$A$1:$A$860,$U110)),INDEX('MiT Strom Pipeline'!$A$1:$A$860,$U110),""))</f>
        <v/>
      </c>
      <c r="B110" s="129" t="str">
        <f aca="false">IF($U110="","",IF(INDEX('MiT Strom Pipeline'!$B$1:$B$860,$U110)="","",INDEX('MiT Strom Pipeline'!$B$1:$B$860,$U110)))</f>
        <v/>
      </c>
      <c r="C110" s="130" t="str">
        <f aca="false">IF($U110="","",IF(INDEX('MiT Strom Pipeline'!$C$1:$C$860,$U110)="","",INDEX('MiT Strom Pipeline'!$C$1:$C$860,$U110)))</f>
        <v/>
      </c>
      <c r="D110" s="129" t="str">
        <f aca="false">IF($U110="","",IF(INDEX('MiT Strom Pipeline'!$D$1:$D$860,$U110)="","",INDEX('MiT Strom Pipeline'!$D$1:$D$860,$U110)))</f>
        <v/>
      </c>
      <c r="E110" s="131" t="str">
        <f aca="false">IF($U110="","",IF(ISNUMBER(INDEX('MiT Strom Pipeline'!$O$1:$O$860,$U110)),INDEX('MiT Strom Pipeline'!$O$1:$O$860,$U110),IF(INDEX('MiT Strom Pipeline'!$H$1:$H$860,$U110)="","",INDEX('MiT Strom Pipeline'!$H$1:$H$860,$U110))))</f>
        <v/>
      </c>
      <c r="F110" s="131" t="str">
        <f aca="false">IF($U110="","",IF(ISNUMBER(INDEX('MiT Strom Pipeline'!$P$1:$P$860,$U110)),INDEX('MiT Strom Pipeline'!$P$1:$P$860,$U110),""))</f>
        <v/>
      </c>
      <c r="G110" s="132" t="str">
        <f aca="false">IF($U110="","",IF(ISNUMBER(INDEX('MiT Strom Pipeline'!$I$1:$I$860,$U110)),INDEX('MiT Strom Pipeline'!$I$1:$I$860,$U110),0))</f>
        <v/>
      </c>
      <c r="H110" s="132" t="str">
        <f aca="false">IF($U110="","",IF(ISNUMBER(INDEX('MiT Strom Pipeline'!$Q$1:$Q$860,$U110)),INDEX('MiT Strom Pipeline'!$Q$1:$Q$860,$U110),0))</f>
        <v/>
      </c>
      <c r="I110" s="129" t="str">
        <f aca="false">IF($U110="","",IF(INDEX('MiT Strom Pipeline'!$E$1:$E$860,$U110)="","",INDEX('MiT Strom Pipeline'!$E$1:$E$860,$U110)))</f>
        <v/>
      </c>
      <c r="J110" s="130" t="str">
        <f aca="false">IF($U110="","",INDEX('MiT Strom Pipeline'!$R$1:$R$860,$U110))</f>
        <v/>
      </c>
      <c r="K110" s="133" t="str">
        <f aca="false">IF($U110="","",IF(ISNUMBER(INDEX('MiT Strom Pipeline'!$S$1:$S$860,$U110)),INDEX('MiT Strom Pipeline'!$S$1:$S$860,$U110),""))</f>
        <v/>
      </c>
      <c r="L110" s="129" t="str">
        <f aca="false">IF($U110="","",IF(LEN(INDEX('MiT Strom Pipeline'!$V$1:$V$860,$U110))&gt;0,LEFT(INDEX('MiT Strom Pipeline'!$V$1:$V$860,$U110),55),""))</f>
        <v/>
      </c>
      <c r="M110" s="129" t="str">
        <f aca="false">IF($U110="","",IF(INDEX('MiT Strom Pipeline'!$AF$1:$AF$860,$U110)="","",INDEX('MiT Strom Pipeline'!$AF$1:$AF$860,$U110)))</f>
        <v/>
      </c>
      <c r="N110" s="129" t="str">
        <f aca="false">IF($U110="","",IF(INDEX('MiT Strom Pipeline'!$BB$1:$BB$860,$U110)="","",INDEX('MiT Strom Pipeline'!$BB$1:$BB$860,$U110)))</f>
        <v/>
      </c>
      <c r="O110" s="112"/>
      <c r="P110" s="112"/>
      <c r="Q110" s="112"/>
      <c r="R110" s="112"/>
      <c r="S110" s="112"/>
      <c r="U110" s="1" t="str">
        <f aca="false">IFERROR(MATCH(36,'MiT Strom Pipeline'!$AN$6:$AN$860,0)+5,"")</f>
        <v/>
      </c>
    </row>
    <row r="111" customFormat="false" ht="15.75" hidden="false" customHeight="true" outlineLevel="0" collapsed="false">
      <c r="A111" s="128" t="str">
        <f aca="false">IF($U111="","",IF(ISNUMBER(INDEX('MiT Strom Pipeline'!$A$1:$A$860,$U111)),INDEX('MiT Strom Pipeline'!$A$1:$A$860,$U111),""))</f>
        <v/>
      </c>
      <c r="B111" s="129" t="str">
        <f aca="false">IF($U111="","",IF(INDEX('MiT Strom Pipeline'!$B$1:$B$860,$U111)="","",INDEX('MiT Strom Pipeline'!$B$1:$B$860,$U111)))</f>
        <v/>
      </c>
      <c r="C111" s="130" t="str">
        <f aca="false">IF($U111="","",IF(INDEX('MiT Strom Pipeline'!$C$1:$C$860,$U111)="","",INDEX('MiT Strom Pipeline'!$C$1:$C$860,$U111)))</f>
        <v/>
      </c>
      <c r="D111" s="129" t="str">
        <f aca="false">IF($U111="","",IF(INDEX('MiT Strom Pipeline'!$D$1:$D$860,$U111)="","",INDEX('MiT Strom Pipeline'!$D$1:$D$860,$U111)))</f>
        <v/>
      </c>
      <c r="E111" s="131" t="str">
        <f aca="false">IF($U111="","",IF(ISNUMBER(INDEX('MiT Strom Pipeline'!$O$1:$O$860,$U111)),INDEX('MiT Strom Pipeline'!$O$1:$O$860,$U111),IF(INDEX('MiT Strom Pipeline'!$H$1:$H$860,$U111)="","",INDEX('MiT Strom Pipeline'!$H$1:$H$860,$U111))))</f>
        <v/>
      </c>
      <c r="F111" s="131" t="str">
        <f aca="false">IF($U111="","",IF(ISNUMBER(INDEX('MiT Strom Pipeline'!$P$1:$P$860,$U111)),INDEX('MiT Strom Pipeline'!$P$1:$P$860,$U111),""))</f>
        <v/>
      </c>
      <c r="G111" s="132" t="str">
        <f aca="false">IF($U111="","",IF(ISNUMBER(INDEX('MiT Strom Pipeline'!$I$1:$I$860,$U111)),INDEX('MiT Strom Pipeline'!$I$1:$I$860,$U111),0))</f>
        <v/>
      </c>
      <c r="H111" s="132" t="str">
        <f aca="false">IF($U111="","",IF(ISNUMBER(INDEX('MiT Strom Pipeline'!$Q$1:$Q$860,$U111)),INDEX('MiT Strom Pipeline'!$Q$1:$Q$860,$U111),0))</f>
        <v/>
      </c>
      <c r="I111" s="129" t="str">
        <f aca="false">IF($U111="","",IF(INDEX('MiT Strom Pipeline'!$E$1:$E$860,$U111)="","",INDEX('MiT Strom Pipeline'!$E$1:$E$860,$U111)))</f>
        <v/>
      </c>
      <c r="J111" s="130" t="str">
        <f aca="false">IF($U111="","",INDEX('MiT Strom Pipeline'!$R$1:$R$860,$U111))</f>
        <v/>
      </c>
      <c r="K111" s="133" t="str">
        <f aca="false">IF($U111="","",IF(ISNUMBER(INDEX('MiT Strom Pipeline'!$S$1:$S$860,$U111)),INDEX('MiT Strom Pipeline'!$S$1:$S$860,$U111),""))</f>
        <v/>
      </c>
      <c r="L111" s="129" t="str">
        <f aca="false">IF($U111="","",IF(LEN(INDEX('MiT Strom Pipeline'!$V$1:$V$860,$U111))&gt;0,LEFT(INDEX('MiT Strom Pipeline'!$V$1:$V$860,$U111),55),""))</f>
        <v/>
      </c>
      <c r="M111" s="129" t="str">
        <f aca="false">IF($U111="","",IF(INDEX('MiT Strom Pipeline'!$AF$1:$AF$860,$U111)="","",INDEX('MiT Strom Pipeline'!$AF$1:$AF$860,$U111)))</f>
        <v/>
      </c>
      <c r="N111" s="129" t="str">
        <f aca="false">IF($U111="","",IF(INDEX('MiT Strom Pipeline'!$BB$1:$BB$860,$U111)="","",INDEX('MiT Strom Pipeline'!$BB$1:$BB$860,$U111)))</f>
        <v/>
      </c>
      <c r="O111" s="112"/>
      <c r="P111" s="112"/>
      <c r="Q111" s="112"/>
      <c r="R111" s="112"/>
      <c r="S111" s="112"/>
      <c r="U111" s="1" t="str">
        <f aca="false">IFERROR(MATCH(37,'MiT Strom Pipeline'!$AN$6:$AN$860,0)+5,"")</f>
        <v/>
      </c>
    </row>
    <row r="112" customFormat="false" ht="15.75" hidden="false" customHeight="true" outlineLevel="0" collapsed="false">
      <c r="A112" s="128" t="str">
        <f aca="false">IF($U112="","",IF(ISNUMBER(INDEX('MiT Strom Pipeline'!$A$1:$A$860,$U112)),INDEX('MiT Strom Pipeline'!$A$1:$A$860,$U112),""))</f>
        <v/>
      </c>
      <c r="B112" s="129" t="str">
        <f aca="false">IF($U112="","",IF(INDEX('MiT Strom Pipeline'!$B$1:$B$860,$U112)="","",INDEX('MiT Strom Pipeline'!$B$1:$B$860,$U112)))</f>
        <v/>
      </c>
      <c r="C112" s="130" t="str">
        <f aca="false">IF($U112="","",IF(INDEX('MiT Strom Pipeline'!$C$1:$C$860,$U112)="","",INDEX('MiT Strom Pipeline'!$C$1:$C$860,$U112)))</f>
        <v/>
      </c>
      <c r="D112" s="129" t="str">
        <f aca="false">IF($U112="","",IF(INDEX('MiT Strom Pipeline'!$D$1:$D$860,$U112)="","",INDEX('MiT Strom Pipeline'!$D$1:$D$860,$U112)))</f>
        <v/>
      </c>
      <c r="E112" s="131" t="str">
        <f aca="false">IF($U112="","",IF(ISNUMBER(INDEX('MiT Strom Pipeline'!$O$1:$O$860,$U112)),INDEX('MiT Strom Pipeline'!$O$1:$O$860,$U112),IF(INDEX('MiT Strom Pipeline'!$H$1:$H$860,$U112)="","",INDEX('MiT Strom Pipeline'!$H$1:$H$860,$U112))))</f>
        <v/>
      </c>
      <c r="F112" s="131" t="str">
        <f aca="false">IF($U112="","",IF(ISNUMBER(INDEX('MiT Strom Pipeline'!$P$1:$P$860,$U112)),INDEX('MiT Strom Pipeline'!$P$1:$P$860,$U112),""))</f>
        <v/>
      </c>
      <c r="G112" s="132" t="str">
        <f aca="false">IF($U112="","",IF(ISNUMBER(INDEX('MiT Strom Pipeline'!$I$1:$I$860,$U112)),INDEX('MiT Strom Pipeline'!$I$1:$I$860,$U112),0))</f>
        <v/>
      </c>
      <c r="H112" s="132" t="str">
        <f aca="false">IF($U112="","",IF(ISNUMBER(INDEX('MiT Strom Pipeline'!$Q$1:$Q$860,$U112)),INDEX('MiT Strom Pipeline'!$Q$1:$Q$860,$U112),0))</f>
        <v/>
      </c>
      <c r="I112" s="129" t="str">
        <f aca="false">IF($U112="","",IF(INDEX('MiT Strom Pipeline'!$E$1:$E$860,$U112)="","",INDEX('MiT Strom Pipeline'!$E$1:$E$860,$U112)))</f>
        <v/>
      </c>
      <c r="J112" s="130" t="str">
        <f aca="false">IF($U112="","",INDEX('MiT Strom Pipeline'!$R$1:$R$860,$U112))</f>
        <v/>
      </c>
      <c r="K112" s="133" t="str">
        <f aca="false">IF($U112="","",IF(ISNUMBER(INDEX('MiT Strom Pipeline'!$S$1:$S$860,$U112)),INDEX('MiT Strom Pipeline'!$S$1:$S$860,$U112),""))</f>
        <v/>
      </c>
      <c r="L112" s="129" t="str">
        <f aca="false">IF($U112="","",IF(LEN(INDEX('MiT Strom Pipeline'!$V$1:$V$860,$U112))&gt;0,LEFT(INDEX('MiT Strom Pipeline'!$V$1:$V$860,$U112),55),""))</f>
        <v/>
      </c>
      <c r="M112" s="129" t="str">
        <f aca="false">IF($U112="","",IF(INDEX('MiT Strom Pipeline'!$AF$1:$AF$860,$U112)="","",INDEX('MiT Strom Pipeline'!$AF$1:$AF$860,$U112)))</f>
        <v/>
      </c>
      <c r="N112" s="129" t="str">
        <f aca="false">IF($U112="","",IF(INDEX('MiT Strom Pipeline'!$BB$1:$BB$860,$U112)="","",INDEX('MiT Strom Pipeline'!$BB$1:$BB$860,$U112)))</f>
        <v/>
      </c>
      <c r="O112" s="112"/>
      <c r="P112" s="112"/>
      <c r="Q112" s="112"/>
      <c r="R112" s="112"/>
      <c r="S112" s="112"/>
      <c r="U112" s="1" t="str">
        <f aca="false">IFERROR(MATCH(38,'MiT Strom Pipeline'!$AN$6:$AN$860,0)+5,"")</f>
        <v/>
      </c>
    </row>
    <row r="113" customFormat="false" ht="15.75" hidden="false" customHeight="true" outlineLevel="0" collapsed="false">
      <c r="A113" s="128" t="str">
        <f aca="false">IF($U113="","",IF(ISNUMBER(INDEX('MiT Strom Pipeline'!$A$1:$A$860,$U113)),INDEX('MiT Strom Pipeline'!$A$1:$A$860,$U113),""))</f>
        <v/>
      </c>
      <c r="B113" s="129" t="str">
        <f aca="false">IF($U113="","",IF(INDEX('MiT Strom Pipeline'!$B$1:$B$860,$U113)="","",INDEX('MiT Strom Pipeline'!$B$1:$B$860,$U113)))</f>
        <v/>
      </c>
      <c r="C113" s="130" t="str">
        <f aca="false">IF($U113="","",IF(INDEX('MiT Strom Pipeline'!$C$1:$C$860,$U113)="","",INDEX('MiT Strom Pipeline'!$C$1:$C$860,$U113)))</f>
        <v/>
      </c>
      <c r="D113" s="129" t="str">
        <f aca="false">IF($U113="","",IF(INDEX('MiT Strom Pipeline'!$D$1:$D$860,$U113)="","",INDEX('MiT Strom Pipeline'!$D$1:$D$860,$U113)))</f>
        <v/>
      </c>
      <c r="E113" s="131" t="str">
        <f aca="false">IF($U113="","",IF(ISNUMBER(INDEX('MiT Strom Pipeline'!$O$1:$O$860,$U113)),INDEX('MiT Strom Pipeline'!$O$1:$O$860,$U113),IF(INDEX('MiT Strom Pipeline'!$H$1:$H$860,$U113)="","",INDEX('MiT Strom Pipeline'!$H$1:$H$860,$U113))))</f>
        <v/>
      </c>
      <c r="F113" s="131" t="str">
        <f aca="false">IF($U113="","",IF(ISNUMBER(INDEX('MiT Strom Pipeline'!$P$1:$P$860,$U113)),INDEX('MiT Strom Pipeline'!$P$1:$P$860,$U113),""))</f>
        <v/>
      </c>
      <c r="G113" s="132" t="str">
        <f aca="false">IF($U113="","",IF(ISNUMBER(INDEX('MiT Strom Pipeline'!$I$1:$I$860,$U113)),INDEX('MiT Strom Pipeline'!$I$1:$I$860,$U113),0))</f>
        <v/>
      </c>
      <c r="H113" s="132" t="str">
        <f aca="false">IF($U113="","",IF(ISNUMBER(INDEX('MiT Strom Pipeline'!$Q$1:$Q$860,$U113)),INDEX('MiT Strom Pipeline'!$Q$1:$Q$860,$U113),0))</f>
        <v/>
      </c>
      <c r="I113" s="129" t="str">
        <f aca="false">IF($U113="","",IF(INDEX('MiT Strom Pipeline'!$E$1:$E$860,$U113)="","",INDEX('MiT Strom Pipeline'!$E$1:$E$860,$U113)))</f>
        <v/>
      </c>
      <c r="J113" s="130" t="str">
        <f aca="false">IF($U113="","",INDEX('MiT Strom Pipeline'!$R$1:$R$860,$U113))</f>
        <v/>
      </c>
      <c r="K113" s="133" t="str">
        <f aca="false">IF($U113="","",IF(ISNUMBER(INDEX('MiT Strom Pipeline'!$S$1:$S$860,$U113)),INDEX('MiT Strom Pipeline'!$S$1:$S$860,$U113),""))</f>
        <v/>
      </c>
      <c r="L113" s="129" t="str">
        <f aca="false">IF($U113="","",IF(LEN(INDEX('MiT Strom Pipeline'!$V$1:$V$860,$U113))&gt;0,LEFT(INDEX('MiT Strom Pipeline'!$V$1:$V$860,$U113),55),""))</f>
        <v/>
      </c>
      <c r="M113" s="129" t="str">
        <f aca="false">IF($U113="","",IF(INDEX('MiT Strom Pipeline'!$AF$1:$AF$860,$U113)="","",INDEX('MiT Strom Pipeline'!$AF$1:$AF$860,$U113)))</f>
        <v/>
      </c>
      <c r="N113" s="129" t="str">
        <f aca="false">IF($U113="","",IF(INDEX('MiT Strom Pipeline'!$BB$1:$BB$860,$U113)="","",INDEX('MiT Strom Pipeline'!$BB$1:$BB$860,$U113)))</f>
        <v/>
      </c>
      <c r="O113" s="112"/>
      <c r="P113" s="112"/>
      <c r="Q113" s="112"/>
      <c r="R113" s="112"/>
      <c r="S113" s="112"/>
      <c r="U113" s="1" t="str">
        <f aca="false">IFERROR(MATCH(39,'MiT Strom Pipeline'!$AN$6:$AN$860,0)+5,"")</f>
        <v/>
      </c>
    </row>
    <row r="114" customFormat="false" ht="15.75" hidden="false" customHeight="true" outlineLevel="0" collapsed="false">
      <c r="A114" s="128" t="str">
        <f aca="false">IF($U114="","",IF(ISNUMBER(INDEX('MiT Strom Pipeline'!$A$1:$A$860,$U114)),INDEX('MiT Strom Pipeline'!$A$1:$A$860,$U114),""))</f>
        <v/>
      </c>
      <c r="B114" s="129" t="str">
        <f aca="false">IF($U114="","",IF(INDEX('MiT Strom Pipeline'!$B$1:$B$860,$U114)="","",INDEX('MiT Strom Pipeline'!$B$1:$B$860,$U114)))</f>
        <v/>
      </c>
      <c r="C114" s="130" t="str">
        <f aca="false">IF($U114="","",IF(INDEX('MiT Strom Pipeline'!$C$1:$C$860,$U114)="","",INDEX('MiT Strom Pipeline'!$C$1:$C$860,$U114)))</f>
        <v/>
      </c>
      <c r="D114" s="129" t="str">
        <f aca="false">IF($U114="","",IF(INDEX('MiT Strom Pipeline'!$D$1:$D$860,$U114)="","",INDEX('MiT Strom Pipeline'!$D$1:$D$860,$U114)))</f>
        <v/>
      </c>
      <c r="E114" s="131" t="str">
        <f aca="false">IF($U114="","",IF(ISNUMBER(INDEX('MiT Strom Pipeline'!$O$1:$O$860,$U114)),INDEX('MiT Strom Pipeline'!$O$1:$O$860,$U114),IF(INDEX('MiT Strom Pipeline'!$H$1:$H$860,$U114)="","",INDEX('MiT Strom Pipeline'!$H$1:$H$860,$U114))))</f>
        <v/>
      </c>
      <c r="F114" s="131" t="str">
        <f aca="false">IF($U114="","",IF(ISNUMBER(INDEX('MiT Strom Pipeline'!$P$1:$P$860,$U114)),INDEX('MiT Strom Pipeline'!$P$1:$P$860,$U114),""))</f>
        <v/>
      </c>
      <c r="G114" s="132" t="str">
        <f aca="false">IF($U114="","",IF(ISNUMBER(INDEX('MiT Strom Pipeline'!$I$1:$I$860,$U114)),INDEX('MiT Strom Pipeline'!$I$1:$I$860,$U114),0))</f>
        <v/>
      </c>
      <c r="H114" s="132" t="str">
        <f aca="false">IF($U114="","",IF(ISNUMBER(INDEX('MiT Strom Pipeline'!$Q$1:$Q$860,$U114)),INDEX('MiT Strom Pipeline'!$Q$1:$Q$860,$U114),0))</f>
        <v/>
      </c>
      <c r="I114" s="129" t="str">
        <f aca="false">IF($U114="","",IF(INDEX('MiT Strom Pipeline'!$E$1:$E$860,$U114)="","",INDEX('MiT Strom Pipeline'!$E$1:$E$860,$U114)))</f>
        <v/>
      </c>
      <c r="J114" s="130" t="str">
        <f aca="false">IF($U114="","",INDEX('MiT Strom Pipeline'!$R$1:$R$860,$U114))</f>
        <v/>
      </c>
      <c r="K114" s="133" t="str">
        <f aca="false">IF($U114="","",IF(ISNUMBER(INDEX('MiT Strom Pipeline'!$S$1:$S$860,$U114)),INDEX('MiT Strom Pipeline'!$S$1:$S$860,$U114),""))</f>
        <v/>
      </c>
      <c r="L114" s="129" t="str">
        <f aca="false">IF($U114="","",IF(LEN(INDEX('MiT Strom Pipeline'!$V$1:$V$860,$U114))&gt;0,LEFT(INDEX('MiT Strom Pipeline'!$V$1:$V$860,$U114),55),""))</f>
        <v/>
      </c>
      <c r="M114" s="129" t="str">
        <f aca="false">IF($U114="","",IF(INDEX('MiT Strom Pipeline'!$AF$1:$AF$860,$U114)="","",INDEX('MiT Strom Pipeline'!$AF$1:$AF$860,$U114)))</f>
        <v/>
      </c>
      <c r="N114" s="129" t="str">
        <f aca="false">IF($U114="","",IF(INDEX('MiT Strom Pipeline'!$BB$1:$BB$860,$U114)="","",INDEX('MiT Strom Pipeline'!$BB$1:$BB$860,$U114)))</f>
        <v/>
      </c>
      <c r="O114" s="112"/>
      <c r="P114" s="112"/>
      <c r="Q114" s="112"/>
      <c r="R114" s="112"/>
      <c r="S114" s="112"/>
      <c r="U114" s="1" t="str">
        <f aca="false">IFERROR(MATCH(40,'MiT Strom Pipeline'!$AN$6:$AN$860,0)+5,"")</f>
        <v/>
      </c>
    </row>
    <row r="115" customFormat="false" ht="15.75" hidden="false" customHeight="true" outlineLevel="0" collapsed="false">
      <c r="A115" s="128" t="str">
        <f aca="false">IF($U115="","",IF(ISNUMBER(INDEX('MiT Strom Pipeline'!$A$1:$A$860,$U115)),INDEX('MiT Strom Pipeline'!$A$1:$A$860,$U115),""))</f>
        <v/>
      </c>
      <c r="B115" s="129" t="str">
        <f aca="false">IF($U115="","",IF(INDEX('MiT Strom Pipeline'!$B$1:$B$860,$U115)="","",INDEX('MiT Strom Pipeline'!$B$1:$B$860,$U115)))</f>
        <v/>
      </c>
      <c r="C115" s="130" t="str">
        <f aca="false">IF($U115="","",IF(INDEX('MiT Strom Pipeline'!$C$1:$C$860,$U115)="","",INDEX('MiT Strom Pipeline'!$C$1:$C$860,$U115)))</f>
        <v/>
      </c>
      <c r="D115" s="129" t="str">
        <f aca="false">IF($U115="","",IF(INDEX('MiT Strom Pipeline'!$D$1:$D$860,$U115)="","",INDEX('MiT Strom Pipeline'!$D$1:$D$860,$U115)))</f>
        <v/>
      </c>
      <c r="E115" s="131" t="str">
        <f aca="false">IF($U115="","",IF(ISNUMBER(INDEX('MiT Strom Pipeline'!$O$1:$O$860,$U115)),INDEX('MiT Strom Pipeline'!$O$1:$O$860,$U115),IF(INDEX('MiT Strom Pipeline'!$H$1:$H$860,$U115)="","",INDEX('MiT Strom Pipeline'!$H$1:$H$860,$U115))))</f>
        <v/>
      </c>
      <c r="F115" s="131" t="str">
        <f aca="false">IF($U115="","",IF(ISNUMBER(INDEX('MiT Strom Pipeline'!$P$1:$P$860,$U115)),INDEX('MiT Strom Pipeline'!$P$1:$P$860,$U115),""))</f>
        <v/>
      </c>
      <c r="G115" s="132" t="str">
        <f aca="false">IF($U115="","",IF(ISNUMBER(INDEX('MiT Strom Pipeline'!$I$1:$I$860,$U115)),INDEX('MiT Strom Pipeline'!$I$1:$I$860,$U115),0))</f>
        <v/>
      </c>
      <c r="H115" s="132" t="str">
        <f aca="false">IF($U115="","",IF(ISNUMBER(INDEX('MiT Strom Pipeline'!$Q$1:$Q$860,$U115)),INDEX('MiT Strom Pipeline'!$Q$1:$Q$860,$U115),0))</f>
        <v/>
      </c>
      <c r="I115" s="129" t="str">
        <f aca="false">IF($U115="","",IF(INDEX('MiT Strom Pipeline'!$E$1:$E$860,$U115)="","",INDEX('MiT Strom Pipeline'!$E$1:$E$860,$U115)))</f>
        <v/>
      </c>
      <c r="J115" s="130" t="str">
        <f aca="false">IF($U115="","",INDEX('MiT Strom Pipeline'!$R$1:$R$860,$U115))</f>
        <v/>
      </c>
      <c r="K115" s="133" t="str">
        <f aca="false">IF($U115="","",IF(ISNUMBER(INDEX('MiT Strom Pipeline'!$S$1:$S$860,$U115)),INDEX('MiT Strom Pipeline'!$S$1:$S$860,$U115),""))</f>
        <v/>
      </c>
      <c r="L115" s="129" t="str">
        <f aca="false">IF($U115="","",IF(LEN(INDEX('MiT Strom Pipeline'!$V$1:$V$860,$U115))&gt;0,LEFT(INDEX('MiT Strom Pipeline'!$V$1:$V$860,$U115),55),""))</f>
        <v/>
      </c>
      <c r="M115" s="129" t="str">
        <f aca="false">IF($U115="","",IF(INDEX('MiT Strom Pipeline'!$AF$1:$AF$860,$U115)="","",INDEX('MiT Strom Pipeline'!$AF$1:$AF$860,$U115)))</f>
        <v/>
      </c>
      <c r="N115" s="129" t="str">
        <f aca="false">IF($U115="","",IF(INDEX('MiT Strom Pipeline'!$BB$1:$BB$860,$U115)="","",INDEX('MiT Strom Pipeline'!$BB$1:$BB$860,$U115)))</f>
        <v/>
      </c>
      <c r="O115" s="112"/>
      <c r="P115" s="112"/>
      <c r="Q115" s="112"/>
      <c r="R115" s="112"/>
      <c r="S115" s="112"/>
      <c r="U115" s="1" t="str">
        <f aca="false">IFERROR(MATCH(41,'MiT Strom Pipeline'!$AN$6:$AN$860,0)+5,"")</f>
        <v/>
      </c>
    </row>
    <row r="116" customFormat="false" ht="15.75" hidden="false" customHeight="true" outlineLevel="0" collapsed="false">
      <c r="A116" s="128" t="str">
        <f aca="false">IF($U116="","",IF(ISNUMBER(INDEX('MiT Strom Pipeline'!$A$1:$A$860,$U116)),INDEX('MiT Strom Pipeline'!$A$1:$A$860,$U116),""))</f>
        <v/>
      </c>
      <c r="B116" s="129" t="str">
        <f aca="false">IF($U116="","",IF(INDEX('MiT Strom Pipeline'!$B$1:$B$860,$U116)="","",INDEX('MiT Strom Pipeline'!$B$1:$B$860,$U116)))</f>
        <v/>
      </c>
      <c r="C116" s="130" t="str">
        <f aca="false">IF($U116="","",IF(INDEX('MiT Strom Pipeline'!$C$1:$C$860,$U116)="","",INDEX('MiT Strom Pipeline'!$C$1:$C$860,$U116)))</f>
        <v/>
      </c>
      <c r="D116" s="129" t="str">
        <f aca="false">IF($U116="","",IF(INDEX('MiT Strom Pipeline'!$D$1:$D$860,$U116)="","",INDEX('MiT Strom Pipeline'!$D$1:$D$860,$U116)))</f>
        <v/>
      </c>
      <c r="E116" s="131" t="str">
        <f aca="false">IF($U116="","",IF(ISNUMBER(INDEX('MiT Strom Pipeline'!$O$1:$O$860,$U116)),INDEX('MiT Strom Pipeline'!$O$1:$O$860,$U116),IF(INDEX('MiT Strom Pipeline'!$H$1:$H$860,$U116)="","",INDEX('MiT Strom Pipeline'!$H$1:$H$860,$U116))))</f>
        <v/>
      </c>
      <c r="F116" s="131" t="str">
        <f aca="false">IF($U116="","",IF(ISNUMBER(INDEX('MiT Strom Pipeline'!$P$1:$P$860,$U116)),INDEX('MiT Strom Pipeline'!$P$1:$P$860,$U116),""))</f>
        <v/>
      </c>
      <c r="G116" s="132" t="str">
        <f aca="false">IF($U116="","",IF(ISNUMBER(INDEX('MiT Strom Pipeline'!$I$1:$I$860,$U116)),INDEX('MiT Strom Pipeline'!$I$1:$I$860,$U116),0))</f>
        <v/>
      </c>
      <c r="H116" s="132" t="str">
        <f aca="false">IF($U116="","",IF(ISNUMBER(INDEX('MiT Strom Pipeline'!$Q$1:$Q$860,$U116)),INDEX('MiT Strom Pipeline'!$Q$1:$Q$860,$U116),0))</f>
        <v/>
      </c>
      <c r="I116" s="129" t="str">
        <f aca="false">IF($U116="","",IF(INDEX('MiT Strom Pipeline'!$E$1:$E$860,$U116)="","",INDEX('MiT Strom Pipeline'!$E$1:$E$860,$U116)))</f>
        <v/>
      </c>
      <c r="J116" s="130" t="str">
        <f aca="false">IF($U116="","",INDEX('MiT Strom Pipeline'!$R$1:$R$860,$U116))</f>
        <v/>
      </c>
      <c r="K116" s="133" t="str">
        <f aca="false">IF($U116="","",IF(ISNUMBER(INDEX('MiT Strom Pipeline'!$S$1:$S$860,$U116)),INDEX('MiT Strom Pipeline'!$S$1:$S$860,$U116),""))</f>
        <v/>
      </c>
      <c r="L116" s="129" t="str">
        <f aca="false">IF($U116="","",IF(LEN(INDEX('MiT Strom Pipeline'!$V$1:$V$860,$U116))&gt;0,LEFT(INDEX('MiT Strom Pipeline'!$V$1:$V$860,$U116),55),""))</f>
        <v/>
      </c>
      <c r="M116" s="129" t="str">
        <f aca="false">IF($U116="","",IF(INDEX('MiT Strom Pipeline'!$AF$1:$AF$860,$U116)="","",INDEX('MiT Strom Pipeline'!$AF$1:$AF$860,$U116)))</f>
        <v/>
      </c>
      <c r="N116" s="129" t="str">
        <f aca="false">IF($U116="","",IF(INDEX('MiT Strom Pipeline'!$BB$1:$BB$860,$U116)="","",INDEX('MiT Strom Pipeline'!$BB$1:$BB$860,$U116)))</f>
        <v/>
      </c>
      <c r="O116" s="112"/>
      <c r="P116" s="112"/>
      <c r="Q116" s="112"/>
      <c r="R116" s="112"/>
      <c r="S116" s="112"/>
      <c r="U116" s="1" t="str">
        <f aca="false">IFERROR(MATCH(42,'MiT Strom Pipeline'!$AN$6:$AN$860,0)+5,"")</f>
        <v/>
      </c>
    </row>
    <row r="117" customFormat="false" ht="15.75" hidden="false" customHeight="true" outlineLevel="0" collapsed="false">
      <c r="A117" s="128" t="str">
        <f aca="false">IF($U117="","",IF(ISNUMBER(INDEX('MiT Strom Pipeline'!$A$1:$A$860,$U117)),INDEX('MiT Strom Pipeline'!$A$1:$A$860,$U117),""))</f>
        <v/>
      </c>
      <c r="B117" s="129" t="str">
        <f aca="false">IF($U117="","",IF(INDEX('MiT Strom Pipeline'!$B$1:$B$860,$U117)="","",INDEX('MiT Strom Pipeline'!$B$1:$B$860,$U117)))</f>
        <v/>
      </c>
      <c r="C117" s="130" t="str">
        <f aca="false">IF($U117="","",IF(INDEX('MiT Strom Pipeline'!$C$1:$C$860,$U117)="","",INDEX('MiT Strom Pipeline'!$C$1:$C$860,$U117)))</f>
        <v/>
      </c>
      <c r="D117" s="129" t="str">
        <f aca="false">IF($U117="","",IF(INDEX('MiT Strom Pipeline'!$D$1:$D$860,$U117)="","",INDEX('MiT Strom Pipeline'!$D$1:$D$860,$U117)))</f>
        <v/>
      </c>
      <c r="E117" s="131" t="str">
        <f aca="false">IF($U117="","",IF(ISNUMBER(INDEX('MiT Strom Pipeline'!$O$1:$O$860,$U117)),INDEX('MiT Strom Pipeline'!$O$1:$O$860,$U117),IF(INDEX('MiT Strom Pipeline'!$H$1:$H$860,$U117)="","",INDEX('MiT Strom Pipeline'!$H$1:$H$860,$U117))))</f>
        <v/>
      </c>
      <c r="F117" s="131" t="str">
        <f aca="false">IF($U117="","",IF(ISNUMBER(INDEX('MiT Strom Pipeline'!$P$1:$P$860,$U117)),INDEX('MiT Strom Pipeline'!$P$1:$P$860,$U117),""))</f>
        <v/>
      </c>
      <c r="G117" s="132" t="str">
        <f aca="false">IF($U117="","",IF(ISNUMBER(INDEX('MiT Strom Pipeline'!$I$1:$I$860,$U117)),INDEX('MiT Strom Pipeline'!$I$1:$I$860,$U117),0))</f>
        <v/>
      </c>
      <c r="H117" s="132" t="str">
        <f aca="false">IF($U117="","",IF(ISNUMBER(INDEX('MiT Strom Pipeline'!$Q$1:$Q$860,$U117)),INDEX('MiT Strom Pipeline'!$Q$1:$Q$860,$U117),0))</f>
        <v/>
      </c>
      <c r="I117" s="129" t="str">
        <f aca="false">IF($U117="","",IF(INDEX('MiT Strom Pipeline'!$E$1:$E$860,$U117)="","",INDEX('MiT Strom Pipeline'!$E$1:$E$860,$U117)))</f>
        <v/>
      </c>
      <c r="J117" s="130" t="str">
        <f aca="false">IF($U117="","",INDEX('MiT Strom Pipeline'!$R$1:$R$860,$U117))</f>
        <v/>
      </c>
      <c r="K117" s="133" t="str">
        <f aca="false">IF($U117="","",IF(ISNUMBER(INDEX('MiT Strom Pipeline'!$S$1:$S$860,$U117)),INDEX('MiT Strom Pipeline'!$S$1:$S$860,$U117),""))</f>
        <v/>
      </c>
      <c r="L117" s="129" t="str">
        <f aca="false">IF($U117="","",IF(LEN(INDEX('MiT Strom Pipeline'!$V$1:$V$860,$U117))&gt;0,LEFT(INDEX('MiT Strom Pipeline'!$V$1:$V$860,$U117),55),""))</f>
        <v/>
      </c>
      <c r="M117" s="129" t="str">
        <f aca="false">IF($U117="","",IF(INDEX('MiT Strom Pipeline'!$AF$1:$AF$860,$U117)="","",INDEX('MiT Strom Pipeline'!$AF$1:$AF$860,$U117)))</f>
        <v/>
      </c>
      <c r="N117" s="129" t="str">
        <f aca="false">IF($U117="","",IF(INDEX('MiT Strom Pipeline'!$BB$1:$BB$860,$U117)="","",INDEX('MiT Strom Pipeline'!$BB$1:$BB$860,$U117)))</f>
        <v/>
      </c>
      <c r="O117" s="112"/>
      <c r="P117" s="112"/>
      <c r="Q117" s="112"/>
      <c r="R117" s="112"/>
      <c r="S117" s="112"/>
      <c r="U117" s="1" t="str">
        <f aca="false">IFERROR(MATCH(43,'MiT Strom Pipeline'!$AN$6:$AN$860,0)+5,"")</f>
        <v/>
      </c>
    </row>
    <row r="118" customFormat="false" ht="15.75" hidden="false" customHeight="true" outlineLevel="0" collapsed="false">
      <c r="A118" s="128" t="str">
        <f aca="false">IF($U118="","",IF(ISNUMBER(INDEX('MiT Strom Pipeline'!$A$1:$A$860,$U118)),INDEX('MiT Strom Pipeline'!$A$1:$A$860,$U118),""))</f>
        <v/>
      </c>
      <c r="B118" s="129" t="str">
        <f aca="false">IF($U118="","",IF(INDEX('MiT Strom Pipeline'!$B$1:$B$860,$U118)="","",INDEX('MiT Strom Pipeline'!$B$1:$B$860,$U118)))</f>
        <v/>
      </c>
      <c r="C118" s="130" t="str">
        <f aca="false">IF($U118="","",IF(INDEX('MiT Strom Pipeline'!$C$1:$C$860,$U118)="","",INDEX('MiT Strom Pipeline'!$C$1:$C$860,$U118)))</f>
        <v/>
      </c>
      <c r="D118" s="129" t="str">
        <f aca="false">IF($U118="","",IF(INDEX('MiT Strom Pipeline'!$D$1:$D$860,$U118)="","",INDEX('MiT Strom Pipeline'!$D$1:$D$860,$U118)))</f>
        <v/>
      </c>
      <c r="E118" s="131" t="str">
        <f aca="false">IF($U118="","",IF(ISNUMBER(INDEX('MiT Strom Pipeline'!$O$1:$O$860,$U118)),INDEX('MiT Strom Pipeline'!$O$1:$O$860,$U118),IF(INDEX('MiT Strom Pipeline'!$H$1:$H$860,$U118)="","",INDEX('MiT Strom Pipeline'!$H$1:$H$860,$U118))))</f>
        <v/>
      </c>
      <c r="F118" s="131" t="str">
        <f aca="false">IF($U118="","",IF(ISNUMBER(INDEX('MiT Strom Pipeline'!$P$1:$P$860,$U118)),INDEX('MiT Strom Pipeline'!$P$1:$P$860,$U118),""))</f>
        <v/>
      </c>
      <c r="G118" s="132" t="str">
        <f aca="false">IF($U118="","",IF(ISNUMBER(INDEX('MiT Strom Pipeline'!$I$1:$I$860,$U118)),INDEX('MiT Strom Pipeline'!$I$1:$I$860,$U118),0))</f>
        <v/>
      </c>
      <c r="H118" s="132" t="str">
        <f aca="false">IF($U118="","",IF(ISNUMBER(INDEX('MiT Strom Pipeline'!$Q$1:$Q$860,$U118)),INDEX('MiT Strom Pipeline'!$Q$1:$Q$860,$U118),0))</f>
        <v/>
      </c>
      <c r="I118" s="129" t="str">
        <f aca="false">IF($U118="","",IF(INDEX('MiT Strom Pipeline'!$E$1:$E$860,$U118)="","",INDEX('MiT Strom Pipeline'!$E$1:$E$860,$U118)))</f>
        <v/>
      </c>
      <c r="J118" s="130" t="str">
        <f aca="false">IF($U118="","",INDEX('MiT Strom Pipeline'!$R$1:$R$860,$U118))</f>
        <v/>
      </c>
      <c r="K118" s="133" t="str">
        <f aca="false">IF($U118="","",IF(ISNUMBER(INDEX('MiT Strom Pipeline'!$S$1:$S$860,$U118)),INDEX('MiT Strom Pipeline'!$S$1:$S$860,$U118),""))</f>
        <v/>
      </c>
      <c r="L118" s="129" t="str">
        <f aca="false">IF($U118="","",IF(LEN(INDEX('MiT Strom Pipeline'!$V$1:$V$860,$U118))&gt;0,LEFT(INDEX('MiT Strom Pipeline'!$V$1:$V$860,$U118),55),""))</f>
        <v/>
      </c>
      <c r="M118" s="129" t="str">
        <f aca="false">IF($U118="","",IF(INDEX('MiT Strom Pipeline'!$AF$1:$AF$860,$U118)="","",INDEX('MiT Strom Pipeline'!$AF$1:$AF$860,$U118)))</f>
        <v/>
      </c>
      <c r="N118" s="129" t="str">
        <f aca="false">IF($U118="","",IF(INDEX('MiT Strom Pipeline'!$BB$1:$BB$860,$U118)="","",INDEX('MiT Strom Pipeline'!$BB$1:$BB$860,$U118)))</f>
        <v/>
      </c>
      <c r="O118" s="112"/>
      <c r="P118" s="112"/>
      <c r="Q118" s="112"/>
      <c r="R118" s="112"/>
      <c r="S118" s="112"/>
      <c r="U118" s="1" t="str">
        <f aca="false">IFERROR(MATCH(44,'MiT Strom Pipeline'!$AN$6:$AN$860,0)+5,"")</f>
        <v/>
      </c>
    </row>
    <row r="119" customFormat="false" ht="15.75" hidden="false" customHeight="true" outlineLevel="0" collapsed="false">
      <c r="A119" s="128" t="str">
        <f aca="false">IF($U119="","",IF(ISNUMBER(INDEX('MiT Strom Pipeline'!$A$1:$A$860,$U119)),INDEX('MiT Strom Pipeline'!$A$1:$A$860,$U119),""))</f>
        <v/>
      </c>
      <c r="B119" s="129" t="str">
        <f aca="false">IF($U119="","",IF(INDEX('MiT Strom Pipeline'!$B$1:$B$860,$U119)="","",INDEX('MiT Strom Pipeline'!$B$1:$B$860,$U119)))</f>
        <v/>
      </c>
      <c r="C119" s="130" t="str">
        <f aca="false">IF($U119="","",IF(INDEX('MiT Strom Pipeline'!$C$1:$C$860,$U119)="","",INDEX('MiT Strom Pipeline'!$C$1:$C$860,$U119)))</f>
        <v/>
      </c>
      <c r="D119" s="129" t="str">
        <f aca="false">IF($U119="","",IF(INDEX('MiT Strom Pipeline'!$D$1:$D$860,$U119)="","",INDEX('MiT Strom Pipeline'!$D$1:$D$860,$U119)))</f>
        <v/>
      </c>
      <c r="E119" s="131" t="str">
        <f aca="false">IF($U119="","",IF(ISNUMBER(INDEX('MiT Strom Pipeline'!$O$1:$O$860,$U119)),INDEX('MiT Strom Pipeline'!$O$1:$O$860,$U119),IF(INDEX('MiT Strom Pipeline'!$H$1:$H$860,$U119)="","",INDEX('MiT Strom Pipeline'!$H$1:$H$860,$U119))))</f>
        <v/>
      </c>
      <c r="F119" s="131" t="str">
        <f aca="false">IF($U119="","",IF(ISNUMBER(INDEX('MiT Strom Pipeline'!$P$1:$P$860,$U119)),INDEX('MiT Strom Pipeline'!$P$1:$P$860,$U119),""))</f>
        <v/>
      </c>
      <c r="G119" s="132" t="str">
        <f aca="false">IF($U119="","",IF(ISNUMBER(INDEX('MiT Strom Pipeline'!$I$1:$I$860,$U119)),INDEX('MiT Strom Pipeline'!$I$1:$I$860,$U119),0))</f>
        <v/>
      </c>
      <c r="H119" s="132" t="str">
        <f aca="false">IF($U119="","",IF(ISNUMBER(INDEX('MiT Strom Pipeline'!$Q$1:$Q$860,$U119)),INDEX('MiT Strom Pipeline'!$Q$1:$Q$860,$U119),0))</f>
        <v/>
      </c>
      <c r="I119" s="129" t="str">
        <f aca="false">IF($U119="","",IF(INDEX('MiT Strom Pipeline'!$E$1:$E$860,$U119)="","",INDEX('MiT Strom Pipeline'!$E$1:$E$860,$U119)))</f>
        <v/>
      </c>
      <c r="J119" s="130" t="str">
        <f aca="false">IF($U119="","",INDEX('MiT Strom Pipeline'!$R$1:$R$860,$U119))</f>
        <v/>
      </c>
      <c r="K119" s="133" t="str">
        <f aca="false">IF($U119="","",IF(ISNUMBER(INDEX('MiT Strom Pipeline'!$S$1:$S$860,$U119)),INDEX('MiT Strom Pipeline'!$S$1:$S$860,$U119),""))</f>
        <v/>
      </c>
      <c r="L119" s="129" t="str">
        <f aca="false">IF($U119="","",IF(LEN(INDEX('MiT Strom Pipeline'!$V$1:$V$860,$U119))&gt;0,LEFT(INDEX('MiT Strom Pipeline'!$V$1:$V$860,$U119),55),""))</f>
        <v/>
      </c>
      <c r="M119" s="129" t="str">
        <f aca="false">IF($U119="","",IF(INDEX('MiT Strom Pipeline'!$AF$1:$AF$860,$U119)="","",INDEX('MiT Strom Pipeline'!$AF$1:$AF$860,$U119)))</f>
        <v/>
      </c>
      <c r="N119" s="129" t="str">
        <f aca="false">IF($U119="","",IF(INDEX('MiT Strom Pipeline'!$BB$1:$BB$860,$U119)="","",INDEX('MiT Strom Pipeline'!$BB$1:$BB$860,$U119)))</f>
        <v/>
      </c>
      <c r="O119" s="112"/>
      <c r="P119" s="112"/>
      <c r="Q119" s="112"/>
      <c r="R119" s="112"/>
      <c r="S119" s="112"/>
      <c r="U119" s="1" t="str">
        <f aca="false">IFERROR(MATCH(45,'MiT Strom Pipeline'!$AN$6:$AN$860,0)+5,"")</f>
        <v/>
      </c>
    </row>
    <row r="120" customFormat="false" ht="15.75" hidden="false" customHeight="true" outlineLevel="0" collapsed="false">
      <c r="A120" s="128" t="str">
        <f aca="false">IF($U120="","",IF(ISNUMBER(INDEX('MiT Strom Pipeline'!$A$1:$A$860,$U120)),INDEX('MiT Strom Pipeline'!$A$1:$A$860,$U120),""))</f>
        <v/>
      </c>
      <c r="B120" s="129" t="str">
        <f aca="false">IF($U120="","",IF(INDEX('MiT Strom Pipeline'!$B$1:$B$860,$U120)="","",INDEX('MiT Strom Pipeline'!$B$1:$B$860,$U120)))</f>
        <v/>
      </c>
      <c r="C120" s="130" t="str">
        <f aca="false">IF($U120="","",IF(INDEX('MiT Strom Pipeline'!$C$1:$C$860,$U120)="","",INDEX('MiT Strom Pipeline'!$C$1:$C$860,$U120)))</f>
        <v/>
      </c>
      <c r="D120" s="129" t="str">
        <f aca="false">IF($U120="","",IF(INDEX('MiT Strom Pipeline'!$D$1:$D$860,$U120)="","",INDEX('MiT Strom Pipeline'!$D$1:$D$860,$U120)))</f>
        <v/>
      </c>
      <c r="E120" s="131" t="str">
        <f aca="false">IF($U120="","",IF(ISNUMBER(INDEX('MiT Strom Pipeline'!$O$1:$O$860,$U120)),INDEX('MiT Strom Pipeline'!$O$1:$O$860,$U120),IF(INDEX('MiT Strom Pipeline'!$H$1:$H$860,$U120)="","",INDEX('MiT Strom Pipeline'!$H$1:$H$860,$U120))))</f>
        <v/>
      </c>
      <c r="F120" s="131" t="str">
        <f aca="false">IF($U120="","",IF(ISNUMBER(INDEX('MiT Strom Pipeline'!$P$1:$P$860,$U120)),INDEX('MiT Strom Pipeline'!$P$1:$P$860,$U120),""))</f>
        <v/>
      </c>
      <c r="G120" s="132" t="str">
        <f aca="false">IF($U120="","",IF(ISNUMBER(INDEX('MiT Strom Pipeline'!$I$1:$I$860,$U120)),INDEX('MiT Strom Pipeline'!$I$1:$I$860,$U120),0))</f>
        <v/>
      </c>
      <c r="H120" s="132" t="str">
        <f aca="false">IF($U120="","",IF(ISNUMBER(INDEX('MiT Strom Pipeline'!$Q$1:$Q$860,$U120)),INDEX('MiT Strom Pipeline'!$Q$1:$Q$860,$U120),0))</f>
        <v/>
      </c>
      <c r="I120" s="129" t="str">
        <f aca="false">IF($U120="","",IF(INDEX('MiT Strom Pipeline'!$E$1:$E$860,$U120)="","",INDEX('MiT Strom Pipeline'!$E$1:$E$860,$U120)))</f>
        <v/>
      </c>
      <c r="J120" s="130" t="str">
        <f aca="false">IF($U120="","",INDEX('MiT Strom Pipeline'!$R$1:$R$860,$U120))</f>
        <v/>
      </c>
      <c r="K120" s="133" t="str">
        <f aca="false">IF($U120="","",IF(ISNUMBER(INDEX('MiT Strom Pipeline'!$S$1:$S$860,$U120)),INDEX('MiT Strom Pipeline'!$S$1:$S$860,$U120),""))</f>
        <v/>
      </c>
      <c r="L120" s="129" t="str">
        <f aca="false">IF($U120="","",IF(LEN(INDEX('MiT Strom Pipeline'!$V$1:$V$860,$U120))&gt;0,LEFT(INDEX('MiT Strom Pipeline'!$V$1:$V$860,$U120),55),""))</f>
        <v/>
      </c>
      <c r="M120" s="129" t="str">
        <f aca="false">IF($U120="","",IF(INDEX('MiT Strom Pipeline'!$AF$1:$AF$860,$U120)="","",INDEX('MiT Strom Pipeline'!$AF$1:$AF$860,$U120)))</f>
        <v/>
      </c>
      <c r="N120" s="129" t="str">
        <f aca="false">IF($U120="","",IF(INDEX('MiT Strom Pipeline'!$BB$1:$BB$860,$U120)="","",INDEX('MiT Strom Pipeline'!$BB$1:$BB$860,$U120)))</f>
        <v/>
      </c>
      <c r="O120" s="112"/>
      <c r="P120" s="112"/>
      <c r="Q120" s="112"/>
      <c r="R120" s="112"/>
      <c r="S120" s="112"/>
      <c r="U120" s="1" t="str">
        <f aca="false">IFERROR(MATCH(46,'MiT Strom Pipeline'!$AN$6:$AN$860,0)+5,"")</f>
        <v/>
      </c>
    </row>
    <row r="121" customFormat="false" ht="15.75" hidden="false" customHeight="true" outlineLevel="0" collapsed="false">
      <c r="A121" s="128" t="str">
        <f aca="false">IF($U121="","",IF(ISNUMBER(INDEX('MiT Strom Pipeline'!$A$1:$A$860,$U121)),INDEX('MiT Strom Pipeline'!$A$1:$A$860,$U121),""))</f>
        <v/>
      </c>
      <c r="B121" s="129" t="str">
        <f aca="false">IF($U121="","",IF(INDEX('MiT Strom Pipeline'!$B$1:$B$860,$U121)="","",INDEX('MiT Strom Pipeline'!$B$1:$B$860,$U121)))</f>
        <v/>
      </c>
      <c r="C121" s="130" t="str">
        <f aca="false">IF($U121="","",IF(INDEX('MiT Strom Pipeline'!$C$1:$C$860,$U121)="","",INDEX('MiT Strom Pipeline'!$C$1:$C$860,$U121)))</f>
        <v/>
      </c>
      <c r="D121" s="129" t="str">
        <f aca="false">IF($U121="","",IF(INDEX('MiT Strom Pipeline'!$D$1:$D$860,$U121)="","",INDEX('MiT Strom Pipeline'!$D$1:$D$860,$U121)))</f>
        <v/>
      </c>
      <c r="E121" s="131" t="str">
        <f aca="false">IF($U121="","",IF(ISNUMBER(INDEX('MiT Strom Pipeline'!$O$1:$O$860,$U121)),INDEX('MiT Strom Pipeline'!$O$1:$O$860,$U121),IF(INDEX('MiT Strom Pipeline'!$H$1:$H$860,$U121)="","",INDEX('MiT Strom Pipeline'!$H$1:$H$860,$U121))))</f>
        <v/>
      </c>
      <c r="F121" s="131" t="str">
        <f aca="false">IF($U121="","",IF(ISNUMBER(INDEX('MiT Strom Pipeline'!$P$1:$P$860,$U121)),INDEX('MiT Strom Pipeline'!$P$1:$P$860,$U121),""))</f>
        <v/>
      </c>
      <c r="G121" s="132" t="str">
        <f aca="false">IF($U121="","",IF(ISNUMBER(INDEX('MiT Strom Pipeline'!$I$1:$I$860,$U121)),INDEX('MiT Strom Pipeline'!$I$1:$I$860,$U121),0))</f>
        <v/>
      </c>
      <c r="H121" s="132" t="str">
        <f aca="false">IF($U121="","",IF(ISNUMBER(INDEX('MiT Strom Pipeline'!$Q$1:$Q$860,$U121)),INDEX('MiT Strom Pipeline'!$Q$1:$Q$860,$U121),0))</f>
        <v/>
      </c>
      <c r="I121" s="129" t="str">
        <f aca="false">IF($U121="","",IF(INDEX('MiT Strom Pipeline'!$E$1:$E$860,$U121)="","",INDEX('MiT Strom Pipeline'!$E$1:$E$860,$U121)))</f>
        <v/>
      </c>
      <c r="J121" s="130" t="str">
        <f aca="false">IF($U121="","",INDEX('MiT Strom Pipeline'!$R$1:$R$860,$U121))</f>
        <v/>
      </c>
      <c r="K121" s="133" t="str">
        <f aca="false">IF($U121="","",IF(ISNUMBER(INDEX('MiT Strom Pipeline'!$S$1:$S$860,$U121)),INDEX('MiT Strom Pipeline'!$S$1:$S$860,$U121),""))</f>
        <v/>
      </c>
      <c r="L121" s="129" t="str">
        <f aca="false">IF($U121="","",IF(LEN(INDEX('MiT Strom Pipeline'!$V$1:$V$860,$U121))&gt;0,LEFT(INDEX('MiT Strom Pipeline'!$V$1:$V$860,$U121),55),""))</f>
        <v/>
      </c>
      <c r="M121" s="129" t="str">
        <f aca="false">IF($U121="","",IF(INDEX('MiT Strom Pipeline'!$AF$1:$AF$860,$U121)="","",INDEX('MiT Strom Pipeline'!$AF$1:$AF$860,$U121)))</f>
        <v/>
      </c>
      <c r="N121" s="129" t="str">
        <f aca="false">IF($U121="","",IF(INDEX('MiT Strom Pipeline'!$BB$1:$BB$860,$U121)="","",INDEX('MiT Strom Pipeline'!$BB$1:$BB$860,$U121)))</f>
        <v/>
      </c>
      <c r="O121" s="112"/>
      <c r="P121" s="112"/>
      <c r="Q121" s="112"/>
      <c r="R121" s="112"/>
      <c r="S121" s="112"/>
      <c r="U121" s="1" t="str">
        <f aca="false">IFERROR(MATCH(47,'MiT Strom Pipeline'!$AN$6:$AN$860,0)+5,"")</f>
        <v/>
      </c>
    </row>
    <row r="122" customFormat="false" ht="15.75" hidden="false" customHeight="true" outlineLevel="0" collapsed="false">
      <c r="A122" s="128" t="str">
        <f aca="false">IF($U122="","",IF(ISNUMBER(INDEX('MiT Strom Pipeline'!$A$1:$A$860,$U122)),INDEX('MiT Strom Pipeline'!$A$1:$A$860,$U122),""))</f>
        <v/>
      </c>
      <c r="B122" s="129" t="str">
        <f aca="false">IF($U122="","",IF(INDEX('MiT Strom Pipeline'!$B$1:$B$860,$U122)="","",INDEX('MiT Strom Pipeline'!$B$1:$B$860,$U122)))</f>
        <v/>
      </c>
      <c r="C122" s="130" t="str">
        <f aca="false">IF($U122="","",IF(INDEX('MiT Strom Pipeline'!$C$1:$C$860,$U122)="","",INDEX('MiT Strom Pipeline'!$C$1:$C$860,$U122)))</f>
        <v/>
      </c>
      <c r="D122" s="129" t="str">
        <f aca="false">IF($U122="","",IF(INDEX('MiT Strom Pipeline'!$D$1:$D$860,$U122)="","",INDEX('MiT Strom Pipeline'!$D$1:$D$860,$U122)))</f>
        <v/>
      </c>
      <c r="E122" s="131" t="str">
        <f aca="false">IF($U122="","",IF(ISNUMBER(INDEX('MiT Strom Pipeline'!$O$1:$O$860,$U122)),INDEX('MiT Strom Pipeline'!$O$1:$O$860,$U122),IF(INDEX('MiT Strom Pipeline'!$H$1:$H$860,$U122)="","",INDEX('MiT Strom Pipeline'!$H$1:$H$860,$U122))))</f>
        <v/>
      </c>
      <c r="F122" s="131" t="str">
        <f aca="false">IF($U122="","",IF(ISNUMBER(INDEX('MiT Strom Pipeline'!$P$1:$P$860,$U122)),INDEX('MiT Strom Pipeline'!$P$1:$P$860,$U122),""))</f>
        <v/>
      </c>
      <c r="G122" s="132" t="str">
        <f aca="false">IF($U122="","",IF(ISNUMBER(INDEX('MiT Strom Pipeline'!$I$1:$I$860,$U122)),INDEX('MiT Strom Pipeline'!$I$1:$I$860,$U122),0))</f>
        <v/>
      </c>
      <c r="H122" s="132" t="str">
        <f aca="false">IF($U122="","",IF(ISNUMBER(INDEX('MiT Strom Pipeline'!$Q$1:$Q$860,$U122)),INDEX('MiT Strom Pipeline'!$Q$1:$Q$860,$U122),0))</f>
        <v/>
      </c>
      <c r="I122" s="129" t="str">
        <f aca="false">IF($U122="","",IF(INDEX('MiT Strom Pipeline'!$E$1:$E$860,$U122)="","",INDEX('MiT Strom Pipeline'!$E$1:$E$860,$U122)))</f>
        <v/>
      </c>
      <c r="J122" s="130" t="str">
        <f aca="false">IF($U122="","",INDEX('MiT Strom Pipeline'!$R$1:$R$860,$U122))</f>
        <v/>
      </c>
      <c r="K122" s="133" t="str">
        <f aca="false">IF($U122="","",IF(ISNUMBER(INDEX('MiT Strom Pipeline'!$S$1:$S$860,$U122)),INDEX('MiT Strom Pipeline'!$S$1:$S$860,$U122),""))</f>
        <v/>
      </c>
      <c r="L122" s="129" t="str">
        <f aca="false">IF($U122="","",IF(LEN(INDEX('MiT Strom Pipeline'!$V$1:$V$860,$U122))&gt;0,LEFT(INDEX('MiT Strom Pipeline'!$V$1:$V$860,$U122),55),""))</f>
        <v/>
      </c>
      <c r="M122" s="129" t="str">
        <f aca="false">IF($U122="","",IF(INDEX('MiT Strom Pipeline'!$AF$1:$AF$860,$U122)="","",INDEX('MiT Strom Pipeline'!$AF$1:$AF$860,$U122)))</f>
        <v/>
      </c>
      <c r="N122" s="129" t="str">
        <f aca="false">IF($U122="","",IF(INDEX('MiT Strom Pipeline'!$BB$1:$BB$860,$U122)="","",INDEX('MiT Strom Pipeline'!$BB$1:$BB$860,$U122)))</f>
        <v/>
      </c>
      <c r="O122" s="112"/>
      <c r="P122" s="112"/>
      <c r="Q122" s="112"/>
      <c r="R122" s="112"/>
      <c r="S122" s="112"/>
      <c r="U122" s="1" t="str">
        <f aca="false">IFERROR(MATCH(48,'MiT Strom Pipeline'!$AN$6:$AN$860,0)+5,"")</f>
        <v/>
      </c>
    </row>
    <row r="123" customFormat="false" ht="15.75" hidden="false" customHeight="true" outlineLevel="0" collapsed="false">
      <c r="A123" s="128" t="str">
        <f aca="false">IF($U123="","",IF(ISNUMBER(INDEX('MiT Strom Pipeline'!$A$1:$A$860,$U123)),INDEX('MiT Strom Pipeline'!$A$1:$A$860,$U123),""))</f>
        <v/>
      </c>
      <c r="B123" s="129" t="str">
        <f aca="false">IF($U123="","",IF(INDEX('MiT Strom Pipeline'!$B$1:$B$860,$U123)="","",INDEX('MiT Strom Pipeline'!$B$1:$B$860,$U123)))</f>
        <v/>
      </c>
      <c r="C123" s="130" t="str">
        <f aca="false">IF($U123="","",IF(INDEX('MiT Strom Pipeline'!$C$1:$C$860,$U123)="","",INDEX('MiT Strom Pipeline'!$C$1:$C$860,$U123)))</f>
        <v/>
      </c>
      <c r="D123" s="129" t="str">
        <f aca="false">IF($U123="","",IF(INDEX('MiT Strom Pipeline'!$D$1:$D$860,$U123)="","",INDEX('MiT Strom Pipeline'!$D$1:$D$860,$U123)))</f>
        <v/>
      </c>
      <c r="E123" s="131" t="str">
        <f aca="false">IF($U123="","",IF(ISNUMBER(INDEX('MiT Strom Pipeline'!$O$1:$O$860,$U123)),INDEX('MiT Strom Pipeline'!$O$1:$O$860,$U123),IF(INDEX('MiT Strom Pipeline'!$H$1:$H$860,$U123)="","",INDEX('MiT Strom Pipeline'!$H$1:$H$860,$U123))))</f>
        <v/>
      </c>
      <c r="F123" s="131" t="str">
        <f aca="false">IF($U123="","",IF(ISNUMBER(INDEX('MiT Strom Pipeline'!$P$1:$P$860,$U123)),INDEX('MiT Strom Pipeline'!$P$1:$P$860,$U123),""))</f>
        <v/>
      </c>
      <c r="G123" s="132" t="str">
        <f aca="false">IF($U123="","",IF(ISNUMBER(INDEX('MiT Strom Pipeline'!$I$1:$I$860,$U123)),INDEX('MiT Strom Pipeline'!$I$1:$I$860,$U123),0))</f>
        <v/>
      </c>
      <c r="H123" s="132" t="str">
        <f aca="false">IF($U123="","",IF(ISNUMBER(INDEX('MiT Strom Pipeline'!$Q$1:$Q$860,$U123)),INDEX('MiT Strom Pipeline'!$Q$1:$Q$860,$U123),0))</f>
        <v/>
      </c>
      <c r="I123" s="129" t="str">
        <f aca="false">IF($U123="","",IF(INDEX('MiT Strom Pipeline'!$E$1:$E$860,$U123)="","",INDEX('MiT Strom Pipeline'!$E$1:$E$860,$U123)))</f>
        <v/>
      </c>
      <c r="J123" s="130" t="str">
        <f aca="false">IF($U123="","",INDEX('MiT Strom Pipeline'!$R$1:$R$860,$U123))</f>
        <v/>
      </c>
      <c r="K123" s="133" t="str">
        <f aca="false">IF($U123="","",IF(ISNUMBER(INDEX('MiT Strom Pipeline'!$S$1:$S$860,$U123)),INDEX('MiT Strom Pipeline'!$S$1:$S$860,$U123),""))</f>
        <v/>
      </c>
      <c r="L123" s="129" t="str">
        <f aca="false">IF($U123="","",IF(LEN(INDEX('MiT Strom Pipeline'!$V$1:$V$860,$U123))&gt;0,LEFT(INDEX('MiT Strom Pipeline'!$V$1:$V$860,$U123),55),""))</f>
        <v/>
      </c>
      <c r="M123" s="129" t="str">
        <f aca="false">IF($U123="","",IF(INDEX('MiT Strom Pipeline'!$AF$1:$AF$860,$U123)="","",INDEX('MiT Strom Pipeline'!$AF$1:$AF$860,$U123)))</f>
        <v/>
      </c>
      <c r="N123" s="129" t="str">
        <f aca="false">IF($U123="","",IF(INDEX('MiT Strom Pipeline'!$BB$1:$BB$860,$U123)="","",INDEX('MiT Strom Pipeline'!$BB$1:$BB$860,$U123)))</f>
        <v/>
      </c>
      <c r="O123" s="112"/>
      <c r="P123" s="112"/>
      <c r="Q123" s="112"/>
      <c r="R123" s="112"/>
      <c r="S123" s="112"/>
      <c r="U123" s="1" t="str">
        <f aca="false">IFERROR(MATCH(49,'MiT Strom Pipeline'!$AN$6:$AN$860,0)+5,"")</f>
        <v/>
      </c>
    </row>
    <row r="124" customFormat="false" ht="15.75" hidden="false" customHeight="true" outlineLevel="0" collapsed="false">
      <c r="A124" s="128" t="str">
        <f aca="false">IF($U124="","",IF(ISNUMBER(INDEX('MiT Strom Pipeline'!$A$1:$A$860,$U124)),INDEX('MiT Strom Pipeline'!$A$1:$A$860,$U124),""))</f>
        <v/>
      </c>
      <c r="B124" s="129" t="str">
        <f aca="false">IF($U124="","",IF(INDEX('MiT Strom Pipeline'!$B$1:$B$860,$U124)="","",INDEX('MiT Strom Pipeline'!$B$1:$B$860,$U124)))</f>
        <v/>
      </c>
      <c r="C124" s="130" t="str">
        <f aca="false">IF($U124="","",IF(INDEX('MiT Strom Pipeline'!$C$1:$C$860,$U124)="","",INDEX('MiT Strom Pipeline'!$C$1:$C$860,$U124)))</f>
        <v/>
      </c>
      <c r="D124" s="129" t="str">
        <f aca="false">IF($U124="","",IF(INDEX('MiT Strom Pipeline'!$D$1:$D$860,$U124)="","",INDEX('MiT Strom Pipeline'!$D$1:$D$860,$U124)))</f>
        <v/>
      </c>
      <c r="E124" s="131" t="str">
        <f aca="false">IF($U124="","",IF(ISNUMBER(INDEX('MiT Strom Pipeline'!$O$1:$O$860,$U124)),INDEX('MiT Strom Pipeline'!$O$1:$O$860,$U124),IF(INDEX('MiT Strom Pipeline'!$H$1:$H$860,$U124)="","",INDEX('MiT Strom Pipeline'!$H$1:$H$860,$U124))))</f>
        <v/>
      </c>
      <c r="F124" s="131" t="str">
        <f aca="false">IF($U124="","",IF(ISNUMBER(INDEX('MiT Strom Pipeline'!$P$1:$P$860,$U124)),INDEX('MiT Strom Pipeline'!$P$1:$P$860,$U124),""))</f>
        <v/>
      </c>
      <c r="G124" s="132" t="str">
        <f aca="false">IF($U124="","",IF(ISNUMBER(INDEX('MiT Strom Pipeline'!$I$1:$I$860,$U124)),INDEX('MiT Strom Pipeline'!$I$1:$I$860,$U124),0))</f>
        <v/>
      </c>
      <c r="H124" s="132" t="str">
        <f aca="false">IF($U124="","",IF(ISNUMBER(INDEX('MiT Strom Pipeline'!$Q$1:$Q$860,$U124)),INDEX('MiT Strom Pipeline'!$Q$1:$Q$860,$U124),0))</f>
        <v/>
      </c>
      <c r="I124" s="129" t="str">
        <f aca="false">IF($U124="","",IF(INDEX('MiT Strom Pipeline'!$E$1:$E$860,$U124)="","",INDEX('MiT Strom Pipeline'!$E$1:$E$860,$U124)))</f>
        <v/>
      </c>
      <c r="J124" s="130" t="str">
        <f aca="false">IF($U124="","",INDEX('MiT Strom Pipeline'!$R$1:$R$860,$U124))</f>
        <v/>
      </c>
      <c r="K124" s="133" t="str">
        <f aca="false">IF($U124="","",IF(ISNUMBER(INDEX('MiT Strom Pipeline'!$S$1:$S$860,$U124)),INDEX('MiT Strom Pipeline'!$S$1:$S$860,$U124),""))</f>
        <v/>
      </c>
      <c r="L124" s="129" t="str">
        <f aca="false">IF($U124="","",IF(LEN(INDEX('MiT Strom Pipeline'!$V$1:$V$860,$U124))&gt;0,LEFT(INDEX('MiT Strom Pipeline'!$V$1:$V$860,$U124),55),""))</f>
        <v/>
      </c>
      <c r="M124" s="129" t="str">
        <f aca="false">IF($U124="","",IF(INDEX('MiT Strom Pipeline'!$AF$1:$AF$860,$U124)="","",INDEX('MiT Strom Pipeline'!$AF$1:$AF$860,$U124)))</f>
        <v/>
      </c>
      <c r="N124" s="129" t="str">
        <f aca="false">IF($U124="","",IF(INDEX('MiT Strom Pipeline'!$BB$1:$BB$860,$U124)="","",INDEX('MiT Strom Pipeline'!$BB$1:$BB$860,$U124)))</f>
        <v/>
      </c>
      <c r="O124" s="112"/>
      <c r="P124" s="112"/>
      <c r="Q124" s="112"/>
      <c r="R124" s="112"/>
      <c r="S124" s="112"/>
      <c r="U124" s="1" t="str">
        <f aca="false">IFERROR(MATCH(50,'MiT Strom Pipeline'!$AN$6:$AN$860,0)+5,"")</f>
        <v/>
      </c>
    </row>
    <row r="125" customFormat="false" ht="15.75" hidden="false" customHeight="true" outlineLevel="0" collapsed="false">
      <c r="A125" s="128" t="str">
        <f aca="false">IF($U125="","",IF(ISNUMBER(INDEX('MiT Strom Pipeline'!$A$1:$A$860,$U125)),INDEX('MiT Strom Pipeline'!$A$1:$A$860,$U125),""))</f>
        <v/>
      </c>
      <c r="B125" s="129" t="str">
        <f aca="false">IF($U125="","",IF(INDEX('MiT Strom Pipeline'!$B$1:$B$860,$U125)="","",INDEX('MiT Strom Pipeline'!$B$1:$B$860,$U125)))</f>
        <v/>
      </c>
      <c r="C125" s="130" t="str">
        <f aca="false">IF($U125="","",IF(INDEX('MiT Strom Pipeline'!$C$1:$C$860,$U125)="","",INDEX('MiT Strom Pipeline'!$C$1:$C$860,$U125)))</f>
        <v/>
      </c>
      <c r="D125" s="129" t="str">
        <f aca="false">IF($U125="","",IF(INDEX('MiT Strom Pipeline'!$D$1:$D$860,$U125)="","",INDEX('MiT Strom Pipeline'!$D$1:$D$860,$U125)))</f>
        <v/>
      </c>
      <c r="E125" s="131" t="str">
        <f aca="false">IF($U125="","",IF(ISNUMBER(INDEX('MiT Strom Pipeline'!$O$1:$O$860,$U125)),INDEX('MiT Strom Pipeline'!$O$1:$O$860,$U125),IF(INDEX('MiT Strom Pipeline'!$H$1:$H$860,$U125)="","",INDEX('MiT Strom Pipeline'!$H$1:$H$860,$U125))))</f>
        <v/>
      </c>
      <c r="F125" s="131" t="str">
        <f aca="false">IF($U125="","",IF(ISNUMBER(INDEX('MiT Strom Pipeline'!$P$1:$P$860,$U125)),INDEX('MiT Strom Pipeline'!$P$1:$P$860,$U125),""))</f>
        <v/>
      </c>
      <c r="G125" s="132" t="str">
        <f aca="false">IF($U125="","",IF(ISNUMBER(INDEX('MiT Strom Pipeline'!$I$1:$I$860,$U125)),INDEX('MiT Strom Pipeline'!$I$1:$I$860,$U125),0))</f>
        <v/>
      </c>
      <c r="H125" s="132" t="str">
        <f aca="false">IF($U125="","",IF(ISNUMBER(INDEX('MiT Strom Pipeline'!$Q$1:$Q$860,$U125)),INDEX('MiT Strom Pipeline'!$Q$1:$Q$860,$U125),0))</f>
        <v/>
      </c>
      <c r="I125" s="129" t="str">
        <f aca="false">IF($U125="","",IF(INDEX('MiT Strom Pipeline'!$E$1:$E$860,$U125)="","",INDEX('MiT Strom Pipeline'!$E$1:$E$860,$U125)))</f>
        <v/>
      </c>
      <c r="J125" s="130" t="str">
        <f aca="false">IF($U125="","",INDEX('MiT Strom Pipeline'!$R$1:$R$860,$U125))</f>
        <v/>
      </c>
      <c r="K125" s="133" t="str">
        <f aca="false">IF($U125="","",IF(ISNUMBER(INDEX('MiT Strom Pipeline'!$S$1:$S$860,$U125)),INDEX('MiT Strom Pipeline'!$S$1:$S$860,$U125),""))</f>
        <v/>
      </c>
      <c r="L125" s="129" t="str">
        <f aca="false">IF($U125="","",IF(LEN(INDEX('MiT Strom Pipeline'!$V$1:$V$860,$U125))&gt;0,LEFT(INDEX('MiT Strom Pipeline'!$V$1:$V$860,$U125),55),""))</f>
        <v/>
      </c>
      <c r="M125" s="129" t="str">
        <f aca="false">IF($U125="","",IF(INDEX('MiT Strom Pipeline'!$AF$1:$AF$860,$U125)="","",INDEX('MiT Strom Pipeline'!$AF$1:$AF$860,$U125)))</f>
        <v/>
      </c>
      <c r="N125" s="129" t="str">
        <f aca="false">IF($U125="","",IF(INDEX('MiT Strom Pipeline'!$BB$1:$BB$860,$U125)="","",INDEX('MiT Strom Pipeline'!$BB$1:$BB$860,$U125)))</f>
        <v/>
      </c>
      <c r="O125" s="112"/>
      <c r="P125" s="112"/>
      <c r="Q125" s="112"/>
      <c r="R125" s="112"/>
      <c r="S125" s="112"/>
      <c r="U125" s="1" t="str">
        <f aca="false">IFERROR(MATCH(51,'MiT Strom Pipeline'!$AN$6:$AN$860,0)+5,"")</f>
        <v/>
      </c>
    </row>
    <row r="126" customFormat="false" ht="15.75" hidden="false" customHeight="true" outlineLevel="0" collapsed="false">
      <c r="A126" s="128" t="str">
        <f aca="false">IF($U126="","",IF(ISNUMBER(INDEX('MiT Strom Pipeline'!$A$1:$A$860,$U126)),INDEX('MiT Strom Pipeline'!$A$1:$A$860,$U126),""))</f>
        <v/>
      </c>
      <c r="B126" s="129" t="str">
        <f aca="false">IF($U126="","",IF(INDEX('MiT Strom Pipeline'!$B$1:$B$860,$U126)="","",INDEX('MiT Strom Pipeline'!$B$1:$B$860,$U126)))</f>
        <v/>
      </c>
      <c r="C126" s="130" t="str">
        <f aca="false">IF($U126="","",IF(INDEX('MiT Strom Pipeline'!$C$1:$C$860,$U126)="","",INDEX('MiT Strom Pipeline'!$C$1:$C$860,$U126)))</f>
        <v/>
      </c>
      <c r="D126" s="129" t="str">
        <f aca="false">IF($U126="","",IF(INDEX('MiT Strom Pipeline'!$D$1:$D$860,$U126)="","",INDEX('MiT Strom Pipeline'!$D$1:$D$860,$U126)))</f>
        <v/>
      </c>
      <c r="E126" s="131" t="str">
        <f aca="false">IF($U126="","",IF(ISNUMBER(INDEX('MiT Strom Pipeline'!$O$1:$O$860,$U126)),INDEX('MiT Strom Pipeline'!$O$1:$O$860,$U126),IF(INDEX('MiT Strom Pipeline'!$H$1:$H$860,$U126)="","",INDEX('MiT Strom Pipeline'!$H$1:$H$860,$U126))))</f>
        <v/>
      </c>
      <c r="F126" s="131" t="str">
        <f aca="false">IF($U126="","",IF(ISNUMBER(INDEX('MiT Strom Pipeline'!$P$1:$P$860,$U126)),INDEX('MiT Strom Pipeline'!$P$1:$P$860,$U126),""))</f>
        <v/>
      </c>
      <c r="G126" s="132" t="str">
        <f aca="false">IF($U126="","",IF(ISNUMBER(INDEX('MiT Strom Pipeline'!$I$1:$I$860,$U126)),INDEX('MiT Strom Pipeline'!$I$1:$I$860,$U126),0))</f>
        <v/>
      </c>
      <c r="H126" s="132" t="str">
        <f aca="false">IF($U126="","",IF(ISNUMBER(INDEX('MiT Strom Pipeline'!$Q$1:$Q$860,$U126)),INDEX('MiT Strom Pipeline'!$Q$1:$Q$860,$U126),0))</f>
        <v/>
      </c>
      <c r="I126" s="129" t="str">
        <f aca="false">IF($U126="","",IF(INDEX('MiT Strom Pipeline'!$E$1:$E$860,$U126)="","",INDEX('MiT Strom Pipeline'!$E$1:$E$860,$U126)))</f>
        <v/>
      </c>
      <c r="J126" s="130" t="str">
        <f aca="false">IF($U126="","",INDEX('MiT Strom Pipeline'!$R$1:$R$860,$U126))</f>
        <v/>
      </c>
      <c r="K126" s="133" t="str">
        <f aca="false">IF($U126="","",IF(ISNUMBER(INDEX('MiT Strom Pipeline'!$S$1:$S$860,$U126)),INDEX('MiT Strom Pipeline'!$S$1:$S$860,$U126),""))</f>
        <v/>
      </c>
      <c r="L126" s="129" t="str">
        <f aca="false">IF($U126="","",IF(LEN(INDEX('MiT Strom Pipeline'!$V$1:$V$860,$U126))&gt;0,LEFT(INDEX('MiT Strom Pipeline'!$V$1:$V$860,$U126),55),""))</f>
        <v/>
      </c>
      <c r="M126" s="129" t="str">
        <f aca="false">IF($U126="","",IF(INDEX('MiT Strom Pipeline'!$AF$1:$AF$860,$U126)="","",INDEX('MiT Strom Pipeline'!$AF$1:$AF$860,$U126)))</f>
        <v/>
      </c>
      <c r="N126" s="129" t="str">
        <f aca="false">IF($U126="","",IF(INDEX('MiT Strom Pipeline'!$BB$1:$BB$860,$U126)="","",INDEX('MiT Strom Pipeline'!$BB$1:$BB$860,$U126)))</f>
        <v/>
      </c>
      <c r="O126" s="112"/>
      <c r="P126" s="112"/>
      <c r="Q126" s="112"/>
      <c r="R126" s="112"/>
      <c r="S126" s="112"/>
      <c r="U126" s="1" t="str">
        <f aca="false">IFERROR(MATCH(52,'MiT Strom Pipeline'!$AN$6:$AN$860,0)+5,"")</f>
        <v/>
      </c>
    </row>
    <row r="127" customFormat="false" ht="15.75" hidden="false" customHeight="true" outlineLevel="0" collapsed="false">
      <c r="A127" s="128" t="str">
        <f aca="false">IF($U127="","",IF(ISNUMBER(INDEX('MiT Strom Pipeline'!$A$1:$A$860,$U127)),INDEX('MiT Strom Pipeline'!$A$1:$A$860,$U127),""))</f>
        <v/>
      </c>
      <c r="B127" s="129" t="str">
        <f aca="false">IF($U127="","",IF(INDEX('MiT Strom Pipeline'!$B$1:$B$860,$U127)="","",INDEX('MiT Strom Pipeline'!$B$1:$B$860,$U127)))</f>
        <v/>
      </c>
      <c r="C127" s="130" t="str">
        <f aca="false">IF($U127="","",IF(INDEX('MiT Strom Pipeline'!$C$1:$C$860,$U127)="","",INDEX('MiT Strom Pipeline'!$C$1:$C$860,$U127)))</f>
        <v/>
      </c>
      <c r="D127" s="129" t="str">
        <f aca="false">IF($U127="","",IF(INDEX('MiT Strom Pipeline'!$D$1:$D$860,$U127)="","",INDEX('MiT Strom Pipeline'!$D$1:$D$860,$U127)))</f>
        <v/>
      </c>
      <c r="E127" s="131" t="str">
        <f aca="false">IF($U127="","",IF(ISNUMBER(INDEX('MiT Strom Pipeline'!$O$1:$O$860,$U127)),INDEX('MiT Strom Pipeline'!$O$1:$O$860,$U127),IF(INDEX('MiT Strom Pipeline'!$H$1:$H$860,$U127)="","",INDEX('MiT Strom Pipeline'!$H$1:$H$860,$U127))))</f>
        <v/>
      </c>
      <c r="F127" s="131" t="str">
        <f aca="false">IF($U127="","",IF(ISNUMBER(INDEX('MiT Strom Pipeline'!$P$1:$P$860,$U127)),INDEX('MiT Strom Pipeline'!$P$1:$P$860,$U127),""))</f>
        <v/>
      </c>
      <c r="G127" s="132" t="str">
        <f aca="false">IF($U127="","",IF(ISNUMBER(INDEX('MiT Strom Pipeline'!$I$1:$I$860,$U127)),INDEX('MiT Strom Pipeline'!$I$1:$I$860,$U127),0))</f>
        <v/>
      </c>
      <c r="H127" s="132" t="str">
        <f aca="false">IF($U127="","",IF(ISNUMBER(INDEX('MiT Strom Pipeline'!$Q$1:$Q$860,$U127)),INDEX('MiT Strom Pipeline'!$Q$1:$Q$860,$U127),0))</f>
        <v/>
      </c>
      <c r="I127" s="129" t="str">
        <f aca="false">IF($U127="","",IF(INDEX('MiT Strom Pipeline'!$E$1:$E$860,$U127)="","",INDEX('MiT Strom Pipeline'!$E$1:$E$860,$U127)))</f>
        <v/>
      </c>
      <c r="J127" s="130" t="str">
        <f aca="false">IF($U127="","",INDEX('MiT Strom Pipeline'!$R$1:$R$860,$U127))</f>
        <v/>
      </c>
      <c r="K127" s="133" t="str">
        <f aca="false">IF($U127="","",IF(ISNUMBER(INDEX('MiT Strom Pipeline'!$S$1:$S$860,$U127)),INDEX('MiT Strom Pipeline'!$S$1:$S$860,$U127),""))</f>
        <v/>
      </c>
      <c r="L127" s="129" t="str">
        <f aca="false">IF($U127="","",IF(LEN(INDEX('MiT Strom Pipeline'!$V$1:$V$860,$U127))&gt;0,LEFT(INDEX('MiT Strom Pipeline'!$V$1:$V$860,$U127),55),""))</f>
        <v/>
      </c>
      <c r="M127" s="129" t="str">
        <f aca="false">IF($U127="","",IF(INDEX('MiT Strom Pipeline'!$AF$1:$AF$860,$U127)="","",INDEX('MiT Strom Pipeline'!$AF$1:$AF$860,$U127)))</f>
        <v/>
      </c>
      <c r="N127" s="129" t="str">
        <f aca="false">IF($U127="","",IF(INDEX('MiT Strom Pipeline'!$BB$1:$BB$860,$U127)="","",INDEX('MiT Strom Pipeline'!$BB$1:$BB$860,$U127)))</f>
        <v/>
      </c>
      <c r="O127" s="112"/>
      <c r="P127" s="112"/>
      <c r="Q127" s="112"/>
      <c r="R127" s="112"/>
      <c r="S127" s="112"/>
      <c r="U127" s="1" t="str">
        <f aca="false">IFERROR(MATCH(53,'MiT Strom Pipeline'!$AN$6:$AN$860,0)+5,"")</f>
        <v/>
      </c>
    </row>
    <row r="128" customFormat="false" ht="15.75" hidden="false" customHeight="true" outlineLevel="0" collapsed="false">
      <c r="A128" s="128" t="str">
        <f aca="false">IF($U128="","",IF(ISNUMBER(INDEX('MiT Strom Pipeline'!$A$1:$A$860,$U128)),INDEX('MiT Strom Pipeline'!$A$1:$A$860,$U128),""))</f>
        <v/>
      </c>
      <c r="B128" s="129" t="str">
        <f aca="false">IF($U128="","",IF(INDEX('MiT Strom Pipeline'!$B$1:$B$860,$U128)="","",INDEX('MiT Strom Pipeline'!$B$1:$B$860,$U128)))</f>
        <v/>
      </c>
      <c r="C128" s="130" t="str">
        <f aca="false">IF($U128="","",IF(INDEX('MiT Strom Pipeline'!$C$1:$C$860,$U128)="","",INDEX('MiT Strom Pipeline'!$C$1:$C$860,$U128)))</f>
        <v/>
      </c>
      <c r="D128" s="129" t="str">
        <f aca="false">IF($U128="","",IF(INDEX('MiT Strom Pipeline'!$D$1:$D$860,$U128)="","",INDEX('MiT Strom Pipeline'!$D$1:$D$860,$U128)))</f>
        <v/>
      </c>
      <c r="E128" s="131" t="str">
        <f aca="false">IF($U128="","",IF(ISNUMBER(INDEX('MiT Strom Pipeline'!$O$1:$O$860,$U128)),INDEX('MiT Strom Pipeline'!$O$1:$O$860,$U128),IF(INDEX('MiT Strom Pipeline'!$H$1:$H$860,$U128)="","",INDEX('MiT Strom Pipeline'!$H$1:$H$860,$U128))))</f>
        <v/>
      </c>
      <c r="F128" s="131" t="str">
        <f aca="false">IF($U128="","",IF(ISNUMBER(INDEX('MiT Strom Pipeline'!$P$1:$P$860,$U128)),INDEX('MiT Strom Pipeline'!$P$1:$P$860,$U128),""))</f>
        <v/>
      </c>
      <c r="G128" s="132" t="str">
        <f aca="false">IF($U128="","",IF(ISNUMBER(INDEX('MiT Strom Pipeline'!$I$1:$I$860,$U128)),INDEX('MiT Strom Pipeline'!$I$1:$I$860,$U128),0))</f>
        <v/>
      </c>
      <c r="H128" s="132" t="str">
        <f aca="false">IF($U128="","",IF(ISNUMBER(INDEX('MiT Strom Pipeline'!$Q$1:$Q$860,$U128)),INDEX('MiT Strom Pipeline'!$Q$1:$Q$860,$U128),0))</f>
        <v/>
      </c>
      <c r="I128" s="129" t="str">
        <f aca="false">IF($U128="","",IF(INDEX('MiT Strom Pipeline'!$E$1:$E$860,$U128)="","",INDEX('MiT Strom Pipeline'!$E$1:$E$860,$U128)))</f>
        <v/>
      </c>
      <c r="J128" s="130" t="str">
        <f aca="false">IF($U128="","",INDEX('MiT Strom Pipeline'!$R$1:$R$860,$U128))</f>
        <v/>
      </c>
      <c r="K128" s="133" t="str">
        <f aca="false">IF($U128="","",IF(ISNUMBER(INDEX('MiT Strom Pipeline'!$S$1:$S$860,$U128)),INDEX('MiT Strom Pipeline'!$S$1:$S$860,$U128),""))</f>
        <v/>
      </c>
      <c r="L128" s="129" t="str">
        <f aca="false">IF($U128="","",IF(LEN(INDEX('MiT Strom Pipeline'!$V$1:$V$860,$U128))&gt;0,LEFT(INDEX('MiT Strom Pipeline'!$V$1:$V$860,$U128),55),""))</f>
        <v/>
      </c>
      <c r="M128" s="129" t="str">
        <f aca="false">IF($U128="","",IF(INDEX('MiT Strom Pipeline'!$AF$1:$AF$860,$U128)="","",INDEX('MiT Strom Pipeline'!$AF$1:$AF$860,$U128)))</f>
        <v/>
      </c>
      <c r="N128" s="129" t="str">
        <f aca="false">IF($U128="","",IF(INDEX('MiT Strom Pipeline'!$BB$1:$BB$860,$U128)="","",INDEX('MiT Strom Pipeline'!$BB$1:$BB$860,$U128)))</f>
        <v/>
      </c>
      <c r="O128" s="112"/>
      <c r="P128" s="112"/>
      <c r="Q128" s="112"/>
      <c r="R128" s="112"/>
      <c r="S128" s="112"/>
      <c r="U128" s="1" t="str">
        <f aca="false">IFERROR(MATCH(54,'MiT Strom Pipeline'!$AN$6:$AN$860,0)+5,"")</f>
        <v/>
      </c>
    </row>
    <row r="129" customFormat="false" ht="15.75" hidden="false" customHeight="true" outlineLevel="0" collapsed="false">
      <c r="A129" s="128" t="str">
        <f aca="false">IF($U129="","",IF(ISNUMBER(INDEX('MiT Strom Pipeline'!$A$1:$A$860,$U129)),INDEX('MiT Strom Pipeline'!$A$1:$A$860,$U129),""))</f>
        <v/>
      </c>
      <c r="B129" s="129" t="str">
        <f aca="false">IF($U129="","",IF(INDEX('MiT Strom Pipeline'!$B$1:$B$860,$U129)="","",INDEX('MiT Strom Pipeline'!$B$1:$B$860,$U129)))</f>
        <v/>
      </c>
      <c r="C129" s="130" t="str">
        <f aca="false">IF($U129="","",IF(INDEX('MiT Strom Pipeline'!$C$1:$C$860,$U129)="","",INDEX('MiT Strom Pipeline'!$C$1:$C$860,$U129)))</f>
        <v/>
      </c>
      <c r="D129" s="129" t="str">
        <f aca="false">IF($U129="","",IF(INDEX('MiT Strom Pipeline'!$D$1:$D$860,$U129)="","",INDEX('MiT Strom Pipeline'!$D$1:$D$860,$U129)))</f>
        <v/>
      </c>
      <c r="E129" s="131" t="str">
        <f aca="false">IF($U129="","",IF(ISNUMBER(INDEX('MiT Strom Pipeline'!$O$1:$O$860,$U129)),INDEX('MiT Strom Pipeline'!$O$1:$O$860,$U129),IF(INDEX('MiT Strom Pipeline'!$H$1:$H$860,$U129)="","",INDEX('MiT Strom Pipeline'!$H$1:$H$860,$U129))))</f>
        <v/>
      </c>
      <c r="F129" s="131" t="str">
        <f aca="false">IF($U129="","",IF(ISNUMBER(INDEX('MiT Strom Pipeline'!$P$1:$P$860,$U129)),INDEX('MiT Strom Pipeline'!$P$1:$P$860,$U129),""))</f>
        <v/>
      </c>
      <c r="G129" s="132" t="str">
        <f aca="false">IF($U129="","",IF(ISNUMBER(INDEX('MiT Strom Pipeline'!$I$1:$I$860,$U129)),INDEX('MiT Strom Pipeline'!$I$1:$I$860,$U129),0))</f>
        <v/>
      </c>
      <c r="H129" s="132" t="str">
        <f aca="false">IF($U129="","",IF(ISNUMBER(INDEX('MiT Strom Pipeline'!$Q$1:$Q$860,$U129)),INDEX('MiT Strom Pipeline'!$Q$1:$Q$860,$U129),0))</f>
        <v/>
      </c>
      <c r="I129" s="129" t="str">
        <f aca="false">IF($U129="","",IF(INDEX('MiT Strom Pipeline'!$E$1:$E$860,$U129)="","",INDEX('MiT Strom Pipeline'!$E$1:$E$860,$U129)))</f>
        <v/>
      </c>
      <c r="J129" s="130" t="str">
        <f aca="false">IF($U129="","",INDEX('MiT Strom Pipeline'!$R$1:$R$860,$U129))</f>
        <v/>
      </c>
      <c r="K129" s="133" t="str">
        <f aca="false">IF($U129="","",IF(ISNUMBER(INDEX('MiT Strom Pipeline'!$S$1:$S$860,$U129)),INDEX('MiT Strom Pipeline'!$S$1:$S$860,$U129),""))</f>
        <v/>
      </c>
      <c r="L129" s="129" t="str">
        <f aca="false">IF($U129="","",IF(LEN(INDEX('MiT Strom Pipeline'!$V$1:$V$860,$U129))&gt;0,LEFT(INDEX('MiT Strom Pipeline'!$V$1:$V$860,$U129),55),""))</f>
        <v/>
      </c>
      <c r="M129" s="129" t="str">
        <f aca="false">IF($U129="","",IF(INDEX('MiT Strom Pipeline'!$AF$1:$AF$860,$U129)="","",INDEX('MiT Strom Pipeline'!$AF$1:$AF$860,$U129)))</f>
        <v/>
      </c>
      <c r="N129" s="129" t="str">
        <f aca="false">IF($U129="","",IF(INDEX('MiT Strom Pipeline'!$BB$1:$BB$860,$U129)="","",INDEX('MiT Strom Pipeline'!$BB$1:$BB$860,$U129)))</f>
        <v/>
      </c>
      <c r="O129" s="112"/>
      <c r="P129" s="112"/>
      <c r="Q129" s="112"/>
      <c r="R129" s="112"/>
      <c r="S129" s="112"/>
      <c r="U129" s="1" t="str">
        <f aca="false">IFERROR(MATCH(55,'MiT Strom Pipeline'!$AN$6:$AN$860,0)+5,"")</f>
        <v/>
      </c>
    </row>
    <row r="130" customFormat="false" ht="15.75" hidden="false" customHeight="true" outlineLevel="0" collapsed="false">
      <c r="A130" s="128" t="str">
        <f aca="false">IF($U130="","",IF(ISNUMBER(INDEX('MiT Strom Pipeline'!$A$1:$A$860,$U130)),INDEX('MiT Strom Pipeline'!$A$1:$A$860,$U130),""))</f>
        <v/>
      </c>
      <c r="B130" s="129" t="str">
        <f aca="false">IF($U130="","",IF(INDEX('MiT Strom Pipeline'!$B$1:$B$860,$U130)="","",INDEX('MiT Strom Pipeline'!$B$1:$B$860,$U130)))</f>
        <v/>
      </c>
      <c r="C130" s="130" t="str">
        <f aca="false">IF($U130="","",IF(INDEX('MiT Strom Pipeline'!$C$1:$C$860,$U130)="","",INDEX('MiT Strom Pipeline'!$C$1:$C$860,$U130)))</f>
        <v/>
      </c>
      <c r="D130" s="129" t="str">
        <f aca="false">IF($U130="","",IF(INDEX('MiT Strom Pipeline'!$D$1:$D$860,$U130)="","",INDEX('MiT Strom Pipeline'!$D$1:$D$860,$U130)))</f>
        <v/>
      </c>
      <c r="E130" s="131" t="str">
        <f aca="false">IF($U130="","",IF(ISNUMBER(INDEX('MiT Strom Pipeline'!$O$1:$O$860,$U130)),INDEX('MiT Strom Pipeline'!$O$1:$O$860,$U130),IF(INDEX('MiT Strom Pipeline'!$H$1:$H$860,$U130)="","",INDEX('MiT Strom Pipeline'!$H$1:$H$860,$U130))))</f>
        <v/>
      </c>
      <c r="F130" s="131" t="str">
        <f aca="false">IF($U130="","",IF(ISNUMBER(INDEX('MiT Strom Pipeline'!$P$1:$P$860,$U130)),INDEX('MiT Strom Pipeline'!$P$1:$P$860,$U130),""))</f>
        <v/>
      </c>
      <c r="G130" s="132" t="str">
        <f aca="false">IF($U130="","",IF(ISNUMBER(INDEX('MiT Strom Pipeline'!$I$1:$I$860,$U130)),INDEX('MiT Strom Pipeline'!$I$1:$I$860,$U130),0))</f>
        <v/>
      </c>
      <c r="H130" s="132" t="str">
        <f aca="false">IF($U130="","",IF(ISNUMBER(INDEX('MiT Strom Pipeline'!$Q$1:$Q$860,$U130)),INDEX('MiT Strom Pipeline'!$Q$1:$Q$860,$U130),0))</f>
        <v/>
      </c>
      <c r="I130" s="129" t="str">
        <f aca="false">IF($U130="","",IF(INDEX('MiT Strom Pipeline'!$E$1:$E$860,$U130)="","",INDEX('MiT Strom Pipeline'!$E$1:$E$860,$U130)))</f>
        <v/>
      </c>
      <c r="J130" s="130" t="str">
        <f aca="false">IF($U130="","",INDEX('MiT Strom Pipeline'!$R$1:$R$860,$U130))</f>
        <v/>
      </c>
      <c r="K130" s="133" t="str">
        <f aca="false">IF($U130="","",IF(ISNUMBER(INDEX('MiT Strom Pipeline'!$S$1:$S$860,$U130)),INDEX('MiT Strom Pipeline'!$S$1:$S$860,$U130),""))</f>
        <v/>
      </c>
      <c r="L130" s="129" t="str">
        <f aca="false">IF($U130="","",IF(LEN(INDEX('MiT Strom Pipeline'!$V$1:$V$860,$U130))&gt;0,LEFT(INDEX('MiT Strom Pipeline'!$V$1:$V$860,$U130),55),""))</f>
        <v/>
      </c>
      <c r="M130" s="129" t="str">
        <f aca="false">IF($U130="","",IF(INDEX('MiT Strom Pipeline'!$AF$1:$AF$860,$U130)="","",INDEX('MiT Strom Pipeline'!$AF$1:$AF$860,$U130)))</f>
        <v/>
      </c>
      <c r="N130" s="129" t="str">
        <f aca="false">IF($U130="","",IF(INDEX('MiT Strom Pipeline'!$BB$1:$BB$860,$U130)="","",INDEX('MiT Strom Pipeline'!$BB$1:$BB$860,$U130)))</f>
        <v/>
      </c>
      <c r="O130" s="112"/>
      <c r="P130" s="112"/>
      <c r="Q130" s="112"/>
      <c r="R130" s="112"/>
      <c r="S130" s="112"/>
      <c r="U130" s="1" t="str">
        <f aca="false">IFERROR(MATCH(56,'MiT Strom Pipeline'!$AN$6:$AN$860,0)+5,"")</f>
        <v/>
      </c>
    </row>
    <row r="131" customFormat="false" ht="15.75" hidden="false" customHeight="true" outlineLevel="0" collapsed="false">
      <c r="A131" s="128" t="str">
        <f aca="false">IF($U131="","",IF(ISNUMBER(INDEX('MiT Strom Pipeline'!$A$1:$A$860,$U131)),INDEX('MiT Strom Pipeline'!$A$1:$A$860,$U131),""))</f>
        <v/>
      </c>
      <c r="B131" s="129" t="str">
        <f aca="false">IF($U131="","",IF(INDEX('MiT Strom Pipeline'!$B$1:$B$860,$U131)="","",INDEX('MiT Strom Pipeline'!$B$1:$B$860,$U131)))</f>
        <v/>
      </c>
      <c r="C131" s="130" t="str">
        <f aca="false">IF($U131="","",IF(INDEX('MiT Strom Pipeline'!$C$1:$C$860,$U131)="","",INDEX('MiT Strom Pipeline'!$C$1:$C$860,$U131)))</f>
        <v/>
      </c>
      <c r="D131" s="129" t="str">
        <f aca="false">IF($U131="","",IF(INDEX('MiT Strom Pipeline'!$D$1:$D$860,$U131)="","",INDEX('MiT Strom Pipeline'!$D$1:$D$860,$U131)))</f>
        <v/>
      </c>
      <c r="E131" s="131" t="str">
        <f aca="false">IF($U131="","",IF(ISNUMBER(INDEX('MiT Strom Pipeline'!$O$1:$O$860,$U131)),INDEX('MiT Strom Pipeline'!$O$1:$O$860,$U131),IF(INDEX('MiT Strom Pipeline'!$H$1:$H$860,$U131)="","",INDEX('MiT Strom Pipeline'!$H$1:$H$860,$U131))))</f>
        <v/>
      </c>
      <c r="F131" s="131" t="str">
        <f aca="false">IF($U131="","",IF(ISNUMBER(INDEX('MiT Strom Pipeline'!$P$1:$P$860,$U131)),INDEX('MiT Strom Pipeline'!$P$1:$P$860,$U131),""))</f>
        <v/>
      </c>
      <c r="G131" s="132" t="str">
        <f aca="false">IF($U131="","",IF(ISNUMBER(INDEX('MiT Strom Pipeline'!$I$1:$I$860,$U131)),INDEX('MiT Strom Pipeline'!$I$1:$I$860,$U131),0))</f>
        <v/>
      </c>
      <c r="H131" s="132" t="str">
        <f aca="false">IF($U131="","",IF(ISNUMBER(INDEX('MiT Strom Pipeline'!$Q$1:$Q$860,$U131)),INDEX('MiT Strom Pipeline'!$Q$1:$Q$860,$U131),0))</f>
        <v/>
      </c>
      <c r="I131" s="129" t="str">
        <f aca="false">IF($U131="","",IF(INDEX('MiT Strom Pipeline'!$E$1:$E$860,$U131)="","",INDEX('MiT Strom Pipeline'!$E$1:$E$860,$U131)))</f>
        <v/>
      </c>
      <c r="J131" s="130" t="str">
        <f aca="false">IF($U131="","",INDEX('MiT Strom Pipeline'!$R$1:$R$860,$U131))</f>
        <v/>
      </c>
      <c r="K131" s="133" t="str">
        <f aca="false">IF($U131="","",IF(ISNUMBER(INDEX('MiT Strom Pipeline'!$S$1:$S$860,$U131)),INDEX('MiT Strom Pipeline'!$S$1:$S$860,$U131),""))</f>
        <v/>
      </c>
      <c r="L131" s="129" t="str">
        <f aca="false">IF($U131="","",IF(LEN(INDEX('MiT Strom Pipeline'!$V$1:$V$860,$U131))&gt;0,LEFT(INDEX('MiT Strom Pipeline'!$V$1:$V$860,$U131),55),""))</f>
        <v/>
      </c>
      <c r="M131" s="129" t="str">
        <f aca="false">IF($U131="","",IF(INDEX('MiT Strom Pipeline'!$AF$1:$AF$860,$U131)="","",INDEX('MiT Strom Pipeline'!$AF$1:$AF$860,$U131)))</f>
        <v/>
      </c>
      <c r="N131" s="129" t="str">
        <f aca="false">IF($U131="","",IF(INDEX('MiT Strom Pipeline'!$BB$1:$BB$860,$U131)="","",INDEX('MiT Strom Pipeline'!$BB$1:$BB$860,$U131)))</f>
        <v/>
      </c>
      <c r="O131" s="112"/>
      <c r="P131" s="112"/>
      <c r="Q131" s="112"/>
      <c r="R131" s="112"/>
      <c r="S131" s="112"/>
      <c r="U131" s="1" t="str">
        <f aca="false">IFERROR(MATCH(57,'MiT Strom Pipeline'!$AN$6:$AN$860,0)+5,"")</f>
        <v/>
      </c>
    </row>
    <row r="132" customFormat="false" ht="15.75" hidden="false" customHeight="true" outlineLevel="0" collapsed="false">
      <c r="A132" s="128" t="str">
        <f aca="false">IF($U132="","",IF(ISNUMBER(INDEX('MiT Strom Pipeline'!$A$1:$A$860,$U132)),INDEX('MiT Strom Pipeline'!$A$1:$A$860,$U132),""))</f>
        <v/>
      </c>
      <c r="B132" s="129" t="str">
        <f aca="false">IF($U132="","",IF(INDEX('MiT Strom Pipeline'!$B$1:$B$860,$U132)="","",INDEX('MiT Strom Pipeline'!$B$1:$B$860,$U132)))</f>
        <v/>
      </c>
      <c r="C132" s="130" t="str">
        <f aca="false">IF($U132="","",IF(INDEX('MiT Strom Pipeline'!$C$1:$C$860,$U132)="","",INDEX('MiT Strom Pipeline'!$C$1:$C$860,$U132)))</f>
        <v/>
      </c>
      <c r="D132" s="129" t="str">
        <f aca="false">IF($U132="","",IF(INDEX('MiT Strom Pipeline'!$D$1:$D$860,$U132)="","",INDEX('MiT Strom Pipeline'!$D$1:$D$860,$U132)))</f>
        <v/>
      </c>
      <c r="E132" s="131" t="str">
        <f aca="false">IF($U132="","",IF(ISNUMBER(INDEX('MiT Strom Pipeline'!$O$1:$O$860,$U132)),INDEX('MiT Strom Pipeline'!$O$1:$O$860,$U132),IF(INDEX('MiT Strom Pipeline'!$H$1:$H$860,$U132)="","",INDEX('MiT Strom Pipeline'!$H$1:$H$860,$U132))))</f>
        <v/>
      </c>
      <c r="F132" s="131" t="str">
        <f aca="false">IF($U132="","",IF(ISNUMBER(INDEX('MiT Strom Pipeline'!$P$1:$P$860,$U132)),INDEX('MiT Strom Pipeline'!$P$1:$P$860,$U132),""))</f>
        <v/>
      </c>
      <c r="G132" s="132" t="str">
        <f aca="false">IF($U132="","",IF(ISNUMBER(INDEX('MiT Strom Pipeline'!$I$1:$I$860,$U132)),INDEX('MiT Strom Pipeline'!$I$1:$I$860,$U132),0))</f>
        <v/>
      </c>
      <c r="H132" s="132" t="str">
        <f aca="false">IF($U132="","",IF(ISNUMBER(INDEX('MiT Strom Pipeline'!$Q$1:$Q$860,$U132)),INDEX('MiT Strom Pipeline'!$Q$1:$Q$860,$U132),0))</f>
        <v/>
      </c>
      <c r="I132" s="129" t="str">
        <f aca="false">IF($U132="","",IF(INDEX('MiT Strom Pipeline'!$E$1:$E$860,$U132)="","",INDEX('MiT Strom Pipeline'!$E$1:$E$860,$U132)))</f>
        <v/>
      </c>
      <c r="J132" s="130" t="str">
        <f aca="false">IF($U132="","",INDEX('MiT Strom Pipeline'!$R$1:$R$860,$U132))</f>
        <v/>
      </c>
      <c r="K132" s="133" t="str">
        <f aca="false">IF($U132="","",IF(ISNUMBER(INDEX('MiT Strom Pipeline'!$S$1:$S$860,$U132)),INDEX('MiT Strom Pipeline'!$S$1:$S$860,$U132),""))</f>
        <v/>
      </c>
      <c r="L132" s="129" t="str">
        <f aca="false">IF($U132="","",IF(LEN(INDEX('MiT Strom Pipeline'!$V$1:$V$860,$U132))&gt;0,LEFT(INDEX('MiT Strom Pipeline'!$V$1:$V$860,$U132),55),""))</f>
        <v/>
      </c>
      <c r="M132" s="129" t="str">
        <f aca="false">IF($U132="","",IF(INDEX('MiT Strom Pipeline'!$AF$1:$AF$860,$U132)="","",INDEX('MiT Strom Pipeline'!$AF$1:$AF$860,$U132)))</f>
        <v/>
      </c>
      <c r="N132" s="129" t="str">
        <f aca="false">IF($U132="","",IF(INDEX('MiT Strom Pipeline'!$BB$1:$BB$860,$U132)="","",INDEX('MiT Strom Pipeline'!$BB$1:$BB$860,$U132)))</f>
        <v/>
      </c>
      <c r="O132" s="112"/>
      <c r="P132" s="112"/>
      <c r="Q132" s="112"/>
      <c r="R132" s="112"/>
      <c r="S132" s="112"/>
      <c r="U132" s="1" t="str">
        <f aca="false">IFERROR(MATCH(58,'MiT Strom Pipeline'!$AN$6:$AN$860,0)+5,"")</f>
        <v/>
      </c>
    </row>
    <row r="133" customFormat="false" ht="15.75" hidden="false" customHeight="true" outlineLevel="0" collapsed="false">
      <c r="A133" s="128" t="str">
        <f aca="false">IF($U133="","",IF(ISNUMBER(INDEX('MiT Strom Pipeline'!$A$1:$A$860,$U133)),INDEX('MiT Strom Pipeline'!$A$1:$A$860,$U133),""))</f>
        <v/>
      </c>
      <c r="B133" s="129" t="str">
        <f aca="false">IF($U133="","",IF(INDEX('MiT Strom Pipeline'!$B$1:$B$860,$U133)="","",INDEX('MiT Strom Pipeline'!$B$1:$B$860,$U133)))</f>
        <v/>
      </c>
      <c r="C133" s="130" t="str">
        <f aca="false">IF($U133="","",IF(INDEX('MiT Strom Pipeline'!$C$1:$C$860,$U133)="","",INDEX('MiT Strom Pipeline'!$C$1:$C$860,$U133)))</f>
        <v/>
      </c>
      <c r="D133" s="129" t="str">
        <f aca="false">IF($U133="","",IF(INDEX('MiT Strom Pipeline'!$D$1:$D$860,$U133)="","",INDEX('MiT Strom Pipeline'!$D$1:$D$860,$U133)))</f>
        <v/>
      </c>
      <c r="E133" s="131" t="str">
        <f aca="false">IF($U133="","",IF(ISNUMBER(INDEX('MiT Strom Pipeline'!$O$1:$O$860,$U133)),INDEX('MiT Strom Pipeline'!$O$1:$O$860,$U133),IF(INDEX('MiT Strom Pipeline'!$H$1:$H$860,$U133)="","",INDEX('MiT Strom Pipeline'!$H$1:$H$860,$U133))))</f>
        <v/>
      </c>
      <c r="F133" s="131" t="str">
        <f aca="false">IF($U133="","",IF(ISNUMBER(INDEX('MiT Strom Pipeline'!$P$1:$P$860,$U133)),INDEX('MiT Strom Pipeline'!$P$1:$P$860,$U133),""))</f>
        <v/>
      </c>
      <c r="G133" s="132" t="str">
        <f aca="false">IF($U133="","",IF(ISNUMBER(INDEX('MiT Strom Pipeline'!$I$1:$I$860,$U133)),INDEX('MiT Strom Pipeline'!$I$1:$I$860,$U133),0))</f>
        <v/>
      </c>
      <c r="H133" s="132" t="str">
        <f aca="false">IF($U133="","",IF(ISNUMBER(INDEX('MiT Strom Pipeline'!$Q$1:$Q$860,$U133)),INDEX('MiT Strom Pipeline'!$Q$1:$Q$860,$U133),0))</f>
        <v/>
      </c>
      <c r="I133" s="129" t="str">
        <f aca="false">IF($U133="","",IF(INDEX('MiT Strom Pipeline'!$E$1:$E$860,$U133)="","",INDEX('MiT Strom Pipeline'!$E$1:$E$860,$U133)))</f>
        <v/>
      </c>
      <c r="J133" s="130" t="str">
        <f aca="false">IF($U133="","",INDEX('MiT Strom Pipeline'!$R$1:$R$860,$U133))</f>
        <v/>
      </c>
      <c r="K133" s="133" t="str">
        <f aca="false">IF($U133="","",IF(ISNUMBER(INDEX('MiT Strom Pipeline'!$S$1:$S$860,$U133)),INDEX('MiT Strom Pipeline'!$S$1:$S$860,$U133),""))</f>
        <v/>
      </c>
      <c r="L133" s="129" t="str">
        <f aca="false">IF($U133="","",IF(LEN(INDEX('MiT Strom Pipeline'!$V$1:$V$860,$U133))&gt;0,LEFT(INDEX('MiT Strom Pipeline'!$V$1:$V$860,$U133),55),""))</f>
        <v/>
      </c>
      <c r="M133" s="129" t="str">
        <f aca="false">IF($U133="","",IF(INDEX('MiT Strom Pipeline'!$AF$1:$AF$860,$U133)="","",INDEX('MiT Strom Pipeline'!$AF$1:$AF$860,$U133)))</f>
        <v/>
      </c>
      <c r="N133" s="129" t="str">
        <f aca="false">IF($U133="","",IF(INDEX('MiT Strom Pipeline'!$BB$1:$BB$860,$U133)="","",INDEX('MiT Strom Pipeline'!$BB$1:$BB$860,$U133)))</f>
        <v/>
      </c>
      <c r="O133" s="112"/>
      <c r="P133" s="112"/>
      <c r="Q133" s="112"/>
      <c r="R133" s="112"/>
      <c r="S133" s="112"/>
      <c r="U133" s="1" t="str">
        <f aca="false">IFERROR(MATCH(59,'MiT Strom Pipeline'!$AN$6:$AN$860,0)+5,"")</f>
        <v/>
      </c>
    </row>
    <row r="134" customFormat="false" ht="15.75" hidden="false" customHeight="true" outlineLevel="0" collapsed="false">
      <c r="A134" s="128" t="str">
        <f aca="false">IF($U134="","",IF(ISNUMBER(INDEX('MiT Strom Pipeline'!$A$1:$A$860,$U134)),INDEX('MiT Strom Pipeline'!$A$1:$A$860,$U134),""))</f>
        <v/>
      </c>
      <c r="B134" s="129" t="str">
        <f aca="false">IF($U134="","",IF(INDEX('MiT Strom Pipeline'!$B$1:$B$860,$U134)="","",INDEX('MiT Strom Pipeline'!$B$1:$B$860,$U134)))</f>
        <v/>
      </c>
      <c r="C134" s="130" t="str">
        <f aca="false">IF($U134="","",IF(INDEX('MiT Strom Pipeline'!$C$1:$C$860,$U134)="","",INDEX('MiT Strom Pipeline'!$C$1:$C$860,$U134)))</f>
        <v/>
      </c>
      <c r="D134" s="129" t="str">
        <f aca="false">IF($U134="","",IF(INDEX('MiT Strom Pipeline'!$D$1:$D$860,$U134)="","",INDEX('MiT Strom Pipeline'!$D$1:$D$860,$U134)))</f>
        <v/>
      </c>
      <c r="E134" s="131" t="str">
        <f aca="false">IF($U134="","",IF(ISNUMBER(INDEX('MiT Strom Pipeline'!$O$1:$O$860,$U134)),INDEX('MiT Strom Pipeline'!$O$1:$O$860,$U134),IF(INDEX('MiT Strom Pipeline'!$H$1:$H$860,$U134)="","",INDEX('MiT Strom Pipeline'!$H$1:$H$860,$U134))))</f>
        <v/>
      </c>
      <c r="F134" s="131" t="str">
        <f aca="false">IF($U134="","",IF(ISNUMBER(INDEX('MiT Strom Pipeline'!$P$1:$P$860,$U134)),INDEX('MiT Strom Pipeline'!$P$1:$P$860,$U134),""))</f>
        <v/>
      </c>
      <c r="G134" s="132" t="str">
        <f aca="false">IF($U134="","",IF(ISNUMBER(INDEX('MiT Strom Pipeline'!$I$1:$I$860,$U134)),INDEX('MiT Strom Pipeline'!$I$1:$I$860,$U134),0))</f>
        <v/>
      </c>
      <c r="H134" s="132" t="str">
        <f aca="false">IF($U134="","",IF(ISNUMBER(INDEX('MiT Strom Pipeline'!$Q$1:$Q$860,$U134)),INDEX('MiT Strom Pipeline'!$Q$1:$Q$860,$U134),0))</f>
        <v/>
      </c>
      <c r="I134" s="129" t="str">
        <f aca="false">IF($U134="","",IF(INDEX('MiT Strom Pipeline'!$E$1:$E$860,$U134)="","",INDEX('MiT Strom Pipeline'!$E$1:$E$860,$U134)))</f>
        <v/>
      </c>
      <c r="J134" s="130" t="str">
        <f aca="false">IF($U134="","",INDEX('MiT Strom Pipeline'!$R$1:$R$860,$U134))</f>
        <v/>
      </c>
      <c r="K134" s="133" t="str">
        <f aca="false">IF($U134="","",IF(ISNUMBER(INDEX('MiT Strom Pipeline'!$S$1:$S$860,$U134)),INDEX('MiT Strom Pipeline'!$S$1:$S$860,$U134),""))</f>
        <v/>
      </c>
      <c r="L134" s="129" t="str">
        <f aca="false">IF($U134="","",IF(LEN(INDEX('MiT Strom Pipeline'!$V$1:$V$860,$U134))&gt;0,LEFT(INDEX('MiT Strom Pipeline'!$V$1:$V$860,$U134),55),""))</f>
        <v/>
      </c>
      <c r="M134" s="129" t="str">
        <f aca="false">IF($U134="","",IF(INDEX('MiT Strom Pipeline'!$AF$1:$AF$860,$U134)="","",INDEX('MiT Strom Pipeline'!$AF$1:$AF$860,$U134)))</f>
        <v/>
      </c>
      <c r="N134" s="129" t="str">
        <f aca="false">IF($U134="","",IF(INDEX('MiT Strom Pipeline'!$BB$1:$BB$860,$U134)="","",INDEX('MiT Strom Pipeline'!$BB$1:$BB$860,$U134)))</f>
        <v/>
      </c>
      <c r="O134" s="112"/>
      <c r="P134" s="112"/>
      <c r="Q134" s="112"/>
      <c r="R134" s="112"/>
      <c r="S134" s="112"/>
      <c r="U134" s="1" t="str">
        <f aca="false">IFERROR(MATCH(60,'MiT Strom Pipeline'!$AN$6:$AN$860,0)+5,"")</f>
        <v/>
      </c>
    </row>
    <row r="135" customFormat="false" ht="21.75" hidden="false" customHeight="true" outlineLevel="0" collapsed="false">
      <c r="A135" s="128" t="str">
        <f aca="false">IF($U135="","",IF(ISNUMBER(INDEX('MiT Strom Pipeline'!$A$1:$A$860,$U135)),INDEX('MiT Strom Pipeline'!$A$1:$A$860,$U135),""))</f>
        <v/>
      </c>
      <c r="B135" s="129" t="str">
        <f aca="false">IF($U135="","",IF(INDEX('MiT Strom Pipeline'!$B$1:$B$860,$U135)="","",INDEX('MiT Strom Pipeline'!$B$1:$B$860,$U135)))</f>
        <v/>
      </c>
      <c r="C135" s="130" t="str">
        <f aca="false">IF($U135="","",IF(INDEX('MiT Strom Pipeline'!$C$1:$C$860,$U135)="","",INDEX('MiT Strom Pipeline'!$C$1:$C$860,$U135)))</f>
        <v/>
      </c>
      <c r="D135" s="129" t="str">
        <f aca="false">IF($U135="","",IF(INDEX('MiT Strom Pipeline'!$D$1:$D$860,$U135)="","",INDEX('MiT Strom Pipeline'!$D$1:$D$860,$U135)))</f>
        <v/>
      </c>
      <c r="E135" s="131" t="str">
        <f aca="false">IF($U135="","",IF(ISNUMBER(INDEX('MiT Strom Pipeline'!$O$1:$O$860,$U135)),INDEX('MiT Strom Pipeline'!$O$1:$O$860,$U135),IF(INDEX('MiT Strom Pipeline'!$H$1:$H$860,$U135)="","",INDEX('MiT Strom Pipeline'!$H$1:$H$860,$U135))))</f>
        <v/>
      </c>
      <c r="F135" s="131" t="str">
        <f aca="false">IF($U135="","",IF(ISNUMBER(INDEX('MiT Strom Pipeline'!$P$1:$P$860,$U135)),INDEX('MiT Strom Pipeline'!$P$1:$P$860,$U135),""))</f>
        <v/>
      </c>
      <c r="G135" s="132" t="str">
        <f aca="false">IF($U135="","",IF(ISNUMBER(INDEX('MiT Strom Pipeline'!$I$1:$I$860,$U135)),INDEX('MiT Strom Pipeline'!$I$1:$I$860,$U135),0))</f>
        <v/>
      </c>
      <c r="H135" s="132" t="str">
        <f aca="false">IF($U135="","",IF(ISNUMBER(INDEX('MiT Strom Pipeline'!$Q$1:$Q$860,$U135)),INDEX('MiT Strom Pipeline'!$Q$1:$Q$860,$U135),0))</f>
        <v/>
      </c>
      <c r="I135" s="129" t="str">
        <f aca="false">IF($U135="","",IF(INDEX('MiT Strom Pipeline'!$E$1:$E$860,$U135)="","",INDEX('MiT Strom Pipeline'!$E$1:$E$860,$U135)))</f>
        <v/>
      </c>
      <c r="J135" s="130" t="str">
        <f aca="false">IF($U135="","",INDEX('MiT Strom Pipeline'!$R$1:$R$860,$U135))</f>
        <v/>
      </c>
      <c r="K135" s="133" t="str">
        <f aca="false">IF($U135="","",IF(ISNUMBER(INDEX('MiT Strom Pipeline'!$S$1:$S$860,$U135)),INDEX('MiT Strom Pipeline'!$S$1:$S$860,$U135),""))</f>
        <v/>
      </c>
      <c r="L135" s="129" t="str">
        <f aca="false">IF($U135="","",IF(LEN(INDEX('MiT Strom Pipeline'!$V$1:$V$860,$U135))&gt;0,LEFT(INDEX('MiT Strom Pipeline'!$V$1:$V$860,$U135),55),""))</f>
        <v/>
      </c>
      <c r="M135" s="129" t="str">
        <f aca="false">IF($U135="","",IF(INDEX('MiT Strom Pipeline'!$AF$1:$AF$860,$U135)="","",INDEX('MiT Strom Pipeline'!$AF$1:$AF$860,$U135)))</f>
        <v/>
      </c>
      <c r="N135" s="129" t="str">
        <f aca="false">IF($U135="","",IF(INDEX('MiT Strom Pipeline'!$BB$1:$BB$860,$U135)="","",INDEX('MiT Strom Pipeline'!$BB$1:$BB$860,$U135)))</f>
        <v/>
      </c>
      <c r="O135" s="112"/>
      <c r="P135" s="112"/>
      <c r="Q135" s="112"/>
      <c r="R135" s="112"/>
      <c r="S135" s="112"/>
      <c r="U135" s="1" t="str">
        <f aca="false">IFERROR(MATCH(61,'MiT Strom Pipeline'!$AN$6:$AN$860,0)+5,"")</f>
        <v/>
      </c>
    </row>
    <row r="136" customFormat="false" ht="3.75" hidden="false" customHeight="true" outlineLevel="0" collapsed="false">
      <c r="A136" s="128" t="str">
        <f aca="false">IF($U136="","",IF(ISNUMBER(INDEX('MiT Strom Pipeline'!$A$1:$A$860,$U136)),INDEX('MiT Strom Pipeline'!$A$1:$A$860,$U136),""))</f>
        <v/>
      </c>
      <c r="B136" s="129" t="str">
        <f aca="false">IF($U136="","",IF(INDEX('MiT Strom Pipeline'!$B$1:$B$860,$U136)="","",INDEX('MiT Strom Pipeline'!$B$1:$B$860,$U136)))</f>
        <v/>
      </c>
      <c r="C136" s="130" t="str">
        <f aca="false">IF($U136="","",IF(INDEX('MiT Strom Pipeline'!$C$1:$C$860,$U136)="","",INDEX('MiT Strom Pipeline'!$C$1:$C$860,$U136)))</f>
        <v/>
      </c>
      <c r="D136" s="129" t="str">
        <f aca="false">IF($U136="","",IF(INDEX('MiT Strom Pipeline'!$D$1:$D$860,$U136)="","",INDEX('MiT Strom Pipeline'!$D$1:$D$860,$U136)))</f>
        <v/>
      </c>
      <c r="E136" s="131" t="str">
        <f aca="false">IF($U136="","",IF(ISNUMBER(INDEX('MiT Strom Pipeline'!$O$1:$O$860,$U136)),INDEX('MiT Strom Pipeline'!$O$1:$O$860,$U136),IF(INDEX('MiT Strom Pipeline'!$H$1:$H$860,$U136)="","",INDEX('MiT Strom Pipeline'!$H$1:$H$860,$U136))))</f>
        <v/>
      </c>
      <c r="F136" s="131" t="str">
        <f aca="false">IF($U136="","",IF(ISNUMBER(INDEX('MiT Strom Pipeline'!$P$1:$P$860,$U136)),INDEX('MiT Strom Pipeline'!$P$1:$P$860,$U136),""))</f>
        <v/>
      </c>
      <c r="G136" s="132" t="str">
        <f aca="false">IF($U136="","",IF(ISNUMBER(INDEX('MiT Strom Pipeline'!$I$1:$I$860,$U136)),INDEX('MiT Strom Pipeline'!$I$1:$I$860,$U136),0))</f>
        <v/>
      </c>
      <c r="H136" s="132" t="str">
        <f aca="false">IF($U136="","",IF(ISNUMBER(INDEX('MiT Strom Pipeline'!$Q$1:$Q$860,$U136)),INDEX('MiT Strom Pipeline'!$Q$1:$Q$860,$U136),0))</f>
        <v/>
      </c>
      <c r="I136" s="129" t="str">
        <f aca="false">IF($U136="","",IF(INDEX('MiT Strom Pipeline'!$E$1:$E$860,$U136)="","",INDEX('MiT Strom Pipeline'!$E$1:$E$860,$U136)))</f>
        <v/>
      </c>
      <c r="J136" s="130" t="str">
        <f aca="false">IF($U136="","",INDEX('MiT Strom Pipeline'!$R$1:$R$860,$U136))</f>
        <v/>
      </c>
      <c r="K136" s="133" t="str">
        <f aca="false">IF($U136="","",IF(ISNUMBER(INDEX('MiT Strom Pipeline'!$S$1:$S$860,$U136)),INDEX('MiT Strom Pipeline'!$S$1:$S$860,$U136),""))</f>
        <v/>
      </c>
      <c r="L136" s="129" t="str">
        <f aca="false">IF($U136="","",IF(LEN(INDEX('MiT Strom Pipeline'!$V$1:$V$860,$U136))&gt;0,LEFT(INDEX('MiT Strom Pipeline'!$V$1:$V$860,$U136),55),""))</f>
        <v/>
      </c>
      <c r="M136" s="129" t="str">
        <f aca="false">IF($U136="","",IF(INDEX('MiT Strom Pipeline'!$AF$1:$AF$860,$U136)="","",INDEX('MiT Strom Pipeline'!$AF$1:$AF$860,$U136)))</f>
        <v/>
      </c>
      <c r="N136" s="129" t="str">
        <f aca="false">IF($U136="","",IF(INDEX('MiT Strom Pipeline'!$BB$1:$BB$860,$U136)="","",INDEX('MiT Strom Pipeline'!$BB$1:$BB$860,$U136)))</f>
        <v/>
      </c>
      <c r="O136" s="112"/>
      <c r="P136" s="112"/>
      <c r="Q136" s="112"/>
      <c r="R136" s="112"/>
      <c r="S136" s="112"/>
      <c r="U136" s="1" t="str">
        <f aca="false">IFERROR(MATCH(62,'MiT Strom Pipeline'!$AN$6:$AN$860,0)+5,"")</f>
        <v/>
      </c>
    </row>
    <row r="137" customFormat="false" ht="24" hidden="false" customHeight="true" outlineLevel="0" collapsed="false">
      <c r="A137" s="135" t="s">
        <v>123</v>
      </c>
      <c r="B137" s="135"/>
      <c r="C137" s="135"/>
      <c r="D137" s="135"/>
      <c r="E137" s="135"/>
      <c r="F137" s="135"/>
      <c r="G137" s="135"/>
      <c r="H137" s="135"/>
      <c r="I137" s="135"/>
      <c r="J137" s="135"/>
      <c r="K137" s="135"/>
      <c r="L137" s="135"/>
      <c r="M137" s="135"/>
      <c r="N137" s="135"/>
      <c r="O137" s="112"/>
      <c r="P137" s="112"/>
      <c r="Q137" s="112"/>
      <c r="R137" s="112"/>
      <c r="S137" s="112"/>
    </row>
    <row r="138" customFormat="false" ht="19.5" hidden="false" customHeight="true" outlineLevel="0" collapsed="false">
      <c r="A138" s="126" t="s">
        <v>6</v>
      </c>
      <c r="B138" s="127" t="s">
        <v>115</v>
      </c>
      <c r="C138" s="126" t="s">
        <v>8</v>
      </c>
      <c r="D138" s="127" t="s">
        <v>10</v>
      </c>
      <c r="E138" s="126" t="s">
        <v>9</v>
      </c>
      <c r="F138" s="126" t="s">
        <v>12</v>
      </c>
      <c r="G138" s="126" t="s">
        <v>16</v>
      </c>
      <c r="H138" s="126" t="s">
        <v>116</v>
      </c>
      <c r="I138" s="127" t="s">
        <v>117</v>
      </c>
      <c r="J138" s="126" t="s">
        <v>14</v>
      </c>
      <c r="K138" s="126" t="s">
        <v>118</v>
      </c>
      <c r="L138" s="127" t="s">
        <v>119</v>
      </c>
      <c r="M138" s="127" t="s">
        <v>120</v>
      </c>
      <c r="N138" s="127" t="s">
        <v>121</v>
      </c>
      <c r="O138" s="112"/>
      <c r="P138" s="112"/>
      <c r="Q138" s="112"/>
      <c r="R138" s="112"/>
      <c r="S138" s="112"/>
    </row>
    <row r="139" customFormat="false" ht="38.25" hidden="false" customHeight="true" outlineLevel="0" collapsed="false">
      <c r="A139" s="128" t="n">
        <f aca="false">IF($U139="","",IF(ISNUMBER(INDEX('MiT Strom Pipeline'!$A$1:$A$860,$U139)),INDEX('MiT Strom Pipeline'!$A$1:$A$860,$U139),""))</f>
        <v>32</v>
      </c>
      <c r="B139" s="129" t="str">
        <f aca="false">IF($U139="","",IF(INDEX('MiT Strom Pipeline'!$B$1:$B$860,$U139)="","",INDEX('MiT Strom Pipeline'!$B$1:$B$860,$U139)))</f>
        <v>WSP</v>
      </c>
      <c r="C139" s="130" t="str">
        <f aca="false">IF($U139="","",IF(INDEX('MiT Strom Pipeline'!$C$1:$C$860,$U139)="","",INDEX('MiT Strom Pipeline'!$C$1:$C$860,$U139)))</f>
        <v>VD</v>
      </c>
      <c r="D139" s="129" t="str">
        <f aca="false">IF($U139="","",IF(INDEX('MiT Strom Pipeline'!$D$1:$D$860,$U139)="","",INDEX('MiT Strom Pipeline'!$D$1:$D$860,$U139)))</f>
        <v>Industrie</v>
      </c>
      <c r="E139" s="131" t="str">
        <f aca="false">IF($U139="","",IF(ISNUMBER(INDEX('MiT Strom Pipeline'!$O$1:$O$860,$U139)),INDEX('MiT Strom Pipeline'!$O$1:$O$860,$U139),IF(INDEX('MiT Strom Pipeline'!$H$1:$H$860,$U139)="","",INDEX('MiT Strom Pipeline'!$H$1:$H$860,$U139))))</f>
        <v>tbd</v>
      </c>
      <c r="F139" s="131" t="str">
        <f aca="false">IF($U139="","",IF(ISNUMBER(INDEX('MiT Strom Pipeline'!$P$1:$P$860,$U139)),INDEX('MiT Strom Pipeline'!$P$1:$P$860,$U139),""))</f>
        <v/>
      </c>
      <c r="G139" s="132" t="n">
        <f aca="false">IF($U139="","",IF(ISNUMBER(INDEX('MiT Strom Pipeline'!$I$1:$I$860,$U139)),INDEX('MiT Strom Pipeline'!$I$1:$I$860,$U139),0))</f>
        <v>0</v>
      </c>
      <c r="H139" s="132" t="n">
        <f aca="false">IF($U139="","",IF(ISNUMBER(INDEX('MiT Strom Pipeline'!$Q$1:$Q$860,$U139)),INDEX('MiT Strom Pipeline'!$Q$1:$Q$860,$U139),0))</f>
        <v>0</v>
      </c>
      <c r="I139" s="129" t="str">
        <f aca="false">IF($U139="","",IF(INDEX('MiT Strom Pipeline'!$E$1:$E$860,$U139)="","",INDEX('MiT Strom Pipeline'!$E$1:$E$860,$U139)))</f>
        <v>tbd</v>
      </c>
      <c r="J139" s="130" t="str">
        <f aca="false">IF($U139="","",INDEX('MiT Strom Pipeline'!$R$1:$R$860,$U139))</f>
        <v>tbd</v>
      </c>
      <c r="K139" s="133" t="n">
        <f aca="false">IF($U139="","",IF(ISNUMBER(INDEX('MiT Strom Pipeline'!$S$1:$S$860,$U139)),INDEX('MiT Strom Pipeline'!$S$1:$S$860,$U139),""))</f>
        <v>0</v>
      </c>
      <c r="L139" s="129" t="str">
        <f aca="false">IF($U139="","",IF(LEN(INDEX('MiT Strom Pipeline'!$V$1:$V$860,$U139))&gt;0,LEFT(INDEX('MiT Strom Pipeline'!$V$1:$V$860,$U139),55),""))</f>
        <v>Kunde angeschrieben, Telefoniert noch kein bedarf</v>
      </c>
      <c r="M139" s="129" t="str">
        <f aca="false">IF($U139="","",IF(INDEX('MiT Strom Pipeline'!$AF$1:$AF$860,$U139)="","",INDEX('MiT Strom Pipeline'!$AF$1:$AF$860,$U139)))</f>
        <v/>
      </c>
      <c r="N139" s="129" t="str">
        <f aca="false">IF($U139="","",IF(INDEX('MiT Strom Pipeline'!$BB$1:$BB$860,$U139)="","",INDEX('MiT Strom Pipeline'!$BB$1:$BB$860,$U139)))</f>
        <v>○ Einstand offen</v>
      </c>
      <c r="O139" s="112"/>
      <c r="P139" s="112"/>
      <c r="Q139" s="112"/>
      <c r="R139" s="112"/>
      <c r="S139" s="112"/>
      <c r="U139" s="1" t="n">
        <f aca="false">IFERROR(MATCH(1,'MiT Strom Pipeline'!$AO$6:$AO$860,0)+5,"")</f>
        <v>51</v>
      </c>
    </row>
    <row r="140" customFormat="false" ht="15.75" hidden="false" customHeight="true" outlineLevel="0" collapsed="false">
      <c r="A140" s="128" t="str">
        <f aca="false">IF($U140="","",IF(ISNUMBER(INDEX('MiT Strom Pipeline'!$A$1:$A$860,$U140)),INDEX('MiT Strom Pipeline'!$A$1:$A$860,$U140),""))</f>
        <v/>
      </c>
      <c r="B140" s="129" t="str">
        <f aca="false">IF($U140="","",IF(INDEX('MiT Strom Pipeline'!$B$1:$B$860,$U140)="","",INDEX('MiT Strom Pipeline'!$B$1:$B$860,$U140)))</f>
        <v/>
      </c>
      <c r="C140" s="130" t="str">
        <f aca="false">IF($U140="","",IF(INDEX('MiT Strom Pipeline'!$C$1:$C$860,$U140)="","",INDEX('MiT Strom Pipeline'!$C$1:$C$860,$U140)))</f>
        <v/>
      </c>
      <c r="D140" s="129" t="str">
        <f aca="false">IF($U140="","",IF(INDEX('MiT Strom Pipeline'!$D$1:$D$860,$U140)="","",INDEX('MiT Strom Pipeline'!$D$1:$D$860,$U140)))</f>
        <v/>
      </c>
      <c r="E140" s="131" t="str">
        <f aca="false">IF($U140="","",IF(ISNUMBER(INDEX('MiT Strom Pipeline'!$O$1:$O$860,$U140)),INDEX('MiT Strom Pipeline'!$O$1:$O$860,$U140),IF(INDEX('MiT Strom Pipeline'!$H$1:$H$860,$U140)="","",INDEX('MiT Strom Pipeline'!$H$1:$H$860,$U140))))</f>
        <v/>
      </c>
      <c r="F140" s="131" t="str">
        <f aca="false">IF($U140="","",IF(ISNUMBER(INDEX('MiT Strom Pipeline'!$P$1:$P$860,$U140)),INDEX('MiT Strom Pipeline'!$P$1:$P$860,$U140),""))</f>
        <v/>
      </c>
      <c r="G140" s="132" t="str">
        <f aca="false">IF($U140="","",IF(ISNUMBER(INDEX('MiT Strom Pipeline'!$I$1:$I$860,$U140)),INDEX('MiT Strom Pipeline'!$I$1:$I$860,$U140),0))</f>
        <v/>
      </c>
      <c r="H140" s="132" t="str">
        <f aca="false">IF($U140="","",IF(ISNUMBER(INDEX('MiT Strom Pipeline'!$Q$1:$Q$860,$U140)),INDEX('MiT Strom Pipeline'!$Q$1:$Q$860,$U140),0))</f>
        <v/>
      </c>
      <c r="I140" s="129" t="str">
        <f aca="false">IF($U140="","",IF(INDEX('MiT Strom Pipeline'!$E$1:$E$860,$U140)="","",INDEX('MiT Strom Pipeline'!$E$1:$E$860,$U140)))</f>
        <v/>
      </c>
      <c r="J140" s="130" t="str">
        <f aca="false">IF($U140="","",INDEX('MiT Strom Pipeline'!$R$1:$R$860,$U140))</f>
        <v/>
      </c>
      <c r="K140" s="133" t="str">
        <f aca="false">IF($U140="","",IF(ISNUMBER(INDEX('MiT Strom Pipeline'!$S$1:$S$860,$U140)),INDEX('MiT Strom Pipeline'!$S$1:$S$860,$U140),""))</f>
        <v/>
      </c>
      <c r="L140" s="129" t="str">
        <f aca="false">IF($U140="","",IF(LEN(INDEX('MiT Strom Pipeline'!$V$1:$V$860,$U140))&gt;0,LEFT(INDEX('MiT Strom Pipeline'!$V$1:$V$860,$U140),55),""))</f>
        <v/>
      </c>
      <c r="M140" s="129" t="str">
        <f aca="false">IF($U140="","",IF(INDEX('MiT Strom Pipeline'!$AF$1:$AF$860,$U140)="","",INDEX('MiT Strom Pipeline'!$AF$1:$AF$860,$U140)))</f>
        <v/>
      </c>
      <c r="N140" s="129" t="str">
        <f aca="false">IF($U140="","",IF(INDEX('MiT Strom Pipeline'!$BB$1:$BB$860,$U140)="","",INDEX('MiT Strom Pipeline'!$BB$1:$BB$860,$U140)))</f>
        <v/>
      </c>
      <c r="O140" s="112"/>
      <c r="P140" s="112"/>
      <c r="Q140" s="112"/>
      <c r="R140" s="112"/>
      <c r="S140" s="112"/>
      <c r="U140" s="1" t="str">
        <f aca="false">IFERROR(MATCH(2,'MiT Strom Pipeline'!$AO$6:$AO$860,0)+5,"")</f>
        <v/>
      </c>
    </row>
    <row r="141" customFormat="false" ht="15.75" hidden="false" customHeight="true" outlineLevel="0" collapsed="false">
      <c r="A141" s="128" t="str">
        <f aca="false">IF($U141="","",IF(ISNUMBER(INDEX('MiT Strom Pipeline'!$A$1:$A$860,$U141)),INDEX('MiT Strom Pipeline'!$A$1:$A$860,$U141),""))</f>
        <v/>
      </c>
      <c r="B141" s="129" t="str">
        <f aca="false">IF($U141="","",IF(INDEX('MiT Strom Pipeline'!$B$1:$B$860,$U141)="","",INDEX('MiT Strom Pipeline'!$B$1:$B$860,$U141)))</f>
        <v/>
      </c>
      <c r="C141" s="130" t="str">
        <f aca="false">IF($U141="","",IF(INDEX('MiT Strom Pipeline'!$C$1:$C$860,$U141)="","",INDEX('MiT Strom Pipeline'!$C$1:$C$860,$U141)))</f>
        <v/>
      </c>
      <c r="D141" s="129" t="str">
        <f aca="false">IF($U141="","",IF(INDEX('MiT Strom Pipeline'!$D$1:$D$860,$U141)="","",INDEX('MiT Strom Pipeline'!$D$1:$D$860,$U141)))</f>
        <v/>
      </c>
      <c r="E141" s="131" t="str">
        <f aca="false">IF($U141="","",IF(ISNUMBER(INDEX('MiT Strom Pipeline'!$O$1:$O$860,$U141)),INDEX('MiT Strom Pipeline'!$O$1:$O$860,$U141),IF(INDEX('MiT Strom Pipeline'!$H$1:$H$860,$U141)="","",INDEX('MiT Strom Pipeline'!$H$1:$H$860,$U141))))</f>
        <v/>
      </c>
      <c r="F141" s="131" t="str">
        <f aca="false">IF($U141="","",IF(ISNUMBER(INDEX('MiT Strom Pipeline'!$P$1:$P$860,$U141)),INDEX('MiT Strom Pipeline'!$P$1:$P$860,$U141),""))</f>
        <v/>
      </c>
      <c r="G141" s="132" t="str">
        <f aca="false">IF($U141="","",IF(ISNUMBER(INDEX('MiT Strom Pipeline'!$I$1:$I$860,$U141)),INDEX('MiT Strom Pipeline'!$I$1:$I$860,$U141),0))</f>
        <v/>
      </c>
      <c r="H141" s="132" t="str">
        <f aca="false">IF($U141="","",IF(ISNUMBER(INDEX('MiT Strom Pipeline'!$Q$1:$Q$860,$U141)),INDEX('MiT Strom Pipeline'!$Q$1:$Q$860,$U141),0))</f>
        <v/>
      </c>
      <c r="I141" s="129" t="str">
        <f aca="false">IF($U141="","",IF(INDEX('MiT Strom Pipeline'!$E$1:$E$860,$U141)="","",INDEX('MiT Strom Pipeline'!$E$1:$E$860,$U141)))</f>
        <v/>
      </c>
      <c r="J141" s="130" t="str">
        <f aca="false">IF($U141="","",INDEX('MiT Strom Pipeline'!$R$1:$R$860,$U141))</f>
        <v/>
      </c>
      <c r="K141" s="133" t="str">
        <f aca="false">IF($U141="","",IF(ISNUMBER(INDEX('MiT Strom Pipeline'!$S$1:$S$860,$U141)),INDEX('MiT Strom Pipeline'!$S$1:$S$860,$U141),""))</f>
        <v/>
      </c>
      <c r="L141" s="129" t="str">
        <f aca="false">IF($U141="","",IF(LEN(INDEX('MiT Strom Pipeline'!$V$1:$V$860,$U141))&gt;0,LEFT(INDEX('MiT Strom Pipeline'!$V$1:$V$860,$U141),55),""))</f>
        <v/>
      </c>
      <c r="M141" s="129" t="str">
        <f aca="false">IF($U141="","",IF(INDEX('MiT Strom Pipeline'!$AF$1:$AF$860,$U141)="","",INDEX('MiT Strom Pipeline'!$AF$1:$AF$860,$U141)))</f>
        <v/>
      </c>
      <c r="N141" s="129" t="str">
        <f aca="false">IF($U141="","",IF(INDEX('MiT Strom Pipeline'!$BB$1:$BB$860,$U141)="","",INDEX('MiT Strom Pipeline'!$BB$1:$BB$860,$U141)))</f>
        <v/>
      </c>
      <c r="O141" s="112"/>
      <c r="P141" s="112"/>
      <c r="Q141" s="112"/>
      <c r="R141" s="112"/>
      <c r="S141" s="112"/>
      <c r="U141" s="1" t="str">
        <f aca="false">IFERROR(MATCH(3,'MiT Strom Pipeline'!$AO$6:$AO$860,0)+5,"")</f>
        <v/>
      </c>
    </row>
    <row r="142" customFormat="false" ht="15.75" hidden="false" customHeight="true" outlineLevel="0" collapsed="false">
      <c r="A142" s="128" t="str">
        <f aca="false">IF($U142="","",IF(ISNUMBER(INDEX('MiT Strom Pipeline'!$A$1:$A$860,$U142)),INDEX('MiT Strom Pipeline'!$A$1:$A$860,$U142),""))</f>
        <v/>
      </c>
      <c r="B142" s="129" t="str">
        <f aca="false">IF($U142="","",IF(INDEX('MiT Strom Pipeline'!$B$1:$B$860,$U142)="","",INDEX('MiT Strom Pipeline'!$B$1:$B$860,$U142)))</f>
        <v/>
      </c>
      <c r="C142" s="130" t="str">
        <f aca="false">IF($U142="","",IF(INDEX('MiT Strom Pipeline'!$C$1:$C$860,$U142)="","",INDEX('MiT Strom Pipeline'!$C$1:$C$860,$U142)))</f>
        <v/>
      </c>
      <c r="D142" s="129" t="str">
        <f aca="false">IF($U142="","",IF(INDEX('MiT Strom Pipeline'!$D$1:$D$860,$U142)="","",INDEX('MiT Strom Pipeline'!$D$1:$D$860,$U142)))</f>
        <v/>
      </c>
      <c r="E142" s="131" t="str">
        <f aca="false">IF($U142="","",IF(ISNUMBER(INDEX('MiT Strom Pipeline'!$O$1:$O$860,$U142)),INDEX('MiT Strom Pipeline'!$O$1:$O$860,$U142),IF(INDEX('MiT Strom Pipeline'!$H$1:$H$860,$U142)="","",INDEX('MiT Strom Pipeline'!$H$1:$H$860,$U142))))</f>
        <v/>
      </c>
      <c r="F142" s="131" t="str">
        <f aca="false">IF($U142="","",IF(ISNUMBER(INDEX('MiT Strom Pipeline'!$P$1:$P$860,$U142)),INDEX('MiT Strom Pipeline'!$P$1:$P$860,$U142),""))</f>
        <v/>
      </c>
      <c r="G142" s="132" t="str">
        <f aca="false">IF($U142="","",IF(ISNUMBER(INDEX('MiT Strom Pipeline'!$I$1:$I$860,$U142)),INDEX('MiT Strom Pipeline'!$I$1:$I$860,$U142),0))</f>
        <v/>
      </c>
      <c r="H142" s="132" t="str">
        <f aca="false">IF($U142="","",IF(ISNUMBER(INDEX('MiT Strom Pipeline'!$Q$1:$Q$860,$U142)),INDEX('MiT Strom Pipeline'!$Q$1:$Q$860,$U142),0))</f>
        <v/>
      </c>
      <c r="I142" s="129" t="str">
        <f aca="false">IF($U142="","",IF(INDEX('MiT Strom Pipeline'!$E$1:$E$860,$U142)="","",INDEX('MiT Strom Pipeline'!$E$1:$E$860,$U142)))</f>
        <v/>
      </c>
      <c r="J142" s="130" t="str">
        <f aca="false">IF($U142="","",INDEX('MiT Strom Pipeline'!$R$1:$R$860,$U142))</f>
        <v/>
      </c>
      <c r="K142" s="133" t="str">
        <f aca="false">IF($U142="","",IF(ISNUMBER(INDEX('MiT Strom Pipeline'!$S$1:$S$860,$U142)),INDEX('MiT Strom Pipeline'!$S$1:$S$860,$U142),""))</f>
        <v/>
      </c>
      <c r="L142" s="129" t="str">
        <f aca="false">IF($U142="","",IF(LEN(INDEX('MiT Strom Pipeline'!$V$1:$V$860,$U142))&gt;0,LEFT(INDEX('MiT Strom Pipeline'!$V$1:$V$860,$U142),55),""))</f>
        <v/>
      </c>
      <c r="M142" s="129" t="str">
        <f aca="false">IF($U142="","",IF(INDEX('MiT Strom Pipeline'!$AF$1:$AF$860,$U142)="","",INDEX('MiT Strom Pipeline'!$AF$1:$AF$860,$U142)))</f>
        <v/>
      </c>
      <c r="N142" s="129" t="str">
        <f aca="false">IF($U142="","",IF(INDEX('MiT Strom Pipeline'!$BB$1:$BB$860,$U142)="","",INDEX('MiT Strom Pipeline'!$BB$1:$BB$860,$U142)))</f>
        <v/>
      </c>
      <c r="O142" s="112"/>
      <c r="P142" s="112"/>
      <c r="Q142" s="112"/>
      <c r="R142" s="112"/>
      <c r="S142" s="112"/>
      <c r="U142" s="1" t="str">
        <f aca="false">IFERROR(MATCH(4,'MiT Strom Pipeline'!$AO$6:$AO$860,0)+5,"")</f>
        <v/>
      </c>
    </row>
    <row r="143" customFormat="false" ht="15.75" hidden="false" customHeight="true" outlineLevel="0" collapsed="false">
      <c r="A143" s="128" t="str">
        <f aca="false">IF($U143="","",IF(ISNUMBER(INDEX('MiT Strom Pipeline'!$A$1:$A$860,$U143)),INDEX('MiT Strom Pipeline'!$A$1:$A$860,$U143),""))</f>
        <v/>
      </c>
      <c r="B143" s="129" t="str">
        <f aca="false">IF($U143="","",IF(INDEX('MiT Strom Pipeline'!$B$1:$B$860,$U143)="","",INDEX('MiT Strom Pipeline'!$B$1:$B$860,$U143)))</f>
        <v/>
      </c>
      <c r="C143" s="130" t="str">
        <f aca="false">IF($U143="","",IF(INDEX('MiT Strom Pipeline'!$C$1:$C$860,$U143)="","",INDEX('MiT Strom Pipeline'!$C$1:$C$860,$U143)))</f>
        <v/>
      </c>
      <c r="D143" s="129" t="str">
        <f aca="false">IF($U143="","",IF(INDEX('MiT Strom Pipeline'!$D$1:$D$860,$U143)="","",INDEX('MiT Strom Pipeline'!$D$1:$D$860,$U143)))</f>
        <v/>
      </c>
      <c r="E143" s="131" t="str">
        <f aca="false">IF($U143="","",IF(ISNUMBER(INDEX('MiT Strom Pipeline'!$O$1:$O$860,$U143)),INDEX('MiT Strom Pipeline'!$O$1:$O$860,$U143),IF(INDEX('MiT Strom Pipeline'!$H$1:$H$860,$U143)="","",INDEX('MiT Strom Pipeline'!$H$1:$H$860,$U143))))</f>
        <v/>
      </c>
      <c r="F143" s="131" t="str">
        <f aca="false">IF($U143="","",IF(ISNUMBER(INDEX('MiT Strom Pipeline'!$P$1:$P$860,$U143)),INDEX('MiT Strom Pipeline'!$P$1:$P$860,$U143),""))</f>
        <v/>
      </c>
      <c r="G143" s="132" t="str">
        <f aca="false">IF($U143="","",IF(ISNUMBER(INDEX('MiT Strom Pipeline'!$I$1:$I$860,$U143)),INDEX('MiT Strom Pipeline'!$I$1:$I$860,$U143),0))</f>
        <v/>
      </c>
      <c r="H143" s="132" t="str">
        <f aca="false">IF($U143="","",IF(ISNUMBER(INDEX('MiT Strom Pipeline'!$Q$1:$Q$860,$U143)),INDEX('MiT Strom Pipeline'!$Q$1:$Q$860,$U143),0))</f>
        <v/>
      </c>
      <c r="I143" s="129" t="str">
        <f aca="false">IF($U143="","",IF(INDEX('MiT Strom Pipeline'!$E$1:$E$860,$U143)="","",INDEX('MiT Strom Pipeline'!$E$1:$E$860,$U143)))</f>
        <v/>
      </c>
      <c r="J143" s="130" t="str">
        <f aca="false">IF($U143="","",INDEX('MiT Strom Pipeline'!$R$1:$R$860,$U143))</f>
        <v/>
      </c>
      <c r="K143" s="133" t="str">
        <f aca="false">IF($U143="","",IF(ISNUMBER(INDEX('MiT Strom Pipeline'!$S$1:$S$860,$U143)),INDEX('MiT Strom Pipeline'!$S$1:$S$860,$U143),""))</f>
        <v/>
      </c>
      <c r="L143" s="129" t="str">
        <f aca="false">IF($U143="","",IF(LEN(INDEX('MiT Strom Pipeline'!$V$1:$V$860,$U143))&gt;0,LEFT(INDEX('MiT Strom Pipeline'!$V$1:$V$860,$U143),55),""))</f>
        <v/>
      </c>
      <c r="M143" s="129" t="str">
        <f aca="false">IF($U143="","",IF(INDEX('MiT Strom Pipeline'!$AF$1:$AF$860,$U143)="","",INDEX('MiT Strom Pipeline'!$AF$1:$AF$860,$U143)))</f>
        <v/>
      </c>
      <c r="N143" s="129" t="str">
        <f aca="false">IF($U143="","",IF(INDEX('MiT Strom Pipeline'!$BB$1:$BB$860,$U143)="","",INDEX('MiT Strom Pipeline'!$BB$1:$BB$860,$U143)))</f>
        <v/>
      </c>
      <c r="O143" s="112"/>
      <c r="P143" s="112"/>
      <c r="Q143" s="112"/>
      <c r="R143" s="112"/>
      <c r="S143" s="112"/>
      <c r="U143" s="1" t="str">
        <f aca="false">IFERROR(MATCH(5,'MiT Strom Pipeline'!$AO$6:$AO$860,0)+5,"")</f>
        <v/>
      </c>
    </row>
    <row r="144" customFormat="false" ht="15.75" hidden="false" customHeight="true" outlineLevel="0" collapsed="false">
      <c r="A144" s="128" t="str">
        <f aca="false">IF($U144="","",IF(ISNUMBER(INDEX('MiT Strom Pipeline'!$A$1:$A$860,$U144)),INDEX('MiT Strom Pipeline'!$A$1:$A$860,$U144),""))</f>
        <v/>
      </c>
      <c r="B144" s="129" t="str">
        <f aca="false">IF($U144="","",IF(INDEX('MiT Strom Pipeline'!$B$1:$B$860,$U144)="","",INDEX('MiT Strom Pipeline'!$B$1:$B$860,$U144)))</f>
        <v/>
      </c>
      <c r="C144" s="130" t="str">
        <f aca="false">IF($U144="","",IF(INDEX('MiT Strom Pipeline'!$C$1:$C$860,$U144)="","",INDEX('MiT Strom Pipeline'!$C$1:$C$860,$U144)))</f>
        <v/>
      </c>
      <c r="D144" s="129" t="str">
        <f aca="false">IF($U144="","",IF(INDEX('MiT Strom Pipeline'!$D$1:$D$860,$U144)="","",INDEX('MiT Strom Pipeline'!$D$1:$D$860,$U144)))</f>
        <v/>
      </c>
      <c r="E144" s="131" t="str">
        <f aca="false">IF($U144="","",IF(ISNUMBER(INDEX('MiT Strom Pipeline'!$O$1:$O$860,$U144)),INDEX('MiT Strom Pipeline'!$O$1:$O$860,$U144),IF(INDEX('MiT Strom Pipeline'!$H$1:$H$860,$U144)="","",INDEX('MiT Strom Pipeline'!$H$1:$H$860,$U144))))</f>
        <v/>
      </c>
      <c r="F144" s="131" t="str">
        <f aca="false">IF($U144="","",IF(ISNUMBER(INDEX('MiT Strom Pipeline'!$P$1:$P$860,$U144)),INDEX('MiT Strom Pipeline'!$P$1:$P$860,$U144),""))</f>
        <v/>
      </c>
      <c r="G144" s="132" t="str">
        <f aca="false">IF($U144="","",IF(ISNUMBER(INDEX('MiT Strom Pipeline'!$I$1:$I$860,$U144)),INDEX('MiT Strom Pipeline'!$I$1:$I$860,$U144),0))</f>
        <v/>
      </c>
      <c r="H144" s="132" t="str">
        <f aca="false">IF($U144="","",IF(ISNUMBER(INDEX('MiT Strom Pipeline'!$Q$1:$Q$860,$U144)),INDEX('MiT Strom Pipeline'!$Q$1:$Q$860,$U144),0))</f>
        <v/>
      </c>
      <c r="I144" s="129" t="str">
        <f aca="false">IF($U144="","",IF(INDEX('MiT Strom Pipeline'!$E$1:$E$860,$U144)="","",INDEX('MiT Strom Pipeline'!$E$1:$E$860,$U144)))</f>
        <v/>
      </c>
      <c r="J144" s="130" t="str">
        <f aca="false">IF($U144="","",INDEX('MiT Strom Pipeline'!$R$1:$R$860,$U144))</f>
        <v/>
      </c>
      <c r="K144" s="133" t="str">
        <f aca="false">IF($U144="","",IF(ISNUMBER(INDEX('MiT Strom Pipeline'!$S$1:$S$860,$U144)),INDEX('MiT Strom Pipeline'!$S$1:$S$860,$U144),""))</f>
        <v/>
      </c>
      <c r="L144" s="129" t="str">
        <f aca="false">IF($U144="","",IF(LEN(INDEX('MiT Strom Pipeline'!$V$1:$V$860,$U144))&gt;0,LEFT(INDEX('MiT Strom Pipeline'!$V$1:$V$860,$U144),55),""))</f>
        <v/>
      </c>
      <c r="M144" s="129" t="str">
        <f aca="false">IF($U144="","",IF(INDEX('MiT Strom Pipeline'!$AF$1:$AF$860,$U144)="","",INDEX('MiT Strom Pipeline'!$AF$1:$AF$860,$U144)))</f>
        <v/>
      </c>
      <c r="N144" s="129" t="str">
        <f aca="false">IF($U144="","",IF(INDEX('MiT Strom Pipeline'!$BB$1:$BB$860,$U144)="","",INDEX('MiT Strom Pipeline'!$BB$1:$BB$860,$U144)))</f>
        <v/>
      </c>
      <c r="O144" s="112"/>
      <c r="P144" s="112"/>
      <c r="Q144" s="112"/>
      <c r="R144" s="112"/>
      <c r="S144" s="112"/>
      <c r="U144" s="1" t="str">
        <f aca="false">IFERROR(MATCH(6,'MiT Strom Pipeline'!$AO$6:$AO$860,0)+5,"")</f>
        <v/>
      </c>
    </row>
    <row r="145" customFormat="false" ht="15.75" hidden="false" customHeight="true" outlineLevel="0" collapsed="false">
      <c r="A145" s="128" t="str">
        <f aca="false">IF($U145="","",IF(ISNUMBER(INDEX('MiT Strom Pipeline'!$A$1:$A$860,$U145)),INDEX('MiT Strom Pipeline'!$A$1:$A$860,$U145),""))</f>
        <v/>
      </c>
      <c r="B145" s="129" t="str">
        <f aca="false">IF($U145="","",IF(INDEX('MiT Strom Pipeline'!$B$1:$B$860,$U145)="","",INDEX('MiT Strom Pipeline'!$B$1:$B$860,$U145)))</f>
        <v/>
      </c>
      <c r="C145" s="130" t="str">
        <f aca="false">IF($U145="","",IF(INDEX('MiT Strom Pipeline'!$C$1:$C$860,$U145)="","",INDEX('MiT Strom Pipeline'!$C$1:$C$860,$U145)))</f>
        <v/>
      </c>
      <c r="D145" s="129" t="str">
        <f aca="false">IF($U145="","",IF(INDEX('MiT Strom Pipeline'!$D$1:$D$860,$U145)="","",INDEX('MiT Strom Pipeline'!$D$1:$D$860,$U145)))</f>
        <v/>
      </c>
      <c r="E145" s="131" t="str">
        <f aca="false">IF($U145="","",IF(ISNUMBER(INDEX('MiT Strom Pipeline'!$O$1:$O$860,$U145)),INDEX('MiT Strom Pipeline'!$O$1:$O$860,$U145),IF(INDEX('MiT Strom Pipeline'!$H$1:$H$860,$U145)="","",INDEX('MiT Strom Pipeline'!$H$1:$H$860,$U145))))</f>
        <v/>
      </c>
      <c r="F145" s="131" t="str">
        <f aca="false">IF($U145="","",IF(ISNUMBER(INDEX('MiT Strom Pipeline'!$P$1:$P$860,$U145)),INDEX('MiT Strom Pipeline'!$P$1:$P$860,$U145),""))</f>
        <v/>
      </c>
      <c r="G145" s="132" t="str">
        <f aca="false">IF($U145="","",IF(ISNUMBER(INDEX('MiT Strom Pipeline'!$I$1:$I$860,$U145)),INDEX('MiT Strom Pipeline'!$I$1:$I$860,$U145),0))</f>
        <v/>
      </c>
      <c r="H145" s="132" t="str">
        <f aca="false">IF($U145="","",IF(ISNUMBER(INDEX('MiT Strom Pipeline'!$Q$1:$Q$860,$U145)),INDEX('MiT Strom Pipeline'!$Q$1:$Q$860,$U145),0))</f>
        <v/>
      </c>
      <c r="I145" s="129" t="str">
        <f aca="false">IF($U145="","",IF(INDEX('MiT Strom Pipeline'!$E$1:$E$860,$U145)="","",INDEX('MiT Strom Pipeline'!$E$1:$E$860,$U145)))</f>
        <v/>
      </c>
      <c r="J145" s="130" t="str">
        <f aca="false">IF($U145="","",INDEX('MiT Strom Pipeline'!$R$1:$R$860,$U145))</f>
        <v/>
      </c>
      <c r="K145" s="133" t="str">
        <f aca="false">IF($U145="","",IF(ISNUMBER(INDEX('MiT Strom Pipeline'!$S$1:$S$860,$U145)),INDEX('MiT Strom Pipeline'!$S$1:$S$860,$U145),""))</f>
        <v/>
      </c>
      <c r="L145" s="129" t="str">
        <f aca="false">IF($U145="","",IF(LEN(INDEX('MiT Strom Pipeline'!$V$1:$V$860,$U145))&gt;0,LEFT(INDEX('MiT Strom Pipeline'!$V$1:$V$860,$U145),55),""))</f>
        <v/>
      </c>
      <c r="M145" s="129" t="str">
        <f aca="false">IF($U145="","",IF(INDEX('MiT Strom Pipeline'!$AF$1:$AF$860,$U145)="","",INDEX('MiT Strom Pipeline'!$AF$1:$AF$860,$U145)))</f>
        <v/>
      </c>
      <c r="N145" s="129" t="str">
        <f aca="false">IF($U145="","",IF(INDEX('MiT Strom Pipeline'!$BB$1:$BB$860,$U145)="","",INDEX('MiT Strom Pipeline'!$BB$1:$BB$860,$U145)))</f>
        <v/>
      </c>
      <c r="O145" s="112"/>
      <c r="P145" s="112"/>
      <c r="Q145" s="112"/>
      <c r="R145" s="112"/>
      <c r="S145" s="112"/>
      <c r="U145" s="1" t="str">
        <f aca="false">IFERROR(MATCH(7,'MiT Strom Pipeline'!$AO$6:$AO$860,0)+5,"")</f>
        <v/>
      </c>
    </row>
    <row r="146" customFormat="false" ht="15.75" hidden="false" customHeight="true" outlineLevel="0" collapsed="false">
      <c r="A146" s="128" t="str">
        <f aca="false">IF($U146="","",IF(ISNUMBER(INDEX('MiT Strom Pipeline'!$A$1:$A$860,$U146)),INDEX('MiT Strom Pipeline'!$A$1:$A$860,$U146),""))</f>
        <v/>
      </c>
      <c r="B146" s="129" t="str">
        <f aca="false">IF($U146="","",IF(INDEX('MiT Strom Pipeline'!$B$1:$B$860,$U146)="","",INDEX('MiT Strom Pipeline'!$B$1:$B$860,$U146)))</f>
        <v/>
      </c>
      <c r="C146" s="130" t="str">
        <f aca="false">IF($U146="","",IF(INDEX('MiT Strom Pipeline'!$C$1:$C$860,$U146)="","",INDEX('MiT Strom Pipeline'!$C$1:$C$860,$U146)))</f>
        <v/>
      </c>
      <c r="D146" s="129" t="str">
        <f aca="false">IF($U146="","",IF(INDEX('MiT Strom Pipeline'!$D$1:$D$860,$U146)="","",INDEX('MiT Strom Pipeline'!$D$1:$D$860,$U146)))</f>
        <v/>
      </c>
      <c r="E146" s="131" t="str">
        <f aca="false">IF($U146="","",IF(ISNUMBER(INDEX('MiT Strom Pipeline'!$O$1:$O$860,$U146)),INDEX('MiT Strom Pipeline'!$O$1:$O$860,$U146),IF(INDEX('MiT Strom Pipeline'!$H$1:$H$860,$U146)="","",INDEX('MiT Strom Pipeline'!$H$1:$H$860,$U146))))</f>
        <v/>
      </c>
      <c r="F146" s="131" t="str">
        <f aca="false">IF($U146="","",IF(ISNUMBER(INDEX('MiT Strom Pipeline'!$P$1:$P$860,$U146)),INDEX('MiT Strom Pipeline'!$P$1:$P$860,$U146),""))</f>
        <v/>
      </c>
      <c r="G146" s="132" t="str">
        <f aca="false">IF($U146="","",IF(ISNUMBER(INDEX('MiT Strom Pipeline'!$I$1:$I$860,$U146)),INDEX('MiT Strom Pipeline'!$I$1:$I$860,$U146),0))</f>
        <v/>
      </c>
      <c r="H146" s="132" t="str">
        <f aca="false">IF($U146="","",IF(ISNUMBER(INDEX('MiT Strom Pipeline'!$Q$1:$Q$860,$U146)),INDEX('MiT Strom Pipeline'!$Q$1:$Q$860,$U146),0))</f>
        <v/>
      </c>
      <c r="I146" s="129" t="str">
        <f aca="false">IF($U146="","",IF(INDEX('MiT Strom Pipeline'!$E$1:$E$860,$U146)="","",INDEX('MiT Strom Pipeline'!$E$1:$E$860,$U146)))</f>
        <v/>
      </c>
      <c r="J146" s="130" t="str">
        <f aca="false">IF($U146="","",INDEX('MiT Strom Pipeline'!$R$1:$R$860,$U146))</f>
        <v/>
      </c>
      <c r="K146" s="133" t="str">
        <f aca="false">IF($U146="","",IF(ISNUMBER(INDEX('MiT Strom Pipeline'!$S$1:$S$860,$U146)),INDEX('MiT Strom Pipeline'!$S$1:$S$860,$U146),""))</f>
        <v/>
      </c>
      <c r="L146" s="129" t="str">
        <f aca="false">IF($U146="","",IF(LEN(INDEX('MiT Strom Pipeline'!$V$1:$V$860,$U146))&gt;0,LEFT(INDEX('MiT Strom Pipeline'!$V$1:$V$860,$U146),55),""))</f>
        <v/>
      </c>
      <c r="M146" s="129" t="str">
        <f aca="false">IF($U146="","",IF(INDEX('MiT Strom Pipeline'!$AF$1:$AF$860,$U146)="","",INDEX('MiT Strom Pipeline'!$AF$1:$AF$860,$U146)))</f>
        <v/>
      </c>
      <c r="N146" s="129" t="str">
        <f aca="false">IF($U146="","",IF(INDEX('MiT Strom Pipeline'!$BB$1:$BB$860,$U146)="","",INDEX('MiT Strom Pipeline'!$BB$1:$BB$860,$U146)))</f>
        <v/>
      </c>
      <c r="O146" s="112"/>
      <c r="P146" s="112"/>
      <c r="Q146" s="112"/>
      <c r="R146" s="112"/>
      <c r="S146" s="112"/>
      <c r="U146" s="1" t="str">
        <f aca="false">IFERROR(MATCH(8,'MiT Strom Pipeline'!$AO$6:$AO$860,0)+5,"")</f>
        <v/>
      </c>
    </row>
    <row r="147" customFormat="false" ht="15.75" hidden="false" customHeight="true" outlineLevel="0" collapsed="false">
      <c r="A147" s="128" t="str">
        <f aca="false">IF($U147="","",IF(ISNUMBER(INDEX('MiT Strom Pipeline'!$A$1:$A$860,$U147)),INDEX('MiT Strom Pipeline'!$A$1:$A$860,$U147),""))</f>
        <v/>
      </c>
      <c r="B147" s="129" t="str">
        <f aca="false">IF($U147="","",IF(INDEX('MiT Strom Pipeline'!$B$1:$B$860,$U147)="","",INDEX('MiT Strom Pipeline'!$B$1:$B$860,$U147)))</f>
        <v/>
      </c>
      <c r="C147" s="130" t="str">
        <f aca="false">IF($U147="","",IF(INDEX('MiT Strom Pipeline'!$C$1:$C$860,$U147)="","",INDEX('MiT Strom Pipeline'!$C$1:$C$860,$U147)))</f>
        <v/>
      </c>
      <c r="D147" s="129" t="str">
        <f aca="false">IF($U147="","",IF(INDEX('MiT Strom Pipeline'!$D$1:$D$860,$U147)="","",INDEX('MiT Strom Pipeline'!$D$1:$D$860,$U147)))</f>
        <v/>
      </c>
      <c r="E147" s="131" t="str">
        <f aca="false">IF($U147="","",IF(ISNUMBER(INDEX('MiT Strom Pipeline'!$O$1:$O$860,$U147)),INDEX('MiT Strom Pipeline'!$O$1:$O$860,$U147),IF(INDEX('MiT Strom Pipeline'!$H$1:$H$860,$U147)="","",INDEX('MiT Strom Pipeline'!$H$1:$H$860,$U147))))</f>
        <v/>
      </c>
      <c r="F147" s="131" t="str">
        <f aca="false">IF($U147="","",IF(ISNUMBER(INDEX('MiT Strom Pipeline'!$P$1:$P$860,$U147)),INDEX('MiT Strom Pipeline'!$P$1:$P$860,$U147),""))</f>
        <v/>
      </c>
      <c r="G147" s="132" t="str">
        <f aca="false">IF($U147="","",IF(ISNUMBER(INDEX('MiT Strom Pipeline'!$I$1:$I$860,$U147)),INDEX('MiT Strom Pipeline'!$I$1:$I$860,$U147),0))</f>
        <v/>
      </c>
      <c r="H147" s="132" t="str">
        <f aca="false">IF($U147="","",IF(ISNUMBER(INDEX('MiT Strom Pipeline'!$Q$1:$Q$860,$U147)),INDEX('MiT Strom Pipeline'!$Q$1:$Q$860,$U147),0))</f>
        <v/>
      </c>
      <c r="I147" s="129" t="str">
        <f aca="false">IF($U147="","",IF(INDEX('MiT Strom Pipeline'!$E$1:$E$860,$U147)="","",INDEX('MiT Strom Pipeline'!$E$1:$E$860,$U147)))</f>
        <v/>
      </c>
      <c r="J147" s="130" t="str">
        <f aca="false">IF($U147="","",INDEX('MiT Strom Pipeline'!$R$1:$R$860,$U147))</f>
        <v/>
      </c>
      <c r="K147" s="133" t="str">
        <f aca="false">IF($U147="","",IF(ISNUMBER(INDEX('MiT Strom Pipeline'!$S$1:$S$860,$U147)),INDEX('MiT Strom Pipeline'!$S$1:$S$860,$U147),""))</f>
        <v/>
      </c>
      <c r="L147" s="129" t="str">
        <f aca="false">IF($U147="","",IF(LEN(INDEX('MiT Strom Pipeline'!$V$1:$V$860,$U147))&gt;0,LEFT(INDEX('MiT Strom Pipeline'!$V$1:$V$860,$U147),55),""))</f>
        <v/>
      </c>
      <c r="M147" s="129" t="str">
        <f aca="false">IF($U147="","",IF(INDEX('MiT Strom Pipeline'!$AF$1:$AF$860,$U147)="","",INDEX('MiT Strom Pipeline'!$AF$1:$AF$860,$U147)))</f>
        <v/>
      </c>
      <c r="N147" s="129" t="str">
        <f aca="false">IF($U147="","",IF(INDEX('MiT Strom Pipeline'!$BB$1:$BB$860,$U147)="","",INDEX('MiT Strom Pipeline'!$BB$1:$BB$860,$U147)))</f>
        <v/>
      </c>
      <c r="O147" s="112"/>
      <c r="P147" s="112"/>
      <c r="Q147" s="112"/>
      <c r="R147" s="112"/>
      <c r="S147" s="112"/>
      <c r="U147" s="1" t="str">
        <f aca="false">IFERROR(MATCH(9,'MiT Strom Pipeline'!$AO$6:$AO$860,0)+5,"")</f>
        <v/>
      </c>
    </row>
    <row r="148" customFormat="false" ht="15.75" hidden="false" customHeight="true" outlineLevel="0" collapsed="false">
      <c r="A148" s="128" t="str">
        <f aca="false">IF($U148="","",IF(ISNUMBER(INDEX('MiT Strom Pipeline'!$A$1:$A$860,$U148)),INDEX('MiT Strom Pipeline'!$A$1:$A$860,$U148),""))</f>
        <v/>
      </c>
      <c r="B148" s="129" t="str">
        <f aca="false">IF($U148="","",IF(INDEX('MiT Strom Pipeline'!$B$1:$B$860,$U148)="","",INDEX('MiT Strom Pipeline'!$B$1:$B$860,$U148)))</f>
        <v/>
      </c>
      <c r="C148" s="130" t="str">
        <f aca="false">IF($U148="","",IF(INDEX('MiT Strom Pipeline'!$C$1:$C$860,$U148)="","",INDEX('MiT Strom Pipeline'!$C$1:$C$860,$U148)))</f>
        <v/>
      </c>
      <c r="D148" s="129" t="str">
        <f aca="false">IF($U148="","",IF(INDEX('MiT Strom Pipeline'!$D$1:$D$860,$U148)="","",INDEX('MiT Strom Pipeline'!$D$1:$D$860,$U148)))</f>
        <v/>
      </c>
      <c r="E148" s="131" t="str">
        <f aca="false">IF($U148="","",IF(ISNUMBER(INDEX('MiT Strom Pipeline'!$O$1:$O$860,$U148)),INDEX('MiT Strom Pipeline'!$O$1:$O$860,$U148),IF(INDEX('MiT Strom Pipeline'!$H$1:$H$860,$U148)="","",INDEX('MiT Strom Pipeline'!$H$1:$H$860,$U148))))</f>
        <v/>
      </c>
      <c r="F148" s="131" t="str">
        <f aca="false">IF($U148="","",IF(ISNUMBER(INDEX('MiT Strom Pipeline'!$P$1:$P$860,$U148)),INDEX('MiT Strom Pipeline'!$P$1:$P$860,$U148),""))</f>
        <v/>
      </c>
      <c r="G148" s="132" t="str">
        <f aca="false">IF($U148="","",IF(ISNUMBER(INDEX('MiT Strom Pipeline'!$I$1:$I$860,$U148)),INDEX('MiT Strom Pipeline'!$I$1:$I$860,$U148),0))</f>
        <v/>
      </c>
      <c r="H148" s="132" t="str">
        <f aca="false">IF($U148="","",IF(ISNUMBER(INDEX('MiT Strom Pipeline'!$Q$1:$Q$860,$U148)),INDEX('MiT Strom Pipeline'!$Q$1:$Q$860,$U148),0))</f>
        <v/>
      </c>
      <c r="I148" s="129" t="str">
        <f aca="false">IF($U148="","",IF(INDEX('MiT Strom Pipeline'!$E$1:$E$860,$U148)="","",INDEX('MiT Strom Pipeline'!$E$1:$E$860,$U148)))</f>
        <v/>
      </c>
      <c r="J148" s="130" t="str">
        <f aca="false">IF($U148="","",INDEX('MiT Strom Pipeline'!$R$1:$R$860,$U148))</f>
        <v/>
      </c>
      <c r="K148" s="133" t="str">
        <f aca="false">IF($U148="","",IF(ISNUMBER(INDEX('MiT Strom Pipeline'!$S$1:$S$860,$U148)),INDEX('MiT Strom Pipeline'!$S$1:$S$860,$U148),""))</f>
        <v/>
      </c>
      <c r="L148" s="129" t="str">
        <f aca="false">IF($U148="","",IF(LEN(INDEX('MiT Strom Pipeline'!$V$1:$V$860,$U148))&gt;0,LEFT(INDEX('MiT Strom Pipeline'!$V$1:$V$860,$U148),55),""))</f>
        <v/>
      </c>
      <c r="M148" s="129" t="str">
        <f aca="false">IF($U148="","",IF(INDEX('MiT Strom Pipeline'!$AF$1:$AF$860,$U148)="","",INDEX('MiT Strom Pipeline'!$AF$1:$AF$860,$U148)))</f>
        <v/>
      </c>
      <c r="N148" s="129" t="str">
        <f aca="false">IF($U148="","",IF(INDEX('MiT Strom Pipeline'!$BB$1:$BB$860,$U148)="","",INDEX('MiT Strom Pipeline'!$BB$1:$BB$860,$U148)))</f>
        <v/>
      </c>
      <c r="O148" s="112"/>
      <c r="P148" s="112"/>
      <c r="Q148" s="112"/>
      <c r="R148" s="112"/>
      <c r="S148" s="112"/>
      <c r="U148" s="1" t="str">
        <f aca="false">IFERROR(MATCH(10,'MiT Strom Pipeline'!$AO$6:$AO$860,0)+5,"")</f>
        <v/>
      </c>
    </row>
    <row r="149" customFormat="false" ht="15.75" hidden="false" customHeight="true" outlineLevel="0" collapsed="false">
      <c r="A149" s="128" t="str">
        <f aca="false">IF($U149="","",IF(ISNUMBER(INDEX('MiT Strom Pipeline'!$A$1:$A$860,$U149)),INDEX('MiT Strom Pipeline'!$A$1:$A$860,$U149),""))</f>
        <v/>
      </c>
      <c r="B149" s="129" t="str">
        <f aca="false">IF($U149="","",IF(INDEX('MiT Strom Pipeline'!$B$1:$B$860,$U149)="","",INDEX('MiT Strom Pipeline'!$B$1:$B$860,$U149)))</f>
        <v/>
      </c>
      <c r="C149" s="130" t="str">
        <f aca="false">IF($U149="","",IF(INDEX('MiT Strom Pipeline'!$C$1:$C$860,$U149)="","",INDEX('MiT Strom Pipeline'!$C$1:$C$860,$U149)))</f>
        <v/>
      </c>
      <c r="D149" s="129" t="str">
        <f aca="false">IF($U149="","",IF(INDEX('MiT Strom Pipeline'!$D$1:$D$860,$U149)="","",INDEX('MiT Strom Pipeline'!$D$1:$D$860,$U149)))</f>
        <v/>
      </c>
      <c r="E149" s="131" t="str">
        <f aca="false">IF($U149="","",IF(ISNUMBER(INDEX('MiT Strom Pipeline'!$O$1:$O$860,$U149)),INDEX('MiT Strom Pipeline'!$O$1:$O$860,$U149),IF(INDEX('MiT Strom Pipeline'!$H$1:$H$860,$U149)="","",INDEX('MiT Strom Pipeline'!$H$1:$H$860,$U149))))</f>
        <v/>
      </c>
      <c r="F149" s="131" t="str">
        <f aca="false">IF($U149="","",IF(ISNUMBER(INDEX('MiT Strom Pipeline'!$P$1:$P$860,$U149)),INDEX('MiT Strom Pipeline'!$P$1:$P$860,$U149),""))</f>
        <v/>
      </c>
      <c r="G149" s="132" t="str">
        <f aca="false">IF($U149="","",IF(ISNUMBER(INDEX('MiT Strom Pipeline'!$I$1:$I$860,$U149)),INDEX('MiT Strom Pipeline'!$I$1:$I$860,$U149),0))</f>
        <v/>
      </c>
      <c r="H149" s="132" t="str">
        <f aca="false">IF($U149="","",IF(ISNUMBER(INDEX('MiT Strom Pipeline'!$Q$1:$Q$860,$U149)),INDEX('MiT Strom Pipeline'!$Q$1:$Q$860,$U149),0))</f>
        <v/>
      </c>
      <c r="I149" s="129" t="str">
        <f aca="false">IF($U149="","",IF(INDEX('MiT Strom Pipeline'!$E$1:$E$860,$U149)="","",INDEX('MiT Strom Pipeline'!$E$1:$E$860,$U149)))</f>
        <v/>
      </c>
      <c r="J149" s="130" t="str">
        <f aca="false">IF($U149="","",INDEX('MiT Strom Pipeline'!$R$1:$R$860,$U149))</f>
        <v/>
      </c>
      <c r="K149" s="133" t="str">
        <f aca="false">IF($U149="","",IF(ISNUMBER(INDEX('MiT Strom Pipeline'!$S$1:$S$860,$U149)),INDEX('MiT Strom Pipeline'!$S$1:$S$860,$U149),""))</f>
        <v/>
      </c>
      <c r="L149" s="129" t="str">
        <f aca="false">IF($U149="","",IF(LEN(INDEX('MiT Strom Pipeline'!$V$1:$V$860,$U149))&gt;0,LEFT(INDEX('MiT Strom Pipeline'!$V$1:$V$860,$U149),55),""))</f>
        <v/>
      </c>
      <c r="M149" s="129" t="str">
        <f aca="false">IF($U149="","",IF(INDEX('MiT Strom Pipeline'!$AF$1:$AF$860,$U149)="","",INDEX('MiT Strom Pipeline'!$AF$1:$AF$860,$U149)))</f>
        <v/>
      </c>
      <c r="N149" s="129" t="str">
        <f aca="false">IF($U149="","",IF(INDEX('MiT Strom Pipeline'!$BB$1:$BB$860,$U149)="","",INDEX('MiT Strom Pipeline'!$BB$1:$BB$860,$U149)))</f>
        <v/>
      </c>
      <c r="O149" s="112"/>
      <c r="P149" s="112"/>
      <c r="Q149" s="112"/>
      <c r="R149" s="112"/>
      <c r="S149" s="112"/>
      <c r="U149" s="1" t="str">
        <f aca="false">IFERROR(MATCH(11,'MiT Strom Pipeline'!$AO$6:$AO$860,0)+5,"")</f>
        <v/>
      </c>
    </row>
    <row r="150" customFormat="false" ht="15.75" hidden="false" customHeight="true" outlineLevel="0" collapsed="false">
      <c r="A150" s="128" t="str">
        <f aca="false">IF($U150="","",IF(ISNUMBER(INDEX('MiT Strom Pipeline'!$A$1:$A$860,$U150)),INDEX('MiT Strom Pipeline'!$A$1:$A$860,$U150),""))</f>
        <v/>
      </c>
      <c r="B150" s="129" t="str">
        <f aca="false">IF($U150="","",IF(INDEX('MiT Strom Pipeline'!$B$1:$B$860,$U150)="","",INDEX('MiT Strom Pipeline'!$B$1:$B$860,$U150)))</f>
        <v/>
      </c>
      <c r="C150" s="130" t="str">
        <f aca="false">IF($U150="","",IF(INDEX('MiT Strom Pipeline'!$C$1:$C$860,$U150)="","",INDEX('MiT Strom Pipeline'!$C$1:$C$860,$U150)))</f>
        <v/>
      </c>
      <c r="D150" s="129" t="str">
        <f aca="false">IF($U150="","",IF(INDEX('MiT Strom Pipeline'!$D$1:$D$860,$U150)="","",INDEX('MiT Strom Pipeline'!$D$1:$D$860,$U150)))</f>
        <v/>
      </c>
      <c r="E150" s="131" t="str">
        <f aca="false">IF($U150="","",IF(ISNUMBER(INDEX('MiT Strom Pipeline'!$O$1:$O$860,$U150)),INDEX('MiT Strom Pipeline'!$O$1:$O$860,$U150),IF(INDEX('MiT Strom Pipeline'!$H$1:$H$860,$U150)="","",INDEX('MiT Strom Pipeline'!$H$1:$H$860,$U150))))</f>
        <v/>
      </c>
      <c r="F150" s="131" t="str">
        <f aca="false">IF($U150="","",IF(ISNUMBER(INDEX('MiT Strom Pipeline'!$P$1:$P$860,$U150)),INDEX('MiT Strom Pipeline'!$P$1:$P$860,$U150),""))</f>
        <v/>
      </c>
      <c r="G150" s="132" t="str">
        <f aca="false">IF($U150="","",IF(ISNUMBER(INDEX('MiT Strom Pipeline'!$I$1:$I$860,$U150)),INDEX('MiT Strom Pipeline'!$I$1:$I$860,$U150),0))</f>
        <v/>
      </c>
      <c r="H150" s="132" t="str">
        <f aca="false">IF($U150="","",IF(ISNUMBER(INDEX('MiT Strom Pipeline'!$Q$1:$Q$860,$U150)),INDEX('MiT Strom Pipeline'!$Q$1:$Q$860,$U150),0))</f>
        <v/>
      </c>
      <c r="I150" s="129" t="str">
        <f aca="false">IF($U150="","",IF(INDEX('MiT Strom Pipeline'!$E$1:$E$860,$U150)="","",INDEX('MiT Strom Pipeline'!$E$1:$E$860,$U150)))</f>
        <v/>
      </c>
      <c r="J150" s="130" t="str">
        <f aca="false">IF($U150="","",INDEX('MiT Strom Pipeline'!$R$1:$R$860,$U150))</f>
        <v/>
      </c>
      <c r="K150" s="133" t="str">
        <f aca="false">IF($U150="","",IF(ISNUMBER(INDEX('MiT Strom Pipeline'!$S$1:$S$860,$U150)),INDEX('MiT Strom Pipeline'!$S$1:$S$860,$U150),""))</f>
        <v/>
      </c>
      <c r="L150" s="129" t="str">
        <f aca="false">IF($U150="","",IF(LEN(INDEX('MiT Strom Pipeline'!$V$1:$V$860,$U150))&gt;0,LEFT(INDEX('MiT Strom Pipeline'!$V$1:$V$860,$U150),55),""))</f>
        <v/>
      </c>
      <c r="M150" s="129" t="str">
        <f aca="false">IF($U150="","",IF(INDEX('MiT Strom Pipeline'!$AF$1:$AF$860,$U150)="","",INDEX('MiT Strom Pipeline'!$AF$1:$AF$860,$U150)))</f>
        <v/>
      </c>
      <c r="N150" s="129" t="str">
        <f aca="false">IF($U150="","",IF(INDEX('MiT Strom Pipeline'!$BB$1:$BB$860,$U150)="","",INDEX('MiT Strom Pipeline'!$BB$1:$BB$860,$U150)))</f>
        <v/>
      </c>
      <c r="O150" s="112"/>
      <c r="P150" s="112"/>
      <c r="Q150" s="112"/>
      <c r="R150" s="112"/>
      <c r="S150" s="112"/>
      <c r="U150" s="1" t="str">
        <f aca="false">IFERROR(MATCH(12,'MiT Strom Pipeline'!$AO$6:$AO$860,0)+5,"")</f>
        <v/>
      </c>
    </row>
    <row r="151" customFormat="false" ht="15.75" hidden="false" customHeight="true" outlineLevel="0" collapsed="false">
      <c r="A151" s="128" t="str">
        <f aca="false">IF($U151="","",IF(ISNUMBER(INDEX('MiT Strom Pipeline'!$A$1:$A$860,$U151)),INDEX('MiT Strom Pipeline'!$A$1:$A$860,$U151),""))</f>
        <v/>
      </c>
      <c r="B151" s="129" t="str">
        <f aca="false">IF($U151="","",IF(INDEX('MiT Strom Pipeline'!$B$1:$B$860,$U151)="","",INDEX('MiT Strom Pipeline'!$B$1:$B$860,$U151)))</f>
        <v/>
      </c>
      <c r="C151" s="130" t="str">
        <f aca="false">IF($U151="","",IF(INDEX('MiT Strom Pipeline'!$C$1:$C$860,$U151)="","",INDEX('MiT Strom Pipeline'!$C$1:$C$860,$U151)))</f>
        <v/>
      </c>
      <c r="D151" s="129" t="str">
        <f aca="false">IF($U151="","",IF(INDEX('MiT Strom Pipeline'!$D$1:$D$860,$U151)="","",INDEX('MiT Strom Pipeline'!$D$1:$D$860,$U151)))</f>
        <v/>
      </c>
      <c r="E151" s="131" t="str">
        <f aca="false">IF($U151="","",IF(ISNUMBER(INDEX('MiT Strom Pipeline'!$O$1:$O$860,$U151)),INDEX('MiT Strom Pipeline'!$O$1:$O$860,$U151),IF(INDEX('MiT Strom Pipeline'!$H$1:$H$860,$U151)="","",INDEX('MiT Strom Pipeline'!$H$1:$H$860,$U151))))</f>
        <v/>
      </c>
      <c r="F151" s="131" t="str">
        <f aca="false">IF($U151="","",IF(ISNUMBER(INDEX('MiT Strom Pipeline'!$P$1:$P$860,$U151)),INDEX('MiT Strom Pipeline'!$P$1:$P$860,$U151),""))</f>
        <v/>
      </c>
      <c r="G151" s="132" t="str">
        <f aca="false">IF($U151="","",IF(ISNUMBER(INDEX('MiT Strom Pipeline'!$I$1:$I$860,$U151)),INDEX('MiT Strom Pipeline'!$I$1:$I$860,$U151),0))</f>
        <v/>
      </c>
      <c r="H151" s="132" t="str">
        <f aca="false">IF($U151="","",IF(ISNUMBER(INDEX('MiT Strom Pipeline'!$Q$1:$Q$860,$U151)),INDEX('MiT Strom Pipeline'!$Q$1:$Q$860,$U151),0))</f>
        <v/>
      </c>
      <c r="I151" s="129" t="str">
        <f aca="false">IF($U151="","",IF(INDEX('MiT Strom Pipeline'!$E$1:$E$860,$U151)="","",INDEX('MiT Strom Pipeline'!$E$1:$E$860,$U151)))</f>
        <v/>
      </c>
      <c r="J151" s="130" t="str">
        <f aca="false">IF($U151="","",INDEX('MiT Strom Pipeline'!$R$1:$R$860,$U151))</f>
        <v/>
      </c>
      <c r="K151" s="133" t="str">
        <f aca="false">IF($U151="","",IF(ISNUMBER(INDEX('MiT Strom Pipeline'!$S$1:$S$860,$U151)),INDEX('MiT Strom Pipeline'!$S$1:$S$860,$U151),""))</f>
        <v/>
      </c>
      <c r="L151" s="129" t="str">
        <f aca="false">IF($U151="","",IF(LEN(INDEX('MiT Strom Pipeline'!$V$1:$V$860,$U151))&gt;0,LEFT(INDEX('MiT Strom Pipeline'!$V$1:$V$860,$U151),55),""))</f>
        <v/>
      </c>
      <c r="M151" s="129" t="str">
        <f aca="false">IF($U151="","",IF(INDEX('MiT Strom Pipeline'!$AF$1:$AF$860,$U151)="","",INDEX('MiT Strom Pipeline'!$AF$1:$AF$860,$U151)))</f>
        <v/>
      </c>
      <c r="N151" s="129" t="str">
        <f aca="false">IF($U151="","",IF(INDEX('MiT Strom Pipeline'!$BB$1:$BB$860,$U151)="","",INDEX('MiT Strom Pipeline'!$BB$1:$BB$860,$U151)))</f>
        <v/>
      </c>
      <c r="O151" s="112"/>
      <c r="P151" s="112"/>
      <c r="Q151" s="112"/>
      <c r="R151" s="112"/>
      <c r="S151" s="112"/>
      <c r="U151" s="1" t="str">
        <f aca="false">IFERROR(MATCH(13,'MiT Strom Pipeline'!$AO$6:$AO$860,0)+5,"")</f>
        <v/>
      </c>
    </row>
    <row r="152" customFormat="false" ht="15.75" hidden="false" customHeight="true" outlineLevel="0" collapsed="false">
      <c r="A152" s="128" t="str">
        <f aca="false">IF($U152="","",IF(ISNUMBER(INDEX('MiT Strom Pipeline'!$A$1:$A$860,$U152)),INDEX('MiT Strom Pipeline'!$A$1:$A$860,$U152),""))</f>
        <v/>
      </c>
      <c r="B152" s="129" t="str">
        <f aca="false">IF($U152="","",IF(INDEX('MiT Strom Pipeline'!$B$1:$B$860,$U152)="","",INDEX('MiT Strom Pipeline'!$B$1:$B$860,$U152)))</f>
        <v/>
      </c>
      <c r="C152" s="130" t="str">
        <f aca="false">IF($U152="","",IF(INDEX('MiT Strom Pipeline'!$C$1:$C$860,$U152)="","",INDEX('MiT Strom Pipeline'!$C$1:$C$860,$U152)))</f>
        <v/>
      </c>
      <c r="D152" s="129" t="str">
        <f aca="false">IF($U152="","",IF(INDEX('MiT Strom Pipeline'!$D$1:$D$860,$U152)="","",INDEX('MiT Strom Pipeline'!$D$1:$D$860,$U152)))</f>
        <v/>
      </c>
      <c r="E152" s="131" t="str">
        <f aca="false">IF($U152="","",IF(ISNUMBER(INDEX('MiT Strom Pipeline'!$O$1:$O$860,$U152)),INDEX('MiT Strom Pipeline'!$O$1:$O$860,$U152),IF(INDEX('MiT Strom Pipeline'!$H$1:$H$860,$U152)="","",INDEX('MiT Strom Pipeline'!$H$1:$H$860,$U152))))</f>
        <v/>
      </c>
      <c r="F152" s="131" t="str">
        <f aca="false">IF($U152="","",IF(ISNUMBER(INDEX('MiT Strom Pipeline'!$P$1:$P$860,$U152)),INDEX('MiT Strom Pipeline'!$P$1:$P$860,$U152),""))</f>
        <v/>
      </c>
      <c r="G152" s="132" t="str">
        <f aca="false">IF($U152="","",IF(ISNUMBER(INDEX('MiT Strom Pipeline'!$I$1:$I$860,$U152)),INDEX('MiT Strom Pipeline'!$I$1:$I$860,$U152),0))</f>
        <v/>
      </c>
      <c r="H152" s="132" t="str">
        <f aca="false">IF($U152="","",IF(ISNUMBER(INDEX('MiT Strom Pipeline'!$Q$1:$Q$860,$U152)),INDEX('MiT Strom Pipeline'!$Q$1:$Q$860,$U152),0))</f>
        <v/>
      </c>
      <c r="I152" s="129" t="str">
        <f aca="false">IF($U152="","",IF(INDEX('MiT Strom Pipeline'!$E$1:$E$860,$U152)="","",INDEX('MiT Strom Pipeline'!$E$1:$E$860,$U152)))</f>
        <v/>
      </c>
      <c r="J152" s="130" t="str">
        <f aca="false">IF($U152="","",INDEX('MiT Strom Pipeline'!$R$1:$R$860,$U152))</f>
        <v/>
      </c>
      <c r="K152" s="133" t="str">
        <f aca="false">IF($U152="","",IF(ISNUMBER(INDEX('MiT Strom Pipeline'!$S$1:$S$860,$U152)),INDEX('MiT Strom Pipeline'!$S$1:$S$860,$U152),""))</f>
        <v/>
      </c>
      <c r="L152" s="129" t="str">
        <f aca="false">IF($U152="","",IF(LEN(INDEX('MiT Strom Pipeline'!$V$1:$V$860,$U152))&gt;0,LEFT(INDEX('MiT Strom Pipeline'!$V$1:$V$860,$U152),55),""))</f>
        <v/>
      </c>
      <c r="M152" s="129" t="str">
        <f aca="false">IF($U152="","",IF(INDEX('MiT Strom Pipeline'!$AF$1:$AF$860,$U152)="","",INDEX('MiT Strom Pipeline'!$AF$1:$AF$860,$U152)))</f>
        <v/>
      </c>
      <c r="N152" s="129" t="str">
        <f aca="false">IF($U152="","",IF(INDEX('MiT Strom Pipeline'!$BB$1:$BB$860,$U152)="","",INDEX('MiT Strom Pipeline'!$BB$1:$BB$860,$U152)))</f>
        <v/>
      </c>
      <c r="O152" s="112"/>
      <c r="P152" s="112"/>
      <c r="Q152" s="112"/>
      <c r="R152" s="112"/>
      <c r="S152" s="112"/>
      <c r="U152" s="1" t="str">
        <f aca="false">IFERROR(MATCH(14,'MiT Strom Pipeline'!$AO$6:$AO$860,0)+5,"")</f>
        <v/>
      </c>
    </row>
    <row r="153" customFormat="false" ht="15.75" hidden="false" customHeight="true" outlineLevel="0" collapsed="false">
      <c r="A153" s="128" t="str">
        <f aca="false">IF($U153="","",IF(ISNUMBER(INDEX('MiT Strom Pipeline'!$A$1:$A$860,$U153)),INDEX('MiT Strom Pipeline'!$A$1:$A$860,$U153),""))</f>
        <v/>
      </c>
      <c r="B153" s="129" t="str">
        <f aca="false">IF($U153="","",IF(INDEX('MiT Strom Pipeline'!$B$1:$B$860,$U153)="","",INDEX('MiT Strom Pipeline'!$B$1:$B$860,$U153)))</f>
        <v/>
      </c>
      <c r="C153" s="130" t="str">
        <f aca="false">IF($U153="","",IF(INDEX('MiT Strom Pipeline'!$C$1:$C$860,$U153)="","",INDEX('MiT Strom Pipeline'!$C$1:$C$860,$U153)))</f>
        <v/>
      </c>
      <c r="D153" s="129" t="str">
        <f aca="false">IF($U153="","",IF(INDEX('MiT Strom Pipeline'!$D$1:$D$860,$U153)="","",INDEX('MiT Strom Pipeline'!$D$1:$D$860,$U153)))</f>
        <v/>
      </c>
      <c r="E153" s="131" t="str">
        <f aca="false">IF($U153="","",IF(ISNUMBER(INDEX('MiT Strom Pipeline'!$O$1:$O$860,$U153)),INDEX('MiT Strom Pipeline'!$O$1:$O$860,$U153),IF(INDEX('MiT Strom Pipeline'!$H$1:$H$860,$U153)="","",INDEX('MiT Strom Pipeline'!$H$1:$H$860,$U153))))</f>
        <v/>
      </c>
      <c r="F153" s="131" t="str">
        <f aca="false">IF($U153="","",IF(ISNUMBER(INDEX('MiT Strom Pipeline'!$P$1:$P$860,$U153)),INDEX('MiT Strom Pipeline'!$P$1:$P$860,$U153),""))</f>
        <v/>
      </c>
      <c r="G153" s="132" t="str">
        <f aca="false">IF($U153="","",IF(ISNUMBER(INDEX('MiT Strom Pipeline'!$I$1:$I$860,$U153)),INDEX('MiT Strom Pipeline'!$I$1:$I$860,$U153),0))</f>
        <v/>
      </c>
      <c r="H153" s="132" t="str">
        <f aca="false">IF($U153="","",IF(ISNUMBER(INDEX('MiT Strom Pipeline'!$Q$1:$Q$860,$U153)),INDEX('MiT Strom Pipeline'!$Q$1:$Q$860,$U153),0))</f>
        <v/>
      </c>
      <c r="I153" s="129" t="str">
        <f aca="false">IF($U153="","",IF(INDEX('MiT Strom Pipeline'!$E$1:$E$860,$U153)="","",INDEX('MiT Strom Pipeline'!$E$1:$E$860,$U153)))</f>
        <v/>
      </c>
      <c r="J153" s="130" t="str">
        <f aca="false">IF($U153="","",INDEX('MiT Strom Pipeline'!$R$1:$R$860,$U153))</f>
        <v/>
      </c>
      <c r="K153" s="133" t="str">
        <f aca="false">IF($U153="","",IF(ISNUMBER(INDEX('MiT Strom Pipeline'!$S$1:$S$860,$U153)),INDEX('MiT Strom Pipeline'!$S$1:$S$860,$U153),""))</f>
        <v/>
      </c>
      <c r="L153" s="129" t="str">
        <f aca="false">IF($U153="","",IF(LEN(INDEX('MiT Strom Pipeline'!$V$1:$V$860,$U153))&gt;0,LEFT(INDEX('MiT Strom Pipeline'!$V$1:$V$860,$U153),55),""))</f>
        <v/>
      </c>
      <c r="M153" s="129" t="str">
        <f aca="false">IF($U153="","",IF(INDEX('MiT Strom Pipeline'!$AF$1:$AF$860,$U153)="","",INDEX('MiT Strom Pipeline'!$AF$1:$AF$860,$U153)))</f>
        <v/>
      </c>
      <c r="N153" s="129" t="str">
        <f aca="false">IF($U153="","",IF(INDEX('MiT Strom Pipeline'!$BB$1:$BB$860,$U153)="","",INDEX('MiT Strom Pipeline'!$BB$1:$BB$860,$U153)))</f>
        <v/>
      </c>
      <c r="O153" s="112"/>
      <c r="P153" s="112"/>
      <c r="Q153" s="112"/>
      <c r="R153" s="112"/>
      <c r="S153" s="112"/>
      <c r="U153" s="1" t="str">
        <f aca="false">IFERROR(MATCH(15,'MiT Strom Pipeline'!$AO$6:$AO$860,0)+5,"")</f>
        <v/>
      </c>
    </row>
    <row r="154" customFormat="false" ht="15.75" hidden="false" customHeight="true" outlineLevel="0" collapsed="false">
      <c r="A154" s="128" t="str">
        <f aca="false">IF($U154="","",IF(ISNUMBER(INDEX('MiT Strom Pipeline'!$A$1:$A$860,$U154)),INDEX('MiT Strom Pipeline'!$A$1:$A$860,$U154),""))</f>
        <v/>
      </c>
      <c r="B154" s="129" t="str">
        <f aca="false">IF($U154="","",IF(INDEX('MiT Strom Pipeline'!$B$1:$B$860,$U154)="","",INDEX('MiT Strom Pipeline'!$B$1:$B$860,$U154)))</f>
        <v/>
      </c>
      <c r="C154" s="130" t="str">
        <f aca="false">IF($U154="","",IF(INDEX('MiT Strom Pipeline'!$C$1:$C$860,$U154)="","",INDEX('MiT Strom Pipeline'!$C$1:$C$860,$U154)))</f>
        <v/>
      </c>
      <c r="D154" s="129" t="str">
        <f aca="false">IF($U154="","",IF(INDEX('MiT Strom Pipeline'!$D$1:$D$860,$U154)="","",INDEX('MiT Strom Pipeline'!$D$1:$D$860,$U154)))</f>
        <v/>
      </c>
      <c r="E154" s="131" t="str">
        <f aca="false">IF($U154="","",IF(ISNUMBER(INDEX('MiT Strom Pipeline'!$O$1:$O$860,$U154)),INDEX('MiT Strom Pipeline'!$O$1:$O$860,$U154),IF(INDEX('MiT Strom Pipeline'!$H$1:$H$860,$U154)="","",INDEX('MiT Strom Pipeline'!$H$1:$H$860,$U154))))</f>
        <v/>
      </c>
      <c r="F154" s="131" t="str">
        <f aca="false">IF($U154="","",IF(ISNUMBER(INDEX('MiT Strom Pipeline'!$P$1:$P$860,$U154)),INDEX('MiT Strom Pipeline'!$P$1:$P$860,$U154),""))</f>
        <v/>
      </c>
      <c r="G154" s="132" t="str">
        <f aca="false">IF($U154="","",IF(ISNUMBER(INDEX('MiT Strom Pipeline'!$I$1:$I$860,$U154)),INDEX('MiT Strom Pipeline'!$I$1:$I$860,$U154),0))</f>
        <v/>
      </c>
      <c r="H154" s="132" t="str">
        <f aca="false">IF($U154="","",IF(ISNUMBER(INDEX('MiT Strom Pipeline'!$Q$1:$Q$860,$U154)),INDEX('MiT Strom Pipeline'!$Q$1:$Q$860,$U154),0))</f>
        <v/>
      </c>
      <c r="I154" s="129" t="str">
        <f aca="false">IF($U154="","",IF(INDEX('MiT Strom Pipeline'!$E$1:$E$860,$U154)="","",INDEX('MiT Strom Pipeline'!$E$1:$E$860,$U154)))</f>
        <v/>
      </c>
      <c r="J154" s="130" t="str">
        <f aca="false">IF($U154="","",INDEX('MiT Strom Pipeline'!$R$1:$R$860,$U154))</f>
        <v/>
      </c>
      <c r="K154" s="133" t="str">
        <f aca="false">IF($U154="","",IF(ISNUMBER(INDEX('MiT Strom Pipeline'!$S$1:$S$860,$U154)),INDEX('MiT Strom Pipeline'!$S$1:$S$860,$U154),""))</f>
        <v/>
      </c>
      <c r="L154" s="129" t="str">
        <f aca="false">IF($U154="","",IF(LEN(INDEX('MiT Strom Pipeline'!$V$1:$V$860,$U154))&gt;0,LEFT(INDEX('MiT Strom Pipeline'!$V$1:$V$860,$U154),55),""))</f>
        <v/>
      </c>
      <c r="M154" s="129" t="str">
        <f aca="false">IF($U154="","",IF(INDEX('MiT Strom Pipeline'!$AF$1:$AF$860,$U154)="","",INDEX('MiT Strom Pipeline'!$AF$1:$AF$860,$U154)))</f>
        <v/>
      </c>
      <c r="N154" s="129" t="str">
        <f aca="false">IF($U154="","",IF(INDEX('MiT Strom Pipeline'!$BB$1:$BB$860,$U154)="","",INDEX('MiT Strom Pipeline'!$BB$1:$BB$860,$U154)))</f>
        <v/>
      </c>
      <c r="O154" s="112"/>
      <c r="P154" s="112"/>
      <c r="Q154" s="112"/>
      <c r="R154" s="112"/>
      <c r="S154" s="112"/>
      <c r="U154" s="1" t="str">
        <f aca="false">IFERROR(MATCH(16,'MiT Strom Pipeline'!$AO$6:$AO$860,0)+5,"")</f>
        <v/>
      </c>
    </row>
    <row r="155" customFormat="false" ht="15.75" hidden="false" customHeight="true" outlineLevel="0" collapsed="false">
      <c r="A155" s="128" t="str">
        <f aca="false">IF($U155="","",IF(ISNUMBER(INDEX('MiT Strom Pipeline'!$A$1:$A$860,$U155)),INDEX('MiT Strom Pipeline'!$A$1:$A$860,$U155),""))</f>
        <v/>
      </c>
      <c r="B155" s="129" t="str">
        <f aca="false">IF($U155="","",IF(INDEX('MiT Strom Pipeline'!$B$1:$B$860,$U155)="","",INDEX('MiT Strom Pipeline'!$B$1:$B$860,$U155)))</f>
        <v/>
      </c>
      <c r="C155" s="130" t="str">
        <f aca="false">IF($U155="","",IF(INDEX('MiT Strom Pipeline'!$C$1:$C$860,$U155)="","",INDEX('MiT Strom Pipeline'!$C$1:$C$860,$U155)))</f>
        <v/>
      </c>
      <c r="D155" s="129" t="str">
        <f aca="false">IF($U155="","",IF(INDEX('MiT Strom Pipeline'!$D$1:$D$860,$U155)="","",INDEX('MiT Strom Pipeline'!$D$1:$D$860,$U155)))</f>
        <v/>
      </c>
      <c r="E155" s="131" t="str">
        <f aca="false">IF($U155="","",IF(ISNUMBER(INDEX('MiT Strom Pipeline'!$O$1:$O$860,$U155)),INDEX('MiT Strom Pipeline'!$O$1:$O$860,$U155),IF(INDEX('MiT Strom Pipeline'!$H$1:$H$860,$U155)="","",INDEX('MiT Strom Pipeline'!$H$1:$H$860,$U155))))</f>
        <v/>
      </c>
      <c r="F155" s="131" t="str">
        <f aca="false">IF($U155="","",IF(ISNUMBER(INDEX('MiT Strom Pipeline'!$P$1:$P$860,$U155)),INDEX('MiT Strom Pipeline'!$P$1:$P$860,$U155),""))</f>
        <v/>
      </c>
      <c r="G155" s="132" t="str">
        <f aca="false">IF($U155="","",IF(ISNUMBER(INDEX('MiT Strom Pipeline'!$I$1:$I$860,$U155)),INDEX('MiT Strom Pipeline'!$I$1:$I$860,$U155),0))</f>
        <v/>
      </c>
      <c r="H155" s="132" t="str">
        <f aca="false">IF($U155="","",IF(ISNUMBER(INDEX('MiT Strom Pipeline'!$Q$1:$Q$860,$U155)),INDEX('MiT Strom Pipeline'!$Q$1:$Q$860,$U155),0))</f>
        <v/>
      </c>
      <c r="I155" s="129" t="str">
        <f aca="false">IF($U155="","",IF(INDEX('MiT Strom Pipeline'!$E$1:$E$860,$U155)="","",INDEX('MiT Strom Pipeline'!$E$1:$E$860,$U155)))</f>
        <v/>
      </c>
      <c r="J155" s="130" t="str">
        <f aca="false">IF($U155="","",INDEX('MiT Strom Pipeline'!$R$1:$R$860,$U155))</f>
        <v/>
      </c>
      <c r="K155" s="133" t="str">
        <f aca="false">IF($U155="","",IF(ISNUMBER(INDEX('MiT Strom Pipeline'!$S$1:$S$860,$U155)),INDEX('MiT Strom Pipeline'!$S$1:$S$860,$U155),""))</f>
        <v/>
      </c>
      <c r="L155" s="129" t="str">
        <f aca="false">IF($U155="","",IF(LEN(INDEX('MiT Strom Pipeline'!$V$1:$V$860,$U155))&gt;0,LEFT(INDEX('MiT Strom Pipeline'!$V$1:$V$860,$U155),55),""))</f>
        <v/>
      </c>
      <c r="M155" s="129" t="str">
        <f aca="false">IF($U155="","",IF(INDEX('MiT Strom Pipeline'!$AF$1:$AF$860,$U155)="","",INDEX('MiT Strom Pipeline'!$AF$1:$AF$860,$U155)))</f>
        <v/>
      </c>
      <c r="N155" s="129" t="str">
        <f aca="false">IF($U155="","",IF(INDEX('MiT Strom Pipeline'!$BB$1:$BB$860,$U155)="","",INDEX('MiT Strom Pipeline'!$BB$1:$BB$860,$U155)))</f>
        <v/>
      </c>
      <c r="O155" s="112"/>
      <c r="P155" s="112"/>
      <c r="Q155" s="112"/>
      <c r="R155" s="112"/>
      <c r="S155" s="112"/>
      <c r="U155" s="1" t="str">
        <f aca="false">IFERROR(MATCH(17,'MiT Strom Pipeline'!$AO$6:$AO$860,0)+5,"")</f>
        <v/>
      </c>
    </row>
    <row r="156" customFormat="false" ht="15.75" hidden="false" customHeight="true" outlineLevel="0" collapsed="false">
      <c r="A156" s="128" t="str">
        <f aca="false">IF($U156="","",IF(ISNUMBER(INDEX('MiT Strom Pipeline'!$A$1:$A$860,$U156)),INDEX('MiT Strom Pipeline'!$A$1:$A$860,$U156),""))</f>
        <v/>
      </c>
      <c r="B156" s="129" t="str">
        <f aca="false">IF($U156="","",IF(INDEX('MiT Strom Pipeline'!$B$1:$B$860,$U156)="","",INDEX('MiT Strom Pipeline'!$B$1:$B$860,$U156)))</f>
        <v/>
      </c>
      <c r="C156" s="130" t="str">
        <f aca="false">IF($U156="","",IF(INDEX('MiT Strom Pipeline'!$C$1:$C$860,$U156)="","",INDEX('MiT Strom Pipeline'!$C$1:$C$860,$U156)))</f>
        <v/>
      </c>
      <c r="D156" s="129" t="str">
        <f aca="false">IF($U156="","",IF(INDEX('MiT Strom Pipeline'!$D$1:$D$860,$U156)="","",INDEX('MiT Strom Pipeline'!$D$1:$D$860,$U156)))</f>
        <v/>
      </c>
      <c r="E156" s="131" t="str">
        <f aca="false">IF($U156="","",IF(ISNUMBER(INDEX('MiT Strom Pipeline'!$O$1:$O$860,$U156)),INDEX('MiT Strom Pipeline'!$O$1:$O$860,$U156),IF(INDEX('MiT Strom Pipeline'!$H$1:$H$860,$U156)="","",INDEX('MiT Strom Pipeline'!$H$1:$H$860,$U156))))</f>
        <v/>
      </c>
      <c r="F156" s="131" t="str">
        <f aca="false">IF($U156="","",IF(ISNUMBER(INDEX('MiT Strom Pipeline'!$P$1:$P$860,$U156)),INDEX('MiT Strom Pipeline'!$P$1:$P$860,$U156),""))</f>
        <v/>
      </c>
      <c r="G156" s="132" t="str">
        <f aca="false">IF($U156="","",IF(ISNUMBER(INDEX('MiT Strom Pipeline'!$I$1:$I$860,$U156)),INDEX('MiT Strom Pipeline'!$I$1:$I$860,$U156),0))</f>
        <v/>
      </c>
      <c r="H156" s="132" t="str">
        <f aca="false">IF($U156="","",IF(ISNUMBER(INDEX('MiT Strom Pipeline'!$Q$1:$Q$860,$U156)),INDEX('MiT Strom Pipeline'!$Q$1:$Q$860,$U156),0))</f>
        <v/>
      </c>
      <c r="I156" s="129" t="str">
        <f aca="false">IF($U156="","",IF(INDEX('MiT Strom Pipeline'!$E$1:$E$860,$U156)="","",INDEX('MiT Strom Pipeline'!$E$1:$E$860,$U156)))</f>
        <v/>
      </c>
      <c r="J156" s="130" t="str">
        <f aca="false">IF($U156="","",INDEX('MiT Strom Pipeline'!$R$1:$R$860,$U156))</f>
        <v/>
      </c>
      <c r="K156" s="133" t="str">
        <f aca="false">IF($U156="","",IF(ISNUMBER(INDEX('MiT Strom Pipeline'!$S$1:$S$860,$U156)),INDEX('MiT Strom Pipeline'!$S$1:$S$860,$U156),""))</f>
        <v/>
      </c>
      <c r="L156" s="129" t="str">
        <f aca="false">IF($U156="","",IF(LEN(INDEX('MiT Strom Pipeline'!$V$1:$V$860,$U156))&gt;0,LEFT(INDEX('MiT Strom Pipeline'!$V$1:$V$860,$U156),55),""))</f>
        <v/>
      </c>
      <c r="M156" s="129" t="str">
        <f aca="false">IF($U156="","",IF(INDEX('MiT Strom Pipeline'!$AF$1:$AF$860,$U156)="","",INDEX('MiT Strom Pipeline'!$AF$1:$AF$860,$U156)))</f>
        <v/>
      </c>
      <c r="N156" s="129" t="str">
        <f aca="false">IF($U156="","",IF(INDEX('MiT Strom Pipeline'!$BB$1:$BB$860,$U156)="","",INDEX('MiT Strom Pipeline'!$BB$1:$BB$860,$U156)))</f>
        <v/>
      </c>
      <c r="O156" s="112"/>
      <c r="P156" s="112"/>
      <c r="Q156" s="112"/>
      <c r="R156" s="112"/>
      <c r="S156" s="112"/>
      <c r="U156" s="1" t="str">
        <f aca="false">IFERROR(MATCH(18,'MiT Strom Pipeline'!$AO$6:$AO$860,0)+5,"")</f>
        <v/>
      </c>
    </row>
    <row r="157" customFormat="false" ht="15.75" hidden="false" customHeight="true" outlineLevel="0" collapsed="false">
      <c r="A157" s="128" t="str">
        <f aca="false">IF($U157="","",IF(ISNUMBER(INDEX('MiT Strom Pipeline'!$A$1:$A$860,$U157)),INDEX('MiT Strom Pipeline'!$A$1:$A$860,$U157),""))</f>
        <v/>
      </c>
      <c r="B157" s="129" t="str">
        <f aca="false">IF($U157="","",IF(INDEX('MiT Strom Pipeline'!$B$1:$B$860,$U157)="","",INDEX('MiT Strom Pipeline'!$B$1:$B$860,$U157)))</f>
        <v/>
      </c>
      <c r="C157" s="130" t="str">
        <f aca="false">IF($U157="","",IF(INDEX('MiT Strom Pipeline'!$C$1:$C$860,$U157)="","",INDEX('MiT Strom Pipeline'!$C$1:$C$860,$U157)))</f>
        <v/>
      </c>
      <c r="D157" s="129" t="str">
        <f aca="false">IF($U157="","",IF(INDEX('MiT Strom Pipeline'!$D$1:$D$860,$U157)="","",INDEX('MiT Strom Pipeline'!$D$1:$D$860,$U157)))</f>
        <v/>
      </c>
      <c r="E157" s="131" t="str">
        <f aca="false">IF($U157="","",IF(ISNUMBER(INDEX('MiT Strom Pipeline'!$O$1:$O$860,$U157)),INDEX('MiT Strom Pipeline'!$O$1:$O$860,$U157),IF(INDEX('MiT Strom Pipeline'!$H$1:$H$860,$U157)="","",INDEX('MiT Strom Pipeline'!$H$1:$H$860,$U157))))</f>
        <v/>
      </c>
      <c r="F157" s="131" t="str">
        <f aca="false">IF($U157="","",IF(ISNUMBER(INDEX('MiT Strom Pipeline'!$P$1:$P$860,$U157)),INDEX('MiT Strom Pipeline'!$P$1:$P$860,$U157),""))</f>
        <v/>
      </c>
      <c r="G157" s="132" t="str">
        <f aca="false">IF($U157="","",IF(ISNUMBER(INDEX('MiT Strom Pipeline'!$I$1:$I$860,$U157)),INDEX('MiT Strom Pipeline'!$I$1:$I$860,$U157),0))</f>
        <v/>
      </c>
      <c r="H157" s="132" t="str">
        <f aca="false">IF($U157="","",IF(ISNUMBER(INDEX('MiT Strom Pipeline'!$Q$1:$Q$860,$U157)),INDEX('MiT Strom Pipeline'!$Q$1:$Q$860,$U157),0))</f>
        <v/>
      </c>
      <c r="I157" s="129" t="str">
        <f aca="false">IF($U157="","",IF(INDEX('MiT Strom Pipeline'!$E$1:$E$860,$U157)="","",INDEX('MiT Strom Pipeline'!$E$1:$E$860,$U157)))</f>
        <v/>
      </c>
      <c r="J157" s="130" t="str">
        <f aca="false">IF($U157="","",INDEX('MiT Strom Pipeline'!$R$1:$R$860,$U157))</f>
        <v/>
      </c>
      <c r="K157" s="133" t="str">
        <f aca="false">IF($U157="","",IF(ISNUMBER(INDEX('MiT Strom Pipeline'!$S$1:$S$860,$U157)),INDEX('MiT Strom Pipeline'!$S$1:$S$860,$U157),""))</f>
        <v/>
      </c>
      <c r="L157" s="129" t="str">
        <f aca="false">IF($U157="","",IF(LEN(INDEX('MiT Strom Pipeline'!$V$1:$V$860,$U157))&gt;0,LEFT(INDEX('MiT Strom Pipeline'!$V$1:$V$860,$U157),55),""))</f>
        <v/>
      </c>
      <c r="M157" s="129" t="str">
        <f aca="false">IF($U157="","",IF(INDEX('MiT Strom Pipeline'!$AF$1:$AF$860,$U157)="","",INDEX('MiT Strom Pipeline'!$AF$1:$AF$860,$U157)))</f>
        <v/>
      </c>
      <c r="N157" s="129" t="str">
        <f aca="false">IF($U157="","",IF(INDEX('MiT Strom Pipeline'!$BB$1:$BB$860,$U157)="","",INDEX('MiT Strom Pipeline'!$BB$1:$BB$860,$U157)))</f>
        <v/>
      </c>
      <c r="O157" s="112"/>
      <c r="P157" s="112"/>
      <c r="Q157" s="112"/>
      <c r="R157" s="112"/>
      <c r="S157" s="112"/>
      <c r="U157" s="1" t="str">
        <f aca="false">IFERROR(MATCH(19,'MiT Strom Pipeline'!$AO$6:$AO$860,0)+5,"")</f>
        <v/>
      </c>
    </row>
    <row r="158" customFormat="false" ht="15.75" hidden="false" customHeight="true" outlineLevel="0" collapsed="false">
      <c r="A158" s="128" t="str">
        <f aca="false">IF($U158="","",IF(ISNUMBER(INDEX('MiT Strom Pipeline'!$A$1:$A$860,$U158)),INDEX('MiT Strom Pipeline'!$A$1:$A$860,$U158),""))</f>
        <v/>
      </c>
      <c r="B158" s="129" t="str">
        <f aca="false">IF($U158="","",IF(INDEX('MiT Strom Pipeline'!$B$1:$B$860,$U158)="","",INDEX('MiT Strom Pipeline'!$B$1:$B$860,$U158)))</f>
        <v/>
      </c>
      <c r="C158" s="130" t="str">
        <f aca="false">IF($U158="","",IF(INDEX('MiT Strom Pipeline'!$C$1:$C$860,$U158)="","",INDEX('MiT Strom Pipeline'!$C$1:$C$860,$U158)))</f>
        <v/>
      </c>
      <c r="D158" s="129" t="str">
        <f aca="false">IF($U158="","",IF(INDEX('MiT Strom Pipeline'!$D$1:$D$860,$U158)="","",INDEX('MiT Strom Pipeline'!$D$1:$D$860,$U158)))</f>
        <v/>
      </c>
      <c r="E158" s="131" t="str">
        <f aca="false">IF($U158="","",IF(ISNUMBER(INDEX('MiT Strom Pipeline'!$O$1:$O$860,$U158)),INDEX('MiT Strom Pipeline'!$O$1:$O$860,$U158),IF(INDEX('MiT Strom Pipeline'!$H$1:$H$860,$U158)="","",INDEX('MiT Strom Pipeline'!$H$1:$H$860,$U158))))</f>
        <v/>
      </c>
      <c r="F158" s="131" t="str">
        <f aca="false">IF($U158="","",IF(ISNUMBER(INDEX('MiT Strom Pipeline'!$P$1:$P$860,$U158)),INDEX('MiT Strom Pipeline'!$P$1:$P$860,$U158),""))</f>
        <v/>
      </c>
      <c r="G158" s="132" t="str">
        <f aca="false">IF($U158="","",IF(ISNUMBER(INDEX('MiT Strom Pipeline'!$I$1:$I$860,$U158)),INDEX('MiT Strom Pipeline'!$I$1:$I$860,$U158),0))</f>
        <v/>
      </c>
      <c r="H158" s="132" t="str">
        <f aca="false">IF($U158="","",IF(ISNUMBER(INDEX('MiT Strom Pipeline'!$Q$1:$Q$860,$U158)),INDEX('MiT Strom Pipeline'!$Q$1:$Q$860,$U158),0))</f>
        <v/>
      </c>
      <c r="I158" s="129" t="str">
        <f aca="false">IF($U158="","",IF(INDEX('MiT Strom Pipeline'!$E$1:$E$860,$U158)="","",INDEX('MiT Strom Pipeline'!$E$1:$E$860,$U158)))</f>
        <v/>
      </c>
      <c r="J158" s="130" t="str">
        <f aca="false">IF($U158="","",INDEX('MiT Strom Pipeline'!$R$1:$R$860,$U158))</f>
        <v/>
      </c>
      <c r="K158" s="133" t="str">
        <f aca="false">IF($U158="","",IF(ISNUMBER(INDEX('MiT Strom Pipeline'!$S$1:$S$860,$U158)),INDEX('MiT Strom Pipeline'!$S$1:$S$860,$U158),""))</f>
        <v/>
      </c>
      <c r="L158" s="129" t="str">
        <f aca="false">IF($U158="","",IF(LEN(INDEX('MiT Strom Pipeline'!$V$1:$V$860,$U158))&gt;0,LEFT(INDEX('MiT Strom Pipeline'!$V$1:$V$860,$U158),55),""))</f>
        <v/>
      </c>
      <c r="M158" s="129" t="str">
        <f aca="false">IF($U158="","",IF(INDEX('MiT Strom Pipeline'!$AF$1:$AF$860,$U158)="","",INDEX('MiT Strom Pipeline'!$AF$1:$AF$860,$U158)))</f>
        <v/>
      </c>
      <c r="N158" s="129" t="str">
        <f aca="false">IF($U158="","",IF(INDEX('MiT Strom Pipeline'!$BB$1:$BB$860,$U158)="","",INDEX('MiT Strom Pipeline'!$BB$1:$BB$860,$U158)))</f>
        <v/>
      </c>
      <c r="O158" s="112"/>
      <c r="P158" s="112"/>
      <c r="Q158" s="112"/>
      <c r="R158" s="112"/>
      <c r="S158" s="112"/>
      <c r="U158" s="1" t="str">
        <f aca="false">IFERROR(MATCH(20,'MiT Strom Pipeline'!$AO$6:$AO$860,0)+5,"")</f>
        <v/>
      </c>
    </row>
    <row r="159" customFormat="false" ht="15.75" hidden="false" customHeight="true" outlineLevel="0" collapsed="false">
      <c r="A159" s="128" t="str">
        <f aca="false">IF($U159="","",IF(ISNUMBER(INDEX('MiT Strom Pipeline'!$A$1:$A$860,$U159)),INDEX('MiT Strom Pipeline'!$A$1:$A$860,$U159),""))</f>
        <v/>
      </c>
      <c r="B159" s="129" t="str">
        <f aca="false">IF($U159="","",IF(INDEX('MiT Strom Pipeline'!$B$1:$B$860,$U159)="","",INDEX('MiT Strom Pipeline'!$B$1:$B$860,$U159)))</f>
        <v/>
      </c>
      <c r="C159" s="130" t="str">
        <f aca="false">IF($U159="","",IF(INDEX('MiT Strom Pipeline'!$C$1:$C$860,$U159)="","",INDEX('MiT Strom Pipeline'!$C$1:$C$860,$U159)))</f>
        <v/>
      </c>
      <c r="D159" s="129" t="str">
        <f aca="false">IF($U159="","",IF(INDEX('MiT Strom Pipeline'!$D$1:$D$860,$U159)="","",INDEX('MiT Strom Pipeline'!$D$1:$D$860,$U159)))</f>
        <v/>
      </c>
      <c r="E159" s="131" t="str">
        <f aca="false">IF($U159="","",IF(ISNUMBER(INDEX('MiT Strom Pipeline'!$O$1:$O$860,$U159)),INDEX('MiT Strom Pipeline'!$O$1:$O$860,$U159),IF(INDEX('MiT Strom Pipeline'!$H$1:$H$860,$U159)="","",INDEX('MiT Strom Pipeline'!$H$1:$H$860,$U159))))</f>
        <v/>
      </c>
      <c r="F159" s="131" t="str">
        <f aca="false">IF($U159="","",IF(ISNUMBER(INDEX('MiT Strom Pipeline'!$P$1:$P$860,$U159)),INDEX('MiT Strom Pipeline'!$P$1:$P$860,$U159),""))</f>
        <v/>
      </c>
      <c r="G159" s="132" t="str">
        <f aca="false">IF($U159="","",IF(ISNUMBER(INDEX('MiT Strom Pipeline'!$I$1:$I$860,$U159)),INDEX('MiT Strom Pipeline'!$I$1:$I$860,$U159),0))</f>
        <v/>
      </c>
      <c r="H159" s="132" t="str">
        <f aca="false">IF($U159="","",IF(ISNUMBER(INDEX('MiT Strom Pipeline'!$Q$1:$Q$860,$U159)),INDEX('MiT Strom Pipeline'!$Q$1:$Q$860,$U159),0))</f>
        <v/>
      </c>
      <c r="I159" s="129" t="str">
        <f aca="false">IF($U159="","",IF(INDEX('MiT Strom Pipeline'!$E$1:$E$860,$U159)="","",INDEX('MiT Strom Pipeline'!$E$1:$E$860,$U159)))</f>
        <v/>
      </c>
      <c r="J159" s="130" t="str">
        <f aca="false">IF($U159="","",INDEX('MiT Strom Pipeline'!$R$1:$R$860,$U159))</f>
        <v/>
      </c>
      <c r="K159" s="133" t="str">
        <f aca="false">IF($U159="","",IF(ISNUMBER(INDEX('MiT Strom Pipeline'!$S$1:$S$860,$U159)),INDEX('MiT Strom Pipeline'!$S$1:$S$860,$U159),""))</f>
        <v/>
      </c>
      <c r="L159" s="129" t="str">
        <f aca="false">IF($U159="","",IF(LEN(INDEX('MiT Strom Pipeline'!$V$1:$V$860,$U159))&gt;0,LEFT(INDEX('MiT Strom Pipeline'!$V$1:$V$860,$U159),55),""))</f>
        <v/>
      </c>
      <c r="M159" s="129" t="str">
        <f aca="false">IF($U159="","",IF(INDEX('MiT Strom Pipeline'!$AF$1:$AF$860,$U159)="","",INDEX('MiT Strom Pipeline'!$AF$1:$AF$860,$U159)))</f>
        <v/>
      </c>
      <c r="N159" s="129" t="str">
        <f aca="false">IF($U159="","",IF(INDEX('MiT Strom Pipeline'!$BB$1:$BB$860,$U159)="","",INDEX('MiT Strom Pipeline'!$BB$1:$BB$860,$U159)))</f>
        <v/>
      </c>
      <c r="O159" s="112"/>
      <c r="P159" s="112"/>
      <c r="Q159" s="112"/>
      <c r="R159" s="112"/>
      <c r="S159" s="112"/>
      <c r="U159" s="1" t="str">
        <f aca="false">IFERROR(MATCH(21,'MiT Strom Pipeline'!$AO$6:$AO$860,0)+5,"")</f>
        <v/>
      </c>
    </row>
    <row r="160" customFormat="false" ht="15.75" hidden="false" customHeight="true" outlineLevel="0" collapsed="false">
      <c r="A160" s="128" t="str">
        <f aca="false">IF($U160="","",IF(ISNUMBER(INDEX('MiT Strom Pipeline'!$A$1:$A$860,$U160)),INDEX('MiT Strom Pipeline'!$A$1:$A$860,$U160),""))</f>
        <v/>
      </c>
      <c r="B160" s="129" t="str">
        <f aca="false">IF($U160="","",IF(INDEX('MiT Strom Pipeline'!$B$1:$B$860,$U160)="","",INDEX('MiT Strom Pipeline'!$B$1:$B$860,$U160)))</f>
        <v/>
      </c>
      <c r="C160" s="130" t="str">
        <f aca="false">IF($U160="","",IF(INDEX('MiT Strom Pipeline'!$C$1:$C$860,$U160)="","",INDEX('MiT Strom Pipeline'!$C$1:$C$860,$U160)))</f>
        <v/>
      </c>
      <c r="D160" s="129" t="str">
        <f aca="false">IF($U160="","",IF(INDEX('MiT Strom Pipeline'!$D$1:$D$860,$U160)="","",INDEX('MiT Strom Pipeline'!$D$1:$D$860,$U160)))</f>
        <v/>
      </c>
      <c r="E160" s="131" t="str">
        <f aca="false">IF($U160="","",IF(ISNUMBER(INDEX('MiT Strom Pipeline'!$O$1:$O$860,$U160)),INDEX('MiT Strom Pipeline'!$O$1:$O$860,$U160),IF(INDEX('MiT Strom Pipeline'!$H$1:$H$860,$U160)="","",INDEX('MiT Strom Pipeline'!$H$1:$H$860,$U160))))</f>
        <v/>
      </c>
      <c r="F160" s="131" t="str">
        <f aca="false">IF($U160="","",IF(ISNUMBER(INDEX('MiT Strom Pipeline'!$P$1:$P$860,$U160)),INDEX('MiT Strom Pipeline'!$P$1:$P$860,$U160),""))</f>
        <v/>
      </c>
      <c r="G160" s="132" t="str">
        <f aca="false">IF($U160="","",IF(ISNUMBER(INDEX('MiT Strom Pipeline'!$I$1:$I$860,$U160)),INDEX('MiT Strom Pipeline'!$I$1:$I$860,$U160),0))</f>
        <v/>
      </c>
      <c r="H160" s="132" t="str">
        <f aca="false">IF($U160="","",IF(ISNUMBER(INDEX('MiT Strom Pipeline'!$Q$1:$Q$860,$U160)),INDEX('MiT Strom Pipeline'!$Q$1:$Q$860,$U160),0))</f>
        <v/>
      </c>
      <c r="I160" s="129" t="str">
        <f aca="false">IF($U160="","",IF(INDEX('MiT Strom Pipeline'!$E$1:$E$860,$U160)="","",INDEX('MiT Strom Pipeline'!$E$1:$E$860,$U160)))</f>
        <v/>
      </c>
      <c r="J160" s="130" t="str">
        <f aca="false">IF($U160="","",INDEX('MiT Strom Pipeline'!$R$1:$R$860,$U160))</f>
        <v/>
      </c>
      <c r="K160" s="133" t="str">
        <f aca="false">IF($U160="","",IF(ISNUMBER(INDEX('MiT Strom Pipeline'!$S$1:$S$860,$U160)),INDEX('MiT Strom Pipeline'!$S$1:$S$860,$U160),""))</f>
        <v/>
      </c>
      <c r="L160" s="129" t="str">
        <f aca="false">IF($U160="","",IF(LEN(INDEX('MiT Strom Pipeline'!$V$1:$V$860,$U160))&gt;0,LEFT(INDEX('MiT Strom Pipeline'!$V$1:$V$860,$U160),55),""))</f>
        <v/>
      </c>
      <c r="M160" s="129" t="str">
        <f aca="false">IF($U160="","",IF(INDEX('MiT Strom Pipeline'!$AF$1:$AF$860,$U160)="","",INDEX('MiT Strom Pipeline'!$AF$1:$AF$860,$U160)))</f>
        <v/>
      </c>
      <c r="N160" s="129" t="str">
        <f aca="false">IF($U160="","",IF(INDEX('MiT Strom Pipeline'!$BB$1:$BB$860,$U160)="","",INDEX('MiT Strom Pipeline'!$BB$1:$BB$860,$U160)))</f>
        <v/>
      </c>
      <c r="O160" s="112"/>
      <c r="P160" s="112"/>
      <c r="Q160" s="112"/>
      <c r="R160" s="112"/>
      <c r="S160" s="112"/>
      <c r="U160" s="1" t="str">
        <f aca="false">IFERROR(MATCH(22,'MiT Strom Pipeline'!$AO$6:$AO$860,0)+5,"")</f>
        <v/>
      </c>
    </row>
    <row r="161" customFormat="false" ht="15.75" hidden="false" customHeight="true" outlineLevel="0" collapsed="false">
      <c r="A161" s="128" t="str">
        <f aca="false">IF($U161="","",IF(ISNUMBER(INDEX('MiT Strom Pipeline'!$A$1:$A$860,$U161)),INDEX('MiT Strom Pipeline'!$A$1:$A$860,$U161),""))</f>
        <v/>
      </c>
      <c r="B161" s="129" t="str">
        <f aca="false">IF($U161="","",IF(INDEX('MiT Strom Pipeline'!$B$1:$B$860,$U161)="","",INDEX('MiT Strom Pipeline'!$B$1:$B$860,$U161)))</f>
        <v/>
      </c>
      <c r="C161" s="130" t="str">
        <f aca="false">IF($U161="","",IF(INDEX('MiT Strom Pipeline'!$C$1:$C$860,$U161)="","",INDEX('MiT Strom Pipeline'!$C$1:$C$860,$U161)))</f>
        <v/>
      </c>
      <c r="D161" s="129" t="str">
        <f aca="false">IF($U161="","",IF(INDEX('MiT Strom Pipeline'!$D$1:$D$860,$U161)="","",INDEX('MiT Strom Pipeline'!$D$1:$D$860,$U161)))</f>
        <v/>
      </c>
      <c r="E161" s="131" t="str">
        <f aca="false">IF($U161="","",IF(ISNUMBER(INDEX('MiT Strom Pipeline'!$O$1:$O$860,$U161)),INDEX('MiT Strom Pipeline'!$O$1:$O$860,$U161),IF(INDEX('MiT Strom Pipeline'!$H$1:$H$860,$U161)="","",INDEX('MiT Strom Pipeline'!$H$1:$H$860,$U161))))</f>
        <v/>
      </c>
      <c r="F161" s="131" t="str">
        <f aca="false">IF($U161="","",IF(ISNUMBER(INDEX('MiT Strom Pipeline'!$P$1:$P$860,$U161)),INDEX('MiT Strom Pipeline'!$P$1:$P$860,$U161),""))</f>
        <v/>
      </c>
      <c r="G161" s="132" t="str">
        <f aca="false">IF($U161="","",IF(ISNUMBER(INDEX('MiT Strom Pipeline'!$I$1:$I$860,$U161)),INDEX('MiT Strom Pipeline'!$I$1:$I$860,$U161),0))</f>
        <v/>
      </c>
      <c r="H161" s="132" t="str">
        <f aca="false">IF($U161="","",IF(ISNUMBER(INDEX('MiT Strom Pipeline'!$Q$1:$Q$860,$U161)),INDEX('MiT Strom Pipeline'!$Q$1:$Q$860,$U161),0))</f>
        <v/>
      </c>
      <c r="I161" s="129" t="str">
        <f aca="false">IF($U161="","",IF(INDEX('MiT Strom Pipeline'!$E$1:$E$860,$U161)="","",INDEX('MiT Strom Pipeline'!$E$1:$E$860,$U161)))</f>
        <v/>
      </c>
      <c r="J161" s="130" t="str">
        <f aca="false">IF($U161="","",INDEX('MiT Strom Pipeline'!$R$1:$R$860,$U161))</f>
        <v/>
      </c>
      <c r="K161" s="133" t="str">
        <f aca="false">IF($U161="","",IF(ISNUMBER(INDEX('MiT Strom Pipeline'!$S$1:$S$860,$U161)),INDEX('MiT Strom Pipeline'!$S$1:$S$860,$U161),""))</f>
        <v/>
      </c>
      <c r="L161" s="129" t="str">
        <f aca="false">IF($U161="","",IF(LEN(INDEX('MiT Strom Pipeline'!$V$1:$V$860,$U161))&gt;0,LEFT(INDEX('MiT Strom Pipeline'!$V$1:$V$860,$U161),55),""))</f>
        <v/>
      </c>
      <c r="M161" s="129" t="str">
        <f aca="false">IF($U161="","",IF(INDEX('MiT Strom Pipeline'!$AF$1:$AF$860,$U161)="","",INDEX('MiT Strom Pipeline'!$AF$1:$AF$860,$U161)))</f>
        <v/>
      </c>
      <c r="N161" s="129" t="str">
        <f aca="false">IF($U161="","",IF(INDEX('MiT Strom Pipeline'!$BB$1:$BB$860,$U161)="","",INDEX('MiT Strom Pipeline'!$BB$1:$BB$860,$U161)))</f>
        <v/>
      </c>
      <c r="O161" s="112"/>
      <c r="P161" s="112"/>
      <c r="Q161" s="112"/>
      <c r="R161" s="112"/>
      <c r="S161" s="112"/>
      <c r="U161" s="1" t="str">
        <f aca="false">IFERROR(MATCH(23,'MiT Strom Pipeline'!$AO$6:$AO$860,0)+5,"")</f>
        <v/>
      </c>
    </row>
    <row r="162" customFormat="false" ht="15.75" hidden="false" customHeight="true" outlineLevel="0" collapsed="false">
      <c r="A162" s="128" t="str">
        <f aca="false">IF($U162="","",IF(ISNUMBER(INDEX('MiT Strom Pipeline'!$A$1:$A$860,$U162)),INDEX('MiT Strom Pipeline'!$A$1:$A$860,$U162),""))</f>
        <v/>
      </c>
      <c r="B162" s="129" t="str">
        <f aca="false">IF($U162="","",IF(INDEX('MiT Strom Pipeline'!$B$1:$B$860,$U162)="","",INDEX('MiT Strom Pipeline'!$B$1:$B$860,$U162)))</f>
        <v/>
      </c>
      <c r="C162" s="130" t="str">
        <f aca="false">IF($U162="","",IF(INDEX('MiT Strom Pipeline'!$C$1:$C$860,$U162)="","",INDEX('MiT Strom Pipeline'!$C$1:$C$860,$U162)))</f>
        <v/>
      </c>
      <c r="D162" s="129" t="str">
        <f aca="false">IF($U162="","",IF(INDEX('MiT Strom Pipeline'!$D$1:$D$860,$U162)="","",INDEX('MiT Strom Pipeline'!$D$1:$D$860,$U162)))</f>
        <v/>
      </c>
      <c r="E162" s="131" t="str">
        <f aca="false">IF($U162="","",IF(ISNUMBER(INDEX('MiT Strom Pipeline'!$O$1:$O$860,$U162)),INDEX('MiT Strom Pipeline'!$O$1:$O$860,$U162),IF(INDEX('MiT Strom Pipeline'!$H$1:$H$860,$U162)="","",INDEX('MiT Strom Pipeline'!$H$1:$H$860,$U162))))</f>
        <v/>
      </c>
      <c r="F162" s="131" t="str">
        <f aca="false">IF($U162="","",IF(ISNUMBER(INDEX('MiT Strom Pipeline'!$P$1:$P$860,$U162)),INDEX('MiT Strom Pipeline'!$P$1:$P$860,$U162),""))</f>
        <v/>
      </c>
      <c r="G162" s="132" t="str">
        <f aca="false">IF($U162="","",IF(ISNUMBER(INDEX('MiT Strom Pipeline'!$I$1:$I$860,$U162)),INDEX('MiT Strom Pipeline'!$I$1:$I$860,$U162),0))</f>
        <v/>
      </c>
      <c r="H162" s="132" t="str">
        <f aca="false">IF($U162="","",IF(ISNUMBER(INDEX('MiT Strom Pipeline'!$Q$1:$Q$860,$U162)),INDEX('MiT Strom Pipeline'!$Q$1:$Q$860,$U162),0))</f>
        <v/>
      </c>
      <c r="I162" s="129" t="str">
        <f aca="false">IF($U162="","",IF(INDEX('MiT Strom Pipeline'!$E$1:$E$860,$U162)="","",INDEX('MiT Strom Pipeline'!$E$1:$E$860,$U162)))</f>
        <v/>
      </c>
      <c r="J162" s="130" t="str">
        <f aca="false">IF($U162="","",INDEX('MiT Strom Pipeline'!$R$1:$R$860,$U162))</f>
        <v/>
      </c>
      <c r="K162" s="133" t="str">
        <f aca="false">IF($U162="","",IF(ISNUMBER(INDEX('MiT Strom Pipeline'!$S$1:$S$860,$U162)),INDEX('MiT Strom Pipeline'!$S$1:$S$860,$U162),""))</f>
        <v/>
      </c>
      <c r="L162" s="129" t="str">
        <f aca="false">IF($U162="","",IF(LEN(INDEX('MiT Strom Pipeline'!$V$1:$V$860,$U162))&gt;0,LEFT(INDEX('MiT Strom Pipeline'!$V$1:$V$860,$U162),55),""))</f>
        <v/>
      </c>
      <c r="M162" s="129" t="str">
        <f aca="false">IF($U162="","",IF(INDEX('MiT Strom Pipeline'!$AF$1:$AF$860,$U162)="","",INDEX('MiT Strom Pipeline'!$AF$1:$AF$860,$U162)))</f>
        <v/>
      </c>
      <c r="N162" s="129" t="str">
        <f aca="false">IF($U162="","",IF(INDEX('MiT Strom Pipeline'!$BB$1:$BB$860,$U162)="","",INDEX('MiT Strom Pipeline'!$BB$1:$BB$860,$U162)))</f>
        <v/>
      </c>
      <c r="O162" s="112"/>
      <c r="P162" s="112"/>
      <c r="Q162" s="112"/>
      <c r="R162" s="112"/>
      <c r="S162" s="112"/>
      <c r="U162" s="1" t="str">
        <f aca="false">IFERROR(MATCH(24,'MiT Strom Pipeline'!$AO$6:$AO$860,0)+5,"")</f>
        <v/>
      </c>
    </row>
    <row r="163" customFormat="false" ht="15.75" hidden="false" customHeight="true" outlineLevel="0" collapsed="false">
      <c r="A163" s="128" t="str">
        <f aca="false">IF($U163="","",IF(ISNUMBER(INDEX('MiT Strom Pipeline'!$A$1:$A$860,$U163)),INDEX('MiT Strom Pipeline'!$A$1:$A$860,$U163),""))</f>
        <v/>
      </c>
      <c r="B163" s="129" t="str">
        <f aca="false">IF($U163="","",IF(INDEX('MiT Strom Pipeline'!$B$1:$B$860,$U163)="","",INDEX('MiT Strom Pipeline'!$B$1:$B$860,$U163)))</f>
        <v/>
      </c>
      <c r="C163" s="130" t="str">
        <f aca="false">IF($U163="","",IF(INDEX('MiT Strom Pipeline'!$C$1:$C$860,$U163)="","",INDEX('MiT Strom Pipeline'!$C$1:$C$860,$U163)))</f>
        <v/>
      </c>
      <c r="D163" s="129" t="str">
        <f aca="false">IF($U163="","",IF(INDEX('MiT Strom Pipeline'!$D$1:$D$860,$U163)="","",INDEX('MiT Strom Pipeline'!$D$1:$D$860,$U163)))</f>
        <v/>
      </c>
      <c r="E163" s="131" t="str">
        <f aca="false">IF($U163="","",IF(ISNUMBER(INDEX('MiT Strom Pipeline'!$O$1:$O$860,$U163)),INDEX('MiT Strom Pipeline'!$O$1:$O$860,$U163),IF(INDEX('MiT Strom Pipeline'!$H$1:$H$860,$U163)="","",INDEX('MiT Strom Pipeline'!$H$1:$H$860,$U163))))</f>
        <v/>
      </c>
      <c r="F163" s="131" t="str">
        <f aca="false">IF($U163="","",IF(ISNUMBER(INDEX('MiT Strom Pipeline'!$P$1:$P$860,$U163)),INDEX('MiT Strom Pipeline'!$P$1:$P$860,$U163),""))</f>
        <v/>
      </c>
      <c r="G163" s="132" t="str">
        <f aca="false">IF($U163="","",IF(ISNUMBER(INDEX('MiT Strom Pipeline'!$I$1:$I$860,$U163)),INDEX('MiT Strom Pipeline'!$I$1:$I$860,$U163),0))</f>
        <v/>
      </c>
      <c r="H163" s="132" t="str">
        <f aca="false">IF($U163="","",IF(ISNUMBER(INDEX('MiT Strom Pipeline'!$Q$1:$Q$860,$U163)),INDEX('MiT Strom Pipeline'!$Q$1:$Q$860,$U163),0))</f>
        <v/>
      </c>
      <c r="I163" s="129" t="str">
        <f aca="false">IF($U163="","",IF(INDEX('MiT Strom Pipeline'!$E$1:$E$860,$U163)="","",INDEX('MiT Strom Pipeline'!$E$1:$E$860,$U163)))</f>
        <v/>
      </c>
      <c r="J163" s="130" t="str">
        <f aca="false">IF($U163="","",INDEX('MiT Strom Pipeline'!$R$1:$R$860,$U163))</f>
        <v/>
      </c>
      <c r="K163" s="133" t="str">
        <f aca="false">IF($U163="","",IF(ISNUMBER(INDEX('MiT Strom Pipeline'!$S$1:$S$860,$U163)),INDEX('MiT Strom Pipeline'!$S$1:$S$860,$U163),""))</f>
        <v/>
      </c>
      <c r="L163" s="129" t="str">
        <f aca="false">IF($U163="","",IF(LEN(INDEX('MiT Strom Pipeline'!$V$1:$V$860,$U163))&gt;0,LEFT(INDEX('MiT Strom Pipeline'!$V$1:$V$860,$U163),55),""))</f>
        <v/>
      </c>
      <c r="M163" s="129" t="str">
        <f aca="false">IF($U163="","",IF(INDEX('MiT Strom Pipeline'!$AF$1:$AF$860,$U163)="","",INDEX('MiT Strom Pipeline'!$AF$1:$AF$860,$U163)))</f>
        <v/>
      </c>
      <c r="N163" s="129" t="str">
        <f aca="false">IF($U163="","",IF(INDEX('MiT Strom Pipeline'!$BB$1:$BB$860,$U163)="","",INDEX('MiT Strom Pipeline'!$BB$1:$BB$860,$U163)))</f>
        <v/>
      </c>
      <c r="O163" s="112"/>
      <c r="P163" s="112"/>
      <c r="Q163" s="112"/>
      <c r="R163" s="112"/>
      <c r="S163" s="112"/>
      <c r="U163" s="1" t="str">
        <f aca="false">IFERROR(MATCH(25,'MiT Strom Pipeline'!$AO$6:$AO$860,0)+5,"")</f>
        <v/>
      </c>
    </row>
    <row r="164" customFormat="false" ht="15.75" hidden="false" customHeight="true" outlineLevel="0" collapsed="false">
      <c r="A164" s="128" t="str">
        <f aca="false">IF($U164="","",IF(ISNUMBER(INDEX('MiT Strom Pipeline'!$A$1:$A$860,$U164)),INDEX('MiT Strom Pipeline'!$A$1:$A$860,$U164),""))</f>
        <v/>
      </c>
      <c r="B164" s="129" t="str">
        <f aca="false">IF($U164="","",IF(INDEX('MiT Strom Pipeline'!$B$1:$B$860,$U164)="","",INDEX('MiT Strom Pipeline'!$B$1:$B$860,$U164)))</f>
        <v/>
      </c>
      <c r="C164" s="130" t="str">
        <f aca="false">IF($U164="","",IF(INDEX('MiT Strom Pipeline'!$C$1:$C$860,$U164)="","",INDEX('MiT Strom Pipeline'!$C$1:$C$860,$U164)))</f>
        <v/>
      </c>
      <c r="D164" s="129" t="str">
        <f aca="false">IF($U164="","",IF(INDEX('MiT Strom Pipeline'!$D$1:$D$860,$U164)="","",INDEX('MiT Strom Pipeline'!$D$1:$D$860,$U164)))</f>
        <v/>
      </c>
      <c r="E164" s="131" t="str">
        <f aca="false">IF($U164="","",IF(ISNUMBER(INDEX('MiT Strom Pipeline'!$O$1:$O$860,$U164)),INDEX('MiT Strom Pipeline'!$O$1:$O$860,$U164),IF(INDEX('MiT Strom Pipeline'!$H$1:$H$860,$U164)="","",INDEX('MiT Strom Pipeline'!$H$1:$H$860,$U164))))</f>
        <v/>
      </c>
      <c r="F164" s="131" t="str">
        <f aca="false">IF($U164="","",IF(ISNUMBER(INDEX('MiT Strom Pipeline'!$P$1:$P$860,$U164)),INDEX('MiT Strom Pipeline'!$P$1:$P$860,$U164),""))</f>
        <v/>
      </c>
      <c r="G164" s="132" t="str">
        <f aca="false">IF($U164="","",IF(ISNUMBER(INDEX('MiT Strom Pipeline'!$I$1:$I$860,$U164)),INDEX('MiT Strom Pipeline'!$I$1:$I$860,$U164),0))</f>
        <v/>
      </c>
      <c r="H164" s="132" t="str">
        <f aca="false">IF($U164="","",IF(ISNUMBER(INDEX('MiT Strom Pipeline'!$Q$1:$Q$860,$U164)),INDEX('MiT Strom Pipeline'!$Q$1:$Q$860,$U164),0))</f>
        <v/>
      </c>
      <c r="I164" s="129" t="str">
        <f aca="false">IF($U164="","",IF(INDEX('MiT Strom Pipeline'!$E$1:$E$860,$U164)="","",INDEX('MiT Strom Pipeline'!$E$1:$E$860,$U164)))</f>
        <v/>
      </c>
      <c r="J164" s="130" t="str">
        <f aca="false">IF($U164="","",INDEX('MiT Strom Pipeline'!$R$1:$R$860,$U164))</f>
        <v/>
      </c>
      <c r="K164" s="133" t="str">
        <f aca="false">IF($U164="","",IF(ISNUMBER(INDEX('MiT Strom Pipeline'!$S$1:$S$860,$U164)),INDEX('MiT Strom Pipeline'!$S$1:$S$860,$U164),""))</f>
        <v/>
      </c>
      <c r="L164" s="129" t="str">
        <f aca="false">IF($U164="","",IF(LEN(INDEX('MiT Strom Pipeline'!$V$1:$V$860,$U164))&gt;0,LEFT(INDEX('MiT Strom Pipeline'!$V$1:$V$860,$U164),55),""))</f>
        <v/>
      </c>
      <c r="M164" s="129" t="str">
        <f aca="false">IF($U164="","",IF(INDEX('MiT Strom Pipeline'!$AF$1:$AF$860,$U164)="","",INDEX('MiT Strom Pipeline'!$AF$1:$AF$860,$U164)))</f>
        <v/>
      </c>
      <c r="N164" s="129" t="str">
        <f aca="false">IF($U164="","",IF(INDEX('MiT Strom Pipeline'!$BB$1:$BB$860,$U164)="","",INDEX('MiT Strom Pipeline'!$BB$1:$BB$860,$U164)))</f>
        <v/>
      </c>
      <c r="O164" s="112"/>
      <c r="P164" s="112"/>
      <c r="Q164" s="112"/>
      <c r="R164" s="112"/>
      <c r="S164" s="112"/>
      <c r="U164" s="1" t="str">
        <f aca="false">IFERROR(MATCH(26,'MiT Strom Pipeline'!$AO$6:$AO$860,0)+5,"")</f>
        <v/>
      </c>
    </row>
    <row r="165" customFormat="false" ht="15.75" hidden="false" customHeight="true" outlineLevel="0" collapsed="false">
      <c r="A165" s="128" t="str">
        <f aca="false">IF($U165="","",IF(ISNUMBER(INDEX('MiT Strom Pipeline'!$A$1:$A$860,$U165)),INDEX('MiT Strom Pipeline'!$A$1:$A$860,$U165),""))</f>
        <v/>
      </c>
      <c r="B165" s="129" t="str">
        <f aca="false">IF($U165="","",IF(INDEX('MiT Strom Pipeline'!$B$1:$B$860,$U165)="","",INDEX('MiT Strom Pipeline'!$B$1:$B$860,$U165)))</f>
        <v/>
      </c>
      <c r="C165" s="130" t="str">
        <f aca="false">IF($U165="","",IF(INDEX('MiT Strom Pipeline'!$C$1:$C$860,$U165)="","",INDEX('MiT Strom Pipeline'!$C$1:$C$860,$U165)))</f>
        <v/>
      </c>
      <c r="D165" s="129" t="str">
        <f aca="false">IF($U165="","",IF(INDEX('MiT Strom Pipeline'!$D$1:$D$860,$U165)="","",INDEX('MiT Strom Pipeline'!$D$1:$D$860,$U165)))</f>
        <v/>
      </c>
      <c r="E165" s="131" t="str">
        <f aca="false">IF($U165="","",IF(ISNUMBER(INDEX('MiT Strom Pipeline'!$O$1:$O$860,$U165)),INDEX('MiT Strom Pipeline'!$O$1:$O$860,$U165),IF(INDEX('MiT Strom Pipeline'!$H$1:$H$860,$U165)="","",INDEX('MiT Strom Pipeline'!$H$1:$H$860,$U165))))</f>
        <v/>
      </c>
      <c r="F165" s="131" t="str">
        <f aca="false">IF($U165="","",IF(ISNUMBER(INDEX('MiT Strom Pipeline'!$P$1:$P$860,$U165)),INDEX('MiT Strom Pipeline'!$P$1:$P$860,$U165),""))</f>
        <v/>
      </c>
      <c r="G165" s="132" t="str">
        <f aca="false">IF($U165="","",IF(ISNUMBER(INDEX('MiT Strom Pipeline'!$I$1:$I$860,$U165)),INDEX('MiT Strom Pipeline'!$I$1:$I$860,$U165),0))</f>
        <v/>
      </c>
      <c r="H165" s="132" t="str">
        <f aca="false">IF($U165="","",IF(ISNUMBER(INDEX('MiT Strom Pipeline'!$Q$1:$Q$860,$U165)),INDEX('MiT Strom Pipeline'!$Q$1:$Q$860,$U165),0))</f>
        <v/>
      </c>
      <c r="I165" s="129" t="str">
        <f aca="false">IF($U165="","",IF(INDEX('MiT Strom Pipeline'!$E$1:$E$860,$U165)="","",INDEX('MiT Strom Pipeline'!$E$1:$E$860,$U165)))</f>
        <v/>
      </c>
      <c r="J165" s="130" t="str">
        <f aca="false">IF($U165="","",INDEX('MiT Strom Pipeline'!$R$1:$R$860,$U165))</f>
        <v/>
      </c>
      <c r="K165" s="133" t="str">
        <f aca="false">IF($U165="","",IF(ISNUMBER(INDEX('MiT Strom Pipeline'!$S$1:$S$860,$U165)),INDEX('MiT Strom Pipeline'!$S$1:$S$860,$U165),""))</f>
        <v/>
      </c>
      <c r="L165" s="129" t="str">
        <f aca="false">IF($U165="","",IF(LEN(INDEX('MiT Strom Pipeline'!$V$1:$V$860,$U165))&gt;0,LEFT(INDEX('MiT Strom Pipeline'!$V$1:$V$860,$U165),55),""))</f>
        <v/>
      </c>
      <c r="M165" s="129" t="str">
        <f aca="false">IF($U165="","",IF(INDEX('MiT Strom Pipeline'!$AF$1:$AF$860,$U165)="","",INDEX('MiT Strom Pipeline'!$AF$1:$AF$860,$U165)))</f>
        <v/>
      </c>
      <c r="N165" s="129" t="str">
        <f aca="false">IF($U165="","",IF(INDEX('MiT Strom Pipeline'!$BB$1:$BB$860,$U165)="","",INDEX('MiT Strom Pipeline'!$BB$1:$BB$860,$U165)))</f>
        <v/>
      </c>
      <c r="O165" s="112"/>
      <c r="P165" s="112"/>
      <c r="Q165" s="112"/>
      <c r="R165" s="112"/>
      <c r="S165" s="112"/>
      <c r="U165" s="1" t="str">
        <f aca="false">IFERROR(MATCH(27,'MiT Strom Pipeline'!$AO$6:$AO$860,0)+5,"")</f>
        <v/>
      </c>
    </row>
    <row r="166" customFormat="false" ht="15.75" hidden="false" customHeight="true" outlineLevel="0" collapsed="false">
      <c r="A166" s="128" t="str">
        <f aca="false">IF($U166="","",IF(ISNUMBER(INDEX('MiT Strom Pipeline'!$A$1:$A$860,$U166)),INDEX('MiT Strom Pipeline'!$A$1:$A$860,$U166),""))</f>
        <v/>
      </c>
      <c r="B166" s="129" t="str">
        <f aca="false">IF($U166="","",IF(INDEX('MiT Strom Pipeline'!$B$1:$B$860,$U166)="","",INDEX('MiT Strom Pipeline'!$B$1:$B$860,$U166)))</f>
        <v/>
      </c>
      <c r="C166" s="130" t="str">
        <f aca="false">IF($U166="","",IF(INDEX('MiT Strom Pipeline'!$C$1:$C$860,$U166)="","",INDEX('MiT Strom Pipeline'!$C$1:$C$860,$U166)))</f>
        <v/>
      </c>
      <c r="D166" s="129" t="str">
        <f aca="false">IF($U166="","",IF(INDEX('MiT Strom Pipeline'!$D$1:$D$860,$U166)="","",INDEX('MiT Strom Pipeline'!$D$1:$D$860,$U166)))</f>
        <v/>
      </c>
      <c r="E166" s="131" t="str">
        <f aca="false">IF($U166="","",IF(ISNUMBER(INDEX('MiT Strom Pipeline'!$O$1:$O$860,$U166)),INDEX('MiT Strom Pipeline'!$O$1:$O$860,$U166),IF(INDEX('MiT Strom Pipeline'!$H$1:$H$860,$U166)="","",INDEX('MiT Strom Pipeline'!$H$1:$H$860,$U166))))</f>
        <v/>
      </c>
      <c r="F166" s="131" t="str">
        <f aca="false">IF($U166="","",IF(ISNUMBER(INDEX('MiT Strom Pipeline'!$P$1:$P$860,$U166)),INDEX('MiT Strom Pipeline'!$P$1:$P$860,$U166),""))</f>
        <v/>
      </c>
      <c r="G166" s="132" t="str">
        <f aca="false">IF($U166="","",IF(ISNUMBER(INDEX('MiT Strom Pipeline'!$I$1:$I$860,$U166)),INDEX('MiT Strom Pipeline'!$I$1:$I$860,$U166),0))</f>
        <v/>
      </c>
      <c r="H166" s="132" t="str">
        <f aca="false">IF($U166="","",IF(ISNUMBER(INDEX('MiT Strom Pipeline'!$Q$1:$Q$860,$U166)),INDEX('MiT Strom Pipeline'!$Q$1:$Q$860,$U166),0))</f>
        <v/>
      </c>
      <c r="I166" s="129" t="str">
        <f aca="false">IF($U166="","",IF(INDEX('MiT Strom Pipeline'!$E$1:$E$860,$U166)="","",INDEX('MiT Strom Pipeline'!$E$1:$E$860,$U166)))</f>
        <v/>
      </c>
      <c r="J166" s="130" t="str">
        <f aca="false">IF($U166="","",INDEX('MiT Strom Pipeline'!$R$1:$R$860,$U166))</f>
        <v/>
      </c>
      <c r="K166" s="133" t="str">
        <f aca="false">IF($U166="","",IF(ISNUMBER(INDEX('MiT Strom Pipeline'!$S$1:$S$860,$U166)),INDEX('MiT Strom Pipeline'!$S$1:$S$860,$U166),""))</f>
        <v/>
      </c>
      <c r="L166" s="129" t="str">
        <f aca="false">IF($U166="","",IF(LEN(INDEX('MiT Strom Pipeline'!$V$1:$V$860,$U166))&gt;0,LEFT(INDEX('MiT Strom Pipeline'!$V$1:$V$860,$U166),55),""))</f>
        <v/>
      </c>
      <c r="M166" s="129" t="str">
        <f aca="false">IF($U166="","",IF(INDEX('MiT Strom Pipeline'!$AF$1:$AF$860,$U166)="","",INDEX('MiT Strom Pipeline'!$AF$1:$AF$860,$U166)))</f>
        <v/>
      </c>
      <c r="N166" s="129" t="str">
        <f aca="false">IF($U166="","",IF(INDEX('MiT Strom Pipeline'!$BB$1:$BB$860,$U166)="","",INDEX('MiT Strom Pipeline'!$BB$1:$BB$860,$U166)))</f>
        <v/>
      </c>
      <c r="O166" s="112"/>
      <c r="P166" s="112"/>
      <c r="Q166" s="112"/>
      <c r="R166" s="112"/>
      <c r="S166" s="112"/>
      <c r="U166" s="1" t="str">
        <f aca="false">IFERROR(MATCH(28,'MiT Strom Pipeline'!$AO$6:$AO$860,0)+5,"")</f>
        <v/>
      </c>
    </row>
    <row r="167" customFormat="false" ht="15.75" hidden="false" customHeight="true" outlineLevel="0" collapsed="false">
      <c r="A167" s="128" t="str">
        <f aca="false">IF($U167="","",IF(ISNUMBER(INDEX('MiT Strom Pipeline'!$A$1:$A$860,$U167)),INDEX('MiT Strom Pipeline'!$A$1:$A$860,$U167),""))</f>
        <v/>
      </c>
      <c r="B167" s="129" t="str">
        <f aca="false">IF($U167="","",IF(INDEX('MiT Strom Pipeline'!$B$1:$B$860,$U167)="","",INDEX('MiT Strom Pipeline'!$B$1:$B$860,$U167)))</f>
        <v/>
      </c>
      <c r="C167" s="130" t="str">
        <f aca="false">IF($U167="","",IF(INDEX('MiT Strom Pipeline'!$C$1:$C$860,$U167)="","",INDEX('MiT Strom Pipeline'!$C$1:$C$860,$U167)))</f>
        <v/>
      </c>
      <c r="D167" s="129" t="str">
        <f aca="false">IF($U167="","",IF(INDEX('MiT Strom Pipeline'!$D$1:$D$860,$U167)="","",INDEX('MiT Strom Pipeline'!$D$1:$D$860,$U167)))</f>
        <v/>
      </c>
      <c r="E167" s="131" t="str">
        <f aca="false">IF($U167="","",IF(ISNUMBER(INDEX('MiT Strom Pipeline'!$O$1:$O$860,$U167)),INDEX('MiT Strom Pipeline'!$O$1:$O$860,$U167),IF(INDEX('MiT Strom Pipeline'!$H$1:$H$860,$U167)="","",INDEX('MiT Strom Pipeline'!$H$1:$H$860,$U167))))</f>
        <v/>
      </c>
      <c r="F167" s="131" t="str">
        <f aca="false">IF($U167="","",IF(ISNUMBER(INDEX('MiT Strom Pipeline'!$P$1:$P$860,$U167)),INDEX('MiT Strom Pipeline'!$P$1:$P$860,$U167),""))</f>
        <v/>
      </c>
      <c r="G167" s="132" t="str">
        <f aca="false">IF($U167="","",IF(ISNUMBER(INDEX('MiT Strom Pipeline'!$I$1:$I$860,$U167)),INDEX('MiT Strom Pipeline'!$I$1:$I$860,$U167),0))</f>
        <v/>
      </c>
      <c r="H167" s="132" t="str">
        <f aca="false">IF($U167="","",IF(ISNUMBER(INDEX('MiT Strom Pipeline'!$Q$1:$Q$860,$U167)),INDEX('MiT Strom Pipeline'!$Q$1:$Q$860,$U167),0))</f>
        <v/>
      </c>
      <c r="I167" s="129" t="str">
        <f aca="false">IF($U167="","",IF(INDEX('MiT Strom Pipeline'!$E$1:$E$860,$U167)="","",INDEX('MiT Strom Pipeline'!$E$1:$E$860,$U167)))</f>
        <v/>
      </c>
      <c r="J167" s="130" t="str">
        <f aca="false">IF($U167="","",INDEX('MiT Strom Pipeline'!$R$1:$R$860,$U167))</f>
        <v/>
      </c>
      <c r="K167" s="133" t="str">
        <f aca="false">IF($U167="","",IF(ISNUMBER(INDEX('MiT Strom Pipeline'!$S$1:$S$860,$U167)),INDEX('MiT Strom Pipeline'!$S$1:$S$860,$U167),""))</f>
        <v/>
      </c>
      <c r="L167" s="129" t="str">
        <f aca="false">IF($U167="","",IF(LEN(INDEX('MiT Strom Pipeline'!$V$1:$V$860,$U167))&gt;0,LEFT(INDEX('MiT Strom Pipeline'!$V$1:$V$860,$U167),55),""))</f>
        <v/>
      </c>
      <c r="M167" s="129" t="str">
        <f aca="false">IF($U167="","",IF(INDEX('MiT Strom Pipeline'!$AF$1:$AF$860,$U167)="","",INDEX('MiT Strom Pipeline'!$AF$1:$AF$860,$U167)))</f>
        <v/>
      </c>
      <c r="N167" s="129" t="str">
        <f aca="false">IF($U167="","",IF(INDEX('MiT Strom Pipeline'!$BB$1:$BB$860,$U167)="","",INDEX('MiT Strom Pipeline'!$BB$1:$BB$860,$U167)))</f>
        <v/>
      </c>
      <c r="O167" s="112"/>
      <c r="P167" s="112"/>
      <c r="Q167" s="112"/>
      <c r="R167" s="112"/>
      <c r="S167" s="112"/>
      <c r="U167" s="1" t="str">
        <f aca="false">IFERROR(MATCH(29,'MiT Strom Pipeline'!$AO$6:$AO$860,0)+5,"")</f>
        <v/>
      </c>
    </row>
    <row r="168" customFormat="false" ht="15.75" hidden="false" customHeight="true" outlineLevel="0" collapsed="false">
      <c r="A168" s="128" t="str">
        <f aca="false">IF($U168="","",IF(ISNUMBER(INDEX('MiT Strom Pipeline'!$A$1:$A$860,$U168)),INDEX('MiT Strom Pipeline'!$A$1:$A$860,$U168),""))</f>
        <v/>
      </c>
      <c r="B168" s="129" t="str">
        <f aca="false">IF($U168="","",IF(INDEX('MiT Strom Pipeline'!$B$1:$B$860,$U168)="","",INDEX('MiT Strom Pipeline'!$B$1:$B$860,$U168)))</f>
        <v/>
      </c>
      <c r="C168" s="130" t="str">
        <f aca="false">IF($U168="","",IF(INDEX('MiT Strom Pipeline'!$C$1:$C$860,$U168)="","",INDEX('MiT Strom Pipeline'!$C$1:$C$860,$U168)))</f>
        <v/>
      </c>
      <c r="D168" s="129" t="str">
        <f aca="false">IF($U168="","",IF(INDEX('MiT Strom Pipeline'!$D$1:$D$860,$U168)="","",INDEX('MiT Strom Pipeline'!$D$1:$D$860,$U168)))</f>
        <v/>
      </c>
      <c r="E168" s="131" t="str">
        <f aca="false">IF($U168="","",IF(ISNUMBER(INDEX('MiT Strom Pipeline'!$O$1:$O$860,$U168)),INDEX('MiT Strom Pipeline'!$O$1:$O$860,$U168),IF(INDEX('MiT Strom Pipeline'!$H$1:$H$860,$U168)="","",INDEX('MiT Strom Pipeline'!$H$1:$H$860,$U168))))</f>
        <v/>
      </c>
      <c r="F168" s="131" t="str">
        <f aca="false">IF($U168="","",IF(ISNUMBER(INDEX('MiT Strom Pipeline'!$P$1:$P$860,$U168)),INDEX('MiT Strom Pipeline'!$P$1:$P$860,$U168),""))</f>
        <v/>
      </c>
      <c r="G168" s="132" t="str">
        <f aca="false">IF($U168="","",IF(ISNUMBER(INDEX('MiT Strom Pipeline'!$I$1:$I$860,$U168)),INDEX('MiT Strom Pipeline'!$I$1:$I$860,$U168),0))</f>
        <v/>
      </c>
      <c r="H168" s="132" t="str">
        <f aca="false">IF($U168="","",IF(ISNUMBER(INDEX('MiT Strom Pipeline'!$Q$1:$Q$860,$U168)),INDEX('MiT Strom Pipeline'!$Q$1:$Q$860,$U168),0))</f>
        <v/>
      </c>
      <c r="I168" s="129" t="str">
        <f aca="false">IF($U168="","",IF(INDEX('MiT Strom Pipeline'!$E$1:$E$860,$U168)="","",INDEX('MiT Strom Pipeline'!$E$1:$E$860,$U168)))</f>
        <v/>
      </c>
      <c r="J168" s="130" t="str">
        <f aca="false">IF($U168="","",INDEX('MiT Strom Pipeline'!$R$1:$R$860,$U168))</f>
        <v/>
      </c>
      <c r="K168" s="133" t="str">
        <f aca="false">IF($U168="","",IF(ISNUMBER(INDEX('MiT Strom Pipeline'!$S$1:$S$860,$U168)),INDEX('MiT Strom Pipeline'!$S$1:$S$860,$U168),""))</f>
        <v/>
      </c>
      <c r="L168" s="129" t="str">
        <f aca="false">IF($U168="","",IF(LEN(INDEX('MiT Strom Pipeline'!$V$1:$V$860,$U168))&gt;0,LEFT(INDEX('MiT Strom Pipeline'!$V$1:$V$860,$U168),55),""))</f>
        <v/>
      </c>
      <c r="M168" s="129" t="str">
        <f aca="false">IF($U168="","",IF(INDEX('MiT Strom Pipeline'!$AF$1:$AF$860,$U168)="","",INDEX('MiT Strom Pipeline'!$AF$1:$AF$860,$U168)))</f>
        <v/>
      </c>
      <c r="N168" s="129" t="str">
        <f aca="false">IF($U168="","",IF(INDEX('MiT Strom Pipeline'!$BB$1:$BB$860,$U168)="","",INDEX('MiT Strom Pipeline'!$BB$1:$BB$860,$U168)))</f>
        <v/>
      </c>
      <c r="O168" s="112"/>
      <c r="P168" s="112"/>
      <c r="Q168" s="112"/>
      <c r="R168" s="112"/>
      <c r="S168" s="112"/>
      <c r="U168" s="1" t="str">
        <f aca="false">IFERROR(MATCH(30,'MiT Strom Pipeline'!$AO$6:$AO$860,0)+5,"")</f>
        <v/>
      </c>
    </row>
    <row r="169" customFormat="false" ht="15.75" hidden="false" customHeight="true" outlineLevel="0" collapsed="false">
      <c r="A169" s="128" t="str">
        <f aca="false">IF($U169="","",IF(ISNUMBER(INDEX('MiT Strom Pipeline'!$A$1:$A$860,$U169)),INDEX('MiT Strom Pipeline'!$A$1:$A$860,$U169),""))</f>
        <v/>
      </c>
      <c r="B169" s="129" t="str">
        <f aca="false">IF($U169="","",IF(INDEX('MiT Strom Pipeline'!$B$1:$B$860,$U169)="","",INDEX('MiT Strom Pipeline'!$B$1:$B$860,$U169)))</f>
        <v/>
      </c>
      <c r="C169" s="130" t="str">
        <f aca="false">IF($U169="","",IF(INDEX('MiT Strom Pipeline'!$C$1:$C$860,$U169)="","",INDEX('MiT Strom Pipeline'!$C$1:$C$860,$U169)))</f>
        <v/>
      </c>
      <c r="D169" s="129" t="str">
        <f aca="false">IF($U169="","",IF(INDEX('MiT Strom Pipeline'!$D$1:$D$860,$U169)="","",INDEX('MiT Strom Pipeline'!$D$1:$D$860,$U169)))</f>
        <v/>
      </c>
      <c r="E169" s="131" t="str">
        <f aca="false">IF($U169="","",IF(ISNUMBER(INDEX('MiT Strom Pipeline'!$O$1:$O$860,$U169)),INDEX('MiT Strom Pipeline'!$O$1:$O$860,$U169),IF(INDEX('MiT Strom Pipeline'!$H$1:$H$860,$U169)="","",INDEX('MiT Strom Pipeline'!$H$1:$H$860,$U169))))</f>
        <v/>
      </c>
      <c r="F169" s="131" t="str">
        <f aca="false">IF($U169="","",IF(ISNUMBER(INDEX('MiT Strom Pipeline'!$P$1:$P$860,$U169)),INDEX('MiT Strom Pipeline'!$P$1:$P$860,$U169),""))</f>
        <v/>
      </c>
      <c r="G169" s="132" t="str">
        <f aca="false">IF($U169="","",IF(ISNUMBER(INDEX('MiT Strom Pipeline'!$I$1:$I$860,$U169)),INDEX('MiT Strom Pipeline'!$I$1:$I$860,$U169),0))</f>
        <v/>
      </c>
      <c r="H169" s="132" t="str">
        <f aca="false">IF($U169="","",IF(ISNUMBER(INDEX('MiT Strom Pipeline'!$Q$1:$Q$860,$U169)),INDEX('MiT Strom Pipeline'!$Q$1:$Q$860,$U169),0))</f>
        <v/>
      </c>
      <c r="I169" s="129" t="str">
        <f aca="false">IF($U169="","",IF(INDEX('MiT Strom Pipeline'!$E$1:$E$860,$U169)="","",INDEX('MiT Strom Pipeline'!$E$1:$E$860,$U169)))</f>
        <v/>
      </c>
      <c r="J169" s="130" t="str">
        <f aca="false">IF($U169="","",INDEX('MiT Strom Pipeline'!$R$1:$R$860,$U169))</f>
        <v/>
      </c>
      <c r="K169" s="133" t="str">
        <f aca="false">IF($U169="","",IF(ISNUMBER(INDEX('MiT Strom Pipeline'!$S$1:$S$860,$U169)),INDEX('MiT Strom Pipeline'!$S$1:$S$860,$U169),""))</f>
        <v/>
      </c>
      <c r="L169" s="129" t="str">
        <f aca="false">IF($U169="","",IF(LEN(INDEX('MiT Strom Pipeline'!$V$1:$V$860,$U169))&gt;0,LEFT(INDEX('MiT Strom Pipeline'!$V$1:$V$860,$U169),55),""))</f>
        <v/>
      </c>
      <c r="M169" s="129" t="str">
        <f aca="false">IF($U169="","",IF(INDEX('MiT Strom Pipeline'!$AF$1:$AF$860,$U169)="","",INDEX('MiT Strom Pipeline'!$AF$1:$AF$860,$U169)))</f>
        <v/>
      </c>
      <c r="N169" s="129" t="str">
        <f aca="false">IF($U169="","",IF(INDEX('MiT Strom Pipeline'!$BB$1:$BB$860,$U169)="","",INDEX('MiT Strom Pipeline'!$BB$1:$BB$860,$U169)))</f>
        <v/>
      </c>
      <c r="O169" s="112"/>
      <c r="P169" s="112"/>
      <c r="Q169" s="112"/>
      <c r="R169" s="112"/>
      <c r="S169" s="112"/>
      <c r="U169" s="1" t="str">
        <f aca="false">IFERROR(MATCH(31,'MiT Strom Pipeline'!$AO$6:$AO$860,0)+5,"")</f>
        <v/>
      </c>
    </row>
    <row r="170" customFormat="false" ht="15.75" hidden="false" customHeight="true" outlineLevel="0" collapsed="false">
      <c r="A170" s="128" t="str">
        <f aca="false">IF($U170="","",IF(ISNUMBER(INDEX('MiT Strom Pipeline'!$A$1:$A$860,$U170)),INDEX('MiT Strom Pipeline'!$A$1:$A$860,$U170),""))</f>
        <v/>
      </c>
      <c r="B170" s="129" t="str">
        <f aca="false">IF($U170="","",IF(INDEX('MiT Strom Pipeline'!$B$1:$B$860,$U170)="","",INDEX('MiT Strom Pipeline'!$B$1:$B$860,$U170)))</f>
        <v/>
      </c>
      <c r="C170" s="130" t="str">
        <f aca="false">IF($U170="","",IF(INDEX('MiT Strom Pipeline'!$C$1:$C$860,$U170)="","",INDEX('MiT Strom Pipeline'!$C$1:$C$860,$U170)))</f>
        <v/>
      </c>
      <c r="D170" s="129" t="str">
        <f aca="false">IF($U170="","",IF(INDEX('MiT Strom Pipeline'!$D$1:$D$860,$U170)="","",INDEX('MiT Strom Pipeline'!$D$1:$D$860,$U170)))</f>
        <v/>
      </c>
      <c r="E170" s="131" t="str">
        <f aca="false">IF($U170="","",IF(ISNUMBER(INDEX('MiT Strom Pipeline'!$O$1:$O$860,$U170)),INDEX('MiT Strom Pipeline'!$O$1:$O$860,$U170),IF(INDEX('MiT Strom Pipeline'!$H$1:$H$860,$U170)="","",INDEX('MiT Strom Pipeline'!$H$1:$H$860,$U170))))</f>
        <v/>
      </c>
      <c r="F170" s="131" t="str">
        <f aca="false">IF($U170="","",IF(ISNUMBER(INDEX('MiT Strom Pipeline'!$P$1:$P$860,$U170)),INDEX('MiT Strom Pipeline'!$P$1:$P$860,$U170),""))</f>
        <v/>
      </c>
      <c r="G170" s="132" t="str">
        <f aca="false">IF($U170="","",IF(ISNUMBER(INDEX('MiT Strom Pipeline'!$I$1:$I$860,$U170)),INDEX('MiT Strom Pipeline'!$I$1:$I$860,$U170),0))</f>
        <v/>
      </c>
      <c r="H170" s="132" t="str">
        <f aca="false">IF($U170="","",IF(ISNUMBER(INDEX('MiT Strom Pipeline'!$Q$1:$Q$860,$U170)),INDEX('MiT Strom Pipeline'!$Q$1:$Q$860,$U170),0))</f>
        <v/>
      </c>
      <c r="I170" s="129" t="str">
        <f aca="false">IF($U170="","",IF(INDEX('MiT Strom Pipeline'!$E$1:$E$860,$U170)="","",INDEX('MiT Strom Pipeline'!$E$1:$E$860,$U170)))</f>
        <v/>
      </c>
      <c r="J170" s="130" t="str">
        <f aca="false">IF($U170="","",INDEX('MiT Strom Pipeline'!$R$1:$R$860,$U170))</f>
        <v/>
      </c>
      <c r="K170" s="133" t="str">
        <f aca="false">IF($U170="","",IF(ISNUMBER(INDEX('MiT Strom Pipeline'!$S$1:$S$860,$U170)),INDEX('MiT Strom Pipeline'!$S$1:$S$860,$U170),""))</f>
        <v/>
      </c>
      <c r="L170" s="129" t="str">
        <f aca="false">IF($U170="","",IF(LEN(INDEX('MiT Strom Pipeline'!$V$1:$V$860,$U170))&gt;0,LEFT(INDEX('MiT Strom Pipeline'!$V$1:$V$860,$U170),55),""))</f>
        <v/>
      </c>
      <c r="M170" s="129" t="str">
        <f aca="false">IF($U170="","",IF(INDEX('MiT Strom Pipeline'!$AF$1:$AF$860,$U170)="","",INDEX('MiT Strom Pipeline'!$AF$1:$AF$860,$U170)))</f>
        <v/>
      </c>
      <c r="N170" s="129" t="str">
        <f aca="false">IF($U170="","",IF(INDEX('MiT Strom Pipeline'!$BB$1:$BB$860,$U170)="","",INDEX('MiT Strom Pipeline'!$BB$1:$BB$860,$U170)))</f>
        <v/>
      </c>
      <c r="O170" s="112"/>
      <c r="P170" s="112"/>
      <c r="Q170" s="112"/>
      <c r="R170" s="112"/>
      <c r="S170" s="112"/>
      <c r="U170" s="1" t="str">
        <f aca="false">IFERROR(MATCH(32,'MiT Strom Pipeline'!$AO$6:$AO$860,0)+5,"")</f>
        <v/>
      </c>
    </row>
    <row r="171" customFormat="false" ht="15.75" hidden="false" customHeight="true" outlineLevel="0" collapsed="false">
      <c r="A171" s="128" t="str">
        <f aca="false">IF($U171="","",IF(ISNUMBER(INDEX('MiT Strom Pipeline'!$A$1:$A$860,$U171)),INDEX('MiT Strom Pipeline'!$A$1:$A$860,$U171),""))</f>
        <v/>
      </c>
      <c r="B171" s="129" t="str">
        <f aca="false">IF($U171="","",IF(INDEX('MiT Strom Pipeline'!$B$1:$B$860,$U171)="","",INDEX('MiT Strom Pipeline'!$B$1:$B$860,$U171)))</f>
        <v/>
      </c>
      <c r="C171" s="130" t="str">
        <f aca="false">IF($U171="","",IF(INDEX('MiT Strom Pipeline'!$C$1:$C$860,$U171)="","",INDEX('MiT Strom Pipeline'!$C$1:$C$860,$U171)))</f>
        <v/>
      </c>
      <c r="D171" s="129" t="str">
        <f aca="false">IF($U171="","",IF(INDEX('MiT Strom Pipeline'!$D$1:$D$860,$U171)="","",INDEX('MiT Strom Pipeline'!$D$1:$D$860,$U171)))</f>
        <v/>
      </c>
      <c r="E171" s="131" t="str">
        <f aca="false">IF($U171="","",IF(ISNUMBER(INDEX('MiT Strom Pipeline'!$O$1:$O$860,$U171)),INDEX('MiT Strom Pipeline'!$O$1:$O$860,$U171),IF(INDEX('MiT Strom Pipeline'!$H$1:$H$860,$U171)="","",INDEX('MiT Strom Pipeline'!$H$1:$H$860,$U171))))</f>
        <v/>
      </c>
      <c r="F171" s="131" t="str">
        <f aca="false">IF($U171="","",IF(ISNUMBER(INDEX('MiT Strom Pipeline'!$P$1:$P$860,$U171)),INDEX('MiT Strom Pipeline'!$P$1:$P$860,$U171),""))</f>
        <v/>
      </c>
      <c r="G171" s="132" t="str">
        <f aca="false">IF($U171="","",IF(ISNUMBER(INDEX('MiT Strom Pipeline'!$I$1:$I$860,$U171)),INDEX('MiT Strom Pipeline'!$I$1:$I$860,$U171),0))</f>
        <v/>
      </c>
      <c r="H171" s="132" t="str">
        <f aca="false">IF($U171="","",IF(ISNUMBER(INDEX('MiT Strom Pipeline'!$Q$1:$Q$860,$U171)),INDEX('MiT Strom Pipeline'!$Q$1:$Q$860,$U171),0))</f>
        <v/>
      </c>
      <c r="I171" s="129" t="str">
        <f aca="false">IF($U171="","",IF(INDEX('MiT Strom Pipeline'!$E$1:$E$860,$U171)="","",INDEX('MiT Strom Pipeline'!$E$1:$E$860,$U171)))</f>
        <v/>
      </c>
      <c r="J171" s="130" t="str">
        <f aca="false">IF($U171="","",INDEX('MiT Strom Pipeline'!$R$1:$R$860,$U171))</f>
        <v/>
      </c>
      <c r="K171" s="133" t="str">
        <f aca="false">IF($U171="","",IF(ISNUMBER(INDEX('MiT Strom Pipeline'!$S$1:$S$860,$U171)),INDEX('MiT Strom Pipeline'!$S$1:$S$860,$U171),""))</f>
        <v/>
      </c>
      <c r="L171" s="129" t="str">
        <f aca="false">IF($U171="","",IF(LEN(INDEX('MiT Strom Pipeline'!$V$1:$V$860,$U171))&gt;0,LEFT(INDEX('MiT Strom Pipeline'!$V$1:$V$860,$U171),55),""))</f>
        <v/>
      </c>
      <c r="M171" s="129" t="str">
        <f aca="false">IF($U171="","",IF(INDEX('MiT Strom Pipeline'!$AF$1:$AF$860,$U171)="","",INDEX('MiT Strom Pipeline'!$AF$1:$AF$860,$U171)))</f>
        <v/>
      </c>
      <c r="N171" s="129" t="str">
        <f aca="false">IF($U171="","",IF(INDEX('MiT Strom Pipeline'!$BB$1:$BB$860,$U171)="","",INDEX('MiT Strom Pipeline'!$BB$1:$BB$860,$U171)))</f>
        <v/>
      </c>
      <c r="O171" s="112"/>
      <c r="P171" s="112"/>
      <c r="Q171" s="112"/>
      <c r="R171" s="112"/>
      <c r="S171" s="112"/>
      <c r="U171" s="1" t="str">
        <f aca="false">IFERROR(MATCH(33,'MiT Strom Pipeline'!$AO$6:$AO$860,0)+5,"")</f>
        <v/>
      </c>
    </row>
    <row r="172" customFormat="false" ht="15.75" hidden="false" customHeight="true" outlineLevel="0" collapsed="false">
      <c r="A172" s="128" t="str">
        <f aca="false">IF($U172="","",IF(ISNUMBER(INDEX('MiT Strom Pipeline'!$A$1:$A$860,$U172)),INDEX('MiT Strom Pipeline'!$A$1:$A$860,$U172),""))</f>
        <v/>
      </c>
      <c r="B172" s="129" t="str">
        <f aca="false">IF($U172="","",IF(INDEX('MiT Strom Pipeline'!$B$1:$B$860,$U172)="","",INDEX('MiT Strom Pipeline'!$B$1:$B$860,$U172)))</f>
        <v/>
      </c>
      <c r="C172" s="130" t="str">
        <f aca="false">IF($U172="","",IF(INDEX('MiT Strom Pipeline'!$C$1:$C$860,$U172)="","",INDEX('MiT Strom Pipeline'!$C$1:$C$860,$U172)))</f>
        <v/>
      </c>
      <c r="D172" s="129" t="str">
        <f aca="false">IF($U172="","",IF(INDEX('MiT Strom Pipeline'!$D$1:$D$860,$U172)="","",INDEX('MiT Strom Pipeline'!$D$1:$D$860,$U172)))</f>
        <v/>
      </c>
      <c r="E172" s="131" t="str">
        <f aca="false">IF($U172="","",IF(ISNUMBER(INDEX('MiT Strom Pipeline'!$O$1:$O$860,$U172)),INDEX('MiT Strom Pipeline'!$O$1:$O$860,$U172),IF(INDEX('MiT Strom Pipeline'!$H$1:$H$860,$U172)="","",INDEX('MiT Strom Pipeline'!$H$1:$H$860,$U172))))</f>
        <v/>
      </c>
      <c r="F172" s="131" t="str">
        <f aca="false">IF($U172="","",IF(ISNUMBER(INDEX('MiT Strom Pipeline'!$P$1:$P$860,$U172)),INDEX('MiT Strom Pipeline'!$P$1:$P$860,$U172),""))</f>
        <v/>
      </c>
      <c r="G172" s="132" t="str">
        <f aca="false">IF($U172="","",IF(ISNUMBER(INDEX('MiT Strom Pipeline'!$I$1:$I$860,$U172)),INDEX('MiT Strom Pipeline'!$I$1:$I$860,$U172),0))</f>
        <v/>
      </c>
      <c r="H172" s="132" t="str">
        <f aca="false">IF($U172="","",IF(ISNUMBER(INDEX('MiT Strom Pipeline'!$Q$1:$Q$860,$U172)),INDEX('MiT Strom Pipeline'!$Q$1:$Q$860,$U172),0))</f>
        <v/>
      </c>
      <c r="I172" s="129" t="str">
        <f aca="false">IF($U172="","",IF(INDEX('MiT Strom Pipeline'!$E$1:$E$860,$U172)="","",INDEX('MiT Strom Pipeline'!$E$1:$E$860,$U172)))</f>
        <v/>
      </c>
      <c r="J172" s="130" t="str">
        <f aca="false">IF($U172="","",INDEX('MiT Strom Pipeline'!$R$1:$R$860,$U172))</f>
        <v/>
      </c>
      <c r="K172" s="133" t="str">
        <f aca="false">IF($U172="","",IF(ISNUMBER(INDEX('MiT Strom Pipeline'!$S$1:$S$860,$U172)),INDEX('MiT Strom Pipeline'!$S$1:$S$860,$U172),""))</f>
        <v/>
      </c>
      <c r="L172" s="129" t="str">
        <f aca="false">IF($U172="","",IF(LEN(INDEX('MiT Strom Pipeline'!$V$1:$V$860,$U172))&gt;0,LEFT(INDEX('MiT Strom Pipeline'!$V$1:$V$860,$U172),55),""))</f>
        <v/>
      </c>
      <c r="M172" s="129" t="str">
        <f aca="false">IF($U172="","",IF(INDEX('MiT Strom Pipeline'!$AF$1:$AF$860,$U172)="","",INDEX('MiT Strom Pipeline'!$AF$1:$AF$860,$U172)))</f>
        <v/>
      </c>
      <c r="N172" s="129" t="str">
        <f aca="false">IF($U172="","",IF(INDEX('MiT Strom Pipeline'!$BB$1:$BB$860,$U172)="","",INDEX('MiT Strom Pipeline'!$BB$1:$BB$860,$U172)))</f>
        <v/>
      </c>
      <c r="O172" s="112"/>
      <c r="P172" s="112"/>
      <c r="Q172" s="112"/>
      <c r="R172" s="112"/>
      <c r="S172" s="112"/>
      <c r="U172" s="1" t="str">
        <f aca="false">IFERROR(MATCH(34,'MiT Strom Pipeline'!$AO$6:$AO$860,0)+5,"")</f>
        <v/>
      </c>
    </row>
    <row r="173" customFormat="false" ht="15.75" hidden="false" customHeight="true" outlineLevel="0" collapsed="false">
      <c r="A173" s="128" t="str">
        <f aca="false">IF($U173="","",IF(ISNUMBER(INDEX('MiT Strom Pipeline'!$A$1:$A$860,$U173)),INDEX('MiT Strom Pipeline'!$A$1:$A$860,$U173),""))</f>
        <v/>
      </c>
      <c r="B173" s="129" t="str">
        <f aca="false">IF($U173="","",IF(INDEX('MiT Strom Pipeline'!$B$1:$B$860,$U173)="","",INDEX('MiT Strom Pipeline'!$B$1:$B$860,$U173)))</f>
        <v/>
      </c>
      <c r="C173" s="130" t="str">
        <f aca="false">IF($U173="","",IF(INDEX('MiT Strom Pipeline'!$C$1:$C$860,$U173)="","",INDEX('MiT Strom Pipeline'!$C$1:$C$860,$U173)))</f>
        <v/>
      </c>
      <c r="D173" s="129" t="str">
        <f aca="false">IF($U173="","",IF(INDEX('MiT Strom Pipeline'!$D$1:$D$860,$U173)="","",INDEX('MiT Strom Pipeline'!$D$1:$D$860,$U173)))</f>
        <v/>
      </c>
      <c r="E173" s="131" t="str">
        <f aca="false">IF($U173="","",IF(ISNUMBER(INDEX('MiT Strom Pipeline'!$O$1:$O$860,$U173)),INDEX('MiT Strom Pipeline'!$O$1:$O$860,$U173),IF(INDEX('MiT Strom Pipeline'!$H$1:$H$860,$U173)="","",INDEX('MiT Strom Pipeline'!$H$1:$H$860,$U173))))</f>
        <v/>
      </c>
      <c r="F173" s="131" t="str">
        <f aca="false">IF($U173="","",IF(ISNUMBER(INDEX('MiT Strom Pipeline'!$P$1:$P$860,$U173)),INDEX('MiT Strom Pipeline'!$P$1:$P$860,$U173),""))</f>
        <v/>
      </c>
      <c r="G173" s="132" t="str">
        <f aca="false">IF($U173="","",IF(ISNUMBER(INDEX('MiT Strom Pipeline'!$I$1:$I$860,$U173)),INDEX('MiT Strom Pipeline'!$I$1:$I$860,$U173),0))</f>
        <v/>
      </c>
      <c r="H173" s="132" t="str">
        <f aca="false">IF($U173="","",IF(ISNUMBER(INDEX('MiT Strom Pipeline'!$Q$1:$Q$860,$U173)),INDEX('MiT Strom Pipeline'!$Q$1:$Q$860,$U173),0))</f>
        <v/>
      </c>
      <c r="I173" s="129" t="str">
        <f aca="false">IF($U173="","",IF(INDEX('MiT Strom Pipeline'!$E$1:$E$860,$U173)="","",INDEX('MiT Strom Pipeline'!$E$1:$E$860,$U173)))</f>
        <v/>
      </c>
      <c r="J173" s="130" t="str">
        <f aca="false">IF($U173="","",INDEX('MiT Strom Pipeline'!$R$1:$R$860,$U173))</f>
        <v/>
      </c>
      <c r="K173" s="133" t="str">
        <f aca="false">IF($U173="","",IF(ISNUMBER(INDEX('MiT Strom Pipeline'!$S$1:$S$860,$U173)),INDEX('MiT Strom Pipeline'!$S$1:$S$860,$U173),""))</f>
        <v/>
      </c>
      <c r="L173" s="129" t="str">
        <f aca="false">IF($U173="","",IF(LEN(INDEX('MiT Strom Pipeline'!$V$1:$V$860,$U173))&gt;0,LEFT(INDEX('MiT Strom Pipeline'!$V$1:$V$860,$U173),55),""))</f>
        <v/>
      </c>
      <c r="M173" s="129" t="str">
        <f aca="false">IF($U173="","",IF(INDEX('MiT Strom Pipeline'!$AF$1:$AF$860,$U173)="","",INDEX('MiT Strom Pipeline'!$AF$1:$AF$860,$U173)))</f>
        <v/>
      </c>
      <c r="N173" s="129" t="str">
        <f aca="false">IF($U173="","",IF(INDEX('MiT Strom Pipeline'!$BB$1:$BB$860,$U173)="","",INDEX('MiT Strom Pipeline'!$BB$1:$BB$860,$U173)))</f>
        <v/>
      </c>
      <c r="O173" s="112"/>
      <c r="P173" s="112"/>
      <c r="Q173" s="112"/>
      <c r="R173" s="112"/>
      <c r="S173" s="112"/>
      <c r="U173" s="1" t="str">
        <f aca="false">IFERROR(MATCH(35,'MiT Strom Pipeline'!$AO$6:$AO$860,0)+5,"")</f>
        <v/>
      </c>
    </row>
    <row r="174" customFormat="false" ht="15.75" hidden="false" customHeight="true" outlineLevel="0" collapsed="false">
      <c r="A174" s="128" t="str">
        <f aca="false">IF($U174="","",IF(ISNUMBER(INDEX('MiT Strom Pipeline'!$A$1:$A$860,$U174)),INDEX('MiT Strom Pipeline'!$A$1:$A$860,$U174),""))</f>
        <v/>
      </c>
      <c r="B174" s="129" t="str">
        <f aca="false">IF($U174="","",IF(INDEX('MiT Strom Pipeline'!$B$1:$B$860,$U174)="","",INDEX('MiT Strom Pipeline'!$B$1:$B$860,$U174)))</f>
        <v/>
      </c>
      <c r="C174" s="130" t="str">
        <f aca="false">IF($U174="","",IF(INDEX('MiT Strom Pipeline'!$C$1:$C$860,$U174)="","",INDEX('MiT Strom Pipeline'!$C$1:$C$860,$U174)))</f>
        <v/>
      </c>
      <c r="D174" s="129" t="str">
        <f aca="false">IF($U174="","",IF(INDEX('MiT Strom Pipeline'!$D$1:$D$860,$U174)="","",INDEX('MiT Strom Pipeline'!$D$1:$D$860,$U174)))</f>
        <v/>
      </c>
      <c r="E174" s="131" t="str">
        <f aca="false">IF($U174="","",IF(ISNUMBER(INDEX('MiT Strom Pipeline'!$O$1:$O$860,$U174)),INDEX('MiT Strom Pipeline'!$O$1:$O$860,$U174),IF(INDEX('MiT Strom Pipeline'!$H$1:$H$860,$U174)="","",INDEX('MiT Strom Pipeline'!$H$1:$H$860,$U174))))</f>
        <v/>
      </c>
      <c r="F174" s="131" t="str">
        <f aca="false">IF($U174="","",IF(ISNUMBER(INDEX('MiT Strom Pipeline'!$P$1:$P$860,$U174)),INDEX('MiT Strom Pipeline'!$P$1:$P$860,$U174),""))</f>
        <v/>
      </c>
      <c r="G174" s="132" t="str">
        <f aca="false">IF($U174="","",IF(ISNUMBER(INDEX('MiT Strom Pipeline'!$I$1:$I$860,$U174)),INDEX('MiT Strom Pipeline'!$I$1:$I$860,$U174),0))</f>
        <v/>
      </c>
      <c r="H174" s="132" t="str">
        <f aca="false">IF($U174="","",IF(ISNUMBER(INDEX('MiT Strom Pipeline'!$Q$1:$Q$860,$U174)),INDEX('MiT Strom Pipeline'!$Q$1:$Q$860,$U174),0))</f>
        <v/>
      </c>
      <c r="I174" s="129" t="str">
        <f aca="false">IF($U174="","",IF(INDEX('MiT Strom Pipeline'!$E$1:$E$860,$U174)="","",INDEX('MiT Strom Pipeline'!$E$1:$E$860,$U174)))</f>
        <v/>
      </c>
      <c r="J174" s="130" t="str">
        <f aca="false">IF($U174="","",INDEX('MiT Strom Pipeline'!$R$1:$R$860,$U174))</f>
        <v/>
      </c>
      <c r="K174" s="133" t="str">
        <f aca="false">IF($U174="","",IF(ISNUMBER(INDEX('MiT Strom Pipeline'!$S$1:$S$860,$U174)),INDEX('MiT Strom Pipeline'!$S$1:$S$860,$U174),""))</f>
        <v/>
      </c>
      <c r="L174" s="129" t="str">
        <f aca="false">IF($U174="","",IF(LEN(INDEX('MiT Strom Pipeline'!$V$1:$V$860,$U174))&gt;0,LEFT(INDEX('MiT Strom Pipeline'!$V$1:$V$860,$U174),55),""))</f>
        <v/>
      </c>
      <c r="M174" s="129" t="str">
        <f aca="false">IF($U174="","",IF(INDEX('MiT Strom Pipeline'!$AF$1:$AF$860,$U174)="","",INDEX('MiT Strom Pipeline'!$AF$1:$AF$860,$U174)))</f>
        <v/>
      </c>
      <c r="N174" s="129" t="str">
        <f aca="false">IF($U174="","",IF(INDEX('MiT Strom Pipeline'!$BB$1:$BB$860,$U174)="","",INDEX('MiT Strom Pipeline'!$BB$1:$BB$860,$U174)))</f>
        <v/>
      </c>
      <c r="O174" s="112"/>
      <c r="P174" s="112"/>
      <c r="Q174" s="112"/>
      <c r="R174" s="112"/>
      <c r="S174" s="112"/>
      <c r="U174" s="1" t="str">
        <f aca="false">IFERROR(MATCH(36,'MiT Strom Pipeline'!$AO$6:$AO$860,0)+5,"")</f>
        <v/>
      </c>
    </row>
    <row r="175" customFormat="false" ht="15.75" hidden="false" customHeight="true" outlineLevel="0" collapsed="false">
      <c r="A175" s="128" t="str">
        <f aca="false">IF($U175="","",IF(ISNUMBER(INDEX('MiT Strom Pipeline'!$A$1:$A$860,$U175)),INDEX('MiT Strom Pipeline'!$A$1:$A$860,$U175),""))</f>
        <v/>
      </c>
      <c r="B175" s="129" t="str">
        <f aca="false">IF($U175="","",IF(INDEX('MiT Strom Pipeline'!$B$1:$B$860,$U175)="","",INDEX('MiT Strom Pipeline'!$B$1:$B$860,$U175)))</f>
        <v/>
      </c>
      <c r="C175" s="130" t="str">
        <f aca="false">IF($U175="","",IF(INDEX('MiT Strom Pipeline'!$C$1:$C$860,$U175)="","",INDEX('MiT Strom Pipeline'!$C$1:$C$860,$U175)))</f>
        <v/>
      </c>
      <c r="D175" s="129" t="str">
        <f aca="false">IF($U175="","",IF(INDEX('MiT Strom Pipeline'!$D$1:$D$860,$U175)="","",INDEX('MiT Strom Pipeline'!$D$1:$D$860,$U175)))</f>
        <v/>
      </c>
      <c r="E175" s="131" t="str">
        <f aca="false">IF($U175="","",IF(ISNUMBER(INDEX('MiT Strom Pipeline'!$O$1:$O$860,$U175)),INDEX('MiT Strom Pipeline'!$O$1:$O$860,$U175),IF(INDEX('MiT Strom Pipeline'!$H$1:$H$860,$U175)="","",INDEX('MiT Strom Pipeline'!$H$1:$H$860,$U175))))</f>
        <v/>
      </c>
      <c r="F175" s="131" t="str">
        <f aca="false">IF($U175="","",IF(ISNUMBER(INDEX('MiT Strom Pipeline'!$P$1:$P$860,$U175)),INDEX('MiT Strom Pipeline'!$P$1:$P$860,$U175),""))</f>
        <v/>
      </c>
      <c r="G175" s="132" t="str">
        <f aca="false">IF($U175="","",IF(ISNUMBER(INDEX('MiT Strom Pipeline'!$I$1:$I$860,$U175)),INDEX('MiT Strom Pipeline'!$I$1:$I$860,$U175),0))</f>
        <v/>
      </c>
      <c r="H175" s="132" t="str">
        <f aca="false">IF($U175="","",IF(ISNUMBER(INDEX('MiT Strom Pipeline'!$Q$1:$Q$860,$U175)),INDEX('MiT Strom Pipeline'!$Q$1:$Q$860,$U175),0))</f>
        <v/>
      </c>
      <c r="I175" s="129" t="str">
        <f aca="false">IF($U175="","",IF(INDEX('MiT Strom Pipeline'!$E$1:$E$860,$U175)="","",INDEX('MiT Strom Pipeline'!$E$1:$E$860,$U175)))</f>
        <v/>
      </c>
      <c r="J175" s="130" t="str">
        <f aca="false">IF($U175="","",INDEX('MiT Strom Pipeline'!$R$1:$R$860,$U175))</f>
        <v/>
      </c>
      <c r="K175" s="133" t="str">
        <f aca="false">IF($U175="","",IF(ISNUMBER(INDEX('MiT Strom Pipeline'!$S$1:$S$860,$U175)),INDEX('MiT Strom Pipeline'!$S$1:$S$860,$U175),""))</f>
        <v/>
      </c>
      <c r="L175" s="129" t="str">
        <f aca="false">IF($U175="","",IF(LEN(INDEX('MiT Strom Pipeline'!$V$1:$V$860,$U175))&gt;0,LEFT(INDEX('MiT Strom Pipeline'!$V$1:$V$860,$U175),55),""))</f>
        <v/>
      </c>
      <c r="M175" s="129" t="str">
        <f aca="false">IF($U175="","",IF(INDEX('MiT Strom Pipeline'!$AF$1:$AF$860,$U175)="","",INDEX('MiT Strom Pipeline'!$AF$1:$AF$860,$U175)))</f>
        <v/>
      </c>
      <c r="N175" s="129" t="str">
        <f aca="false">IF($U175="","",IF(INDEX('MiT Strom Pipeline'!$BB$1:$BB$860,$U175)="","",INDEX('MiT Strom Pipeline'!$BB$1:$BB$860,$U175)))</f>
        <v/>
      </c>
      <c r="O175" s="112"/>
      <c r="P175" s="112"/>
      <c r="Q175" s="112"/>
      <c r="R175" s="112"/>
      <c r="S175" s="112"/>
      <c r="U175" s="1" t="str">
        <f aca="false">IFERROR(MATCH(37,'MiT Strom Pipeline'!$AO$6:$AO$860,0)+5,"")</f>
        <v/>
      </c>
    </row>
    <row r="176" customFormat="false" ht="15.75" hidden="false" customHeight="true" outlineLevel="0" collapsed="false">
      <c r="A176" s="128" t="str">
        <f aca="false">IF($U176="","",IF(ISNUMBER(INDEX('MiT Strom Pipeline'!$A$1:$A$860,$U176)),INDEX('MiT Strom Pipeline'!$A$1:$A$860,$U176),""))</f>
        <v/>
      </c>
      <c r="B176" s="129" t="str">
        <f aca="false">IF($U176="","",IF(INDEX('MiT Strom Pipeline'!$B$1:$B$860,$U176)="","",INDEX('MiT Strom Pipeline'!$B$1:$B$860,$U176)))</f>
        <v/>
      </c>
      <c r="C176" s="130" t="str">
        <f aca="false">IF($U176="","",IF(INDEX('MiT Strom Pipeline'!$C$1:$C$860,$U176)="","",INDEX('MiT Strom Pipeline'!$C$1:$C$860,$U176)))</f>
        <v/>
      </c>
      <c r="D176" s="129" t="str">
        <f aca="false">IF($U176="","",IF(INDEX('MiT Strom Pipeline'!$D$1:$D$860,$U176)="","",INDEX('MiT Strom Pipeline'!$D$1:$D$860,$U176)))</f>
        <v/>
      </c>
      <c r="E176" s="131" t="str">
        <f aca="false">IF($U176="","",IF(ISNUMBER(INDEX('MiT Strom Pipeline'!$O$1:$O$860,$U176)),INDEX('MiT Strom Pipeline'!$O$1:$O$860,$U176),IF(INDEX('MiT Strom Pipeline'!$H$1:$H$860,$U176)="","",INDEX('MiT Strom Pipeline'!$H$1:$H$860,$U176))))</f>
        <v/>
      </c>
      <c r="F176" s="131" t="str">
        <f aca="false">IF($U176="","",IF(ISNUMBER(INDEX('MiT Strom Pipeline'!$P$1:$P$860,$U176)),INDEX('MiT Strom Pipeline'!$P$1:$P$860,$U176),""))</f>
        <v/>
      </c>
      <c r="G176" s="132" t="str">
        <f aca="false">IF($U176="","",IF(ISNUMBER(INDEX('MiT Strom Pipeline'!$I$1:$I$860,$U176)),INDEX('MiT Strom Pipeline'!$I$1:$I$860,$U176),0))</f>
        <v/>
      </c>
      <c r="H176" s="132" t="str">
        <f aca="false">IF($U176="","",IF(ISNUMBER(INDEX('MiT Strom Pipeline'!$Q$1:$Q$860,$U176)),INDEX('MiT Strom Pipeline'!$Q$1:$Q$860,$U176),0))</f>
        <v/>
      </c>
      <c r="I176" s="129" t="str">
        <f aca="false">IF($U176="","",IF(INDEX('MiT Strom Pipeline'!$E$1:$E$860,$U176)="","",INDEX('MiT Strom Pipeline'!$E$1:$E$860,$U176)))</f>
        <v/>
      </c>
      <c r="J176" s="130" t="str">
        <f aca="false">IF($U176="","",INDEX('MiT Strom Pipeline'!$R$1:$R$860,$U176))</f>
        <v/>
      </c>
      <c r="K176" s="133" t="str">
        <f aca="false">IF($U176="","",IF(ISNUMBER(INDEX('MiT Strom Pipeline'!$S$1:$S$860,$U176)),INDEX('MiT Strom Pipeline'!$S$1:$S$860,$U176),""))</f>
        <v/>
      </c>
      <c r="L176" s="129" t="str">
        <f aca="false">IF($U176="","",IF(LEN(INDEX('MiT Strom Pipeline'!$V$1:$V$860,$U176))&gt;0,LEFT(INDEX('MiT Strom Pipeline'!$V$1:$V$860,$U176),55),""))</f>
        <v/>
      </c>
      <c r="M176" s="129" t="str">
        <f aca="false">IF($U176="","",IF(INDEX('MiT Strom Pipeline'!$AF$1:$AF$860,$U176)="","",INDEX('MiT Strom Pipeline'!$AF$1:$AF$860,$U176)))</f>
        <v/>
      </c>
      <c r="N176" s="129" t="str">
        <f aca="false">IF($U176="","",IF(INDEX('MiT Strom Pipeline'!$BB$1:$BB$860,$U176)="","",INDEX('MiT Strom Pipeline'!$BB$1:$BB$860,$U176)))</f>
        <v/>
      </c>
      <c r="O176" s="112"/>
      <c r="P176" s="112"/>
      <c r="Q176" s="112"/>
      <c r="R176" s="112"/>
      <c r="S176" s="112"/>
      <c r="U176" s="1" t="str">
        <f aca="false">IFERROR(MATCH(38,'MiT Strom Pipeline'!$AO$6:$AO$860,0)+5,"")</f>
        <v/>
      </c>
    </row>
    <row r="177" customFormat="false" ht="15.75" hidden="false" customHeight="true" outlineLevel="0" collapsed="false">
      <c r="A177" s="128" t="str">
        <f aca="false">IF($U177="","",IF(ISNUMBER(INDEX('MiT Strom Pipeline'!$A$1:$A$860,$U177)),INDEX('MiT Strom Pipeline'!$A$1:$A$860,$U177),""))</f>
        <v/>
      </c>
      <c r="B177" s="129" t="str">
        <f aca="false">IF($U177="","",IF(INDEX('MiT Strom Pipeline'!$B$1:$B$860,$U177)="","",INDEX('MiT Strom Pipeline'!$B$1:$B$860,$U177)))</f>
        <v/>
      </c>
      <c r="C177" s="130" t="str">
        <f aca="false">IF($U177="","",IF(INDEX('MiT Strom Pipeline'!$C$1:$C$860,$U177)="","",INDEX('MiT Strom Pipeline'!$C$1:$C$860,$U177)))</f>
        <v/>
      </c>
      <c r="D177" s="129" t="str">
        <f aca="false">IF($U177="","",IF(INDEX('MiT Strom Pipeline'!$D$1:$D$860,$U177)="","",INDEX('MiT Strom Pipeline'!$D$1:$D$860,$U177)))</f>
        <v/>
      </c>
      <c r="E177" s="131" t="str">
        <f aca="false">IF($U177="","",IF(ISNUMBER(INDEX('MiT Strom Pipeline'!$O$1:$O$860,$U177)),INDEX('MiT Strom Pipeline'!$O$1:$O$860,$U177),IF(INDEX('MiT Strom Pipeline'!$H$1:$H$860,$U177)="","",INDEX('MiT Strom Pipeline'!$H$1:$H$860,$U177))))</f>
        <v/>
      </c>
      <c r="F177" s="131" t="str">
        <f aca="false">IF($U177="","",IF(ISNUMBER(INDEX('MiT Strom Pipeline'!$P$1:$P$860,$U177)),INDEX('MiT Strom Pipeline'!$P$1:$P$860,$U177),""))</f>
        <v/>
      </c>
      <c r="G177" s="132" t="str">
        <f aca="false">IF($U177="","",IF(ISNUMBER(INDEX('MiT Strom Pipeline'!$I$1:$I$860,$U177)),INDEX('MiT Strom Pipeline'!$I$1:$I$860,$U177),0))</f>
        <v/>
      </c>
      <c r="H177" s="132" t="str">
        <f aca="false">IF($U177="","",IF(ISNUMBER(INDEX('MiT Strom Pipeline'!$Q$1:$Q$860,$U177)),INDEX('MiT Strom Pipeline'!$Q$1:$Q$860,$U177),0))</f>
        <v/>
      </c>
      <c r="I177" s="129" t="str">
        <f aca="false">IF($U177="","",IF(INDEX('MiT Strom Pipeline'!$E$1:$E$860,$U177)="","",INDEX('MiT Strom Pipeline'!$E$1:$E$860,$U177)))</f>
        <v/>
      </c>
      <c r="J177" s="130" t="str">
        <f aca="false">IF($U177="","",INDEX('MiT Strom Pipeline'!$R$1:$R$860,$U177))</f>
        <v/>
      </c>
      <c r="K177" s="133" t="str">
        <f aca="false">IF($U177="","",IF(ISNUMBER(INDEX('MiT Strom Pipeline'!$S$1:$S$860,$U177)),INDEX('MiT Strom Pipeline'!$S$1:$S$860,$U177),""))</f>
        <v/>
      </c>
      <c r="L177" s="129" t="str">
        <f aca="false">IF($U177="","",IF(LEN(INDEX('MiT Strom Pipeline'!$V$1:$V$860,$U177))&gt;0,LEFT(INDEX('MiT Strom Pipeline'!$V$1:$V$860,$U177),55),""))</f>
        <v/>
      </c>
      <c r="M177" s="129" t="str">
        <f aca="false">IF($U177="","",IF(INDEX('MiT Strom Pipeline'!$AF$1:$AF$860,$U177)="","",INDEX('MiT Strom Pipeline'!$AF$1:$AF$860,$U177)))</f>
        <v/>
      </c>
      <c r="N177" s="129" t="str">
        <f aca="false">IF($U177="","",IF(INDEX('MiT Strom Pipeline'!$BB$1:$BB$860,$U177)="","",INDEX('MiT Strom Pipeline'!$BB$1:$BB$860,$U177)))</f>
        <v/>
      </c>
      <c r="O177" s="112"/>
      <c r="P177" s="112"/>
      <c r="Q177" s="112"/>
      <c r="R177" s="112"/>
      <c r="S177" s="112"/>
      <c r="U177" s="1" t="str">
        <f aca="false">IFERROR(MATCH(39,'MiT Strom Pipeline'!$AO$6:$AO$860,0)+5,"")</f>
        <v/>
      </c>
    </row>
    <row r="178" customFormat="false" ht="15.75" hidden="false" customHeight="true" outlineLevel="0" collapsed="false">
      <c r="A178" s="128" t="str">
        <f aca="false">IF($U178="","",IF(ISNUMBER(INDEX('MiT Strom Pipeline'!$A$1:$A$860,$U178)),INDEX('MiT Strom Pipeline'!$A$1:$A$860,$U178),""))</f>
        <v/>
      </c>
      <c r="B178" s="129" t="str">
        <f aca="false">IF($U178="","",IF(INDEX('MiT Strom Pipeline'!$B$1:$B$860,$U178)="","",INDEX('MiT Strom Pipeline'!$B$1:$B$860,$U178)))</f>
        <v/>
      </c>
      <c r="C178" s="130" t="str">
        <f aca="false">IF($U178="","",IF(INDEX('MiT Strom Pipeline'!$C$1:$C$860,$U178)="","",INDEX('MiT Strom Pipeline'!$C$1:$C$860,$U178)))</f>
        <v/>
      </c>
      <c r="D178" s="129" t="str">
        <f aca="false">IF($U178="","",IF(INDEX('MiT Strom Pipeline'!$D$1:$D$860,$U178)="","",INDEX('MiT Strom Pipeline'!$D$1:$D$860,$U178)))</f>
        <v/>
      </c>
      <c r="E178" s="131" t="str">
        <f aca="false">IF($U178="","",IF(ISNUMBER(INDEX('MiT Strom Pipeline'!$O$1:$O$860,$U178)),INDEX('MiT Strom Pipeline'!$O$1:$O$860,$U178),IF(INDEX('MiT Strom Pipeline'!$H$1:$H$860,$U178)="","",INDEX('MiT Strom Pipeline'!$H$1:$H$860,$U178))))</f>
        <v/>
      </c>
      <c r="F178" s="131" t="str">
        <f aca="false">IF($U178="","",IF(ISNUMBER(INDEX('MiT Strom Pipeline'!$P$1:$P$860,$U178)),INDEX('MiT Strom Pipeline'!$P$1:$P$860,$U178),""))</f>
        <v/>
      </c>
      <c r="G178" s="132" t="str">
        <f aca="false">IF($U178="","",IF(ISNUMBER(INDEX('MiT Strom Pipeline'!$I$1:$I$860,$U178)),INDEX('MiT Strom Pipeline'!$I$1:$I$860,$U178),0))</f>
        <v/>
      </c>
      <c r="H178" s="132" t="str">
        <f aca="false">IF($U178="","",IF(ISNUMBER(INDEX('MiT Strom Pipeline'!$Q$1:$Q$860,$U178)),INDEX('MiT Strom Pipeline'!$Q$1:$Q$860,$U178),0))</f>
        <v/>
      </c>
      <c r="I178" s="129" t="str">
        <f aca="false">IF($U178="","",IF(INDEX('MiT Strom Pipeline'!$E$1:$E$860,$U178)="","",INDEX('MiT Strom Pipeline'!$E$1:$E$860,$U178)))</f>
        <v/>
      </c>
      <c r="J178" s="130" t="str">
        <f aca="false">IF($U178="","",INDEX('MiT Strom Pipeline'!$R$1:$R$860,$U178))</f>
        <v/>
      </c>
      <c r="K178" s="133" t="str">
        <f aca="false">IF($U178="","",IF(ISNUMBER(INDEX('MiT Strom Pipeline'!$S$1:$S$860,$U178)),INDEX('MiT Strom Pipeline'!$S$1:$S$860,$U178),""))</f>
        <v/>
      </c>
      <c r="L178" s="129" t="str">
        <f aca="false">IF($U178="","",IF(LEN(INDEX('MiT Strom Pipeline'!$V$1:$V$860,$U178))&gt;0,LEFT(INDEX('MiT Strom Pipeline'!$V$1:$V$860,$U178),55),""))</f>
        <v/>
      </c>
      <c r="M178" s="129" t="str">
        <f aca="false">IF($U178="","",IF(INDEX('MiT Strom Pipeline'!$AF$1:$AF$860,$U178)="","",INDEX('MiT Strom Pipeline'!$AF$1:$AF$860,$U178)))</f>
        <v/>
      </c>
      <c r="N178" s="129" t="str">
        <f aca="false">IF($U178="","",IF(INDEX('MiT Strom Pipeline'!$BB$1:$BB$860,$U178)="","",INDEX('MiT Strom Pipeline'!$BB$1:$BB$860,$U178)))</f>
        <v/>
      </c>
      <c r="O178" s="112"/>
      <c r="P178" s="112"/>
      <c r="Q178" s="112"/>
      <c r="R178" s="112"/>
      <c r="S178" s="112"/>
      <c r="U178" s="1" t="str">
        <f aca="false">IFERROR(MATCH(40,'MiT Strom Pipeline'!$AO$6:$AO$860,0)+5,"")</f>
        <v/>
      </c>
    </row>
    <row r="179" customFormat="false" ht="15.75" hidden="false" customHeight="true" outlineLevel="0" collapsed="false">
      <c r="A179" s="128" t="str">
        <f aca="false">IF($U179="","",IF(ISNUMBER(INDEX('MiT Strom Pipeline'!$A$1:$A$860,$U179)),INDEX('MiT Strom Pipeline'!$A$1:$A$860,$U179),""))</f>
        <v/>
      </c>
      <c r="B179" s="129" t="str">
        <f aca="false">IF($U179="","",IF(INDEX('MiT Strom Pipeline'!$B$1:$B$860,$U179)="","",INDEX('MiT Strom Pipeline'!$B$1:$B$860,$U179)))</f>
        <v/>
      </c>
      <c r="C179" s="130" t="str">
        <f aca="false">IF($U179="","",IF(INDEX('MiT Strom Pipeline'!$C$1:$C$860,$U179)="","",INDEX('MiT Strom Pipeline'!$C$1:$C$860,$U179)))</f>
        <v/>
      </c>
      <c r="D179" s="129" t="str">
        <f aca="false">IF($U179="","",IF(INDEX('MiT Strom Pipeline'!$D$1:$D$860,$U179)="","",INDEX('MiT Strom Pipeline'!$D$1:$D$860,$U179)))</f>
        <v/>
      </c>
      <c r="E179" s="131" t="str">
        <f aca="false">IF($U179="","",IF(ISNUMBER(INDEX('MiT Strom Pipeline'!$O$1:$O$860,$U179)),INDEX('MiT Strom Pipeline'!$O$1:$O$860,$U179),IF(INDEX('MiT Strom Pipeline'!$H$1:$H$860,$U179)="","",INDEX('MiT Strom Pipeline'!$H$1:$H$860,$U179))))</f>
        <v/>
      </c>
      <c r="F179" s="131" t="str">
        <f aca="false">IF($U179="","",IF(ISNUMBER(INDEX('MiT Strom Pipeline'!$P$1:$P$860,$U179)),INDEX('MiT Strom Pipeline'!$P$1:$P$860,$U179),""))</f>
        <v/>
      </c>
      <c r="G179" s="132" t="str">
        <f aca="false">IF($U179="","",IF(ISNUMBER(INDEX('MiT Strom Pipeline'!$I$1:$I$860,$U179)),INDEX('MiT Strom Pipeline'!$I$1:$I$860,$U179),0))</f>
        <v/>
      </c>
      <c r="H179" s="132" t="str">
        <f aca="false">IF($U179="","",IF(ISNUMBER(INDEX('MiT Strom Pipeline'!$Q$1:$Q$860,$U179)),INDEX('MiT Strom Pipeline'!$Q$1:$Q$860,$U179),0))</f>
        <v/>
      </c>
      <c r="I179" s="129" t="str">
        <f aca="false">IF($U179="","",IF(INDEX('MiT Strom Pipeline'!$E$1:$E$860,$U179)="","",INDEX('MiT Strom Pipeline'!$E$1:$E$860,$U179)))</f>
        <v/>
      </c>
      <c r="J179" s="130" t="str">
        <f aca="false">IF($U179="","",INDEX('MiT Strom Pipeline'!$R$1:$R$860,$U179))</f>
        <v/>
      </c>
      <c r="K179" s="133" t="str">
        <f aca="false">IF($U179="","",IF(ISNUMBER(INDEX('MiT Strom Pipeline'!$S$1:$S$860,$U179)),INDEX('MiT Strom Pipeline'!$S$1:$S$860,$U179),""))</f>
        <v/>
      </c>
      <c r="L179" s="129" t="str">
        <f aca="false">IF($U179="","",IF(LEN(INDEX('MiT Strom Pipeline'!$V$1:$V$860,$U179))&gt;0,LEFT(INDEX('MiT Strom Pipeline'!$V$1:$V$860,$U179),55),""))</f>
        <v/>
      </c>
      <c r="M179" s="129" t="str">
        <f aca="false">IF($U179="","",IF(INDEX('MiT Strom Pipeline'!$AF$1:$AF$860,$U179)="","",INDEX('MiT Strom Pipeline'!$AF$1:$AF$860,$U179)))</f>
        <v/>
      </c>
      <c r="N179" s="129" t="str">
        <f aca="false">IF($U179="","",IF(INDEX('MiT Strom Pipeline'!$BB$1:$BB$860,$U179)="","",INDEX('MiT Strom Pipeline'!$BB$1:$BB$860,$U179)))</f>
        <v/>
      </c>
      <c r="O179" s="112"/>
      <c r="P179" s="112"/>
      <c r="Q179" s="112"/>
      <c r="R179" s="112"/>
      <c r="S179" s="112"/>
      <c r="U179" s="1" t="str">
        <f aca="false">IFERROR(MATCH(41,'MiT Strom Pipeline'!$AO$6:$AO$860,0)+5,"")</f>
        <v/>
      </c>
    </row>
    <row r="180" customFormat="false" ht="15.75" hidden="false" customHeight="true" outlineLevel="0" collapsed="false">
      <c r="A180" s="128" t="str">
        <f aca="false">IF($U180="","",IF(ISNUMBER(INDEX('MiT Strom Pipeline'!$A$1:$A$860,$U180)),INDEX('MiT Strom Pipeline'!$A$1:$A$860,$U180),""))</f>
        <v/>
      </c>
      <c r="B180" s="129" t="str">
        <f aca="false">IF($U180="","",IF(INDEX('MiT Strom Pipeline'!$B$1:$B$860,$U180)="","",INDEX('MiT Strom Pipeline'!$B$1:$B$860,$U180)))</f>
        <v/>
      </c>
      <c r="C180" s="130" t="str">
        <f aca="false">IF($U180="","",IF(INDEX('MiT Strom Pipeline'!$C$1:$C$860,$U180)="","",INDEX('MiT Strom Pipeline'!$C$1:$C$860,$U180)))</f>
        <v/>
      </c>
      <c r="D180" s="129" t="str">
        <f aca="false">IF($U180="","",IF(INDEX('MiT Strom Pipeline'!$D$1:$D$860,$U180)="","",INDEX('MiT Strom Pipeline'!$D$1:$D$860,$U180)))</f>
        <v/>
      </c>
      <c r="E180" s="131" t="str">
        <f aca="false">IF($U180="","",IF(ISNUMBER(INDEX('MiT Strom Pipeline'!$O$1:$O$860,$U180)),INDEX('MiT Strom Pipeline'!$O$1:$O$860,$U180),IF(INDEX('MiT Strom Pipeline'!$H$1:$H$860,$U180)="","",INDEX('MiT Strom Pipeline'!$H$1:$H$860,$U180))))</f>
        <v/>
      </c>
      <c r="F180" s="131" t="str">
        <f aca="false">IF($U180="","",IF(ISNUMBER(INDEX('MiT Strom Pipeline'!$P$1:$P$860,$U180)),INDEX('MiT Strom Pipeline'!$P$1:$P$860,$U180),""))</f>
        <v/>
      </c>
      <c r="G180" s="132" t="str">
        <f aca="false">IF($U180="","",IF(ISNUMBER(INDEX('MiT Strom Pipeline'!$I$1:$I$860,$U180)),INDEX('MiT Strom Pipeline'!$I$1:$I$860,$U180),0))</f>
        <v/>
      </c>
      <c r="H180" s="132" t="str">
        <f aca="false">IF($U180="","",IF(ISNUMBER(INDEX('MiT Strom Pipeline'!$Q$1:$Q$860,$U180)),INDEX('MiT Strom Pipeline'!$Q$1:$Q$860,$U180),0))</f>
        <v/>
      </c>
      <c r="I180" s="129" t="str">
        <f aca="false">IF($U180="","",IF(INDEX('MiT Strom Pipeline'!$E$1:$E$860,$U180)="","",INDEX('MiT Strom Pipeline'!$E$1:$E$860,$U180)))</f>
        <v/>
      </c>
      <c r="J180" s="130" t="str">
        <f aca="false">IF($U180="","",INDEX('MiT Strom Pipeline'!$R$1:$R$860,$U180))</f>
        <v/>
      </c>
      <c r="K180" s="133" t="str">
        <f aca="false">IF($U180="","",IF(ISNUMBER(INDEX('MiT Strom Pipeline'!$S$1:$S$860,$U180)),INDEX('MiT Strom Pipeline'!$S$1:$S$860,$U180),""))</f>
        <v/>
      </c>
      <c r="L180" s="129" t="str">
        <f aca="false">IF($U180="","",IF(LEN(INDEX('MiT Strom Pipeline'!$V$1:$V$860,$U180))&gt;0,LEFT(INDEX('MiT Strom Pipeline'!$V$1:$V$860,$U180),55),""))</f>
        <v/>
      </c>
      <c r="M180" s="129" t="str">
        <f aca="false">IF($U180="","",IF(INDEX('MiT Strom Pipeline'!$AF$1:$AF$860,$U180)="","",INDEX('MiT Strom Pipeline'!$AF$1:$AF$860,$U180)))</f>
        <v/>
      </c>
      <c r="N180" s="129" t="str">
        <f aca="false">IF($U180="","",IF(INDEX('MiT Strom Pipeline'!$BB$1:$BB$860,$U180)="","",INDEX('MiT Strom Pipeline'!$BB$1:$BB$860,$U180)))</f>
        <v/>
      </c>
      <c r="O180" s="112"/>
      <c r="P180" s="112"/>
      <c r="Q180" s="112"/>
      <c r="R180" s="112"/>
      <c r="S180" s="112"/>
      <c r="U180" s="1" t="str">
        <f aca="false">IFERROR(MATCH(42,'MiT Strom Pipeline'!$AO$6:$AO$860,0)+5,"")</f>
        <v/>
      </c>
    </row>
    <row r="181" customFormat="false" ht="15.75" hidden="false" customHeight="true" outlineLevel="0" collapsed="false">
      <c r="A181" s="128" t="str">
        <f aca="false">IF($U181="","",IF(ISNUMBER(INDEX('MiT Strom Pipeline'!$A$1:$A$860,$U181)),INDEX('MiT Strom Pipeline'!$A$1:$A$860,$U181),""))</f>
        <v/>
      </c>
      <c r="B181" s="129" t="str">
        <f aca="false">IF($U181="","",IF(INDEX('MiT Strom Pipeline'!$B$1:$B$860,$U181)="","",INDEX('MiT Strom Pipeline'!$B$1:$B$860,$U181)))</f>
        <v/>
      </c>
      <c r="C181" s="130" t="str">
        <f aca="false">IF($U181="","",IF(INDEX('MiT Strom Pipeline'!$C$1:$C$860,$U181)="","",INDEX('MiT Strom Pipeline'!$C$1:$C$860,$U181)))</f>
        <v/>
      </c>
      <c r="D181" s="129" t="str">
        <f aca="false">IF($U181="","",IF(INDEX('MiT Strom Pipeline'!$D$1:$D$860,$U181)="","",INDEX('MiT Strom Pipeline'!$D$1:$D$860,$U181)))</f>
        <v/>
      </c>
      <c r="E181" s="131" t="str">
        <f aca="false">IF($U181="","",IF(ISNUMBER(INDEX('MiT Strom Pipeline'!$O$1:$O$860,$U181)),INDEX('MiT Strom Pipeline'!$O$1:$O$860,$U181),IF(INDEX('MiT Strom Pipeline'!$H$1:$H$860,$U181)="","",INDEX('MiT Strom Pipeline'!$H$1:$H$860,$U181))))</f>
        <v/>
      </c>
      <c r="F181" s="131" t="str">
        <f aca="false">IF($U181="","",IF(ISNUMBER(INDEX('MiT Strom Pipeline'!$P$1:$P$860,$U181)),INDEX('MiT Strom Pipeline'!$P$1:$P$860,$U181),""))</f>
        <v/>
      </c>
      <c r="G181" s="132" t="str">
        <f aca="false">IF($U181="","",IF(ISNUMBER(INDEX('MiT Strom Pipeline'!$I$1:$I$860,$U181)),INDEX('MiT Strom Pipeline'!$I$1:$I$860,$U181),0))</f>
        <v/>
      </c>
      <c r="H181" s="132" t="str">
        <f aca="false">IF($U181="","",IF(ISNUMBER(INDEX('MiT Strom Pipeline'!$Q$1:$Q$860,$U181)),INDEX('MiT Strom Pipeline'!$Q$1:$Q$860,$U181),0))</f>
        <v/>
      </c>
      <c r="I181" s="129" t="str">
        <f aca="false">IF($U181="","",IF(INDEX('MiT Strom Pipeline'!$E$1:$E$860,$U181)="","",INDEX('MiT Strom Pipeline'!$E$1:$E$860,$U181)))</f>
        <v/>
      </c>
      <c r="J181" s="130" t="str">
        <f aca="false">IF($U181="","",INDEX('MiT Strom Pipeline'!$R$1:$R$860,$U181))</f>
        <v/>
      </c>
      <c r="K181" s="133" t="str">
        <f aca="false">IF($U181="","",IF(ISNUMBER(INDEX('MiT Strom Pipeline'!$S$1:$S$860,$U181)),INDEX('MiT Strom Pipeline'!$S$1:$S$860,$U181),""))</f>
        <v/>
      </c>
      <c r="L181" s="129" t="str">
        <f aca="false">IF($U181="","",IF(LEN(INDEX('MiT Strom Pipeline'!$V$1:$V$860,$U181))&gt;0,LEFT(INDEX('MiT Strom Pipeline'!$V$1:$V$860,$U181),55),""))</f>
        <v/>
      </c>
      <c r="M181" s="129" t="str">
        <f aca="false">IF($U181="","",IF(INDEX('MiT Strom Pipeline'!$AF$1:$AF$860,$U181)="","",INDEX('MiT Strom Pipeline'!$AF$1:$AF$860,$U181)))</f>
        <v/>
      </c>
      <c r="N181" s="129" t="str">
        <f aca="false">IF($U181="","",IF(INDEX('MiT Strom Pipeline'!$BB$1:$BB$860,$U181)="","",INDEX('MiT Strom Pipeline'!$BB$1:$BB$860,$U181)))</f>
        <v/>
      </c>
      <c r="O181" s="112"/>
      <c r="P181" s="112"/>
      <c r="Q181" s="112"/>
      <c r="R181" s="112"/>
      <c r="S181" s="112"/>
      <c r="U181" s="1" t="str">
        <f aca="false">IFERROR(MATCH(43,'MiT Strom Pipeline'!$AO$6:$AO$860,0)+5,"")</f>
        <v/>
      </c>
    </row>
    <row r="182" customFormat="false" ht="15.75" hidden="false" customHeight="true" outlineLevel="0" collapsed="false">
      <c r="A182" s="128" t="str">
        <f aca="false">IF($U182="","",IF(ISNUMBER(INDEX('MiT Strom Pipeline'!$A$1:$A$860,$U182)),INDEX('MiT Strom Pipeline'!$A$1:$A$860,$U182),""))</f>
        <v/>
      </c>
      <c r="B182" s="129" t="str">
        <f aca="false">IF($U182="","",IF(INDEX('MiT Strom Pipeline'!$B$1:$B$860,$U182)="","",INDEX('MiT Strom Pipeline'!$B$1:$B$860,$U182)))</f>
        <v/>
      </c>
      <c r="C182" s="130" t="str">
        <f aca="false">IF($U182="","",IF(INDEX('MiT Strom Pipeline'!$C$1:$C$860,$U182)="","",INDEX('MiT Strom Pipeline'!$C$1:$C$860,$U182)))</f>
        <v/>
      </c>
      <c r="D182" s="129" t="str">
        <f aca="false">IF($U182="","",IF(INDEX('MiT Strom Pipeline'!$D$1:$D$860,$U182)="","",INDEX('MiT Strom Pipeline'!$D$1:$D$860,$U182)))</f>
        <v/>
      </c>
      <c r="E182" s="131" t="str">
        <f aca="false">IF($U182="","",IF(ISNUMBER(INDEX('MiT Strom Pipeline'!$O$1:$O$860,$U182)),INDEX('MiT Strom Pipeline'!$O$1:$O$860,$U182),IF(INDEX('MiT Strom Pipeline'!$H$1:$H$860,$U182)="","",INDEX('MiT Strom Pipeline'!$H$1:$H$860,$U182))))</f>
        <v/>
      </c>
      <c r="F182" s="131" t="str">
        <f aca="false">IF($U182="","",IF(ISNUMBER(INDEX('MiT Strom Pipeline'!$P$1:$P$860,$U182)),INDEX('MiT Strom Pipeline'!$P$1:$P$860,$U182),""))</f>
        <v/>
      </c>
      <c r="G182" s="132" t="str">
        <f aca="false">IF($U182="","",IF(ISNUMBER(INDEX('MiT Strom Pipeline'!$I$1:$I$860,$U182)),INDEX('MiT Strom Pipeline'!$I$1:$I$860,$U182),0))</f>
        <v/>
      </c>
      <c r="H182" s="132" t="str">
        <f aca="false">IF($U182="","",IF(ISNUMBER(INDEX('MiT Strom Pipeline'!$Q$1:$Q$860,$U182)),INDEX('MiT Strom Pipeline'!$Q$1:$Q$860,$U182),0))</f>
        <v/>
      </c>
      <c r="I182" s="129" t="str">
        <f aca="false">IF($U182="","",IF(INDEX('MiT Strom Pipeline'!$E$1:$E$860,$U182)="","",INDEX('MiT Strom Pipeline'!$E$1:$E$860,$U182)))</f>
        <v/>
      </c>
      <c r="J182" s="130" t="str">
        <f aca="false">IF($U182="","",INDEX('MiT Strom Pipeline'!$R$1:$R$860,$U182))</f>
        <v/>
      </c>
      <c r="K182" s="133" t="str">
        <f aca="false">IF($U182="","",IF(ISNUMBER(INDEX('MiT Strom Pipeline'!$S$1:$S$860,$U182)),INDEX('MiT Strom Pipeline'!$S$1:$S$860,$U182),""))</f>
        <v/>
      </c>
      <c r="L182" s="129" t="str">
        <f aca="false">IF($U182="","",IF(LEN(INDEX('MiT Strom Pipeline'!$V$1:$V$860,$U182))&gt;0,LEFT(INDEX('MiT Strom Pipeline'!$V$1:$V$860,$U182),55),""))</f>
        <v/>
      </c>
      <c r="M182" s="129" t="str">
        <f aca="false">IF($U182="","",IF(INDEX('MiT Strom Pipeline'!$AF$1:$AF$860,$U182)="","",INDEX('MiT Strom Pipeline'!$AF$1:$AF$860,$U182)))</f>
        <v/>
      </c>
      <c r="N182" s="129" t="str">
        <f aca="false">IF($U182="","",IF(INDEX('MiT Strom Pipeline'!$BB$1:$BB$860,$U182)="","",INDEX('MiT Strom Pipeline'!$BB$1:$BB$860,$U182)))</f>
        <v/>
      </c>
      <c r="O182" s="112"/>
      <c r="P182" s="112"/>
      <c r="Q182" s="112"/>
      <c r="R182" s="112"/>
      <c r="S182" s="112"/>
      <c r="U182" s="1" t="str">
        <f aca="false">IFERROR(MATCH(44,'MiT Strom Pipeline'!$AO$6:$AO$860,0)+5,"")</f>
        <v/>
      </c>
    </row>
    <row r="183" customFormat="false" ht="15.75" hidden="false" customHeight="true" outlineLevel="0" collapsed="false">
      <c r="A183" s="128" t="str">
        <f aca="false">IF($U183="","",IF(ISNUMBER(INDEX('MiT Strom Pipeline'!$A$1:$A$860,$U183)),INDEX('MiT Strom Pipeline'!$A$1:$A$860,$U183),""))</f>
        <v/>
      </c>
      <c r="B183" s="129" t="str">
        <f aca="false">IF($U183="","",IF(INDEX('MiT Strom Pipeline'!$B$1:$B$860,$U183)="","",INDEX('MiT Strom Pipeline'!$B$1:$B$860,$U183)))</f>
        <v/>
      </c>
      <c r="C183" s="130" t="str">
        <f aca="false">IF($U183="","",IF(INDEX('MiT Strom Pipeline'!$C$1:$C$860,$U183)="","",INDEX('MiT Strom Pipeline'!$C$1:$C$860,$U183)))</f>
        <v/>
      </c>
      <c r="D183" s="129" t="str">
        <f aca="false">IF($U183="","",IF(INDEX('MiT Strom Pipeline'!$D$1:$D$860,$U183)="","",INDEX('MiT Strom Pipeline'!$D$1:$D$860,$U183)))</f>
        <v/>
      </c>
      <c r="E183" s="131" t="str">
        <f aca="false">IF($U183="","",IF(ISNUMBER(INDEX('MiT Strom Pipeline'!$O$1:$O$860,$U183)),INDEX('MiT Strom Pipeline'!$O$1:$O$860,$U183),IF(INDEX('MiT Strom Pipeline'!$H$1:$H$860,$U183)="","",INDEX('MiT Strom Pipeline'!$H$1:$H$860,$U183))))</f>
        <v/>
      </c>
      <c r="F183" s="131" t="str">
        <f aca="false">IF($U183="","",IF(ISNUMBER(INDEX('MiT Strom Pipeline'!$P$1:$P$860,$U183)),INDEX('MiT Strom Pipeline'!$P$1:$P$860,$U183),""))</f>
        <v/>
      </c>
      <c r="G183" s="132" t="str">
        <f aca="false">IF($U183="","",IF(ISNUMBER(INDEX('MiT Strom Pipeline'!$I$1:$I$860,$U183)),INDEX('MiT Strom Pipeline'!$I$1:$I$860,$U183),0))</f>
        <v/>
      </c>
      <c r="H183" s="132" t="str">
        <f aca="false">IF($U183="","",IF(ISNUMBER(INDEX('MiT Strom Pipeline'!$Q$1:$Q$860,$U183)),INDEX('MiT Strom Pipeline'!$Q$1:$Q$860,$U183),0))</f>
        <v/>
      </c>
      <c r="I183" s="129" t="str">
        <f aca="false">IF($U183="","",IF(INDEX('MiT Strom Pipeline'!$E$1:$E$860,$U183)="","",INDEX('MiT Strom Pipeline'!$E$1:$E$860,$U183)))</f>
        <v/>
      </c>
      <c r="J183" s="130" t="str">
        <f aca="false">IF($U183="","",INDEX('MiT Strom Pipeline'!$R$1:$R$860,$U183))</f>
        <v/>
      </c>
      <c r="K183" s="133" t="str">
        <f aca="false">IF($U183="","",IF(ISNUMBER(INDEX('MiT Strom Pipeline'!$S$1:$S$860,$U183)),INDEX('MiT Strom Pipeline'!$S$1:$S$860,$U183),""))</f>
        <v/>
      </c>
      <c r="L183" s="129" t="str">
        <f aca="false">IF($U183="","",IF(LEN(INDEX('MiT Strom Pipeline'!$V$1:$V$860,$U183))&gt;0,LEFT(INDEX('MiT Strom Pipeline'!$V$1:$V$860,$U183),55),""))</f>
        <v/>
      </c>
      <c r="M183" s="129" t="str">
        <f aca="false">IF($U183="","",IF(INDEX('MiT Strom Pipeline'!$AF$1:$AF$860,$U183)="","",INDEX('MiT Strom Pipeline'!$AF$1:$AF$860,$U183)))</f>
        <v/>
      </c>
      <c r="N183" s="129" t="str">
        <f aca="false">IF($U183="","",IF(INDEX('MiT Strom Pipeline'!$BB$1:$BB$860,$U183)="","",INDEX('MiT Strom Pipeline'!$BB$1:$BB$860,$U183)))</f>
        <v/>
      </c>
      <c r="O183" s="112"/>
      <c r="P183" s="112"/>
      <c r="Q183" s="112"/>
      <c r="R183" s="112"/>
      <c r="S183" s="112"/>
      <c r="U183" s="1" t="str">
        <f aca="false">IFERROR(MATCH(45,'MiT Strom Pipeline'!$AO$6:$AO$860,0)+5,"")</f>
        <v/>
      </c>
    </row>
    <row r="184" customFormat="false" ht="15.75" hidden="false" customHeight="true" outlineLevel="0" collapsed="false">
      <c r="A184" s="128" t="str">
        <f aca="false">IF($U184="","",IF(ISNUMBER(INDEX('MiT Strom Pipeline'!$A$1:$A$860,$U184)),INDEX('MiT Strom Pipeline'!$A$1:$A$860,$U184),""))</f>
        <v/>
      </c>
      <c r="B184" s="129" t="str">
        <f aca="false">IF($U184="","",IF(INDEX('MiT Strom Pipeline'!$B$1:$B$860,$U184)="","",INDEX('MiT Strom Pipeline'!$B$1:$B$860,$U184)))</f>
        <v/>
      </c>
      <c r="C184" s="130" t="str">
        <f aca="false">IF($U184="","",IF(INDEX('MiT Strom Pipeline'!$C$1:$C$860,$U184)="","",INDEX('MiT Strom Pipeline'!$C$1:$C$860,$U184)))</f>
        <v/>
      </c>
      <c r="D184" s="129" t="str">
        <f aca="false">IF($U184="","",IF(INDEX('MiT Strom Pipeline'!$D$1:$D$860,$U184)="","",INDEX('MiT Strom Pipeline'!$D$1:$D$860,$U184)))</f>
        <v/>
      </c>
      <c r="E184" s="131" t="str">
        <f aca="false">IF($U184="","",IF(ISNUMBER(INDEX('MiT Strom Pipeline'!$O$1:$O$860,$U184)),INDEX('MiT Strom Pipeline'!$O$1:$O$860,$U184),IF(INDEX('MiT Strom Pipeline'!$H$1:$H$860,$U184)="","",INDEX('MiT Strom Pipeline'!$H$1:$H$860,$U184))))</f>
        <v/>
      </c>
      <c r="F184" s="131" t="str">
        <f aca="false">IF($U184="","",IF(ISNUMBER(INDEX('MiT Strom Pipeline'!$P$1:$P$860,$U184)),INDEX('MiT Strom Pipeline'!$P$1:$P$860,$U184),""))</f>
        <v/>
      </c>
      <c r="G184" s="132" t="str">
        <f aca="false">IF($U184="","",IF(ISNUMBER(INDEX('MiT Strom Pipeline'!$I$1:$I$860,$U184)),INDEX('MiT Strom Pipeline'!$I$1:$I$860,$U184),0))</f>
        <v/>
      </c>
      <c r="H184" s="132" t="str">
        <f aca="false">IF($U184="","",IF(ISNUMBER(INDEX('MiT Strom Pipeline'!$Q$1:$Q$860,$U184)),INDEX('MiT Strom Pipeline'!$Q$1:$Q$860,$U184),0))</f>
        <v/>
      </c>
      <c r="I184" s="129" t="str">
        <f aca="false">IF($U184="","",IF(INDEX('MiT Strom Pipeline'!$E$1:$E$860,$U184)="","",INDEX('MiT Strom Pipeline'!$E$1:$E$860,$U184)))</f>
        <v/>
      </c>
      <c r="J184" s="130" t="str">
        <f aca="false">IF($U184="","",INDEX('MiT Strom Pipeline'!$R$1:$R$860,$U184))</f>
        <v/>
      </c>
      <c r="K184" s="133" t="str">
        <f aca="false">IF($U184="","",IF(ISNUMBER(INDEX('MiT Strom Pipeline'!$S$1:$S$860,$U184)),INDEX('MiT Strom Pipeline'!$S$1:$S$860,$U184),""))</f>
        <v/>
      </c>
      <c r="L184" s="129" t="str">
        <f aca="false">IF($U184="","",IF(LEN(INDEX('MiT Strom Pipeline'!$V$1:$V$860,$U184))&gt;0,LEFT(INDEX('MiT Strom Pipeline'!$V$1:$V$860,$U184),55),""))</f>
        <v/>
      </c>
      <c r="M184" s="129" t="str">
        <f aca="false">IF($U184="","",IF(INDEX('MiT Strom Pipeline'!$AF$1:$AF$860,$U184)="","",INDEX('MiT Strom Pipeline'!$AF$1:$AF$860,$U184)))</f>
        <v/>
      </c>
      <c r="N184" s="129" t="str">
        <f aca="false">IF($U184="","",IF(INDEX('MiT Strom Pipeline'!$BB$1:$BB$860,$U184)="","",INDEX('MiT Strom Pipeline'!$BB$1:$BB$860,$U184)))</f>
        <v/>
      </c>
      <c r="O184" s="112"/>
      <c r="P184" s="112"/>
      <c r="Q184" s="112"/>
      <c r="R184" s="112"/>
      <c r="S184" s="112"/>
      <c r="U184" s="1" t="str">
        <f aca="false">IFERROR(MATCH(46,'MiT Strom Pipeline'!$AO$6:$AO$860,0)+5,"")</f>
        <v/>
      </c>
    </row>
    <row r="185" customFormat="false" ht="15.75" hidden="false" customHeight="true" outlineLevel="0" collapsed="false">
      <c r="A185" s="128" t="str">
        <f aca="false">IF($U185="","",IF(ISNUMBER(INDEX('MiT Strom Pipeline'!$A$1:$A$860,$U185)),INDEX('MiT Strom Pipeline'!$A$1:$A$860,$U185),""))</f>
        <v/>
      </c>
      <c r="B185" s="129" t="str">
        <f aca="false">IF($U185="","",IF(INDEX('MiT Strom Pipeline'!$B$1:$B$860,$U185)="","",INDEX('MiT Strom Pipeline'!$B$1:$B$860,$U185)))</f>
        <v/>
      </c>
      <c r="C185" s="130" t="str">
        <f aca="false">IF($U185="","",IF(INDEX('MiT Strom Pipeline'!$C$1:$C$860,$U185)="","",INDEX('MiT Strom Pipeline'!$C$1:$C$860,$U185)))</f>
        <v/>
      </c>
      <c r="D185" s="129" t="str">
        <f aca="false">IF($U185="","",IF(INDEX('MiT Strom Pipeline'!$D$1:$D$860,$U185)="","",INDEX('MiT Strom Pipeline'!$D$1:$D$860,$U185)))</f>
        <v/>
      </c>
      <c r="E185" s="131" t="str">
        <f aca="false">IF($U185="","",IF(ISNUMBER(INDEX('MiT Strom Pipeline'!$O$1:$O$860,$U185)),INDEX('MiT Strom Pipeline'!$O$1:$O$860,$U185),IF(INDEX('MiT Strom Pipeline'!$H$1:$H$860,$U185)="","",INDEX('MiT Strom Pipeline'!$H$1:$H$860,$U185))))</f>
        <v/>
      </c>
      <c r="F185" s="131" t="str">
        <f aca="false">IF($U185="","",IF(ISNUMBER(INDEX('MiT Strom Pipeline'!$P$1:$P$860,$U185)),INDEX('MiT Strom Pipeline'!$P$1:$P$860,$U185),""))</f>
        <v/>
      </c>
      <c r="G185" s="132" t="str">
        <f aca="false">IF($U185="","",IF(ISNUMBER(INDEX('MiT Strom Pipeline'!$I$1:$I$860,$U185)),INDEX('MiT Strom Pipeline'!$I$1:$I$860,$U185),0))</f>
        <v/>
      </c>
      <c r="H185" s="132" t="str">
        <f aca="false">IF($U185="","",IF(ISNUMBER(INDEX('MiT Strom Pipeline'!$Q$1:$Q$860,$U185)),INDEX('MiT Strom Pipeline'!$Q$1:$Q$860,$U185),0))</f>
        <v/>
      </c>
      <c r="I185" s="129" t="str">
        <f aca="false">IF($U185="","",IF(INDEX('MiT Strom Pipeline'!$E$1:$E$860,$U185)="","",INDEX('MiT Strom Pipeline'!$E$1:$E$860,$U185)))</f>
        <v/>
      </c>
      <c r="J185" s="130" t="str">
        <f aca="false">IF($U185="","",INDEX('MiT Strom Pipeline'!$R$1:$R$860,$U185))</f>
        <v/>
      </c>
      <c r="K185" s="133" t="str">
        <f aca="false">IF($U185="","",IF(ISNUMBER(INDEX('MiT Strom Pipeline'!$S$1:$S$860,$U185)),INDEX('MiT Strom Pipeline'!$S$1:$S$860,$U185),""))</f>
        <v/>
      </c>
      <c r="L185" s="129" t="str">
        <f aca="false">IF($U185="","",IF(LEN(INDEX('MiT Strom Pipeline'!$V$1:$V$860,$U185))&gt;0,LEFT(INDEX('MiT Strom Pipeline'!$V$1:$V$860,$U185),55),""))</f>
        <v/>
      </c>
      <c r="M185" s="129" t="str">
        <f aca="false">IF($U185="","",IF(INDEX('MiT Strom Pipeline'!$AF$1:$AF$860,$U185)="","",INDEX('MiT Strom Pipeline'!$AF$1:$AF$860,$U185)))</f>
        <v/>
      </c>
      <c r="N185" s="129" t="str">
        <f aca="false">IF($U185="","",IF(INDEX('MiT Strom Pipeline'!$BB$1:$BB$860,$U185)="","",INDEX('MiT Strom Pipeline'!$BB$1:$BB$860,$U185)))</f>
        <v/>
      </c>
      <c r="O185" s="112"/>
      <c r="P185" s="112"/>
      <c r="Q185" s="112"/>
      <c r="R185" s="112"/>
      <c r="S185" s="112"/>
      <c r="U185" s="1" t="str">
        <f aca="false">IFERROR(MATCH(47,'MiT Strom Pipeline'!$AO$6:$AO$860,0)+5,"")</f>
        <v/>
      </c>
    </row>
    <row r="186" customFormat="false" ht="15.75" hidden="false" customHeight="true" outlineLevel="0" collapsed="false">
      <c r="A186" s="128" t="str">
        <f aca="false">IF($U186="","",IF(ISNUMBER(INDEX('MiT Strom Pipeline'!$A$1:$A$860,$U186)),INDEX('MiT Strom Pipeline'!$A$1:$A$860,$U186),""))</f>
        <v/>
      </c>
      <c r="B186" s="129" t="str">
        <f aca="false">IF($U186="","",IF(INDEX('MiT Strom Pipeline'!$B$1:$B$860,$U186)="","",INDEX('MiT Strom Pipeline'!$B$1:$B$860,$U186)))</f>
        <v/>
      </c>
      <c r="C186" s="130" t="str">
        <f aca="false">IF($U186="","",IF(INDEX('MiT Strom Pipeline'!$C$1:$C$860,$U186)="","",INDEX('MiT Strom Pipeline'!$C$1:$C$860,$U186)))</f>
        <v/>
      </c>
      <c r="D186" s="129" t="str">
        <f aca="false">IF($U186="","",IF(INDEX('MiT Strom Pipeline'!$D$1:$D$860,$U186)="","",INDEX('MiT Strom Pipeline'!$D$1:$D$860,$U186)))</f>
        <v/>
      </c>
      <c r="E186" s="131" t="str">
        <f aca="false">IF($U186="","",IF(ISNUMBER(INDEX('MiT Strom Pipeline'!$O$1:$O$860,$U186)),INDEX('MiT Strom Pipeline'!$O$1:$O$860,$U186),IF(INDEX('MiT Strom Pipeline'!$H$1:$H$860,$U186)="","",INDEX('MiT Strom Pipeline'!$H$1:$H$860,$U186))))</f>
        <v/>
      </c>
      <c r="F186" s="131" t="str">
        <f aca="false">IF($U186="","",IF(ISNUMBER(INDEX('MiT Strom Pipeline'!$P$1:$P$860,$U186)),INDEX('MiT Strom Pipeline'!$P$1:$P$860,$U186),""))</f>
        <v/>
      </c>
      <c r="G186" s="132" t="str">
        <f aca="false">IF($U186="","",IF(ISNUMBER(INDEX('MiT Strom Pipeline'!$I$1:$I$860,$U186)),INDEX('MiT Strom Pipeline'!$I$1:$I$860,$U186),0))</f>
        <v/>
      </c>
      <c r="H186" s="132" t="str">
        <f aca="false">IF($U186="","",IF(ISNUMBER(INDEX('MiT Strom Pipeline'!$Q$1:$Q$860,$U186)),INDEX('MiT Strom Pipeline'!$Q$1:$Q$860,$U186),0))</f>
        <v/>
      </c>
      <c r="I186" s="129" t="str">
        <f aca="false">IF($U186="","",IF(INDEX('MiT Strom Pipeline'!$E$1:$E$860,$U186)="","",INDEX('MiT Strom Pipeline'!$E$1:$E$860,$U186)))</f>
        <v/>
      </c>
      <c r="J186" s="130" t="str">
        <f aca="false">IF($U186="","",INDEX('MiT Strom Pipeline'!$R$1:$R$860,$U186))</f>
        <v/>
      </c>
      <c r="K186" s="133" t="str">
        <f aca="false">IF($U186="","",IF(ISNUMBER(INDEX('MiT Strom Pipeline'!$S$1:$S$860,$U186)),INDEX('MiT Strom Pipeline'!$S$1:$S$860,$U186),""))</f>
        <v/>
      </c>
      <c r="L186" s="129" t="str">
        <f aca="false">IF($U186="","",IF(LEN(INDEX('MiT Strom Pipeline'!$V$1:$V$860,$U186))&gt;0,LEFT(INDEX('MiT Strom Pipeline'!$V$1:$V$860,$U186),55),""))</f>
        <v/>
      </c>
      <c r="M186" s="129" t="str">
        <f aca="false">IF($U186="","",IF(INDEX('MiT Strom Pipeline'!$AF$1:$AF$860,$U186)="","",INDEX('MiT Strom Pipeline'!$AF$1:$AF$860,$U186)))</f>
        <v/>
      </c>
      <c r="N186" s="129" t="str">
        <f aca="false">IF($U186="","",IF(INDEX('MiT Strom Pipeline'!$BB$1:$BB$860,$U186)="","",INDEX('MiT Strom Pipeline'!$BB$1:$BB$860,$U186)))</f>
        <v/>
      </c>
      <c r="O186" s="112"/>
      <c r="P186" s="112"/>
      <c r="Q186" s="112"/>
      <c r="R186" s="112"/>
      <c r="S186" s="112"/>
      <c r="U186" s="1" t="str">
        <f aca="false">IFERROR(MATCH(48,'MiT Strom Pipeline'!$AO$6:$AO$860,0)+5,"")</f>
        <v/>
      </c>
    </row>
    <row r="187" customFormat="false" ht="15.75" hidden="false" customHeight="true" outlineLevel="0" collapsed="false">
      <c r="A187" s="128" t="str">
        <f aca="false">IF($U187="","",IF(ISNUMBER(INDEX('MiT Strom Pipeline'!$A$1:$A$860,$U187)),INDEX('MiT Strom Pipeline'!$A$1:$A$860,$U187),""))</f>
        <v/>
      </c>
      <c r="B187" s="129" t="str">
        <f aca="false">IF($U187="","",IF(INDEX('MiT Strom Pipeline'!$B$1:$B$860,$U187)="","",INDEX('MiT Strom Pipeline'!$B$1:$B$860,$U187)))</f>
        <v/>
      </c>
      <c r="C187" s="130" t="str">
        <f aca="false">IF($U187="","",IF(INDEX('MiT Strom Pipeline'!$C$1:$C$860,$U187)="","",INDEX('MiT Strom Pipeline'!$C$1:$C$860,$U187)))</f>
        <v/>
      </c>
      <c r="D187" s="129" t="str">
        <f aca="false">IF($U187="","",IF(INDEX('MiT Strom Pipeline'!$D$1:$D$860,$U187)="","",INDEX('MiT Strom Pipeline'!$D$1:$D$860,$U187)))</f>
        <v/>
      </c>
      <c r="E187" s="131" t="str">
        <f aca="false">IF($U187="","",IF(ISNUMBER(INDEX('MiT Strom Pipeline'!$O$1:$O$860,$U187)),INDEX('MiT Strom Pipeline'!$O$1:$O$860,$U187),IF(INDEX('MiT Strom Pipeline'!$H$1:$H$860,$U187)="","",INDEX('MiT Strom Pipeline'!$H$1:$H$860,$U187))))</f>
        <v/>
      </c>
      <c r="F187" s="131" t="str">
        <f aca="false">IF($U187="","",IF(ISNUMBER(INDEX('MiT Strom Pipeline'!$P$1:$P$860,$U187)),INDEX('MiT Strom Pipeline'!$P$1:$P$860,$U187),""))</f>
        <v/>
      </c>
      <c r="G187" s="132" t="str">
        <f aca="false">IF($U187="","",IF(ISNUMBER(INDEX('MiT Strom Pipeline'!$I$1:$I$860,$U187)),INDEX('MiT Strom Pipeline'!$I$1:$I$860,$U187),0))</f>
        <v/>
      </c>
      <c r="H187" s="132" t="str">
        <f aca="false">IF($U187="","",IF(ISNUMBER(INDEX('MiT Strom Pipeline'!$Q$1:$Q$860,$U187)),INDEX('MiT Strom Pipeline'!$Q$1:$Q$860,$U187),0))</f>
        <v/>
      </c>
      <c r="I187" s="129" t="str">
        <f aca="false">IF($U187="","",IF(INDEX('MiT Strom Pipeline'!$E$1:$E$860,$U187)="","",INDEX('MiT Strom Pipeline'!$E$1:$E$860,$U187)))</f>
        <v/>
      </c>
      <c r="J187" s="130" t="str">
        <f aca="false">IF($U187="","",INDEX('MiT Strom Pipeline'!$R$1:$R$860,$U187))</f>
        <v/>
      </c>
      <c r="K187" s="133" t="str">
        <f aca="false">IF($U187="","",IF(ISNUMBER(INDEX('MiT Strom Pipeline'!$S$1:$S$860,$U187)),INDEX('MiT Strom Pipeline'!$S$1:$S$860,$U187),""))</f>
        <v/>
      </c>
      <c r="L187" s="129" t="str">
        <f aca="false">IF($U187="","",IF(LEN(INDEX('MiT Strom Pipeline'!$V$1:$V$860,$U187))&gt;0,LEFT(INDEX('MiT Strom Pipeline'!$V$1:$V$860,$U187),55),""))</f>
        <v/>
      </c>
      <c r="M187" s="129" t="str">
        <f aca="false">IF($U187="","",IF(INDEX('MiT Strom Pipeline'!$AF$1:$AF$860,$U187)="","",INDEX('MiT Strom Pipeline'!$AF$1:$AF$860,$U187)))</f>
        <v/>
      </c>
      <c r="N187" s="129" t="str">
        <f aca="false">IF($U187="","",IF(INDEX('MiT Strom Pipeline'!$BB$1:$BB$860,$U187)="","",INDEX('MiT Strom Pipeline'!$BB$1:$BB$860,$U187)))</f>
        <v/>
      </c>
      <c r="O187" s="112"/>
      <c r="P187" s="112"/>
      <c r="Q187" s="112"/>
      <c r="R187" s="112"/>
      <c r="S187" s="112"/>
      <c r="U187" s="1" t="str">
        <f aca="false">IFERROR(MATCH(49,'MiT Strom Pipeline'!$AO$6:$AO$860,0)+5,"")</f>
        <v/>
      </c>
    </row>
    <row r="188" customFormat="false" ht="15.75" hidden="false" customHeight="true" outlineLevel="0" collapsed="false">
      <c r="A188" s="128" t="str">
        <f aca="false">IF($U188="","",IF(ISNUMBER(INDEX('MiT Strom Pipeline'!$A$1:$A$860,$U188)),INDEX('MiT Strom Pipeline'!$A$1:$A$860,$U188),""))</f>
        <v/>
      </c>
      <c r="B188" s="129" t="str">
        <f aca="false">IF($U188="","",IF(INDEX('MiT Strom Pipeline'!$B$1:$B$860,$U188)="","",INDEX('MiT Strom Pipeline'!$B$1:$B$860,$U188)))</f>
        <v/>
      </c>
      <c r="C188" s="130" t="str">
        <f aca="false">IF($U188="","",IF(INDEX('MiT Strom Pipeline'!$C$1:$C$860,$U188)="","",INDEX('MiT Strom Pipeline'!$C$1:$C$860,$U188)))</f>
        <v/>
      </c>
      <c r="D188" s="129" t="str">
        <f aca="false">IF($U188="","",IF(INDEX('MiT Strom Pipeline'!$D$1:$D$860,$U188)="","",INDEX('MiT Strom Pipeline'!$D$1:$D$860,$U188)))</f>
        <v/>
      </c>
      <c r="E188" s="131" t="str">
        <f aca="false">IF($U188="","",IF(ISNUMBER(INDEX('MiT Strom Pipeline'!$O$1:$O$860,$U188)),INDEX('MiT Strom Pipeline'!$O$1:$O$860,$U188),IF(INDEX('MiT Strom Pipeline'!$H$1:$H$860,$U188)="","",INDEX('MiT Strom Pipeline'!$H$1:$H$860,$U188))))</f>
        <v/>
      </c>
      <c r="F188" s="131" t="str">
        <f aca="false">IF($U188="","",IF(ISNUMBER(INDEX('MiT Strom Pipeline'!$P$1:$P$860,$U188)),INDEX('MiT Strom Pipeline'!$P$1:$P$860,$U188),""))</f>
        <v/>
      </c>
      <c r="G188" s="132" t="str">
        <f aca="false">IF($U188="","",IF(ISNUMBER(INDEX('MiT Strom Pipeline'!$I$1:$I$860,$U188)),INDEX('MiT Strom Pipeline'!$I$1:$I$860,$U188),0))</f>
        <v/>
      </c>
      <c r="H188" s="132" t="str">
        <f aca="false">IF($U188="","",IF(ISNUMBER(INDEX('MiT Strom Pipeline'!$Q$1:$Q$860,$U188)),INDEX('MiT Strom Pipeline'!$Q$1:$Q$860,$U188),0))</f>
        <v/>
      </c>
      <c r="I188" s="129" t="str">
        <f aca="false">IF($U188="","",IF(INDEX('MiT Strom Pipeline'!$E$1:$E$860,$U188)="","",INDEX('MiT Strom Pipeline'!$E$1:$E$860,$U188)))</f>
        <v/>
      </c>
      <c r="J188" s="130" t="str">
        <f aca="false">IF($U188="","",INDEX('MiT Strom Pipeline'!$R$1:$R$860,$U188))</f>
        <v/>
      </c>
      <c r="K188" s="133" t="str">
        <f aca="false">IF($U188="","",IF(ISNUMBER(INDEX('MiT Strom Pipeline'!$S$1:$S$860,$U188)),INDEX('MiT Strom Pipeline'!$S$1:$S$860,$U188),""))</f>
        <v/>
      </c>
      <c r="L188" s="129" t="str">
        <f aca="false">IF($U188="","",IF(LEN(INDEX('MiT Strom Pipeline'!$V$1:$V$860,$U188))&gt;0,LEFT(INDEX('MiT Strom Pipeline'!$V$1:$V$860,$U188),55),""))</f>
        <v/>
      </c>
      <c r="M188" s="129" t="str">
        <f aca="false">IF($U188="","",IF(INDEX('MiT Strom Pipeline'!$AF$1:$AF$860,$U188)="","",INDEX('MiT Strom Pipeline'!$AF$1:$AF$860,$U188)))</f>
        <v/>
      </c>
      <c r="N188" s="129" t="str">
        <f aca="false">IF($U188="","",IF(INDEX('MiT Strom Pipeline'!$BB$1:$BB$860,$U188)="","",INDEX('MiT Strom Pipeline'!$BB$1:$BB$860,$U188)))</f>
        <v/>
      </c>
      <c r="O188" s="112"/>
      <c r="P188" s="112"/>
      <c r="Q188" s="112"/>
      <c r="R188" s="112"/>
      <c r="S188" s="112"/>
      <c r="U188" s="1" t="str">
        <f aca="false">IFERROR(MATCH(50,'MiT Strom Pipeline'!$AO$6:$AO$860,0)+5,"")</f>
        <v/>
      </c>
    </row>
    <row r="189" customFormat="false" ht="15.75" hidden="false" customHeight="true" outlineLevel="0" collapsed="false">
      <c r="A189" s="128" t="str">
        <f aca="false">IF($U189="","",IF(ISNUMBER(INDEX('MiT Strom Pipeline'!$A$1:$A$860,$U189)),INDEX('MiT Strom Pipeline'!$A$1:$A$860,$U189),""))</f>
        <v/>
      </c>
      <c r="B189" s="129" t="str">
        <f aca="false">IF($U189="","",IF(INDEX('MiT Strom Pipeline'!$B$1:$B$860,$U189)="","",INDEX('MiT Strom Pipeline'!$B$1:$B$860,$U189)))</f>
        <v/>
      </c>
      <c r="C189" s="130" t="str">
        <f aca="false">IF($U189="","",IF(INDEX('MiT Strom Pipeline'!$C$1:$C$860,$U189)="","",INDEX('MiT Strom Pipeline'!$C$1:$C$860,$U189)))</f>
        <v/>
      </c>
      <c r="D189" s="129" t="str">
        <f aca="false">IF($U189="","",IF(INDEX('MiT Strom Pipeline'!$D$1:$D$860,$U189)="","",INDEX('MiT Strom Pipeline'!$D$1:$D$860,$U189)))</f>
        <v/>
      </c>
      <c r="E189" s="131" t="str">
        <f aca="false">IF($U189="","",IF(ISNUMBER(INDEX('MiT Strom Pipeline'!$O$1:$O$860,$U189)),INDEX('MiT Strom Pipeline'!$O$1:$O$860,$U189),IF(INDEX('MiT Strom Pipeline'!$H$1:$H$860,$U189)="","",INDEX('MiT Strom Pipeline'!$H$1:$H$860,$U189))))</f>
        <v/>
      </c>
      <c r="F189" s="131" t="str">
        <f aca="false">IF($U189="","",IF(ISNUMBER(INDEX('MiT Strom Pipeline'!$P$1:$P$860,$U189)),INDEX('MiT Strom Pipeline'!$P$1:$P$860,$U189),""))</f>
        <v/>
      </c>
      <c r="G189" s="132" t="str">
        <f aca="false">IF($U189="","",IF(ISNUMBER(INDEX('MiT Strom Pipeline'!$I$1:$I$860,$U189)),INDEX('MiT Strom Pipeline'!$I$1:$I$860,$U189),0))</f>
        <v/>
      </c>
      <c r="H189" s="132" t="str">
        <f aca="false">IF($U189="","",IF(ISNUMBER(INDEX('MiT Strom Pipeline'!$Q$1:$Q$860,$U189)),INDEX('MiT Strom Pipeline'!$Q$1:$Q$860,$U189),0))</f>
        <v/>
      </c>
      <c r="I189" s="129" t="str">
        <f aca="false">IF($U189="","",IF(INDEX('MiT Strom Pipeline'!$E$1:$E$860,$U189)="","",INDEX('MiT Strom Pipeline'!$E$1:$E$860,$U189)))</f>
        <v/>
      </c>
      <c r="J189" s="130" t="str">
        <f aca="false">IF($U189="","",INDEX('MiT Strom Pipeline'!$R$1:$R$860,$U189))</f>
        <v/>
      </c>
      <c r="K189" s="133" t="str">
        <f aca="false">IF($U189="","",IF(ISNUMBER(INDEX('MiT Strom Pipeline'!$S$1:$S$860,$U189)),INDEX('MiT Strom Pipeline'!$S$1:$S$860,$U189),""))</f>
        <v/>
      </c>
      <c r="L189" s="129" t="str">
        <f aca="false">IF($U189="","",IF(LEN(INDEX('MiT Strom Pipeline'!$V$1:$V$860,$U189))&gt;0,LEFT(INDEX('MiT Strom Pipeline'!$V$1:$V$860,$U189),55),""))</f>
        <v/>
      </c>
      <c r="M189" s="129" t="str">
        <f aca="false">IF($U189="","",IF(INDEX('MiT Strom Pipeline'!$AF$1:$AF$860,$U189)="","",INDEX('MiT Strom Pipeline'!$AF$1:$AF$860,$U189)))</f>
        <v/>
      </c>
      <c r="N189" s="129" t="str">
        <f aca="false">IF($U189="","",IF(INDEX('MiT Strom Pipeline'!$BB$1:$BB$860,$U189)="","",INDEX('MiT Strom Pipeline'!$BB$1:$BB$860,$U189)))</f>
        <v/>
      </c>
      <c r="O189" s="112"/>
      <c r="P189" s="112"/>
      <c r="Q189" s="112"/>
      <c r="R189" s="112"/>
      <c r="S189" s="112"/>
      <c r="U189" s="1" t="str">
        <f aca="false">IFERROR(MATCH(51,'MiT Strom Pipeline'!$AO$6:$AO$860,0)+5,"")</f>
        <v/>
      </c>
    </row>
    <row r="190" customFormat="false" ht="15.75" hidden="false" customHeight="true" outlineLevel="0" collapsed="false">
      <c r="A190" s="128" t="str">
        <f aca="false">IF($U190="","",IF(ISNUMBER(INDEX('MiT Strom Pipeline'!$A$1:$A$860,$U190)),INDEX('MiT Strom Pipeline'!$A$1:$A$860,$U190),""))</f>
        <v/>
      </c>
      <c r="B190" s="129" t="str">
        <f aca="false">IF($U190="","",IF(INDEX('MiT Strom Pipeline'!$B$1:$B$860,$U190)="","",INDEX('MiT Strom Pipeline'!$B$1:$B$860,$U190)))</f>
        <v/>
      </c>
      <c r="C190" s="130" t="str">
        <f aca="false">IF($U190="","",IF(INDEX('MiT Strom Pipeline'!$C$1:$C$860,$U190)="","",INDEX('MiT Strom Pipeline'!$C$1:$C$860,$U190)))</f>
        <v/>
      </c>
      <c r="D190" s="129" t="str">
        <f aca="false">IF($U190="","",IF(INDEX('MiT Strom Pipeline'!$D$1:$D$860,$U190)="","",INDEX('MiT Strom Pipeline'!$D$1:$D$860,$U190)))</f>
        <v/>
      </c>
      <c r="E190" s="131" t="str">
        <f aca="false">IF($U190="","",IF(ISNUMBER(INDEX('MiT Strom Pipeline'!$O$1:$O$860,$U190)),INDEX('MiT Strom Pipeline'!$O$1:$O$860,$U190),IF(INDEX('MiT Strom Pipeline'!$H$1:$H$860,$U190)="","",INDEX('MiT Strom Pipeline'!$H$1:$H$860,$U190))))</f>
        <v/>
      </c>
      <c r="F190" s="131" t="str">
        <f aca="false">IF($U190="","",IF(ISNUMBER(INDEX('MiT Strom Pipeline'!$P$1:$P$860,$U190)),INDEX('MiT Strom Pipeline'!$P$1:$P$860,$U190),""))</f>
        <v/>
      </c>
      <c r="G190" s="132" t="str">
        <f aca="false">IF($U190="","",IF(ISNUMBER(INDEX('MiT Strom Pipeline'!$I$1:$I$860,$U190)),INDEX('MiT Strom Pipeline'!$I$1:$I$860,$U190),0))</f>
        <v/>
      </c>
      <c r="H190" s="132" t="str">
        <f aca="false">IF($U190="","",IF(ISNUMBER(INDEX('MiT Strom Pipeline'!$Q$1:$Q$860,$U190)),INDEX('MiT Strom Pipeline'!$Q$1:$Q$860,$U190),0))</f>
        <v/>
      </c>
      <c r="I190" s="129" t="str">
        <f aca="false">IF($U190="","",IF(INDEX('MiT Strom Pipeline'!$E$1:$E$860,$U190)="","",INDEX('MiT Strom Pipeline'!$E$1:$E$860,$U190)))</f>
        <v/>
      </c>
      <c r="J190" s="130" t="str">
        <f aca="false">IF($U190="","",INDEX('MiT Strom Pipeline'!$R$1:$R$860,$U190))</f>
        <v/>
      </c>
      <c r="K190" s="133" t="str">
        <f aca="false">IF($U190="","",IF(ISNUMBER(INDEX('MiT Strom Pipeline'!$S$1:$S$860,$U190)),INDEX('MiT Strom Pipeline'!$S$1:$S$860,$U190),""))</f>
        <v/>
      </c>
      <c r="L190" s="129" t="str">
        <f aca="false">IF($U190="","",IF(LEN(INDEX('MiT Strom Pipeline'!$V$1:$V$860,$U190))&gt;0,LEFT(INDEX('MiT Strom Pipeline'!$V$1:$V$860,$U190),55),""))</f>
        <v/>
      </c>
      <c r="M190" s="129" t="str">
        <f aca="false">IF($U190="","",IF(INDEX('MiT Strom Pipeline'!$AF$1:$AF$860,$U190)="","",INDEX('MiT Strom Pipeline'!$AF$1:$AF$860,$U190)))</f>
        <v/>
      </c>
      <c r="N190" s="129" t="str">
        <f aca="false">IF($U190="","",IF(INDEX('MiT Strom Pipeline'!$BB$1:$BB$860,$U190)="","",INDEX('MiT Strom Pipeline'!$BB$1:$BB$860,$U190)))</f>
        <v/>
      </c>
      <c r="O190" s="112"/>
      <c r="P190" s="112"/>
      <c r="Q190" s="112"/>
      <c r="R190" s="112"/>
      <c r="S190" s="112"/>
      <c r="U190" s="1" t="str">
        <f aca="false">IFERROR(MATCH(52,'MiT Strom Pipeline'!$AO$6:$AO$860,0)+5,"")</f>
        <v/>
      </c>
    </row>
    <row r="191" customFormat="false" ht="15.75" hidden="false" customHeight="true" outlineLevel="0" collapsed="false">
      <c r="A191" s="128" t="str">
        <f aca="false">IF($U191="","",IF(ISNUMBER(INDEX('MiT Strom Pipeline'!$A$1:$A$860,$U191)),INDEX('MiT Strom Pipeline'!$A$1:$A$860,$U191),""))</f>
        <v/>
      </c>
      <c r="B191" s="129" t="str">
        <f aca="false">IF($U191="","",IF(INDEX('MiT Strom Pipeline'!$B$1:$B$860,$U191)="","",INDEX('MiT Strom Pipeline'!$B$1:$B$860,$U191)))</f>
        <v/>
      </c>
      <c r="C191" s="130" t="str">
        <f aca="false">IF($U191="","",IF(INDEX('MiT Strom Pipeline'!$C$1:$C$860,$U191)="","",INDEX('MiT Strom Pipeline'!$C$1:$C$860,$U191)))</f>
        <v/>
      </c>
      <c r="D191" s="129" t="str">
        <f aca="false">IF($U191="","",IF(INDEX('MiT Strom Pipeline'!$D$1:$D$860,$U191)="","",INDEX('MiT Strom Pipeline'!$D$1:$D$860,$U191)))</f>
        <v/>
      </c>
      <c r="E191" s="131" t="str">
        <f aca="false">IF($U191="","",IF(ISNUMBER(INDEX('MiT Strom Pipeline'!$O$1:$O$860,$U191)),INDEX('MiT Strom Pipeline'!$O$1:$O$860,$U191),IF(INDEX('MiT Strom Pipeline'!$H$1:$H$860,$U191)="","",INDEX('MiT Strom Pipeline'!$H$1:$H$860,$U191))))</f>
        <v/>
      </c>
      <c r="F191" s="131" t="str">
        <f aca="false">IF($U191="","",IF(ISNUMBER(INDEX('MiT Strom Pipeline'!$P$1:$P$860,$U191)),INDEX('MiT Strom Pipeline'!$P$1:$P$860,$U191),""))</f>
        <v/>
      </c>
      <c r="G191" s="132" t="str">
        <f aca="false">IF($U191="","",IF(ISNUMBER(INDEX('MiT Strom Pipeline'!$I$1:$I$860,$U191)),INDEX('MiT Strom Pipeline'!$I$1:$I$860,$U191),0))</f>
        <v/>
      </c>
      <c r="H191" s="132" t="str">
        <f aca="false">IF($U191="","",IF(ISNUMBER(INDEX('MiT Strom Pipeline'!$Q$1:$Q$860,$U191)),INDEX('MiT Strom Pipeline'!$Q$1:$Q$860,$U191),0))</f>
        <v/>
      </c>
      <c r="I191" s="129" t="str">
        <f aca="false">IF($U191="","",IF(INDEX('MiT Strom Pipeline'!$E$1:$E$860,$U191)="","",INDEX('MiT Strom Pipeline'!$E$1:$E$860,$U191)))</f>
        <v/>
      </c>
      <c r="J191" s="130" t="str">
        <f aca="false">IF($U191="","",INDEX('MiT Strom Pipeline'!$R$1:$R$860,$U191))</f>
        <v/>
      </c>
      <c r="K191" s="133" t="str">
        <f aca="false">IF($U191="","",IF(ISNUMBER(INDEX('MiT Strom Pipeline'!$S$1:$S$860,$U191)),INDEX('MiT Strom Pipeline'!$S$1:$S$860,$U191),""))</f>
        <v/>
      </c>
      <c r="L191" s="129" t="str">
        <f aca="false">IF($U191="","",IF(LEN(INDEX('MiT Strom Pipeline'!$V$1:$V$860,$U191))&gt;0,LEFT(INDEX('MiT Strom Pipeline'!$V$1:$V$860,$U191),55),""))</f>
        <v/>
      </c>
      <c r="M191" s="129" t="str">
        <f aca="false">IF($U191="","",IF(INDEX('MiT Strom Pipeline'!$AF$1:$AF$860,$U191)="","",INDEX('MiT Strom Pipeline'!$AF$1:$AF$860,$U191)))</f>
        <v/>
      </c>
      <c r="N191" s="129" t="str">
        <f aca="false">IF($U191="","",IF(INDEX('MiT Strom Pipeline'!$BB$1:$BB$860,$U191)="","",INDEX('MiT Strom Pipeline'!$BB$1:$BB$860,$U191)))</f>
        <v/>
      </c>
      <c r="O191" s="112"/>
      <c r="P191" s="112"/>
      <c r="Q191" s="112"/>
      <c r="R191" s="112"/>
      <c r="S191" s="112"/>
      <c r="U191" s="1" t="str">
        <f aca="false">IFERROR(MATCH(53,'MiT Strom Pipeline'!$AO$6:$AO$860,0)+5,"")</f>
        <v/>
      </c>
    </row>
    <row r="192" customFormat="false" ht="15.75" hidden="false" customHeight="true" outlineLevel="0" collapsed="false">
      <c r="A192" s="128" t="str">
        <f aca="false">IF($U192="","",IF(ISNUMBER(INDEX('MiT Strom Pipeline'!$A$1:$A$860,$U192)),INDEX('MiT Strom Pipeline'!$A$1:$A$860,$U192),""))</f>
        <v/>
      </c>
      <c r="B192" s="129" t="str">
        <f aca="false">IF($U192="","",IF(INDEX('MiT Strom Pipeline'!$B$1:$B$860,$U192)="","",INDEX('MiT Strom Pipeline'!$B$1:$B$860,$U192)))</f>
        <v/>
      </c>
      <c r="C192" s="130" t="str">
        <f aca="false">IF($U192="","",IF(INDEX('MiT Strom Pipeline'!$C$1:$C$860,$U192)="","",INDEX('MiT Strom Pipeline'!$C$1:$C$860,$U192)))</f>
        <v/>
      </c>
      <c r="D192" s="129" t="str">
        <f aca="false">IF($U192="","",IF(INDEX('MiT Strom Pipeline'!$D$1:$D$860,$U192)="","",INDEX('MiT Strom Pipeline'!$D$1:$D$860,$U192)))</f>
        <v/>
      </c>
      <c r="E192" s="131" t="str">
        <f aca="false">IF($U192="","",IF(ISNUMBER(INDEX('MiT Strom Pipeline'!$O$1:$O$860,$U192)),INDEX('MiT Strom Pipeline'!$O$1:$O$860,$U192),IF(INDEX('MiT Strom Pipeline'!$H$1:$H$860,$U192)="","",INDEX('MiT Strom Pipeline'!$H$1:$H$860,$U192))))</f>
        <v/>
      </c>
      <c r="F192" s="131" t="str">
        <f aca="false">IF($U192="","",IF(ISNUMBER(INDEX('MiT Strom Pipeline'!$P$1:$P$860,$U192)),INDEX('MiT Strom Pipeline'!$P$1:$P$860,$U192),""))</f>
        <v/>
      </c>
      <c r="G192" s="132" t="str">
        <f aca="false">IF($U192="","",IF(ISNUMBER(INDEX('MiT Strom Pipeline'!$I$1:$I$860,$U192)),INDEX('MiT Strom Pipeline'!$I$1:$I$860,$U192),0))</f>
        <v/>
      </c>
      <c r="H192" s="132" t="str">
        <f aca="false">IF($U192="","",IF(ISNUMBER(INDEX('MiT Strom Pipeline'!$Q$1:$Q$860,$U192)),INDEX('MiT Strom Pipeline'!$Q$1:$Q$860,$U192),0))</f>
        <v/>
      </c>
      <c r="I192" s="129" t="str">
        <f aca="false">IF($U192="","",IF(INDEX('MiT Strom Pipeline'!$E$1:$E$860,$U192)="","",INDEX('MiT Strom Pipeline'!$E$1:$E$860,$U192)))</f>
        <v/>
      </c>
      <c r="J192" s="130" t="str">
        <f aca="false">IF($U192="","",INDEX('MiT Strom Pipeline'!$R$1:$R$860,$U192))</f>
        <v/>
      </c>
      <c r="K192" s="133" t="str">
        <f aca="false">IF($U192="","",IF(ISNUMBER(INDEX('MiT Strom Pipeline'!$S$1:$S$860,$U192)),INDEX('MiT Strom Pipeline'!$S$1:$S$860,$U192),""))</f>
        <v/>
      </c>
      <c r="L192" s="129" t="str">
        <f aca="false">IF($U192="","",IF(LEN(INDEX('MiT Strom Pipeline'!$V$1:$V$860,$U192))&gt;0,LEFT(INDEX('MiT Strom Pipeline'!$V$1:$V$860,$U192),55),""))</f>
        <v/>
      </c>
      <c r="M192" s="129" t="str">
        <f aca="false">IF($U192="","",IF(INDEX('MiT Strom Pipeline'!$AF$1:$AF$860,$U192)="","",INDEX('MiT Strom Pipeline'!$AF$1:$AF$860,$U192)))</f>
        <v/>
      </c>
      <c r="N192" s="129" t="str">
        <f aca="false">IF($U192="","",IF(INDEX('MiT Strom Pipeline'!$BB$1:$BB$860,$U192)="","",INDEX('MiT Strom Pipeline'!$BB$1:$BB$860,$U192)))</f>
        <v/>
      </c>
      <c r="O192" s="112"/>
      <c r="P192" s="112"/>
      <c r="Q192" s="112"/>
      <c r="R192" s="112"/>
      <c r="S192" s="112"/>
      <c r="U192" s="1" t="str">
        <f aca="false">IFERROR(MATCH(54,'MiT Strom Pipeline'!$AO$6:$AO$860,0)+5,"")</f>
        <v/>
      </c>
    </row>
    <row r="193" customFormat="false" ht="15.75" hidden="false" customHeight="true" outlineLevel="0" collapsed="false">
      <c r="A193" s="128" t="str">
        <f aca="false">IF($U193="","",IF(ISNUMBER(INDEX('MiT Strom Pipeline'!$A$1:$A$860,$U193)),INDEX('MiT Strom Pipeline'!$A$1:$A$860,$U193),""))</f>
        <v/>
      </c>
      <c r="B193" s="129" t="str">
        <f aca="false">IF($U193="","",IF(INDEX('MiT Strom Pipeline'!$B$1:$B$860,$U193)="","",INDEX('MiT Strom Pipeline'!$B$1:$B$860,$U193)))</f>
        <v/>
      </c>
      <c r="C193" s="130" t="str">
        <f aca="false">IF($U193="","",IF(INDEX('MiT Strom Pipeline'!$C$1:$C$860,$U193)="","",INDEX('MiT Strom Pipeline'!$C$1:$C$860,$U193)))</f>
        <v/>
      </c>
      <c r="D193" s="129" t="str">
        <f aca="false">IF($U193="","",IF(INDEX('MiT Strom Pipeline'!$D$1:$D$860,$U193)="","",INDEX('MiT Strom Pipeline'!$D$1:$D$860,$U193)))</f>
        <v/>
      </c>
      <c r="E193" s="131" t="str">
        <f aca="false">IF($U193="","",IF(ISNUMBER(INDEX('MiT Strom Pipeline'!$O$1:$O$860,$U193)),INDEX('MiT Strom Pipeline'!$O$1:$O$860,$U193),IF(INDEX('MiT Strom Pipeline'!$H$1:$H$860,$U193)="","",INDEX('MiT Strom Pipeline'!$H$1:$H$860,$U193))))</f>
        <v/>
      </c>
      <c r="F193" s="131" t="str">
        <f aca="false">IF($U193="","",IF(ISNUMBER(INDEX('MiT Strom Pipeline'!$P$1:$P$860,$U193)),INDEX('MiT Strom Pipeline'!$P$1:$P$860,$U193),""))</f>
        <v/>
      </c>
      <c r="G193" s="132" t="str">
        <f aca="false">IF($U193="","",IF(ISNUMBER(INDEX('MiT Strom Pipeline'!$I$1:$I$860,$U193)),INDEX('MiT Strom Pipeline'!$I$1:$I$860,$U193),0))</f>
        <v/>
      </c>
      <c r="H193" s="132" t="str">
        <f aca="false">IF($U193="","",IF(ISNUMBER(INDEX('MiT Strom Pipeline'!$Q$1:$Q$860,$U193)),INDEX('MiT Strom Pipeline'!$Q$1:$Q$860,$U193),0))</f>
        <v/>
      </c>
      <c r="I193" s="129" t="str">
        <f aca="false">IF($U193="","",IF(INDEX('MiT Strom Pipeline'!$E$1:$E$860,$U193)="","",INDEX('MiT Strom Pipeline'!$E$1:$E$860,$U193)))</f>
        <v/>
      </c>
      <c r="J193" s="130" t="str">
        <f aca="false">IF($U193="","",INDEX('MiT Strom Pipeline'!$R$1:$R$860,$U193))</f>
        <v/>
      </c>
      <c r="K193" s="133" t="str">
        <f aca="false">IF($U193="","",IF(ISNUMBER(INDEX('MiT Strom Pipeline'!$S$1:$S$860,$U193)),INDEX('MiT Strom Pipeline'!$S$1:$S$860,$U193),""))</f>
        <v/>
      </c>
      <c r="L193" s="129" t="str">
        <f aca="false">IF($U193="","",IF(LEN(INDEX('MiT Strom Pipeline'!$V$1:$V$860,$U193))&gt;0,LEFT(INDEX('MiT Strom Pipeline'!$V$1:$V$860,$U193),55),""))</f>
        <v/>
      </c>
      <c r="M193" s="129" t="str">
        <f aca="false">IF($U193="","",IF(INDEX('MiT Strom Pipeline'!$AF$1:$AF$860,$U193)="","",INDEX('MiT Strom Pipeline'!$AF$1:$AF$860,$U193)))</f>
        <v/>
      </c>
      <c r="N193" s="129" t="str">
        <f aca="false">IF($U193="","",IF(INDEX('MiT Strom Pipeline'!$BB$1:$BB$860,$U193)="","",INDEX('MiT Strom Pipeline'!$BB$1:$BB$860,$U193)))</f>
        <v/>
      </c>
      <c r="O193" s="112"/>
      <c r="P193" s="112"/>
      <c r="Q193" s="112"/>
      <c r="R193" s="112"/>
      <c r="S193" s="112"/>
      <c r="U193" s="1" t="str">
        <f aca="false">IFERROR(MATCH(55,'MiT Strom Pipeline'!$AO$6:$AO$860,0)+5,"")</f>
        <v/>
      </c>
    </row>
    <row r="194" customFormat="false" ht="15.75" hidden="false" customHeight="true" outlineLevel="0" collapsed="false">
      <c r="A194" s="128" t="str">
        <f aca="false">IF($U194="","",IF(ISNUMBER(INDEX('MiT Strom Pipeline'!$A$1:$A$860,$U194)),INDEX('MiT Strom Pipeline'!$A$1:$A$860,$U194),""))</f>
        <v/>
      </c>
      <c r="B194" s="129" t="str">
        <f aca="false">IF($U194="","",IF(INDEX('MiT Strom Pipeline'!$B$1:$B$860,$U194)="","",INDEX('MiT Strom Pipeline'!$B$1:$B$860,$U194)))</f>
        <v/>
      </c>
      <c r="C194" s="130" t="str">
        <f aca="false">IF($U194="","",IF(INDEX('MiT Strom Pipeline'!$C$1:$C$860,$U194)="","",INDEX('MiT Strom Pipeline'!$C$1:$C$860,$U194)))</f>
        <v/>
      </c>
      <c r="D194" s="129" t="str">
        <f aca="false">IF($U194="","",IF(INDEX('MiT Strom Pipeline'!$D$1:$D$860,$U194)="","",INDEX('MiT Strom Pipeline'!$D$1:$D$860,$U194)))</f>
        <v/>
      </c>
      <c r="E194" s="131" t="str">
        <f aca="false">IF($U194="","",IF(ISNUMBER(INDEX('MiT Strom Pipeline'!$O$1:$O$860,$U194)),INDEX('MiT Strom Pipeline'!$O$1:$O$860,$U194),IF(INDEX('MiT Strom Pipeline'!$H$1:$H$860,$U194)="","",INDEX('MiT Strom Pipeline'!$H$1:$H$860,$U194))))</f>
        <v/>
      </c>
      <c r="F194" s="131" t="str">
        <f aca="false">IF($U194="","",IF(ISNUMBER(INDEX('MiT Strom Pipeline'!$P$1:$P$860,$U194)),INDEX('MiT Strom Pipeline'!$P$1:$P$860,$U194),""))</f>
        <v/>
      </c>
      <c r="G194" s="132" t="str">
        <f aca="false">IF($U194="","",IF(ISNUMBER(INDEX('MiT Strom Pipeline'!$I$1:$I$860,$U194)),INDEX('MiT Strom Pipeline'!$I$1:$I$860,$U194),0))</f>
        <v/>
      </c>
      <c r="H194" s="132" t="str">
        <f aca="false">IF($U194="","",IF(ISNUMBER(INDEX('MiT Strom Pipeline'!$Q$1:$Q$860,$U194)),INDEX('MiT Strom Pipeline'!$Q$1:$Q$860,$U194),0))</f>
        <v/>
      </c>
      <c r="I194" s="129" t="str">
        <f aca="false">IF($U194="","",IF(INDEX('MiT Strom Pipeline'!$E$1:$E$860,$U194)="","",INDEX('MiT Strom Pipeline'!$E$1:$E$860,$U194)))</f>
        <v/>
      </c>
      <c r="J194" s="130" t="str">
        <f aca="false">IF($U194="","",INDEX('MiT Strom Pipeline'!$R$1:$R$860,$U194))</f>
        <v/>
      </c>
      <c r="K194" s="133" t="str">
        <f aca="false">IF($U194="","",IF(ISNUMBER(INDEX('MiT Strom Pipeline'!$S$1:$S$860,$U194)),INDEX('MiT Strom Pipeline'!$S$1:$S$860,$U194),""))</f>
        <v/>
      </c>
      <c r="L194" s="129" t="str">
        <f aca="false">IF($U194="","",IF(LEN(INDEX('MiT Strom Pipeline'!$V$1:$V$860,$U194))&gt;0,LEFT(INDEX('MiT Strom Pipeline'!$V$1:$V$860,$U194),55),""))</f>
        <v/>
      </c>
      <c r="M194" s="129" t="str">
        <f aca="false">IF($U194="","",IF(INDEX('MiT Strom Pipeline'!$AF$1:$AF$860,$U194)="","",INDEX('MiT Strom Pipeline'!$AF$1:$AF$860,$U194)))</f>
        <v/>
      </c>
      <c r="N194" s="129" t="str">
        <f aca="false">IF($U194="","",IF(INDEX('MiT Strom Pipeline'!$BB$1:$BB$860,$U194)="","",INDEX('MiT Strom Pipeline'!$BB$1:$BB$860,$U194)))</f>
        <v/>
      </c>
      <c r="O194" s="112"/>
      <c r="P194" s="112"/>
      <c r="Q194" s="112"/>
      <c r="R194" s="112"/>
      <c r="S194" s="112"/>
      <c r="U194" s="1" t="str">
        <f aca="false">IFERROR(MATCH(56,'MiT Strom Pipeline'!$AO$6:$AO$860,0)+5,"")</f>
        <v/>
      </c>
    </row>
    <row r="195" customFormat="false" ht="15.75" hidden="false" customHeight="true" outlineLevel="0" collapsed="false">
      <c r="A195" s="128" t="str">
        <f aca="false">IF($U195="","",IF(ISNUMBER(INDEX('MiT Strom Pipeline'!$A$1:$A$860,$U195)),INDEX('MiT Strom Pipeline'!$A$1:$A$860,$U195),""))</f>
        <v/>
      </c>
      <c r="B195" s="129" t="str">
        <f aca="false">IF($U195="","",IF(INDEX('MiT Strom Pipeline'!$B$1:$B$860,$U195)="","",INDEX('MiT Strom Pipeline'!$B$1:$B$860,$U195)))</f>
        <v/>
      </c>
      <c r="C195" s="130" t="str">
        <f aca="false">IF($U195="","",IF(INDEX('MiT Strom Pipeline'!$C$1:$C$860,$U195)="","",INDEX('MiT Strom Pipeline'!$C$1:$C$860,$U195)))</f>
        <v/>
      </c>
      <c r="D195" s="129" t="str">
        <f aca="false">IF($U195="","",IF(INDEX('MiT Strom Pipeline'!$D$1:$D$860,$U195)="","",INDEX('MiT Strom Pipeline'!$D$1:$D$860,$U195)))</f>
        <v/>
      </c>
      <c r="E195" s="131" t="str">
        <f aca="false">IF($U195="","",IF(ISNUMBER(INDEX('MiT Strom Pipeline'!$O$1:$O$860,$U195)),INDEX('MiT Strom Pipeline'!$O$1:$O$860,$U195),IF(INDEX('MiT Strom Pipeline'!$H$1:$H$860,$U195)="","",INDEX('MiT Strom Pipeline'!$H$1:$H$860,$U195))))</f>
        <v/>
      </c>
      <c r="F195" s="131" t="str">
        <f aca="false">IF($U195="","",IF(ISNUMBER(INDEX('MiT Strom Pipeline'!$P$1:$P$860,$U195)),INDEX('MiT Strom Pipeline'!$P$1:$P$860,$U195),""))</f>
        <v/>
      </c>
      <c r="G195" s="132" t="str">
        <f aca="false">IF($U195="","",IF(ISNUMBER(INDEX('MiT Strom Pipeline'!$I$1:$I$860,$U195)),INDEX('MiT Strom Pipeline'!$I$1:$I$860,$U195),0))</f>
        <v/>
      </c>
      <c r="H195" s="132" t="str">
        <f aca="false">IF($U195="","",IF(ISNUMBER(INDEX('MiT Strom Pipeline'!$Q$1:$Q$860,$U195)),INDEX('MiT Strom Pipeline'!$Q$1:$Q$860,$U195),0))</f>
        <v/>
      </c>
      <c r="I195" s="129" t="str">
        <f aca="false">IF($U195="","",IF(INDEX('MiT Strom Pipeline'!$E$1:$E$860,$U195)="","",INDEX('MiT Strom Pipeline'!$E$1:$E$860,$U195)))</f>
        <v/>
      </c>
      <c r="J195" s="130" t="str">
        <f aca="false">IF($U195="","",INDEX('MiT Strom Pipeline'!$R$1:$R$860,$U195))</f>
        <v/>
      </c>
      <c r="K195" s="133" t="str">
        <f aca="false">IF($U195="","",IF(ISNUMBER(INDEX('MiT Strom Pipeline'!$S$1:$S$860,$U195)),INDEX('MiT Strom Pipeline'!$S$1:$S$860,$U195),""))</f>
        <v/>
      </c>
      <c r="L195" s="129" t="str">
        <f aca="false">IF($U195="","",IF(LEN(INDEX('MiT Strom Pipeline'!$V$1:$V$860,$U195))&gt;0,LEFT(INDEX('MiT Strom Pipeline'!$V$1:$V$860,$U195),55),""))</f>
        <v/>
      </c>
      <c r="M195" s="129" t="str">
        <f aca="false">IF($U195="","",IF(INDEX('MiT Strom Pipeline'!$AF$1:$AF$860,$U195)="","",INDEX('MiT Strom Pipeline'!$AF$1:$AF$860,$U195)))</f>
        <v/>
      </c>
      <c r="N195" s="129" t="str">
        <f aca="false">IF($U195="","",IF(INDEX('MiT Strom Pipeline'!$BB$1:$BB$860,$U195)="","",INDEX('MiT Strom Pipeline'!$BB$1:$BB$860,$U195)))</f>
        <v/>
      </c>
      <c r="O195" s="112"/>
      <c r="P195" s="112"/>
      <c r="Q195" s="112"/>
      <c r="R195" s="112"/>
      <c r="S195" s="112"/>
      <c r="U195" s="1" t="str">
        <f aca="false">IFERROR(MATCH(57,'MiT Strom Pipeline'!$AO$6:$AO$860,0)+5,"")</f>
        <v/>
      </c>
    </row>
    <row r="196" customFormat="false" ht="15.75" hidden="false" customHeight="true" outlineLevel="0" collapsed="false">
      <c r="A196" s="128" t="str">
        <f aca="false">IF($U196="","",IF(ISNUMBER(INDEX('MiT Strom Pipeline'!$A$1:$A$860,$U196)),INDEX('MiT Strom Pipeline'!$A$1:$A$860,$U196),""))</f>
        <v/>
      </c>
      <c r="B196" s="129" t="str">
        <f aca="false">IF($U196="","",IF(INDEX('MiT Strom Pipeline'!$B$1:$B$860,$U196)="","",INDEX('MiT Strom Pipeline'!$B$1:$B$860,$U196)))</f>
        <v/>
      </c>
      <c r="C196" s="130" t="str">
        <f aca="false">IF($U196="","",IF(INDEX('MiT Strom Pipeline'!$C$1:$C$860,$U196)="","",INDEX('MiT Strom Pipeline'!$C$1:$C$860,$U196)))</f>
        <v/>
      </c>
      <c r="D196" s="129" t="str">
        <f aca="false">IF($U196="","",IF(INDEX('MiT Strom Pipeline'!$D$1:$D$860,$U196)="","",INDEX('MiT Strom Pipeline'!$D$1:$D$860,$U196)))</f>
        <v/>
      </c>
      <c r="E196" s="131" t="str">
        <f aca="false">IF($U196="","",IF(ISNUMBER(INDEX('MiT Strom Pipeline'!$O$1:$O$860,$U196)),INDEX('MiT Strom Pipeline'!$O$1:$O$860,$U196),IF(INDEX('MiT Strom Pipeline'!$H$1:$H$860,$U196)="","",INDEX('MiT Strom Pipeline'!$H$1:$H$860,$U196))))</f>
        <v/>
      </c>
      <c r="F196" s="131" t="str">
        <f aca="false">IF($U196="","",IF(ISNUMBER(INDEX('MiT Strom Pipeline'!$P$1:$P$860,$U196)),INDEX('MiT Strom Pipeline'!$P$1:$P$860,$U196),""))</f>
        <v/>
      </c>
      <c r="G196" s="132" t="str">
        <f aca="false">IF($U196="","",IF(ISNUMBER(INDEX('MiT Strom Pipeline'!$I$1:$I$860,$U196)),INDEX('MiT Strom Pipeline'!$I$1:$I$860,$U196),0))</f>
        <v/>
      </c>
      <c r="H196" s="132" t="str">
        <f aca="false">IF($U196="","",IF(ISNUMBER(INDEX('MiT Strom Pipeline'!$Q$1:$Q$860,$U196)),INDEX('MiT Strom Pipeline'!$Q$1:$Q$860,$U196),0))</f>
        <v/>
      </c>
      <c r="I196" s="129" t="str">
        <f aca="false">IF($U196="","",IF(INDEX('MiT Strom Pipeline'!$E$1:$E$860,$U196)="","",INDEX('MiT Strom Pipeline'!$E$1:$E$860,$U196)))</f>
        <v/>
      </c>
      <c r="J196" s="130" t="str">
        <f aca="false">IF($U196="","",INDEX('MiT Strom Pipeline'!$R$1:$R$860,$U196))</f>
        <v/>
      </c>
      <c r="K196" s="133" t="str">
        <f aca="false">IF($U196="","",IF(ISNUMBER(INDEX('MiT Strom Pipeline'!$S$1:$S$860,$U196)),INDEX('MiT Strom Pipeline'!$S$1:$S$860,$U196),""))</f>
        <v/>
      </c>
      <c r="L196" s="129" t="str">
        <f aca="false">IF($U196="","",IF(LEN(INDEX('MiT Strom Pipeline'!$V$1:$V$860,$U196))&gt;0,LEFT(INDEX('MiT Strom Pipeline'!$V$1:$V$860,$U196),55),""))</f>
        <v/>
      </c>
      <c r="M196" s="129" t="str">
        <f aca="false">IF($U196="","",IF(INDEX('MiT Strom Pipeline'!$AF$1:$AF$860,$U196)="","",INDEX('MiT Strom Pipeline'!$AF$1:$AF$860,$U196)))</f>
        <v/>
      </c>
      <c r="N196" s="129" t="str">
        <f aca="false">IF($U196="","",IF(INDEX('MiT Strom Pipeline'!$BB$1:$BB$860,$U196)="","",INDEX('MiT Strom Pipeline'!$BB$1:$BB$860,$U196)))</f>
        <v/>
      </c>
      <c r="O196" s="112"/>
      <c r="P196" s="112"/>
      <c r="Q196" s="112"/>
      <c r="R196" s="112"/>
      <c r="S196" s="112"/>
      <c r="U196" s="1" t="str">
        <f aca="false">IFERROR(MATCH(58,'MiT Strom Pipeline'!$AO$6:$AO$860,0)+5,"")</f>
        <v/>
      </c>
    </row>
    <row r="197" customFormat="false" ht="15.75" hidden="false" customHeight="true" outlineLevel="0" collapsed="false">
      <c r="A197" s="128" t="str">
        <f aca="false">IF($U197="","",IF(ISNUMBER(INDEX('MiT Strom Pipeline'!$A$1:$A$860,$U197)),INDEX('MiT Strom Pipeline'!$A$1:$A$860,$U197),""))</f>
        <v/>
      </c>
      <c r="B197" s="129" t="str">
        <f aca="false">IF($U197="","",IF(INDEX('MiT Strom Pipeline'!$B$1:$B$860,$U197)="","",INDEX('MiT Strom Pipeline'!$B$1:$B$860,$U197)))</f>
        <v/>
      </c>
      <c r="C197" s="130" t="str">
        <f aca="false">IF($U197="","",IF(INDEX('MiT Strom Pipeline'!$C$1:$C$860,$U197)="","",INDEX('MiT Strom Pipeline'!$C$1:$C$860,$U197)))</f>
        <v/>
      </c>
      <c r="D197" s="129" t="str">
        <f aca="false">IF($U197="","",IF(INDEX('MiT Strom Pipeline'!$D$1:$D$860,$U197)="","",INDEX('MiT Strom Pipeline'!$D$1:$D$860,$U197)))</f>
        <v/>
      </c>
      <c r="E197" s="131" t="str">
        <f aca="false">IF($U197="","",IF(ISNUMBER(INDEX('MiT Strom Pipeline'!$O$1:$O$860,$U197)),INDEX('MiT Strom Pipeline'!$O$1:$O$860,$U197),IF(INDEX('MiT Strom Pipeline'!$H$1:$H$860,$U197)="","",INDEX('MiT Strom Pipeline'!$H$1:$H$860,$U197))))</f>
        <v/>
      </c>
      <c r="F197" s="131" t="str">
        <f aca="false">IF($U197="","",IF(ISNUMBER(INDEX('MiT Strom Pipeline'!$P$1:$P$860,$U197)),INDEX('MiT Strom Pipeline'!$P$1:$P$860,$U197),""))</f>
        <v/>
      </c>
      <c r="G197" s="132" t="str">
        <f aca="false">IF($U197="","",IF(ISNUMBER(INDEX('MiT Strom Pipeline'!$I$1:$I$860,$U197)),INDEX('MiT Strom Pipeline'!$I$1:$I$860,$U197),0))</f>
        <v/>
      </c>
      <c r="H197" s="132" t="str">
        <f aca="false">IF($U197="","",IF(ISNUMBER(INDEX('MiT Strom Pipeline'!$Q$1:$Q$860,$U197)),INDEX('MiT Strom Pipeline'!$Q$1:$Q$860,$U197),0))</f>
        <v/>
      </c>
      <c r="I197" s="129" t="str">
        <f aca="false">IF($U197="","",IF(INDEX('MiT Strom Pipeline'!$E$1:$E$860,$U197)="","",INDEX('MiT Strom Pipeline'!$E$1:$E$860,$U197)))</f>
        <v/>
      </c>
      <c r="J197" s="130" t="str">
        <f aca="false">IF($U197="","",INDEX('MiT Strom Pipeline'!$R$1:$R$860,$U197))</f>
        <v/>
      </c>
      <c r="K197" s="133" t="str">
        <f aca="false">IF($U197="","",IF(ISNUMBER(INDEX('MiT Strom Pipeline'!$S$1:$S$860,$U197)),INDEX('MiT Strom Pipeline'!$S$1:$S$860,$U197),""))</f>
        <v/>
      </c>
      <c r="L197" s="129" t="str">
        <f aca="false">IF($U197="","",IF(LEN(INDEX('MiT Strom Pipeline'!$V$1:$V$860,$U197))&gt;0,LEFT(INDEX('MiT Strom Pipeline'!$V$1:$V$860,$U197),55),""))</f>
        <v/>
      </c>
      <c r="M197" s="129" t="str">
        <f aca="false">IF($U197="","",IF(INDEX('MiT Strom Pipeline'!$AF$1:$AF$860,$U197)="","",INDEX('MiT Strom Pipeline'!$AF$1:$AF$860,$U197)))</f>
        <v/>
      </c>
      <c r="N197" s="129" t="str">
        <f aca="false">IF($U197="","",IF(INDEX('MiT Strom Pipeline'!$BB$1:$BB$860,$U197)="","",INDEX('MiT Strom Pipeline'!$BB$1:$BB$860,$U197)))</f>
        <v/>
      </c>
      <c r="O197" s="112"/>
      <c r="P197" s="112"/>
      <c r="Q197" s="112"/>
      <c r="R197" s="112"/>
      <c r="S197" s="112"/>
      <c r="U197" s="1" t="str">
        <f aca="false">IFERROR(MATCH(59,'MiT Strom Pipeline'!$AO$6:$AO$860,0)+5,"")</f>
        <v/>
      </c>
    </row>
    <row r="198" customFormat="false" ht="15.75" hidden="false" customHeight="true" outlineLevel="0" collapsed="false">
      <c r="A198" s="128" t="str">
        <f aca="false">IF($U198="","",IF(ISNUMBER(INDEX('MiT Strom Pipeline'!$A$1:$A$860,$U198)),INDEX('MiT Strom Pipeline'!$A$1:$A$860,$U198),""))</f>
        <v/>
      </c>
      <c r="B198" s="129" t="str">
        <f aca="false">IF($U198="","",IF(INDEX('MiT Strom Pipeline'!$B$1:$B$860,$U198)="","",INDEX('MiT Strom Pipeline'!$B$1:$B$860,$U198)))</f>
        <v/>
      </c>
      <c r="C198" s="130" t="str">
        <f aca="false">IF($U198="","",IF(INDEX('MiT Strom Pipeline'!$C$1:$C$860,$U198)="","",INDEX('MiT Strom Pipeline'!$C$1:$C$860,$U198)))</f>
        <v/>
      </c>
      <c r="D198" s="129" t="str">
        <f aca="false">IF($U198="","",IF(INDEX('MiT Strom Pipeline'!$D$1:$D$860,$U198)="","",INDEX('MiT Strom Pipeline'!$D$1:$D$860,$U198)))</f>
        <v/>
      </c>
      <c r="E198" s="131" t="str">
        <f aca="false">IF($U198="","",IF(ISNUMBER(INDEX('MiT Strom Pipeline'!$O$1:$O$860,$U198)),INDEX('MiT Strom Pipeline'!$O$1:$O$860,$U198),IF(INDEX('MiT Strom Pipeline'!$H$1:$H$860,$U198)="","",INDEX('MiT Strom Pipeline'!$H$1:$H$860,$U198))))</f>
        <v/>
      </c>
      <c r="F198" s="131" t="str">
        <f aca="false">IF($U198="","",IF(ISNUMBER(INDEX('MiT Strom Pipeline'!$P$1:$P$860,$U198)),INDEX('MiT Strom Pipeline'!$P$1:$P$860,$U198),""))</f>
        <v/>
      </c>
      <c r="G198" s="132" t="str">
        <f aca="false">IF($U198="","",IF(ISNUMBER(INDEX('MiT Strom Pipeline'!$I$1:$I$860,$U198)),INDEX('MiT Strom Pipeline'!$I$1:$I$860,$U198),0))</f>
        <v/>
      </c>
      <c r="H198" s="132" t="str">
        <f aca="false">IF($U198="","",IF(ISNUMBER(INDEX('MiT Strom Pipeline'!$Q$1:$Q$860,$U198)),INDEX('MiT Strom Pipeline'!$Q$1:$Q$860,$U198),0))</f>
        <v/>
      </c>
      <c r="I198" s="129" t="str">
        <f aca="false">IF($U198="","",IF(INDEX('MiT Strom Pipeline'!$E$1:$E$860,$U198)="","",INDEX('MiT Strom Pipeline'!$E$1:$E$860,$U198)))</f>
        <v/>
      </c>
      <c r="J198" s="130" t="str">
        <f aca="false">IF($U198="","",INDEX('MiT Strom Pipeline'!$R$1:$R$860,$U198))</f>
        <v/>
      </c>
      <c r="K198" s="133" t="str">
        <f aca="false">IF($U198="","",IF(ISNUMBER(INDEX('MiT Strom Pipeline'!$S$1:$S$860,$U198)),INDEX('MiT Strom Pipeline'!$S$1:$S$860,$U198),""))</f>
        <v/>
      </c>
      <c r="L198" s="129" t="str">
        <f aca="false">IF($U198="","",IF(LEN(INDEX('MiT Strom Pipeline'!$V$1:$V$860,$U198))&gt;0,LEFT(INDEX('MiT Strom Pipeline'!$V$1:$V$860,$U198),55),""))</f>
        <v/>
      </c>
      <c r="M198" s="129" t="str">
        <f aca="false">IF($U198="","",IF(INDEX('MiT Strom Pipeline'!$AF$1:$AF$860,$U198)="","",INDEX('MiT Strom Pipeline'!$AF$1:$AF$860,$U198)))</f>
        <v/>
      </c>
      <c r="N198" s="129" t="str">
        <f aca="false">IF($U198="","",IF(INDEX('MiT Strom Pipeline'!$BB$1:$BB$860,$U198)="","",INDEX('MiT Strom Pipeline'!$BB$1:$BB$860,$U198)))</f>
        <v/>
      </c>
      <c r="O198" s="112"/>
      <c r="P198" s="112"/>
      <c r="Q198" s="112"/>
      <c r="R198" s="112"/>
      <c r="S198" s="112"/>
      <c r="U198" s="1" t="str">
        <f aca="false">IFERROR(MATCH(60,'MiT Strom Pipeline'!$AO$6:$AO$860,0)+5,"")</f>
        <v/>
      </c>
    </row>
    <row r="199" customFormat="false" ht="21.75" hidden="false" customHeight="true" outlineLevel="0" collapsed="false">
      <c r="A199" s="128" t="str">
        <f aca="false">IF($U199="","",IF(ISNUMBER(INDEX('MiT Strom Pipeline'!$A$1:$A$860,$U199)),INDEX('MiT Strom Pipeline'!$A$1:$A$860,$U199),""))</f>
        <v/>
      </c>
      <c r="B199" s="129" t="str">
        <f aca="false">IF($U199="","",IF(INDEX('MiT Strom Pipeline'!$B$1:$B$860,$U199)="","",INDEX('MiT Strom Pipeline'!$B$1:$B$860,$U199)))</f>
        <v/>
      </c>
      <c r="C199" s="130" t="str">
        <f aca="false">IF($U199="","",IF(INDEX('MiT Strom Pipeline'!$C$1:$C$860,$U199)="","",INDEX('MiT Strom Pipeline'!$C$1:$C$860,$U199)))</f>
        <v/>
      </c>
      <c r="D199" s="129" t="str">
        <f aca="false">IF($U199="","",IF(INDEX('MiT Strom Pipeline'!$D$1:$D$860,$U199)="","",INDEX('MiT Strom Pipeline'!$D$1:$D$860,$U199)))</f>
        <v/>
      </c>
      <c r="E199" s="131" t="str">
        <f aca="false">IF($U199="","",IF(ISNUMBER(INDEX('MiT Strom Pipeline'!$O$1:$O$860,$U199)),INDEX('MiT Strom Pipeline'!$O$1:$O$860,$U199),IF(INDEX('MiT Strom Pipeline'!$H$1:$H$860,$U199)="","",INDEX('MiT Strom Pipeline'!$H$1:$H$860,$U199))))</f>
        <v/>
      </c>
      <c r="F199" s="131" t="str">
        <f aca="false">IF($U199="","",IF(ISNUMBER(INDEX('MiT Strom Pipeline'!$P$1:$P$860,$U199)),INDEX('MiT Strom Pipeline'!$P$1:$P$860,$U199),""))</f>
        <v/>
      </c>
      <c r="G199" s="132" t="str">
        <f aca="false">IF($U199="","",IF(ISNUMBER(INDEX('MiT Strom Pipeline'!$I$1:$I$860,$U199)),INDEX('MiT Strom Pipeline'!$I$1:$I$860,$U199),0))</f>
        <v/>
      </c>
      <c r="H199" s="132" t="str">
        <f aca="false">IF($U199="","",IF(ISNUMBER(INDEX('MiT Strom Pipeline'!$Q$1:$Q$860,$U199)),INDEX('MiT Strom Pipeline'!$Q$1:$Q$860,$U199),0))</f>
        <v/>
      </c>
      <c r="I199" s="129" t="str">
        <f aca="false">IF($U199="","",IF(INDEX('MiT Strom Pipeline'!$E$1:$E$860,$U199)="","",INDEX('MiT Strom Pipeline'!$E$1:$E$860,$U199)))</f>
        <v/>
      </c>
      <c r="J199" s="130" t="str">
        <f aca="false">IF($U199="","",INDEX('MiT Strom Pipeline'!$R$1:$R$860,$U199))</f>
        <v/>
      </c>
      <c r="K199" s="133" t="str">
        <f aca="false">IF($U199="","",IF(ISNUMBER(INDEX('MiT Strom Pipeline'!$S$1:$S$860,$U199)),INDEX('MiT Strom Pipeline'!$S$1:$S$860,$U199),""))</f>
        <v/>
      </c>
      <c r="L199" s="129" t="str">
        <f aca="false">IF($U199="","",IF(LEN(INDEX('MiT Strom Pipeline'!$V$1:$V$860,$U199))&gt;0,LEFT(INDEX('MiT Strom Pipeline'!$V$1:$V$860,$U199),55),""))</f>
        <v/>
      </c>
      <c r="M199" s="129" t="str">
        <f aca="false">IF($U199="","",IF(INDEX('MiT Strom Pipeline'!$AF$1:$AF$860,$U199)="","",INDEX('MiT Strom Pipeline'!$AF$1:$AF$860,$U199)))</f>
        <v/>
      </c>
      <c r="N199" s="129" t="str">
        <f aca="false">IF($U199="","",IF(INDEX('MiT Strom Pipeline'!$BB$1:$BB$860,$U199)="","",INDEX('MiT Strom Pipeline'!$BB$1:$BB$860,$U199)))</f>
        <v/>
      </c>
      <c r="O199" s="112"/>
      <c r="P199" s="112"/>
      <c r="Q199" s="112"/>
      <c r="R199" s="112"/>
      <c r="S199" s="112"/>
      <c r="U199" s="1" t="str">
        <f aca="false">IFERROR(MATCH(61,'MiT Strom Pipeline'!$AO$6:$AO$860,0)+5,"")</f>
        <v/>
      </c>
    </row>
    <row r="200" customFormat="false" ht="3.75" hidden="false" customHeight="true" outlineLevel="0" collapsed="false">
      <c r="A200" s="128" t="str">
        <f aca="false">IF($U200="","",IF(ISNUMBER(INDEX('MiT Strom Pipeline'!$A$1:$A$860,$U200)),INDEX('MiT Strom Pipeline'!$A$1:$A$860,$U200),""))</f>
        <v/>
      </c>
      <c r="B200" s="129" t="str">
        <f aca="false">IF($U200="","",IF(INDEX('MiT Strom Pipeline'!$B$1:$B$860,$U200)="","",INDEX('MiT Strom Pipeline'!$B$1:$B$860,$U200)))</f>
        <v/>
      </c>
      <c r="C200" s="130" t="str">
        <f aca="false">IF($U200="","",IF(INDEX('MiT Strom Pipeline'!$C$1:$C$860,$U200)="","",INDEX('MiT Strom Pipeline'!$C$1:$C$860,$U200)))</f>
        <v/>
      </c>
      <c r="D200" s="129" t="str">
        <f aca="false">IF($U200="","",IF(INDEX('MiT Strom Pipeline'!$D$1:$D$860,$U200)="","",INDEX('MiT Strom Pipeline'!$D$1:$D$860,$U200)))</f>
        <v/>
      </c>
      <c r="E200" s="131" t="str">
        <f aca="false">IF($U200="","",IF(ISNUMBER(INDEX('MiT Strom Pipeline'!$O$1:$O$860,$U200)),INDEX('MiT Strom Pipeline'!$O$1:$O$860,$U200),IF(INDEX('MiT Strom Pipeline'!$H$1:$H$860,$U200)="","",INDEX('MiT Strom Pipeline'!$H$1:$H$860,$U200))))</f>
        <v/>
      </c>
      <c r="F200" s="131" t="str">
        <f aca="false">IF($U200="","",IF(ISNUMBER(INDEX('MiT Strom Pipeline'!$P$1:$P$860,$U200)),INDEX('MiT Strom Pipeline'!$P$1:$P$860,$U200),""))</f>
        <v/>
      </c>
      <c r="G200" s="132" t="str">
        <f aca="false">IF($U200="","",IF(ISNUMBER(INDEX('MiT Strom Pipeline'!$I$1:$I$860,$U200)),INDEX('MiT Strom Pipeline'!$I$1:$I$860,$U200),0))</f>
        <v/>
      </c>
      <c r="H200" s="132" t="str">
        <f aca="false">IF($U200="","",IF(ISNUMBER(INDEX('MiT Strom Pipeline'!$Q$1:$Q$860,$U200)),INDEX('MiT Strom Pipeline'!$Q$1:$Q$860,$U200),0))</f>
        <v/>
      </c>
      <c r="I200" s="129" t="str">
        <f aca="false">IF($U200="","",IF(INDEX('MiT Strom Pipeline'!$E$1:$E$860,$U200)="","",INDEX('MiT Strom Pipeline'!$E$1:$E$860,$U200)))</f>
        <v/>
      </c>
      <c r="J200" s="130" t="str">
        <f aca="false">IF($U200="","",INDEX('MiT Strom Pipeline'!$R$1:$R$860,$U200))</f>
        <v/>
      </c>
      <c r="K200" s="133" t="str">
        <f aca="false">IF($U200="","",IF(ISNUMBER(INDEX('MiT Strom Pipeline'!$S$1:$S$860,$U200)),INDEX('MiT Strom Pipeline'!$S$1:$S$860,$U200),""))</f>
        <v/>
      </c>
      <c r="L200" s="129" t="str">
        <f aca="false">IF($U200="","",IF(LEN(INDEX('MiT Strom Pipeline'!$V$1:$V$860,$U200))&gt;0,LEFT(INDEX('MiT Strom Pipeline'!$V$1:$V$860,$U200),55),""))</f>
        <v/>
      </c>
      <c r="M200" s="129" t="str">
        <f aca="false">IF($U200="","",IF(INDEX('MiT Strom Pipeline'!$AF$1:$AF$860,$U200)="","",INDEX('MiT Strom Pipeline'!$AF$1:$AF$860,$U200)))</f>
        <v/>
      </c>
      <c r="N200" s="129" t="str">
        <f aca="false">IF($U200="","",IF(INDEX('MiT Strom Pipeline'!$BB$1:$BB$860,$U200)="","",INDEX('MiT Strom Pipeline'!$BB$1:$BB$860,$U200)))</f>
        <v/>
      </c>
      <c r="O200" s="112"/>
      <c r="P200" s="112"/>
      <c r="Q200" s="112"/>
      <c r="R200" s="112"/>
      <c r="S200" s="112"/>
      <c r="U200" s="1" t="str">
        <f aca="false">IFERROR(MATCH(62,'MiT Strom Pipeline'!$AO$6:$AO$860,0)+5,"")</f>
        <v/>
      </c>
    </row>
    <row r="201" customFormat="false" ht="27.75" hidden="false" customHeight="true" outlineLevel="0" collapsed="false">
      <c r="A201" s="136" t="s">
        <v>124</v>
      </c>
      <c r="B201" s="136"/>
      <c r="C201" s="136"/>
      <c r="D201" s="136"/>
      <c r="E201" s="136"/>
      <c r="F201" s="137" t="n">
        <f aca="false">SUMIFS('MiT Strom Pipeline'!I$6:I$860,'MiT Strom Pipeline'!R$6:R$860,"WON")+SUMIFS('MiT Strom Pipeline'!I$6:I$860,'MiT Strom Pipeline'!R$6:R$860,"offered")+SUMIFS('MiT Strom Pipeline'!I$6:I$860,'MiT Strom Pipeline'!R$6:R$860,"to be offered")+SUMIFS('MiT Strom Pipeline'!I$6:I$860,'MiT Strom Pipeline'!R$6:R$860,"on hold")+SUMIFS('MiT Strom Pipeline'!I$6:I$860,'MiT Strom Pipeline'!R$6:R$860,"follow-up")+SUMIFS('MiT Strom Pipeline'!I$6:I$860,'MiT Strom Pipeline'!R$6:R$860,"Evaluation")+SUMIFS('MiT Strom Pipeline'!I$6:I$860,'MiT Strom Pipeline'!R$6:R$860,"tbd")+SUMIFS('MiT Strom Pipeline'!I$6:I$860,'MiT Strom Pipeline'!R$6:R$860,"In evaluation")</f>
        <v>6862149.23</v>
      </c>
      <c r="G201" s="138"/>
      <c r="H201" s="138"/>
      <c r="I201" s="138"/>
      <c r="J201" s="138"/>
      <c r="K201" s="139"/>
      <c r="M201" s="112"/>
      <c r="N201" s="112"/>
      <c r="O201" s="112"/>
      <c r="P201" s="112"/>
      <c r="Q201" s="112"/>
      <c r="R201" s="112"/>
      <c r="S201" s="112"/>
    </row>
    <row r="202" customFormat="false" ht="18" hidden="false" customHeight="true" outlineLevel="0" collapsed="false">
      <c r="A202" s="140" t="s">
        <v>125</v>
      </c>
      <c r="B202" s="140"/>
      <c r="C202" s="140"/>
      <c r="D202" s="140"/>
      <c r="E202" s="140"/>
      <c r="F202" s="141" t="n">
        <f aca="false">SUMIFS('MiT Strom Pipeline'!I$6:I$860,'MiT Strom Pipeline'!R$6:R$860,"WON")</f>
        <v>1428553.13</v>
      </c>
      <c r="G202" s="142"/>
      <c r="H202" s="142"/>
      <c r="I202" s="142"/>
      <c r="J202" s="142"/>
      <c r="K202" s="143"/>
      <c r="M202" s="112"/>
      <c r="N202" s="112"/>
      <c r="O202" s="112"/>
      <c r="P202" s="112"/>
      <c r="Q202" s="112"/>
      <c r="R202" s="112"/>
      <c r="S202" s="112"/>
    </row>
    <row r="203" customFormat="false" ht="18" hidden="false" customHeight="true" outlineLevel="0" collapsed="false">
      <c r="A203" s="140" t="s">
        <v>126</v>
      </c>
      <c r="B203" s="140"/>
      <c r="C203" s="140"/>
      <c r="D203" s="140"/>
      <c r="E203" s="140"/>
      <c r="F203" s="144" t="n">
        <f aca="false">SUMIFS('MiT Strom Pipeline'!I$6:I$860,'MiT Strom Pipeline'!R$6:R$860,"offered")+SUMIFS('MiT Strom Pipeline'!I$6:I$860,'MiT Strom Pipeline'!R$6:R$860,"to be offered")+SUMIFS('MiT Strom Pipeline'!I$6:I$860,'MiT Strom Pipeline'!R$6:R$860,"on hold")</f>
        <v>5433596.1</v>
      </c>
      <c r="G203" s="142"/>
      <c r="H203" s="142"/>
      <c r="I203" s="142"/>
      <c r="J203" s="142"/>
      <c r="K203" s="143"/>
      <c r="M203" s="112"/>
      <c r="N203" s="112"/>
      <c r="O203" s="112"/>
      <c r="P203" s="112"/>
      <c r="Q203" s="112"/>
      <c r="R203" s="112"/>
      <c r="S203" s="112"/>
    </row>
    <row r="204" customFormat="false" ht="18" hidden="false" customHeight="true" outlineLevel="0" collapsed="false">
      <c r="A204" s="140" t="s">
        <v>127</v>
      </c>
      <c r="B204" s="140"/>
      <c r="C204" s="140"/>
      <c r="D204" s="140"/>
      <c r="E204" s="140"/>
      <c r="F204" s="145" t="n">
        <f aca="false">SUMIFS('MiT Strom Pipeline'!I$6:I$860,'MiT Strom Pipeline'!R$6:R$860,"follow-up")+SUMIFS('MiT Strom Pipeline'!I$6:I$860,'MiT Strom Pipeline'!R$6:R$860,"Evaluation")+SUMIFS('MiT Strom Pipeline'!I$6:I$860,'MiT Strom Pipeline'!R$6:R$860,"tbd")+SUMIFS('MiT Strom Pipeline'!I$6:I$860,'MiT Strom Pipeline'!R$6:R$860,"In evaluation")</f>
        <v>0</v>
      </c>
      <c r="G204" s="142"/>
      <c r="H204" s="142"/>
      <c r="I204" s="142"/>
      <c r="J204" s="142"/>
      <c r="K204" s="143"/>
      <c r="M204" s="112"/>
      <c r="N204" s="112"/>
      <c r="O204" s="112"/>
      <c r="P204" s="112"/>
      <c r="Q204" s="112"/>
      <c r="R204" s="112"/>
      <c r="S204" s="112"/>
    </row>
    <row r="205" customFormat="false" ht="15" hidden="false" customHeight="true" outlineLevel="0" collapsed="false">
      <c r="D205" s="146"/>
      <c r="E205" s="146"/>
      <c r="K205" s="146"/>
      <c r="M205" s="112"/>
      <c r="N205" s="112"/>
      <c r="O205" s="112"/>
      <c r="P205" s="112"/>
      <c r="Q205" s="112"/>
      <c r="R205" s="112"/>
      <c r="S205" s="112"/>
    </row>
    <row r="206" customFormat="false" ht="24" hidden="false" customHeight="true" outlineLevel="0" collapsed="false">
      <c r="A206" s="147" t="s">
        <v>128</v>
      </c>
      <c r="B206" s="147"/>
      <c r="C206" s="147"/>
      <c r="D206" s="147"/>
      <c r="E206" s="147"/>
      <c r="F206" s="147"/>
      <c r="G206" s="147"/>
      <c r="H206" s="147"/>
      <c r="I206" s="147"/>
      <c r="J206" s="147"/>
      <c r="K206" s="147"/>
      <c r="L206" s="147"/>
      <c r="M206" s="147"/>
      <c r="N206" s="147"/>
      <c r="O206" s="112"/>
      <c r="P206" s="112"/>
      <c r="Q206" s="112"/>
      <c r="R206" s="112"/>
      <c r="S206" s="112"/>
    </row>
    <row r="207" customFormat="false" ht="19.5" hidden="false" customHeight="true" outlineLevel="0" collapsed="false">
      <c r="A207" s="148" t="s">
        <v>129</v>
      </c>
      <c r="B207" s="148"/>
      <c r="C207" s="148"/>
      <c r="D207" s="149" t="s">
        <v>27</v>
      </c>
      <c r="E207" s="148" t="s">
        <v>15</v>
      </c>
      <c r="F207" s="148" t="s">
        <v>28</v>
      </c>
      <c r="G207" s="148" t="s">
        <v>29</v>
      </c>
      <c r="H207" s="148"/>
      <c r="I207" s="149" t="s">
        <v>42</v>
      </c>
      <c r="M207" s="112"/>
      <c r="N207" s="112"/>
      <c r="O207" s="112"/>
      <c r="P207" s="112"/>
      <c r="Q207" s="112"/>
      <c r="R207" s="112"/>
      <c r="S207" s="112"/>
    </row>
    <row r="208" customFormat="false" ht="18" hidden="false" customHeight="true" outlineLevel="0" collapsed="false">
      <c r="A208" s="150" t="str">
        <f aca="false">'⚖️ Wahrscheinlichkeit'!$A$17</f>
        <v>0 – 44 %</v>
      </c>
      <c r="B208" s="150"/>
      <c r="C208" s="150"/>
      <c r="D208" s="151" t="n">
        <f aca="false">'⚖️ Wahrscheinlichkeit'!$D$17</f>
        <v>0</v>
      </c>
      <c r="E208" s="152" t="n">
        <f aca="false">'⚖️ Wahrscheinlichkeit'!$E$17</f>
        <v>30</v>
      </c>
      <c r="F208" s="153" t="n">
        <f aca="false">'⚖️ Wahrscheinlichkeit'!$F$17</f>
        <v>5092182.15</v>
      </c>
      <c r="G208" s="154" t="n">
        <f aca="false">'⚖️ Wahrscheinlichkeit'!$G$17</f>
        <v>0</v>
      </c>
      <c r="H208" s="154"/>
      <c r="I208" s="155" t="n">
        <f aca="false">'⚖️ Wahrscheinlichkeit'!$H$17</f>
        <v>0</v>
      </c>
      <c r="M208" s="112"/>
      <c r="N208" s="112"/>
      <c r="O208" s="112"/>
      <c r="P208" s="112"/>
      <c r="Q208" s="112"/>
      <c r="R208" s="112"/>
      <c r="S208" s="112"/>
    </row>
    <row r="209" customFormat="false" ht="18" hidden="false" customHeight="true" outlineLevel="0" collapsed="false">
      <c r="A209" s="156" t="str">
        <f aca="false">'⚖️ Wahrscheinlichkeit'!$A$18</f>
        <v>45 – 59 %</v>
      </c>
      <c r="B209" s="156"/>
      <c r="C209" s="156"/>
      <c r="D209" s="157" t="n">
        <f aca="false">'⚖️ Wahrscheinlichkeit'!$D$18</f>
        <v>0.3</v>
      </c>
      <c r="E209" s="158" t="n">
        <f aca="false">'⚖️ Wahrscheinlichkeit'!$E$18</f>
        <v>0</v>
      </c>
      <c r="F209" s="159" t="n">
        <f aca="false">'⚖️ Wahrscheinlichkeit'!$F$18</f>
        <v>0</v>
      </c>
      <c r="G209" s="160" t="n">
        <f aca="false">'⚖️ Wahrscheinlichkeit'!$G$18</f>
        <v>0</v>
      </c>
      <c r="H209" s="160"/>
      <c r="I209" s="161" t="n">
        <f aca="false">'⚖️ Wahrscheinlichkeit'!$H$18</f>
        <v>0</v>
      </c>
      <c r="M209" s="112"/>
      <c r="N209" s="112"/>
      <c r="O209" s="112"/>
      <c r="P209" s="112"/>
      <c r="Q209" s="112"/>
      <c r="R209" s="112"/>
      <c r="S209" s="112"/>
    </row>
    <row r="210" customFormat="false" ht="18" hidden="false" customHeight="true" outlineLevel="0" collapsed="false">
      <c r="A210" s="162" t="str">
        <f aca="false">'⚖️ Wahrscheinlichkeit'!$A$19</f>
        <v>60 – 89 %</v>
      </c>
      <c r="B210" s="162"/>
      <c r="C210" s="162"/>
      <c r="D210" s="163" t="n">
        <f aca="false">'⚖️ Wahrscheinlichkeit'!$D$19</f>
        <v>0.5</v>
      </c>
      <c r="E210" s="164" t="n">
        <f aca="false">'⚖️ Wahrscheinlichkeit'!$E$19</f>
        <v>2</v>
      </c>
      <c r="F210" s="165" t="n">
        <f aca="false">'⚖️ Wahrscheinlichkeit'!$F$19</f>
        <v>268500.23</v>
      </c>
      <c r="G210" s="166" t="n">
        <f aca="false">'⚖️ Wahrscheinlichkeit'!$G$19</f>
        <v>134250.115</v>
      </c>
      <c r="H210" s="166"/>
      <c r="I210" s="167" t="n">
        <f aca="false">'⚖️ Wahrscheinlichkeit'!$H$19</f>
        <v>0.0824416636394636</v>
      </c>
      <c r="M210" s="112"/>
      <c r="N210" s="112"/>
      <c r="O210" s="112"/>
      <c r="P210" s="112"/>
      <c r="Q210" s="112"/>
      <c r="R210" s="112"/>
      <c r="S210" s="112"/>
    </row>
    <row r="211" customFormat="false" ht="18" hidden="false" customHeight="true" outlineLevel="0" collapsed="false">
      <c r="A211" s="168" t="str">
        <f aca="false">'⚖️ Wahrscheinlichkeit'!$A$20</f>
        <v>90 – 99 %</v>
      </c>
      <c r="B211" s="168"/>
      <c r="C211" s="168"/>
      <c r="D211" s="169" t="n">
        <f aca="false">'⚖️ Wahrscheinlichkeit'!$D$20</f>
        <v>0.9</v>
      </c>
      <c r="E211" s="170" t="n">
        <f aca="false">'⚖️ Wahrscheinlichkeit'!$E$20</f>
        <v>2</v>
      </c>
      <c r="F211" s="171" t="n">
        <f aca="false">'⚖️ Wahrscheinlichkeit'!$F$20</f>
        <v>72913.72</v>
      </c>
      <c r="G211" s="172" t="n">
        <f aca="false">'⚖️ Wahrscheinlichkeit'!$G$20</f>
        <v>65622.348</v>
      </c>
      <c r="H211" s="172"/>
      <c r="I211" s="173" t="n">
        <f aca="false">'⚖️ Wahrscheinlichkeit'!$H$20</f>
        <v>0.0402980328251326</v>
      </c>
      <c r="M211" s="112"/>
      <c r="N211" s="112"/>
      <c r="O211" s="112"/>
      <c r="P211" s="112"/>
      <c r="Q211" s="112"/>
      <c r="R211" s="112"/>
      <c r="S211" s="112"/>
    </row>
    <row r="212" customFormat="false" ht="18" hidden="false" customHeight="true" outlineLevel="0" collapsed="false">
      <c r="A212" s="174" t="str">
        <f aca="false">'⚖️ Wahrscheinlichkeit'!$A$21</f>
        <v>100 %  ·  WON</v>
      </c>
      <c r="B212" s="174"/>
      <c r="C212" s="174"/>
      <c r="D212" s="175" t="n">
        <f aca="false">'⚖️ Wahrscheinlichkeit'!$D$21</f>
        <v>1</v>
      </c>
      <c r="E212" s="176" t="n">
        <f aca="false">'⚖️ Wahrscheinlichkeit'!$E$21</f>
        <v>12</v>
      </c>
      <c r="F212" s="177" t="n">
        <f aca="false">'⚖️ Wahrscheinlichkeit'!$F$21</f>
        <v>1428553.13</v>
      </c>
      <c r="G212" s="178" t="n">
        <f aca="false">'⚖️ Wahrscheinlichkeit'!$G$21</f>
        <v>1428553.13</v>
      </c>
      <c r="H212" s="178"/>
      <c r="I212" s="179" t="n">
        <f aca="false">'⚖️ Wahrscheinlichkeit'!$H$21</f>
        <v>0.877260303535404</v>
      </c>
      <c r="M212" s="112"/>
      <c r="N212" s="112"/>
      <c r="O212" s="112"/>
      <c r="P212" s="112"/>
      <c r="Q212" s="112"/>
      <c r="R212" s="112"/>
      <c r="S212" s="112"/>
    </row>
    <row r="213" customFormat="false" ht="25.5" hidden="false" customHeight="true" outlineLevel="0" collapsed="false">
      <c r="A213" s="180" t="s">
        <v>130</v>
      </c>
      <c r="B213" s="180"/>
      <c r="C213" s="180"/>
      <c r="D213" s="181"/>
      <c r="E213" s="182" t="n">
        <f aca="false">'⚖️ Wahrscheinlichkeit'!$E$22</f>
        <v>46</v>
      </c>
      <c r="F213" s="183" t="n">
        <f aca="false">'⚖️ Wahrscheinlichkeit'!$F$22</f>
        <v>6862149.23</v>
      </c>
      <c r="G213" s="184" t="n">
        <f aca="false">'⚖️ Wahrscheinlichkeit'!$G$22</f>
        <v>1628425.593</v>
      </c>
      <c r="H213" s="184"/>
      <c r="I213" s="185" t="n">
        <f aca="false">'⚖️ Wahrscheinlichkeit'!$H$22</f>
        <v>0.237305476523424</v>
      </c>
      <c r="M213" s="112"/>
      <c r="N213" s="112"/>
      <c r="O213" s="112"/>
      <c r="P213" s="112"/>
      <c r="Q213" s="112"/>
      <c r="R213" s="112"/>
      <c r="S213" s="112"/>
    </row>
    <row r="214" customFormat="false" ht="15.75" hidden="false" customHeight="true" outlineLevel="0" collapsed="false">
      <c r="A214" s="186" t="str">
        <f aca="false">"Gewichtungsgrad der Gesamtpipeline: "&amp;TEXT('⚖️ Wahrscheinlichkeit'!$H$22,"0.0%")&amp;"   ·   Faktoren: 0–44 % → 0 %  |  45–59 % → 30 %  |  60–89 % → 50 %  |  90–99 % → 90 %  |  100 % → 100 %"</f>
        <v>Gewichtungsgrad der Gesamtpipeline: 23.7%   ·   Faktoren: 0–44 % → 0 %  |  45–59 % → 30 %  |  60–89 % → 50 %  |  90–99 % → 90 %  |  100 % → 100 %</v>
      </c>
      <c r="B214" s="186"/>
      <c r="C214" s="186"/>
      <c r="D214" s="186"/>
      <c r="E214" s="186"/>
      <c r="F214" s="186"/>
      <c r="G214" s="186"/>
      <c r="H214" s="186"/>
      <c r="I214" s="186"/>
      <c r="J214" s="186"/>
      <c r="K214" s="186"/>
      <c r="L214" s="186"/>
      <c r="M214" s="186"/>
      <c r="N214" s="186"/>
      <c r="O214" s="112"/>
      <c r="P214" s="112"/>
      <c r="Q214" s="112"/>
      <c r="R214" s="112"/>
      <c r="S214" s="112"/>
    </row>
    <row r="215" customFormat="false" ht="15" hidden="false" customHeight="true" outlineLevel="0" collapsed="false">
      <c r="M215" s="112"/>
      <c r="N215" s="112"/>
      <c r="O215" s="112"/>
      <c r="P215" s="112"/>
      <c r="Q215" s="112"/>
      <c r="R215" s="112"/>
      <c r="S215" s="112"/>
    </row>
    <row r="216" customFormat="false" ht="13.5" hidden="false" customHeight="true" outlineLevel="0" collapsed="false">
      <c r="A216" s="187"/>
      <c r="M216" s="112"/>
      <c r="N216" s="112"/>
      <c r="O216" s="112"/>
      <c r="P216" s="112"/>
      <c r="Q216" s="112"/>
      <c r="R216" s="112"/>
      <c r="S216" s="112"/>
    </row>
    <row r="217" customFormat="false" ht="15" hidden="false" customHeight="true" outlineLevel="0" collapsed="false">
      <c r="M217" s="112"/>
      <c r="N217" s="112"/>
      <c r="O217" s="112"/>
      <c r="P217" s="112"/>
      <c r="Q217" s="112"/>
      <c r="R217" s="112"/>
      <c r="S217" s="112"/>
    </row>
    <row r="218" customFormat="false" ht="24" hidden="false" customHeight="true" outlineLevel="0" collapsed="false">
      <c r="A218" s="147" t="s">
        <v>131</v>
      </c>
      <c r="B218" s="147"/>
      <c r="C218" s="147"/>
      <c r="D218" s="147"/>
      <c r="E218" s="147"/>
      <c r="F218" s="147"/>
      <c r="G218" s="147"/>
      <c r="H218" s="147"/>
      <c r="I218" s="147"/>
      <c r="J218" s="147"/>
      <c r="K218" s="147"/>
      <c r="L218" s="147"/>
      <c r="M218" s="112"/>
      <c r="N218" s="112"/>
      <c r="O218" s="112"/>
      <c r="P218" s="112"/>
      <c r="Q218" s="112"/>
      <c r="R218" s="112"/>
      <c r="S218" s="112"/>
    </row>
    <row r="219" customFormat="false" ht="19.5" hidden="false" customHeight="true" outlineLevel="0" collapsed="false">
      <c r="A219" s="148" t="s">
        <v>132</v>
      </c>
      <c r="B219" s="148"/>
      <c r="C219" s="148"/>
      <c r="D219" s="148"/>
      <c r="E219" s="148" t="s">
        <v>133</v>
      </c>
      <c r="F219" s="148" t="s">
        <v>134</v>
      </c>
      <c r="G219" s="148"/>
      <c r="H219" s="148"/>
      <c r="I219" s="148"/>
      <c r="J219" s="148"/>
      <c r="K219" s="148"/>
      <c r="L219" s="148"/>
      <c r="M219" s="112"/>
      <c r="N219" s="112"/>
      <c r="O219" s="112"/>
      <c r="P219" s="112"/>
      <c r="Q219" s="112"/>
      <c r="R219" s="112"/>
      <c r="S219" s="112"/>
    </row>
    <row r="220" customFormat="false" ht="18" hidden="false" customHeight="true" outlineLevel="0" collapsed="false">
      <c r="A220" s="188" t="s">
        <v>135</v>
      </c>
      <c r="B220" s="188"/>
      <c r="C220" s="188"/>
      <c r="D220" s="188"/>
      <c r="E220" s="189" t="n">
        <f aca="false">SUMIFS('MiT Strom Pipeline'!$I$6:$I$860,'MiT Strom Pipeline'!$R$6:$R$860,"WON")</f>
        <v>1428553.13</v>
      </c>
      <c r="F220" s="190" t="s">
        <v>136</v>
      </c>
      <c r="G220" s="190"/>
      <c r="H220" s="190"/>
      <c r="I220" s="190"/>
      <c r="J220" s="190"/>
      <c r="K220" s="190"/>
      <c r="L220" s="190"/>
    </row>
    <row r="221" customFormat="false" ht="18" hidden="false" customHeight="true" outlineLevel="0" collapsed="false">
      <c r="A221" s="191" t="s">
        <v>32</v>
      </c>
      <c r="B221" s="191"/>
      <c r="C221" s="191"/>
      <c r="D221" s="191"/>
      <c r="E221" s="192" t="n">
        <f aca="false">SUMPRODUCT(--('MiT Strom Pipeline'!$R$6:$R$860="WON"),'MiT Strom Pipeline'!$AZ$6:$AZ$860)</f>
        <v>1321510.75855689</v>
      </c>
      <c r="F221" s="193" t="s">
        <v>137</v>
      </c>
      <c r="G221" s="193"/>
      <c r="H221" s="193"/>
      <c r="I221" s="193"/>
      <c r="J221" s="193"/>
      <c r="K221" s="193"/>
      <c r="L221" s="193"/>
    </row>
    <row r="222" customFormat="false" ht="18" hidden="false" customHeight="true" outlineLevel="0" collapsed="false">
      <c r="A222" s="191" t="s">
        <v>138</v>
      </c>
      <c r="B222" s="191"/>
      <c r="C222" s="191"/>
      <c r="D222" s="191"/>
      <c r="E222" s="192" t="n">
        <f aca="false">SUMPRODUCT('MiT Strom Pipeline'!$AT$6:$AT$860,'MiT Strom Pipeline'!$AL$6:$AL$860)</f>
        <v>0</v>
      </c>
      <c r="F222" s="193" t="s">
        <v>139</v>
      </c>
      <c r="G222" s="193"/>
      <c r="H222" s="193"/>
      <c r="I222" s="193"/>
      <c r="J222" s="193"/>
      <c r="K222" s="193"/>
      <c r="L222" s="193"/>
    </row>
    <row r="223" customFormat="false" ht="18" hidden="false" customHeight="true" outlineLevel="0" collapsed="false">
      <c r="A223" s="188" t="s">
        <v>140</v>
      </c>
      <c r="B223" s="188"/>
      <c r="C223" s="188"/>
      <c r="D223" s="188"/>
      <c r="E223" s="189" t="n">
        <f aca="false">SUMIFS('MiT Strom Pipeline'!$I$6:$I$860,'MiT Strom Pipeline'!$R$6:$R$860,"WON")-SUMPRODUCT('MiT Strom Pipeline'!$AT$6:$AT$860,'MiT Strom Pipeline'!$AL$6:$AL$860)</f>
        <v>1428553.13</v>
      </c>
      <c r="F223" s="190" t="s">
        <v>141</v>
      </c>
      <c r="G223" s="190"/>
      <c r="H223" s="190"/>
      <c r="I223" s="190"/>
      <c r="J223" s="190"/>
      <c r="K223" s="190"/>
      <c r="L223" s="190"/>
    </row>
    <row r="224" customFormat="false" ht="18" hidden="false" customHeight="true" outlineLevel="0" collapsed="false">
      <c r="A224" s="188" t="s">
        <v>142</v>
      </c>
      <c r="B224" s="188"/>
      <c r="C224" s="188"/>
      <c r="D224" s="188"/>
      <c r="E224" s="189" t="n">
        <f aca="false">SUMPRODUCT('MiT Strom Pipeline'!$AP$6:$AP$860,'MiT Strom Pipeline'!$AL$6:$AL$860)</f>
        <v>6862149.23</v>
      </c>
      <c r="F224" s="190" t="s">
        <v>143</v>
      </c>
      <c r="G224" s="190"/>
      <c r="H224" s="190"/>
      <c r="I224" s="190"/>
      <c r="J224" s="190"/>
      <c r="K224" s="190"/>
      <c r="L224" s="190"/>
    </row>
    <row r="225" customFormat="false" ht="18" hidden="false" customHeight="true" outlineLevel="0" collapsed="false">
      <c r="A225" s="188" t="s">
        <v>144</v>
      </c>
      <c r="B225" s="188"/>
      <c r="C225" s="188"/>
      <c r="D225" s="188"/>
      <c r="E225" s="189" t="n">
        <f aca="false">SUMPRODUCT('MiT Strom Pipeline'!$AP$6:$AP$860,'MiT Strom Pipeline'!$AU$6:$AU$860,'MiT Strom Pipeline'!$AL$6:$AL$860)</f>
        <v>6862149.23</v>
      </c>
      <c r="F225" s="190" t="s">
        <v>145</v>
      </c>
      <c r="G225" s="190"/>
      <c r="H225" s="190"/>
      <c r="I225" s="190"/>
      <c r="J225" s="190"/>
      <c r="K225" s="190"/>
      <c r="L225" s="190"/>
    </row>
    <row r="226" customFormat="false" ht="18" hidden="false" customHeight="true" outlineLevel="0" collapsed="false">
      <c r="A226" s="188" t="s">
        <v>146</v>
      </c>
      <c r="B226" s="188"/>
      <c r="C226" s="188"/>
      <c r="D226" s="188"/>
      <c r="E226" s="194" t="n">
        <f aca="false">IFERROR(SUMPRODUCT('MiT Strom Pipeline'!$AT$6:$AT$860,'MiT Strom Pipeline'!$AL$6:$AL$860)/SUMIFS('MiT Strom Pipeline'!$I$6:$I$860,'MiT Strom Pipeline'!$R$6:$R$860,"WON"),0)</f>
        <v>0</v>
      </c>
      <c r="F226" s="190" t="s">
        <v>147</v>
      </c>
      <c r="G226" s="190"/>
      <c r="H226" s="190"/>
      <c r="I226" s="190"/>
      <c r="J226" s="190"/>
      <c r="K226" s="190"/>
      <c r="L226" s="190"/>
    </row>
    <row r="227" customFormat="false" ht="18" hidden="false" customHeight="true" outlineLevel="0" collapsed="false">
      <c r="A227" s="188" t="s">
        <v>35</v>
      </c>
      <c r="B227" s="188"/>
      <c r="C227" s="188"/>
      <c r="D227" s="188"/>
      <c r="E227" s="195" t="n">
        <f aca="false">SUMPRODUCT('MiT Strom Pipeline'!$AP$6:$AP$860,'MiT Strom Pipeline'!$AY$6:$AY$860)</f>
        <v>0</v>
      </c>
      <c r="F227" s="190" t="s">
        <v>148</v>
      </c>
      <c r="G227" s="190"/>
      <c r="H227" s="190"/>
      <c r="I227" s="190"/>
      <c r="J227" s="190"/>
      <c r="K227" s="190"/>
      <c r="L227" s="190"/>
    </row>
    <row r="228" customFormat="false" ht="18" hidden="false" customHeight="true" outlineLevel="0" collapsed="false">
      <c r="A228" s="191" t="s">
        <v>149</v>
      </c>
      <c r="B228" s="191"/>
      <c r="C228" s="191"/>
      <c r="D228" s="191"/>
      <c r="E228" s="196" t="n">
        <f aca="false">SUMPRODUCT('MiT Strom Pipeline'!$AP$6:$AP$860,--('MiT Strom Pipeline'!$AY$6:$AY$860=0))</f>
        <v>46</v>
      </c>
      <c r="F228" s="193" t="s">
        <v>150</v>
      </c>
      <c r="G228" s="193"/>
      <c r="H228" s="193"/>
      <c r="I228" s="193"/>
      <c r="J228" s="193"/>
      <c r="K228" s="193"/>
      <c r="L228" s="193"/>
    </row>
    <row r="229" customFormat="false" ht="18" hidden="false" customHeight="true" outlineLevel="0" collapsed="false">
      <c r="A229" s="191" t="s">
        <v>151</v>
      </c>
      <c r="B229" s="191"/>
      <c r="C229" s="191"/>
      <c r="D229" s="191"/>
      <c r="E229" s="192" t="n">
        <f aca="false">SUMPRODUCT('MiT Strom Pipeline'!$AP$6:$AP$860,--('MiT Strom Pipeline'!$AY$6:$AY$860=0),'MiT Strom Pipeline'!$AL$6:$AL$860)</f>
        <v>6862149.23</v>
      </c>
      <c r="F229" s="193" t="s">
        <v>152</v>
      </c>
      <c r="G229" s="193"/>
      <c r="H229" s="193"/>
      <c r="I229" s="193"/>
      <c r="J229" s="193"/>
      <c r="K229" s="193"/>
      <c r="L229" s="193"/>
    </row>
    <row r="230" customFormat="false" ht="15.75" hidden="false" customHeight="true" outlineLevel="0" collapsed="false">
      <c r="A230" s="186" t="str">
        <f aca="false">"Offene Pflichtangaben: "&amp;'📋 Definitionen &amp; Klärung'!$C$23&amp;"   ·   Definitionen, Kalkulationsregeln und offene Punkte: Blatt «📋 Definitionen &amp; Klärung»"</f>
        <v>Offene Pflichtangaben: 101   ·   Definitionen, Kalkulationsregeln und offene Punkte: Blatt «📋 Definitionen &amp; Klärung»</v>
      </c>
      <c r="B230" s="186"/>
      <c r="C230" s="186"/>
      <c r="D230" s="186"/>
      <c r="E230" s="186"/>
      <c r="F230" s="186"/>
      <c r="G230" s="186"/>
      <c r="H230" s="186"/>
      <c r="I230" s="186"/>
      <c r="J230" s="186"/>
      <c r="K230" s="186"/>
      <c r="L230" s="186"/>
    </row>
    <row r="232" customFormat="false" ht="24" hidden="false" customHeight="true" outlineLevel="0" collapsed="false">
      <c r="A232" s="147" t="s">
        <v>153</v>
      </c>
      <c r="B232" s="147"/>
      <c r="C232" s="147"/>
      <c r="D232" s="147"/>
      <c r="E232" s="147"/>
      <c r="F232" s="147"/>
      <c r="G232" s="147"/>
      <c r="H232" s="147"/>
      <c r="I232" s="147"/>
      <c r="J232" s="147"/>
      <c r="K232" s="147"/>
      <c r="L232" s="147"/>
    </row>
    <row r="233" customFormat="false" ht="18" hidden="false" customHeight="true" outlineLevel="0" collapsed="false">
      <c r="A233" s="197" t="s">
        <v>87</v>
      </c>
      <c r="B233" s="197"/>
      <c r="C233" s="197"/>
      <c r="D233" s="198" t="n">
        <f aca="true">YEAR(TODAY())</f>
        <v>2026</v>
      </c>
      <c r="E233" s="190" t="s">
        <v>154</v>
      </c>
      <c r="F233" s="190"/>
      <c r="G233" s="190"/>
      <c r="H233" s="190"/>
      <c r="I233" s="190"/>
      <c r="J233" s="190"/>
      <c r="K233" s="190"/>
      <c r="L233" s="190"/>
    </row>
    <row r="234" customFormat="false" ht="19.5" hidden="false" customHeight="true" outlineLevel="0" collapsed="false">
      <c r="A234" s="148" t="s">
        <v>88</v>
      </c>
      <c r="B234" s="148"/>
      <c r="C234" s="148"/>
      <c r="D234" s="149" t="s">
        <v>89</v>
      </c>
      <c r="E234" s="148" t="s">
        <v>15</v>
      </c>
      <c r="F234" s="148" t="s">
        <v>16</v>
      </c>
      <c r="G234" s="148" t="s">
        <v>42</v>
      </c>
      <c r="H234" s="148"/>
      <c r="I234" s="148"/>
      <c r="J234" s="148"/>
      <c r="K234" s="148"/>
      <c r="L234" s="148"/>
    </row>
    <row r="235" customFormat="false" ht="16.5" hidden="false" customHeight="true" outlineLevel="0" collapsed="false">
      <c r="A235" s="188" t="s">
        <v>90</v>
      </c>
      <c r="B235" s="188"/>
      <c r="C235" s="188"/>
      <c r="D235" s="199" t="s">
        <v>91</v>
      </c>
      <c r="E235" s="200" t="n">
        <f aca="false">SUMPRODUCT('MiT Strom Pipeline'!$AP$6:$AP$860,--('MiT Strom Pipeline'!$AX$6:$AX$860=DATE($D$233,1,1)))</f>
        <v>0</v>
      </c>
      <c r="F235" s="201" t="n">
        <f aca="false">SUMPRODUCT('MiT Strom Pipeline'!$AP$6:$AP$860,--('MiT Strom Pipeline'!$AX$6:$AX$860=DATE($D$233,1,1)),'MiT Strom Pipeline'!$AL$6:$AL$860)</f>
        <v>0</v>
      </c>
      <c r="G235" s="202" t="n">
        <f aca="false">IFERROR(SUMPRODUCT('MiT Strom Pipeline'!$AP$6:$AP$860,--('MiT Strom Pipeline'!$AX$6:$AX$860=DATE($D$233,1,1)),'MiT Strom Pipeline'!$AL$6:$AL$860)/SUMPRODUCT('MiT Strom Pipeline'!$AP$6:$AP$860,'MiT Strom Pipeline'!$AL$6:$AL$860),0)</f>
        <v>0</v>
      </c>
      <c r="H235" s="202"/>
      <c r="I235" s="202"/>
      <c r="J235" s="202"/>
      <c r="K235" s="202"/>
      <c r="L235" s="202"/>
    </row>
    <row r="236" customFormat="false" ht="16.5" hidden="false" customHeight="true" outlineLevel="0" collapsed="false">
      <c r="A236" s="188" t="s">
        <v>92</v>
      </c>
      <c r="B236" s="188"/>
      <c r="C236" s="188"/>
      <c r="D236" s="199" t="s">
        <v>91</v>
      </c>
      <c r="E236" s="200" t="n">
        <f aca="false">SUMPRODUCT('MiT Strom Pipeline'!$AP$6:$AP$860,--('MiT Strom Pipeline'!$AX$6:$AX$860=DATE($D$233,2,1)))</f>
        <v>0</v>
      </c>
      <c r="F236" s="201" t="n">
        <f aca="false">SUMPRODUCT('MiT Strom Pipeline'!$AP$6:$AP$860,--('MiT Strom Pipeline'!$AX$6:$AX$860=DATE($D$233,2,1)),'MiT Strom Pipeline'!$AL$6:$AL$860)</f>
        <v>0</v>
      </c>
      <c r="G236" s="202" t="n">
        <f aca="false">IFERROR(SUMPRODUCT('MiT Strom Pipeline'!$AP$6:$AP$860,--('MiT Strom Pipeline'!$AX$6:$AX$860=DATE($D$233,2,1)),'MiT Strom Pipeline'!$AL$6:$AL$860)/SUMPRODUCT('MiT Strom Pipeline'!$AP$6:$AP$860,'MiT Strom Pipeline'!$AL$6:$AL$860),0)</f>
        <v>0</v>
      </c>
      <c r="H236" s="202"/>
      <c r="I236" s="202"/>
      <c r="J236" s="202"/>
      <c r="K236" s="202"/>
      <c r="L236" s="202"/>
    </row>
    <row r="237" customFormat="false" ht="16.5" hidden="false" customHeight="true" outlineLevel="0" collapsed="false">
      <c r="A237" s="188" t="s">
        <v>93</v>
      </c>
      <c r="B237" s="188"/>
      <c r="C237" s="188"/>
      <c r="D237" s="199" t="s">
        <v>91</v>
      </c>
      <c r="E237" s="200" t="n">
        <f aca="false">SUMPRODUCT('MiT Strom Pipeline'!$AP$6:$AP$860,--('MiT Strom Pipeline'!$AX$6:$AX$860=DATE($D$233,3,1)))</f>
        <v>0</v>
      </c>
      <c r="F237" s="201" t="n">
        <f aca="false">SUMPRODUCT('MiT Strom Pipeline'!$AP$6:$AP$860,--('MiT Strom Pipeline'!$AX$6:$AX$860=DATE($D$233,3,1)),'MiT Strom Pipeline'!$AL$6:$AL$860)</f>
        <v>0</v>
      </c>
      <c r="G237" s="202" t="n">
        <f aca="false">IFERROR(SUMPRODUCT('MiT Strom Pipeline'!$AP$6:$AP$860,--('MiT Strom Pipeline'!$AX$6:$AX$860=DATE($D$233,3,1)),'MiT Strom Pipeline'!$AL$6:$AL$860)/SUMPRODUCT('MiT Strom Pipeline'!$AP$6:$AP$860,'MiT Strom Pipeline'!$AL$6:$AL$860),0)</f>
        <v>0</v>
      </c>
      <c r="H237" s="202"/>
      <c r="I237" s="202"/>
      <c r="J237" s="202"/>
      <c r="K237" s="202"/>
      <c r="L237" s="202"/>
    </row>
    <row r="238" customFormat="false" ht="16.5" hidden="false" customHeight="true" outlineLevel="0" collapsed="false">
      <c r="A238" s="188" t="s">
        <v>94</v>
      </c>
      <c r="B238" s="188"/>
      <c r="C238" s="188"/>
      <c r="D238" s="199" t="s">
        <v>95</v>
      </c>
      <c r="E238" s="200" t="n">
        <f aca="false">SUMPRODUCT('MiT Strom Pipeline'!$AP$6:$AP$860,--('MiT Strom Pipeline'!$AX$6:$AX$860=DATE($D$233,4,1)))</f>
        <v>0</v>
      </c>
      <c r="F238" s="201" t="n">
        <f aca="false">SUMPRODUCT('MiT Strom Pipeline'!$AP$6:$AP$860,--('MiT Strom Pipeline'!$AX$6:$AX$860=DATE($D$233,4,1)),'MiT Strom Pipeline'!$AL$6:$AL$860)</f>
        <v>0</v>
      </c>
      <c r="G238" s="202" t="n">
        <f aca="false">IFERROR(SUMPRODUCT('MiT Strom Pipeline'!$AP$6:$AP$860,--('MiT Strom Pipeline'!$AX$6:$AX$860=DATE($D$233,4,1)),'MiT Strom Pipeline'!$AL$6:$AL$860)/SUMPRODUCT('MiT Strom Pipeline'!$AP$6:$AP$860,'MiT Strom Pipeline'!$AL$6:$AL$860),0)</f>
        <v>0</v>
      </c>
      <c r="H238" s="202"/>
      <c r="I238" s="202"/>
      <c r="J238" s="202"/>
      <c r="K238" s="202"/>
      <c r="L238" s="202"/>
    </row>
    <row r="239" customFormat="false" ht="16.5" hidden="false" customHeight="true" outlineLevel="0" collapsed="false">
      <c r="A239" s="188" t="s">
        <v>96</v>
      </c>
      <c r="B239" s="188"/>
      <c r="C239" s="188"/>
      <c r="D239" s="199" t="s">
        <v>95</v>
      </c>
      <c r="E239" s="200" t="n">
        <f aca="false">SUMPRODUCT('MiT Strom Pipeline'!$AP$6:$AP$860,--('MiT Strom Pipeline'!$AX$6:$AX$860=DATE($D$233,5,1)))</f>
        <v>0</v>
      </c>
      <c r="F239" s="201" t="n">
        <f aca="false">SUMPRODUCT('MiT Strom Pipeline'!$AP$6:$AP$860,--('MiT Strom Pipeline'!$AX$6:$AX$860=DATE($D$233,5,1)),'MiT Strom Pipeline'!$AL$6:$AL$860)</f>
        <v>0</v>
      </c>
      <c r="G239" s="202" t="n">
        <f aca="false">IFERROR(SUMPRODUCT('MiT Strom Pipeline'!$AP$6:$AP$860,--('MiT Strom Pipeline'!$AX$6:$AX$860=DATE($D$233,5,1)),'MiT Strom Pipeline'!$AL$6:$AL$860)/SUMPRODUCT('MiT Strom Pipeline'!$AP$6:$AP$860,'MiT Strom Pipeline'!$AL$6:$AL$860),0)</f>
        <v>0</v>
      </c>
      <c r="H239" s="202"/>
      <c r="I239" s="202"/>
      <c r="J239" s="202"/>
      <c r="K239" s="202"/>
      <c r="L239" s="202"/>
    </row>
    <row r="240" customFormat="false" ht="16.5" hidden="false" customHeight="true" outlineLevel="0" collapsed="false">
      <c r="A240" s="188" t="s">
        <v>97</v>
      </c>
      <c r="B240" s="188"/>
      <c r="C240" s="188"/>
      <c r="D240" s="199" t="s">
        <v>95</v>
      </c>
      <c r="E240" s="200" t="n">
        <f aca="false">SUMPRODUCT('MiT Strom Pipeline'!$AP$6:$AP$860,--('MiT Strom Pipeline'!$AX$6:$AX$860=DATE($D$233,6,1)))</f>
        <v>0</v>
      </c>
      <c r="F240" s="201" t="n">
        <f aca="false">SUMPRODUCT('MiT Strom Pipeline'!$AP$6:$AP$860,--('MiT Strom Pipeline'!$AX$6:$AX$860=DATE($D$233,6,1)),'MiT Strom Pipeline'!$AL$6:$AL$860)</f>
        <v>0</v>
      </c>
      <c r="G240" s="202" t="n">
        <f aca="false">IFERROR(SUMPRODUCT('MiT Strom Pipeline'!$AP$6:$AP$860,--('MiT Strom Pipeline'!$AX$6:$AX$860=DATE($D$233,6,1)),'MiT Strom Pipeline'!$AL$6:$AL$860)/SUMPRODUCT('MiT Strom Pipeline'!$AP$6:$AP$860,'MiT Strom Pipeline'!$AL$6:$AL$860),0)</f>
        <v>0</v>
      </c>
      <c r="H240" s="202"/>
      <c r="I240" s="202"/>
      <c r="J240" s="202"/>
      <c r="K240" s="202"/>
      <c r="L240" s="202"/>
    </row>
    <row r="241" customFormat="false" ht="16.5" hidden="false" customHeight="true" outlineLevel="0" collapsed="false">
      <c r="A241" s="188" t="s">
        <v>98</v>
      </c>
      <c r="B241" s="188"/>
      <c r="C241" s="188"/>
      <c r="D241" s="199" t="s">
        <v>99</v>
      </c>
      <c r="E241" s="200" t="n">
        <f aca="false">SUMPRODUCT('MiT Strom Pipeline'!$AP$6:$AP$860,--('MiT Strom Pipeline'!$AX$6:$AX$860=DATE($D$233,7,1)))</f>
        <v>0</v>
      </c>
      <c r="F241" s="201" t="n">
        <f aca="false">SUMPRODUCT('MiT Strom Pipeline'!$AP$6:$AP$860,--('MiT Strom Pipeline'!$AX$6:$AX$860=DATE($D$233,7,1)),'MiT Strom Pipeline'!$AL$6:$AL$860)</f>
        <v>0</v>
      </c>
      <c r="G241" s="202" t="n">
        <f aca="false">IFERROR(SUMPRODUCT('MiT Strom Pipeline'!$AP$6:$AP$860,--('MiT Strom Pipeline'!$AX$6:$AX$860=DATE($D$233,7,1)),'MiT Strom Pipeline'!$AL$6:$AL$860)/SUMPRODUCT('MiT Strom Pipeline'!$AP$6:$AP$860,'MiT Strom Pipeline'!$AL$6:$AL$860),0)</f>
        <v>0</v>
      </c>
      <c r="H241" s="202"/>
      <c r="I241" s="202"/>
      <c r="J241" s="202"/>
      <c r="K241" s="202"/>
      <c r="L241" s="202"/>
    </row>
    <row r="242" customFormat="false" ht="16.5" hidden="false" customHeight="true" outlineLevel="0" collapsed="false">
      <c r="A242" s="188" t="s">
        <v>100</v>
      </c>
      <c r="B242" s="188"/>
      <c r="C242" s="188"/>
      <c r="D242" s="199" t="s">
        <v>99</v>
      </c>
      <c r="E242" s="200" t="n">
        <f aca="false">SUMPRODUCT('MiT Strom Pipeline'!$AP$6:$AP$860,--('MiT Strom Pipeline'!$AX$6:$AX$860=DATE($D$233,8,1)))</f>
        <v>0</v>
      </c>
      <c r="F242" s="201" t="n">
        <f aca="false">SUMPRODUCT('MiT Strom Pipeline'!$AP$6:$AP$860,--('MiT Strom Pipeline'!$AX$6:$AX$860=DATE($D$233,8,1)),'MiT Strom Pipeline'!$AL$6:$AL$860)</f>
        <v>0</v>
      </c>
      <c r="G242" s="202" t="n">
        <f aca="false">IFERROR(SUMPRODUCT('MiT Strom Pipeline'!$AP$6:$AP$860,--('MiT Strom Pipeline'!$AX$6:$AX$860=DATE($D$233,8,1)),'MiT Strom Pipeline'!$AL$6:$AL$860)/SUMPRODUCT('MiT Strom Pipeline'!$AP$6:$AP$860,'MiT Strom Pipeline'!$AL$6:$AL$860),0)</f>
        <v>0</v>
      </c>
      <c r="H242" s="202"/>
      <c r="I242" s="202"/>
      <c r="J242" s="202"/>
      <c r="K242" s="202"/>
      <c r="L242" s="202"/>
    </row>
    <row r="243" customFormat="false" ht="16.5" hidden="false" customHeight="true" outlineLevel="0" collapsed="false">
      <c r="A243" s="188" t="s">
        <v>101</v>
      </c>
      <c r="B243" s="188"/>
      <c r="C243" s="188"/>
      <c r="D243" s="199" t="s">
        <v>99</v>
      </c>
      <c r="E243" s="200" t="n">
        <f aca="false">SUMPRODUCT('MiT Strom Pipeline'!$AP$6:$AP$860,--('MiT Strom Pipeline'!$AX$6:$AX$860=DATE($D$233,9,1)))</f>
        <v>0</v>
      </c>
      <c r="F243" s="201" t="n">
        <f aca="false">SUMPRODUCT('MiT Strom Pipeline'!$AP$6:$AP$860,--('MiT Strom Pipeline'!$AX$6:$AX$860=DATE($D$233,9,1)),'MiT Strom Pipeline'!$AL$6:$AL$860)</f>
        <v>0</v>
      </c>
      <c r="G243" s="202" t="n">
        <f aca="false">IFERROR(SUMPRODUCT('MiT Strom Pipeline'!$AP$6:$AP$860,--('MiT Strom Pipeline'!$AX$6:$AX$860=DATE($D$233,9,1)),'MiT Strom Pipeline'!$AL$6:$AL$860)/SUMPRODUCT('MiT Strom Pipeline'!$AP$6:$AP$860,'MiT Strom Pipeline'!$AL$6:$AL$860),0)</f>
        <v>0</v>
      </c>
      <c r="H243" s="202"/>
      <c r="I243" s="202"/>
      <c r="J243" s="202"/>
      <c r="K243" s="202"/>
      <c r="L243" s="202"/>
    </row>
    <row r="244" customFormat="false" ht="16.5" hidden="false" customHeight="true" outlineLevel="0" collapsed="false">
      <c r="A244" s="188" t="s">
        <v>102</v>
      </c>
      <c r="B244" s="188"/>
      <c r="C244" s="188"/>
      <c r="D244" s="199" t="s">
        <v>103</v>
      </c>
      <c r="E244" s="200" t="n">
        <f aca="false">SUMPRODUCT('MiT Strom Pipeline'!$AP$6:$AP$860,--('MiT Strom Pipeline'!$AX$6:$AX$860=DATE($D$233,10,1)))</f>
        <v>0</v>
      </c>
      <c r="F244" s="201" t="n">
        <f aca="false">SUMPRODUCT('MiT Strom Pipeline'!$AP$6:$AP$860,--('MiT Strom Pipeline'!$AX$6:$AX$860=DATE($D$233,10,1)),'MiT Strom Pipeline'!$AL$6:$AL$860)</f>
        <v>0</v>
      </c>
      <c r="G244" s="202" t="n">
        <f aca="false">IFERROR(SUMPRODUCT('MiT Strom Pipeline'!$AP$6:$AP$860,--('MiT Strom Pipeline'!$AX$6:$AX$860=DATE($D$233,10,1)),'MiT Strom Pipeline'!$AL$6:$AL$860)/SUMPRODUCT('MiT Strom Pipeline'!$AP$6:$AP$860,'MiT Strom Pipeline'!$AL$6:$AL$860),0)</f>
        <v>0</v>
      </c>
      <c r="H244" s="202"/>
      <c r="I244" s="202"/>
      <c r="J244" s="202"/>
      <c r="K244" s="202"/>
      <c r="L244" s="202"/>
    </row>
    <row r="245" customFormat="false" ht="16.5" hidden="false" customHeight="true" outlineLevel="0" collapsed="false">
      <c r="A245" s="188" t="s">
        <v>104</v>
      </c>
      <c r="B245" s="188"/>
      <c r="C245" s="188"/>
      <c r="D245" s="199" t="s">
        <v>103</v>
      </c>
      <c r="E245" s="200" t="n">
        <f aca="false">SUMPRODUCT('MiT Strom Pipeline'!$AP$6:$AP$860,--('MiT Strom Pipeline'!$AX$6:$AX$860=DATE($D$233,11,1)))</f>
        <v>0</v>
      </c>
      <c r="F245" s="201" t="n">
        <f aca="false">SUMPRODUCT('MiT Strom Pipeline'!$AP$6:$AP$860,--('MiT Strom Pipeline'!$AX$6:$AX$860=DATE($D$233,11,1)),'MiT Strom Pipeline'!$AL$6:$AL$860)</f>
        <v>0</v>
      </c>
      <c r="G245" s="202" t="n">
        <f aca="false">IFERROR(SUMPRODUCT('MiT Strom Pipeline'!$AP$6:$AP$860,--('MiT Strom Pipeline'!$AX$6:$AX$860=DATE($D$233,11,1)),'MiT Strom Pipeline'!$AL$6:$AL$860)/SUMPRODUCT('MiT Strom Pipeline'!$AP$6:$AP$860,'MiT Strom Pipeline'!$AL$6:$AL$860),0)</f>
        <v>0</v>
      </c>
      <c r="H245" s="202"/>
      <c r="I245" s="202"/>
      <c r="J245" s="202"/>
      <c r="K245" s="202"/>
      <c r="L245" s="202"/>
    </row>
    <row r="246" customFormat="false" ht="16.5" hidden="false" customHeight="true" outlineLevel="0" collapsed="false">
      <c r="A246" s="188" t="s">
        <v>105</v>
      </c>
      <c r="B246" s="188"/>
      <c r="C246" s="188"/>
      <c r="D246" s="199" t="s">
        <v>103</v>
      </c>
      <c r="E246" s="200" t="n">
        <f aca="false">SUMPRODUCT('MiT Strom Pipeline'!$AP$6:$AP$860,--('MiT Strom Pipeline'!$AX$6:$AX$860=DATE($D$233,12,1)))</f>
        <v>0</v>
      </c>
      <c r="F246" s="201" t="n">
        <f aca="false">SUMPRODUCT('MiT Strom Pipeline'!$AP$6:$AP$860,--('MiT Strom Pipeline'!$AX$6:$AX$860=DATE($D$233,12,1)),'MiT Strom Pipeline'!$AL$6:$AL$860)</f>
        <v>0</v>
      </c>
      <c r="G246" s="202" t="n">
        <f aca="false">IFERROR(SUMPRODUCT('MiT Strom Pipeline'!$AP$6:$AP$860,--('MiT Strom Pipeline'!$AX$6:$AX$860=DATE($D$233,12,1)),'MiT Strom Pipeline'!$AL$6:$AL$860)/SUMPRODUCT('MiT Strom Pipeline'!$AP$6:$AP$860,'MiT Strom Pipeline'!$AL$6:$AL$860),0)</f>
        <v>0</v>
      </c>
      <c r="H246" s="202"/>
      <c r="I246" s="202"/>
      <c r="J246" s="202"/>
      <c r="K246" s="202"/>
      <c r="L246" s="202"/>
    </row>
    <row r="247" customFormat="false" ht="16.5" hidden="false" customHeight="true" outlineLevel="0" collapsed="false">
      <c r="A247" s="191" t="s">
        <v>106</v>
      </c>
      <c r="B247" s="191"/>
      <c r="C247" s="191"/>
      <c r="D247" s="203" t="s">
        <v>107</v>
      </c>
      <c r="E247" s="204" t="n">
        <f aca="false">SUMPRODUCT('MiT Strom Pipeline'!$AP$6:$AP$860,'MiT Strom Pipeline'!$AY$6:$AY$860,--('MiT Strom Pipeline'!$AX$6:$AX$860&lt;DATE($D$233,1,1))+--('MiT Strom Pipeline'!$AX$6:$AX$860&gt;DATE($D$233,12,1)))</f>
        <v>0</v>
      </c>
      <c r="F247" s="205" t="n">
        <f aca="false">SUMPRODUCT('MiT Strom Pipeline'!$AP$6:$AP$860,'MiT Strom Pipeline'!$AY$6:$AY$860,--('MiT Strom Pipeline'!$AX$6:$AX$860&lt;DATE($D$233,1,1))+--('MiT Strom Pipeline'!$AX$6:$AX$860&gt;DATE($D$233,12,1)),'MiT Strom Pipeline'!$AL$6:$AL$860)</f>
        <v>0</v>
      </c>
      <c r="G247" s="206" t="n">
        <f aca="false">IFERROR(SUMPRODUCT('MiT Strom Pipeline'!$AP$6:$AP$860,'MiT Strom Pipeline'!$AY$6:$AY$860,--('MiT Strom Pipeline'!$AX$6:$AX$860&lt;DATE($D$233,1,1))+--('MiT Strom Pipeline'!$AX$6:$AX$860&gt;DATE($D$233,12,1)),'MiT Strom Pipeline'!$AL$6:$AL$860)/SUMPRODUCT('MiT Strom Pipeline'!$AP$6:$AP$860,'MiT Strom Pipeline'!$AL$6:$AL$860),0)</f>
        <v>0</v>
      </c>
      <c r="H247" s="206"/>
      <c r="I247" s="206"/>
      <c r="J247" s="206"/>
      <c r="K247" s="206"/>
      <c r="L247" s="206"/>
    </row>
    <row r="248" customFormat="false" ht="16.5" hidden="false" customHeight="true" outlineLevel="0" collapsed="false">
      <c r="A248" s="191" t="s">
        <v>108</v>
      </c>
      <c r="B248" s="191"/>
      <c r="C248" s="191"/>
      <c r="D248" s="203" t="s">
        <v>107</v>
      </c>
      <c r="E248" s="204" t="n">
        <f aca="false">SUMPRODUCT('MiT Strom Pipeline'!$AP$6:$AP$860,--('MiT Strom Pipeline'!$AY$6:$AY$860=0))</f>
        <v>46</v>
      </c>
      <c r="F248" s="205" t="n">
        <f aca="false">SUMPRODUCT('MiT Strom Pipeline'!$AP$6:$AP$860,--('MiT Strom Pipeline'!$AY$6:$AY$860=0),'MiT Strom Pipeline'!$AL$6:$AL$860)</f>
        <v>6862149.23</v>
      </c>
      <c r="G248" s="206" t="n">
        <f aca="false">IFERROR(SUMPRODUCT('MiT Strom Pipeline'!$AP$6:$AP$860,--('MiT Strom Pipeline'!$AY$6:$AY$860=0),'MiT Strom Pipeline'!$AL$6:$AL$860)/SUMPRODUCT('MiT Strom Pipeline'!$AP$6:$AP$860,'MiT Strom Pipeline'!$AL$6:$AL$860),0)</f>
        <v>1</v>
      </c>
      <c r="H248" s="206"/>
      <c r="I248" s="206"/>
      <c r="J248" s="206"/>
      <c r="K248" s="206"/>
      <c r="L248" s="206"/>
    </row>
    <row r="249" customFormat="false" ht="21.75" hidden="false" customHeight="true" outlineLevel="0" collapsed="false">
      <c r="A249" s="180" t="s">
        <v>130</v>
      </c>
      <c r="B249" s="180"/>
      <c r="C249" s="180"/>
      <c r="D249" s="180"/>
      <c r="E249" s="182" t="n">
        <f aca="false">SUM(E235:E248)</f>
        <v>46</v>
      </c>
      <c r="F249" s="207" t="n">
        <f aca="false">SUM(F235:F248)</f>
        <v>6862149.23</v>
      </c>
      <c r="G249" s="208" t="n">
        <f aca="false">SUM(G235:G248)</f>
        <v>1</v>
      </c>
      <c r="H249" s="208"/>
      <c r="I249" s="208"/>
      <c r="J249" s="208"/>
      <c r="K249" s="208"/>
      <c r="L249" s="208"/>
    </row>
    <row r="251" customFormat="false" ht="13.5" hidden="false" customHeight="true" outlineLevel="0" collapsed="false">
      <c r="A251" s="209" t="str">
        <f aca="true">"Stand: "&amp;TEXT(TODAY(),"DD.MM.YYYY")&amp;"  |  Burak Ücöz  |  Mobil in Time AG – An Aggreko Company  |  VERTRAULICH"</f>
        <v>Stand: 10.08.2026  |  Burak Ücöz  |  Mobil in Time AG – An Aggreko Company  |  VERTRAULICH</v>
      </c>
      <c r="B251" s="209"/>
      <c r="C251" s="209"/>
      <c r="D251" s="209"/>
      <c r="E251" s="209"/>
      <c r="F251" s="209"/>
      <c r="G251" s="209"/>
      <c r="H251" s="209"/>
      <c r="I251" s="209"/>
      <c r="J251" s="209"/>
      <c r="K251" s="209"/>
      <c r="L251" s="209"/>
    </row>
  </sheetData>
  <autoFilter ref="A10:L72"/>
  <mergeCells count="96">
    <mergeCell ref="A1:N1"/>
    <mergeCell ref="A2:N2"/>
    <mergeCell ref="A3:N3"/>
    <mergeCell ref="A5:D5"/>
    <mergeCell ref="E5:H5"/>
    <mergeCell ref="I5:N5"/>
    <mergeCell ref="A6:D6"/>
    <mergeCell ref="E6:H6"/>
    <mergeCell ref="I6:N6"/>
    <mergeCell ref="A7:D7"/>
    <mergeCell ref="E7:H7"/>
    <mergeCell ref="I7:N7"/>
    <mergeCell ref="A8:N8"/>
    <mergeCell ref="A9:N9"/>
    <mergeCell ref="A73:N73"/>
    <mergeCell ref="A137:N137"/>
    <mergeCell ref="A201:E201"/>
    <mergeCell ref="A202:E202"/>
    <mergeCell ref="A203:E203"/>
    <mergeCell ref="A204:E204"/>
    <mergeCell ref="A206:N206"/>
    <mergeCell ref="A207:C207"/>
    <mergeCell ref="G207:H207"/>
    <mergeCell ref="A208:C208"/>
    <mergeCell ref="G208:H208"/>
    <mergeCell ref="A209:C209"/>
    <mergeCell ref="G209:H209"/>
    <mergeCell ref="A210:C210"/>
    <mergeCell ref="G210:H210"/>
    <mergeCell ref="A211:C211"/>
    <mergeCell ref="G211:H211"/>
    <mergeCell ref="A212:C212"/>
    <mergeCell ref="G212:H212"/>
    <mergeCell ref="A213:C213"/>
    <mergeCell ref="G213:H213"/>
    <mergeCell ref="A214:N214"/>
    <mergeCell ref="A218:L218"/>
    <mergeCell ref="A219:D219"/>
    <mergeCell ref="F219:L219"/>
    <mergeCell ref="A220:D220"/>
    <mergeCell ref="F220:L220"/>
    <mergeCell ref="A221:D221"/>
    <mergeCell ref="F221:L221"/>
    <mergeCell ref="A222:D222"/>
    <mergeCell ref="F222:L222"/>
    <mergeCell ref="A223:D223"/>
    <mergeCell ref="F223:L223"/>
    <mergeCell ref="A224:D224"/>
    <mergeCell ref="F224:L224"/>
    <mergeCell ref="A225:D225"/>
    <mergeCell ref="F225:L225"/>
    <mergeCell ref="A226:D226"/>
    <mergeCell ref="F226:L226"/>
    <mergeCell ref="A227:D227"/>
    <mergeCell ref="F227:L227"/>
    <mergeCell ref="A228:D228"/>
    <mergeCell ref="F228:L228"/>
    <mergeCell ref="A229:D229"/>
    <mergeCell ref="F229:L229"/>
    <mergeCell ref="A230:L230"/>
    <mergeCell ref="A232:L232"/>
    <mergeCell ref="A233:C233"/>
    <mergeCell ref="E233:L233"/>
    <mergeCell ref="A234:C234"/>
    <mergeCell ref="G234:L234"/>
    <mergeCell ref="A235:C235"/>
    <mergeCell ref="G235:L235"/>
    <mergeCell ref="A236:C236"/>
    <mergeCell ref="G236:L236"/>
    <mergeCell ref="A237:C237"/>
    <mergeCell ref="G237:L237"/>
    <mergeCell ref="A238:C238"/>
    <mergeCell ref="G238:L238"/>
    <mergeCell ref="A239:C239"/>
    <mergeCell ref="G239:L239"/>
    <mergeCell ref="A240:C240"/>
    <mergeCell ref="G240:L240"/>
    <mergeCell ref="A241:C241"/>
    <mergeCell ref="G241:L241"/>
    <mergeCell ref="A242:C242"/>
    <mergeCell ref="G242:L242"/>
    <mergeCell ref="A243:C243"/>
    <mergeCell ref="G243:L243"/>
    <mergeCell ref="A244:C244"/>
    <mergeCell ref="G244:L244"/>
    <mergeCell ref="A245:C245"/>
    <mergeCell ref="G245:L245"/>
    <mergeCell ref="A246:C246"/>
    <mergeCell ref="G246:L246"/>
    <mergeCell ref="A247:C247"/>
    <mergeCell ref="G247:L247"/>
    <mergeCell ref="A248:C248"/>
    <mergeCell ref="G248:L248"/>
    <mergeCell ref="A249:D249"/>
    <mergeCell ref="G249:L249"/>
    <mergeCell ref="A251:L251"/>
  </mergeCells>
  <conditionalFormatting sqref="J11:J200">
    <cfRule type="cellIs" priority="2" operator="equal" aboveAverage="0" equalAverage="0" bottom="0" percent="0" rank="0" text="" dxfId="5">
      <formula>"WON"</formula>
    </cfRule>
    <cfRule type="cellIs" priority="3" operator="equal" aboveAverage="0" equalAverage="0" bottom="0" percent="0" rank="0" text="" dxfId="6">
      <formula>"offered"</formula>
    </cfRule>
    <cfRule type="cellIs" priority="4" operator="equal" aboveAverage="0" equalAverage="0" bottom="0" percent="0" rank="0" text="" dxfId="7">
      <formula>"to be offered"</formula>
    </cfRule>
    <cfRule type="cellIs" priority="5" operator="equal" aboveAverage="0" equalAverage="0" bottom="0" percent="0" rank="0" text="" dxfId="8">
      <formula>"follow-up"</formula>
    </cfRule>
    <cfRule type="cellIs" priority="6" operator="equal" aboveAverage="0" equalAverage="0" bottom="0" percent="0" rank="0" text="" dxfId="9">
      <formula>"Evaluation"</formula>
    </cfRule>
    <cfRule type="cellIs" priority="7" operator="equal" aboveAverage="0" equalAverage="0" bottom="0" percent="0" rank="0" text="" dxfId="9">
      <formula>"In evaluation"</formula>
    </cfRule>
    <cfRule type="cellIs" priority="8" operator="equal" aboveAverage="0" equalAverage="0" bottom="0" percent="0" rank="0" text="" dxfId="10">
      <formula>"on hold"</formula>
    </cfRule>
    <cfRule type="cellIs" priority="9" operator="equal" aboveAverage="0" equalAverage="0" bottom="0" percent="0" rank="0" text="" dxfId="11">
      <formula>"tbd"</formula>
    </cfRule>
    <cfRule type="cellIs" priority="10" operator="equal" aboveAverage="0" equalAverage="0" bottom="0" percent="0" rank="0" text="" dxfId="12">
      <formula>"LOST"</formula>
    </cfRule>
    <cfRule type="cellIs" priority="11" operator="equal" aboveAverage="0" equalAverage="0" bottom="0" percent="0" rank="0" text="" dxfId="13">
      <formula>"Declined"</formula>
    </cfRule>
  </conditionalFormatting>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CEO Report</oddHeader>
    <oddFooter>&amp;L&amp;8 Mobil in Time AG · An Aggreko Company&amp;C&amp;8 Stand: &amp;D&amp;R&amp;8 Seite &amp;P von &amp;N</oddFooter>
  </headerFooter>
  <rowBreaks count="3" manualBreakCount="3">
    <brk id="72" man="true" max="16383" min="0"/>
    <brk id="136" man="true" max="16383" min="0"/>
    <brk id="205"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496"/>
    <pageSetUpPr fitToPage="true"/>
  </sheetPr>
  <dimension ref="A1:U251"/>
  <sheetViews>
    <sheetView showFormulas="false" showGridLines="true" showRowColHeaders="true" showZeros="true" rightToLeft="false" tabSelected="false" showOutlineSymbols="true" defaultGridColor="true" view="normal" topLeftCell="A77" colorId="64" zoomScale="100" zoomScaleNormal="100" zoomScalePageLayoutView="100" workbookViewId="0">
      <selection pane="topLeft" activeCell="F104" activeCellId="0" sqref="F104"/>
    </sheetView>
  </sheetViews>
  <sheetFormatPr defaultColWidth="9.1484375" defaultRowHeight="15" zeroHeight="false" outlineLevelRow="0" outlineLevelCol="0"/>
  <cols>
    <col collapsed="false" customWidth="true" hidden="false" outlineLevel="0" max="1" min="1" style="1" width="5"/>
    <col collapsed="false" customWidth="true" hidden="false" outlineLevel="0" max="2" min="2" style="1" width="29"/>
    <col collapsed="false" customWidth="true" hidden="false" outlineLevel="0" max="3" min="3" style="1" width="9.71"/>
    <col collapsed="false" customWidth="true" hidden="false" outlineLevel="0" max="4" min="4" style="1" width="20"/>
    <col collapsed="false" customWidth="true" hidden="false" outlineLevel="0" max="5" min="5" style="1" width="12"/>
    <col collapsed="false" customWidth="true" hidden="false" outlineLevel="0" max="6" min="6" style="210" width="26"/>
    <col collapsed="false" customWidth="true" hidden="false" outlineLevel="0" max="7" min="7" style="210" width="17.57"/>
    <col collapsed="false" customWidth="true" hidden="false" outlineLevel="0" max="8" min="8" style="1" width="18.42"/>
    <col collapsed="false" customWidth="true" hidden="false" outlineLevel="0" max="9" min="9" style="1" width="12"/>
    <col collapsed="false" customWidth="true" hidden="false" outlineLevel="0" max="10" min="10" style="1" width="12.71"/>
    <col collapsed="false" customWidth="true" hidden="false" outlineLevel="0" max="11" min="11" style="1" width="24"/>
    <col collapsed="false" customWidth="true" hidden="false" outlineLevel="0" max="19" min="12" style="1" width="8.42"/>
    <col collapsed="false" customWidth="true" hidden="true" outlineLevel="0" max="21" min="21" style="1" width="13"/>
  </cols>
  <sheetData>
    <row r="1" customFormat="false" ht="39.75" hidden="false" customHeight="true" outlineLevel="0" collapsed="false">
      <c r="A1" s="211" t="str">
        <f aca="true">"⚡  MiT Strom Schweiz  |  Sales Dashboard  |  "&amp;TEXT(TODAY(),"MMMM YYYY")</f>
        <v>⚡  MiT Strom Schweiz  |  Sales Dashboard  |  August 2026</v>
      </c>
      <c r="B1" s="211"/>
      <c r="C1" s="211"/>
      <c r="D1" s="211"/>
      <c r="E1" s="211"/>
      <c r="F1" s="211"/>
      <c r="G1" s="211"/>
      <c r="H1" s="211"/>
      <c r="I1" s="211"/>
      <c r="J1" s="211"/>
      <c r="K1" s="211"/>
      <c r="L1" s="112"/>
      <c r="M1" s="112"/>
      <c r="N1" s="112"/>
      <c r="O1" s="112"/>
      <c r="P1" s="112"/>
      <c r="Q1" s="112"/>
      <c r="R1" s="112"/>
      <c r="S1" s="112"/>
    </row>
    <row r="2" customFormat="false" ht="15.75" hidden="false" customHeight="true" outlineLevel="0" collapsed="false">
      <c r="A2" s="113" t="s">
        <v>110</v>
      </c>
      <c r="B2" s="113"/>
      <c r="C2" s="113"/>
      <c r="D2" s="113"/>
      <c r="E2" s="113"/>
      <c r="F2" s="113"/>
      <c r="G2" s="113"/>
      <c r="H2" s="113"/>
      <c r="I2" s="113"/>
      <c r="J2" s="113"/>
      <c r="K2" s="113"/>
      <c r="L2" s="112"/>
      <c r="M2" s="112"/>
      <c r="N2" s="112"/>
      <c r="O2" s="112"/>
      <c r="P2" s="112"/>
      <c r="Q2" s="112"/>
      <c r="R2" s="112"/>
      <c r="S2" s="112"/>
    </row>
    <row r="3" customFormat="false" ht="4.5" hidden="false" customHeight="true" outlineLevel="0" collapsed="false">
      <c r="A3" s="114"/>
      <c r="B3" s="114"/>
      <c r="C3" s="114"/>
      <c r="D3" s="114"/>
      <c r="E3" s="114"/>
      <c r="F3" s="114"/>
      <c r="G3" s="114"/>
      <c r="H3" s="114"/>
      <c r="I3" s="114"/>
      <c r="J3" s="114"/>
      <c r="K3" s="114"/>
      <c r="L3" s="112"/>
      <c r="M3" s="112"/>
      <c r="N3" s="112"/>
      <c r="O3" s="112"/>
      <c r="P3" s="112"/>
      <c r="Q3" s="112"/>
      <c r="R3" s="112"/>
      <c r="S3" s="112"/>
    </row>
    <row r="4" customFormat="false" ht="7.5" hidden="false" customHeight="true" outlineLevel="0" collapsed="false">
      <c r="L4" s="112"/>
      <c r="M4" s="112"/>
      <c r="N4" s="112"/>
      <c r="O4" s="112"/>
      <c r="P4" s="112"/>
      <c r="Q4" s="112"/>
      <c r="R4" s="112"/>
      <c r="S4" s="112"/>
    </row>
    <row r="5" customFormat="false" ht="21.75" hidden="false" customHeight="true" outlineLevel="0" collapsed="false">
      <c r="A5" s="212" t="s">
        <v>155</v>
      </c>
      <c r="B5" s="212"/>
      <c r="C5" s="212"/>
      <c r="D5" s="213" t="s">
        <v>156</v>
      </c>
      <c r="E5" s="213"/>
      <c r="F5" s="213"/>
      <c r="G5" s="214" t="s">
        <v>157</v>
      </c>
      <c r="H5" s="214"/>
      <c r="I5" s="215" t="s">
        <v>158</v>
      </c>
      <c r="J5" s="215"/>
      <c r="K5" s="215"/>
      <c r="L5" s="112"/>
      <c r="M5" s="112"/>
      <c r="N5" s="112"/>
      <c r="O5" s="112"/>
      <c r="P5" s="112"/>
      <c r="Q5" s="112"/>
      <c r="R5" s="112"/>
      <c r="S5" s="112"/>
    </row>
    <row r="6" customFormat="false" ht="36" hidden="false" customHeight="true" outlineLevel="0" collapsed="false">
      <c r="A6" s="216" t="n">
        <f aca="false">SUMIFS('MiT Strom Pipeline'!I$6:I$860,'MiT Strom Pipeline'!R$6:R$860,"WON")</f>
        <v>1428553.13</v>
      </c>
      <c r="B6" s="216"/>
      <c r="C6" s="216"/>
      <c r="D6" s="217" t="n">
        <f aca="false">SUMIFS('MiT Strom Pipeline'!I$6:I$860,'MiT Strom Pipeline'!R$6:R$860,"offered")+SUMIFS('MiT Strom Pipeline'!I$6:I$860,'MiT Strom Pipeline'!R$6:R$860,"to be offered")+SUMIFS('MiT Strom Pipeline'!I$6:I$860,'MiT Strom Pipeline'!R$6:R$860,"on hold")</f>
        <v>5433596.1</v>
      </c>
      <c r="E6" s="217"/>
      <c r="F6" s="217"/>
      <c r="G6" s="218" t="n">
        <f aca="false">SUMIFS('MiT Strom Pipeline'!I$6:I$860,'MiT Strom Pipeline'!R$6:R$860,"follow-up")+SUMIFS('MiT Strom Pipeline'!I$6:I$860,'MiT Strom Pipeline'!R$6:R$860,"Evaluation")+SUMIFS('MiT Strom Pipeline'!I$6:I$860,'MiT Strom Pipeline'!R$6:R$860,"tbd")+SUMIFS('MiT Strom Pipeline'!I$6:I$860,'MiT Strom Pipeline'!R$6:R$860,"In evaluation")</f>
        <v>0</v>
      </c>
      <c r="H6" s="218"/>
      <c r="I6" s="219" t="n">
        <f aca="false">SUMIFS('MiT Strom Pipeline'!I$6:I$860,'MiT Strom Pipeline'!R$6:R$860,"WON")+SUMIFS('MiT Strom Pipeline'!I$6:I$860,'MiT Strom Pipeline'!R$6:R$860,"offered")+SUMIFS('MiT Strom Pipeline'!I$6:I$860,'MiT Strom Pipeline'!R$6:R$860,"to be offered")+SUMIFS('MiT Strom Pipeline'!I$6:I$860,'MiT Strom Pipeline'!R$6:R$860,"on hold")+SUMIFS('MiT Strom Pipeline'!I$6:I$860,'MiT Strom Pipeline'!R$6:R$860,"follow-up")+SUMIFS('MiT Strom Pipeline'!I$6:I$860,'MiT Strom Pipeline'!R$6:R$860,"Evaluation")+SUMIFS('MiT Strom Pipeline'!I$6:I$860,'MiT Strom Pipeline'!R$6:R$860,"tbd")+SUMIFS('MiT Strom Pipeline'!I$6:I$860,'MiT Strom Pipeline'!R$6:R$860,"In evaluation")</f>
        <v>6862149.23</v>
      </c>
      <c r="J6" s="219"/>
      <c r="K6" s="219"/>
      <c r="L6" s="112"/>
      <c r="M6" s="112"/>
      <c r="N6" s="220"/>
      <c r="O6" s="112"/>
      <c r="P6" s="112"/>
      <c r="Q6" s="112"/>
      <c r="R6" s="112"/>
      <c r="S6" s="112"/>
    </row>
    <row r="7" customFormat="false" ht="19.5" hidden="false" customHeight="true" outlineLevel="0" collapsed="false">
      <c r="A7" s="121" t="n">
        <f aca="false">COUNTIF('MiT Strom Pipeline'!R$6:R$860,"WON")</f>
        <v>12</v>
      </c>
      <c r="B7" s="121"/>
      <c r="C7" s="121"/>
      <c r="D7" s="122" t="n">
        <f aca="false">COUNTIF('MiT Strom Pipeline'!R$6:R$860,"offered")+COUNTIF('MiT Strom Pipeline'!R$6:R$860,"to be offered")+COUNTIF('MiT Strom Pipeline'!R$6:R$860,"on hold")</f>
        <v>33</v>
      </c>
      <c r="E7" s="122"/>
      <c r="F7" s="122"/>
      <c r="G7" s="123" t="n">
        <f aca="false">COUNTIF('MiT Strom Pipeline'!R$6:R$860,"follow-up")+COUNTIF('MiT Strom Pipeline'!R$6:R$860,"Evaluation")+COUNTIF('MiT Strom Pipeline'!R$6:R$860,"tbd")+COUNTIF('MiT Strom Pipeline'!R$6:R$860,"In evaluation")</f>
        <v>1</v>
      </c>
      <c r="H7" s="123"/>
      <c r="I7" s="221" t="n">
        <f aca="false">COUNTIF('MiT Strom Pipeline'!R$6:R$860,"WON")+COUNTIF('MiT Strom Pipeline'!R$6:R$860,"offered")+COUNTIF('MiT Strom Pipeline'!R$6:R$860,"to be offered")+COUNTIF('MiT Strom Pipeline'!R$6:R$860,"on hold")+COUNTIF('MiT Strom Pipeline'!R$6:R$860,"follow-up")+COUNTIF('MiT Strom Pipeline'!R$6:R$860,"Evaluation")+COUNTIF('MiT Strom Pipeline'!R$6:R$860,"tbd")+COUNTIF('MiT Strom Pipeline'!R$6:R$860,"In evaluation")</f>
        <v>46</v>
      </c>
      <c r="J7" s="221"/>
      <c r="K7" s="221"/>
      <c r="L7" s="112"/>
      <c r="M7" s="112"/>
      <c r="N7" s="220"/>
      <c r="O7" s="112"/>
      <c r="P7" s="112"/>
      <c r="Q7" s="112"/>
      <c r="R7" s="112"/>
      <c r="S7" s="112"/>
    </row>
    <row r="8" customFormat="false" ht="21.75" hidden="false" customHeight="true" outlineLevel="0" collapsed="false">
      <c r="A8" s="124" t="str">
        <f aca="false">"⚖️  Gewichtete Pipeline (Aggreko-Faktoren 0 / 30 / 50 / 90 %): "&amp;TEXT(SUMIFS('MiT Strom Pipeline'!$Q$6:$Q$860,'MiT Strom Pipeline'!$R$6:$R$860,"WON")+SUMIFS('MiT Strom Pipeline'!$Q$6:$Q$860,'MiT Strom Pipeline'!$R$6:$R$860,"offered")+SUMIFS('MiT Strom Pipeline'!$Q$6:$Q$860,'MiT Strom Pipeline'!$R$6:$R$860,"to be offered")+SUMIFS('MiT Strom Pipeline'!$Q$6:$Q$860,'MiT Strom Pipeline'!$R$6:$R$860,"on hold")+SUMIFS('MiT Strom Pipeline'!$Q$6:$Q$860,'MiT Strom Pipeline'!$R$6:$R$860,"follow-up")+SUMIFS('MiT Strom Pipeline'!$Q$6:$Q$860,'MiT Strom Pipeline'!$R$6:$R$860,"Evaluation")+SUMIFS('MiT Strom Pipeline'!$Q$6:$Q$860,'MiT Strom Pipeline'!$R$6:$R$860,"In evaluation")+SUMIFS('MiT Strom Pipeline'!$Q$6:$Q$860,'MiT Strom Pipeline'!$R$6:$R$860,"tbd"),"#,##0")&amp;" CHF   ·   davon Offerte: "&amp;TEXT(SUMIFS('MiT Strom Pipeline'!$Q$6:$Q$860,'MiT Strom Pipeline'!$R$6:$R$860,"offered")+SUMIFS('MiT Strom Pipeline'!$Q$6:$Q$860,'MiT Strom Pipeline'!$R$6:$R$860,"to be offered")+SUMIFS('MiT Strom Pipeline'!$Q$6:$Q$860,'MiT Strom Pipeline'!$R$6:$R$860,"on hold"),"#,##0")&amp;" CHF   ·   Opportunität: "&amp;TEXT(SUMIFS('MiT Strom Pipeline'!$Q$6:$Q$860,'MiT Strom Pipeline'!$R$6:$R$860,"follow-up")+SUMIFS('MiT Strom Pipeline'!$Q$6:$Q$860,'MiT Strom Pipeline'!$R$6:$R$860,"Evaluation")+SUMIFS('MiT Strom Pipeline'!$Q$6:$Q$860,'MiT Strom Pipeline'!$R$6:$R$860,"In evaluation")+SUMIFS('MiT Strom Pipeline'!$Q$6:$Q$860,'MiT Strom Pipeline'!$R$6:$R$860,"tbd"),"#,##0")&amp;" CHF   ·   Modell: Blatt «⚖️ Wahrscheinlichkeit»"</f>
        <v>⚖️  Gewichtete Pipeline (Aggreko-Faktoren 0 / 30 / 50 / 90 %): 1,628,426 CHF   ·   davon Offerte: 199,872 CHF   ·   Opportunität: 0 CHF   ·   Modell: Blatt «⚖️ Wahrscheinlichkeit»</v>
      </c>
      <c r="B8" s="124"/>
      <c r="C8" s="124"/>
      <c r="D8" s="124"/>
      <c r="E8" s="124"/>
      <c r="F8" s="124"/>
      <c r="G8" s="124"/>
      <c r="H8" s="124"/>
      <c r="I8" s="124"/>
      <c r="J8" s="124"/>
      <c r="K8" s="124"/>
      <c r="L8" s="112"/>
      <c r="M8" s="112"/>
      <c r="N8" s="220"/>
      <c r="O8" s="112"/>
      <c r="P8" s="112"/>
      <c r="Q8" s="112"/>
      <c r="R8" s="112"/>
      <c r="S8" s="112"/>
    </row>
    <row r="9" customFormat="false" ht="24" hidden="false" customHeight="true" outlineLevel="0" collapsed="false">
      <c r="A9" s="125" t="s">
        <v>159</v>
      </c>
      <c r="B9" s="125"/>
      <c r="C9" s="125"/>
      <c r="D9" s="125"/>
      <c r="E9" s="125"/>
      <c r="F9" s="125"/>
      <c r="G9" s="125"/>
      <c r="H9" s="125"/>
      <c r="I9" s="125"/>
      <c r="J9" s="125"/>
      <c r="K9" s="125"/>
      <c r="L9" s="112"/>
      <c r="M9" s="112"/>
      <c r="N9" s="220"/>
      <c r="O9" s="112"/>
      <c r="P9" s="112"/>
      <c r="Q9" s="112"/>
      <c r="R9" s="112"/>
      <c r="S9" s="112"/>
    </row>
    <row r="10" customFormat="false" ht="19.5" hidden="false" customHeight="true" outlineLevel="0" collapsed="false">
      <c r="A10" s="126" t="s">
        <v>6</v>
      </c>
      <c r="B10" s="127" t="s">
        <v>115</v>
      </c>
      <c r="C10" s="126" t="s">
        <v>8</v>
      </c>
      <c r="D10" s="127" t="s">
        <v>10</v>
      </c>
      <c r="E10" s="126" t="s">
        <v>9</v>
      </c>
      <c r="F10" s="127" t="s">
        <v>117</v>
      </c>
      <c r="G10" s="126" t="s">
        <v>16</v>
      </c>
      <c r="H10" s="126" t="s">
        <v>116</v>
      </c>
      <c r="I10" s="126" t="s">
        <v>14</v>
      </c>
      <c r="J10" s="126" t="s">
        <v>118</v>
      </c>
      <c r="K10" s="127" t="s">
        <v>119</v>
      </c>
      <c r="L10" s="112"/>
      <c r="M10" s="112"/>
      <c r="N10" s="220"/>
      <c r="O10" s="112"/>
      <c r="P10" s="112"/>
      <c r="Q10" s="112"/>
      <c r="R10" s="112"/>
      <c r="S10" s="112"/>
    </row>
    <row r="11" customFormat="false" ht="15.75" hidden="false" customHeight="true" outlineLevel="0" collapsed="false">
      <c r="A11" s="128" t="n">
        <f aca="false">IF($U11="","",IF(ISNUMBER(INDEX('MiT Strom Pipeline'!$A$1:$A$860,$U11)),INDEX('MiT Strom Pipeline'!$A$1:$A$860,$U11),""))</f>
        <v>1</v>
      </c>
      <c r="B11" s="129" t="str">
        <f aca="false">IF($U11="","",IF(INDEX('MiT Strom Pipeline'!$B$1:$B$860,$U11)="","",INDEX('MiT Strom Pipeline'!$B$1:$B$860,$U11)))</f>
        <v>Ice Hockey Championship</v>
      </c>
      <c r="C11" s="130" t="str">
        <f aca="false">IF($U11="","",IF(INDEX('MiT Strom Pipeline'!$C$1:$C$860,$U11)="","",INDEX('MiT Strom Pipeline'!$C$1:$C$860,$U11)))</f>
        <v>ZH</v>
      </c>
      <c r="D11" s="129" t="str">
        <f aca="false">IF($U11="","",IF(INDEX('MiT Strom Pipeline'!$D$1:$D$860,$U11)="","",INDEX('MiT Strom Pipeline'!$D$1:$D$860,$U11)))</f>
        <v>Events &amp; Sport</v>
      </c>
      <c r="E11" s="131" t="str">
        <f aca="false">IF($U11="","",IF(ISNUMBER(INDEX('MiT Strom Pipeline'!$O$1:$O$860,$U11)),INDEX('MiT Strom Pipeline'!$O$1:$O$860,$U11),IF(INDEX('MiT Strom Pipeline'!$H$1:$H$860,$U11)="","",INDEX('MiT Strom Pipeline'!$H$1:$H$860,$U11))))</f>
        <v>Mai</v>
      </c>
      <c r="F11" s="129" t="str">
        <f aca="false">IF($U11="","",IF(INDEX('MiT Strom Pipeline'!$E$1:$E$860,$U11)="","",INDEX('MiT Strom Pipeline'!$E$1:$E$860,$U11)))</f>
        <v>2×600+2×200 kVA</v>
      </c>
      <c r="G11" s="132" t="n">
        <f aca="false">IF($U11="","",IF(ISNUMBER(INDEX('MiT Strom Pipeline'!$I$1:$I$860,$U11)),INDEX('MiT Strom Pipeline'!$I$1:$I$860,$U11),0))</f>
        <v>380000</v>
      </c>
      <c r="H11" s="132" t="n">
        <f aca="false">IF($U11="","",IF(ISNUMBER(INDEX('MiT Strom Pipeline'!$Q$1:$Q$860,$U11)),INDEX('MiT Strom Pipeline'!$Q$1:$Q$860,$U11),0))</f>
        <v>380000</v>
      </c>
      <c r="I11" s="130" t="str">
        <f aca="false">IF($U11="","",INDEX('MiT Strom Pipeline'!$R$1:$R$860,$U11))</f>
        <v>WON</v>
      </c>
      <c r="J11" s="133" t="n">
        <f aca="false">IF($U11="","",IF(ISNUMBER(INDEX('MiT Strom Pipeline'!$S$1:$S$860,$U11)),INDEX('MiT Strom Pipeline'!$S$1:$S$860,$U11),""))</f>
        <v>1</v>
      </c>
      <c r="K11" s="129" t="str">
        <f aca="false">IF($U11="","",IF(LEN(INDEX('MiT Strom Pipeline'!$V$1:$V$860,$U11))&gt;0,LEFT(INDEX('MiT Strom Pipeline'!$V$1:$V$860,$U11),55),""))</f>
        <v>Abgeschlossen</v>
      </c>
      <c r="L11" s="112"/>
      <c r="M11" s="112"/>
      <c r="N11" s="220"/>
      <c r="O11" s="112"/>
      <c r="P11" s="112"/>
      <c r="Q11" s="112"/>
      <c r="R11" s="112"/>
      <c r="S11" s="112"/>
      <c r="U11" s="1" t="n">
        <f aca="false">IFERROR(MATCH(1,'MiT Strom Pipeline'!$AM$6:$AM$860,0)+5,"")</f>
        <v>9</v>
      </c>
    </row>
    <row r="12" customFormat="false" ht="15.75" hidden="false" customHeight="true" outlineLevel="0" collapsed="false">
      <c r="A12" s="128" t="n">
        <f aca="false">IF($U12="","",IF(ISNUMBER(INDEX('MiT Strom Pipeline'!$A$1:$A$860,$U12)),INDEX('MiT Strom Pipeline'!$A$1:$A$860,$U12),""))</f>
        <v>2</v>
      </c>
      <c r="B12" s="129" t="str">
        <f aca="false">IF($U12="","",IF(INDEX('MiT Strom Pipeline'!$B$1:$B$860,$U12)="","",INDEX('MiT Strom Pipeline'!$B$1:$B$860,$U12)))</f>
        <v>Oerlikon Metco Wohlen</v>
      </c>
      <c r="C12" s="130" t="str">
        <f aca="false">IF($U12="","",IF(INDEX('MiT Strom Pipeline'!$C$1:$C$860,$U12)="","",INDEX('MiT Strom Pipeline'!$C$1:$C$860,$U12)))</f>
        <v>AG</v>
      </c>
      <c r="D12" s="129" t="str">
        <f aca="false">IF($U12="","",IF(INDEX('MiT Strom Pipeline'!$D$1:$D$860,$U12)="","",INDEX('MiT Strom Pipeline'!$D$1:$D$860,$U12)))</f>
        <v>Industrie / Oberfläche</v>
      </c>
      <c r="E12" s="131" t="str">
        <f aca="false">IF($U12="","",IF(ISNUMBER(INDEX('MiT Strom Pipeline'!$O$1:$O$860,$U12)),INDEX('MiT Strom Pipeline'!$O$1:$O$860,$U12),IF(INDEX('MiT Strom Pipeline'!$H$1:$H$860,$U12)="","",INDEX('MiT Strom Pipeline'!$H$1:$H$860,$U12))))</f>
        <v>April</v>
      </c>
      <c r="F12" s="129" t="str">
        <f aca="false">IF($U12="","",IF(INDEX('MiT Strom Pipeline'!$E$1:$E$860,$U12)="","",INDEX('MiT Strom Pipeline'!$E$1:$E$860,$U12)))</f>
        <v>240 kVA Generator</v>
      </c>
      <c r="G12" s="132" t="n">
        <f aca="false">IF($U12="","",IF(ISNUMBER(INDEX('MiT Strom Pipeline'!$I$1:$I$860,$U12)),INDEX('MiT Strom Pipeline'!$I$1:$I$860,$U12),0))</f>
        <v>13100</v>
      </c>
      <c r="H12" s="132" t="n">
        <f aca="false">IF($U12="","",IF(ISNUMBER(INDEX('MiT Strom Pipeline'!$Q$1:$Q$860,$U12)),INDEX('MiT Strom Pipeline'!$Q$1:$Q$860,$U12),0))</f>
        <v>13100</v>
      </c>
      <c r="I12" s="130" t="str">
        <f aca="false">IF($U12="","",INDEX('MiT Strom Pipeline'!$R$1:$R$860,$U12))</f>
        <v>WON</v>
      </c>
      <c r="J12" s="133" t="n">
        <f aca="false">IF($U12="","",IF(ISNUMBER(INDEX('MiT Strom Pipeline'!$S$1:$S$860,$U12)),INDEX('MiT Strom Pipeline'!$S$1:$S$860,$U12),""))</f>
        <v>1</v>
      </c>
      <c r="K12" s="129" t="str">
        <f aca="false">IF($U12="","",IF(LEN(INDEX('MiT Strom Pipeline'!$V$1:$V$860,$U12))&gt;0,LEFT(INDEX('MiT Strom Pipeline'!$V$1:$V$860,$U12),55),""))</f>
        <v>Abgeschlossen</v>
      </c>
      <c r="L12" s="112"/>
      <c r="M12" s="112"/>
      <c r="N12" s="220"/>
      <c r="O12" s="112"/>
      <c r="P12" s="112"/>
      <c r="Q12" s="112"/>
      <c r="R12" s="112"/>
      <c r="S12" s="112"/>
      <c r="U12" s="1" t="n">
        <f aca="false">IFERROR(MATCH(2,'MiT Strom Pipeline'!$AM$6:$AM$860,0)+5,"")</f>
        <v>10</v>
      </c>
    </row>
    <row r="13" customFormat="false" ht="15.75" hidden="false" customHeight="true" outlineLevel="0" collapsed="false">
      <c r="A13" s="128" t="n">
        <f aca="false">IF($U13="","",IF(ISNUMBER(INDEX('MiT Strom Pipeline'!$A$1:$A$860,$U13)),INDEX('MiT Strom Pipeline'!$A$1:$A$860,$U13),""))</f>
        <v>3</v>
      </c>
      <c r="B13" s="129" t="str">
        <f aca="false">IF($U13="","",IF(INDEX('MiT Strom Pipeline'!$B$1:$B$860,$U13)="","",INDEX('MiT Strom Pipeline'!$B$1:$B$860,$U13)))</f>
        <v>Siemens</v>
      </c>
      <c r="C13" s="130" t="str">
        <f aca="false">IF($U13="","",IF(INDEX('MiT Strom Pipeline'!$C$1:$C$860,$U13)="","",INDEX('MiT Strom Pipeline'!$C$1:$C$860,$U13)))</f>
        <v>ZH</v>
      </c>
      <c r="D13" s="129" t="str">
        <f aca="false">IF($U13="","",IF(INDEX('MiT Strom Pipeline'!$D$1:$D$860,$U13)="","",INDEX('MiT Strom Pipeline'!$D$1:$D$860,$U13)))</f>
        <v>Industrie / Elektro</v>
      </c>
      <c r="E13" s="131" t="str">
        <f aca="false">IF($U13="","",IF(ISNUMBER(INDEX('MiT Strom Pipeline'!$O$1:$O$860,$U13)),INDEX('MiT Strom Pipeline'!$O$1:$O$860,$U13),IF(INDEX('MiT Strom Pipeline'!$H$1:$H$860,$U13)="","",INDEX('MiT Strom Pipeline'!$H$1:$H$860,$U13))))</f>
        <v>tbd</v>
      </c>
      <c r="F13" s="129" t="str">
        <f aca="false">IF($U13="","",IF(INDEX('MiT Strom Pipeline'!$E$1:$E$860,$U13)="","",INDEX('MiT Strom Pipeline'!$E$1:$E$860,$U13)))</f>
        <v>600 kVA Generator</v>
      </c>
      <c r="G13" s="132" t="n">
        <f aca="false">IF($U13="","",IF(ISNUMBER(INDEX('MiT Strom Pipeline'!$I$1:$I$860,$U13)),INDEX('MiT Strom Pipeline'!$I$1:$I$860,$U13),0))</f>
        <v>10000</v>
      </c>
      <c r="H13" s="132" t="n">
        <f aca="false">IF($U13="","",IF(ISNUMBER(INDEX('MiT Strom Pipeline'!$Q$1:$Q$860,$U13)),INDEX('MiT Strom Pipeline'!$Q$1:$Q$860,$U13),0))</f>
        <v>10000</v>
      </c>
      <c r="I13" s="130" t="str">
        <f aca="false">IF($U13="","",INDEX('MiT Strom Pipeline'!$R$1:$R$860,$U13))</f>
        <v>WON</v>
      </c>
      <c r="J13" s="133" t="n">
        <f aca="false">IF($U13="","",IF(ISNUMBER(INDEX('MiT Strom Pipeline'!$S$1:$S$860,$U13)),INDEX('MiT Strom Pipeline'!$S$1:$S$860,$U13),""))</f>
        <v>1</v>
      </c>
      <c r="K13" s="129" t="str">
        <f aca="false">IF($U13="","",IF(LEN(INDEX('MiT Strom Pipeline'!$V$1:$V$860,$U13))&gt;0,LEFT(INDEX('MiT Strom Pipeline'!$V$1:$V$860,$U13),55),""))</f>
        <v>Abgeschlossen</v>
      </c>
      <c r="L13" s="112"/>
      <c r="M13" s="112"/>
      <c r="N13" s="220"/>
      <c r="O13" s="112"/>
      <c r="P13" s="112"/>
      <c r="Q13" s="112"/>
      <c r="R13" s="112"/>
      <c r="S13" s="112"/>
      <c r="U13" s="1" t="n">
        <f aca="false">IFERROR(MATCH(3,'MiT Strom Pipeline'!$AM$6:$AM$860,0)+5,"")</f>
        <v>12</v>
      </c>
    </row>
    <row r="14" customFormat="false" ht="15.75" hidden="false" customHeight="true" outlineLevel="0" collapsed="false">
      <c r="A14" s="128" t="n">
        <f aca="false">IF($U14="","",IF(ISNUMBER(INDEX('MiT Strom Pipeline'!$A$1:$A$860,$U14)),INDEX('MiT Strom Pipeline'!$A$1:$A$860,$U14),""))</f>
        <v>4</v>
      </c>
      <c r="B14" s="129" t="str">
        <f aca="false">IF($U14="","",IF(INDEX('MiT Strom Pipeline'!$B$1:$B$860,$U14)="","",INDEX('MiT Strom Pipeline'!$B$1:$B$860,$U14)))</f>
        <v>Stagelight – OpenAir Frauenfeld</v>
      </c>
      <c r="C14" s="130" t="str">
        <f aca="false">IF($U14="","",IF(INDEX('MiT Strom Pipeline'!$C$1:$C$860,$U14)="","",INDEX('MiT Strom Pipeline'!$C$1:$C$860,$U14)))</f>
        <v>TG</v>
      </c>
      <c r="D14" s="129" t="str">
        <f aca="false">IF($U14="","",IF(INDEX('MiT Strom Pipeline'!$D$1:$D$860,$U14)="","",INDEX('MiT Strom Pipeline'!$D$1:$D$860,$U14)))</f>
        <v>Events &amp; Kultur</v>
      </c>
      <c r="E14" s="131" t="str">
        <f aca="false">IF($U14="","",IF(ISNUMBER(INDEX('MiT Strom Pipeline'!$O$1:$O$860,$U14)),INDEX('MiT Strom Pipeline'!$O$1:$O$860,$U14),IF(INDEX('MiT Strom Pipeline'!$H$1:$H$860,$U14)="","",INDEX('MiT Strom Pipeline'!$H$1:$H$860,$U14))))</f>
        <v>Juli</v>
      </c>
      <c r="F14" s="129" t="str">
        <f aca="false">IF($U14="","",IF(INDEX('MiT Strom Pipeline'!$E$1:$E$860,$U14)="","",INDEX('MiT Strom Pipeline'!$E$1:$E$860,$U14)))</f>
        <v>~500 kVA Generator</v>
      </c>
      <c r="G14" s="132" t="n">
        <f aca="false">IF($U14="","",IF(ISNUMBER(INDEX('MiT Strom Pipeline'!$I$1:$I$860,$U14)),INDEX('MiT Strom Pipeline'!$I$1:$I$860,$U14),0))</f>
        <v>150000</v>
      </c>
      <c r="H14" s="132" t="n">
        <f aca="false">IF($U14="","",IF(ISNUMBER(INDEX('MiT Strom Pipeline'!$Q$1:$Q$860,$U14)),INDEX('MiT Strom Pipeline'!$Q$1:$Q$860,$U14),0))</f>
        <v>150000</v>
      </c>
      <c r="I14" s="130" t="str">
        <f aca="false">IF($U14="","",INDEX('MiT Strom Pipeline'!$R$1:$R$860,$U14))</f>
        <v>WON</v>
      </c>
      <c r="J14" s="133" t="n">
        <f aca="false">IF($U14="","",IF(ISNUMBER(INDEX('MiT Strom Pipeline'!$S$1:$S$860,$U14)),INDEX('MiT Strom Pipeline'!$S$1:$S$860,$U14),""))</f>
        <v>1</v>
      </c>
      <c r="K14" s="129" t="str">
        <f aca="false">IF($U14="","",IF(LEN(INDEX('MiT Strom Pipeline'!$V$1:$V$860,$U14))&gt;0,LEFT(INDEX('MiT Strom Pipeline'!$V$1:$V$860,$U14),55),""))</f>
        <v>Abgeschlossen</v>
      </c>
      <c r="L14" s="112"/>
      <c r="M14" s="112"/>
      <c r="N14" s="220"/>
      <c r="O14" s="112"/>
      <c r="P14" s="112"/>
      <c r="Q14" s="112"/>
      <c r="R14" s="112"/>
      <c r="S14" s="112"/>
      <c r="U14" s="1" t="n">
        <f aca="false">IFERROR(MATCH(4,'MiT Strom Pipeline'!$AM$6:$AM$860,0)+5,"")</f>
        <v>13</v>
      </c>
    </row>
    <row r="15" customFormat="false" ht="15.75" hidden="false" customHeight="true" outlineLevel="0" collapsed="false">
      <c r="A15" s="128" t="n">
        <f aca="false">IF($U15="","",IF(ISNUMBER(INDEX('MiT Strom Pipeline'!$A$1:$A$860,$U15)),INDEX('MiT Strom Pipeline'!$A$1:$A$860,$U15),""))</f>
        <v>10</v>
      </c>
      <c r="B15" s="129" t="str">
        <f aca="false">IF($U15="","",IF(INDEX('MiT Strom Pipeline'!$B$1:$B$860,$U15)="","",INDEX('MiT Strom Pipeline'!$B$1:$B$860,$U15)))</f>
        <v>Murg Flums Energie</v>
      </c>
      <c r="C15" s="130" t="str">
        <f aca="false">IF($U15="","",IF(INDEX('MiT Strom Pipeline'!$C$1:$C$860,$U15)="","",INDEX('MiT Strom Pipeline'!$C$1:$C$860,$U15)))</f>
        <v>SG</v>
      </c>
      <c r="D15" s="129" t="str">
        <f aca="false">IF($U15="","",IF(INDEX('MiT Strom Pipeline'!$D$1:$D$860,$U15)="","",INDEX('MiT Strom Pipeline'!$D$1:$D$860,$U15)))</f>
        <v>EVU / Energie</v>
      </c>
      <c r="E15" s="131" t="str">
        <f aca="false">IF($U15="","",IF(ISNUMBER(INDEX('MiT Strom Pipeline'!$O$1:$O$860,$U15)),INDEX('MiT Strom Pipeline'!$O$1:$O$860,$U15),IF(INDEX('MiT Strom Pipeline'!$H$1:$H$860,$U15)="","",INDEX('MiT Strom Pipeline'!$H$1:$H$860,$U15))))</f>
        <v>Auf Abruf</v>
      </c>
      <c r="F15" s="129" t="str">
        <f aca="false">IF($U15="","",IF(INDEX('MiT Strom Pipeline'!$E$1:$E$860,$U15)="","",INDEX('MiT Strom Pipeline'!$E$1:$E$860,$U15)))</f>
        <v>250 kVA Generator</v>
      </c>
      <c r="G15" s="132" t="n">
        <f aca="false">IF($U15="","",IF(ISNUMBER(INDEX('MiT Strom Pipeline'!$I$1:$I$860,$U15)),INDEX('MiT Strom Pipeline'!$I$1:$I$860,$U15),0))</f>
        <v>96658.69</v>
      </c>
      <c r="H15" s="132" t="n">
        <f aca="false">IF($U15="","",IF(ISNUMBER(INDEX('MiT Strom Pipeline'!$Q$1:$Q$860,$U15)),INDEX('MiT Strom Pipeline'!$Q$1:$Q$860,$U15),0))</f>
        <v>96658.69</v>
      </c>
      <c r="I15" s="130" t="str">
        <f aca="false">IF($U15="","",INDEX('MiT Strom Pipeline'!$R$1:$R$860,$U15))</f>
        <v>WON</v>
      </c>
      <c r="J15" s="133" t="n">
        <f aca="false">IF($U15="","",IF(ISNUMBER(INDEX('MiT Strom Pipeline'!$S$1:$S$860,$U15)),INDEX('MiT Strom Pipeline'!$S$1:$S$860,$U15),""))</f>
        <v>1</v>
      </c>
      <c r="K15" s="129" t="str">
        <f aca="false">IF($U15="","",IF(LEN(INDEX('MiT Strom Pipeline'!$V$1:$V$860,$U15))&gt;0,LEFT(INDEX('MiT Strom Pipeline'!$V$1:$V$860,$U15),55),""))</f>
        <v>Abrufbereitschaft</v>
      </c>
      <c r="L15" s="112"/>
      <c r="M15" s="112"/>
      <c r="N15" s="220"/>
      <c r="O15" s="112"/>
      <c r="P15" s="112"/>
      <c r="Q15" s="112"/>
      <c r="R15" s="112"/>
      <c r="S15" s="112"/>
      <c r="U15" s="1" t="n">
        <f aca="false">IFERROR(MATCH(5,'MiT Strom Pipeline'!$AM$6:$AM$860,0)+5,"")</f>
        <v>14</v>
      </c>
    </row>
    <row r="16" customFormat="false" ht="15.75" hidden="false" customHeight="true" outlineLevel="0" collapsed="false">
      <c r="A16" s="128" t="n">
        <f aca="false">IF($U16="","",IF(ISNUMBER(INDEX('MiT Strom Pipeline'!$A$1:$A$860,$U16)),INDEX('MiT Strom Pipeline'!$A$1:$A$860,$U16),""))</f>
        <v>21</v>
      </c>
      <c r="B16" s="129" t="str">
        <f aca="false">IF($U16="","",IF(INDEX('MiT Strom Pipeline'!$B$1:$B$860,$U16)="","",INDEX('MiT Strom Pipeline'!$B$1:$B$860,$U16)))</f>
        <v>X-Event</v>
      </c>
      <c r="C16" s="130" t="str">
        <f aca="false">IF($U16="","",IF(INDEX('MiT Strom Pipeline'!$C$1:$C$860,$U16)="","",INDEX('MiT Strom Pipeline'!$C$1:$C$860,$U16)))</f>
        <v>SH</v>
      </c>
      <c r="D16" s="129" t="str">
        <f aca="false">IF($U16="","",IF(INDEX('MiT Strom Pipeline'!$D$1:$D$860,$U16)="","",INDEX('MiT Strom Pipeline'!$D$1:$D$860,$U16)))</f>
        <v>Events / Medien</v>
      </c>
      <c r="E16" s="131" t="str">
        <f aca="false">IF($U16="","",IF(ISNUMBER(INDEX('MiT Strom Pipeline'!$O$1:$O$860,$U16)),INDEX('MiT Strom Pipeline'!$O$1:$O$860,$U16),IF(INDEX('MiT Strom Pipeline'!$H$1:$H$860,$U16)="","",INDEX('MiT Strom Pipeline'!$H$1:$H$860,$U16))))</f>
        <v>Juni</v>
      </c>
      <c r="F16" s="129" t="str">
        <f aca="false">IF($U16="","",IF(INDEX('MiT Strom Pipeline'!$E$1:$E$860,$U16)="","",INDEX('MiT Strom Pipeline'!$E$1:$E$860,$U16)))</f>
        <v>100 kVA Generator</v>
      </c>
      <c r="G16" s="132" t="n">
        <f aca="false">IF($U16="","",IF(ISNUMBER(INDEX('MiT Strom Pipeline'!$I$1:$I$860,$U16)),INDEX('MiT Strom Pipeline'!$I$1:$I$860,$U16),0))</f>
        <v>0</v>
      </c>
      <c r="H16" s="132" t="n">
        <f aca="false">IF($U16="","",IF(ISNUMBER(INDEX('MiT Strom Pipeline'!$Q$1:$Q$860,$U16)),INDEX('MiT Strom Pipeline'!$Q$1:$Q$860,$U16),0))</f>
        <v>0</v>
      </c>
      <c r="I16" s="130" t="str">
        <f aca="false">IF($U16="","",INDEX('MiT Strom Pipeline'!$R$1:$R$860,$U16))</f>
        <v>WON</v>
      </c>
      <c r="J16" s="133" t="n">
        <f aca="false">IF($U16="","",IF(ISNUMBER(INDEX('MiT Strom Pipeline'!$S$1:$S$860,$U16)),INDEX('MiT Strom Pipeline'!$S$1:$S$860,$U16),""))</f>
        <v>1</v>
      </c>
      <c r="K16" s="129" t="str">
        <f aca="false">IF($U16="","",IF(LEN(INDEX('MiT Strom Pipeline'!$V$1:$V$860,$U16))&gt;0,LEFT(INDEX('MiT Strom Pipeline'!$V$1:$V$860,$U16),55),""))</f>
        <v>Abgeschlossen</v>
      </c>
      <c r="L16" s="112"/>
      <c r="M16" s="112"/>
      <c r="N16" s="112"/>
      <c r="O16" s="112"/>
      <c r="P16" s="112"/>
      <c r="Q16" s="112"/>
      <c r="R16" s="112"/>
      <c r="S16" s="112"/>
      <c r="U16" s="1" t="n">
        <f aca="false">IFERROR(MATCH(6,'MiT Strom Pipeline'!$AM$6:$AM$860,0)+5,"")</f>
        <v>15</v>
      </c>
    </row>
    <row r="17" customFormat="false" ht="38.25" hidden="false" customHeight="true" outlineLevel="0" collapsed="false">
      <c r="A17" s="128" t="n">
        <f aca="false">IF($U17="","",IF(ISNUMBER(INDEX('MiT Strom Pipeline'!$A$1:$A$860,$U17)),INDEX('MiT Strom Pipeline'!$A$1:$A$860,$U17),""))</f>
        <v>29</v>
      </c>
      <c r="B17" s="129" t="str">
        <f aca="false">IF($U17="","",IF(INDEX('MiT Strom Pipeline'!$B$1:$B$860,$U17)="","",INDEX('MiT Strom Pipeline'!$B$1:$B$860,$U17)))</f>
        <v>Gampeln</v>
      </c>
      <c r="C17" s="130" t="str">
        <f aca="false">IF($U17="","",IF(INDEX('MiT Strom Pipeline'!$C$1:$C$860,$U17)="","",INDEX('MiT Strom Pipeline'!$C$1:$C$860,$U17)))</f>
        <v>VS</v>
      </c>
      <c r="D17" s="129" t="str">
        <f aca="false">IF($U17="","",IF(INDEX('MiT Strom Pipeline'!$D$1:$D$860,$U17)="","",INDEX('MiT Strom Pipeline'!$D$1:$D$860,$U17)))</f>
        <v>Event</v>
      </c>
      <c r="E17" s="131" t="str">
        <f aca="false">IF($U17="","",IF(ISNUMBER(INDEX('MiT Strom Pipeline'!$O$1:$O$860,$U17)),INDEX('MiT Strom Pipeline'!$O$1:$O$860,$U17),IF(INDEX('MiT Strom Pipeline'!$H$1:$H$860,$U17)="","",INDEX('MiT Strom Pipeline'!$H$1:$H$860,$U17))))</f>
        <v>Aug</v>
      </c>
      <c r="F17" s="129" t="str">
        <f aca="false">IF($U17="","",IF(INDEX('MiT Strom Pipeline'!$E$1:$E$860,$U17)="","",INDEX('MiT Strom Pipeline'!$E$1:$E$860,$U17)))</f>
        <v>6x300 kVA, 9x200 kVA Generator ,1x150 kWH BESS</v>
      </c>
      <c r="G17" s="132" t="n">
        <f aca="false">IF($U17="","",IF(ISNUMBER(INDEX('MiT Strom Pipeline'!$I$1:$I$860,$U17)),INDEX('MiT Strom Pipeline'!$I$1:$I$860,$U17),0))</f>
        <v>80621.21</v>
      </c>
      <c r="H17" s="132" t="n">
        <f aca="false">IF($U17="","",IF(ISNUMBER(INDEX('MiT Strom Pipeline'!$Q$1:$Q$860,$U17)),INDEX('MiT Strom Pipeline'!$Q$1:$Q$860,$U17),0))</f>
        <v>80621.21</v>
      </c>
      <c r="I17" s="130" t="str">
        <f aca="false">IF($U17="","",INDEX('MiT Strom Pipeline'!$R$1:$R$860,$U17))</f>
        <v>WON</v>
      </c>
      <c r="J17" s="133" t="n">
        <f aca="false">IF($U17="","",IF(ISNUMBER(INDEX('MiT Strom Pipeline'!$S$1:$S$860,$U17)),INDEX('MiT Strom Pipeline'!$S$1:$S$860,$U17),""))</f>
        <v>1</v>
      </c>
      <c r="K17" s="129" t="str">
        <f aca="false">IF($U17="","",IF(LEN(INDEX('MiT Strom Pipeline'!$V$1:$V$860,$U17))&gt;0,LEFT(INDEX('MiT Strom Pipeline'!$V$1:$V$860,$U17),55),""))</f>
        <v>Abgeschlossen</v>
      </c>
      <c r="L17" s="112"/>
      <c r="M17" s="112"/>
      <c r="N17" s="112"/>
      <c r="O17" s="112"/>
      <c r="P17" s="112"/>
      <c r="Q17" s="112"/>
      <c r="R17" s="112"/>
      <c r="S17" s="112"/>
      <c r="U17" s="1" t="n">
        <f aca="false">IFERROR(MATCH(7,'MiT Strom Pipeline'!$AM$6:$AM$860,0)+5,"")</f>
        <v>22</v>
      </c>
    </row>
    <row r="18" customFormat="false" ht="15.75" hidden="false" customHeight="true" outlineLevel="0" collapsed="false">
      <c r="A18" s="128" t="n">
        <f aca="false">IF($U18="","",IF(ISNUMBER(INDEX('MiT Strom Pipeline'!$A$1:$A$860,$U18)),INDEX('MiT Strom Pipeline'!$A$1:$A$860,$U18),""))</f>
        <v>50</v>
      </c>
      <c r="B18" s="129" t="str">
        <f aca="false">IF($U18="","",IF(INDEX('MiT Strom Pipeline'!$B$1:$B$860,$U18)="","",INDEX('MiT Strom Pipeline'!$B$1:$B$860,$U18)))</f>
        <v>EIDG AMT Agroscope</v>
      </c>
      <c r="C18" s="130" t="str">
        <f aca="false">IF($U18="","",IF(INDEX('MiT Strom Pipeline'!$C$1:$C$860,$U18)="","",INDEX('MiT Strom Pipeline'!$C$1:$C$860,$U18)))</f>
        <v>ZH</v>
      </c>
      <c r="D18" s="129" t="str">
        <f aca="false">IF($U18="","",IF(INDEX('MiT Strom Pipeline'!$D$1:$D$860,$U18)="","",INDEX('MiT Strom Pipeline'!$D$1:$D$860,$U18)))</f>
        <v>Forschung</v>
      </c>
      <c r="E18" s="131" t="str">
        <f aca="false">IF($U18="","",IF(ISNUMBER(INDEX('MiT Strom Pipeline'!$O$1:$O$860,$U18)),INDEX('MiT Strom Pipeline'!$O$1:$O$860,$U18),IF(INDEX('MiT Strom Pipeline'!$H$1:$H$860,$U18)="","",INDEX('MiT Strom Pipeline'!$H$1:$H$860,$U18))))</f>
        <v>Aug</v>
      </c>
      <c r="F18" s="129" t="str">
        <f aca="false">IF($U18="","",IF(INDEX('MiT Strom Pipeline'!$E$1:$E$860,$U18)="","",INDEX('MiT Strom Pipeline'!$E$1:$E$860,$U18)))</f>
        <v>450 kVA</v>
      </c>
      <c r="G18" s="132" t="n">
        <f aca="false">IF($U18="","",IF(ISNUMBER(INDEX('MiT Strom Pipeline'!$I$1:$I$860,$U18)),INDEX('MiT Strom Pipeline'!$I$1:$I$860,$U18),0))</f>
        <v>13533</v>
      </c>
      <c r="H18" s="132" t="n">
        <f aca="false">IF($U18="","",IF(ISNUMBER(INDEX('MiT Strom Pipeline'!$Q$1:$Q$860,$U18)),INDEX('MiT Strom Pipeline'!$Q$1:$Q$860,$U18),0))</f>
        <v>13533</v>
      </c>
      <c r="I18" s="130" t="str">
        <f aca="false">IF($U18="","",INDEX('MiT Strom Pipeline'!$R$1:$R$860,$U18))</f>
        <v>WON</v>
      </c>
      <c r="J18" s="133" t="n">
        <f aca="false">IF($U18="","",IF(ISNUMBER(INDEX('MiT Strom Pipeline'!$S$1:$S$860,$U18)),INDEX('MiT Strom Pipeline'!$S$1:$S$860,$U18),""))</f>
        <v>1</v>
      </c>
      <c r="K18" s="129" t="str">
        <f aca="false">IF($U18="","",IF(LEN(INDEX('MiT Strom Pipeline'!$V$1:$V$860,$U18))&gt;0,LEFT(INDEX('MiT Strom Pipeline'!$V$1:$V$860,$U18),55),""))</f>
        <v>Abgeschlossen</v>
      </c>
      <c r="L18" s="112"/>
      <c r="M18" s="112"/>
      <c r="N18" s="112"/>
      <c r="O18" s="112"/>
      <c r="P18" s="112"/>
      <c r="Q18" s="112"/>
      <c r="R18" s="112"/>
      <c r="S18" s="112"/>
      <c r="U18" s="1" t="n">
        <f aca="false">IFERROR(MATCH(8,'MiT Strom Pipeline'!$AM$6:$AM$860,0)+5,"")</f>
        <v>60</v>
      </c>
    </row>
    <row r="19" customFormat="false" ht="25.5" hidden="false" customHeight="true" outlineLevel="0" collapsed="false">
      <c r="A19" s="128" t="n">
        <f aca="false">IF($U19="","",IF(ISNUMBER(INDEX('MiT Strom Pipeline'!$A$1:$A$860,$U19)),INDEX('MiT Strom Pipeline'!$A$1:$A$860,$U19),""))</f>
        <v>51</v>
      </c>
      <c r="B19" s="129" t="str">
        <f aca="false">IF($U19="","",IF(INDEX('MiT Strom Pipeline'!$B$1:$B$860,$U19)="","",INDEX('MiT Strom Pipeline'!$B$1:$B$860,$U19)))</f>
        <v>(Megger) Power Diagnostix Service GmbH</v>
      </c>
      <c r="C19" s="130" t="str">
        <f aca="false">IF($U19="","",IF(INDEX('MiT Strom Pipeline'!$C$1:$C$860,$U19)="","",INDEX('MiT Strom Pipeline'!$C$1:$C$860,$U19)))</f>
        <v>TG</v>
      </c>
      <c r="D19" s="129" t="str">
        <f aca="false">IF($U19="","",IF(INDEX('MiT Strom Pipeline'!$D$1:$D$860,$U19)="","",INDEX('MiT Strom Pipeline'!$D$1:$D$860,$U19)))</f>
        <v>EVU</v>
      </c>
      <c r="E19" s="131" t="str">
        <f aca="false">IF($U19="","",IF(ISNUMBER(INDEX('MiT Strom Pipeline'!$O$1:$O$860,$U19)),INDEX('MiT Strom Pipeline'!$O$1:$O$860,$U19),IF(INDEX('MiT Strom Pipeline'!$H$1:$H$860,$U19)="","",INDEX('MiT Strom Pipeline'!$H$1:$H$860,$U19))))</f>
        <v>Juli</v>
      </c>
      <c r="F19" s="129" t="str">
        <f aca="false">IF($U19="","",IF(INDEX('MiT Strom Pipeline'!$E$1:$E$860,$U19)="","",INDEX('MiT Strom Pipeline'!$E$1:$E$860,$U19)))</f>
        <v>600 kVA</v>
      </c>
      <c r="G19" s="132" t="n">
        <f aca="false">IF($U19="","",IF(ISNUMBER(INDEX('MiT Strom Pipeline'!$I$1:$I$860,$U19)),INDEX('MiT Strom Pipeline'!$I$1:$I$860,$U19),0))</f>
        <v>5488.9</v>
      </c>
      <c r="H19" s="132" t="n">
        <f aca="false">IF($U19="","",IF(ISNUMBER(INDEX('MiT Strom Pipeline'!$Q$1:$Q$860,$U19)),INDEX('MiT Strom Pipeline'!$Q$1:$Q$860,$U19),0))</f>
        <v>5488.9</v>
      </c>
      <c r="I19" s="130" t="str">
        <f aca="false">IF($U19="","",INDEX('MiT Strom Pipeline'!$R$1:$R$860,$U19))</f>
        <v>WON</v>
      </c>
      <c r="J19" s="133" t="n">
        <f aca="false">IF($U19="","",IF(ISNUMBER(INDEX('MiT Strom Pipeline'!$S$1:$S$860,$U19)),INDEX('MiT Strom Pipeline'!$S$1:$S$860,$U19),""))</f>
        <v>1</v>
      </c>
      <c r="K19" s="129" t="str">
        <f aca="false">IF($U19="","",IF(LEN(INDEX('MiT Strom Pipeline'!$V$1:$V$860,$U19))&gt;0,LEFT(INDEX('MiT Strom Pipeline'!$V$1:$V$860,$U19),55),""))</f>
        <v>Abgeschlossen</v>
      </c>
      <c r="L19" s="112"/>
      <c r="M19" s="112"/>
      <c r="N19" s="112"/>
      <c r="O19" s="112"/>
      <c r="P19" s="112"/>
      <c r="Q19" s="112"/>
      <c r="R19" s="112"/>
      <c r="S19" s="112"/>
      <c r="U19" s="1" t="n">
        <f aca="false">IFERROR(MATCH(9,'MiT Strom Pipeline'!$AM$6:$AM$860,0)+5,"")</f>
        <v>61</v>
      </c>
    </row>
    <row r="20" customFormat="false" ht="38.25" hidden="false" customHeight="true" outlineLevel="0" collapsed="false">
      <c r="A20" s="128" t="n">
        <f aca="false">IF($U20="","",IF(ISNUMBER(INDEX('MiT Strom Pipeline'!$A$1:$A$860,$U20)),INDEX('MiT Strom Pipeline'!$A$1:$A$860,$U20),""))</f>
        <v>52</v>
      </c>
      <c r="B20" s="129" t="str">
        <f aca="false">IF($U20="","",IF(INDEX('MiT Strom Pipeline'!$B$1:$B$860,$U20)="","",INDEX('MiT Strom Pipeline'!$B$1:$B$860,$U20)))</f>
        <v>DPR Heat Loadbank</v>
      </c>
      <c r="C20" s="130" t="str">
        <f aca="false">IF($U20="","",IF(INDEX('MiT Strom Pipeline'!$C$1:$C$860,$U20)="","",INDEX('MiT Strom Pipeline'!$C$1:$C$860,$U20)))</f>
        <v>ZH</v>
      </c>
      <c r="D20" s="129" t="str">
        <f aca="false">IF($U20="","",IF(INDEX('MiT Strom Pipeline'!$D$1:$D$860,$U20)="","",INDEX('MiT Strom Pipeline'!$D$1:$D$860,$U20)))</f>
        <v>Datacenter</v>
      </c>
      <c r="E20" s="131" t="str">
        <f aca="false">IF($U20="","",IF(ISNUMBER(INDEX('MiT Strom Pipeline'!$O$1:$O$860,$U20)),INDEX('MiT Strom Pipeline'!$O$1:$O$860,$U20),IF(INDEX('MiT Strom Pipeline'!$H$1:$H$860,$U20)="","",INDEX('MiT Strom Pipeline'!$H$1:$H$860,$U20))))</f>
        <v>Aug</v>
      </c>
      <c r="F20" s="129" t="str">
        <f aca="false">IF($U20="","",IF(INDEX('MiT Strom Pipeline'!$E$1:$E$860,$U20)="","",INDEX('MiT Strom Pipeline'!$E$1:$E$860,$U20)))</f>
        <v>54x200 kVA Loadbank</v>
      </c>
      <c r="G20" s="132" t="n">
        <f aca="false">IF($U20="","",IF(ISNUMBER(INDEX('MiT Strom Pipeline'!$I$1:$I$860,$U20)),INDEX('MiT Strom Pipeline'!$I$1:$I$860,$U20),0))</f>
        <v>333790</v>
      </c>
      <c r="H20" s="132" t="n">
        <f aca="false">IF($U20="","",IF(ISNUMBER(INDEX('MiT Strom Pipeline'!$Q$1:$Q$860,$U20)),INDEX('MiT Strom Pipeline'!$Q$1:$Q$860,$U20),0))</f>
        <v>333790</v>
      </c>
      <c r="I20" s="130" t="str">
        <f aca="false">IF($U20="","",INDEX('MiT Strom Pipeline'!$R$1:$R$860,$U20))</f>
        <v>WON</v>
      </c>
      <c r="J20" s="133" t="n">
        <f aca="false">IF($U20="","",IF(ISNUMBER(INDEX('MiT Strom Pipeline'!$S$1:$S$860,$U20)),INDEX('MiT Strom Pipeline'!$S$1:$S$860,$U20),""))</f>
        <v>1</v>
      </c>
      <c r="K20" s="129" t="str">
        <f aca="false">IF($U20="","",IF(LEN(INDEX('MiT Strom Pipeline'!$V$1:$V$860,$U20))&gt;0,LEFT(INDEX('MiT Strom Pipeline'!$V$1:$V$860,$U20),55),""))</f>
        <v>Kunde angeschrieben auf MiT seite mit aktueller CHF Pre</v>
      </c>
      <c r="L20" s="112"/>
      <c r="M20" s="112"/>
      <c r="N20" s="112"/>
      <c r="O20" s="112"/>
      <c r="P20" s="112"/>
      <c r="Q20" s="112"/>
      <c r="R20" s="112"/>
      <c r="S20" s="112"/>
      <c r="U20" s="1" t="n">
        <f aca="false">IFERROR(MATCH(10,'MiT Strom Pipeline'!$AM$6:$AM$860,0)+5,"")</f>
        <v>62</v>
      </c>
    </row>
    <row r="21" customFormat="false" ht="38.25" hidden="false" customHeight="true" outlineLevel="0" collapsed="false">
      <c r="A21" s="128" t="n">
        <f aca="false">IF($U21="","",IF(ISNUMBER(INDEX('MiT Strom Pipeline'!$A$1:$A$860,$U21)),INDEX('MiT Strom Pipeline'!$A$1:$A$860,$U21),""))</f>
        <v>53</v>
      </c>
      <c r="B21" s="129" t="str">
        <f aca="false">IF($U21="","",IF(INDEX('MiT Strom Pipeline'!$B$1:$B$860,$U21)="","",INDEX('MiT Strom Pipeline'!$B$1:$B$860,$U21)))</f>
        <v>DPR Generator Loadbank Test</v>
      </c>
      <c r="C21" s="130" t="str">
        <f aca="false">IF($U21="","",IF(INDEX('MiT Strom Pipeline'!$C$1:$C$860,$U21)="","",INDEX('MiT Strom Pipeline'!$C$1:$C$860,$U21)))</f>
        <v>ZH</v>
      </c>
      <c r="D21" s="129" t="str">
        <f aca="false">IF($U21="","",IF(INDEX('MiT Strom Pipeline'!$D$1:$D$860,$U21)="","",INDEX('MiT Strom Pipeline'!$D$1:$D$860,$U21)))</f>
        <v>Datacenter</v>
      </c>
      <c r="E21" s="131" t="str">
        <f aca="false">IF($U21="","",IF(ISNUMBER(INDEX('MiT Strom Pipeline'!$O$1:$O$860,$U21)),INDEX('MiT Strom Pipeline'!$O$1:$O$860,$U21),IF(INDEX('MiT Strom Pipeline'!$H$1:$H$860,$U21)="","",INDEX('MiT Strom Pipeline'!$H$1:$H$860,$U21))))</f>
        <v>Aug</v>
      </c>
      <c r="F21" s="129" t="str">
        <f aca="false">IF($U21="","",IF(INDEX('MiT Strom Pipeline'!$E$1:$E$860,$U21)="","",INDEX('MiT Strom Pipeline'!$E$1:$E$860,$U21)))</f>
        <v>6000 kVA Loadbank</v>
      </c>
      <c r="G21" s="132" t="n">
        <f aca="false">IF($U21="","",IF(ISNUMBER(INDEX('MiT Strom Pipeline'!$I$1:$I$860,$U21)),INDEX('MiT Strom Pipeline'!$I$1:$I$860,$U21),0))</f>
        <v>331889.15</v>
      </c>
      <c r="H21" s="132" t="n">
        <f aca="false">IF($U21="","",IF(ISNUMBER(INDEX('MiT Strom Pipeline'!$Q$1:$Q$860,$U21)),INDEX('MiT Strom Pipeline'!$Q$1:$Q$860,$U21),0))</f>
        <v>331889.15</v>
      </c>
      <c r="I21" s="130" t="str">
        <f aca="false">IF($U21="","",INDEX('MiT Strom Pipeline'!$R$1:$R$860,$U21))</f>
        <v>WON</v>
      </c>
      <c r="J21" s="133" t="n">
        <f aca="false">IF($U21="","",IF(ISNUMBER(INDEX('MiT Strom Pipeline'!$S$1:$S$860,$U21)),INDEX('MiT Strom Pipeline'!$S$1:$S$860,$U21),""))</f>
        <v>1</v>
      </c>
      <c r="K21" s="129" t="str">
        <f aca="false">IF($U21="","",IF(LEN(INDEX('MiT Strom Pipeline'!$V$1:$V$860,$U21))&gt;0,LEFT(INDEX('MiT Strom Pipeline'!$V$1:$V$860,$U21),55),""))</f>
        <v>Kunde angeschrieben auf MiT seite mit aktueller CHF Pre</v>
      </c>
      <c r="L21" s="112"/>
      <c r="M21" s="112"/>
      <c r="N21" s="112"/>
      <c r="O21" s="112"/>
      <c r="P21" s="112"/>
      <c r="Q21" s="112"/>
      <c r="R21" s="112"/>
      <c r="S21" s="112"/>
      <c r="U21" s="1" t="n">
        <f aca="false">IFERROR(MATCH(11,'MiT Strom Pipeline'!$AM$6:$AM$860,0)+5,"")</f>
        <v>63</v>
      </c>
    </row>
    <row r="22" customFormat="false" ht="38.25" hidden="false" customHeight="true" outlineLevel="0" collapsed="false">
      <c r="A22" s="128" t="n">
        <f aca="false">IF($U22="","",IF(ISNUMBER(INDEX('MiT Strom Pipeline'!$A$1:$A$860,$U22)),INDEX('MiT Strom Pipeline'!$A$1:$A$860,$U22),""))</f>
        <v>61</v>
      </c>
      <c r="B22" s="129" t="str">
        <f aca="false">IF($U22="","",IF(INDEX('MiT Strom Pipeline'!$B$1:$B$860,$U22)="","",INDEX('MiT Strom Pipeline'!$B$1:$B$860,$U22)))</f>
        <v>GETEC Park.Swiss AG</v>
      </c>
      <c r="C22" s="130" t="str">
        <f aca="false">IF($U22="","",IF(INDEX('MiT Strom Pipeline'!$C$1:$C$860,$U22)="","",INDEX('MiT Strom Pipeline'!$C$1:$C$860,$U22)))</f>
        <v>BL</v>
      </c>
      <c r="D22" s="129" t="str">
        <f aca="false">IF($U22="","",IF(INDEX('MiT Strom Pipeline'!$D$1:$D$860,$U22)="","",INDEX('MiT Strom Pipeline'!$D$1:$D$860,$U22)))</f>
        <v>Industrie</v>
      </c>
      <c r="E22" s="131" t="str">
        <f aca="false">IF($U22="","",IF(ISNUMBER(INDEX('MiT Strom Pipeline'!$O$1:$O$860,$U22)),INDEX('MiT Strom Pipeline'!$O$1:$O$860,$U22),IF(INDEX('MiT Strom Pipeline'!$H$1:$H$860,$U22)="","",INDEX('MiT Strom Pipeline'!$H$1:$H$860,$U22))))</f>
        <v>August</v>
      </c>
      <c r="F22" s="129" t="str">
        <f aca="false">IF($U22="","",IF(INDEX('MiT Strom Pipeline'!$E$1:$E$860,$U22)="","",INDEX('MiT Strom Pipeline'!$E$1:$E$860,$U22)))</f>
        <v>600 kVA</v>
      </c>
      <c r="G22" s="132" t="n">
        <f aca="false">IF($U22="","",IF(ISNUMBER(INDEX('MiT Strom Pipeline'!$I$1:$I$860,$U22)),INDEX('MiT Strom Pipeline'!$I$1:$I$860,$U22),0))</f>
        <v>13472.18</v>
      </c>
      <c r="H22" s="132" t="n">
        <f aca="false">IF($U22="","",IF(ISNUMBER(INDEX('MiT Strom Pipeline'!$Q$1:$Q$860,$U22)),INDEX('MiT Strom Pipeline'!$Q$1:$Q$860,$U22),0))</f>
        <v>13472.18</v>
      </c>
      <c r="I22" s="130" t="str">
        <f aca="false">IF($U22="","",INDEX('MiT Strom Pipeline'!$R$1:$R$860,$U22))</f>
        <v>WON</v>
      </c>
      <c r="J22" s="133" t="n">
        <f aca="false">IF($U22="","",IF(ISNUMBER(INDEX('MiT Strom Pipeline'!$S$1:$S$860,$U22)),INDEX('MiT Strom Pipeline'!$S$1:$S$860,$U22),""))</f>
        <v>1</v>
      </c>
      <c r="K22" s="129" t="str">
        <f aca="false">IF($U22="","",IF(LEN(INDEX('MiT Strom Pipeline'!$V$1:$V$860,$U22))&gt;0,LEFT(INDEX('MiT Strom Pipeline'!$V$1:$V$860,$U22),55),""))</f>
        <v>Kunde angeschrieben, Offerte erstellt, Kunde hat Offert</v>
      </c>
      <c r="L22" s="112"/>
      <c r="M22" s="112"/>
      <c r="N22" s="112"/>
      <c r="O22" s="112"/>
      <c r="P22" s="112"/>
      <c r="Q22" s="112"/>
      <c r="R22" s="112"/>
      <c r="S22" s="112"/>
      <c r="U22" s="1" t="n">
        <f aca="false">IFERROR(MATCH(12,'MiT Strom Pipeline'!$AM$6:$AM$860,0)+5,"")</f>
        <v>71</v>
      </c>
    </row>
    <row r="23" customFormat="false" ht="15.75" hidden="false" customHeight="true" outlineLevel="0" collapsed="false">
      <c r="A23" s="128" t="str">
        <f aca="false">IF($U23="","",IF(ISNUMBER(INDEX('MiT Strom Pipeline'!$A$1:$A$860,$U23)),INDEX('MiT Strom Pipeline'!$A$1:$A$860,$U23),""))</f>
        <v/>
      </c>
      <c r="B23" s="129" t="str">
        <f aca="false">IF($U23="","",IF(INDEX('MiT Strom Pipeline'!$B$1:$B$860,$U23)="","",INDEX('MiT Strom Pipeline'!$B$1:$B$860,$U23)))</f>
        <v/>
      </c>
      <c r="C23" s="130" t="str">
        <f aca="false">IF($U23="","",IF(INDEX('MiT Strom Pipeline'!$C$1:$C$860,$U23)="","",INDEX('MiT Strom Pipeline'!$C$1:$C$860,$U23)))</f>
        <v/>
      </c>
      <c r="D23" s="129" t="str">
        <f aca="false">IF($U23="","",IF(INDEX('MiT Strom Pipeline'!$D$1:$D$860,$U23)="","",INDEX('MiT Strom Pipeline'!$D$1:$D$860,$U23)))</f>
        <v/>
      </c>
      <c r="E23" s="131" t="str">
        <f aca="false">IF($U23="","",IF(ISNUMBER(INDEX('MiT Strom Pipeline'!$O$1:$O$860,$U23)),INDEX('MiT Strom Pipeline'!$O$1:$O$860,$U23),IF(INDEX('MiT Strom Pipeline'!$H$1:$H$860,$U23)="","",INDEX('MiT Strom Pipeline'!$H$1:$H$860,$U23))))</f>
        <v/>
      </c>
      <c r="F23" s="129" t="str">
        <f aca="false">IF($U23="","",IF(INDEX('MiT Strom Pipeline'!$E$1:$E$860,$U23)="","",INDEX('MiT Strom Pipeline'!$E$1:$E$860,$U23)))</f>
        <v/>
      </c>
      <c r="G23" s="132" t="str">
        <f aca="false">IF($U23="","",IF(ISNUMBER(INDEX('MiT Strom Pipeline'!$I$1:$I$860,$U23)),INDEX('MiT Strom Pipeline'!$I$1:$I$860,$U23),0))</f>
        <v/>
      </c>
      <c r="H23" s="132" t="str">
        <f aca="false">IF($U23="","",IF(ISNUMBER(INDEX('MiT Strom Pipeline'!$Q$1:$Q$860,$U23)),INDEX('MiT Strom Pipeline'!$Q$1:$Q$860,$U23),0))</f>
        <v/>
      </c>
      <c r="I23" s="130" t="str">
        <f aca="false">IF($U23="","",INDEX('MiT Strom Pipeline'!$R$1:$R$860,$U23))</f>
        <v/>
      </c>
      <c r="J23" s="133" t="str">
        <f aca="false">IF($U23="","",IF(ISNUMBER(INDEX('MiT Strom Pipeline'!$S$1:$S$860,$U23)),INDEX('MiT Strom Pipeline'!$S$1:$S$860,$U23),""))</f>
        <v/>
      </c>
      <c r="K23" s="129" t="str">
        <f aca="false">IF($U23="","",IF(LEN(INDEX('MiT Strom Pipeline'!$V$1:$V$860,$U23))&gt;0,LEFT(INDEX('MiT Strom Pipeline'!$V$1:$V$860,$U23),55),""))</f>
        <v/>
      </c>
      <c r="L23" s="112"/>
      <c r="M23" s="112"/>
      <c r="N23" s="112"/>
      <c r="O23" s="112"/>
      <c r="P23" s="112"/>
      <c r="Q23" s="112"/>
      <c r="R23" s="112"/>
      <c r="S23" s="112"/>
      <c r="U23" s="1" t="str">
        <f aca="false">IFERROR(MATCH(13,'MiT Strom Pipeline'!$AM$6:$AM$860,0)+5,"")</f>
        <v/>
      </c>
    </row>
    <row r="24" customFormat="false" ht="15.75" hidden="false" customHeight="true" outlineLevel="0" collapsed="false">
      <c r="A24" s="128" t="str">
        <f aca="false">IF($U24="","",IF(ISNUMBER(INDEX('MiT Strom Pipeline'!$A$1:$A$860,$U24)),INDEX('MiT Strom Pipeline'!$A$1:$A$860,$U24),""))</f>
        <v/>
      </c>
      <c r="B24" s="129" t="str">
        <f aca="false">IF($U24="","",IF(INDEX('MiT Strom Pipeline'!$B$1:$B$860,$U24)="","",INDEX('MiT Strom Pipeline'!$B$1:$B$860,$U24)))</f>
        <v/>
      </c>
      <c r="C24" s="130" t="str">
        <f aca="false">IF($U24="","",IF(INDEX('MiT Strom Pipeline'!$C$1:$C$860,$U24)="","",INDEX('MiT Strom Pipeline'!$C$1:$C$860,$U24)))</f>
        <v/>
      </c>
      <c r="D24" s="129" t="str">
        <f aca="false">IF($U24="","",IF(INDEX('MiT Strom Pipeline'!$D$1:$D$860,$U24)="","",INDEX('MiT Strom Pipeline'!$D$1:$D$860,$U24)))</f>
        <v/>
      </c>
      <c r="E24" s="131" t="str">
        <f aca="false">IF($U24="","",IF(ISNUMBER(INDEX('MiT Strom Pipeline'!$O$1:$O$860,$U24)),INDEX('MiT Strom Pipeline'!$O$1:$O$860,$U24),IF(INDEX('MiT Strom Pipeline'!$H$1:$H$860,$U24)="","",INDEX('MiT Strom Pipeline'!$H$1:$H$860,$U24))))</f>
        <v/>
      </c>
      <c r="F24" s="129" t="str">
        <f aca="false">IF($U24="","",IF(INDEX('MiT Strom Pipeline'!$E$1:$E$860,$U24)="","",INDEX('MiT Strom Pipeline'!$E$1:$E$860,$U24)))</f>
        <v/>
      </c>
      <c r="G24" s="132" t="str">
        <f aca="false">IF($U24="","",IF(ISNUMBER(INDEX('MiT Strom Pipeline'!$I$1:$I$860,$U24)),INDEX('MiT Strom Pipeline'!$I$1:$I$860,$U24),0))</f>
        <v/>
      </c>
      <c r="H24" s="132" t="str">
        <f aca="false">IF($U24="","",IF(ISNUMBER(INDEX('MiT Strom Pipeline'!$Q$1:$Q$860,$U24)),INDEX('MiT Strom Pipeline'!$Q$1:$Q$860,$U24),0))</f>
        <v/>
      </c>
      <c r="I24" s="130" t="str">
        <f aca="false">IF($U24="","",INDEX('MiT Strom Pipeline'!$R$1:$R$860,$U24))</f>
        <v/>
      </c>
      <c r="J24" s="133" t="str">
        <f aca="false">IF($U24="","",IF(ISNUMBER(INDEX('MiT Strom Pipeline'!$S$1:$S$860,$U24)),INDEX('MiT Strom Pipeline'!$S$1:$S$860,$U24),""))</f>
        <v/>
      </c>
      <c r="K24" s="129" t="str">
        <f aca="false">IF($U24="","",IF(LEN(INDEX('MiT Strom Pipeline'!$V$1:$V$860,$U24))&gt;0,LEFT(INDEX('MiT Strom Pipeline'!$V$1:$V$860,$U24),55),""))</f>
        <v/>
      </c>
      <c r="L24" s="112"/>
      <c r="M24" s="112"/>
      <c r="N24" s="112"/>
      <c r="O24" s="112"/>
      <c r="P24" s="112"/>
      <c r="Q24" s="112"/>
      <c r="R24" s="112"/>
      <c r="S24" s="112"/>
      <c r="U24" s="1" t="str">
        <f aca="false">IFERROR(MATCH(14,'MiT Strom Pipeline'!$AM$6:$AM$860,0)+5,"")</f>
        <v/>
      </c>
    </row>
    <row r="25" customFormat="false" ht="15.75" hidden="false" customHeight="true" outlineLevel="0" collapsed="false">
      <c r="A25" s="128" t="str">
        <f aca="false">IF($U25="","",IF(ISNUMBER(INDEX('MiT Strom Pipeline'!$A$1:$A$860,$U25)),INDEX('MiT Strom Pipeline'!$A$1:$A$860,$U25),""))</f>
        <v/>
      </c>
      <c r="B25" s="129" t="str">
        <f aca="false">IF($U25="","",IF(INDEX('MiT Strom Pipeline'!$B$1:$B$860,$U25)="","",INDEX('MiT Strom Pipeline'!$B$1:$B$860,$U25)))</f>
        <v/>
      </c>
      <c r="C25" s="130" t="str">
        <f aca="false">IF($U25="","",IF(INDEX('MiT Strom Pipeline'!$C$1:$C$860,$U25)="","",INDEX('MiT Strom Pipeline'!$C$1:$C$860,$U25)))</f>
        <v/>
      </c>
      <c r="D25" s="129" t="str">
        <f aca="false">IF($U25="","",IF(INDEX('MiT Strom Pipeline'!$D$1:$D$860,$U25)="","",INDEX('MiT Strom Pipeline'!$D$1:$D$860,$U25)))</f>
        <v/>
      </c>
      <c r="E25" s="131" t="str">
        <f aca="false">IF($U25="","",IF(ISNUMBER(INDEX('MiT Strom Pipeline'!$O$1:$O$860,$U25)),INDEX('MiT Strom Pipeline'!$O$1:$O$860,$U25),IF(INDEX('MiT Strom Pipeline'!$H$1:$H$860,$U25)="","",INDEX('MiT Strom Pipeline'!$H$1:$H$860,$U25))))</f>
        <v/>
      </c>
      <c r="F25" s="129" t="str">
        <f aca="false">IF($U25="","",IF(INDEX('MiT Strom Pipeline'!$E$1:$E$860,$U25)="","",INDEX('MiT Strom Pipeline'!$E$1:$E$860,$U25)))</f>
        <v/>
      </c>
      <c r="G25" s="132" t="str">
        <f aca="false">IF($U25="","",IF(ISNUMBER(INDEX('MiT Strom Pipeline'!$I$1:$I$860,$U25)),INDEX('MiT Strom Pipeline'!$I$1:$I$860,$U25),0))</f>
        <v/>
      </c>
      <c r="H25" s="132" t="str">
        <f aca="false">IF($U25="","",IF(ISNUMBER(INDEX('MiT Strom Pipeline'!$Q$1:$Q$860,$U25)),INDEX('MiT Strom Pipeline'!$Q$1:$Q$860,$U25),0))</f>
        <v/>
      </c>
      <c r="I25" s="130" t="str">
        <f aca="false">IF($U25="","",INDEX('MiT Strom Pipeline'!$R$1:$R$860,$U25))</f>
        <v/>
      </c>
      <c r="J25" s="133" t="str">
        <f aca="false">IF($U25="","",IF(ISNUMBER(INDEX('MiT Strom Pipeline'!$S$1:$S$860,$U25)),INDEX('MiT Strom Pipeline'!$S$1:$S$860,$U25),""))</f>
        <v/>
      </c>
      <c r="K25" s="129" t="str">
        <f aca="false">IF($U25="","",IF(LEN(INDEX('MiT Strom Pipeline'!$V$1:$V$860,$U25))&gt;0,LEFT(INDEX('MiT Strom Pipeline'!$V$1:$V$860,$U25),55),""))</f>
        <v/>
      </c>
      <c r="L25" s="112"/>
      <c r="M25" s="112"/>
      <c r="N25" s="112"/>
      <c r="O25" s="112"/>
      <c r="P25" s="112"/>
      <c r="Q25" s="112"/>
      <c r="R25" s="112"/>
      <c r="S25" s="112"/>
      <c r="U25" s="1" t="str">
        <f aca="false">IFERROR(MATCH(15,'MiT Strom Pipeline'!$AM$6:$AM$860,0)+5,"")</f>
        <v/>
      </c>
    </row>
    <row r="26" customFormat="false" ht="15.75" hidden="false" customHeight="true" outlineLevel="0" collapsed="false">
      <c r="A26" s="128" t="str">
        <f aca="false">IF($U26="","",IF(ISNUMBER(INDEX('MiT Strom Pipeline'!$A$1:$A$860,$U26)),INDEX('MiT Strom Pipeline'!$A$1:$A$860,$U26),""))</f>
        <v/>
      </c>
      <c r="B26" s="129" t="str">
        <f aca="false">IF($U26="","",IF(INDEX('MiT Strom Pipeline'!$B$1:$B$860,$U26)="","",INDEX('MiT Strom Pipeline'!$B$1:$B$860,$U26)))</f>
        <v/>
      </c>
      <c r="C26" s="130" t="str">
        <f aca="false">IF($U26="","",IF(INDEX('MiT Strom Pipeline'!$C$1:$C$860,$U26)="","",INDEX('MiT Strom Pipeline'!$C$1:$C$860,$U26)))</f>
        <v/>
      </c>
      <c r="D26" s="129" t="str">
        <f aca="false">IF($U26="","",IF(INDEX('MiT Strom Pipeline'!$D$1:$D$860,$U26)="","",INDEX('MiT Strom Pipeline'!$D$1:$D$860,$U26)))</f>
        <v/>
      </c>
      <c r="E26" s="131" t="str">
        <f aca="false">IF($U26="","",IF(ISNUMBER(INDEX('MiT Strom Pipeline'!$O$1:$O$860,$U26)),INDEX('MiT Strom Pipeline'!$O$1:$O$860,$U26),IF(INDEX('MiT Strom Pipeline'!$H$1:$H$860,$U26)="","",INDEX('MiT Strom Pipeline'!$H$1:$H$860,$U26))))</f>
        <v/>
      </c>
      <c r="F26" s="129" t="str">
        <f aca="false">IF($U26="","",IF(INDEX('MiT Strom Pipeline'!$E$1:$E$860,$U26)="","",INDEX('MiT Strom Pipeline'!$E$1:$E$860,$U26)))</f>
        <v/>
      </c>
      <c r="G26" s="132" t="str">
        <f aca="false">IF($U26="","",IF(ISNUMBER(INDEX('MiT Strom Pipeline'!$I$1:$I$860,$U26)),INDEX('MiT Strom Pipeline'!$I$1:$I$860,$U26),0))</f>
        <v/>
      </c>
      <c r="H26" s="132" t="str">
        <f aca="false">IF($U26="","",IF(ISNUMBER(INDEX('MiT Strom Pipeline'!$Q$1:$Q$860,$U26)),INDEX('MiT Strom Pipeline'!$Q$1:$Q$860,$U26),0))</f>
        <v/>
      </c>
      <c r="I26" s="130" t="str">
        <f aca="false">IF($U26="","",INDEX('MiT Strom Pipeline'!$R$1:$R$860,$U26))</f>
        <v/>
      </c>
      <c r="J26" s="133" t="str">
        <f aca="false">IF($U26="","",IF(ISNUMBER(INDEX('MiT Strom Pipeline'!$S$1:$S$860,$U26)),INDEX('MiT Strom Pipeline'!$S$1:$S$860,$U26),""))</f>
        <v/>
      </c>
      <c r="K26" s="129" t="str">
        <f aca="false">IF($U26="","",IF(LEN(INDEX('MiT Strom Pipeline'!$V$1:$V$860,$U26))&gt;0,LEFT(INDEX('MiT Strom Pipeline'!$V$1:$V$860,$U26),55),""))</f>
        <v/>
      </c>
      <c r="L26" s="112"/>
      <c r="M26" s="112"/>
      <c r="N26" s="112"/>
      <c r="O26" s="112"/>
      <c r="P26" s="112"/>
      <c r="Q26" s="112"/>
      <c r="R26" s="112"/>
      <c r="S26" s="112"/>
      <c r="U26" s="1" t="str">
        <f aca="false">IFERROR(MATCH(16,'MiT Strom Pipeline'!$AM$6:$AM$860,0)+5,"")</f>
        <v/>
      </c>
    </row>
    <row r="27" customFormat="false" ht="15.75" hidden="false" customHeight="true" outlineLevel="0" collapsed="false">
      <c r="A27" s="128" t="str">
        <f aca="false">IF($U27="","",IF(ISNUMBER(INDEX('MiT Strom Pipeline'!$A$1:$A$860,$U27)),INDEX('MiT Strom Pipeline'!$A$1:$A$860,$U27),""))</f>
        <v/>
      </c>
      <c r="B27" s="129" t="str">
        <f aca="false">IF($U27="","",IF(INDEX('MiT Strom Pipeline'!$B$1:$B$860,$U27)="","",INDEX('MiT Strom Pipeline'!$B$1:$B$860,$U27)))</f>
        <v/>
      </c>
      <c r="C27" s="130" t="str">
        <f aca="false">IF($U27="","",IF(INDEX('MiT Strom Pipeline'!$C$1:$C$860,$U27)="","",INDEX('MiT Strom Pipeline'!$C$1:$C$860,$U27)))</f>
        <v/>
      </c>
      <c r="D27" s="129" t="str">
        <f aca="false">IF($U27="","",IF(INDEX('MiT Strom Pipeline'!$D$1:$D$860,$U27)="","",INDEX('MiT Strom Pipeline'!$D$1:$D$860,$U27)))</f>
        <v/>
      </c>
      <c r="E27" s="131" t="str">
        <f aca="false">IF($U27="","",IF(ISNUMBER(INDEX('MiT Strom Pipeline'!$O$1:$O$860,$U27)),INDEX('MiT Strom Pipeline'!$O$1:$O$860,$U27),IF(INDEX('MiT Strom Pipeline'!$H$1:$H$860,$U27)="","",INDEX('MiT Strom Pipeline'!$H$1:$H$860,$U27))))</f>
        <v/>
      </c>
      <c r="F27" s="129" t="str">
        <f aca="false">IF($U27="","",IF(INDEX('MiT Strom Pipeline'!$E$1:$E$860,$U27)="","",INDEX('MiT Strom Pipeline'!$E$1:$E$860,$U27)))</f>
        <v/>
      </c>
      <c r="G27" s="132" t="str">
        <f aca="false">IF($U27="","",IF(ISNUMBER(INDEX('MiT Strom Pipeline'!$I$1:$I$860,$U27)),INDEX('MiT Strom Pipeline'!$I$1:$I$860,$U27),0))</f>
        <v/>
      </c>
      <c r="H27" s="132" t="str">
        <f aca="false">IF($U27="","",IF(ISNUMBER(INDEX('MiT Strom Pipeline'!$Q$1:$Q$860,$U27)),INDEX('MiT Strom Pipeline'!$Q$1:$Q$860,$U27),0))</f>
        <v/>
      </c>
      <c r="I27" s="130" t="str">
        <f aca="false">IF($U27="","",INDEX('MiT Strom Pipeline'!$R$1:$R$860,$U27))</f>
        <v/>
      </c>
      <c r="J27" s="133" t="str">
        <f aca="false">IF($U27="","",IF(ISNUMBER(INDEX('MiT Strom Pipeline'!$S$1:$S$860,$U27)),INDEX('MiT Strom Pipeline'!$S$1:$S$860,$U27),""))</f>
        <v/>
      </c>
      <c r="K27" s="129" t="str">
        <f aca="false">IF($U27="","",IF(LEN(INDEX('MiT Strom Pipeline'!$V$1:$V$860,$U27))&gt;0,LEFT(INDEX('MiT Strom Pipeline'!$V$1:$V$860,$U27),55),""))</f>
        <v/>
      </c>
      <c r="L27" s="112"/>
      <c r="M27" s="112"/>
      <c r="N27" s="112"/>
      <c r="O27" s="112"/>
      <c r="P27" s="112"/>
      <c r="Q27" s="112"/>
      <c r="R27" s="112"/>
      <c r="S27" s="112"/>
      <c r="U27" s="1" t="str">
        <f aca="false">IFERROR(MATCH(17,'MiT Strom Pipeline'!$AM$6:$AM$860,0)+5,"")</f>
        <v/>
      </c>
    </row>
    <row r="28" customFormat="false" ht="15.75" hidden="false" customHeight="true" outlineLevel="0" collapsed="false">
      <c r="A28" s="128" t="str">
        <f aca="false">IF($U28="","",IF(ISNUMBER(INDEX('MiT Strom Pipeline'!$A$1:$A$860,$U28)),INDEX('MiT Strom Pipeline'!$A$1:$A$860,$U28),""))</f>
        <v/>
      </c>
      <c r="B28" s="129" t="str">
        <f aca="false">IF($U28="","",IF(INDEX('MiT Strom Pipeline'!$B$1:$B$860,$U28)="","",INDEX('MiT Strom Pipeline'!$B$1:$B$860,$U28)))</f>
        <v/>
      </c>
      <c r="C28" s="130" t="str">
        <f aca="false">IF($U28="","",IF(INDEX('MiT Strom Pipeline'!$C$1:$C$860,$U28)="","",INDEX('MiT Strom Pipeline'!$C$1:$C$860,$U28)))</f>
        <v/>
      </c>
      <c r="D28" s="129" t="str">
        <f aca="false">IF($U28="","",IF(INDEX('MiT Strom Pipeline'!$D$1:$D$860,$U28)="","",INDEX('MiT Strom Pipeline'!$D$1:$D$860,$U28)))</f>
        <v/>
      </c>
      <c r="E28" s="131" t="str">
        <f aca="false">IF($U28="","",IF(ISNUMBER(INDEX('MiT Strom Pipeline'!$O$1:$O$860,$U28)),INDEX('MiT Strom Pipeline'!$O$1:$O$860,$U28),IF(INDEX('MiT Strom Pipeline'!$H$1:$H$860,$U28)="","",INDEX('MiT Strom Pipeline'!$H$1:$H$860,$U28))))</f>
        <v/>
      </c>
      <c r="F28" s="129" t="str">
        <f aca="false">IF($U28="","",IF(INDEX('MiT Strom Pipeline'!$E$1:$E$860,$U28)="","",INDEX('MiT Strom Pipeline'!$E$1:$E$860,$U28)))</f>
        <v/>
      </c>
      <c r="G28" s="132" t="str">
        <f aca="false">IF($U28="","",IF(ISNUMBER(INDEX('MiT Strom Pipeline'!$I$1:$I$860,$U28)),INDEX('MiT Strom Pipeline'!$I$1:$I$860,$U28),0))</f>
        <v/>
      </c>
      <c r="H28" s="132" t="str">
        <f aca="false">IF($U28="","",IF(ISNUMBER(INDEX('MiT Strom Pipeline'!$Q$1:$Q$860,$U28)),INDEX('MiT Strom Pipeline'!$Q$1:$Q$860,$U28),0))</f>
        <v/>
      </c>
      <c r="I28" s="130" t="str">
        <f aca="false">IF($U28="","",INDEX('MiT Strom Pipeline'!$R$1:$R$860,$U28))</f>
        <v/>
      </c>
      <c r="J28" s="133" t="str">
        <f aca="false">IF($U28="","",IF(ISNUMBER(INDEX('MiT Strom Pipeline'!$S$1:$S$860,$U28)),INDEX('MiT Strom Pipeline'!$S$1:$S$860,$U28),""))</f>
        <v/>
      </c>
      <c r="K28" s="129" t="str">
        <f aca="false">IF($U28="","",IF(LEN(INDEX('MiT Strom Pipeline'!$V$1:$V$860,$U28))&gt;0,LEFT(INDEX('MiT Strom Pipeline'!$V$1:$V$860,$U28),55),""))</f>
        <v/>
      </c>
      <c r="L28" s="112"/>
      <c r="M28" s="112"/>
      <c r="N28" s="112"/>
      <c r="O28" s="112"/>
      <c r="P28" s="112"/>
      <c r="Q28" s="112"/>
      <c r="R28" s="112"/>
      <c r="S28" s="112"/>
      <c r="U28" s="1" t="str">
        <f aca="false">IFERROR(MATCH(18,'MiT Strom Pipeline'!$AM$6:$AM$860,0)+5,"")</f>
        <v/>
      </c>
    </row>
    <row r="29" customFormat="false" ht="15.75" hidden="false" customHeight="true" outlineLevel="0" collapsed="false">
      <c r="A29" s="128" t="str">
        <f aca="false">IF($U29="","",IF(ISNUMBER(INDEX('MiT Strom Pipeline'!$A$1:$A$860,$U29)),INDEX('MiT Strom Pipeline'!$A$1:$A$860,$U29),""))</f>
        <v/>
      </c>
      <c r="B29" s="129" t="str">
        <f aca="false">IF($U29="","",IF(INDEX('MiT Strom Pipeline'!$B$1:$B$860,$U29)="","",INDEX('MiT Strom Pipeline'!$B$1:$B$860,$U29)))</f>
        <v/>
      </c>
      <c r="C29" s="130" t="str">
        <f aca="false">IF($U29="","",IF(INDEX('MiT Strom Pipeline'!$C$1:$C$860,$U29)="","",INDEX('MiT Strom Pipeline'!$C$1:$C$860,$U29)))</f>
        <v/>
      </c>
      <c r="D29" s="129" t="str">
        <f aca="false">IF($U29="","",IF(INDEX('MiT Strom Pipeline'!$D$1:$D$860,$U29)="","",INDEX('MiT Strom Pipeline'!$D$1:$D$860,$U29)))</f>
        <v/>
      </c>
      <c r="E29" s="131" t="str">
        <f aca="false">IF($U29="","",IF(ISNUMBER(INDEX('MiT Strom Pipeline'!$O$1:$O$860,$U29)),INDEX('MiT Strom Pipeline'!$O$1:$O$860,$U29),IF(INDEX('MiT Strom Pipeline'!$H$1:$H$860,$U29)="","",INDEX('MiT Strom Pipeline'!$H$1:$H$860,$U29))))</f>
        <v/>
      </c>
      <c r="F29" s="129" t="str">
        <f aca="false">IF($U29="","",IF(INDEX('MiT Strom Pipeline'!$E$1:$E$860,$U29)="","",INDEX('MiT Strom Pipeline'!$E$1:$E$860,$U29)))</f>
        <v/>
      </c>
      <c r="G29" s="132" t="str">
        <f aca="false">IF($U29="","",IF(ISNUMBER(INDEX('MiT Strom Pipeline'!$I$1:$I$860,$U29)),INDEX('MiT Strom Pipeline'!$I$1:$I$860,$U29),0))</f>
        <v/>
      </c>
      <c r="H29" s="132" t="str">
        <f aca="false">IF($U29="","",IF(ISNUMBER(INDEX('MiT Strom Pipeline'!$Q$1:$Q$860,$U29)),INDEX('MiT Strom Pipeline'!$Q$1:$Q$860,$U29),0))</f>
        <v/>
      </c>
      <c r="I29" s="130" t="str">
        <f aca="false">IF($U29="","",INDEX('MiT Strom Pipeline'!$R$1:$R$860,$U29))</f>
        <v/>
      </c>
      <c r="J29" s="133" t="str">
        <f aca="false">IF($U29="","",IF(ISNUMBER(INDEX('MiT Strom Pipeline'!$S$1:$S$860,$U29)),INDEX('MiT Strom Pipeline'!$S$1:$S$860,$U29),""))</f>
        <v/>
      </c>
      <c r="K29" s="129" t="str">
        <f aca="false">IF($U29="","",IF(LEN(INDEX('MiT Strom Pipeline'!$V$1:$V$860,$U29))&gt;0,LEFT(INDEX('MiT Strom Pipeline'!$V$1:$V$860,$U29),55),""))</f>
        <v/>
      </c>
      <c r="L29" s="112"/>
      <c r="M29" s="112"/>
      <c r="N29" s="112"/>
      <c r="O29" s="112"/>
      <c r="P29" s="112"/>
      <c r="Q29" s="112"/>
      <c r="R29" s="112"/>
      <c r="S29" s="112"/>
      <c r="U29" s="1" t="str">
        <f aca="false">IFERROR(MATCH(19,'MiT Strom Pipeline'!$AM$6:$AM$860,0)+5,"")</f>
        <v/>
      </c>
    </row>
    <row r="30" customFormat="false" ht="15.75" hidden="false" customHeight="true" outlineLevel="0" collapsed="false">
      <c r="A30" s="128" t="str">
        <f aca="false">IF($U30="","",IF(ISNUMBER(INDEX('MiT Strom Pipeline'!$A$1:$A$860,$U30)),INDEX('MiT Strom Pipeline'!$A$1:$A$860,$U30),""))</f>
        <v/>
      </c>
      <c r="B30" s="129" t="str">
        <f aca="false">IF($U30="","",IF(INDEX('MiT Strom Pipeline'!$B$1:$B$860,$U30)="","",INDEX('MiT Strom Pipeline'!$B$1:$B$860,$U30)))</f>
        <v/>
      </c>
      <c r="C30" s="130" t="str">
        <f aca="false">IF($U30="","",IF(INDEX('MiT Strom Pipeline'!$C$1:$C$860,$U30)="","",INDEX('MiT Strom Pipeline'!$C$1:$C$860,$U30)))</f>
        <v/>
      </c>
      <c r="D30" s="129" t="str">
        <f aca="false">IF($U30="","",IF(INDEX('MiT Strom Pipeline'!$D$1:$D$860,$U30)="","",INDEX('MiT Strom Pipeline'!$D$1:$D$860,$U30)))</f>
        <v/>
      </c>
      <c r="E30" s="131" t="str">
        <f aca="false">IF($U30="","",IF(ISNUMBER(INDEX('MiT Strom Pipeline'!$O$1:$O$860,$U30)),INDEX('MiT Strom Pipeline'!$O$1:$O$860,$U30),IF(INDEX('MiT Strom Pipeline'!$H$1:$H$860,$U30)="","",INDEX('MiT Strom Pipeline'!$H$1:$H$860,$U30))))</f>
        <v/>
      </c>
      <c r="F30" s="129" t="str">
        <f aca="false">IF($U30="","",IF(INDEX('MiT Strom Pipeline'!$E$1:$E$860,$U30)="","",INDEX('MiT Strom Pipeline'!$E$1:$E$860,$U30)))</f>
        <v/>
      </c>
      <c r="G30" s="132" t="str">
        <f aca="false">IF($U30="","",IF(ISNUMBER(INDEX('MiT Strom Pipeline'!$I$1:$I$860,$U30)),INDEX('MiT Strom Pipeline'!$I$1:$I$860,$U30),0))</f>
        <v/>
      </c>
      <c r="H30" s="132" t="str">
        <f aca="false">IF($U30="","",IF(ISNUMBER(INDEX('MiT Strom Pipeline'!$Q$1:$Q$860,$U30)),INDEX('MiT Strom Pipeline'!$Q$1:$Q$860,$U30),0))</f>
        <v/>
      </c>
      <c r="I30" s="130" t="str">
        <f aca="false">IF($U30="","",INDEX('MiT Strom Pipeline'!$R$1:$R$860,$U30))</f>
        <v/>
      </c>
      <c r="J30" s="133" t="str">
        <f aca="false">IF($U30="","",IF(ISNUMBER(INDEX('MiT Strom Pipeline'!$S$1:$S$860,$U30)),INDEX('MiT Strom Pipeline'!$S$1:$S$860,$U30),""))</f>
        <v/>
      </c>
      <c r="K30" s="129" t="str">
        <f aca="false">IF($U30="","",IF(LEN(INDEX('MiT Strom Pipeline'!$V$1:$V$860,$U30))&gt;0,LEFT(INDEX('MiT Strom Pipeline'!$V$1:$V$860,$U30),55),""))</f>
        <v/>
      </c>
      <c r="L30" s="112"/>
      <c r="M30" s="112"/>
      <c r="N30" s="112"/>
      <c r="O30" s="112"/>
      <c r="P30" s="112"/>
      <c r="Q30" s="112"/>
      <c r="R30" s="112"/>
      <c r="S30" s="112"/>
      <c r="U30" s="1" t="str">
        <f aca="false">IFERROR(MATCH(20,'MiT Strom Pipeline'!$AM$6:$AM$860,0)+5,"")</f>
        <v/>
      </c>
    </row>
    <row r="31" customFormat="false" ht="15.75" hidden="false" customHeight="true" outlineLevel="0" collapsed="false">
      <c r="A31" s="128" t="str">
        <f aca="false">IF($U31="","",IF(ISNUMBER(INDEX('MiT Strom Pipeline'!$A$1:$A$860,$U31)),INDEX('MiT Strom Pipeline'!$A$1:$A$860,$U31),""))</f>
        <v/>
      </c>
      <c r="B31" s="129" t="str">
        <f aca="false">IF($U31="","",IF(INDEX('MiT Strom Pipeline'!$B$1:$B$860,$U31)="","",INDEX('MiT Strom Pipeline'!$B$1:$B$860,$U31)))</f>
        <v/>
      </c>
      <c r="C31" s="130" t="str">
        <f aca="false">IF($U31="","",IF(INDEX('MiT Strom Pipeline'!$C$1:$C$860,$U31)="","",INDEX('MiT Strom Pipeline'!$C$1:$C$860,$U31)))</f>
        <v/>
      </c>
      <c r="D31" s="129" t="str">
        <f aca="false">IF($U31="","",IF(INDEX('MiT Strom Pipeline'!$D$1:$D$860,$U31)="","",INDEX('MiT Strom Pipeline'!$D$1:$D$860,$U31)))</f>
        <v/>
      </c>
      <c r="E31" s="131" t="str">
        <f aca="false">IF($U31="","",IF(ISNUMBER(INDEX('MiT Strom Pipeline'!$O$1:$O$860,$U31)),INDEX('MiT Strom Pipeline'!$O$1:$O$860,$U31),IF(INDEX('MiT Strom Pipeline'!$H$1:$H$860,$U31)="","",INDEX('MiT Strom Pipeline'!$H$1:$H$860,$U31))))</f>
        <v/>
      </c>
      <c r="F31" s="129" t="str">
        <f aca="false">IF($U31="","",IF(INDEX('MiT Strom Pipeline'!$E$1:$E$860,$U31)="","",INDEX('MiT Strom Pipeline'!$E$1:$E$860,$U31)))</f>
        <v/>
      </c>
      <c r="G31" s="132" t="str">
        <f aca="false">IF($U31="","",IF(ISNUMBER(INDEX('MiT Strom Pipeline'!$I$1:$I$860,$U31)),INDEX('MiT Strom Pipeline'!$I$1:$I$860,$U31),0))</f>
        <v/>
      </c>
      <c r="H31" s="132" t="str">
        <f aca="false">IF($U31="","",IF(ISNUMBER(INDEX('MiT Strom Pipeline'!$Q$1:$Q$860,$U31)),INDEX('MiT Strom Pipeline'!$Q$1:$Q$860,$U31),0))</f>
        <v/>
      </c>
      <c r="I31" s="130" t="str">
        <f aca="false">IF($U31="","",INDEX('MiT Strom Pipeline'!$R$1:$R$860,$U31))</f>
        <v/>
      </c>
      <c r="J31" s="133" t="str">
        <f aca="false">IF($U31="","",IF(ISNUMBER(INDEX('MiT Strom Pipeline'!$S$1:$S$860,$U31)),INDEX('MiT Strom Pipeline'!$S$1:$S$860,$U31),""))</f>
        <v/>
      </c>
      <c r="K31" s="129" t="str">
        <f aca="false">IF($U31="","",IF(LEN(INDEX('MiT Strom Pipeline'!$V$1:$V$860,$U31))&gt;0,LEFT(INDEX('MiT Strom Pipeline'!$V$1:$V$860,$U31),55),""))</f>
        <v/>
      </c>
      <c r="L31" s="112"/>
      <c r="M31" s="112"/>
      <c r="N31" s="112"/>
      <c r="O31" s="112"/>
      <c r="P31" s="112"/>
      <c r="Q31" s="112"/>
      <c r="R31" s="112"/>
      <c r="S31" s="112"/>
      <c r="U31" s="1" t="str">
        <f aca="false">IFERROR(MATCH(21,'MiT Strom Pipeline'!$AM$6:$AM$860,0)+5,"")</f>
        <v/>
      </c>
    </row>
    <row r="32" customFormat="false" ht="23.25" hidden="false" customHeight="true" outlineLevel="0" collapsed="false">
      <c r="A32" s="128" t="str">
        <f aca="false">IF($U32="","",IF(ISNUMBER(INDEX('MiT Strom Pipeline'!$A$1:$A$860,$U32)),INDEX('MiT Strom Pipeline'!$A$1:$A$860,$U32),""))</f>
        <v/>
      </c>
      <c r="B32" s="129" t="str">
        <f aca="false">IF($U32="","",IF(INDEX('MiT Strom Pipeline'!$B$1:$B$860,$U32)="","",INDEX('MiT Strom Pipeline'!$B$1:$B$860,$U32)))</f>
        <v/>
      </c>
      <c r="C32" s="130" t="str">
        <f aca="false">IF($U32="","",IF(INDEX('MiT Strom Pipeline'!$C$1:$C$860,$U32)="","",INDEX('MiT Strom Pipeline'!$C$1:$C$860,$U32)))</f>
        <v/>
      </c>
      <c r="D32" s="129" t="str">
        <f aca="false">IF($U32="","",IF(INDEX('MiT Strom Pipeline'!$D$1:$D$860,$U32)="","",INDEX('MiT Strom Pipeline'!$D$1:$D$860,$U32)))</f>
        <v/>
      </c>
      <c r="E32" s="131" t="str">
        <f aca="false">IF($U32="","",IF(ISNUMBER(INDEX('MiT Strom Pipeline'!$O$1:$O$860,$U32)),INDEX('MiT Strom Pipeline'!$O$1:$O$860,$U32),IF(INDEX('MiT Strom Pipeline'!$H$1:$H$860,$U32)="","",INDEX('MiT Strom Pipeline'!$H$1:$H$860,$U32))))</f>
        <v/>
      </c>
      <c r="F32" s="129" t="str">
        <f aca="false">IF($U32="","",IF(INDEX('MiT Strom Pipeline'!$E$1:$E$860,$U32)="","",INDEX('MiT Strom Pipeline'!$E$1:$E$860,$U32)))</f>
        <v/>
      </c>
      <c r="G32" s="132" t="str">
        <f aca="false">IF($U32="","",IF(ISNUMBER(INDEX('MiT Strom Pipeline'!$I$1:$I$860,$U32)),INDEX('MiT Strom Pipeline'!$I$1:$I$860,$U32),0))</f>
        <v/>
      </c>
      <c r="H32" s="132" t="str">
        <f aca="false">IF($U32="","",IF(ISNUMBER(INDEX('MiT Strom Pipeline'!$Q$1:$Q$860,$U32)),INDEX('MiT Strom Pipeline'!$Q$1:$Q$860,$U32),0))</f>
        <v/>
      </c>
      <c r="I32" s="130" t="str">
        <f aca="false">IF($U32="","",INDEX('MiT Strom Pipeline'!$R$1:$R$860,$U32))</f>
        <v/>
      </c>
      <c r="J32" s="133" t="str">
        <f aca="false">IF($U32="","",IF(ISNUMBER(INDEX('MiT Strom Pipeline'!$S$1:$S$860,$U32)),INDEX('MiT Strom Pipeline'!$S$1:$S$860,$U32),""))</f>
        <v/>
      </c>
      <c r="K32" s="129" t="str">
        <f aca="false">IF($U32="","",IF(LEN(INDEX('MiT Strom Pipeline'!$V$1:$V$860,$U32))&gt;0,LEFT(INDEX('MiT Strom Pipeline'!$V$1:$V$860,$U32),55),""))</f>
        <v/>
      </c>
      <c r="L32" s="112"/>
      <c r="M32" s="112"/>
      <c r="N32" s="112"/>
      <c r="O32" s="112"/>
      <c r="P32" s="112"/>
      <c r="Q32" s="112"/>
      <c r="R32" s="112"/>
      <c r="S32" s="112"/>
      <c r="U32" s="1" t="str">
        <f aca="false">IFERROR(MATCH(22,'MiT Strom Pipeline'!$AM$6:$AM$860,0)+5,"")</f>
        <v/>
      </c>
    </row>
    <row r="33" customFormat="false" ht="15.75" hidden="false" customHeight="true" outlineLevel="0" collapsed="false">
      <c r="A33" s="128" t="str">
        <f aca="false">IF($U33="","",IF(ISNUMBER(INDEX('MiT Strom Pipeline'!$A$1:$A$860,$U33)),INDEX('MiT Strom Pipeline'!$A$1:$A$860,$U33),""))</f>
        <v/>
      </c>
      <c r="B33" s="129" t="str">
        <f aca="false">IF($U33="","",IF(INDEX('MiT Strom Pipeline'!$B$1:$B$860,$U33)="","",INDEX('MiT Strom Pipeline'!$B$1:$B$860,$U33)))</f>
        <v/>
      </c>
      <c r="C33" s="130" t="str">
        <f aca="false">IF($U33="","",IF(INDEX('MiT Strom Pipeline'!$C$1:$C$860,$U33)="","",INDEX('MiT Strom Pipeline'!$C$1:$C$860,$U33)))</f>
        <v/>
      </c>
      <c r="D33" s="129" t="str">
        <f aca="false">IF($U33="","",IF(INDEX('MiT Strom Pipeline'!$D$1:$D$860,$U33)="","",INDEX('MiT Strom Pipeline'!$D$1:$D$860,$U33)))</f>
        <v/>
      </c>
      <c r="E33" s="131" t="str">
        <f aca="false">IF($U33="","",IF(ISNUMBER(INDEX('MiT Strom Pipeline'!$O$1:$O$860,$U33)),INDEX('MiT Strom Pipeline'!$O$1:$O$860,$U33),IF(INDEX('MiT Strom Pipeline'!$H$1:$H$860,$U33)="","",INDEX('MiT Strom Pipeline'!$H$1:$H$860,$U33))))</f>
        <v/>
      </c>
      <c r="F33" s="129" t="str">
        <f aca="false">IF($U33="","",IF(INDEX('MiT Strom Pipeline'!$E$1:$E$860,$U33)="","",INDEX('MiT Strom Pipeline'!$E$1:$E$860,$U33)))</f>
        <v/>
      </c>
      <c r="G33" s="132" t="str">
        <f aca="false">IF($U33="","",IF(ISNUMBER(INDEX('MiT Strom Pipeline'!$I$1:$I$860,$U33)),INDEX('MiT Strom Pipeline'!$I$1:$I$860,$U33),0))</f>
        <v/>
      </c>
      <c r="H33" s="132" t="str">
        <f aca="false">IF($U33="","",IF(ISNUMBER(INDEX('MiT Strom Pipeline'!$Q$1:$Q$860,$U33)),INDEX('MiT Strom Pipeline'!$Q$1:$Q$860,$U33),0))</f>
        <v/>
      </c>
      <c r="I33" s="130" t="str">
        <f aca="false">IF($U33="","",INDEX('MiT Strom Pipeline'!$R$1:$R$860,$U33))</f>
        <v/>
      </c>
      <c r="J33" s="133" t="str">
        <f aca="false">IF($U33="","",IF(ISNUMBER(INDEX('MiT Strom Pipeline'!$S$1:$S$860,$U33)),INDEX('MiT Strom Pipeline'!$S$1:$S$860,$U33),""))</f>
        <v/>
      </c>
      <c r="K33" s="129" t="str">
        <f aca="false">IF($U33="","",IF(LEN(INDEX('MiT Strom Pipeline'!$V$1:$V$860,$U33))&gt;0,LEFT(INDEX('MiT Strom Pipeline'!$V$1:$V$860,$U33),55),""))</f>
        <v/>
      </c>
      <c r="L33" s="112"/>
      <c r="M33" s="112"/>
      <c r="N33" s="112"/>
      <c r="O33" s="112"/>
      <c r="P33" s="112"/>
      <c r="Q33" s="112"/>
      <c r="R33" s="112"/>
      <c r="S33" s="112"/>
      <c r="U33" s="1" t="str">
        <f aca="false">IFERROR(MATCH(23,'MiT Strom Pipeline'!$AM$6:$AM$860,0)+5,"")</f>
        <v/>
      </c>
    </row>
    <row r="34" customFormat="false" ht="15.75" hidden="false" customHeight="true" outlineLevel="0" collapsed="false">
      <c r="A34" s="128" t="str">
        <f aca="false">IF($U34="","",IF(ISNUMBER(INDEX('MiT Strom Pipeline'!$A$1:$A$860,$U34)),INDEX('MiT Strom Pipeline'!$A$1:$A$860,$U34),""))</f>
        <v/>
      </c>
      <c r="B34" s="129" t="str">
        <f aca="false">IF($U34="","",IF(INDEX('MiT Strom Pipeline'!$B$1:$B$860,$U34)="","",INDEX('MiT Strom Pipeline'!$B$1:$B$860,$U34)))</f>
        <v/>
      </c>
      <c r="C34" s="130" t="str">
        <f aca="false">IF($U34="","",IF(INDEX('MiT Strom Pipeline'!$C$1:$C$860,$U34)="","",INDEX('MiT Strom Pipeline'!$C$1:$C$860,$U34)))</f>
        <v/>
      </c>
      <c r="D34" s="129" t="str">
        <f aca="false">IF($U34="","",IF(INDEX('MiT Strom Pipeline'!$D$1:$D$860,$U34)="","",INDEX('MiT Strom Pipeline'!$D$1:$D$860,$U34)))</f>
        <v/>
      </c>
      <c r="E34" s="131" t="str">
        <f aca="false">IF($U34="","",IF(ISNUMBER(INDEX('MiT Strom Pipeline'!$O$1:$O$860,$U34)),INDEX('MiT Strom Pipeline'!$O$1:$O$860,$U34),IF(INDEX('MiT Strom Pipeline'!$H$1:$H$860,$U34)="","",INDEX('MiT Strom Pipeline'!$H$1:$H$860,$U34))))</f>
        <v/>
      </c>
      <c r="F34" s="129" t="str">
        <f aca="false">IF($U34="","",IF(INDEX('MiT Strom Pipeline'!$E$1:$E$860,$U34)="","",INDEX('MiT Strom Pipeline'!$E$1:$E$860,$U34)))</f>
        <v/>
      </c>
      <c r="G34" s="132" t="str">
        <f aca="false">IF($U34="","",IF(ISNUMBER(INDEX('MiT Strom Pipeline'!$I$1:$I$860,$U34)),INDEX('MiT Strom Pipeline'!$I$1:$I$860,$U34),0))</f>
        <v/>
      </c>
      <c r="H34" s="132" t="str">
        <f aca="false">IF($U34="","",IF(ISNUMBER(INDEX('MiT Strom Pipeline'!$Q$1:$Q$860,$U34)),INDEX('MiT Strom Pipeline'!$Q$1:$Q$860,$U34),0))</f>
        <v/>
      </c>
      <c r="I34" s="130" t="str">
        <f aca="false">IF($U34="","",INDEX('MiT Strom Pipeline'!$R$1:$R$860,$U34))</f>
        <v/>
      </c>
      <c r="J34" s="133" t="str">
        <f aca="false">IF($U34="","",IF(ISNUMBER(INDEX('MiT Strom Pipeline'!$S$1:$S$860,$U34)),INDEX('MiT Strom Pipeline'!$S$1:$S$860,$U34),""))</f>
        <v/>
      </c>
      <c r="K34" s="129" t="str">
        <f aca="false">IF($U34="","",IF(LEN(INDEX('MiT Strom Pipeline'!$V$1:$V$860,$U34))&gt;0,LEFT(INDEX('MiT Strom Pipeline'!$V$1:$V$860,$U34),55),""))</f>
        <v/>
      </c>
      <c r="L34" s="112"/>
      <c r="M34" s="112"/>
      <c r="N34" s="112"/>
      <c r="O34" s="112"/>
      <c r="P34" s="112"/>
      <c r="Q34" s="112"/>
      <c r="R34" s="112"/>
      <c r="S34" s="112"/>
      <c r="U34" s="1" t="str">
        <f aca="false">IFERROR(MATCH(24,'MiT Strom Pipeline'!$AM$6:$AM$860,0)+5,"")</f>
        <v/>
      </c>
    </row>
    <row r="35" customFormat="false" ht="15.75" hidden="false" customHeight="true" outlineLevel="0" collapsed="false">
      <c r="A35" s="128" t="str">
        <f aca="false">IF($U35="","",IF(ISNUMBER(INDEX('MiT Strom Pipeline'!$A$1:$A$860,$U35)),INDEX('MiT Strom Pipeline'!$A$1:$A$860,$U35),""))</f>
        <v/>
      </c>
      <c r="B35" s="129" t="str">
        <f aca="false">IF($U35="","",IF(INDEX('MiT Strom Pipeline'!$B$1:$B$860,$U35)="","",INDEX('MiT Strom Pipeline'!$B$1:$B$860,$U35)))</f>
        <v/>
      </c>
      <c r="C35" s="130" t="str">
        <f aca="false">IF($U35="","",IF(INDEX('MiT Strom Pipeline'!$C$1:$C$860,$U35)="","",INDEX('MiT Strom Pipeline'!$C$1:$C$860,$U35)))</f>
        <v/>
      </c>
      <c r="D35" s="129" t="str">
        <f aca="false">IF($U35="","",IF(INDEX('MiT Strom Pipeline'!$D$1:$D$860,$U35)="","",INDEX('MiT Strom Pipeline'!$D$1:$D$860,$U35)))</f>
        <v/>
      </c>
      <c r="E35" s="131" t="str">
        <f aca="false">IF($U35="","",IF(ISNUMBER(INDEX('MiT Strom Pipeline'!$O$1:$O$860,$U35)),INDEX('MiT Strom Pipeline'!$O$1:$O$860,$U35),IF(INDEX('MiT Strom Pipeline'!$H$1:$H$860,$U35)="","",INDEX('MiT Strom Pipeline'!$H$1:$H$860,$U35))))</f>
        <v/>
      </c>
      <c r="F35" s="129" t="str">
        <f aca="false">IF($U35="","",IF(INDEX('MiT Strom Pipeline'!$E$1:$E$860,$U35)="","",INDEX('MiT Strom Pipeline'!$E$1:$E$860,$U35)))</f>
        <v/>
      </c>
      <c r="G35" s="132" t="str">
        <f aca="false">IF($U35="","",IF(ISNUMBER(INDEX('MiT Strom Pipeline'!$I$1:$I$860,$U35)),INDEX('MiT Strom Pipeline'!$I$1:$I$860,$U35),0))</f>
        <v/>
      </c>
      <c r="H35" s="132" t="str">
        <f aca="false">IF($U35="","",IF(ISNUMBER(INDEX('MiT Strom Pipeline'!$Q$1:$Q$860,$U35)),INDEX('MiT Strom Pipeline'!$Q$1:$Q$860,$U35),0))</f>
        <v/>
      </c>
      <c r="I35" s="130" t="str">
        <f aca="false">IF($U35="","",INDEX('MiT Strom Pipeline'!$R$1:$R$860,$U35))</f>
        <v/>
      </c>
      <c r="J35" s="133" t="str">
        <f aca="false">IF($U35="","",IF(ISNUMBER(INDEX('MiT Strom Pipeline'!$S$1:$S$860,$U35)),INDEX('MiT Strom Pipeline'!$S$1:$S$860,$U35),""))</f>
        <v/>
      </c>
      <c r="K35" s="129" t="str">
        <f aca="false">IF($U35="","",IF(LEN(INDEX('MiT Strom Pipeline'!$V$1:$V$860,$U35))&gt;0,LEFT(INDEX('MiT Strom Pipeline'!$V$1:$V$860,$U35),55),""))</f>
        <v/>
      </c>
      <c r="L35" s="112"/>
      <c r="M35" s="112"/>
      <c r="N35" s="112"/>
      <c r="O35" s="112"/>
      <c r="P35" s="112"/>
      <c r="Q35" s="112"/>
      <c r="R35" s="112"/>
      <c r="S35" s="112"/>
      <c r="U35" s="1" t="str">
        <f aca="false">IFERROR(MATCH(25,'MiT Strom Pipeline'!$AM$6:$AM$860,0)+5,"")</f>
        <v/>
      </c>
    </row>
    <row r="36" customFormat="false" ht="15.75" hidden="false" customHeight="true" outlineLevel="0" collapsed="false">
      <c r="A36" s="128" t="str">
        <f aca="false">IF($U36="","",IF(ISNUMBER(INDEX('MiT Strom Pipeline'!$A$1:$A$860,$U36)),INDEX('MiT Strom Pipeline'!$A$1:$A$860,$U36),""))</f>
        <v/>
      </c>
      <c r="B36" s="129" t="str">
        <f aca="false">IF($U36="","",IF(INDEX('MiT Strom Pipeline'!$B$1:$B$860,$U36)="","",INDEX('MiT Strom Pipeline'!$B$1:$B$860,$U36)))</f>
        <v/>
      </c>
      <c r="C36" s="130" t="str">
        <f aca="false">IF($U36="","",IF(INDEX('MiT Strom Pipeline'!$C$1:$C$860,$U36)="","",INDEX('MiT Strom Pipeline'!$C$1:$C$860,$U36)))</f>
        <v/>
      </c>
      <c r="D36" s="129" t="str">
        <f aca="false">IF($U36="","",IF(INDEX('MiT Strom Pipeline'!$D$1:$D$860,$U36)="","",INDEX('MiT Strom Pipeline'!$D$1:$D$860,$U36)))</f>
        <v/>
      </c>
      <c r="E36" s="131" t="str">
        <f aca="false">IF($U36="","",IF(ISNUMBER(INDEX('MiT Strom Pipeline'!$O$1:$O$860,$U36)),INDEX('MiT Strom Pipeline'!$O$1:$O$860,$U36),IF(INDEX('MiT Strom Pipeline'!$H$1:$H$860,$U36)="","",INDEX('MiT Strom Pipeline'!$H$1:$H$860,$U36))))</f>
        <v/>
      </c>
      <c r="F36" s="129" t="str">
        <f aca="false">IF($U36="","",IF(INDEX('MiT Strom Pipeline'!$E$1:$E$860,$U36)="","",INDEX('MiT Strom Pipeline'!$E$1:$E$860,$U36)))</f>
        <v/>
      </c>
      <c r="G36" s="132" t="str">
        <f aca="false">IF($U36="","",IF(ISNUMBER(INDEX('MiT Strom Pipeline'!$I$1:$I$860,$U36)),INDEX('MiT Strom Pipeline'!$I$1:$I$860,$U36),0))</f>
        <v/>
      </c>
      <c r="H36" s="132" t="str">
        <f aca="false">IF($U36="","",IF(ISNUMBER(INDEX('MiT Strom Pipeline'!$Q$1:$Q$860,$U36)),INDEX('MiT Strom Pipeline'!$Q$1:$Q$860,$U36),0))</f>
        <v/>
      </c>
      <c r="I36" s="130" t="str">
        <f aca="false">IF($U36="","",INDEX('MiT Strom Pipeline'!$R$1:$R$860,$U36))</f>
        <v/>
      </c>
      <c r="J36" s="133" t="str">
        <f aca="false">IF($U36="","",IF(ISNUMBER(INDEX('MiT Strom Pipeline'!$S$1:$S$860,$U36)),INDEX('MiT Strom Pipeline'!$S$1:$S$860,$U36),""))</f>
        <v/>
      </c>
      <c r="K36" s="129" t="str">
        <f aca="false">IF($U36="","",IF(LEN(INDEX('MiT Strom Pipeline'!$V$1:$V$860,$U36))&gt;0,LEFT(INDEX('MiT Strom Pipeline'!$V$1:$V$860,$U36),55),""))</f>
        <v/>
      </c>
      <c r="L36" s="112"/>
      <c r="M36" s="112"/>
      <c r="N36" s="112"/>
      <c r="O36" s="112"/>
      <c r="P36" s="112"/>
      <c r="Q36" s="112"/>
      <c r="R36" s="112"/>
      <c r="S36" s="112"/>
      <c r="U36" s="1" t="str">
        <f aca="false">IFERROR(MATCH(26,'MiT Strom Pipeline'!$AM$6:$AM$860,0)+5,"")</f>
        <v/>
      </c>
    </row>
    <row r="37" customFormat="false" ht="15.75" hidden="false" customHeight="true" outlineLevel="0" collapsed="false">
      <c r="A37" s="128" t="str">
        <f aca="false">IF($U37="","",IF(ISNUMBER(INDEX('MiT Strom Pipeline'!$A$1:$A$860,$U37)),INDEX('MiT Strom Pipeline'!$A$1:$A$860,$U37),""))</f>
        <v/>
      </c>
      <c r="B37" s="129" t="str">
        <f aca="false">IF($U37="","",IF(INDEX('MiT Strom Pipeline'!$B$1:$B$860,$U37)="","",INDEX('MiT Strom Pipeline'!$B$1:$B$860,$U37)))</f>
        <v/>
      </c>
      <c r="C37" s="130" t="str">
        <f aca="false">IF($U37="","",IF(INDEX('MiT Strom Pipeline'!$C$1:$C$860,$U37)="","",INDEX('MiT Strom Pipeline'!$C$1:$C$860,$U37)))</f>
        <v/>
      </c>
      <c r="D37" s="129" t="str">
        <f aca="false">IF($U37="","",IF(INDEX('MiT Strom Pipeline'!$D$1:$D$860,$U37)="","",INDEX('MiT Strom Pipeline'!$D$1:$D$860,$U37)))</f>
        <v/>
      </c>
      <c r="E37" s="131" t="str">
        <f aca="false">IF($U37="","",IF(ISNUMBER(INDEX('MiT Strom Pipeline'!$O$1:$O$860,$U37)),INDEX('MiT Strom Pipeline'!$O$1:$O$860,$U37),IF(INDEX('MiT Strom Pipeline'!$H$1:$H$860,$U37)="","",INDEX('MiT Strom Pipeline'!$H$1:$H$860,$U37))))</f>
        <v/>
      </c>
      <c r="F37" s="129" t="str">
        <f aca="false">IF($U37="","",IF(INDEX('MiT Strom Pipeline'!$E$1:$E$860,$U37)="","",INDEX('MiT Strom Pipeline'!$E$1:$E$860,$U37)))</f>
        <v/>
      </c>
      <c r="G37" s="132" t="str">
        <f aca="false">IF($U37="","",IF(ISNUMBER(INDEX('MiT Strom Pipeline'!$I$1:$I$860,$U37)),INDEX('MiT Strom Pipeline'!$I$1:$I$860,$U37),0))</f>
        <v/>
      </c>
      <c r="H37" s="132" t="str">
        <f aca="false">IF($U37="","",IF(ISNUMBER(INDEX('MiT Strom Pipeline'!$Q$1:$Q$860,$U37)),INDEX('MiT Strom Pipeline'!$Q$1:$Q$860,$U37),0))</f>
        <v/>
      </c>
      <c r="I37" s="130" t="str">
        <f aca="false">IF($U37="","",INDEX('MiT Strom Pipeline'!$R$1:$R$860,$U37))</f>
        <v/>
      </c>
      <c r="J37" s="133" t="str">
        <f aca="false">IF($U37="","",IF(ISNUMBER(INDEX('MiT Strom Pipeline'!$S$1:$S$860,$U37)),INDEX('MiT Strom Pipeline'!$S$1:$S$860,$U37),""))</f>
        <v/>
      </c>
      <c r="K37" s="129" t="str">
        <f aca="false">IF($U37="","",IF(LEN(INDEX('MiT Strom Pipeline'!$V$1:$V$860,$U37))&gt;0,LEFT(INDEX('MiT Strom Pipeline'!$V$1:$V$860,$U37),55),""))</f>
        <v/>
      </c>
      <c r="L37" s="112"/>
      <c r="M37" s="112"/>
      <c r="N37" s="112"/>
      <c r="O37" s="112"/>
      <c r="P37" s="112"/>
      <c r="Q37" s="112"/>
      <c r="R37" s="112"/>
      <c r="S37" s="112"/>
      <c r="U37" s="1" t="str">
        <f aca="false">IFERROR(MATCH(27,'MiT Strom Pipeline'!$AM$6:$AM$860,0)+5,"")</f>
        <v/>
      </c>
    </row>
    <row r="38" customFormat="false" ht="15.75" hidden="false" customHeight="true" outlineLevel="0" collapsed="false">
      <c r="A38" s="128" t="str">
        <f aca="false">IF($U38="","",IF(ISNUMBER(INDEX('MiT Strom Pipeline'!$A$1:$A$860,$U38)),INDEX('MiT Strom Pipeline'!$A$1:$A$860,$U38),""))</f>
        <v/>
      </c>
      <c r="B38" s="129" t="str">
        <f aca="false">IF($U38="","",IF(INDEX('MiT Strom Pipeline'!$B$1:$B$860,$U38)="","",INDEX('MiT Strom Pipeline'!$B$1:$B$860,$U38)))</f>
        <v/>
      </c>
      <c r="C38" s="130" t="str">
        <f aca="false">IF($U38="","",IF(INDEX('MiT Strom Pipeline'!$C$1:$C$860,$U38)="","",INDEX('MiT Strom Pipeline'!$C$1:$C$860,$U38)))</f>
        <v/>
      </c>
      <c r="D38" s="129" t="str">
        <f aca="false">IF($U38="","",IF(INDEX('MiT Strom Pipeline'!$D$1:$D$860,$U38)="","",INDEX('MiT Strom Pipeline'!$D$1:$D$860,$U38)))</f>
        <v/>
      </c>
      <c r="E38" s="131" t="str">
        <f aca="false">IF($U38="","",IF(ISNUMBER(INDEX('MiT Strom Pipeline'!$O$1:$O$860,$U38)),INDEX('MiT Strom Pipeline'!$O$1:$O$860,$U38),IF(INDEX('MiT Strom Pipeline'!$H$1:$H$860,$U38)="","",INDEX('MiT Strom Pipeline'!$H$1:$H$860,$U38))))</f>
        <v/>
      </c>
      <c r="F38" s="129" t="str">
        <f aca="false">IF($U38="","",IF(INDEX('MiT Strom Pipeline'!$E$1:$E$860,$U38)="","",INDEX('MiT Strom Pipeline'!$E$1:$E$860,$U38)))</f>
        <v/>
      </c>
      <c r="G38" s="132" t="str">
        <f aca="false">IF($U38="","",IF(ISNUMBER(INDEX('MiT Strom Pipeline'!$I$1:$I$860,$U38)),INDEX('MiT Strom Pipeline'!$I$1:$I$860,$U38),0))</f>
        <v/>
      </c>
      <c r="H38" s="132" t="str">
        <f aca="false">IF($U38="","",IF(ISNUMBER(INDEX('MiT Strom Pipeline'!$Q$1:$Q$860,$U38)),INDEX('MiT Strom Pipeline'!$Q$1:$Q$860,$U38),0))</f>
        <v/>
      </c>
      <c r="I38" s="130" t="str">
        <f aca="false">IF($U38="","",INDEX('MiT Strom Pipeline'!$R$1:$R$860,$U38))</f>
        <v/>
      </c>
      <c r="J38" s="133" t="str">
        <f aca="false">IF($U38="","",IF(ISNUMBER(INDEX('MiT Strom Pipeline'!$S$1:$S$860,$U38)),INDEX('MiT Strom Pipeline'!$S$1:$S$860,$U38),""))</f>
        <v/>
      </c>
      <c r="K38" s="129" t="str">
        <f aca="false">IF($U38="","",IF(LEN(INDEX('MiT Strom Pipeline'!$V$1:$V$860,$U38))&gt;0,LEFT(INDEX('MiT Strom Pipeline'!$V$1:$V$860,$U38),55),""))</f>
        <v/>
      </c>
      <c r="L38" s="112"/>
      <c r="M38" s="112"/>
      <c r="N38" s="112"/>
      <c r="O38" s="112"/>
      <c r="P38" s="112"/>
      <c r="Q38" s="112"/>
      <c r="R38" s="112"/>
      <c r="S38" s="112"/>
      <c r="U38" s="1" t="str">
        <f aca="false">IFERROR(MATCH(28,'MiT Strom Pipeline'!$AM$6:$AM$860,0)+5,"")</f>
        <v/>
      </c>
    </row>
    <row r="39" customFormat="false" ht="15.75" hidden="false" customHeight="true" outlineLevel="0" collapsed="false">
      <c r="A39" s="128" t="str">
        <f aca="false">IF($U39="","",IF(ISNUMBER(INDEX('MiT Strom Pipeline'!$A$1:$A$860,$U39)),INDEX('MiT Strom Pipeline'!$A$1:$A$860,$U39),""))</f>
        <v/>
      </c>
      <c r="B39" s="129" t="str">
        <f aca="false">IF($U39="","",IF(INDEX('MiT Strom Pipeline'!$B$1:$B$860,$U39)="","",INDEX('MiT Strom Pipeline'!$B$1:$B$860,$U39)))</f>
        <v/>
      </c>
      <c r="C39" s="130" t="str">
        <f aca="false">IF($U39="","",IF(INDEX('MiT Strom Pipeline'!$C$1:$C$860,$U39)="","",INDEX('MiT Strom Pipeline'!$C$1:$C$860,$U39)))</f>
        <v/>
      </c>
      <c r="D39" s="129" t="str">
        <f aca="false">IF($U39="","",IF(INDEX('MiT Strom Pipeline'!$D$1:$D$860,$U39)="","",INDEX('MiT Strom Pipeline'!$D$1:$D$860,$U39)))</f>
        <v/>
      </c>
      <c r="E39" s="131" t="str">
        <f aca="false">IF($U39="","",IF(ISNUMBER(INDEX('MiT Strom Pipeline'!$O$1:$O$860,$U39)),INDEX('MiT Strom Pipeline'!$O$1:$O$860,$U39),IF(INDEX('MiT Strom Pipeline'!$H$1:$H$860,$U39)="","",INDEX('MiT Strom Pipeline'!$H$1:$H$860,$U39))))</f>
        <v/>
      </c>
      <c r="F39" s="129" t="str">
        <f aca="false">IF($U39="","",IF(INDEX('MiT Strom Pipeline'!$E$1:$E$860,$U39)="","",INDEX('MiT Strom Pipeline'!$E$1:$E$860,$U39)))</f>
        <v/>
      </c>
      <c r="G39" s="132" t="str">
        <f aca="false">IF($U39="","",IF(ISNUMBER(INDEX('MiT Strom Pipeline'!$I$1:$I$860,$U39)),INDEX('MiT Strom Pipeline'!$I$1:$I$860,$U39),0))</f>
        <v/>
      </c>
      <c r="H39" s="132" t="str">
        <f aca="false">IF($U39="","",IF(ISNUMBER(INDEX('MiT Strom Pipeline'!$Q$1:$Q$860,$U39)),INDEX('MiT Strom Pipeline'!$Q$1:$Q$860,$U39),0))</f>
        <v/>
      </c>
      <c r="I39" s="130" t="str">
        <f aca="false">IF($U39="","",INDEX('MiT Strom Pipeline'!$R$1:$R$860,$U39))</f>
        <v/>
      </c>
      <c r="J39" s="133" t="str">
        <f aca="false">IF($U39="","",IF(ISNUMBER(INDEX('MiT Strom Pipeline'!$S$1:$S$860,$U39)),INDEX('MiT Strom Pipeline'!$S$1:$S$860,$U39),""))</f>
        <v/>
      </c>
      <c r="K39" s="129" t="str">
        <f aca="false">IF($U39="","",IF(LEN(INDEX('MiT Strom Pipeline'!$V$1:$V$860,$U39))&gt;0,LEFT(INDEX('MiT Strom Pipeline'!$V$1:$V$860,$U39),55),""))</f>
        <v/>
      </c>
      <c r="L39" s="112"/>
      <c r="M39" s="112"/>
      <c r="N39" s="112"/>
      <c r="O39" s="112"/>
      <c r="P39" s="112"/>
      <c r="Q39" s="112"/>
      <c r="R39" s="112"/>
      <c r="S39" s="112"/>
      <c r="U39" s="1" t="str">
        <f aca="false">IFERROR(MATCH(29,'MiT Strom Pipeline'!$AM$6:$AM$860,0)+5,"")</f>
        <v/>
      </c>
    </row>
    <row r="40" customFormat="false" ht="15.75" hidden="false" customHeight="true" outlineLevel="0" collapsed="false">
      <c r="A40" s="128" t="str">
        <f aca="false">IF($U40="","",IF(ISNUMBER(INDEX('MiT Strom Pipeline'!$A$1:$A$860,$U40)),INDEX('MiT Strom Pipeline'!$A$1:$A$860,$U40),""))</f>
        <v/>
      </c>
      <c r="B40" s="129" t="str">
        <f aca="false">IF($U40="","",IF(INDEX('MiT Strom Pipeline'!$B$1:$B$860,$U40)="","",INDEX('MiT Strom Pipeline'!$B$1:$B$860,$U40)))</f>
        <v/>
      </c>
      <c r="C40" s="130" t="str">
        <f aca="false">IF($U40="","",IF(INDEX('MiT Strom Pipeline'!$C$1:$C$860,$U40)="","",INDEX('MiT Strom Pipeline'!$C$1:$C$860,$U40)))</f>
        <v/>
      </c>
      <c r="D40" s="129" t="str">
        <f aca="false">IF($U40="","",IF(INDEX('MiT Strom Pipeline'!$D$1:$D$860,$U40)="","",INDEX('MiT Strom Pipeline'!$D$1:$D$860,$U40)))</f>
        <v/>
      </c>
      <c r="E40" s="131" t="str">
        <f aca="false">IF($U40="","",IF(ISNUMBER(INDEX('MiT Strom Pipeline'!$O$1:$O$860,$U40)),INDEX('MiT Strom Pipeline'!$O$1:$O$860,$U40),IF(INDEX('MiT Strom Pipeline'!$H$1:$H$860,$U40)="","",INDEX('MiT Strom Pipeline'!$H$1:$H$860,$U40))))</f>
        <v/>
      </c>
      <c r="F40" s="129" t="str">
        <f aca="false">IF($U40="","",IF(INDEX('MiT Strom Pipeline'!$E$1:$E$860,$U40)="","",INDEX('MiT Strom Pipeline'!$E$1:$E$860,$U40)))</f>
        <v/>
      </c>
      <c r="G40" s="132" t="str">
        <f aca="false">IF($U40="","",IF(ISNUMBER(INDEX('MiT Strom Pipeline'!$I$1:$I$860,$U40)),INDEX('MiT Strom Pipeline'!$I$1:$I$860,$U40),0))</f>
        <v/>
      </c>
      <c r="H40" s="132" t="str">
        <f aca="false">IF($U40="","",IF(ISNUMBER(INDEX('MiT Strom Pipeline'!$Q$1:$Q$860,$U40)),INDEX('MiT Strom Pipeline'!$Q$1:$Q$860,$U40),0))</f>
        <v/>
      </c>
      <c r="I40" s="130" t="str">
        <f aca="false">IF($U40="","",INDEX('MiT Strom Pipeline'!$R$1:$R$860,$U40))</f>
        <v/>
      </c>
      <c r="J40" s="133" t="str">
        <f aca="false">IF($U40="","",IF(ISNUMBER(INDEX('MiT Strom Pipeline'!$S$1:$S$860,$U40)),INDEX('MiT Strom Pipeline'!$S$1:$S$860,$U40),""))</f>
        <v/>
      </c>
      <c r="K40" s="129" t="str">
        <f aca="false">IF($U40="","",IF(LEN(INDEX('MiT Strom Pipeline'!$V$1:$V$860,$U40))&gt;0,LEFT(INDEX('MiT Strom Pipeline'!$V$1:$V$860,$U40),55),""))</f>
        <v/>
      </c>
      <c r="L40" s="112"/>
      <c r="M40" s="112"/>
      <c r="N40" s="112"/>
      <c r="O40" s="112"/>
      <c r="P40" s="112"/>
      <c r="Q40" s="112"/>
      <c r="R40" s="112"/>
      <c r="S40" s="112"/>
      <c r="U40" s="1" t="str">
        <f aca="false">IFERROR(MATCH(30,'MiT Strom Pipeline'!$AM$6:$AM$860,0)+5,"")</f>
        <v/>
      </c>
    </row>
    <row r="41" customFormat="false" ht="15.75" hidden="false" customHeight="true" outlineLevel="0" collapsed="false">
      <c r="A41" s="128" t="str">
        <f aca="false">IF($U41="","",IF(ISNUMBER(INDEX('MiT Strom Pipeline'!$A$1:$A$860,$U41)),INDEX('MiT Strom Pipeline'!$A$1:$A$860,$U41),""))</f>
        <v/>
      </c>
      <c r="B41" s="129" t="str">
        <f aca="false">IF($U41="","",IF(INDEX('MiT Strom Pipeline'!$B$1:$B$860,$U41)="","",INDEX('MiT Strom Pipeline'!$B$1:$B$860,$U41)))</f>
        <v/>
      </c>
      <c r="C41" s="130" t="str">
        <f aca="false">IF($U41="","",IF(INDEX('MiT Strom Pipeline'!$C$1:$C$860,$U41)="","",INDEX('MiT Strom Pipeline'!$C$1:$C$860,$U41)))</f>
        <v/>
      </c>
      <c r="D41" s="129" t="str">
        <f aca="false">IF($U41="","",IF(INDEX('MiT Strom Pipeline'!$D$1:$D$860,$U41)="","",INDEX('MiT Strom Pipeline'!$D$1:$D$860,$U41)))</f>
        <v/>
      </c>
      <c r="E41" s="131" t="str">
        <f aca="false">IF($U41="","",IF(ISNUMBER(INDEX('MiT Strom Pipeline'!$O$1:$O$860,$U41)),INDEX('MiT Strom Pipeline'!$O$1:$O$860,$U41),IF(INDEX('MiT Strom Pipeline'!$H$1:$H$860,$U41)="","",INDEX('MiT Strom Pipeline'!$H$1:$H$860,$U41))))</f>
        <v/>
      </c>
      <c r="F41" s="129" t="str">
        <f aca="false">IF($U41="","",IF(INDEX('MiT Strom Pipeline'!$E$1:$E$860,$U41)="","",INDEX('MiT Strom Pipeline'!$E$1:$E$860,$U41)))</f>
        <v/>
      </c>
      <c r="G41" s="132" t="str">
        <f aca="false">IF($U41="","",IF(ISNUMBER(INDEX('MiT Strom Pipeline'!$I$1:$I$860,$U41)),INDEX('MiT Strom Pipeline'!$I$1:$I$860,$U41),0))</f>
        <v/>
      </c>
      <c r="H41" s="132" t="str">
        <f aca="false">IF($U41="","",IF(ISNUMBER(INDEX('MiT Strom Pipeline'!$Q$1:$Q$860,$U41)),INDEX('MiT Strom Pipeline'!$Q$1:$Q$860,$U41),0))</f>
        <v/>
      </c>
      <c r="I41" s="130" t="str">
        <f aca="false">IF($U41="","",INDEX('MiT Strom Pipeline'!$R$1:$R$860,$U41))</f>
        <v/>
      </c>
      <c r="J41" s="133" t="str">
        <f aca="false">IF($U41="","",IF(ISNUMBER(INDEX('MiT Strom Pipeline'!$S$1:$S$860,$U41)),INDEX('MiT Strom Pipeline'!$S$1:$S$860,$U41),""))</f>
        <v/>
      </c>
      <c r="K41" s="129" t="str">
        <f aca="false">IF($U41="","",IF(LEN(INDEX('MiT Strom Pipeline'!$V$1:$V$860,$U41))&gt;0,LEFT(INDEX('MiT Strom Pipeline'!$V$1:$V$860,$U41),55),""))</f>
        <v/>
      </c>
      <c r="L41" s="112"/>
      <c r="M41" s="112"/>
      <c r="N41" s="112"/>
      <c r="O41" s="112"/>
      <c r="P41" s="112"/>
      <c r="Q41" s="112"/>
      <c r="R41" s="112"/>
      <c r="S41" s="112"/>
      <c r="U41" s="1" t="str">
        <f aca="false">IFERROR(MATCH(31,'MiT Strom Pipeline'!$AM$6:$AM$860,0)+5,"")</f>
        <v/>
      </c>
    </row>
    <row r="42" customFormat="false" ht="15.75" hidden="false" customHeight="true" outlineLevel="0" collapsed="false">
      <c r="A42" s="128" t="str">
        <f aca="false">IF($U42="","",IF(ISNUMBER(INDEX('MiT Strom Pipeline'!$A$1:$A$860,$U42)),INDEX('MiT Strom Pipeline'!$A$1:$A$860,$U42),""))</f>
        <v/>
      </c>
      <c r="B42" s="129" t="str">
        <f aca="false">IF($U42="","",IF(INDEX('MiT Strom Pipeline'!$B$1:$B$860,$U42)="","",INDEX('MiT Strom Pipeline'!$B$1:$B$860,$U42)))</f>
        <v/>
      </c>
      <c r="C42" s="130" t="str">
        <f aca="false">IF($U42="","",IF(INDEX('MiT Strom Pipeline'!$C$1:$C$860,$U42)="","",INDEX('MiT Strom Pipeline'!$C$1:$C$860,$U42)))</f>
        <v/>
      </c>
      <c r="D42" s="129" t="str">
        <f aca="false">IF($U42="","",IF(INDEX('MiT Strom Pipeline'!$D$1:$D$860,$U42)="","",INDEX('MiT Strom Pipeline'!$D$1:$D$860,$U42)))</f>
        <v/>
      </c>
      <c r="E42" s="131" t="str">
        <f aca="false">IF($U42="","",IF(ISNUMBER(INDEX('MiT Strom Pipeline'!$O$1:$O$860,$U42)),INDEX('MiT Strom Pipeline'!$O$1:$O$860,$U42),IF(INDEX('MiT Strom Pipeline'!$H$1:$H$860,$U42)="","",INDEX('MiT Strom Pipeline'!$H$1:$H$860,$U42))))</f>
        <v/>
      </c>
      <c r="F42" s="129" t="str">
        <f aca="false">IF($U42="","",IF(INDEX('MiT Strom Pipeline'!$E$1:$E$860,$U42)="","",INDEX('MiT Strom Pipeline'!$E$1:$E$860,$U42)))</f>
        <v/>
      </c>
      <c r="G42" s="132" t="str">
        <f aca="false">IF($U42="","",IF(ISNUMBER(INDEX('MiT Strom Pipeline'!$I$1:$I$860,$U42)),INDEX('MiT Strom Pipeline'!$I$1:$I$860,$U42),0))</f>
        <v/>
      </c>
      <c r="H42" s="132" t="str">
        <f aca="false">IF($U42="","",IF(ISNUMBER(INDEX('MiT Strom Pipeline'!$Q$1:$Q$860,$U42)),INDEX('MiT Strom Pipeline'!$Q$1:$Q$860,$U42),0))</f>
        <v/>
      </c>
      <c r="I42" s="130" t="str">
        <f aca="false">IF($U42="","",INDEX('MiT Strom Pipeline'!$R$1:$R$860,$U42))</f>
        <v/>
      </c>
      <c r="J42" s="133" t="str">
        <f aca="false">IF($U42="","",IF(ISNUMBER(INDEX('MiT Strom Pipeline'!$S$1:$S$860,$U42)),INDEX('MiT Strom Pipeline'!$S$1:$S$860,$U42),""))</f>
        <v/>
      </c>
      <c r="K42" s="129" t="str">
        <f aca="false">IF($U42="","",IF(LEN(INDEX('MiT Strom Pipeline'!$V$1:$V$860,$U42))&gt;0,LEFT(INDEX('MiT Strom Pipeline'!$V$1:$V$860,$U42),55),""))</f>
        <v/>
      </c>
      <c r="L42" s="112"/>
      <c r="M42" s="112"/>
      <c r="N42" s="112"/>
      <c r="O42" s="112"/>
      <c r="P42" s="112"/>
      <c r="Q42" s="112"/>
      <c r="R42" s="112"/>
      <c r="S42" s="112"/>
      <c r="U42" s="1" t="str">
        <f aca="false">IFERROR(MATCH(32,'MiT Strom Pipeline'!$AM$6:$AM$860,0)+5,"")</f>
        <v/>
      </c>
    </row>
    <row r="43" customFormat="false" ht="15.75" hidden="false" customHeight="true" outlineLevel="0" collapsed="false">
      <c r="A43" s="128" t="str">
        <f aca="false">IF($U43="","",IF(ISNUMBER(INDEX('MiT Strom Pipeline'!$A$1:$A$860,$U43)),INDEX('MiT Strom Pipeline'!$A$1:$A$860,$U43),""))</f>
        <v/>
      </c>
      <c r="B43" s="129" t="str">
        <f aca="false">IF($U43="","",IF(INDEX('MiT Strom Pipeline'!$B$1:$B$860,$U43)="","",INDEX('MiT Strom Pipeline'!$B$1:$B$860,$U43)))</f>
        <v/>
      </c>
      <c r="C43" s="130" t="str">
        <f aca="false">IF($U43="","",IF(INDEX('MiT Strom Pipeline'!$C$1:$C$860,$U43)="","",INDEX('MiT Strom Pipeline'!$C$1:$C$860,$U43)))</f>
        <v/>
      </c>
      <c r="D43" s="129" t="str">
        <f aca="false">IF($U43="","",IF(INDEX('MiT Strom Pipeline'!$D$1:$D$860,$U43)="","",INDEX('MiT Strom Pipeline'!$D$1:$D$860,$U43)))</f>
        <v/>
      </c>
      <c r="E43" s="131" t="str">
        <f aca="false">IF($U43="","",IF(ISNUMBER(INDEX('MiT Strom Pipeline'!$O$1:$O$860,$U43)),INDEX('MiT Strom Pipeline'!$O$1:$O$860,$U43),IF(INDEX('MiT Strom Pipeline'!$H$1:$H$860,$U43)="","",INDEX('MiT Strom Pipeline'!$H$1:$H$860,$U43))))</f>
        <v/>
      </c>
      <c r="F43" s="129" t="str">
        <f aca="false">IF($U43="","",IF(INDEX('MiT Strom Pipeline'!$E$1:$E$860,$U43)="","",INDEX('MiT Strom Pipeline'!$E$1:$E$860,$U43)))</f>
        <v/>
      </c>
      <c r="G43" s="132" t="str">
        <f aca="false">IF($U43="","",IF(ISNUMBER(INDEX('MiT Strom Pipeline'!$I$1:$I$860,$U43)),INDEX('MiT Strom Pipeline'!$I$1:$I$860,$U43),0))</f>
        <v/>
      </c>
      <c r="H43" s="132" t="str">
        <f aca="false">IF($U43="","",IF(ISNUMBER(INDEX('MiT Strom Pipeline'!$Q$1:$Q$860,$U43)),INDEX('MiT Strom Pipeline'!$Q$1:$Q$860,$U43),0))</f>
        <v/>
      </c>
      <c r="I43" s="130" t="str">
        <f aca="false">IF($U43="","",INDEX('MiT Strom Pipeline'!$R$1:$R$860,$U43))</f>
        <v/>
      </c>
      <c r="J43" s="133" t="str">
        <f aca="false">IF($U43="","",IF(ISNUMBER(INDEX('MiT Strom Pipeline'!$S$1:$S$860,$U43)),INDEX('MiT Strom Pipeline'!$S$1:$S$860,$U43),""))</f>
        <v/>
      </c>
      <c r="K43" s="129" t="str">
        <f aca="false">IF($U43="","",IF(LEN(INDEX('MiT Strom Pipeline'!$V$1:$V$860,$U43))&gt;0,LEFT(INDEX('MiT Strom Pipeline'!$V$1:$V$860,$U43),55),""))</f>
        <v/>
      </c>
      <c r="L43" s="112"/>
      <c r="M43" s="112"/>
      <c r="N43" s="112"/>
      <c r="O43" s="112"/>
      <c r="P43" s="112"/>
      <c r="Q43" s="112"/>
      <c r="R43" s="112"/>
      <c r="S43" s="112"/>
      <c r="U43" s="1" t="str">
        <f aca="false">IFERROR(MATCH(33,'MiT Strom Pipeline'!$AM$6:$AM$860,0)+5,"")</f>
        <v/>
      </c>
    </row>
    <row r="44" customFormat="false" ht="15.75" hidden="false" customHeight="true" outlineLevel="0" collapsed="false">
      <c r="A44" s="128" t="str">
        <f aca="false">IF($U44="","",IF(ISNUMBER(INDEX('MiT Strom Pipeline'!$A$1:$A$860,$U44)),INDEX('MiT Strom Pipeline'!$A$1:$A$860,$U44),""))</f>
        <v/>
      </c>
      <c r="B44" s="129" t="str">
        <f aca="false">IF($U44="","",IF(INDEX('MiT Strom Pipeline'!$B$1:$B$860,$U44)="","",INDEX('MiT Strom Pipeline'!$B$1:$B$860,$U44)))</f>
        <v/>
      </c>
      <c r="C44" s="130" t="str">
        <f aca="false">IF($U44="","",IF(INDEX('MiT Strom Pipeline'!$C$1:$C$860,$U44)="","",INDEX('MiT Strom Pipeline'!$C$1:$C$860,$U44)))</f>
        <v/>
      </c>
      <c r="D44" s="129" t="str">
        <f aca="false">IF($U44="","",IF(INDEX('MiT Strom Pipeline'!$D$1:$D$860,$U44)="","",INDEX('MiT Strom Pipeline'!$D$1:$D$860,$U44)))</f>
        <v/>
      </c>
      <c r="E44" s="131" t="str">
        <f aca="false">IF($U44="","",IF(ISNUMBER(INDEX('MiT Strom Pipeline'!$O$1:$O$860,$U44)),INDEX('MiT Strom Pipeline'!$O$1:$O$860,$U44),IF(INDEX('MiT Strom Pipeline'!$H$1:$H$860,$U44)="","",INDEX('MiT Strom Pipeline'!$H$1:$H$860,$U44))))</f>
        <v/>
      </c>
      <c r="F44" s="129" t="str">
        <f aca="false">IF($U44="","",IF(INDEX('MiT Strom Pipeline'!$E$1:$E$860,$U44)="","",INDEX('MiT Strom Pipeline'!$E$1:$E$860,$U44)))</f>
        <v/>
      </c>
      <c r="G44" s="132" t="str">
        <f aca="false">IF($U44="","",IF(ISNUMBER(INDEX('MiT Strom Pipeline'!$I$1:$I$860,$U44)),INDEX('MiT Strom Pipeline'!$I$1:$I$860,$U44),0))</f>
        <v/>
      </c>
      <c r="H44" s="132" t="str">
        <f aca="false">IF($U44="","",IF(ISNUMBER(INDEX('MiT Strom Pipeline'!$Q$1:$Q$860,$U44)),INDEX('MiT Strom Pipeline'!$Q$1:$Q$860,$U44),0))</f>
        <v/>
      </c>
      <c r="I44" s="130" t="str">
        <f aca="false">IF($U44="","",INDEX('MiT Strom Pipeline'!$R$1:$R$860,$U44))</f>
        <v/>
      </c>
      <c r="J44" s="133" t="str">
        <f aca="false">IF($U44="","",IF(ISNUMBER(INDEX('MiT Strom Pipeline'!$S$1:$S$860,$U44)),INDEX('MiT Strom Pipeline'!$S$1:$S$860,$U44),""))</f>
        <v/>
      </c>
      <c r="K44" s="129" t="str">
        <f aca="false">IF($U44="","",IF(LEN(INDEX('MiT Strom Pipeline'!$V$1:$V$860,$U44))&gt;0,LEFT(INDEX('MiT Strom Pipeline'!$V$1:$V$860,$U44),55),""))</f>
        <v/>
      </c>
      <c r="L44" s="112"/>
      <c r="M44" s="112"/>
      <c r="N44" s="112"/>
      <c r="O44" s="112"/>
      <c r="P44" s="112"/>
      <c r="Q44" s="112"/>
      <c r="R44" s="112"/>
      <c r="S44" s="112"/>
      <c r="U44" s="1" t="str">
        <f aca="false">IFERROR(MATCH(34,'MiT Strom Pipeline'!$AM$6:$AM$860,0)+5,"")</f>
        <v/>
      </c>
    </row>
    <row r="45" customFormat="false" ht="15.75" hidden="false" customHeight="true" outlineLevel="0" collapsed="false">
      <c r="A45" s="128" t="str">
        <f aca="false">IF($U45="","",IF(ISNUMBER(INDEX('MiT Strom Pipeline'!$A$1:$A$860,$U45)),INDEX('MiT Strom Pipeline'!$A$1:$A$860,$U45),""))</f>
        <v/>
      </c>
      <c r="B45" s="129" t="str">
        <f aca="false">IF($U45="","",IF(INDEX('MiT Strom Pipeline'!$B$1:$B$860,$U45)="","",INDEX('MiT Strom Pipeline'!$B$1:$B$860,$U45)))</f>
        <v/>
      </c>
      <c r="C45" s="130" t="str">
        <f aca="false">IF($U45="","",IF(INDEX('MiT Strom Pipeline'!$C$1:$C$860,$U45)="","",INDEX('MiT Strom Pipeline'!$C$1:$C$860,$U45)))</f>
        <v/>
      </c>
      <c r="D45" s="129" t="str">
        <f aca="false">IF($U45="","",IF(INDEX('MiT Strom Pipeline'!$D$1:$D$860,$U45)="","",INDEX('MiT Strom Pipeline'!$D$1:$D$860,$U45)))</f>
        <v/>
      </c>
      <c r="E45" s="131" t="str">
        <f aca="false">IF($U45="","",IF(ISNUMBER(INDEX('MiT Strom Pipeline'!$O$1:$O$860,$U45)),INDEX('MiT Strom Pipeline'!$O$1:$O$860,$U45),IF(INDEX('MiT Strom Pipeline'!$H$1:$H$860,$U45)="","",INDEX('MiT Strom Pipeline'!$H$1:$H$860,$U45))))</f>
        <v/>
      </c>
      <c r="F45" s="129" t="str">
        <f aca="false">IF($U45="","",IF(INDEX('MiT Strom Pipeline'!$E$1:$E$860,$U45)="","",INDEX('MiT Strom Pipeline'!$E$1:$E$860,$U45)))</f>
        <v/>
      </c>
      <c r="G45" s="132" t="str">
        <f aca="false">IF($U45="","",IF(ISNUMBER(INDEX('MiT Strom Pipeline'!$I$1:$I$860,$U45)),INDEX('MiT Strom Pipeline'!$I$1:$I$860,$U45),0))</f>
        <v/>
      </c>
      <c r="H45" s="132" t="str">
        <f aca="false">IF($U45="","",IF(ISNUMBER(INDEX('MiT Strom Pipeline'!$Q$1:$Q$860,$U45)),INDEX('MiT Strom Pipeline'!$Q$1:$Q$860,$U45),0))</f>
        <v/>
      </c>
      <c r="I45" s="130" t="str">
        <f aca="false">IF($U45="","",INDEX('MiT Strom Pipeline'!$R$1:$R$860,$U45))</f>
        <v/>
      </c>
      <c r="J45" s="133" t="str">
        <f aca="false">IF($U45="","",IF(ISNUMBER(INDEX('MiT Strom Pipeline'!$S$1:$S$860,$U45)),INDEX('MiT Strom Pipeline'!$S$1:$S$860,$U45),""))</f>
        <v/>
      </c>
      <c r="K45" s="129" t="str">
        <f aca="false">IF($U45="","",IF(LEN(INDEX('MiT Strom Pipeline'!$V$1:$V$860,$U45))&gt;0,LEFT(INDEX('MiT Strom Pipeline'!$V$1:$V$860,$U45),55),""))</f>
        <v/>
      </c>
      <c r="L45" s="112"/>
      <c r="M45" s="112"/>
      <c r="N45" s="112"/>
      <c r="O45" s="112"/>
      <c r="P45" s="112"/>
      <c r="Q45" s="112"/>
      <c r="R45" s="112"/>
      <c r="S45" s="112"/>
      <c r="U45" s="1" t="str">
        <f aca="false">IFERROR(MATCH(35,'MiT Strom Pipeline'!$AM$6:$AM$860,0)+5,"")</f>
        <v/>
      </c>
    </row>
    <row r="46" customFormat="false" ht="15.75" hidden="false" customHeight="true" outlineLevel="0" collapsed="false">
      <c r="A46" s="128" t="str">
        <f aca="false">IF($U46="","",IF(ISNUMBER(INDEX('MiT Strom Pipeline'!$A$1:$A$860,$U46)),INDEX('MiT Strom Pipeline'!$A$1:$A$860,$U46),""))</f>
        <v/>
      </c>
      <c r="B46" s="129" t="str">
        <f aca="false">IF($U46="","",IF(INDEX('MiT Strom Pipeline'!$B$1:$B$860,$U46)="","",INDEX('MiT Strom Pipeline'!$B$1:$B$860,$U46)))</f>
        <v/>
      </c>
      <c r="C46" s="130" t="str">
        <f aca="false">IF($U46="","",IF(INDEX('MiT Strom Pipeline'!$C$1:$C$860,$U46)="","",INDEX('MiT Strom Pipeline'!$C$1:$C$860,$U46)))</f>
        <v/>
      </c>
      <c r="D46" s="129" t="str">
        <f aca="false">IF($U46="","",IF(INDEX('MiT Strom Pipeline'!$D$1:$D$860,$U46)="","",INDEX('MiT Strom Pipeline'!$D$1:$D$860,$U46)))</f>
        <v/>
      </c>
      <c r="E46" s="131" t="str">
        <f aca="false">IF($U46="","",IF(ISNUMBER(INDEX('MiT Strom Pipeline'!$O$1:$O$860,$U46)),INDEX('MiT Strom Pipeline'!$O$1:$O$860,$U46),IF(INDEX('MiT Strom Pipeline'!$H$1:$H$860,$U46)="","",INDEX('MiT Strom Pipeline'!$H$1:$H$860,$U46))))</f>
        <v/>
      </c>
      <c r="F46" s="129" t="str">
        <f aca="false">IF($U46="","",IF(INDEX('MiT Strom Pipeline'!$E$1:$E$860,$U46)="","",INDEX('MiT Strom Pipeline'!$E$1:$E$860,$U46)))</f>
        <v/>
      </c>
      <c r="G46" s="132" t="str">
        <f aca="false">IF($U46="","",IF(ISNUMBER(INDEX('MiT Strom Pipeline'!$I$1:$I$860,$U46)),INDEX('MiT Strom Pipeline'!$I$1:$I$860,$U46),0))</f>
        <v/>
      </c>
      <c r="H46" s="132" t="str">
        <f aca="false">IF($U46="","",IF(ISNUMBER(INDEX('MiT Strom Pipeline'!$Q$1:$Q$860,$U46)),INDEX('MiT Strom Pipeline'!$Q$1:$Q$860,$U46),0))</f>
        <v/>
      </c>
      <c r="I46" s="130" t="str">
        <f aca="false">IF($U46="","",INDEX('MiT Strom Pipeline'!$R$1:$R$860,$U46))</f>
        <v/>
      </c>
      <c r="J46" s="133" t="str">
        <f aca="false">IF($U46="","",IF(ISNUMBER(INDEX('MiT Strom Pipeline'!$S$1:$S$860,$U46)),INDEX('MiT Strom Pipeline'!$S$1:$S$860,$U46),""))</f>
        <v/>
      </c>
      <c r="K46" s="129" t="str">
        <f aca="false">IF($U46="","",IF(LEN(INDEX('MiT Strom Pipeline'!$V$1:$V$860,$U46))&gt;0,LEFT(INDEX('MiT Strom Pipeline'!$V$1:$V$860,$U46),55),""))</f>
        <v/>
      </c>
      <c r="L46" s="112"/>
      <c r="M46" s="112"/>
      <c r="N46" s="112"/>
      <c r="O46" s="112"/>
      <c r="P46" s="112"/>
      <c r="Q46" s="112"/>
      <c r="R46" s="112"/>
      <c r="S46" s="112"/>
      <c r="U46" s="1" t="str">
        <f aca="false">IFERROR(MATCH(36,'MiT Strom Pipeline'!$AM$6:$AM$860,0)+5,"")</f>
        <v/>
      </c>
    </row>
    <row r="47" customFormat="false" ht="15.75" hidden="false" customHeight="true" outlineLevel="0" collapsed="false">
      <c r="A47" s="128" t="str">
        <f aca="false">IF($U47="","",IF(ISNUMBER(INDEX('MiT Strom Pipeline'!$A$1:$A$860,$U47)),INDEX('MiT Strom Pipeline'!$A$1:$A$860,$U47),""))</f>
        <v/>
      </c>
      <c r="B47" s="129" t="str">
        <f aca="false">IF($U47="","",IF(INDEX('MiT Strom Pipeline'!$B$1:$B$860,$U47)="","",INDEX('MiT Strom Pipeline'!$B$1:$B$860,$U47)))</f>
        <v/>
      </c>
      <c r="C47" s="130" t="str">
        <f aca="false">IF($U47="","",IF(INDEX('MiT Strom Pipeline'!$C$1:$C$860,$U47)="","",INDEX('MiT Strom Pipeline'!$C$1:$C$860,$U47)))</f>
        <v/>
      </c>
      <c r="D47" s="129" t="str">
        <f aca="false">IF($U47="","",IF(INDEX('MiT Strom Pipeline'!$D$1:$D$860,$U47)="","",INDEX('MiT Strom Pipeline'!$D$1:$D$860,$U47)))</f>
        <v/>
      </c>
      <c r="E47" s="131" t="str">
        <f aca="false">IF($U47="","",IF(ISNUMBER(INDEX('MiT Strom Pipeline'!$O$1:$O$860,$U47)),INDEX('MiT Strom Pipeline'!$O$1:$O$860,$U47),IF(INDEX('MiT Strom Pipeline'!$H$1:$H$860,$U47)="","",INDEX('MiT Strom Pipeline'!$H$1:$H$860,$U47))))</f>
        <v/>
      </c>
      <c r="F47" s="129" t="str">
        <f aca="false">IF($U47="","",IF(INDEX('MiT Strom Pipeline'!$E$1:$E$860,$U47)="","",INDEX('MiT Strom Pipeline'!$E$1:$E$860,$U47)))</f>
        <v/>
      </c>
      <c r="G47" s="132" t="str">
        <f aca="false">IF($U47="","",IF(ISNUMBER(INDEX('MiT Strom Pipeline'!$I$1:$I$860,$U47)),INDEX('MiT Strom Pipeline'!$I$1:$I$860,$U47),0))</f>
        <v/>
      </c>
      <c r="H47" s="132" t="str">
        <f aca="false">IF($U47="","",IF(ISNUMBER(INDEX('MiT Strom Pipeline'!$Q$1:$Q$860,$U47)),INDEX('MiT Strom Pipeline'!$Q$1:$Q$860,$U47),0))</f>
        <v/>
      </c>
      <c r="I47" s="130" t="str">
        <f aca="false">IF($U47="","",INDEX('MiT Strom Pipeline'!$R$1:$R$860,$U47))</f>
        <v/>
      </c>
      <c r="J47" s="133" t="str">
        <f aca="false">IF($U47="","",IF(ISNUMBER(INDEX('MiT Strom Pipeline'!$S$1:$S$860,$U47)),INDEX('MiT Strom Pipeline'!$S$1:$S$860,$U47),""))</f>
        <v/>
      </c>
      <c r="K47" s="129" t="str">
        <f aca="false">IF($U47="","",IF(LEN(INDEX('MiT Strom Pipeline'!$V$1:$V$860,$U47))&gt;0,LEFT(INDEX('MiT Strom Pipeline'!$V$1:$V$860,$U47),55),""))</f>
        <v/>
      </c>
      <c r="L47" s="112"/>
      <c r="M47" s="112"/>
      <c r="N47" s="112"/>
      <c r="O47" s="112"/>
      <c r="P47" s="112"/>
      <c r="Q47" s="112"/>
      <c r="R47" s="112"/>
      <c r="S47" s="112"/>
      <c r="U47" s="1" t="str">
        <f aca="false">IFERROR(MATCH(37,'MiT Strom Pipeline'!$AM$6:$AM$860,0)+5,"")</f>
        <v/>
      </c>
    </row>
    <row r="48" customFormat="false" ht="15.75" hidden="false" customHeight="true" outlineLevel="0" collapsed="false">
      <c r="A48" s="128" t="str">
        <f aca="false">IF($U48="","",IF(ISNUMBER(INDEX('MiT Strom Pipeline'!$A$1:$A$860,$U48)),INDEX('MiT Strom Pipeline'!$A$1:$A$860,$U48),""))</f>
        <v/>
      </c>
      <c r="B48" s="129" t="str">
        <f aca="false">IF($U48="","",IF(INDEX('MiT Strom Pipeline'!$B$1:$B$860,$U48)="","",INDEX('MiT Strom Pipeline'!$B$1:$B$860,$U48)))</f>
        <v/>
      </c>
      <c r="C48" s="130" t="str">
        <f aca="false">IF($U48="","",IF(INDEX('MiT Strom Pipeline'!$C$1:$C$860,$U48)="","",INDEX('MiT Strom Pipeline'!$C$1:$C$860,$U48)))</f>
        <v/>
      </c>
      <c r="D48" s="129" t="str">
        <f aca="false">IF($U48="","",IF(INDEX('MiT Strom Pipeline'!$D$1:$D$860,$U48)="","",INDEX('MiT Strom Pipeline'!$D$1:$D$860,$U48)))</f>
        <v/>
      </c>
      <c r="E48" s="131" t="str">
        <f aca="false">IF($U48="","",IF(ISNUMBER(INDEX('MiT Strom Pipeline'!$O$1:$O$860,$U48)),INDEX('MiT Strom Pipeline'!$O$1:$O$860,$U48),IF(INDEX('MiT Strom Pipeline'!$H$1:$H$860,$U48)="","",INDEX('MiT Strom Pipeline'!$H$1:$H$860,$U48))))</f>
        <v/>
      </c>
      <c r="F48" s="129" t="str">
        <f aca="false">IF($U48="","",IF(INDEX('MiT Strom Pipeline'!$E$1:$E$860,$U48)="","",INDEX('MiT Strom Pipeline'!$E$1:$E$860,$U48)))</f>
        <v/>
      </c>
      <c r="G48" s="132" t="str">
        <f aca="false">IF($U48="","",IF(ISNUMBER(INDEX('MiT Strom Pipeline'!$I$1:$I$860,$U48)),INDEX('MiT Strom Pipeline'!$I$1:$I$860,$U48),0))</f>
        <v/>
      </c>
      <c r="H48" s="132" t="str">
        <f aca="false">IF($U48="","",IF(ISNUMBER(INDEX('MiT Strom Pipeline'!$Q$1:$Q$860,$U48)),INDEX('MiT Strom Pipeline'!$Q$1:$Q$860,$U48),0))</f>
        <v/>
      </c>
      <c r="I48" s="130" t="str">
        <f aca="false">IF($U48="","",INDEX('MiT Strom Pipeline'!$R$1:$R$860,$U48))</f>
        <v/>
      </c>
      <c r="J48" s="133" t="str">
        <f aca="false">IF($U48="","",IF(ISNUMBER(INDEX('MiT Strom Pipeline'!$S$1:$S$860,$U48)),INDEX('MiT Strom Pipeline'!$S$1:$S$860,$U48),""))</f>
        <v/>
      </c>
      <c r="K48" s="129" t="str">
        <f aca="false">IF($U48="","",IF(LEN(INDEX('MiT Strom Pipeline'!$V$1:$V$860,$U48))&gt;0,LEFT(INDEX('MiT Strom Pipeline'!$V$1:$V$860,$U48),55),""))</f>
        <v/>
      </c>
      <c r="L48" s="112"/>
      <c r="M48" s="112"/>
      <c r="N48" s="112"/>
      <c r="O48" s="112"/>
      <c r="P48" s="112"/>
      <c r="Q48" s="112"/>
      <c r="R48" s="112"/>
      <c r="S48" s="112"/>
      <c r="U48" s="1" t="str">
        <f aca="false">IFERROR(MATCH(38,'MiT Strom Pipeline'!$AM$6:$AM$860,0)+5,"")</f>
        <v/>
      </c>
    </row>
    <row r="49" customFormat="false" ht="15.75" hidden="false" customHeight="true" outlineLevel="0" collapsed="false">
      <c r="A49" s="128" t="str">
        <f aca="false">IF($U49="","",IF(ISNUMBER(INDEX('MiT Strom Pipeline'!$A$1:$A$860,$U49)),INDEX('MiT Strom Pipeline'!$A$1:$A$860,$U49),""))</f>
        <v/>
      </c>
      <c r="B49" s="129" t="str">
        <f aca="false">IF($U49="","",IF(INDEX('MiT Strom Pipeline'!$B$1:$B$860,$U49)="","",INDEX('MiT Strom Pipeline'!$B$1:$B$860,$U49)))</f>
        <v/>
      </c>
      <c r="C49" s="130" t="str">
        <f aca="false">IF($U49="","",IF(INDEX('MiT Strom Pipeline'!$C$1:$C$860,$U49)="","",INDEX('MiT Strom Pipeline'!$C$1:$C$860,$U49)))</f>
        <v/>
      </c>
      <c r="D49" s="129" t="str">
        <f aca="false">IF($U49="","",IF(INDEX('MiT Strom Pipeline'!$D$1:$D$860,$U49)="","",INDEX('MiT Strom Pipeline'!$D$1:$D$860,$U49)))</f>
        <v/>
      </c>
      <c r="E49" s="131" t="str">
        <f aca="false">IF($U49="","",IF(ISNUMBER(INDEX('MiT Strom Pipeline'!$O$1:$O$860,$U49)),INDEX('MiT Strom Pipeline'!$O$1:$O$860,$U49),IF(INDEX('MiT Strom Pipeline'!$H$1:$H$860,$U49)="","",INDEX('MiT Strom Pipeline'!$H$1:$H$860,$U49))))</f>
        <v/>
      </c>
      <c r="F49" s="129" t="str">
        <f aca="false">IF($U49="","",IF(INDEX('MiT Strom Pipeline'!$E$1:$E$860,$U49)="","",INDEX('MiT Strom Pipeline'!$E$1:$E$860,$U49)))</f>
        <v/>
      </c>
      <c r="G49" s="132" t="str">
        <f aca="false">IF($U49="","",IF(ISNUMBER(INDEX('MiT Strom Pipeline'!$I$1:$I$860,$U49)),INDEX('MiT Strom Pipeline'!$I$1:$I$860,$U49),0))</f>
        <v/>
      </c>
      <c r="H49" s="132" t="str">
        <f aca="false">IF($U49="","",IF(ISNUMBER(INDEX('MiT Strom Pipeline'!$Q$1:$Q$860,$U49)),INDEX('MiT Strom Pipeline'!$Q$1:$Q$860,$U49),0))</f>
        <v/>
      </c>
      <c r="I49" s="130" t="str">
        <f aca="false">IF($U49="","",INDEX('MiT Strom Pipeline'!$R$1:$R$860,$U49))</f>
        <v/>
      </c>
      <c r="J49" s="133" t="str">
        <f aca="false">IF($U49="","",IF(ISNUMBER(INDEX('MiT Strom Pipeline'!$S$1:$S$860,$U49)),INDEX('MiT Strom Pipeline'!$S$1:$S$860,$U49),""))</f>
        <v/>
      </c>
      <c r="K49" s="129" t="str">
        <f aca="false">IF($U49="","",IF(LEN(INDEX('MiT Strom Pipeline'!$V$1:$V$860,$U49))&gt;0,LEFT(INDEX('MiT Strom Pipeline'!$V$1:$V$860,$U49),55),""))</f>
        <v/>
      </c>
      <c r="L49" s="112"/>
      <c r="M49" s="112"/>
      <c r="N49" s="112"/>
      <c r="O49" s="112"/>
      <c r="P49" s="112"/>
      <c r="Q49" s="112"/>
      <c r="R49" s="112"/>
      <c r="S49" s="112"/>
      <c r="U49" s="1" t="str">
        <f aca="false">IFERROR(MATCH(39,'MiT Strom Pipeline'!$AM$6:$AM$860,0)+5,"")</f>
        <v/>
      </c>
    </row>
    <row r="50" customFormat="false" ht="15.75" hidden="false" customHeight="true" outlineLevel="0" collapsed="false">
      <c r="A50" s="128" t="str">
        <f aca="false">IF($U50="","",IF(ISNUMBER(INDEX('MiT Strom Pipeline'!$A$1:$A$860,$U50)),INDEX('MiT Strom Pipeline'!$A$1:$A$860,$U50),""))</f>
        <v/>
      </c>
      <c r="B50" s="129" t="str">
        <f aca="false">IF($U50="","",IF(INDEX('MiT Strom Pipeline'!$B$1:$B$860,$U50)="","",INDEX('MiT Strom Pipeline'!$B$1:$B$860,$U50)))</f>
        <v/>
      </c>
      <c r="C50" s="130" t="str">
        <f aca="false">IF($U50="","",IF(INDEX('MiT Strom Pipeline'!$C$1:$C$860,$U50)="","",INDEX('MiT Strom Pipeline'!$C$1:$C$860,$U50)))</f>
        <v/>
      </c>
      <c r="D50" s="129" t="str">
        <f aca="false">IF($U50="","",IF(INDEX('MiT Strom Pipeline'!$D$1:$D$860,$U50)="","",INDEX('MiT Strom Pipeline'!$D$1:$D$860,$U50)))</f>
        <v/>
      </c>
      <c r="E50" s="131" t="str">
        <f aca="false">IF($U50="","",IF(ISNUMBER(INDEX('MiT Strom Pipeline'!$O$1:$O$860,$U50)),INDEX('MiT Strom Pipeline'!$O$1:$O$860,$U50),IF(INDEX('MiT Strom Pipeline'!$H$1:$H$860,$U50)="","",INDEX('MiT Strom Pipeline'!$H$1:$H$860,$U50))))</f>
        <v/>
      </c>
      <c r="F50" s="129" t="str">
        <f aca="false">IF($U50="","",IF(INDEX('MiT Strom Pipeline'!$E$1:$E$860,$U50)="","",INDEX('MiT Strom Pipeline'!$E$1:$E$860,$U50)))</f>
        <v/>
      </c>
      <c r="G50" s="132" t="str">
        <f aca="false">IF($U50="","",IF(ISNUMBER(INDEX('MiT Strom Pipeline'!$I$1:$I$860,$U50)),INDEX('MiT Strom Pipeline'!$I$1:$I$860,$U50),0))</f>
        <v/>
      </c>
      <c r="H50" s="132" t="str">
        <f aca="false">IF($U50="","",IF(ISNUMBER(INDEX('MiT Strom Pipeline'!$Q$1:$Q$860,$U50)),INDEX('MiT Strom Pipeline'!$Q$1:$Q$860,$U50),0))</f>
        <v/>
      </c>
      <c r="I50" s="130" t="str">
        <f aca="false">IF($U50="","",INDEX('MiT Strom Pipeline'!$R$1:$R$860,$U50))</f>
        <v/>
      </c>
      <c r="J50" s="133" t="str">
        <f aca="false">IF($U50="","",IF(ISNUMBER(INDEX('MiT Strom Pipeline'!$S$1:$S$860,$U50)),INDEX('MiT Strom Pipeline'!$S$1:$S$860,$U50),""))</f>
        <v/>
      </c>
      <c r="K50" s="129" t="str">
        <f aca="false">IF($U50="","",IF(LEN(INDEX('MiT Strom Pipeline'!$V$1:$V$860,$U50))&gt;0,LEFT(INDEX('MiT Strom Pipeline'!$V$1:$V$860,$U50),55),""))</f>
        <v/>
      </c>
      <c r="L50" s="112"/>
      <c r="M50" s="112"/>
      <c r="N50" s="112"/>
      <c r="O50" s="112"/>
      <c r="P50" s="112"/>
      <c r="Q50" s="112"/>
      <c r="R50" s="112"/>
      <c r="S50" s="112"/>
      <c r="U50" s="1" t="str">
        <f aca="false">IFERROR(MATCH(40,'MiT Strom Pipeline'!$AM$6:$AM$860,0)+5,"")</f>
        <v/>
      </c>
    </row>
    <row r="51" customFormat="false" ht="15.75" hidden="false" customHeight="true" outlineLevel="0" collapsed="false">
      <c r="A51" s="128" t="str">
        <f aca="false">IF($U51="","",IF(ISNUMBER(INDEX('MiT Strom Pipeline'!$A$1:$A$860,$U51)),INDEX('MiT Strom Pipeline'!$A$1:$A$860,$U51),""))</f>
        <v/>
      </c>
      <c r="B51" s="129" t="str">
        <f aca="false">IF($U51="","",IF(INDEX('MiT Strom Pipeline'!$B$1:$B$860,$U51)="","",INDEX('MiT Strom Pipeline'!$B$1:$B$860,$U51)))</f>
        <v/>
      </c>
      <c r="C51" s="130" t="str">
        <f aca="false">IF($U51="","",IF(INDEX('MiT Strom Pipeline'!$C$1:$C$860,$U51)="","",INDEX('MiT Strom Pipeline'!$C$1:$C$860,$U51)))</f>
        <v/>
      </c>
      <c r="D51" s="129" t="str">
        <f aca="false">IF($U51="","",IF(INDEX('MiT Strom Pipeline'!$D$1:$D$860,$U51)="","",INDEX('MiT Strom Pipeline'!$D$1:$D$860,$U51)))</f>
        <v/>
      </c>
      <c r="E51" s="131" t="str">
        <f aca="false">IF($U51="","",IF(ISNUMBER(INDEX('MiT Strom Pipeline'!$O$1:$O$860,$U51)),INDEX('MiT Strom Pipeline'!$O$1:$O$860,$U51),IF(INDEX('MiT Strom Pipeline'!$H$1:$H$860,$U51)="","",INDEX('MiT Strom Pipeline'!$H$1:$H$860,$U51))))</f>
        <v/>
      </c>
      <c r="F51" s="129" t="str">
        <f aca="false">IF($U51="","",IF(INDEX('MiT Strom Pipeline'!$E$1:$E$860,$U51)="","",INDEX('MiT Strom Pipeline'!$E$1:$E$860,$U51)))</f>
        <v/>
      </c>
      <c r="G51" s="132" t="str">
        <f aca="false">IF($U51="","",IF(ISNUMBER(INDEX('MiT Strom Pipeline'!$I$1:$I$860,$U51)),INDEX('MiT Strom Pipeline'!$I$1:$I$860,$U51),0))</f>
        <v/>
      </c>
      <c r="H51" s="132" t="str">
        <f aca="false">IF($U51="","",IF(ISNUMBER(INDEX('MiT Strom Pipeline'!$Q$1:$Q$860,$U51)),INDEX('MiT Strom Pipeline'!$Q$1:$Q$860,$U51),0))</f>
        <v/>
      </c>
      <c r="I51" s="130" t="str">
        <f aca="false">IF($U51="","",INDEX('MiT Strom Pipeline'!$R$1:$R$860,$U51))</f>
        <v/>
      </c>
      <c r="J51" s="133" t="str">
        <f aca="false">IF($U51="","",IF(ISNUMBER(INDEX('MiT Strom Pipeline'!$S$1:$S$860,$U51)),INDEX('MiT Strom Pipeline'!$S$1:$S$860,$U51),""))</f>
        <v/>
      </c>
      <c r="K51" s="129" t="str">
        <f aca="false">IF($U51="","",IF(LEN(INDEX('MiT Strom Pipeline'!$V$1:$V$860,$U51))&gt;0,LEFT(INDEX('MiT Strom Pipeline'!$V$1:$V$860,$U51),55),""))</f>
        <v/>
      </c>
      <c r="L51" s="112"/>
      <c r="M51" s="112"/>
      <c r="N51" s="112"/>
      <c r="O51" s="112"/>
      <c r="P51" s="112"/>
      <c r="Q51" s="112"/>
      <c r="R51" s="112"/>
      <c r="S51" s="112"/>
      <c r="U51" s="1" t="str">
        <f aca="false">IFERROR(MATCH(41,'MiT Strom Pipeline'!$AM$6:$AM$860,0)+5,"")</f>
        <v/>
      </c>
    </row>
    <row r="52" customFormat="false" ht="15.75" hidden="false" customHeight="true" outlineLevel="0" collapsed="false">
      <c r="A52" s="128" t="str">
        <f aca="false">IF($U52="","",IF(ISNUMBER(INDEX('MiT Strom Pipeline'!$A$1:$A$860,$U52)),INDEX('MiT Strom Pipeline'!$A$1:$A$860,$U52),""))</f>
        <v/>
      </c>
      <c r="B52" s="129" t="str">
        <f aca="false">IF($U52="","",IF(INDEX('MiT Strom Pipeline'!$B$1:$B$860,$U52)="","",INDEX('MiT Strom Pipeline'!$B$1:$B$860,$U52)))</f>
        <v/>
      </c>
      <c r="C52" s="130" t="str">
        <f aca="false">IF($U52="","",IF(INDEX('MiT Strom Pipeline'!$C$1:$C$860,$U52)="","",INDEX('MiT Strom Pipeline'!$C$1:$C$860,$U52)))</f>
        <v/>
      </c>
      <c r="D52" s="129" t="str">
        <f aca="false">IF($U52="","",IF(INDEX('MiT Strom Pipeline'!$D$1:$D$860,$U52)="","",INDEX('MiT Strom Pipeline'!$D$1:$D$860,$U52)))</f>
        <v/>
      </c>
      <c r="E52" s="131" t="str">
        <f aca="false">IF($U52="","",IF(ISNUMBER(INDEX('MiT Strom Pipeline'!$O$1:$O$860,$U52)),INDEX('MiT Strom Pipeline'!$O$1:$O$860,$U52),IF(INDEX('MiT Strom Pipeline'!$H$1:$H$860,$U52)="","",INDEX('MiT Strom Pipeline'!$H$1:$H$860,$U52))))</f>
        <v/>
      </c>
      <c r="F52" s="129" t="str">
        <f aca="false">IF($U52="","",IF(INDEX('MiT Strom Pipeline'!$E$1:$E$860,$U52)="","",INDEX('MiT Strom Pipeline'!$E$1:$E$860,$U52)))</f>
        <v/>
      </c>
      <c r="G52" s="132" t="str">
        <f aca="false">IF($U52="","",IF(ISNUMBER(INDEX('MiT Strom Pipeline'!$I$1:$I$860,$U52)),INDEX('MiT Strom Pipeline'!$I$1:$I$860,$U52),0))</f>
        <v/>
      </c>
      <c r="H52" s="132" t="str">
        <f aca="false">IF($U52="","",IF(ISNUMBER(INDEX('MiT Strom Pipeline'!$Q$1:$Q$860,$U52)),INDEX('MiT Strom Pipeline'!$Q$1:$Q$860,$U52),0))</f>
        <v/>
      </c>
      <c r="I52" s="130" t="str">
        <f aca="false">IF($U52="","",INDEX('MiT Strom Pipeline'!$R$1:$R$860,$U52))</f>
        <v/>
      </c>
      <c r="J52" s="133" t="str">
        <f aca="false">IF($U52="","",IF(ISNUMBER(INDEX('MiT Strom Pipeline'!$S$1:$S$860,$U52)),INDEX('MiT Strom Pipeline'!$S$1:$S$860,$U52),""))</f>
        <v/>
      </c>
      <c r="K52" s="129" t="str">
        <f aca="false">IF($U52="","",IF(LEN(INDEX('MiT Strom Pipeline'!$V$1:$V$860,$U52))&gt;0,LEFT(INDEX('MiT Strom Pipeline'!$V$1:$V$860,$U52),55),""))</f>
        <v/>
      </c>
      <c r="L52" s="112"/>
      <c r="M52" s="112"/>
      <c r="N52" s="112"/>
      <c r="O52" s="112"/>
      <c r="P52" s="112"/>
      <c r="Q52" s="112"/>
      <c r="R52" s="112"/>
      <c r="S52" s="112"/>
      <c r="U52" s="1" t="str">
        <f aca="false">IFERROR(MATCH(42,'MiT Strom Pipeline'!$AM$6:$AM$860,0)+5,"")</f>
        <v/>
      </c>
    </row>
    <row r="53" customFormat="false" ht="15.75" hidden="false" customHeight="true" outlineLevel="0" collapsed="false">
      <c r="A53" s="128" t="str">
        <f aca="false">IF($U53="","",IF(ISNUMBER(INDEX('MiT Strom Pipeline'!$A$1:$A$860,$U53)),INDEX('MiT Strom Pipeline'!$A$1:$A$860,$U53),""))</f>
        <v/>
      </c>
      <c r="B53" s="129" t="str">
        <f aca="false">IF($U53="","",IF(INDEX('MiT Strom Pipeline'!$B$1:$B$860,$U53)="","",INDEX('MiT Strom Pipeline'!$B$1:$B$860,$U53)))</f>
        <v/>
      </c>
      <c r="C53" s="130" t="str">
        <f aca="false">IF($U53="","",IF(INDEX('MiT Strom Pipeline'!$C$1:$C$860,$U53)="","",INDEX('MiT Strom Pipeline'!$C$1:$C$860,$U53)))</f>
        <v/>
      </c>
      <c r="D53" s="129" t="str">
        <f aca="false">IF($U53="","",IF(INDEX('MiT Strom Pipeline'!$D$1:$D$860,$U53)="","",INDEX('MiT Strom Pipeline'!$D$1:$D$860,$U53)))</f>
        <v/>
      </c>
      <c r="E53" s="131" t="str">
        <f aca="false">IF($U53="","",IF(ISNUMBER(INDEX('MiT Strom Pipeline'!$O$1:$O$860,$U53)),INDEX('MiT Strom Pipeline'!$O$1:$O$860,$U53),IF(INDEX('MiT Strom Pipeline'!$H$1:$H$860,$U53)="","",INDEX('MiT Strom Pipeline'!$H$1:$H$860,$U53))))</f>
        <v/>
      </c>
      <c r="F53" s="129" t="str">
        <f aca="false">IF($U53="","",IF(INDEX('MiT Strom Pipeline'!$E$1:$E$860,$U53)="","",INDEX('MiT Strom Pipeline'!$E$1:$E$860,$U53)))</f>
        <v/>
      </c>
      <c r="G53" s="132" t="str">
        <f aca="false">IF($U53="","",IF(ISNUMBER(INDEX('MiT Strom Pipeline'!$I$1:$I$860,$U53)),INDEX('MiT Strom Pipeline'!$I$1:$I$860,$U53),0))</f>
        <v/>
      </c>
      <c r="H53" s="132" t="str">
        <f aca="false">IF($U53="","",IF(ISNUMBER(INDEX('MiT Strom Pipeline'!$Q$1:$Q$860,$U53)),INDEX('MiT Strom Pipeline'!$Q$1:$Q$860,$U53),0))</f>
        <v/>
      </c>
      <c r="I53" s="130" t="str">
        <f aca="false">IF($U53="","",INDEX('MiT Strom Pipeline'!$R$1:$R$860,$U53))</f>
        <v/>
      </c>
      <c r="J53" s="133" t="str">
        <f aca="false">IF($U53="","",IF(ISNUMBER(INDEX('MiT Strom Pipeline'!$S$1:$S$860,$U53)),INDEX('MiT Strom Pipeline'!$S$1:$S$860,$U53),""))</f>
        <v/>
      </c>
      <c r="K53" s="129" t="str">
        <f aca="false">IF($U53="","",IF(LEN(INDEX('MiT Strom Pipeline'!$V$1:$V$860,$U53))&gt;0,LEFT(INDEX('MiT Strom Pipeline'!$V$1:$V$860,$U53),55),""))</f>
        <v/>
      </c>
      <c r="L53" s="112"/>
      <c r="M53" s="112"/>
      <c r="N53" s="112"/>
      <c r="O53" s="112"/>
      <c r="P53" s="112"/>
      <c r="Q53" s="112"/>
      <c r="R53" s="112"/>
      <c r="S53" s="112"/>
      <c r="U53" s="1" t="str">
        <f aca="false">IFERROR(MATCH(43,'MiT Strom Pipeline'!$AM$6:$AM$860,0)+5,"")</f>
        <v/>
      </c>
    </row>
    <row r="54" customFormat="false" ht="15.75" hidden="false" customHeight="true" outlineLevel="0" collapsed="false">
      <c r="A54" s="128" t="str">
        <f aca="false">IF($U54="","",IF(ISNUMBER(INDEX('MiT Strom Pipeline'!$A$1:$A$860,$U54)),INDEX('MiT Strom Pipeline'!$A$1:$A$860,$U54),""))</f>
        <v/>
      </c>
      <c r="B54" s="129" t="str">
        <f aca="false">IF($U54="","",IF(INDEX('MiT Strom Pipeline'!$B$1:$B$860,$U54)="","",INDEX('MiT Strom Pipeline'!$B$1:$B$860,$U54)))</f>
        <v/>
      </c>
      <c r="C54" s="130" t="str">
        <f aca="false">IF($U54="","",IF(INDEX('MiT Strom Pipeline'!$C$1:$C$860,$U54)="","",INDEX('MiT Strom Pipeline'!$C$1:$C$860,$U54)))</f>
        <v/>
      </c>
      <c r="D54" s="129" t="str">
        <f aca="false">IF($U54="","",IF(INDEX('MiT Strom Pipeline'!$D$1:$D$860,$U54)="","",INDEX('MiT Strom Pipeline'!$D$1:$D$860,$U54)))</f>
        <v/>
      </c>
      <c r="E54" s="131" t="str">
        <f aca="false">IF($U54="","",IF(ISNUMBER(INDEX('MiT Strom Pipeline'!$O$1:$O$860,$U54)),INDEX('MiT Strom Pipeline'!$O$1:$O$860,$U54),IF(INDEX('MiT Strom Pipeline'!$H$1:$H$860,$U54)="","",INDEX('MiT Strom Pipeline'!$H$1:$H$860,$U54))))</f>
        <v/>
      </c>
      <c r="F54" s="129" t="str">
        <f aca="false">IF($U54="","",IF(INDEX('MiT Strom Pipeline'!$E$1:$E$860,$U54)="","",INDEX('MiT Strom Pipeline'!$E$1:$E$860,$U54)))</f>
        <v/>
      </c>
      <c r="G54" s="132" t="str">
        <f aca="false">IF($U54="","",IF(ISNUMBER(INDEX('MiT Strom Pipeline'!$I$1:$I$860,$U54)),INDEX('MiT Strom Pipeline'!$I$1:$I$860,$U54),0))</f>
        <v/>
      </c>
      <c r="H54" s="132" t="str">
        <f aca="false">IF($U54="","",IF(ISNUMBER(INDEX('MiT Strom Pipeline'!$Q$1:$Q$860,$U54)),INDEX('MiT Strom Pipeline'!$Q$1:$Q$860,$U54),0))</f>
        <v/>
      </c>
      <c r="I54" s="130" t="str">
        <f aca="false">IF($U54="","",INDEX('MiT Strom Pipeline'!$R$1:$R$860,$U54))</f>
        <v/>
      </c>
      <c r="J54" s="133" t="str">
        <f aca="false">IF($U54="","",IF(ISNUMBER(INDEX('MiT Strom Pipeline'!$S$1:$S$860,$U54)),INDEX('MiT Strom Pipeline'!$S$1:$S$860,$U54),""))</f>
        <v/>
      </c>
      <c r="K54" s="129" t="str">
        <f aca="false">IF($U54="","",IF(LEN(INDEX('MiT Strom Pipeline'!$V$1:$V$860,$U54))&gt;0,LEFT(INDEX('MiT Strom Pipeline'!$V$1:$V$860,$U54),55),""))</f>
        <v/>
      </c>
      <c r="L54" s="112"/>
      <c r="M54" s="112"/>
      <c r="N54" s="112"/>
      <c r="O54" s="112"/>
      <c r="P54" s="112"/>
      <c r="Q54" s="112"/>
      <c r="R54" s="112"/>
      <c r="S54" s="112"/>
      <c r="U54" s="1" t="str">
        <f aca="false">IFERROR(MATCH(44,'MiT Strom Pipeline'!$AM$6:$AM$860,0)+5,"")</f>
        <v/>
      </c>
    </row>
    <row r="55" customFormat="false" ht="15.75" hidden="false" customHeight="true" outlineLevel="0" collapsed="false">
      <c r="A55" s="128" t="str">
        <f aca="false">IF($U55="","",IF(ISNUMBER(INDEX('MiT Strom Pipeline'!$A$1:$A$860,$U55)),INDEX('MiT Strom Pipeline'!$A$1:$A$860,$U55),""))</f>
        <v/>
      </c>
      <c r="B55" s="129" t="str">
        <f aca="false">IF($U55="","",IF(INDEX('MiT Strom Pipeline'!$B$1:$B$860,$U55)="","",INDEX('MiT Strom Pipeline'!$B$1:$B$860,$U55)))</f>
        <v/>
      </c>
      <c r="C55" s="130" t="str">
        <f aca="false">IF($U55="","",IF(INDEX('MiT Strom Pipeline'!$C$1:$C$860,$U55)="","",INDEX('MiT Strom Pipeline'!$C$1:$C$860,$U55)))</f>
        <v/>
      </c>
      <c r="D55" s="129" t="str">
        <f aca="false">IF($U55="","",IF(INDEX('MiT Strom Pipeline'!$D$1:$D$860,$U55)="","",INDEX('MiT Strom Pipeline'!$D$1:$D$860,$U55)))</f>
        <v/>
      </c>
      <c r="E55" s="131" t="str">
        <f aca="false">IF($U55="","",IF(ISNUMBER(INDEX('MiT Strom Pipeline'!$O$1:$O$860,$U55)),INDEX('MiT Strom Pipeline'!$O$1:$O$860,$U55),IF(INDEX('MiT Strom Pipeline'!$H$1:$H$860,$U55)="","",INDEX('MiT Strom Pipeline'!$H$1:$H$860,$U55))))</f>
        <v/>
      </c>
      <c r="F55" s="129" t="str">
        <f aca="false">IF($U55="","",IF(INDEX('MiT Strom Pipeline'!$E$1:$E$860,$U55)="","",INDEX('MiT Strom Pipeline'!$E$1:$E$860,$U55)))</f>
        <v/>
      </c>
      <c r="G55" s="132" t="str">
        <f aca="false">IF($U55="","",IF(ISNUMBER(INDEX('MiT Strom Pipeline'!$I$1:$I$860,$U55)),INDEX('MiT Strom Pipeline'!$I$1:$I$860,$U55),0))</f>
        <v/>
      </c>
      <c r="H55" s="132" t="str">
        <f aca="false">IF($U55="","",IF(ISNUMBER(INDEX('MiT Strom Pipeline'!$Q$1:$Q$860,$U55)),INDEX('MiT Strom Pipeline'!$Q$1:$Q$860,$U55),0))</f>
        <v/>
      </c>
      <c r="I55" s="130" t="str">
        <f aca="false">IF($U55="","",INDEX('MiT Strom Pipeline'!$R$1:$R$860,$U55))</f>
        <v/>
      </c>
      <c r="J55" s="133" t="str">
        <f aca="false">IF($U55="","",IF(ISNUMBER(INDEX('MiT Strom Pipeline'!$S$1:$S$860,$U55)),INDEX('MiT Strom Pipeline'!$S$1:$S$860,$U55),""))</f>
        <v/>
      </c>
      <c r="K55" s="129" t="str">
        <f aca="false">IF($U55="","",IF(LEN(INDEX('MiT Strom Pipeline'!$V$1:$V$860,$U55))&gt;0,LEFT(INDEX('MiT Strom Pipeline'!$V$1:$V$860,$U55),55),""))</f>
        <v/>
      </c>
      <c r="L55" s="112"/>
      <c r="M55" s="112"/>
      <c r="N55" s="112"/>
      <c r="O55" s="112"/>
      <c r="P55" s="112"/>
      <c r="Q55" s="112"/>
      <c r="R55" s="112"/>
      <c r="S55" s="112"/>
      <c r="U55" s="1" t="str">
        <f aca="false">IFERROR(MATCH(45,'MiT Strom Pipeline'!$AM$6:$AM$860,0)+5,"")</f>
        <v/>
      </c>
    </row>
    <row r="56" customFormat="false" ht="15.75" hidden="false" customHeight="true" outlineLevel="0" collapsed="false">
      <c r="A56" s="128" t="str">
        <f aca="false">IF($U56="","",IF(ISNUMBER(INDEX('MiT Strom Pipeline'!$A$1:$A$860,$U56)),INDEX('MiT Strom Pipeline'!$A$1:$A$860,$U56),""))</f>
        <v/>
      </c>
      <c r="B56" s="129" t="str">
        <f aca="false">IF($U56="","",IF(INDEX('MiT Strom Pipeline'!$B$1:$B$860,$U56)="","",INDEX('MiT Strom Pipeline'!$B$1:$B$860,$U56)))</f>
        <v/>
      </c>
      <c r="C56" s="130" t="str">
        <f aca="false">IF($U56="","",IF(INDEX('MiT Strom Pipeline'!$C$1:$C$860,$U56)="","",INDEX('MiT Strom Pipeline'!$C$1:$C$860,$U56)))</f>
        <v/>
      </c>
      <c r="D56" s="129" t="str">
        <f aca="false">IF($U56="","",IF(INDEX('MiT Strom Pipeline'!$D$1:$D$860,$U56)="","",INDEX('MiT Strom Pipeline'!$D$1:$D$860,$U56)))</f>
        <v/>
      </c>
      <c r="E56" s="131" t="str">
        <f aca="false">IF($U56="","",IF(ISNUMBER(INDEX('MiT Strom Pipeline'!$O$1:$O$860,$U56)),INDEX('MiT Strom Pipeline'!$O$1:$O$860,$U56),IF(INDEX('MiT Strom Pipeline'!$H$1:$H$860,$U56)="","",INDEX('MiT Strom Pipeline'!$H$1:$H$860,$U56))))</f>
        <v/>
      </c>
      <c r="F56" s="129" t="str">
        <f aca="false">IF($U56="","",IF(INDEX('MiT Strom Pipeline'!$E$1:$E$860,$U56)="","",INDEX('MiT Strom Pipeline'!$E$1:$E$860,$U56)))</f>
        <v/>
      </c>
      <c r="G56" s="132" t="str">
        <f aca="false">IF($U56="","",IF(ISNUMBER(INDEX('MiT Strom Pipeline'!$I$1:$I$860,$U56)),INDEX('MiT Strom Pipeline'!$I$1:$I$860,$U56),0))</f>
        <v/>
      </c>
      <c r="H56" s="132" t="str">
        <f aca="false">IF($U56="","",IF(ISNUMBER(INDEX('MiT Strom Pipeline'!$Q$1:$Q$860,$U56)),INDEX('MiT Strom Pipeline'!$Q$1:$Q$860,$U56),0))</f>
        <v/>
      </c>
      <c r="I56" s="130" t="str">
        <f aca="false">IF($U56="","",INDEX('MiT Strom Pipeline'!$R$1:$R$860,$U56))</f>
        <v/>
      </c>
      <c r="J56" s="133" t="str">
        <f aca="false">IF($U56="","",IF(ISNUMBER(INDEX('MiT Strom Pipeline'!$S$1:$S$860,$U56)),INDEX('MiT Strom Pipeline'!$S$1:$S$860,$U56),""))</f>
        <v/>
      </c>
      <c r="K56" s="129" t="str">
        <f aca="false">IF($U56="","",IF(LEN(INDEX('MiT Strom Pipeline'!$V$1:$V$860,$U56))&gt;0,LEFT(INDEX('MiT Strom Pipeline'!$V$1:$V$860,$U56),55),""))</f>
        <v/>
      </c>
      <c r="L56" s="112"/>
      <c r="M56" s="112"/>
      <c r="N56" s="112"/>
      <c r="O56" s="112"/>
      <c r="P56" s="112"/>
      <c r="Q56" s="112"/>
      <c r="R56" s="112"/>
      <c r="S56" s="112"/>
      <c r="U56" s="1" t="str">
        <f aca="false">IFERROR(MATCH(46,'MiT Strom Pipeline'!$AM$6:$AM$860,0)+5,"")</f>
        <v/>
      </c>
    </row>
    <row r="57" customFormat="false" ht="15.75" hidden="false" customHeight="true" outlineLevel="0" collapsed="false">
      <c r="A57" s="128" t="str">
        <f aca="false">IF($U57="","",IF(ISNUMBER(INDEX('MiT Strom Pipeline'!$A$1:$A$860,$U57)),INDEX('MiT Strom Pipeline'!$A$1:$A$860,$U57),""))</f>
        <v/>
      </c>
      <c r="B57" s="129" t="str">
        <f aca="false">IF($U57="","",IF(INDEX('MiT Strom Pipeline'!$B$1:$B$860,$U57)="","",INDEX('MiT Strom Pipeline'!$B$1:$B$860,$U57)))</f>
        <v/>
      </c>
      <c r="C57" s="130" t="str">
        <f aca="false">IF($U57="","",IF(INDEX('MiT Strom Pipeline'!$C$1:$C$860,$U57)="","",INDEX('MiT Strom Pipeline'!$C$1:$C$860,$U57)))</f>
        <v/>
      </c>
      <c r="D57" s="129" t="str">
        <f aca="false">IF($U57="","",IF(INDEX('MiT Strom Pipeline'!$D$1:$D$860,$U57)="","",INDEX('MiT Strom Pipeline'!$D$1:$D$860,$U57)))</f>
        <v/>
      </c>
      <c r="E57" s="131" t="str">
        <f aca="false">IF($U57="","",IF(ISNUMBER(INDEX('MiT Strom Pipeline'!$O$1:$O$860,$U57)),INDEX('MiT Strom Pipeline'!$O$1:$O$860,$U57),IF(INDEX('MiT Strom Pipeline'!$H$1:$H$860,$U57)="","",INDEX('MiT Strom Pipeline'!$H$1:$H$860,$U57))))</f>
        <v/>
      </c>
      <c r="F57" s="129" t="str">
        <f aca="false">IF($U57="","",IF(INDEX('MiT Strom Pipeline'!$E$1:$E$860,$U57)="","",INDEX('MiT Strom Pipeline'!$E$1:$E$860,$U57)))</f>
        <v/>
      </c>
      <c r="G57" s="132" t="str">
        <f aca="false">IF($U57="","",IF(ISNUMBER(INDEX('MiT Strom Pipeline'!$I$1:$I$860,$U57)),INDEX('MiT Strom Pipeline'!$I$1:$I$860,$U57),0))</f>
        <v/>
      </c>
      <c r="H57" s="132" t="str">
        <f aca="false">IF($U57="","",IF(ISNUMBER(INDEX('MiT Strom Pipeline'!$Q$1:$Q$860,$U57)),INDEX('MiT Strom Pipeline'!$Q$1:$Q$860,$U57),0))</f>
        <v/>
      </c>
      <c r="I57" s="130" t="str">
        <f aca="false">IF($U57="","",INDEX('MiT Strom Pipeline'!$R$1:$R$860,$U57))</f>
        <v/>
      </c>
      <c r="J57" s="133" t="str">
        <f aca="false">IF($U57="","",IF(ISNUMBER(INDEX('MiT Strom Pipeline'!$S$1:$S$860,$U57)),INDEX('MiT Strom Pipeline'!$S$1:$S$860,$U57),""))</f>
        <v/>
      </c>
      <c r="K57" s="129" t="str">
        <f aca="false">IF($U57="","",IF(LEN(INDEX('MiT Strom Pipeline'!$V$1:$V$860,$U57))&gt;0,LEFT(INDEX('MiT Strom Pipeline'!$V$1:$V$860,$U57),55),""))</f>
        <v/>
      </c>
      <c r="L57" s="112"/>
      <c r="M57" s="112"/>
      <c r="N57" s="112"/>
      <c r="O57" s="112"/>
      <c r="P57" s="112"/>
      <c r="Q57" s="112"/>
      <c r="R57" s="112"/>
      <c r="S57" s="112"/>
      <c r="U57" s="1" t="str">
        <f aca="false">IFERROR(MATCH(47,'MiT Strom Pipeline'!$AM$6:$AM$860,0)+5,"")</f>
        <v/>
      </c>
    </row>
    <row r="58" customFormat="false" ht="15.75" hidden="false" customHeight="true" outlineLevel="0" collapsed="false">
      <c r="A58" s="128" t="str">
        <f aca="false">IF($U58="","",IF(ISNUMBER(INDEX('MiT Strom Pipeline'!$A$1:$A$860,$U58)),INDEX('MiT Strom Pipeline'!$A$1:$A$860,$U58),""))</f>
        <v/>
      </c>
      <c r="B58" s="129" t="str">
        <f aca="false">IF($U58="","",IF(INDEX('MiT Strom Pipeline'!$B$1:$B$860,$U58)="","",INDEX('MiT Strom Pipeline'!$B$1:$B$860,$U58)))</f>
        <v/>
      </c>
      <c r="C58" s="130" t="str">
        <f aca="false">IF($U58="","",IF(INDEX('MiT Strom Pipeline'!$C$1:$C$860,$U58)="","",INDEX('MiT Strom Pipeline'!$C$1:$C$860,$U58)))</f>
        <v/>
      </c>
      <c r="D58" s="129" t="str">
        <f aca="false">IF($U58="","",IF(INDEX('MiT Strom Pipeline'!$D$1:$D$860,$U58)="","",INDEX('MiT Strom Pipeline'!$D$1:$D$860,$U58)))</f>
        <v/>
      </c>
      <c r="E58" s="131" t="str">
        <f aca="false">IF($U58="","",IF(ISNUMBER(INDEX('MiT Strom Pipeline'!$O$1:$O$860,$U58)),INDEX('MiT Strom Pipeline'!$O$1:$O$860,$U58),IF(INDEX('MiT Strom Pipeline'!$H$1:$H$860,$U58)="","",INDEX('MiT Strom Pipeline'!$H$1:$H$860,$U58))))</f>
        <v/>
      </c>
      <c r="F58" s="129" t="str">
        <f aca="false">IF($U58="","",IF(INDEX('MiT Strom Pipeline'!$E$1:$E$860,$U58)="","",INDEX('MiT Strom Pipeline'!$E$1:$E$860,$U58)))</f>
        <v/>
      </c>
      <c r="G58" s="132" t="str">
        <f aca="false">IF($U58="","",IF(ISNUMBER(INDEX('MiT Strom Pipeline'!$I$1:$I$860,$U58)),INDEX('MiT Strom Pipeline'!$I$1:$I$860,$U58),0))</f>
        <v/>
      </c>
      <c r="H58" s="132" t="str">
        <f aca="false">IF($U58="","",IF(ISNUMBER(INDEX('MiT Strom Pipeline'!$Q$1:$Q$860,$U58)),INDEX('MiT Strom Pipeline'!$Q$1:$Q$860,$U58),0))</f>
        <v/>
      </c>
      <c r="I58" s="130" t="str">
        <f aca="false">IF($U58="","",INDEX('MiT Strom Pipeline'!$R$1:$R$860,$U58))</f>
        <v/>
      </c>
      <c r="J58" s="133" t="str">
        <f aca="false">IF($U58="","",IF(ISNUMBER(INDEX('MiT Strom Pipeline'!$S$1:$S$860,$U58)),INDEX('MiT Strom Pipeline'!$S$1:$S$860,$U58),""))</f>
        <v/>
      </c>
      <c r="K58" s="129" t="str">
        <f aca="false">IF($U58="","",IF(LEN(INDEX('MiT Strom Pipeline'!$V$1:$V$860,$U58))&gt;0,LEFT(INDEX('MiT Strom Pipeline'!$V$1:$V$860,$U58),55),""))</f>
        <v/>
      </c>
      <c r="L58" s="112"/>
      <c r="M58" s="112"/>
      <c r="N58" s="112"/>
      <c r="O58" s="112"/>
      <c r="P58" s="112"/>
      <c r="Q58" s="112"/>
      <c r="R58" s="112"/>
      <c r="S58" s="112"/>
      <c r="U58" s="1" t="str">
        <f aca="false">IFERROR(MATCH(48,'MiT Strom Pipeline'!$AM$6:$AM$860,0)+5,"")</f>
        <v/>
      </c>
    </row>
    <row r="59" customFormat="false" ht="15.75" hidden="false" customHeight="true" outlineLevel="0" collapsed="false">
      <c r="A59" s="128" t="str">
        <f aca="false">IF($U59="","",IF(ISNUMBER(INDEX('MiT Strom Pipeline'!$A$1:$A$860,$U59)),INDEX('MiT Strom Pipeline'!$A$1:$A$860,$U59),""))</f>
        <v/>
      </c>
      <c r="B59" s="129" t="str">
        <f aca="false">IF($U59="","",IF(INDEX('MiT Strom Pipeline'!$B$1:$B$860,$U59)="","",INDEX('MiT Strom Pipeline'!$B$1:$B$860,$U59)))</f>
        <v/>
      </c>
      <c r="C59" s="130" t="str">
        <f aca="false">IF($U59="","",IF(INDEX('MiT Strom Pipeline'!$C$1:$C$860,$U59)="","",INDEX('MiT Strom Pipeline'!$C$1:$C$860,$U59)))</f>
        <v/>
      </c>
      <c r="D59" s="129" t="str">
        <f aca="false">IF($U59="","",IF(INDEX('MiT Strom Pipeline'!$D$1:$D$860,$U59)="","",INDEX('MiT Strom Pipeline'!$D$1:$D$860,$U59)))</f>
        <v/>
      </c>
      <c r="E59" s="131" t="str">
        <f aca="false">IF($U59="","",IF(ISNUMBER(INDEX('MiT Strom Pipeline'!$O$1:$O$860,$U59)),INDEX('MiT Strom Pipeline'!$O$1:$O$860,$U59),IF(INDEX('MiT Strom Pipeline'!$H$1:$H$860,$U59)="","",INDEX('MiT Strom Pipeline'!$H$1:$H$860,$U59))))</f>
        <v/>
      </c>
      <c r="F59" s="129" t="str">
        <f aca="false">IF($U59="","",IF(INDEX('MiT Strom Pipeline'!$E$1:$E$860,$U59)="","",INDEX('MiT Strom Pipeline'!$E$1:$E$860,$U59)))</f>
        <v/>
      </c>
      <c r="G59" s="132" t="str">
        <f aca="false">IF($U59="","",IF(ISNUMBER(INDEX('MiT Strom Pipeline'!$I$1:$I$860,$U59)),INDEX('MiT Strom Pipeline'!$I$1:$I$860,$U59),0))</f>
        <v/>
      </c>
      <c r="H59" s="132" t="str">
        <f aca="false">IF($U59="","",IF(ISNUMBER(INDEX('MiT Strom Pipeline'!$Q$1:$Q$860,$U59)),INDEX('MiT Strom Pipeline'!$Q$1:$Q$860,$U59),0))</f>
        <v/>
      </c>
      <c r="I59" s="130" t="str">
        <f aca="false">IF($U59="","",INDEX('MiT Strom Pipeline'!$R$1:$R$860,$U59))</f>
        <v/>
      </c>
      <c r="J59" s="133" t="str">
        <f aca="false">IF($U59="","",IF(ISNUMBER(INDEX('MiT Strom Pipeline'!$S$1:$S$860,$U59)),INDEX('MiT Strom Pipeline'!$S$1:$S$860,$U59),""))</f>
        <v/>
      </c>
      <c r="K59" s="129" t="str">
        <f aca="false">IF($U59="","",IF(LEN(INDEX('MiT Strom Pipeline'!$V$1:$V$860,$U59))&gt;0,LEFT(INDEX('MiT Strom Pipeline'!$V$1:$V$860,$U59),55),""))</f>
        <v/>
      </c>
      <c r="L59" s="112"/>
      <c r="M59" s="112"/>
      <c r="N59" s="112"/>
      <c r="O59" s="112"/>
      <c r="P59" s="112"/>
      <c r="Q59" s="112"/>
      <c r="R59" s="112"/>
      <c r="S59" s="112"/>
      <c r="U59" s="1" t="str">
        <f aca="false">IFERROR(MATCH(49,'MiT Strom Pipeline'!$AM$6:$AM$860,0)+5,"")</f>
        <v/>
      </c>
    </row>
    <row r="60" customFormat="false" ht="15.75" hidden="false" customHeight="true" outlineLevel="0" collapsed="false">
      <c r="A60" s="128" t="str">
        <f aca="false">IF($U60="","",IF(ISNUMBER(INDEX('MiT Strom Pipeline'!$A$1:$A$860,$U60)),INDEX('MiT Strom Pipeline'!$A$1:$A$860,$U60),""))</f>
        <v/>
      </c>
      <c r="B60" s="129" t="str">
        <f aca="false">IF($U60="","",IF(INDEX('MiT Strom Pipeline'!$B$1:$B$860,$U60)="","",INDEX('MiT Strom Pipeline'!$B$1:$B$860,$U60)))</f>
        <v/>
      </c>
      <c r="C60" s="130" t="str">
        <f aca="false">IF($U60="","",IF(INDEX('MiT Strom Pipeline'!$C$1:$C$860,$U60)="","",INDEX('MiT Strom Pipeline'!$C$1:$C$860,$U60)))</f>
        <v/>
      </c>
      <c r="D60" s="129" t="str">
        <f aca="false">IF($U60="","",IF(INDEX('MiT Strom Pipeline'!$D$1:$D$860,$U60)="","",INDEX('MiT Strom Pipeline'!$D$1:$D$860,$U60)))</f>
        <v/>
      </c>
      <c r="E60" s="131" t="str">
        <f aca="false">IF($U60="","",IF(ISNUMBER(INDEX('MiT Strom Pipeline'!$O$1:$O$860,$U60)),INDEX('MiT Strom Pipeline'!$O$1:$O$860,$U60),IF(INDEX('MiT Strom Pipeline'!$H$1:$H$860,$U60)="","",INDEX('MiT Strom Pipeline'!$H$1:$H$860,$U60))))</f>
        <v/>
      </c>
      <c r="F60" s="129" t="str">
        <f aca="false">IF($U60="","",IF(INDEX('MiT Strom Pipeline'!$E$1:$E$860,$U60)="","",INDEX('MiT Strom Pipeline'!$E$1:$E$860,$U60)))</f>
        <v/>
      </c>
      <c r="G60" s="132" t="str">
        <f aca="false">IF($U60="","",IF(ISNUMBER(INDEX('MiT Strom Pipeline'!$I$1:$I$860,$U60)),INDEX('MiT Strom Pipeline'!$I$1:$I$860,$U60),0))</f>
        <v/>
      </c>
      <c r="H60" s="132" t="str">
        <f aca="false">IF($U60="","",IF(ISNUMBER(INDEX('MiT Strom Pipeline'!$Q$1:$Q$860,$U60)),INDEX('MiT Strom Pipeline'!$Q$1:$Q$860,$U60),0))</f>
        <v/>
      </c>
      <c r="I60" s="130" t="str">
        <f aca="false">IF($U60="","",INDEX('MiT Strom Pipeline'!$R$1:$R$860,$U60))</f>
        <v/>
      </c>
      <c r="J60" s="133" t="str">
        <f aca="false">IF($U60="","",IF(ISNUMBER(INDEX('MiT Strom Pipeline'!$S$1:$S$860,$U60)),INDEX('MiT Strom Pipeline'!$S$1:$S$860,$U60),""))</f>
        <v/>
      </c>
      <c r="K60" s="129" t="str">
        <f aca="false">IF($U60="","",IF(LEN(INDEX('MiT Strom Pipeline'!$V$1:$V$860,$U60))&gt;0,LEFT(INDEX('MiT Strom Pipeline'!$V$1:$V$860,$U60),55),""))</f>
        <v/>
      </c>
      <c r="L60" s="112"/>
      <c r="M60" s="112"/>
      <c r="N60" s="112"/>
      <c r="O60" s="112"/>
      <c r="P60" s="112"/>
      <c r="Q60" s="112"/>
      <c r="R60" s="112"/>
      <c r="S60" s="112"/>
      <c r="U60" s="1" t="str">
        <f aca="false">IFERROR(MATCH(50,'MiT Strom Pipeline'!$AM$6:$AM$860,0)+5,"")</f>
        <v/>
      </c>
    </row>
    <row r="61" customFormat="false" ht="15.75" hidden="false" customHeight="true" outlineLevel="0" collapsed="false">
      <c r="A61" s="128" t="str">
        <f aca="false">IF($U61="","",IF(ISNUMBER(INDEX('MiT Strom Pipeline'!$A$1:$A$860,$U61)),INDEX('MiT Strom Pipeline'!$A$1:$A$860,$U61),""))</f>
        <v/>
      </c>
      <c r="B61" s="129" t="str">
        <f aca="false">IF($U61="","",IF(INDEX('MiT Strom Pipeline'!$B$1:$B$860,$U61)="","",INDEX('MiT Strom Pipeline'!$B$1:$B$860,$U61)))</f>
        <v/>
      </c>
      <c r="C61" s="130" t="str">
        <f aca="false">IF($U61="","",IF(INDEX('MiT Strom Pipeline'!$C$1:$C$860,$U61)="","",INDEX('MiT Strom Pipeline'!$C$1:$C$860,$U61)))</f>
        <v/>
      </c>
      <c r="D61" s="129" t="str">
        <f aca="false">IF($U61="","",IF(INDEX('MiT Strom Pipeline'!$D$1:$D$860,$U61)="","",INDEX('MiT Strom Pipeline'!$D$1:$D$860,$U61)))</f>
        <v/>
      </c>
      <c r="E61" s="131" t="str">
        <f aca="false">IF($U61="","",IF(ISNUMBER(INDEX('MiT Strom Pipeline'!$O$1:$O$860,$U61)),INDEX('MiT Strom Pipeline'!$O$1:$O$860,$U61),IF(INDEX('MiT Strom Pipeline'!$H$1:$H$860,$U61)="","",INDEX('MiT Strom Pipeline'!$H$1:$H$860,$U61))))</f>
        <v/>
      </c>
      <c r="F61" s="129" t="str">
        <f aca="false">IF($U61="","",IF(INDEX('MiT Strom Pipeline'!$E$1:$E$860,$U61)="","",INDEX('MiT Strom Pipeline'!$E$1:$E$860,$U61)))</f>
        <v/>
      </c>
      <c r="G61" s="132" t="str">
        <f aca="false">IF($U61="","",IF(ISNUMBER(INDEX('MiT Strom Pipeline'!$I$1:$I$860,$U61)),INDEX('MiT Strom Pipeline'!$I$1:$I$860,$U61),0))</f>
        <v/>
      </c>
      <c r="H61" s="132" t="str">
        <f aca="false">IF($U61="","",IF(ISNUMBER(INDEX('MiT Strom Pipeline'!$Q$1:$Q$860,$U61)),INDEX('MiT Strom Pipeline'!$Q$1:$Q$860,$U61),0))</f>
        <v/>
      </c>
      <c r="I61" s="130" t="str">
        <f aca="false">IF($U61="","",INDEX('MiT Strom Pipeline'!$R$1:$R$860,$U61))</f>
        <v/>
      </c>
      <c r="J61" s="133" t="str">
        <f aca="false">IF($U61="","",IF(ISNUMBER(INDEX('MiT Strom Pipeline'!$S$1:$S$860,$U61)),INDEX('MiT Strom Pipeline'!$S$1:$S$860,$U61),""))</f>
        <v/>
      </c>
      <c r="K61" s="129" t="str">
        <f aca="false">IF($U61="","",IF(LEN(INDEX('MiT Strom Pipeline'!$V$1:$V$860,$U61))&gt;0,LEFT(INDEX('MiT Strom Pipeline'!$V$1:$V$860,$U61),55),""))</f>
        <v/>
      </c>
      <c r="L61" s="112"/>
      <c r="M61" s="112"/>
      <c r="N61" s="112"/>
      <c r="O61" s="112"/>
      <c r="P61" s="112"/>
      <c r="Q61" s="112"/>
      <c r="R61" s="112"/>
      <c r="S61" s="112"/>
      <c r="U61" s="1" t="str">
        <f aca="false">IFERROR(MATCH(51,'MiT Strom Pipeline'!$AM$6:$AM$860,0)+5,"")</f>
        <v/>
      </c>
    </row>
    <row r="62" customFormat="false" ht="15.75" hidden="false" customHeight="true" outlineLevel="0" collapsed="false">
      <c r="A62" s="128" t="str">
        <f aca="false">IF($U62="","",IF(ISNUMBER(INDEX('MiT Strom Pipeline'!$A$1:$A$860,$U62)),INDEX('MiT Strom Pipeline'!$A$1:$A$860,$U62),""))</f>
        <v/>
      </c>
      <c r="B62" s="129" t="str">
        <f aca="false">IF($U62="","",IF(INDEX('MiT Strom Pipeline'!$B$1:$B$860,$U62)="","",INDEX('MiT Strom Pipeline'!$B$1:$B$860,$U62)))</f>
        <v/>
      </c>
      <c r="C62" s="130" t="str">
        <f aca="false">IF($U62="","",IF(INDEX('MiT Strom Pipeline'!$C$1:$C$860,$U62)="","",INDEX('MiT Strom Pipeline'!$C$1:$C$860,$U62)))</f>
        <v/>
      </c>
      <c r="D62" s="129" t="str">
        <f aca="false">IF($U62="","",IF(INDEX('MiT Strom Pipeline'!$D$1:$D$860,$U62)="","",INDEX('MiT Strom Pipeline'!$D$1:$D$860,$U62)))</f>
        <v/>
      </c>
      <c r="E62" s="131" t="str">
        <f aca="false">IF($U62="","",IF(ISNUMBER(INDEX('MiT Strom Pipeline'!$O$1:$O$860,$U62)),INDEX('MiT Strom Pipeline'!$O$1:$O$860,$U62),IF(INDEX('MiT Strom Pipeline'!$H$1:$H$860,$U62)="","",INDEX('MiT Strom Pipeline'!$H$1:$H$860,$U62))))</f>
        <v/>
      </c>
      <c r="F62" s="129" t="str">
        <f aca="false">IF($U62="","",IF(INDEX('MiT Strom Pipeline'!$E$1:$E$860,$U62)="","",INDEX('MiT Strom Pipeline'!$E$1:$E$860,$U62)))</f>
        <v/>
      </c>
      <c r="G62" s="132" t="str">
        <f aca="false">IF($U62="","",IF(ISNUMBER(INDEX('MiT Strom Pipeline'!$I$1:$I$860,$U62)),INDEX('MiT Strom Pipeline'!$I$1:$I$860,$U62),0))</f>
        <v/>
      </c>
      <c r="H62" s="132" t="str">
        <f aca="false">IF($U62="","",IF(ISNUMBER(INDEX('MiT Strom Pipeline'!$Q$1:$Q$860,$U62)),INDEX('MiT Strom Pipeline'!$Q$1:$Q$860,$U62),0))</f>
        <v/>
      </c>
      <c r="I62" s="130" t="str">
        <f aca="false">IF($U62="","",INDEX('MiT Strom Pipeline'!$R$1:$R$860,$U62))</f>
        <v/>
      </c>
      <c r="J62" s="133" t="str">
        <f aca="false">IF($U62="","",IF(ISNUMBER(INDEX('MiT Strom Pipeline'!$S$1:$S$860,$U62)),INDEX('MiT Strom Pipeline'!$S$1:$S$860,$U62),""))</f>
        <v/>
      </c>
      <c r="K62" s="129" t="str">
        <f aca="false">IF($U62="","",IF(LEN(INDEX('MiT Strom Pipeline'!$V$1:$V$860,$U62))&gt;0,LEFT(INDEX('MiT Strom Pipeline'!$V$1:$V$860,$U62),55),""))</f>
        <v/>
      </c>
      <c r="L62" s="112"/>
      <c r="M62" s="112"/>
      <c r="N62" s="112"/>
      <c r="O62" s="112"/>
      <c r="P62" s="112"/>
      <c r="Q62" s="112"/>
      <c r="R62" s="112"/>
      <c r="S62" s="112"/>
      <c r="U62" s="1" t="str">
        <f aca="false">IFERROR(MATCH(52,'MiT Strom Pipeline'!$AM$6:$AM$860,0)+5,"")</f>
        <v/>
      </c>
    </row>
    <row r="63" customFormat="false" ht="15.75" hidden="false" customHeight="true" outlineLevel="0" collapsed="false">
      <c r="A63" s="128" t="str">
        <f aca="false">IF($U63="","",IF(ISNUMBER(INDEX('MiT Strom Pipeline'!$A$1:$A$860,$U63)),INDEX('MiT Strom Pipeline'!$A$1:$A$860,$U63),""))</f>
        <v/>
      </c>
      <c r="B63" s="129" t="str">
        <f aca="false">IF($U63="","",IF(INDEX('MiT Strom Pipeline'!$B$1:$B$860,$U63)="","",INDEX('MiT Strom Pipeline'!$B$1:$B$860,$U63)))</f>
        <v/>
      </c>
      <c r="C63" s="130" t="str">
        <f aca="false">IF($U63="","",IF(INDEX('MiT Strom Pipeline'!$C$1:$C$860,$U63)="","",INDEX('MiT Strom Pipeline'!$C$1:$C$860,$U63)))</f>
        <v/>
      </c>
      <c r="D63" s="129" t="str">
        <f aca="false">IF($U63="","",IF(INDEX('MiT Strom Pipeline'!$D$1:$D$860,$U63)="","",INDEX('MiT Strom Pipeline'!$D$1:$D$860,$U63)))</f>
        <v/>
      </c>
      <c r="E63" s="131" t="str">
        <f aca="false">IF($U63="","",IF(ISNUMBER(INDEX('MiT Strom Pipeline'!$O$1:$O$860,$U63)),INDEX('MiT Strom Pipeline'!$O$1:$O$860,$U63),IF(INDEX('MiT Strom Pipeline'!$H$1:$H$860,$U63)="","",INDEX('MiT Strom Pipeline'!$H$1:$H$860,$U63))))</f>
        <v/>
      </c>
      <c r="F63" s="129" t="str">
        <f aca="false">IF($U63="","",IF(INDEX('MiT Strom Pipeline'!$E$1:$E$860,$U63)="","",INDEX('MiT Strom Pipeline'!$E$1:$E$860,$U63)))</f>
        <v/>
      </c>
      <c r="G63" s="132" t="str">
        <f aca="false">IF($U63="","",IF(ISNUMBER(INDEX('MiT Strom Pipeline'!$I$1:$I$860,$U63)),INDEX('MiT Strom Pipeline'!$I$1:$I$860,$U63),0))</f>
        <v/>
      </c>
      <c r="H63" s="132" t="str">
        <f aca="false">IF($U63="","",IF(ISNUMBER(INDEX('MiT Strom Pipeline'!$Q$1:$Q$860,$U63)),INDEX('MiT Strom Pipeline'!$Q$1:$Q$860,$U63),0))</f>
        <v/>
      </c>
      <c r="I63" s="130" t="str">
        <f aca="false">IF($U63="","",INDEX('MiT Strom Pipeline'!$R$1:$R$860,$U63))</f>
        <v/>
      </c>
      <c r="J63" s="133" t="str">
        <f aca="false">IF($U63="","",IF(ISNUMBER(INDEX('MiT Strom Pipeline'!$S$1:$S$860,$U63)),INDEX('MiT Strom Pipeline'!$S$1:$S$860,$U63),""))</f>
        <v/>
      </c>
      <c r="K63" s="129" t="str">
        <f aca="false">IF($U63="","",IF(LEN(INDEX('MiT Strom Pipeline'!$V$1:$V$860,$U63))&gt;0,LEFT(INDEX('MiT Strom Pipeline'!$V$1:$V$860,$U63),55),""))</f>
        <v/>
      </c>
      <c r="L63" s="112"/>
      <c r="M63" s="112"/>
      <c r="N63" s="112"/>
      <c r="O63" s="112"/>
      <c r="P63" s="112"/>
      <c r="Q63" s="112"/>
      <c r="R63" s="112"/>
      <c r="S63" s="112"/>
      <c r="U63" s="1" t="str">
        <f aca="false">IFERROR(MATCH(53,'MiT Strom Pipeline'!$AM$6:$AM$860,0)+5,"")</f>
        <v/>
      </c>
    </row>
    <row r="64" customFormat="false" ht="15.75" hidden="false" customHeight="true" outlineLevel="0" collapsed="false">
      <c r="A64" s="128" t="str">
        <f aca="false">IF($U64="","",IF(ISNUMBER(INDEX('MiT Strom Pipeline'!$A$1:$A$860,$U64)),INDEX('MiT Strom Pipeline'!$A$1:$A$860,$U64),""))</f>
        <v/>
      </c>
      <c r="B64" s="129" t="str">
        <f aca="false">IF($U64="","",IF(INDEX('MiT Strom Pipeline'!$B$1:$B$860,$U64)="","",INDEX('MiT Strom Pipeline'!$B$1:$B$860,$U64)))</f>
        <v/>
      </c>
      <c r="C64" s="130" t="str">
        <f aca="false">IF($U64="","",IF(INDEX('MiT Strom Pipeline'!$C$1:$C$860,$U64)="","",INDEX('MiT Strom Pipeline'!$C$1:$C$860,$U64)))</f>
        <v/>
      </c>
      <c r="D64" s="129" t="str">
        <f aca="false">IF($U64="","",IF(INDEX('MiT Strom Pipeline'!$D$1:$D$860,$U64)="","",INDEX('MiT Strom Pipeline'!$D$1:$D$860,$U64)))</f>
        <v/>
      </c>
      <c r="E64" s="131" t="str">
        <f aca="false">IF($U64="","",IF(ISNUMBER(INDEX('MiT Strom Pipeline'!$O$1:$O$860,$U64)),INDEX('MiT Strom Pipeline'!$O$1:$O$860,$U64),IF(INDEX('MiT Strom Pipeline'!$H$1:$H$860,$U64)="","",INDEX('MiT Strom Pipeline'!$H$1:$H$860,$U64))))</f>
        <v/>
      </c>
      <c r="F64" s="129" t="str">
        <f aca="false">IF($U64="","",IF(INDEX('MiT Strom Pipeline'!$E$1:$E$860,$U64)="","",INDEX('MiT Strom Pipeline'!$E$1:$E$860,$U64)))</f>
        <v/>
      </c>
      <c r="G64" s="132" t="str">
        <f aca="false">IF($U64="","",IF(ISNUMBER(INDEX('MiT Strom Pipeline'!$I$1:$I$860,$U64)),INDEX('MiT Strom Pipeline'!$I$1:$I$860,$U64),0))</f>
        <v/>
      </c>
      <c r="H64" s="132" t="str">
        <f aca="false">IF($U64="","",IF(ISNUMBER(INDEX('MiT Strom Pipeline'!$Q$1:$Q$860,$U64)),INDEX('MiT Strom Pipeline'!$Q$1:$Q$860,$U64),0))</f>
        <v/>
      </c>
      <c r="I64" s="130" t="str">
        <f aca="false">IF($U64="","",INDEX('MiT Strom Pipeline'!$R$1:$R$860,$U64))</f>
        <v/>
      </c>
      <c r="J64" s="133" t="str">
        <f aca="false">IF($U64="","",IF(ISNUMBER(INDEX('MiT Strom Pipeline'!$S$1:$S$860,$U64)),INDEX('MiT Strom Pipeline'!$S$1:$S$860,$U64),""))</f>
        <v/>
      </c>
      <c r="K64" s="129" t="str">
        <f aca="false">IF($U64="","",IF(LEN(INDEX('MiT Strom Pipeline'!$V$1:$V$860,$U64))&gt;0,LEFT(INDEX('MiT Strom Pipeline'!$V$1:$V$860,$U64),55),""))</f>
        <v/>
      </c>
      <c r="L64" s="112"/>
      <c r="M64" s="112"/>
      <c r="N64" s="112"/>
      <c r="O64" s="112"/>
      <c r="P64" s="112"/>
      <c r="Q64" s="112"/>
      <c r="R64" s="112"/>
      <c r="S64" s="112"/>
      <c r="U64" s="1" t="str">
        <f aca="false">IFERROR(MATCH(54,'MiT Strom Pipeline'!$AM$6:$AM$860,0)+5,"")</f>
        <v/>
      </c>
    </row>
    <row r="65" customFormat="false" ht="15.75" hidden="false" customHeight="true" outlineLevel="0" collapsed="false">
      <c r="A65" s="128" t="str">
        <f aca="false">IF($U65="","",IF(ISNUMBER(INDEX('MiT Strom Pipeline'!$A$1:$A$860,$U65)),INDEX('MiT Strom Pipeline'!$A$1:$A$860,$U65),""))</f>
        <v/>
      </c>
      <c r="B65" s="129" t="str">
        <f aca="false">IF($U65="","",IF(INDEX('MiT Strom Pipeline'!$B$1:$B$860,$U65)="","",INDEX('MiT Strom Pipeline'!$B$1:$B$860,$U65)))</f>
        <v/>
      </c>
      <c r="C65" s="130" t="str">
        <f aca="false">IF($U65="","",IF(INDEX('MiT Strom Pipeline'!$C$1:$C$860,$U65)="","",INDEX('MiT Strom Pipeline'!$C$1:$C$860,$U65)))</f>
        <v/>
      </c>
      <c r="D65" s="129" t="str">
        <f aca="false">IF($U65="","",IF(INDEX('MiT Strom Pipeline'!$D$1:$D$860,$U65)="","",INDEX('MiT Strom Pipeline'!$D$1:$D$860,$U65)))</f>
        <v/>
      </c>
      <c r="E65" s="131" t="str">
        <f aca="false">IF($U65="","",IF(ISNUMBER(INDEX('MiT Strom Pipeline'!$O$1:$O$860,$U65)),INDEX('MiT Strom Pipeline'!$O$1:$O$860,$U65),IF(INDEX('MiT Strom Pipeline'!$H$1:$H$860,$U65)="","",INDEX('MiT Strom Pipeline'!$H$1:$H$860,$U65))))</f>
        <v/>
      </c>
      <c r="F65" s="129" t="str">
        <f aca="false">IF($U65="","",IF(INDEX('MiT Strom Pipeline'!$E$1:$E$860,$U65)="","",INDEX('MiT Strom Pipeline'!$E$1:$E$860,$U65)))</f>
        <v/>
      </c>
      <c r="G65" s="132" t="str">
        <f aca="false">IF($U65="","",IF(ISNUMBER(INDEX('MiT Strom Pipeline'!$I$1:$I$860,$U65)),INDEX('MiT Strom Pipeline'!$I$1:$I$860,$U65),0))</f>
        <v/>
      </c>
      <c r="H65" s="132" t="str">
        <f aca="false">IF($U65="","",IF(ISNUMBER(INDEX('MiT Strom Pipeline'!$Q$1:$Q$860,$U65)),INDEX('MiT Strom Pipeline'!$Q$1:$Q$860,$U65),0))</f>
        <v/>
      </c>
      <c r="I65" s="130" t="str">
        <f aca="false">IF($U65="","",INDEX('MiT Strom Pipeline'!$R$1:$R$860,$U65))</f>
        <v/>
      </c>
      <c r="J65" s="133" t="str">
        <f aca="false">IF($U65="","",IF(ISNUMBER(INDEX('MiT Strom Pipeline'!$S$1:$S$860,$U65)),INDEX('MiT Strom Pipeline'!$S$1:$S$860,$U65),""))</f>
        <v/>
      </c>
      <c r="K65" s="129" t="str">
        <f aca="false">IF($U65="","",IF(LEN(INDEX('MiT Strom Pipeline'!$V$1:$V$860,$U65))&gt;0,LEFT(INDEX('MiT Strom Pipeline'!$V$1:$V$860,$U65),55),""))</f>
        <v/>
      </c>
      <c r="L65" s="112"/>
      <c r="M65" s="112"/>
      <c r="N65" s="112"/>
      <c r="O65" s="112"/>
      <c r="P65" s="112"/>
      <c r="Q65" s="112"/>
      <c r="R65" s="112"/>
      <c r="S65" s="112"/>
      <c r="U65" s="1" t="str">
        <f aca="false">IFERROR(MATCH(55,'MiT Strom Pipeline'!$AM$6:$AM$860,0)+5,"")</f>
        <v/>
      </c>
    </row>
    <row r="66" customFormat="false" ht="15.75" hidden="false" customHeight="true" outlineLevel="0" collapsed="false">
      <c r="A66" s="128" t="str">
        <f aca="false">IF($U66="","",IF(ISNUMBER(INDEX('MiT Strom Pipeline'!$A$1:$A$860,$U66)),INDEX('MiT Strom Pipeline'!$A$1:$A$860,$U66),""))</f>
        <v/>
      </c>
      <c r="B66" s="129" t="str">
        <f aca="false">IF($U66="","",IF(INDEX('MiT Strom Pipeline'!$B$1:$B$860,$U66)="","",INDEX('MiT Strom Pipeline'!$B$1:$B$860,$U66)))</f>
        <v/>
      </c>
      <c r="C66" s="130" t="str">
        <f aca="false">IF($U66="","",IF(INDEX('MiT Strom Pipeline'!$C$1:$C$860,$U66)="","",INDEX('MiT Strom Pipeline'!$C$1:$C$860,$U66)))</f>
        <v/>
      </c>
      <c r="D66" s="129" t="str">
        <f aca="false">IF($U66="","",IF(INDEX('MiT Strom Pipeline'!$D$1:$D$860,$U66)="","",INDEX('MiT Strom Pipeline'!$D$1:$D$860,$U66)))</f>
        <v/>
      </c>
      <c r="E66" s="131" t="str">
        <f aca="false">IF($U66="","",IF(ISNUMBER(INDEX('MiT Strom Pipeline'!$O$1:$O$860,$U66)),INDEX('MiT Strom Pipeline'!$O$1:$O$860,$U66),IF(INDEX('MiT Strom Pipeline'!$H$1:$H$860,$U66)="","",INDEX('MiT Strom Pipeline'!$H$1:$H$860,$U66))))</f>
        <v/>
      </c>
      <c r="F66" s="129" t="str">
        <f aca="false">IF($U66="","",IF(INDEX('MiT Strom Pipeline'!$E$1:$E$860,$U66)="","",INDEX('MiT Strom Pipeline'!$E$1:$E$860,$U66)))</f>
        <v/>
      </c>
      <c r="G66" s="132" t="str">
        <f aca="false">IF($U66="","",IF(ISNUMBER(INDEX('MiT Strom Pipeline'!$I$1:$I$860,$U66)),INDEX('MiT Strom Pipeline'!$I$1:$I$860,$U66),0))</f>
        <v/>
      </c>
      <c r="H66" s="132" t="str">
        <f aca="false">IF($U66="","",IF(ISNUMBER(INDEX('MiT Strom Pipeline'!$Q$1:$Q$860,$U66)),INDEX('MiT Strom Pipeline'!$Q$1:$Q$860,$U66),0))</f>
        <v/>
      </c>
      <c r="I66" s="130" t="str">
        <f aca="false">IF($U66="","",INDEX('MiT Strom Pipeline'!$R$1:$R$860,$U66))</f>
        <v/>
      </c>
      <c r="J66" s="133" t="str">
        <f aca="false">IF($U66="","",IF(ISNUMBER(INDEX('MiT Strom Pipeline'!$S$1:$S$860,$U66)),INDEX('MiT Strom Pipeline'!$S$1:$S$860,$U66),""))</f>
        <v/>
      </c>
      <c r="K66" s="129" t="str">
        <f aca="false">IF($U66="","",IF(LEN(INDEX('MiT Strom Pipeline'!$V$1:$V$860,$U66))&gt;0,LEFT(INDEX('MiT Strom Pipeline'!$V$1:$V$860,$U66),55),""))</f>
        <v/>
      </c>
      <c r="L66" s="112"/>
      <c r="M66" s="112"/>
      <c r="N66" s="112"/>
      <c r="O66" s="112"/>
      <c r="P66" s="112"/>
      <c r="Q66" s="112"/>
      <c r="R66" s="112"/>
      <c r="S66" s="112"/>
      <c r="U66" s="1" t="str">
        <f aca="false">IFERROR(MATCH(56,'MiT Strom Pipeline'!$AM$6:$AM$860,0)+5,"")</f>
        <v/>
      </c>
    </row>
    <row r="67" customFormat="false" ht="15.75" hidden="false" customHeight="true" outlineLevel="0" collapsed="false">
      <c r="A67" s="128" t="str">
        <f aca="false">IF($U67="","",IF(ISNUMBER(INDEX('MiT Strom Pipeline'!$A$1:$A$860,$U67)),INDEX('MiT Strom Pipeline'!$A$1:$A$860,$U67),""))</f>
        <v/>
      </c>
      <c r="B67" s="129" t="str">
        <f aca="false">IF($U67="","",IF(INDEX('MiT Strom Pipeline'!$B$1:$B$860,$U67)="","",INDEX('MiT Strom Pipeline'!$B$1:$B$860,$U67)))</f>
        <v/>
      </c>
      <c r="C67" s="130" t="str">
        <f aca="false">IF($U67="","",IF(INDEX('MiT Strom Pipeline'!$C$1:$C$860,$U67)="","",INDEX('MiT Strom Pipeline'!$C$1:$C$860,$U67)))</f>
        <v/>
      </c>
      <c r="D67" s="129" t="str">
        <f aca="false">IF($U67="","",IF(INDEX('MiT Strom Pipeline'!$D$1:$D$860,$U67)="","",INDEX('MiT Strom Pipeline'!$D$1:$D$860,$U67)))</f>
        <v/>
      </c>
      <c r="E67" s="131" t="str">
        <f aca="false">IF($U67="","",IF(ISNUMBER(INDEX('MiT Strom Pipeline'!$O$1:$O$860,$U67)),INDEX('MiT Strom Pipeline'!$O$1:$O$860,$U67),IF(INDEX('MiT Strom Pipeline'!$H$1:$H$860,$U67)="","",INDEX('MiT Strom Pipeline'!$H$1:$H$860,$U67))))</f>
        <v/>
      </c>
      <c r="F67" s="129" t="str">
        <f aca="false">IF($U67="","",IF(INDEX('MiT Strom Pipeline'!$E$1:$E$860,$U67)="","",INDEX('MiT Strom Pipeline'!$E$1:$E$860,$U67)))</f>
        <v/>
      </c>
      <c r="G67" s="132" t="str">
        <f aca="false">IF($U67="","",IF(ISNUMBER(INDEX('MiT Strom Pipeline'!$I$1:$I$860,$U67)),INDEX('MiT Strom Pipeline'!$I$1:$I$860,$U67),0))</f>
        <v/>
      </c>
      <c r="H67" s="132" t="str">
        <f aca="false">IF($U67="","",IF(ISNUMBER(INDEX('MiT Strom Pipeline'!$Q$1:$Q$860,$U67)),INDEX('MiT Strom Pipeline'!$Q$1:$Q$860,$U67),0))</f>
        <v/>
      </c>
      <c r="I67" s="130" t="str">
        <f aca="false">IF($U67="","",INDEX('MiT Strom Pipeline'!$R$1:$R$860,$U67))</f>
        <v/>
      </c>
      <c r="J67" s="133" t="str">
        <f aca="false">IF($U67="","",IF(ISNUMBER(INDEX('MiT Strom Pipeline'!$S$1:$S$860,$U67)),INDEX('MiT Strom Pipeline'!$S$1:$S$860,$U67),""))</f>
        <v/>
      </c>
      <c r="K67" s="129" t="str">
        <f aca="false">IF($U67="","",IF(LEN(INDEX('MiT Strom Pipeline'!$V$1:$V$860,$U67))&gt;0,LEFT(INDEX('MiT Strom Pipeline'!$V$1:$V$860,$U67),55),""))</f>
        <v/>
      </c>
      <c r="L67" s="112"/>
      <c r="M67" s="112"/>
      <c r="N67" s="112"/>
      <c r="O67" s="112"/>
      <c r="P67" s="112"/>
      <c r="Q67" s="112"/>
      <c r="R67" s="112"/>
      <c r="S67" s="112"/>
      <c r="U67" s="1" t="str">
        <f aca="false">IFERROR(MATCH(57,'MiT Strom Pipeline'!$AM$6:$AM$860,0)+5,"")</f>
        <v/>
      </c>
    </row>
    <row r="68" customFormat="false" ht="15.75" hidden="false" customHeight="true" outlineLevel="0" collapsed="false">
      <c r="A68" s="128" t="str">
        <f aca="false">IF($U68="","",IF(ISNUMBER(INDEX('MiT Strom Pipeline'!$A$1:$A$860,$U68)),INDEX('MiT Strom Pipeline'!$A$1:$A$860,$U68),""))</f>
        <v/>
      </c>
      <c r="B68" s="129" t="str">
        <f aca="false">IF($U68="","",IF(INDEX('MiT Strom Pipeline'!$B$1:$B$860,$U68)="","",INDEX('MiT Strom Pipeline'!$B$1:$B$860,$U68)))</f>
        <v/>
      </c>
      <c r="C68" s="130" t="str">
        <f aca="false">IF($U68="","",IF(INDEX('MiT Strom Pipeline'!$C$1:$C$860,$U68)="","",INDEX('MiT Strom Pipeline'!$C$1:$C$860,$U68)))</f>
        <v/>
      </c>
      <c r="D68" s="129" t="str">
        <f aca="false">IF($U68="","",IF(INDEX('MiT Strom Pipeline'!$D$1:$D$860,$U68)="","",INDEX('MiT Strom Pipeline'!$D$1:$D$860,$U68)))</f>
        <v/>
      </c>
      <c r="E68" s="131" t="str">
        <f aca="false">IF($U68="","",IF(ISNUMBER(INDEX('MiT Strom Pipeline'!$O$1:$O$860,$U68)),INDEX('MiT Strom Pipeline'!$O$1:$O$860,$U68),IF(INDEX('MiT Strom Pipeline'!$H$1:$H$860,$U68)="","",INDEX('MiT Strom Pipeline'!$H$1:$H$860,$U68))))</f>
        <v/>
      </c>
      <c r="F68" s="129" t="str">
        <f aca="false">IF($U68="","",IF(INDEX('MiT Strom Pipeline'!$E$1:$E$860,$U68)="","",INDEX('MiT Strom Pipeline'!$E$1:$E$860,$U68)))</f>
        <v/>
      </c>
      <c r="G68" s="132" t="str">
        <f aca="false">IF($U68="","",IF(ISNUMBER(INDEX('MiT Strom Pipeline'!$I$1:$I$860,$U68)),INDEX('MiT Strom Pipeline'!$I$1:$I$860,$U68),0))</f>
        <v/>
      </c>
      <c r="H68" s="132" t="str">
        <f aca="false">IF($U68="","",IF(ISNUMBER(INDEX('MiT Strom Pipeline'!$Q$1:$Q$860,$U68)),INDEX('MiT Strom Pipeline'!$Q$1:$Q$860,$U68),0))</f>
        <v/>
      </c>
      <c r="I68" s="130" t="str">
        <f aca="false">IF($U68="","",INDEX('MiT Strom Pipeline'!$R$1:$R$860,$U68))</f>
        <v/>
      </c>
      <c r="J68" s="133" t="str">
        <f aca="false">IF($U68="","",IF(ISNUMBER(INDEX('MiT Strom Pipeline'!$S$1:$S$860,$U68)),INDEX('MiT Strom Pipeline'!$S$1:$S$860,$U68),""))</f>
        <v/>
      </c>
      <c r="K68" s="129" t="str">
        <f aca="false">IF($U68="","",IF(LEN(INDEX('MiT Strom Pipeline'!$V$1:$V$860,$U68))&gt;0,LEFT(INDEX('MiT Strom Pipeline'!$V$1:$V$860,$U68),55),""))</f>
        <v/>
      </c>
      <c r="L68" s="112"/>
      <c r="M68" s="112"/>
      <c r="N68" s="112"/>
      <c r="O68" s="112"/>
      <c r="P68" s="112"/>
      <c r="Q68" s="112"/>
      <c r="R68" s="112"/>
      <c r="S68" s="112"/>
      <c r="U68" s="1" t="str">
        <f aca="false">IFERROR(MATCH(58,'MiT Strom Pipeline'!$AM$6:$AM$860,0)+5,"")</f>
        <v/>
      </c>
    </row>
    <row r="69" customFormat="false" ht="15.75" hidden="false" customHeight="true" outlineLevel="0" collapsed="false">
      <c r="A69" s="128" t="str">
        <f aca="false">IF($U69="","",IF(ISNUMBER(INDEX('MiT Strom Pipeline'!$A$1:$A$860,$U69)),INDEX('MiT Strom Pipeline'!$A$1:$A$860,$U69),""))</f>
        <v/>
      </c>
      <c r="B69" s="129" t="str">
        <f aca="false">IF($U69="","",IF(INDEX('MiT Strom Pipeline'!$B$1:$B$860,$U69)="","",INDEX('MiT Strom Pipeline'!$B$1:$B$860,$U69)))</f>
        <v/>
      </c>
      <c r="C69" s="130" t="str">
        <f aca="false">IF($U69="","",IF(INDEX('MiT Strom Pipeline'!$C$1:$C$860,$U69)="","",INDEX('MiT Strom Pipeline'!$C$1:$C$860,$U69)))</f>
        <v/>
      </c>
      <c r="D69" s="129" t="str">
        <f aca="false">IF($U69="","",IF(INDEX('MiT Strom Pipeline'!$D$1:$D$860,$U69)="","",INDEX('MiT Strom Pipeline'!$D$1:$D$860,$U69)))</f>
        <v/>
      </c>
      <c r="E69" s="131" t="str">
        <f aca="false">IF($U69="","",IF(ISNUMBER(INDEX('MiT Strom Pipeline'!$O$1:$O$860,$U69)),INDEX('MiT Strom Pipeline'!$O$1:$O$860,$U69),IF(INDEX('MiT Strom Pipeline'!$H$1:$H$860,$U69)="","",INDEX('MiT Strom Pipeline'!$H$1:$H$860,$U69))))</f>
        <v/>
      </c>
      <c r="F69" s="129" t="str">
        <f aca="false">IF($U69="","",IF(INDEX('MiT Strom Pipeline'!$E$1:$E$860,$U69)="","",INDEX('MiT Strom Pipeline'!$E$1:$E$860,$U69)))</f>
        <v/>
      </c>
      <c r="G69" s="132" t="str">
        <f aca="false">IF($U69="","",IF(ISNUMBER(INDEX('MiT Strom Pipeline'!$I$1:$I$860,$U69)),INDEX('MiT Strom Pipeline'!$I$1:$I$860,$U69),0))</f>
        <v/>
      </c>
      <c r="H69" s="132" t="str">
        <f aca="false">IF($U69="","",IF(ISNUMBER(INDEX('MiT Strom Pipeline'!$Q$1:$Q$860,$U69)),INDEX('MiT Strom Pipeline'!$Q$1:$Q$860,$U69),0))</f>
        <v/>
      </c>
      <c r="I69" s="130" t="str">
        <f aca="false">IF($U69="","",INDEX('MiT Strom Pipeline'!$R$1:$R$860,$U69))</f>
        <v/>
      </c>
      <c r="J69" s="133" t="str">
        <f aca="false">IF($U69="","",IF(ISNUMBER(INDEX('MiT Strom Pipeline'!$S$1:$S$860,$U69)),INDEX('MiT Strom Pipeline'!$S$1:$S$860,$U69),""))</f>
        <v/>
      </c>
      <c r="K69" s="129" t="str">
        <f aca="false">IF($U69="","",IF(LEN(INDEX('MiT Strom Pipeline'!$V$1:$V$860,$U69))&gt;0,LEFT(INDEX('MiT Strom Pipeline'!$V$1:$V$860,$U69),55),""))</f>
        <v/>
      </c>
      <c r="L69" s="112"/>
      <c r="M69" s="112"/>
      <c r="N69" s="112"/>
      <c r="O69" s="112"/>
      <c r="P69" s="112"/>
      <c r="Q69" s="112"/>
      <c r="R69" s="112"/>
      <c r="S69" s="112"/>
      <c r="U69" s="1" t="str">
        <f aca="false">IFERROR(MATCH(59,'MiT Strom Pipeline'!$AM$6:$AM$860,0)+5,"")</f>
        <v/>
      </c>
    </row>
    <row r="70" customFormat="false" ht="15.75" hidden="false" customHeight="true" outlineLevel="0" collapsed="false">
      <c r="A70" s="128" t="str">
        <f aca="false">IF($U70="","",IF(ISNUMBER(INDEX('MiT Strom Pipeline'!$A$1:$A$860,$U70)),INDEX('MiT Strom Pipeline'!$A$1:$A$860,$U70),""))</f>
        <v/>
      </c>
      <c r="B70" s="129" t="str">
        <f aca="false">IF($U70="","",IF(INDEX('MiT Strom Pipeline'!$B$1:$B$860,$U70)="","",INDEX('MiT Strom Pipeline'!$B$1:$B$860,$U70)))</f>
        <v/>
      </c>
      <c r="C70" s="130" t="str">
        <f aca="false">IF($U70="","",IF(INDEX('MiT Strom Pipeline'!$C$1:$C$860,$U70)="","",INDEX('MiT Strom Pipeline'!$C$1:$C$860,$U70)))</f>
        <v/>
      </c>
      <c r="D70" s="129" t="str">
        <f aca="false">IF($U70="","",IF(INDEX('MiT Strom Pipeline'!$D$1:$D$860,$U70)="","",INDEX('MiT Strom Pipeline'!$D$1:$D$860,$U70)))</f>
        <v/>
      </c>
      <c r="E70" s="131" t="str">
        <f aca="false">IF($U70="","",IF(ISNUMBER(INDEX('MiT Strom Pipeline'!$O$1:$O$860,$U70)),INDEX('MiT Strom Pipeline'!$O$1:$O$860,$U70),IF(INDEX('MiT Strom Pipeline'!$H$1:$H$860,$U70)="","",INDEX('MiT Strom Pipeline'!$H$1:$H$860,$U70))))</f>
        <v/>
      </c>
      <c r="F70" s="129" t="str">
        <f aca="false">IF($U70="","",IF(INDEX('MiT Strom Pipeline'!$E$1:$E$860,$U70)="","",INDEX('MiT Strom Pipeline'!$E$1:$E$860,$U70)))</f>
        <v/>
      </c>
      <c r="G70" s="132" t="str">
        <f aca="false">IF($U70="","",IF(ISNUMBER(INDEX('MiT Strom Pipeline'!$I$1:$I$860,$U70)),INDEX('MiT Strom Pipeline'!$I$1:$I$860,$U70),0))</f>
        <v/>
      </c>
      <c r="H70" s="132" t="str">
        <f aca="false">IF($U70="","",IF(ISNUMBER(INDEX('MiT Strom Pipeline'!$Q$1:$Q$860,$U70)),INDEX('MiT Strom Pipeline'!$Q$1:$Q$860,$U70),0))</f>
        <v/>
      </c>
      <c r="I70" s="130" t="str">
        <f aca="false">IF($U70="","",INDEX('MiT Strom Pipeline'!$R$1:$R$860,$U70))</f>
        <v/>
      </c>
      <c r="J70" s="133" t="str">
        <f aca="false">IF($U70="","",IF(ISNUMBER(INDEX('MiT Strom Pipeline'!$S$1:$S$860,$U70)),INDEX('MiT Strom Pipeline'!$S$1:$S$860,$U70),""))</f>
        <v/>
      </c>
      <c r="K70" s="129" t="str">
        <f aca="false">IF($U70="","",IF(LEN(INDEX('MiT Strom Pipeline'!$V$1:$V$860,$U70))&gt;0,LEFT(INDEX('MiT Strom Pipeline'!$V$1:$V$860,$U70),55),""))</f>
        <v/>
      </c>
      <c r="L70" s="112"/>
      <c r="M70" s="112"/>
      <c r="N70" s="112"/>
      <c r="O70" s="112"/>
      <c r="P70" s="112"/>
      <c r="Q70" s="112"/>
      <c r="R70" s="112"/>
      <c r="S70" s="112"/>
      <c r="U70" s="1" t="str">
        <f aca="false">IFERROR(MATCH(60,'MiT Strom Pipeline'!$AM$6:$AM$860,0)+5,"")</f>
        <v/>
      </c>
    </row>
    <row r="71" customFormat="false" ht="21.75" hidden="false" customHeight="true" outlineLevel="0" collapsed="false">
      <c r="A71" s="128" t="str">
        <f aca="false">IF($U71="","",IF(ISNUMBER(INDEX('MiT Strom Pipeline'!$A$1:$A$860,$U71)),INDEX('MiT Strom Pipeline'!$A$1:$A$860,$U71),""))</f>
        <v/>
      </c>
      <c r="B71" s="129" t="str">
        <f aca="false">IF($U71="","",IF(INDEX('MiT Strom Pipeline'!$B$1:$B$860,$U71)="","",INDEX('MiT Strom Pipeline'!$B$1:$B$860,$U71)))</f>
        <v/>
      </c>
      <c r="C71" s="130" t="str">
        <f aca="false">IF($U71="","",IF(INDEX('MiT Strom Pipeline'!$C$1:$C$860,$U71)="","",INDEX('MiT Strom Pipeline'!$C$1:$C$860,$U71)))</f>
        <v/>
      </c>
      <c r="D71" s="129" t="str">
        <f aca="false">IF($U71="","",IF(INDEX('MiT Strom Pipeline'!$D$1:$D$860,$U71)="","",INDEX('MiT Strom Pipeline'!$D$1:$D$860,$U71)))</f>
        <v/>
      </c>
      <c r="E71" s="131" t="str">
        <f aca="false">IF($U71="","",IF(ISNUMBER(INDEX('MiT Strom Pipeline'!$O$1:$O$860,$U71)),INDEX('MiT Strom Pipeline'!$O$1:$O$860,$U71),IF(INDEX('MiT Strom Pipeline'!$H$1:$H$860,$U71)="","",INDEX('MiT Strom Pipeline'!$H$1:$H$860,$U71))))</f>
        <v/>
      </c>
      <c r="F71" s="129" t="str">
        <f aca="false">IF($U71="","",IF(INDEX('MiT Strom Pipeline'!$E$1:$E$860,$U71)="","",INDEX('MiT Strom Pipeline'!$E$1:$E$860,$U71)))</f>
        <v/>
      </c>
      <c r="G71" s="132" t="str">
        <f aca="false">IF($U71="","",IF(ISNUMBER(INDEX('MiT Strom Pipeline'!$I$1:$I$860,$U71)),INDEX('MiT Strom Pipeline'!$I$1:$I$860,$U71),0))</f>
        <v/>
      </c>
      <c r="H71" s="132" t="str">
        <f aca="false">IF($U71="","",IF(ISNUMBER(INDEX('MiT Strom Pipeline'!$Q$1:$Q$860,$U71)),INDEX('MiT Strom Pipeline'!$Q$1:$Q$860,$U71),0))</f>
        <v/>
      </c>
      <c r="I71" s="130" t="str">
        <f aca="false">IF($U71="","",INDEX('MiT Strom Pipeline'!$R$1:$R$860,$U71))</f>
        <v/>
      </c>
      <c r="J71" s="133" t="str">
        <f aca="false">IF($U71="","",IF(ISNUMBER(INDEX('MiT Strom Pipeline'!$S$1:$S$860,$U71)),INDEX('MiT Strom Pipeline'!$S$1:$S$860,$U71),""))</f>
        <v/>
      </c>
      <c r="K71" s="129" t="str">
        <f aca="false">IF($U71="","",IF(LEN(INDEX('MiT Strom Pipeline'!$V$1:$V$860,$U71))&gt;0,LEFT(INDEX('MiT Strom Pipeline'!$V$1:$V$860,$U71),55),""))</f>
        <v/>
      </c>
      <c r="L71" s="112"/>
      <c r="M71" s="112"/>
      <c r="N71" s="112"/>
      <c r="O71" s="112"/>
      <c r="P71" s="112"/>
      <c r="Q71" s="112"/>
      <c r="R71" s="112"/>
      <c r="S71" s="112"/>
      <c r="U71" s="1" t="str">
        <f aca="false">IFERROR(MATCH(61,'MiT Strom Pipeline'!$AM$6:$AM$860,0)+5,"")</f>
        <v/>
      </c>
    </row>
    <row r="72" customFormat="false" ht="19.5" hidden="false" customHeight="true" outlineLevel="0" collapsed="false">
      <c r="A72" s="128" t="str">
        <f aca="false">IF($U72="","",IF(ISNUMBER(INDEX('MiT Strom Pipeline'!$A$1:$A$860,$U72)),INDEX('MiT Strom Pipeline'!$A$1:$A$860,$U72),""))</f>
        <v/>
      </c>
      <c r="B72" s="129" t="str">
        <f aca="false">IF($U72="","",IF(INDEX('MiT Strom Pipeline'!$B$1:$B$860,$U72)="","",INDEX('MiT Strom Pipeline'!$B$1:$B$860,$U72)))</f>
        <v/>
      </c>
      <c r="C72" s="130" t="str">
        <f aca="false">IF($U72="","",IF(INDEX('MiT Strom Pipeline'!$C$1:$C$860,$U72)="","",INDEX('MiT Strom Pipeline'!$C$1:$C$860,$U72)))</f>
        <v/>
      </c>
      <c r="D72" s="129" t="str">
        <f aca="false">IF($U72="","",IF(INDEX('MiT Strom Pipeline'!$D$1:$D$860,$U72)="","",INDEX('MiT Strom Pipeline'!$D$1:$D$860,$U72)))</f>
        <v/>
      </c>
      <c r="E72" s="131" t="str">
        <f aca="false">IF($U72="","",IF(ISNUMBER(INDEX('MiT Strom Pipeline'!$O$1:$O$860,$U72)),INDEX('MiT Strom Pipeline'!$O$1:$O$860,$U72),IF(INDEX('MiT Strom Pipeline'!$H$1:$H$860,$U72)="","",INDEX('MiT Strom Pipeline'!$H$1:$H$860,$U72))))</f>
        <v/>
      </c>
      <c r="F72" s="129" t="str">
        <f aca="false">IF($U72="","",IF(INDEX('MiT Strom Pipeline'!$E$1:$E$860,$U72)="","",INDEX('MiT Strom Pipeline'!$E$1:$E$860,$U72)))</f>
        <v/>
      </c>
      <c r="G72" s="132" t="str">
        <f aca="false">IF($U72="","",IF(ISNUMBER(INDEX('MiT Strom Pipeline'!$I$1:$I$860,$U72)),INDEX('MiT Strom Pipeline'!$I$1:$I$860,$U72),0))</f>
        <v/>
      </c>
      <c r="H72" s="132" t="str">
        <f aca="false">IF($U72="","",IF(ISNUMBER(INDEX('MiT Strom Pipeline'!$Q$1:$Q$860,$U72)),INDEX('MiT Strom Pipeline'!$Q$1:$Q$860,$U72),0))</f>
        <v/>
      </c>
      <c r="I72" s="130" t="str">
        <f aca="false">IF($U72="","",INDEX('MiT Strom Pipeline'!$R$1:$R$860,$U72))</f>
        <v/>
      </c>
      <c r="J72" s="133" t="str">
        <f aca="false">IF($U72="","",IF(ISNUMBER(INDEX('MiT Strom Pipeline'!$S$1:$S$860,$U72)),INDEX('MiT Strom Pipeline'!$S$1:$S$860,$U72),""))</f>
        <v/>
      </c>
      <c r="K72" s="129" t="str">
        <f aca="false">IF($U72="","",IF(LEN(INDEX('MiT Strom Pipeline'!$V$1:$V$860,$U72))&gt;0,LEFT(INDEX('MiT Strom Pipeline'!$V$1:$V$860,$U72),55),""))</f>
        <v/>
      </c>
      <c r="L72" s="112"/>
      <c r="M72" s="112"/>
      <c r="N72" s="112"/>
      <c r="O72" s="112"/>
      <c r="P72" s="112"/>
      <c r="Q72" s="112"/>
      <c r="R72" s="112"/>
      <c r="S72" s="112"/>
      <c r="U72" s="1" t="str">
        <f aca="false">IFERROR(MATCH(62,'MiT Strom Pipeline'!$AM$6:$AM$860,0)+5,"")</f>
        <v/>
      </c>
    </row>
    <row r="73" customFormat="false" ht="24" hidden="false" customHeight="true" outlineLevel="0" collapsed="false">
      <c r="A73" s="134" t="s">
        <v>122</v>
      </c>
      <c r="B73" s="134"/>
      <c r="C73" s="134"/>
      <c r="D73" s="134"/>
      <c r="E73" s="134"/>
      <c r="F73" s="134"/>
      <c r="G73" s="134"/>
      <c r="H73" s="134"/>
      <c r="I73" s="134"/>
      <c r="J73" s="134"/>
      <c r="K73" s="134"/>
      <c r="L73" s="112"/>
      <c r="M73" s="112"/>
      <c r="N73" s="112"/>
      <c r="O73" s="112"/>
      <c r="P73" s="112"/>
      <c r="Q73" s="112"/>
      <c r="R73" s="112"/>
      <c r="S73" s="112"/>
    </row>
    <row r="74" customFormat="false" ht="19.5" hidden="false" customHeight="true" outlineLevel="0" collapsed="false">
      <c r="A74" s="126" t="s">
        <v>6</v>
      </c>
      <c r="B74" s="127" t="s">
        <v>115</v>
      </c>
      <c r="C74" s="126" t="s">
        <v>8</v>
      </c>
      <c r="D74" s="127" t="s">
        <v>10</v>
      </c>
      <c r="E74" s="126" t="s">
        <v>9</v>
      </c>
      <c r="F74" s="127" t="s">
        <v>117</v>
      </c>
      <c r="G74" s="126" t="s">
        <v>16</v>
      </c>
      <c r="H74" s="126" t="s">
        <v>116</v>
      </c>
      <c r="I74" s="126" t="s">
        <v>14</v>
      </c>
      <c r="J74" s="126" t="s">
        <v>118</v>
      </c>
      <c r="K74" s="127" t="s">
        <v>119</v>
      </c>
      <c r="L74" s="112"/>
      <c r="M74" s="112"/>
      <c r="N74" s="112"/>
      <c r="O74" s="112"/>
      <c r="P74" s="112"/>
      <c r="Q74" s="112"/>
      <c r="R74" s="112"/>
      <c r="S74" s="112"/>
    </row>
    <row r="75" customFormat="false" ht="38.25" hidden="false" customHeight="true" outlineLevel="0" collapsed="false">
      <c r="A75" s="128" t="n">
        <f aca="false">IF($U75="","",IF(ISNUMBER(INDEX('MiT Strom Pipeline'!$A$1:$A$860,$U75)),INDEX('MiT Strom Pipeline'!$A$1:$A$860,$U75),""))</f>
        <v>6</v>
      </c>
      <c r="B75" s="129" t="str">
        <f aca="false">IF($U75="","",IF(INDEX('MiT Strom Pipeline'!$B$1:$B$860,$U75)="","",INDEX('MiT Strom Pipeline'!$B$1:$B$860,$U75)))</f>
        <v>Wincasa Solothurn</v>
      </c>
      <c r="C75" s="130" t="str">
        <f aca="false">IF($U75="","",IF(INDEX('MiT Strom Pipeline'!$C$1:$C$860,$U75)="","",INDEX('MiT Strom Pipeline'!$C$1:$C$860,$U75)))</f>
        <v>SO</v>
      </c>
      <c r="D75" s="129" t="str">
        <f aca="false">IF($U75="","",IF(INDEX('MiT Strom Pipeline'!$D$1:$D$860,$U75)="","",INDEX('MiT Strom Pipeline'!$D$1:$D$860,$U75)))</f>
        <v>Immobilien / FM</v>
      </c>
      <c r="E75" s="131" t="str">
        <f aca="false">IF($U75="","",IF(ISNUMBER(INDEX('MiT Strom Pipeline'!$O$1:$O$860,$U75)),INDEX('MiT Strom Pipeline'!$O$1:$O$860,$U75),IF(INDEX('MiT Strom Pipeline'!$H$1:$H$860,$U75)="","",INDEX('MiT Strom Pipeline'!$H$1:$H$860,$U75))))</f>
        <v>Mai</v>
      </c>
      <c r="F75" s="129" t="str">
        <f aca="false">IF($U75="","",IF(INDEX('MiT Strom Pipeline'!$E$1:$E$860,$U75)="","",INDEX('MiT Strom Pipeline'!$E$1:$E$860,$U75)))</f>
        <v>BESS 1 MWh</v>
      </c>
      <c r="G75" s="132" t="n">
        <f aca="false">IF($U75="","",IF(ISNUMBER(INDEX('MiT Strom Pipeline'!$I$1:$I$860,$U75)),INDEX('MiT Strom Pipeline'!$I$1:$I$860,$U75),0))</f>
        <v>390000</v>
      </c>
      <c r="H75" s="132" t="n">
        <f aca="false">IF($U75="","",IF(ISNUMBER(INDEX('MiT Strom Pipeline'!$Q$1:$Q$860,$U75)),INDEX('MiT Strom Pipeline'!$Q$1:$Q$860,$U75),0))</f>
        <v>0</v>
      </c>
      <c r="I75" s="130" t="str">
        <f aca="false">IF($U75="","",INDEX('MiT Strom Pipeline'!$R$1:$R$860,$U75))</f>
        <v>offered</v>
      </c>
      <c r="J75" s="133" t="n">
        <f aca="false">IF($U75="","",IF(ISNUMBER(INDEX('MiT Strom Pipeline'!$S$1:$S$860,$U75)),INDEX('MiT Strom Pipeline'!$S$1:$S$860,$U75),""))</f>
        <v>0.3</v>
      </c>
      <c r="K75" s="129" t="str">
        <f aca="false">IF($U75="","",IF(LEN(INDEX('MiT Strom Pipeline'!$V$1:$V$860,$U75))&gt;0,LEFT(INDEX('MiT Strom Pipeline'!$V$1:$V$860,$U75),55),""))</f>
        <v>Entscheider-Meeting anfordern, Businesscase Energie-ROI</v>
      </c>
      <c r="L75" s="112"/>
      <c r="M75" s="112"/>
      <c r="N75" s="112"/>
      <c r="O75" s="112"/>
      <c r="P75" s="112"/>
      <c r="Q75" s="112"/>
      <c r="R75" s="112"/>
      <c r="S75" s="112"/>
      <c r="U75" s="1" t="n">
        <f aca="false">IFERROR(MATCH(1,'MiT Strom Pipeline'!$AN$6:$AN$860,0)+5,"")</f>
        <v>6</v>
      </c>
    </row>
    <row r="76" customFormat="false" ht="25.5" hidden="false" customHeight="true" outlineLevel="0" collapsed="false">
      <c r="A76" s="128" t="n">
        <f aca="false">IF($U76="","",IF(ISNUMBER(INDEX('MiT Strom Pipeline'!$A$1:$A$860,$U76)),INDEX('MiT Strom Pipeline'!$A$1:$A$860,$U76),""))</f>
        <v>15</v>
      </c>
      <c r="B76" s="129" t="str">
        <f aca="false">IF($U76="","",IF(INDEX('MiT Strom Pipeline'!$B$1:$B$860,$U76)="","",INDEX('MiT Strom Pipeline'!$B$1:$B$860,$U76)))</f>
        <v>Gotthard Base Tunnel</v>
      </c>
      <c r="C76" s="130" t="str">
        <f aca="false">IF($U76="","",IF(INDEX('MiT Strom Pipeline'!$C$1:$C$860,$U76)="","",INDEX('MiT Strom Pipeline'!$C$1:$C$860,$U76)))</f>
        <v>UR</v>
      </c>
      <c r="D76" s="129" t="str">
        <f aca="false">IF($U76="","",IF(INDEX('MiT Strom Pipeline'!$D$1:$D$860,$U76)="","",INDEX('MiT Strom Pipeline'!$D$1:$D$860,$U76)))</f>
        <v>Infrastruktur / Bahn</v>
      </c>
      <c r="E76" s="131" t="str">
        <f aca="false">IF($U76="","",IF(ISNUMBER(INDEX('MiT Strom Pipeline'!$O$1:$O$860,$U76)),INDEX('MiT Strom Pipeline'!$O$1:$O$860,$U76),IF(INDEX('MiT Strom Pipeline'!$H$1:$H$860,$U76)="","",INDEX('MiT Strom Pipeline'!$H$1:$H$860,$U76))))</f>
        <v>tbd</v>
      </c>
      <c r="F76" s="129" t="str">
        <f aca="false">IF($U76="","",IF(INDEX('MiT Strom Pipeline'!$E$1:$E$860,$U76)="","",INDEX('MiT Strom Pipeline'!$E$1:$E$860,$U76)))</f>
        <v>Grossanlage tbd</v>
      </c>
      <c r="G76" s="132" t="n">
        <f aca="false">IF($U76="","",IF(ISNUMBER(INDEX('MiT Strom Pipeline'!$I$1:$I$860,$U76)),INDEX('MiT Strom Pipeline'!$I$1:$I$860,$U76),0))</f>
        <v>0</v>
      </c>
      <c r="H76" s="132" t="n">
        <f aca="false">IF($U76="","",IF(ISNUMBER(INDEX('MiT Strom Pipeline'!$Q$1:$Q$860,$U76)),INDEX('MiT Strom Pipeline'!$Q$1:$Q$860,$U76),0))</f>
        <v>0</v>
      </c>
      <c r="I76" s="130" t="str">
        <f aca="false">IF($U76="","",INDEX('MiT Strom Pipeline'!$R$1:$R$860,$U76))</f>
        <v>on hold</v>
      </c>
      <c r="J76" s="133" t="n">
        <f aca="false">IF($U76="","",IF(ISNUMBER(INDEX('MiT Strom Pipeline'!$S$1:$S$860,$U76)),INDEX('MiT Strom Pipeline'!$S$1:$S$860,$U76),""))</f>
        <v>0.1</v>
      </c>
      <c r="K76" s="129" t="str">
        <f aca="false">IF($U76="","",IF(LEN(INDEX('MiT Strom Pipeline'!$V$1:$V$860,$U76))&gt;0,LEFT(INDEX('MiT Strom Pipeline'!$V$1:$V$860,$U76),55),""))</f>
        <v>Stakeholder identifizieren – AlpTransit/SBB kontaktiere</v>
      </c>
      <c r="L76" s="112"/>
      <c r="M76" s="112"/>
      <c r="N76" s="112"/>
      <c r="O76" s="112"/>
      <c r="P76" s="112"/>
      <c r="Q76" s="112"/>
      <c r="R76" s="112"/>
      <c r="S76" s="112"/>
      <c r="U76" s="1" t="n">
        <f aca="false">IFERROR(MATCH(2,'MiT Strom Pipeline'!$AN$6:$AN$860,0)+5,"")</f>
        <v>8</v>
      </c>
    </row>
    <row r="77" customFormat="false" ht="38.25" hidden="false" customHeight="true" outlineLevel="0" collapsed="false">
      <c r="A77" s="128" t="n">
        <f aca="false">IF($U77="","",IF(ISNUMBER(INDEX('MiT Strom Pipeline'!$A$1:$A$860,$U77)),INDEX('MiT Strom Pipeline'!$A$1:$A$860,$U77),""))</f>
        <v>33</v>
      </c>
      <c r="B77" s="129" t="str">
        <f aca="false">IF($U77="","",IF(INDEX('MiT Strom Pipeline'!$B$1:$B$860,$U77)="","",INDEX('MiT Strom Pipeline'!$B$1:$B$860,$U77)))</f>
        <v>Oerlikon Metco Wohlen</v>
      </c>
      <c r="C77" s="130" t="str">
        <f aca="false">IF($U77="","",IF(INDEX('MiT Strom Pipeline'!$C$1:$C$860,$U77)="","",INDEX('MiT Strom Pipeline'!$C$1:$C$860,$U77)))</f>
        <v>AG</v>
      </c>
      <c r="D77" s="129" t="str">
        <f aca="false">IF($U77="","",IF(INDEX('MiT Strom Pipeline'!$D$1:$D$860,$U77)="","",INDEX('MiT Strom Pipeline'!$D$1:$D$860,$U77)))</f>
        <v>Industrie</v>
      </c>
      <c r="E77" s="131" t="str">
        <f aca="false">IF($U77="","",IF(ISNUMBER(INDEX('MiT Strom Pipeline'!$O$1:$O$860,$U77)),INDEX('MiT Strom Pipeline'!$O$1:$O$860,$U77),IF(INDEX('MiT Strom Pipeline'!$H$1:$H$860,$U77)="","",INDEX('MiT Strom Pipeline'!$H$1:$H$860,$U77))))</f>
        <v>August</v>
      </c>
      <c r="F77" s="129" t="str">
        <f aca="false">IF($U77="","",IF(INDEX('MiT Strom Pipeline'!$E$1:$E$860,$U77)="","",INDEX('MiT Strom Pipeline'!$E$1:$E$860,$U77)))</f>
        <v>300 kVA</v>
      </c>
      <c r="G77" s="132" t="n">
        <f aca="false">IF($U77="","",IF(ISNUMBER(INDEX('MiT Strom Pipeline'!$I$1:$I$860,$U77)),INDEX('MiT Strom Pipeline'!$I$1:$I$860,$U77),0))</f>
        <v>193598.12</v>
      </c>
      <c r="H77" s="132" t="n">
        <f aca="false">IF($U77="","",IF(ISNUMBER(INDEX('MiT Strom Pipeline'!$Q$1:$Q$860,$U77)),INDEX('MiT Strom Pipeline'!$Q$1:$Q$860,$U77),0))</f>
        <v>96799.06</v>
      </c>
      <c r="I77" s="130" t="str">
        <f aca="false">IF($U77="","",INDEX('MiT Strom Pipeline'!$R$1:$R$860,$U77))</f>
        <v>offered</v>
      </c>
      <c r="J77" s="133" t="n">
        <f aca="false">IF($U77="","",IF(ISNUMBER(INDEX('MiT Strom Pipeline'!$S$1:$S$860,$U77)),INDEX('MiT Strom Pipeline'!$S$1:$S$860,$U77),""))</f>
        <v>0.6</v>
      </c>
      <c r="K77" s="129" t="str">
        <f aca="false">IF($U77="","",IF(LEN(INDEX('MiT Strom Pipeline'!$V$1:$V$860,$U77))&gt;0,LEFT(INDEX('MiT Strom Pipeline'!$V$1:$V$860,$U77),55),""))</f>
        <v>Kunde wahr sehr Zufrieden mit dem 1. Auftrag und im Ans</v>
      </c>
      <c r="L77" s="112"/>
      <c r="M77" s="112"/>
      <c r="N77" s="112"/>
      <c r="O77" s="112"/>
      <c r="P77" s="112"/>
      <c r="Q77" s="112"/>
      <c r="R77" s="112"/>
      <c r="S77" s="112"/>
      <c r="U77" s="1" t="n">
        <f aca="false">IFERROR(MATCH(3,'MiT Strom Pipeline'!$AN$6:$AN$860,0)+5,"")</f>
        <v>16</v>
      </c>
    </row>
    <row r="78" customFormat="false" ht="38.25" hidden="false" customHeight="true" outlineLevel="0" collapsed="false">
      <c r="A78" s="128" t="n">
        <f aca="false">IF($U78="","",IF(ISNUMBER(INDEX('MiT Strom Pipeline'!$A$1:$A$860,$U78)),INDEX('MiT Strom Pipeline'!$A$1:$A$860,$U78),""))</f>
        <v>33</v>
      </c>
      <c r="B78" s="129" t="str">
        <f aca="false">IF($U78="","",IF(INDEX('MiT Strom Pipeline'!$B$1:$B$860,$U78)="","",INDEX('MiT Strom Pipeline'!$B$1:$B$860,$U78)))</f>
        <v>Oerlikon Metco Wohlen</v>
      </c>
      <c r="C78" s="130" t="str">
        <f aca="false">IF($U78="","",IF(INDEX('MiT Strom Pipeline'!$C$1:$C$860,$U78)="","",INDEX('MiT Strom Pipeline'!$C$1:$C$860,$U78)))</f>
        <v>AG</v>
      </c>
      <c r="D78" s="129" t="str">
        <f aca="false">IF($U78="","",IF(INDEX('MiT Strom Pipeline'!$D$1:$D$860,$U78)="","",INDEX('MiT Strom Pipeline'!$D$1:$D$860,$U78)))</f>
        <v>Industrie</v>
      </c>
      <c r="E78" s="131" t="str">
        <f aca="false">IF($U78="","",IF(ISNUMBER(INDEX('MiT Strom Pipeline'!$O$1:$O$860,$U78)),INDEX('MiT Strom Pipeline'!$O$1:$O$860,$U78),IF(INDEX('MiT Strom Pipeline'!$H$1:$H$860,$U78)="","",INDEX('MiT Strom Pipeline'!$H$1:$H$860,$U78))))</f>
        <v>August</v>
      </c>
      <c r="F78" s="129" t="str">
        <f aca="false">IF($U78="","",IF(INDEX('MiT Strom Pipeline'!$E$1:$E$860,$U78)="","",INDEX('MiT Strom Pipeline'!$E$1:$E$860,$U78)))</f>
        <v>Kaltwasser 100 kW</v>
      </c>
      <c r="G78" s="132" t="n">
        <f aca="false">IF($U78="","",IF(ISNUMBER(INDEX('MiT Strom Pipeline'!$I$1:$I$860,$U78)),INDEX('MiT Strom Pipeline'!$I$1:$I$860,$U78),0))</f>
        <v>74902.11</v>
      </c>
      <c r="H78" s="132" t="n">
        <f aca="false">IF($U78="","",IF(ISNUMBER(INDEX('MiT Strom Pipeline'!$Q$1:$Q$860,$U78)),INDEX('MiT Strom Pipeline'!$Q$1:$Q$860,$U78),0))</f>
        <v>37451.055</v>
      </c>
      <c r="I78" s="130" t="str">
        <f aca="false">IF($U78="","",INDEX('MiT Strom Pipeline'!$R$1:$R$860,$U78))</f>
        <v>offered</v>
      </c>
      <c r="J78" s="133" t="n">
        <f aca="false">IF($U78="","",IF(ISNUMBER(INDEX('MiT Strom Pipeline'!$S$1:$S$860,$U78)),INDEX('MiT Strom Pipeline'!$S$1:$S$860,$U78),""))</f>
        <v>0.6</v>
      </c>
      <c r="K78" s="129" t="str">
        <f aca="false">IF($U78="","",IF(LEN(INDEX('MiT Strom Pipeline'!$V$1:$V$860,$U78))&gt;0,LEFT(INDEX('MiT Strom Pipeline'!$V$1:$V$860,$U78),55),""))</f>
        <v>Kunde wahr sehr Zufrieden mit dem 1. Auftrag und im Ans</v>
      </c>
      <c r="L78" s="112"/>
      <c r="M78" s="112"/>
      <c r="N78" s="112"/>
      <c r="O78" s="112"/>
      <c r="P78" s="112"/>
      <c r="Q78" s="112"/>
      <c r="R78" s="112"/>
      <c r="S78" s="112"/>
      <c r="U78" s="1" t="n">
        <f aca="false">IFERROR(MATCH(4,'MiT Strom Pipeline'!$AN$6:$AN$860,0)+5,"")</f>
        <v>17</v>
      </c>
    </row>
    <row r="79" customFormat="false" ht="38.25" hidden="false" customHeight="true" outlineLevel="0" collapsed="false">
      <c r="A79" s="128" t="n">
        <f aca="false">IF($U79="","",IF(ISNUMBER(INDEX('MiT Strom Pipeline'!$A$1:$A$860,$U79)),INDEX('MiT Strom Pipeline'!$A$1:$A$860,$U79),""))</f>
        <v>13</v>
      </c>
      <c r="B79" s="129" t="str">
        <f aca="false">IF($U79="","",IF(INDEX('MiT Strom Pipeline'!$B$1:$B$860,$U79)="","",INDEX('MiT Strom Pipeline'!$B$1:$B$860,$U79)))</f>
        <v>Proxima Fusion AG</v>
      </c>
      <c r="C79" s="130" t="str">
        <f aca="false">IF($U79="","",IF(INDEX('MiT Strom Pipeline'!$C$1:$C$860,$U79)="","",INDEX('MiT Strom Pipeline'!$C$1:$C$860,$U79)))</f>
        <v>ZH</v>
      </c>
      <c r="D79" s="129" t="str">
        <f aca="false">IF($U79="","",IF(INDEX('MiT Strom Pipeline'!$D$1:$D$860,$U79)="","",INDEX('MiT Strom Pipeline'!$D$1:$D$860,$U79)))</f>
        <v>Forschung / Hightech</v>
      </c>
      <c r="E79" s="131" t="str">
        <f aca="false">IF($U79="","",IF(ISNUMBER(INDEX('MiT Strom Pipeline'!$O$1:$O$860,$U79)),INDEX('MiT Strom Pipeline'!$O$1:$O$860,$U79),IF(INDEX('MiT Strom Pipeline'!$H$1:$H$860,$U79)="","",INDEX('MiT Strom Pipeline'!$H$1:$H$860,$U79))))</f>
        <v>Juli</v>
      </c>
      <c r="F79" s="129" t="str">
        <f aca="false">IF($U79="","",IF(INDEX('MiT Strom Pipeline'!$E$1:$E$860,$U79)="","",INDEX('MiT Strom Pipeline'!$E$1:$E$860,$U79)))</f>
        <v>BESS 1 MWh</v>
      </c>
      <c r="G79" s="132" t="n">
        <f aca="false">IF($U79="","",IF(ISNUMBER(INDEX('MiT Strom Pipeline'!$I$1:$I$860,$U79)),INDEX('MiT Strom Pipeline'!$I$1:$I$860,$U79),0))</f>
        <v>365003</v>
      </c>
      <c r="H79" s="132" t="n">
        <f aca="false">IF($U79="","",IF(ISNUMBER(INDEX('MiT Strom Pipeline'!$Q$1:$Q$860,$U79)),INDEX('MiT Strom Pipeline'!$Q$1:$Q$860,$U79),0))</f>
        <v>0</v>
      </c>
      <c r="I79" s="130" t="str">
        <f aca="false">IF($U79="","",INDEX('MiT Strom Pipeline'!$R$1:$R$860,$U79))</f>
        <v>offered</v>
      </c>
      <c r="J79" s="133" t="n">
        <f aca="false">IF($U79="","",IF(ISNUMBER(INDEX('MiT Strom Pipeline'!$S$1:$S$860,$U79)),INDEX('MiT Strom Pipeline'!$S$1:$S$860,$U79),""))</f>
        <v>0.3</v>
      </c>
      <c r="K79" s="129" t="str">
        <f aca="false">IF($U79="","",IF(LEN(INDEX('MiT Strom Pipeline'!$V$1:$V$860,$U79))&gt;0,LEFT(INDEX('MiT Strom Pipeline'!$V$1:$V$860,$U79),55),""))</f>
        <v>Technisches Gespräch – USV + PQ-Anforderungen klären, K</v>
      </c>
      <c r="L79" s="112"/>
      <c r="M79" s="112"/>
      <c r="N79" s="112"/>
      <c r="O79" s="112"/>
      <c r="P79" s="112"/>
      <c r="Q79" s="112"/>
      <c r="R79" s="112"/>
      <c r="S79" s="112"/>
      <c r="U79" s="1" t="n">
        <f aca="false">IFERROR(MATCH(5,'MiT Strom Pipeline'!$AN$6:$AN$860,0)+5,"")</f>
        <v>18</v>
      </c>
    </row>
    <row r="80" customFormat="false" ht="51" hidden="false" customHeight="true" outlineLevel="0" collapsed="false">
      <c r="A80" s="128" t="n">
        <f aca="false">IF($U80="","",IF(ISNUMBER(INDEX('MiT Strom Pipeline'!$A$1:$A$860,$U80)),INDEX('MiT Strom Pipeline'!$A$1:$A$860,$U80),""))</f>
        <v>25</v>
      </c>
      <c r="B80" s="129" t="str">
        <f aca="false">IF($U80="","",IF(INDEX('MiT Strom Pipeline'!$B$1:$B$860,$U80)="","",INDEX('MiT Strom Pipeline'!$B$1:$B$860,$U80)))</f>
        <v>Reto EKAG</v>
      </c>
      <c r="C80" s="130" t="str">
        <f aca="false">IF($U80="","",IF(INDEX('MiT Strom Pipeline'!$C$1:$C$860,$U80)="","",INDEX('MiT Strom Pipeline'!$C$1:$C$860,$U80)))</f>
        <v>AG</v>
      </c>
      <c r="D80" s="129" t="str">
        <f aca="false">IF($U80="","",IF(INDEX('MiT Strom Pipeline'!$D$1:$D$860,$U80)="","",INDEX('MiT Strom Pipeline'!$D$1:$D$860,$U80)))</f>
        <v>Elektroinstallation</v>
      </c>
      <c r="E80" s="131" t="str">
        <f aca="false">IF($U80="","",IF(ISNUMBER(INDEX('MiT Strom Pipeline'!$O$1:$O$860,$U80)),INDEX('MiT Strom Pipeline'!$O$1:$O$860,$U80),IF(INDEX('MiT Strom Pipeline'!$H$1:$H$860,$U80)="","",INDEX('MiT Strom Pipeline'!$H$1:$H$860,$U80))))</f>
        <v>Okt</v>
      </c>
      <c r="F80" s="129" t="str">
        <f aca="false">IF($U80="","",IF(INDEX('MiT Strom Pipeline'!$E$1:$E$860,$U80)="","",INDEX('MiT Strom Pipeline'!$E$1:$E$860,$U80)))</f>
        <v>Option B 1x 6 kVA Trafo, 1x 3000 kVA Trafo, 1x 6000 kVA Lastbank, 1x 3300 kVA Lastbank</v>
      </c>
      <c r="G80" s="132" t="n">
        <f aca="false">IF($U80="","",IF(ISNUMBER(INDEX('MiT Strom Pipeline'!$I$1:$I$860,$U80)),INDEX('MiT Strom Pipeline'!$I$1:$I$860,$U80),0))</f>
        <v>57249.54</v>
      </c>
      <c r="H80" s="132" t="n">
        <f aca="false">IF($U80="","",IF(ISNUMBER(INDEX('MiT Strom Pipeline'!$Q$1:$Q$860,$U80)),INDEX('MiT Strom Pipeline'!$Q$1:$Q$860,$U80),0))</f>
        <v>51524.586</v>
      </c>
      <c r="I80" s="130" t="str">
        <f aca="false">IF($U80="","",INDEX('MiT Strom Pipeline'!$R$1:$R$860,$U80))</f>
        <v>offered</v>
      </c>
      <c r="J80" s="133" t="n">
        <f aca="false">IF($U80="","",IF(ISNUMBER(INDEX('MiT Strom Pipeline'!$S$1:$S$860,$U80)),INDEX('MiT Strom Pipeline'!$S$1:$S$860,$U80),""))</f>
        <v>0.9</v>
      </c>
      <c r="K80" s="129" t="str">
        <f aca="false">IF($U80="","",IF(LEN(INDEX('MiT Strom Pipeline'!$V$1:$V$860,$U80))&gt;0,LEFT(INDEX('MiT Strom Pipeline'!$V$1:$V$860,$U80),55),""))</f>
        <v>Kunde Telefon Kontaktiert und Vor Ort 
Besichtigung und</v>
      </c>
      <c r="L80" s="112"/>
      <c r="M80" s="112"/>
      <c r="N80" s="112"/>
      <c r="O80" s="112"/>
      <c r="P80" s="112"/>
      <c r="Q80" s="112"/>
      <c r="R80" s="112"/>
      <c r="S80" s="112"/>
      <c r="U80" s="1" t="n">
        <f aca="false">IFERROR(MATCH(6,'MiT Strom Pipeline'!$AN$6:$AN$860,0)+5,"")</f>
        <v>19</v>
      </c>
    </row>
    <row r="81" customFormat="false" ht="38.25" hidden="false" customHeight="true" outlineLevel="0" collapsed="false">
      <c r="A81" s="128" t="n">
        <f aca="false">IF($U81="","",IF(ISNUMBER(INDEX('MiT Strom Pipeline'!$A$1:$A$860,$U81)),INDEX('MiT Strom Pipeline'!$A$1:$A$860,$U81),""))</f>
        <v>25</v>
      </c>
      <c r="B81" s="129" t="str">
        <f aca="false">IF($U81="","",IF(INDEX('MiT Strom Pipeline'!$B$1:$B$860,$U81)="","",INDEX('MiT Strom Pipeline'!$B$1:$B$860,$U81)))</f>
        <v>Reto EKAG</v>
      </c>
      <c r="C81" s="130" t="str">
        <f aca="false">IF($U81="","",IF(INDEX('MiT Strom Pipeline'!$C$1:$C$860,$U81)="","",INDEX('MiT Strom Pipeline'!$C$1:$C$860,$U81)))</f>
        <v>AG</v>
      </c>
      <c r="D81" s="129" t="str">
        <f aca="false">IF($U81="","",IF(INDEX('MiT Strom Pipeline'!$D$1:$D$860,$U81)="","",INDEX('MiT Strom Pipeline'!$D$1:$D$860,$U81)))</f>
        <v>Elektroinstallation</v>
      </c>
      <c r="E81" s="131" t="str">
        <f aca="false">IF($U81="","",IF(ISNUMBER(INDEX('MiT Strom Pipeline'!$O$1:$O$860,$U81)),INDEX('MiT Strom Pipeline'!$O$1:$O$860,$U81),IF(INDEX('MiT Strom Pipeline'!$H$1:$H$860,$U81)="","",INDEX('MiT Strom Pipeline'!$H$1:$H$860,$U81))))</f>
        <v>Okt</v>
      </c>
      <c r="F81" s="129" t="str">
        <f aca="false">IF($U81="","",IF(INDEX('MiT Strom Pipeline'!$E$1:$E$860,$U81)="","",INDEX('MiT Strom Pipeline'!$E$1:$E$860,$U81)))</f>
        <v>MS Kabel 95mm</v>
      </c>
      <c r="G81" s="132" t="n">
        <f aca="false">IF($U81="","",IF(ISNUMBER(INDEX('MiT Strom Pipeline'!$I$1:$I$860,$U81)),INDEX('MiT Strom Pipeline'!$I$1:$I$860,$U81),0))</f>
        <v>15664.18</v>
      </c>
      <c r="H81" s="132" t="n">
        <f aca="false">IF($U81="","",IF(ISNUMBER(INDEX('MiT Strom Pipeline'!$Q$1:$Q$860,$U81)),INDEX('MiT Strom Pipeline'!$Q$1:$Q$860,$U81),0))</f>
        <v>14097.762</v>
      </c>
      <c r="I81" s="130" t="str">
        <f aca="false">IF($U81="","",INDEX('MiT Strom Pipeline'!$R$1:$R$860,$U81))</f>
        <v>offered</v>
      </c>
      <c r="J81" s="133" t="n">
        <f aca="false">IF($U81="","",IF(ISNUMBER(INDEX('MiT Strom Pipeline'!$S$1:$S$860,$U81)),INDEX('MiT Strom Pipeline'!$S$1:$S$860,$U81),""))</f>
        <v>0.9</v>
      </c>
      <c r="K81" s="129" t="str">
        <f aca="false">IF($U81="","",IF(LEN(INDEX('MiT Strom Pipeline'!$V$1:$V$860,$U81))&gt;0,LEFT(INDEX('MiT Strom Pipeline'!$V$1:$V$860,$U81),55),""))</f>
        <v>Kunde Telefon Kontaktiert und Vor Ort 
Besichtigung und</v>
      </c>
      <c r="L81" s="112"/>
      <c r="M81" s="112"/>
      <c r="N81" s="112"/>
      <c r="O81" s="112"/>
      <c r="P81" s="112"/>
      <c r="Q81" s="112"/>
      <c r="R81" s="112"/>
      <c r="S81" s="112"/>
      <c r="U81" s="1" t="n">
        <f aca="false">IFERROR(MATCH(7,'MiT Strom Pipeline'!$AN$6:$AN$860,0)+5,"")</f>
        <v>20</v>
      </c>
    </row>
    <row r="82" customFormat="false" ht="38.25" hidden="false" customHeight="true" outlineLevel="0" collapsed="false">
      <c r="A82" s="128" t="n">
        <f aca="false">IF($U82="","",IF(ISNUMBER(INDEX('MiT Strom Pipeline'!$A$1:$A$860,$U82)),INDEX('MiT Strom Pipeline'!$A$1:$A$860,$U82),""))</f>
        <v>28</v>
      </c>
      <c r="B82" s="129" t="str">
        <f aca="false">IF($U82="","",IF(INDEX('MiT Strom Pipeline'!$B$1:$B$860,$U82)="","",INDEX('MiT Strom Pipeline'!$B$1:$B$860,$U82)))</f>
        <v>WEF</v>
      </c>
      <c r="C82" s="130" t="str">
        <f aca="false">IF($U82="","",IF(INDEX('MiT Strom Pipeline'!$C$1:$C$860,$U82)="","",INDEX('MiT Strom Pipeline'!$C$1:$C$860,$U82)))</f>
        <v>GR</v>
      </c>
      <c r="D82" s="129" t="str">
        <f aca="false">IF($U82="","",IF(INDEX('MiT Strom Pipeline'!$D$1:$D$860,$U82)="","",INDEX('MiT Strom Pipeline'!$D$1:$D$860,$U82)))</f>
        <v>Event</v>
      </c>
      <c r="E82" s="131" t="str">
        <f aca="false">IF($U82="","",IF(ISNUMBER(INDEX('MiT Strom Pipeline'!$O$1:$O$860,$U82)),INDEX('MiT Strom Pipeline'!$O$1:$O$860,$U82),IF(INDEX('MiT Strom Pipeline'!$H$1:$H$860,$U82)="","",INDEX('MiT Strom Pipeline'!$H$1:$H$860,$U82))))</f>
        <v>Jan</v>
      </c>
      <c r="F82" s="129" t="str">
        <f aca="false">IF($U82="","",IF(INDEX('MiT Strom Pipeline'!$E$1:$E$860,$U82)="","",INDEX('MiT Strom Pipeline'!$E$1:$E$860,$U82)))</f>
        <v>1500 kVA, 600 kVA, 450 kVA, 450 kVA</v>
      </c>
      <c r="G82" s="132" t="n">
        <f aca="false">IF($U82="","",IF(ISNUMBER(INDEX('MiT Strom Pipeline'!$I$1:$I$860,$U82)),INDEX('MiT Strom Pipeline'!$I$1:$I$860,$U82),0))</f>
        <v>77325.62</v>
      </c>
      <c r="H82" s="132" t="n">
        <f aca="false">IF($U82="","",IF(ISNUMBER(INDEX('MiT Strom Pipeline'!$Q$1:$Q$860,$U82)),INDEX('MiT Strom Pipeline'!$Q$1:$Q$860,$U82),0))</f>
        <v>0</v>
      </c>
      <c r="I82" s="130" t="str">
        <f aca="false">IF($U82="","",INDEX('MiT Strom Pipeline'!$R$1:$R$860,$U82))</f>
        <v>offered</v>
      </c>
      <c r="J82" s="133" t="n">
        <f aca="false">IF($U82="","",IF(ISNUMBER(INDEX('MiT Strom Pipeline'!$S$1:$S$860,$U82)),INDEX('MiT Strom Pipeline'!$S$1:$S$860,$U82),""))</f>
        <v>0.3</v>
      </c>
      <c r="K82" s="129" t="str">
        <f aca="false">IF($U82="","",IF(LEN(INDEX('MiT Strom Pipeline'!$V$1:$V$860,$U82))&gt;0,LEFT(INDEX('MiT Strom Pipeline'!$V$1:$V$860,$U82),55),""))</f>
        <v>Offerte erstellt, Stefan hat die Offerte bekommen, Stef</v>
      </c>
      <c r="L82" s="112"/>
      <c r="M82" s="112"/>
      <c r="N82" s="112"/>
      <c r="O82" s="112"/>
      <c r="P82" s="112"/>
      <c r="Q82" s="112"/>
      <c r="R82" s="112"/>
      <c r="S82" s="112"/>
      <c r="U82" s="1" t="n">
        <f aca="false">IFERROR(MATCH(8,'MiT Strom Pipeline'!$AN$6:$AN$860,0)+5,"")</f>
        <v>21</v>
      </c>
    </row>
    <row r="83" customFormat="false" ht="38.25" hidden="false" customHeight="true" outlineLevel="0" collapsed="false">
      <c r="A83" s="128" t="n">
        <f aca="false">IF($U83="","",IF(ISNUMBER(INDEX('MiT Strom Pipeline'!$A$1:$A$860,$U83)),INDEX('MiT Strom Pipeline'!$A$1:$A$860,$U83),""))</f>
        <v>8</v>
      </c>
      <c r="B83" s="129" t="str">
        <f aca="false">IF($U83="","",IF(INDEX('MiT Strom Pipeline'!$B$1:$B$860,$U83)="","",INDEX('MiT Strom Pipeline'!$B$1:$B$860,$U83)))</f>
        <v>Sade CGTH (Schweiz)</v>
      </c>
      <c r="C83" s="130" t="str">
        <f aca="false">IF($U83="","",IF(INDEX('MiT Strom Pipeline'!$C$1:$C$860,$U83)="","",INDEX('MiT Strom Pipeline'!$C$1:$C$860,$U83)))</f>
        <v>GE</v>
      </c>
      <c r="D83" s="129" t="str">
        <f aca="false">IF($U83="","",IF(INDEX('MiT Strom Pipeline'!$D$1:$D$860,$U83)="","",INDEX('MiT Strom Pipeline'!$D$1:$D$860,$U83)))</f>
        <v>Infrastruktur / Bau</v>
      </c>
      <c r="E83" s="131" t="str">
        <f aca="false">IF($U83="","",IF(ISNUMBER(INDEX('MiT Strom Pipeline'!$O$1:$O$860,$U83)),INDEX('MiT Strom Pipeline'!$O$1:$O$860,$U83),IF(INDEX('MiT Strom Pipeline'!$H$1:$H$860,$U83)="","",INDEX('MiT Strom Pipeline'!$H$1:$H$860,$U83))))</f>
        <v>April</v>
      </c>
      <c r="F83" s="129" t="str">
        <f aca="false">IF($U83="","",IF(INDEX('MiT Strom Pipeline'!$E$1:$E$860,$U83)="","",INDEX('MiT Strom Pipeline'!$E$1:$E$860,$U83)))</f>
        <v>750 kVA Generator</v>
      </c>
      <c r="G83" s="132" t="n">
        <f aca="false">IF($U83="","",IF(ISNUMBER(INDEX('MiT Strom Pipeline'!$I$1:$I$860,$U83)),INDEX('MiT Strom Pipeline'!$I$1:$I$860,$U83),0))</f>
        <v>38885</v>
      </c>
      <c r="H83" s="132" t="n">
        <f aca="false">IF($U83="","",IF(ISNUMBER(INDEX('MiT Strom Pipeline'!$Q$1:$Q$860,$U83)),INDEX('MiT Strom Pipeline'!$Q$1:$Q$860,$U83),0))</f>
        <v>0</v>
      </c>
      <c r="I83" s="130" t="str">
        <f aca="false">IF($U83="","",INDEX('MiT Strom Pipeline'!$R$1:$R$860,$U83))</f>
        <v>on hold</v>
      </c>
      <c r="J83" s="133" t="n">
        <f aca="false">IF($U83="","",IF(ISNUMBER(INDEX('MiT Strom Pipeline'!$S$1:$S$860,$U83)),INDEX('MiT Strom Pipeline'!$S$1:$S$860,$U83),""))</f>
        <v>0.3</v>
      </c>
      <c r="K83" s="129" t="str">
        <f aca="false">IF($U83="","",IF(LEN(INDEX('MiT Strom Pipeline'!$V$1:$V$860,$U83))&gt;0,LEFT(INDEX('MiT Strom Pipeline'!$V$1:$V$860,$U83),55),""))</f>
        <v>Auftragsbestätigung anfordern – Entscheid steht bevor</v>
      </c>
      <c r="L83" s="112"/>
      <c r="M83" s="112"/>
      <c r="N83" s="112"/>
      <c r="O83" s="112"/>
      <c r="P83" s="112"/>
      <c r="Q83" s="112"/>
      <c r="R83" s="112"/>
      <c r="S83" s="112"/>
      <c r="U83" s="1" t="n">
        <f aca="false">IFERROR(MATCH(9,'MiT Strom Pipeline'!$AN$6:$AN$860,0)+5,"")</f>
        <v>28</v>
      </c>
    </row>
    <row r="84" customFormat="false" ht="38.25" hidden="false" customHeight="true" outlineLevel="0" collapsed="false">
      <c r="A84" s="128" t="n">
        <f aca="false">IF($U84="","",IF(ISNUMBER(INDEX('MiT Strom Pipeline'!$A$1:$A$860,$U84)),INDEX('MiT Strom Pipeline'!$A$1:$A$860,$U84),""))</f>
        <v>14</v>
      </c>
      <c r="B84" s="129" t="str">
        <f aca="false">IF($U84="","",IF(INDEX('MiT Strom Pipeline'!$B$1:$B$860,$U84)="","",INDEX('MiT Strom Pipeline'!$B$1:$B$860,$U84)))</f>
        <v>Trafag AG</v>
      </c>
      <c r="C84" s="130" t="str">
        <f aca="false">IF($U84="","",IF(INDEX('MiT Strom Pipeline'!$C$1:$C$860,$U84)="","",INDEX('MiT Strom Pipeline'!$C$1:$C$860,$U84)))</f>
        <v>ZH</v>
      </c>
      <c r="D84" s="129" t="str">
        <f aca="false">IF($U84="","",IF(INDEX('MiT Strom Pipeline'!$D$1:$D$860,$U84)="","",INDEX('MiT Strom Pipeline'!$D$1:$D$860,$U84)))</f>
        <v>Industrie / Messtechnik</v>
      </c>
      <c r="E84" s="131" t="str">
        <f aca="false">IF($U84="","",IF(ISNUMBER(INDEX('MiT Strom Pipeline'!$O$1:$O$860,$U84)),INDEX('MiT Strom Pipeline'!$O$1:$O$860,$U84),IF(INDEX('MiT Strom Pipeline'!$H$1:$H$860,$U84)="","",INDEX('MiT Strom Pipeline'!$H$1:$H$860,$U84))))</f>
        <v>tbd</v>
      </c>
      <c r="F84" s="129" t="str">
        <f aca="false">IF($U84="","",IF(INDEX('MiT Strom Pipeline'!$E$1:$E$860,$U84)="","",INDEX('MiT Strom Pipeline'!$E$1:$E$860,$U84)))</f>
        <v>450 kVA Generator</v>
      </c>
      <c r="G84" s="132" t="n">
        <f aca="false">IF($U84="","",IF(ISNUMBER(INDEX('MiT Strom Pipeline'!$I$1:$I$860,$U84)),INDEX('MiT Strom Pipeline'!$I$1:$I$860,$U84),0))</f>
        <v>17300</v>
      </c>
      <c r="H84" s="132" t="n">
        <f aca="false">IF($U84="","",IF(ISNUMBER(INDEX('MiT Strom Pipeline'!$Q$1:$Q$860,$U84)),INDEX('MiT Strom Pipeline'!$Q$1:$Q$860,$U84),0))</f>
        <v>0</v>
      </c>
      <c r="I84" s="130" t="str">
        <f aca="false">IF($U84="","",INDEX('MiT Strom Pipeline'!$R$1:$R$860,$U84))</f>
        <v>offered</v>
      </c>
      <c r="J84" s="133" t="n">
        <f aca="false">IF($U84="","",IF(ISNUMBER(INDEX('MiT Strom Pipeline'!$S$1:$S$860,$U84)),INDEX('MiT Strom Pipeline'!$S$1:$S$860,$U84),""))</f>
        <v>0.3</v>
      </c>
      <c r="K84" s="129" t="str">
        <f aca="false">IF($U84="","",IF(LEN(INDEX('MiT Strom Pipeline'!$V$1:$V$860,$U84))&gt;0,LEFT(INDEX('MiT Strom Pipeline'!$V$1:$V$860,$U84),55),""))</f>
        <v>Angebot vorbereiten – PQ-Argument für Messtechnik, Stef</v>
      </c>
      <c r="L84" s="112"/>
      <c r="M84" s="112"/>
      <c r="N84" s="112"/>
      <c r="O84" s="112"/>
      <c r="P84" s="112"/>
      <c r="Q84" s="112"/>
      <c r="R84" s="112"/>
      <c r="S84" s="112"/>
      <c r="U84" s="1" t="n">
        <f aca="false">IFERROR(MATCH(10,'MiT Strom Pipeline'!$AN$6:$AN$860,0)+5,"")</f>
        <v>33</v>
      </c>
    </row>
    <row r="85" customFormat="false" ht="38.25" hidden="false" customHeight="true" outlineLevel="0" collapsed="false">
      <c r="A85" s="128" t="n">
        <f aca="false">IF($U85="","",IF(ISNUMBER(INDEX('MiT Strom Pipeline'!$A$1:$A$860,$U85)),INDEX('MiT Strom Pipeline'!$A$1:$A$860,$U85),""))</f>
        <v>14</v>
      </c>
      <c r="B85" s="129" t="str">
        <f aca="false">IF($U85="","",IF(INDEX('MiT Strom Pipeline'!$B$1:$B$860,$U85)="","",INDEX('MiT Strom Pipeline'!$B$1:$B$860,$U85)))</f>
        <v>Trafag AG</v>
      </c>
      <c r="C85" s="130" t="str">
        <f aca="false">IF($U85="","",IF(INDEX('MiT Strom Pipeline'!$C$1:$C$860,$U85)="","",INDEX('MiT Strom Pipeline'!$C$1:$C$860,$U85)))</f>
        <v>ZH</v>
      </c>
      <c r="D85" s="129" t="str">
        <f aca="false">IF($U85="","",IF(INDEX('MiT Strom Pipeline'!$D$1:$D$860,$U85)="","",INDEX('MiT Strom Pipeline'!$D$1:$D$860,$U85)))</f>
        <v>Industrie / Messtechnik</v>
      </c>
      <c r="E85" s="131" t="str">
        <f aca="false">IF($U85="","",IF(ISNUMBER(INDEX('MiT Strom Pipeline'!$O$1:$O$860,$U85)),INDEX('MiT Strom Pipeline'!$O$1:$O$860,$U85),IF(INDEX('MiT Strom Pipeline'!$H$1:$H$860,$U85)="","",INDEX('MiT Strom Pipeline'!$H$1:$H$860,$U85))))</f>
        <v>tbd</v>
      </c>
      <c r="F85" s="129" t="str">
        <f aca="false">IF($U85="","",IF(INDEX('MiT Strom Pipeline'!$E$1:$E$860,$U85)="","",INDEX('MiT Strom Pipeline'!$E$1:$E$860,$U85)))</f>
        <v>BESS 500 kVA</v>
      </c>
      <c r="G85" s="132" t="n">
        <f aca="false">IF($U85="","",IF(ISNUMBER(INDEX('MiT Strom Pipeline'!$I$1:$I$860,$U85)),INDEX('MiT Strom Pipeline'!$I$1:$I$860,$U85),0))</f>
        <v>21025</v>
      </c>
      <c r="H85" s="132" t="n">
        <f aca="false">IF($U85="","",IF(ISNUMBER(INDEX('MiT Strom Pipeline'!$Q$1:$Q$860,$U85)),INDEX('MiT Strom Pipeline'!$Q$1:$Q$860,$U85),0))</f>
        <v>0</v>
      </c>
      <c r="I85" s="130" t="str">
        <f aca="false">IF($U85="","",INDEX('MiT Strom Pipeline'!$R$1:$R$860,$U85))</f>
        <v>offered</v>
      </c>
      <c r="J85" s="133" t="n">
        <f aca="false">IF($U85="","",IF(ISNUMBER(INDEX('MiT Strom Pipeline'!$S$1:$S$860,$U85)),INDEX('MiT Strom Pipeline'!$S$1:$S$860,$U85),""))</f>
        <v>0.3</v>
      </c>
      <c r="K85" s="129" t="str">
        <f aca="false">IF($U85="","",IF(LEN(INDEX('MiT Strom Pipeline'!$V$1:$V$860,$U85))&gt;0,LEFT(INDEX('MiT Strom Pipeline'!$V$1:$V$860,$U85),55),""))</f>
        <v>Angebot vorbereiten – PQ-Argument für Messtechnik, Stef</v>
      </c>
      <c r="L85" s="112"/>
      <c r="M85" s="112"/>
      <c r="N85" s="112"/>
      <c r="O85" s="112"/>
      <c r="P85" s="112"/>
      <c r="Q85" s="112"/>
      <c r="R85" s="112"/>
      <c r="S85" s="112"/>
      <c r="U85" s="1" t="n">
        <f aca="false">IFERROR(MATCH(11,'MiT Strom Pipeline'!$AN$6:$AN$860,0)+5,"")</f>
        <v>35</v>
      </c>
    </row>
    <row r="86" customFormat="false" ht="38.25" hidden="false" customHeight="true" outlineLevel="0" collapsed="false">
      <c r="A86" s="128" t="n">
        <f aca="false">IF($U86="","",IF(ISNUMBER(INDEX('MiT Strom Pipeline'!$A$1:$A$860,$U86)),INDEX('MiT Strom Pipeline'!$A$1:$A$860,$U86),""))</f>
        <v>14</v>
      </c>
      <c r="B86" s="129" t="str">
        <f aca="false">IF($U86="","",IF(INDEX('MiT Strom Pipeline'!$B$1:$B$860,$U86)="","",INDEX('MiT Strom Pipeline'!$B$1:$B$860,$U86)))</f>
        <v>Trafag AG</v>
      </c>
      <c r="C86" s="130" t="str">
        <f aca="false">IF($U86="","",IF(INDEX('MiT Strom Pipeline'!$C$1:$C$860,$U86)="","",INDEX('MiT Strom Pipeline'!$C$1:$C$860,$U86)))</f>
        <v>ZH</v>
      </c>
      <c r="D86" s="129" t="str">
        <f aca="false">IF($U86="","",IF(INDEX('MiT Strom Pipeline'!$D$1:$D$860,$U86)="","",INDEX('MiT Strom Pipeline'!$D$1:$D$860,$U86)))</f>
        <v>Industrie / Messtechnik</v>
      </c>
      <c r="E86" s="131" t="str">
        <f aca="false">IF($U86="","",IF(ISNUMBER(INDEX('MiT Strom Pipeline'!$O$1:$O$860,$U86)),INDEX('MiT Strom Pipeline'!$O$1:$O$860,$U86),IF(INDEX('MiT Strom Pipeline'!$H$1:$H$860,$U86)="","",INDEX('MiT Strom Pipeline'!$H$1:$H$860,$U86))))</f>
        <v>tbd</v>
      </c>
      <c r="F86" s="129" t="str">
        <f aca="false">IF($U86="","",IF(INDEX('MiT Strom Pipeline'!$E$1:$E$860,$U86)="","",INDEX('MiT Strom Pipeline'!$E$1:$E$860,$U86)))</f>
        <v>Kombi 450 kVA Generator / BESS 500 kVA</v>
      </c>
      <c r="G86" s="132" t="n">
        <f aca="false">IF($U86="","",IF(ISNUMBER(INDEX('MiT Strom Pipeline'!$I$1:$I$860,$U86)),INDEX('MiT Strom Pipeline'!$I$1:$I$860,$U86),0))</f>
        <v>37444</v>
      </c>
      <c r="H86" s="132" t="n">
        <f aca="false">IF($U86="","",IF(ISNUMBER(INDEX('MiT Strom Pipeline'!$Q$1:$Q$860,$U86)),INDEX('MiT Strom Pipeline'!$Q$1:$Q$860,$U86),0))</f>
        <v>0</v>
      </c>
      <c r="I86" s="130" t="str">
        <f aca="false">IF($U86="","",INDEX('MiT Strom Pipeline'!$R$1:$R$860,$U86))</f>
        <v>offered</v>
      </c>
      <c r="J86" s="133" t="n">
        <f aca="false">IF($U86="","",IF(ISNUMBER(INDEX('MiT Strom Pipeline'!$S$1:$S$860,$U86)),INDEX('MiT Strom Pipeline'!$S$1:$S$860,$U86),""))</f>
        <v>0.3</v>
      </c>
      <c r="K86" s="129" t="str">
        <f aca="false">IF($U86="","",IF(LEN(INDEX('MiT Strom Pipeline'!$V$1:$V$860,$U86))&gt;0,LEFT(INDEX('MiT Strom Pipeline'!$V$1:$V$860,$U86),55),""))</f>
        <v>Angebot vorbereiten – PQ-Argument für Messtechnik, Stef</v>
      </c>
      <c r="L86" s="112"/>
      <c r="M86" s="112"/>
      <c r="N86" s="112"/>
      <c r="O86" s="112"/>
      <c r="P86" s="112"/>
      <c r="Q86" s="112"/>
      <c r="R86" s="112"/>
      <c r="S86" s="112"/>
      <c r="U86" s="1" t="n">
        <f aca="false">IFERROR(MATCH(12,'MiT Strom Pipeline'!$AN$6:$AN$860,0)+5,"")</f>
        <v>36</v>
      </c>
    </row>
    <row r="87" customFormat="false" ht="38.25" hidden="false" customHeight="true" outlineLevel="0" collapsed="false">
      <c r="A87" s="128" t="n">
        <f aca="false">IF($U87="","",IF(ISNUMBER(INDEX('MiT Strom Pipeline'!$A$1:$A$860,$U87)),INDEX('MiT Strom Pipeline'!$A$1:$A$860,$U87),""))</f>
        <v>27</v>
      </c>
      <c r="B87" s="129" t="str">
        <f aca="false">IF($U87="","",IF(INDEX('MiT Strom Pipeline'!$B$1:$B$860,$U87)="","",INDEX('MiT Strom Pipeline'!$B$1:$B$860,$U87)))</f>
        <v>Rimus &amp; Sstrada</v>
      </c>
      <c r="C87" s="130" t="str">
        <f aca="false">IF($U87="","",IF(INDEX('MiT Strom Pipeline'!$C$1:$C$860,$U87)="","",INDEX('MiT Strom Pipeline'!$C$1:$C$860,$U87)))</f>
        <v>SH</v>
      </c>
      <c r="D87" s="129" t="str">
        <f aca="false">IF($U87="","",IF(INDEX('MiT Strom Pipeline'!$D$1:$D$860,$U87)="","",INDEX('MiT Strom Pipeline'!$D$1:$D$860,$U87)))</f>
        <v>Industrie</v>
      </c>
      <c r="E87" s="131" t="str">
        <f aca="false">IF($U87="","",IF(ISNUMBER(INDEX('MiT Strom Pipeline'!$O$1:$O$860,$U87)),INDEX('MiT Strom Pipeline'!$O$1:$O$860,$U87),IF(INDEX('MiT Strom Pipeline'!$H$1:$H$860,$U87)="","",INDEX('MiT Strom Pipeline'!$H$1:$H$860,$U87))))</f>
        <v>tbd</v>
      </c>
      <c r="F87" s="129" t="str">
        <f aca="false">IF($U87="","",IF(INDEX('MiT Strom Pipeline'!$E$1:$E$860,$U87)="","",INDEX('MiT Strom Pipeline'!$E$1:$E$860,$U87)))</f>
        <v>500 kWh Small BESS</v>
      </c>
      <c r="G87" s="132" t="n">
        <f aca="false">IF($U87="","",IF(ISNUMBER(INDEX('MiT Strom Pipeline'!$I$1:$I$860,$U87)),INDEX('MiT Strom Pipeline'!$I$1:$I$860,$U87),0))</f>
        <v>425955</v>
      </c>
      <c r="H87" s="132" t="n">
        <f aca="false">IF($U87="","",IF(ISNUMBER(INDEX('MiT Strom Pipeline'!$Q$1:$Q$860,$U87)),INDEX('MiT Strom Pipeline'!$Q$1:$Q$860,$U87),0))</f>
        <v>0</v>
      </c>
      <c r="I87" s="130" t="str">
        <f aca="false">IF($U87="","",INDEX('MiT Strom Pipeline'!$R$1:$R$860,$U87))</f>
        <v>offered</v>
      </c>
      <c r="J87" s="133" t="n">
        <f aca="false">IF($U87="","",IF(ISNUMBER(INDEX('MiT Strom Pipeline'!$S$1:$S$860,$U87)),INDEX('MiT Strom Pipeline'!$S$1:$S$860,$U87),""))</f>
        <v>0.3</v>
      </c>
      <c r="K87" s="129" t="str">
        <f aca="false">IF($U87="","",IF(LEN(INDEX('MiT Strom Pipeline'!$V$1:$V$860,$U87))&gt;0,LEFT(INDEX('MiT Strom Pipeline'!$V$1:$V$860,$U87),55),""))</f>
        <v>Kunde Telefon Kontaktiert und Vor Ort 
Besichtigung und</v>
      </c>
      <c r="L87" s="112"/>
      <c r="M87" s="112"/>
      <c r="N87" s="112"/>
      <c r="O87" s="112"/>
      <c r="P87" s="112"/>
      <c r="Q87" s="112"/>
      <c r="R87" s="112"/>
      <c r="S87" s="112"/>
      <c r="U87" s="1" t="n">
        <f aca="false">IFERROR(MATCH(13,'MiT Strom Pipeline'!$AN$6:$AN$860,0)+5,"")</f>
        <v>37</v>
      </c>
    </row>
    <row r="88" customFormat="false" ht="38.25" hidden="false" customHeight="true" outlineLevel="0" collapsed="false">
      <c r="A88" s="128" t="n">
        <f aca="false">IF($U88="","",IF(ISNUMBER(INDEX('MiT Strom Pipeline'!$A$1:$A$860,$U88)),INDEX('MiT Strom Pipeline'!$A$1:$A$860,$U88),""))</f>
        <v>27</v>
      </c>
      <c r="B88" s="129" t="str">
        <f aca="false">IF($U88="","",IF(INDEX('MiT Strom Pipeline'!$B$1:$B$860,$U88)="","",INDEX('MiT Strom Pipeline'!$B$1:$B$860,$U88)))</f>
        <v>Rimus &amp; Sstrada</v>
      </c>
      <c r="C88" s="130" t="str">
        <f aca="false">IF($U88="","",IF(INDEX('MiT Strom Pipeline'!$C$1:$C$860,$U88)="","",INDEX('MiT Strom Pipeline'!$C$1:$C$860,$U88)))</f>
        <v>SH</v>
      </c>
      <c r="D88" s="129" t="str">
        <f aca="false">IF($U88="","",IF(INDEX('MiT Strom Pipeline'!$D$1:$D$860,$U88)="","",INDEX('MiT Strom Pipeline'!$D$1:$D$860,$U88)))</f>
        <v>Industrie</v>
      </c>
      <c r="E88" s="131" t="str">
        <f aca="false">IF($U88="","",IF(ISNUMBER(INDEX('MiT Strom Pipeline'!$O$1:$O$860,$U88)),INDEX('MiT Strom Pipeline'!$O$1:$O$860,$U88),IF(INDEX('MiT Strom Pipeline'!$H$1:$H$860,$U88)="","",INDEX('MiT Strom Pipeline'!$H$1:$H$860,$U88))))</f>
        <v>tbd</v>
      </c>
      <c r="F88" s="129" t="str">
        <f aca="false">IF($U88="","",IF(INDEX('MiT Strom Pipeline'!$E$1:$E$860,$U88)="","",INDEX('MiT Strom Pipeline'!$E$1:$E$860,$U88)))</f>
        <v>1 MWh Medium BESS</v>
      </c>
      <c r="G88" s="132" t="n">
        <f aca="false">IF($U88="","",IF(ISNUMBER(INDEX('MiT Strom Pipeline'!$I$1:$I$860,$U88)),INDEX('MiT Strom Pipeline'!$I$1:$I$860,$U88),0))</f>
        <v>891330</v>
      </c>
      <c r="H88" s="132" t="n">
        <f aca="false">IF($U88="","",IF(ISNUMBER(INDEX('MiT Strom Pipeline'!$Q$1:$Q$860,$U88)),INDEX('MiT Strom Pipeline'!$Q$1:$Q$860,$U88),0))</f>
        <v>0</v>
      </c>
      <c r="I88" s="130" t="str">
        <f aca="false">IF($U88="","",INDEX('MiT Strom Pipeline'!$R$1:$R$860,$U88))</f>
        <v>offered</v>
      </c>
      <c r="J88" s="133" t="n">
        <f aca="false">IF($U88="","",IF(ISNUMBER(INDEX('MiT Strom Pipeline'!$S$1:$S$860,$U88)),INDEX('MiT Strom Pipeline'!$S$1:$S$860,$U88),""))</f>
        <v>0.3</v>
      </c>
      <c r="K88" s="129" t="str">
        <f aca="false">IF($U88="","",IF(LEN(INDEX('MiT Strom Pipeline'!$V$1:$V$860,$U88))&gt;0,LEFT(INDEX('MiT Strom Pipeline'!$V$1:$V$860,$U88),55),""))</f>
        <v>Kunde Telefon Kontaktiert und Vor Ort 
Besichtigung und</v>
      </c>
      <c r="L88" s="112"/>
      <c r="M88" s="112"/>
      <c r="N88" s="112"/>
      <c r="O88" s="112"/>
      <c r="P88" s="112"/>
      <c r="Q88" s="112"/>
      <c r="R88" s="112"/>
      <c r="S88" s="112"/>
      <c r="U88" s="1" t="n">
        <f aca="false">IFERROR(MATCH(14,'MiT Strom Pipeline'!$AN$6:$AN$860,0)+5,"")</f>
        <v>38</v>
      </c>
    </row>
    <row r="89" customFormat="false" ht="38.25" hidden="false" customHeight="true" outlineLevel="0" collapsed="false">
      <c r="A89" s="128" t="n">
        <f aca="false">IF($U89="","",IF(ISNUMBER(INDEX('MiT Strom Pipeline'!$A$1:$A$860,$U89)),INDEX('MiT Strom Pipeline'!$A$1:$A$860,$U89),""))</f>
        <v>27</v>
      </c>
      <c r="B89" s="129" t="str">
        <f aca="false">IF($U89="","",IF(INDEX('MiT Strom Pipeline'!$B$1:$B$860,$U89)="","",INDEX('MiT Strom Pipeline'!$B$1:$B$860,$U89)))</f>
        <v>Rimus &amp; Sstrada</v>
      </c>
      <c r="C89" s="130" t="str">
        <f aca="false">IF($U89="","",IF(INDEX('MiT Strom Pipeline'!$C$1:$C$860,$U89)="","",INDEX('MiT Strom Pipeline'!$C$1:$C$860,$U89)))</f>
        <v>SH</v>
      </c>
      <c r="D89" s="129" t="str">
        <f aca="false">IF($U89="","",IF(INDEX('MiT Strom Pipeline'!$D$1:$D$860,$U89)="","",INDEX('MiT Strom Pipeline'!$D$1:$D$860,$U89)))</f>
        <v>Industrie</v>
      </c>
      <c r="E89" s="131" t="str">
        <f aca="false">IF($U89="","",IF(ISNUMBER(INDEX('MiT Strom Pipeline'!$O$1:$O$860,$U89)),INDEX('MiT Strom Pipeline'!$O$1:$O$860,$U89),IF(INDEX('MiT Strom Pipeline'!$H$1:$H$860,$U89)="","",INDEX('MiT Strom Pipeline'!$H$1:$H$860,$U89))))</f>
        <v>tbd</v>
      </c>
      <c r="F89" s="129" t="str">
        <f aca="false">IF($U89="","",IF(INDEX('MiT Strom Pipeline'!$E$1:$E$860,$U89)="","",INDEX('MiT Strom Pipeline'!$E$1:$E$860,$U89)))</f>
        <v>1,5 MWh Large BESS</v>
      </c>
      <c r="G89" s="132" t="n">
        <f aca="false">IF($U89="","",IF(ISNUMBER(INDEX('MiT Strom Pipeline'!$I$1:$I$860,$U89)),INDEX('MiT Strom Pipeline'!$I$1:$I$860,$U89),0))</f>
        <v>1307430</v>
      </c>
      <c r="H89" s="132" t="n">
        <f aca="false">IF($U89="","",IF(ISNUMBER(INDEX('MiT Strom Pipeline'!$Q$1:$Q$860,$U89)),INDEX('MiT Strom Pipeline'!$Q$1:$Q$860,$U89),0))</f>
        <v>0</v>
      </c>
      <c r="I89" s="130" t="str">
        <f aca="false">IF($U89="","",INDEX('MiT Strom Pipeline'!$R$1:$R$860,$U89))</f>
        <v>offered</v>
      </c>
      <c r="J89" s="133" t="n">
        <f aca="false">IF($U89="","",IF(ISNUMBER(INDEX('MiT Strom Pipeline'!$S$1:$S$860,$U89)),INDEX('MiT Strom Pipeline'!$S$1:$S$860,$U89),""))</f>
        <v>0.3</v>
      </c>
      <c r="K89" s="129" t="str">
        <f aca="false">IF($U89="","",IF(LEN(INDEX('MiT Strom Pipeline'!$V$1:$V$860,$U89))&gt;0,LEFT(INDEX('MiT Strom Pipeline'!$V$1:$V$860,$U89),55),""))</f>
        <v>Kunde Telefon Kontaktiert und Vor Ort 
Besichtigung und</v>
      </c>
      <c r="L89" s="112"/>
      <c r="M89" s="112"/>
      <c r="N89" s="112"/>
      <c r="O89" s="112"/>
      <c r="P89" s="112"/>
      <c r="Q89" s="112"/>
      <c r="R89" s="112"/>
      <c r="S89" s="112"/>
      <c r="U89" s="1" t="n">
        <f aca="false">IFERROR(MATCH(15,'MiT Strom Pipeline'!$AN$6:$AN$860,0)+5,"")</f>
        <v>39</v>
      </c>
    </row>
    <row r="90" customFormat="false" ht="25.5" hidden="false" customHeight="true" outlineLevel="0" collapsed="false">
      <c r="A90" s="128" t="n">
        <f aca="false">IF($U90="","",IF(ISNUMBER(INDEX('MiT Strom Pipeline'!$A$1:$A$860,$U90)),INDEX('MiT Strom Pipeline'!$A$1:$A$860,$U90),""))</f>
        <v>34</v>
      </c>
      <c r="B90" s="129" t="str">
        <f aca="false">IF($U90="","",IF(INDEX('MiT Strom Pipeline'!$B$1:$B$860,$U90)="","",INDEX('MiT Strom Pipeline'!$B$1:$B$860,$U90)))</f>
        <v>Creabeton</v>
      </c>
      <c r="C90" s="130" t="str">
        <f aca="false">IF($U90="","",IF(INDEX('MiT Strom Pipeline'!$C$1:$C$860,$U90)="","",INDEX('MiT Strom Pipeline'!$C$1:$C$860,$U90)))</f>
        <v>BE</v>
      </c>
      <c r="D90" s="129" t="str">
        <f aca="false">IF($U90="","",IF(INDEX('MiT Strom Pipeline'!$D$1:$D$860,$U90)="","",INDEX('MiT Strom Pipeline'!$D$1:$D$860,$U90)))</f>
        <v>Infrastruktur / Bau</v>
      </c>
      <c r="E90" s="131" t="str">
        <f aca="false">IF($U90="","",IF(ISNUMBER(INDEX('MiT Strom Pipeline'!$O$1:$O$860,$U90)),INDEX('MiT Strom Pipeline'!$O$1:$O$860,$U90),IF(INDEX('MiT Strom Pipeline'!$H$1:$H$860,$U90)="","",INDEX('MiT Strom Pipeline'!$H$1:$H$860,$U90))))</f>
        <v>Juli</v>
      </c>
      <c r="F90" s="129" t="str">
        <f aca="false">IF($U90="","",IF(INDEX('MiT Strom Pipeline'!$E$1:$E$860,$U90)="","",INDEX('MiT Strom Pipeline'!$E$1:$E$860,$U90)))</f>
        <v>100 kVA Generator</v>
      </c>
      <c r="G90" s="132" t="n">
        <f aca="false">IF($U90="","",IF(ISNUMBER(INDEX('MiT Strom Pipeline'!$I$1:$I$860,$U90)),INDEX('MiT Strom Pipeline'!$I$1:$I$860,$U90),0))</f>
        <v>3232.41</v>
      </c>
      <c r="H90" s="132" t="n">
        <f aca="false">IF($U90="","",IF(ISNUMBER(INDEX('MiT Strom Pipeline'!$Q$1:$Q$860,$U90)),INDEX('MiT Strom Pipeline'!$Q$1:$Q$860,$U90),0))</f>
        <v>0</v>
      </c>
      <c r="I90" s="130" t="str">
        <f aca="false">IF($U90="","",INDEX('MiT Strom Pipeline'!$R$1:$R$860,$U90))</f>
        <v>offered</v>
      </c>
      <c r="J90" s="133" t="n">
        <f aca="false">IF($U90="","",IF(ISNUMBER(INDEX('MiT Strom Pipeline'!$S$1:$S$860,$U90)),INDEX('MiT Strom Pipeline'!$S$1:$S$860,$U90),""))</f>
        <v>0.3</v>
      </c>
      <c r="K90" s="129" t="str">
        <f aca="false">IF($U90="","",IF(LEN(INDEX('MiT Strom Pipeline'!$V$1:$V$860,$U90))&gt;0,LEFT(INDEX('MiT Strom Pipeline'!$V$1:$V$860,$U90),55),""))</f>
        <v>Kunde angeschrieben, Warten auf Rückmeldung</v>
      </c>
      <c r="L90" s="112"/>
      <c r="M90" s="112"/>
      <c r="N90" s="112"/>
      <c r="O90" s="112"/>
      <c r="P90" s="112"/>
      <c r="Q90" s="112"/>
      <c r="R90" s="112"/>
      <c r="S90" s="112"/>
      <c r="U90" s="1" t="n">
        <f aca="false">IFERROR(MATCH(16,'MiT Strom Pipeline'!$AN$6:$AN$860,0)+5,"")</f>
        <v>40</v>
      </c>
    </row>
    <row r="91" customFormat="false" ht="15.75" hidden="false" customHeight="true" outlineLevel="0" collapsed="false">
      <c r="A91" s="128" t="n">
        <f aca="false">IF($U91="","",IF(ISNUMBER(INDEX('MiT Strom Pipeline'!$A$1:$A$860,$U91)),INDEX('MiT Strom Pipeline'!$A$1:$A$860,$U91),""))</f>
        <v>38</v>
      </c>
      <c r="B91" s="129" t="str">
        <f aca="false">IF($U91="","",IF(INDEX('MiT Strom Pipeline'!$B$1:$B$860,$U91)="","",INDEX('MiT Strom Pipeline'!$B$1:$B$860,$U91)))</f>
        <v>Linde Gas Schweiz AG</v>
      </c>
      <c r="C91" s="130" t="str">
        <f aca="false">IF($U91="","",IF(INDEX('MiT Strom Pipeline'!$C$1:$C$860,$U91)="","",INDEX('MiT Strom Pipeline'!$C$1:$C$860,$U91)))</f>
        <v>LU</v>
      </c>
      <c r="D91" s="129" t="str">
        <f aca="false">IF($U91="","",IF(INDEX('MiT Strom Pipeline'!$D$1:$D$860,$U91)="","",INDEX('MiT Strom Pipeline'!$D$1:$D$860,$U91)))</f>
        <v>Industrie</v>
      </c>
      <c r="E91" s="131" t="str">
        <f aca="false">IF($U91="","",IF(ISNUMBER(INDEX('MiT Strom Pipeline'!$O$1:$O$860,$U91)),INDEX('MiT Strom Pipeline'!$O$1:$O$860,$U91),IF(INDEX('MiT Strom Pipeline'!$H$1:$H$860,$U91)="","",INDEX('MiT Strom Pipeline'!$H$1:$H$860,$U91))))</f>
        <v>Jan</v>
      </c>
      <c r="F91" s="129" t="str">
        <f aca="false">IF($U91="","",IF(INDEX('MiT Strom Pipeline'!$E$1:$E$860,$U91)="","",INDEX('MiT Strom Pipeline'!$E$1:$E$860,$U91)))</f>
        <v>60 kVA Generator</v>
      </c>
      <c r="G91" s="132" t="n">
        <f aca="false">IF($U91="","",IF(ISNUMBER(INDEX('MiT Strom Pipeline'!$I$1:$I$860,$U91)),INDEX('MiT Strom Pipeline'!$I$1:$I$860,$U91),0))</f>
        <v>3686.2</v>
      </c>
      <c r="H91" s="132" t="n">
        <f aca="false">IF($U91="","",IF(ISNUMBER(INDEX('MiT Strom Pipeline'!$Q$1:$Q$860,$U91)),INDEX('MiT Strom Pipeline'!$Q$1:$Q$860,$U91),0))</f>
        <v>0</v>
      </c>
      <c r="I91" s="130" t="str">
        <f aca="false">IF($U91="","",INDEX('MiT Strom Pipeline'!$R$1:$R$860,$U91))</f>
        <v>offered</v>
      </c>
      <c r="J91" s="133" t="n">
        <f aca="false">IF($U91="","",IF(ISNUMBER(INDEX('MiT Strom Pipeline'!$S$1:$S$860,$U91)),INDEX('MiT Strom Pipeline'!$S$1:$S$860,$U91),""))</f>
        <v>0.3</v>
      </c>
      <c r="K91" s="129" t="str">
        <f aca="false">IF($U91="","",IF(LEN(INDEX('MiT Strom Pipeline'!$V$1:$V$860,$U91))&gt;0,LEFT(INDEX('MiT Strom Pipeline'!$V$1:$V$860,$U91),55),""))</f>
        <v/>
      </c>
      <c r="L91" s="112"/>
      <c r="M91" s="112"/>
      <c r="N91" s="112"/>
      <c r="O91" s="112"/>
      <c r="P91" s="112"/>
      <c r="Q91" s="112"/>
      <c r="R91" s="112"/>
      <c r="S91" s="112"/>
      <c r="U91" s="1" t="n">
        <f aca="false">IFERROR(MATCH(17,'MiT Strom Pipeline'!$AN$6:$AN$860,0)+5,"")</f>
        <v>42</v>
      </c>
    </row>
    <row r="92" customFormat="false" ht="38.25" hidden="false" customHeight="true" outlineLevel="0" collapsed="false">
      <c r="A92" s="128" t="n">
        <f aca="false">IF($U92="","",IF(ISNUMBER(INDEX('MiT Strom Pipeline'!$A$1:$A$860,$U92)),INDEX('MiT Strom Pipeline'!$A$1:$A$860,$U92),""))</f>
        <v>39</v>
      </c>
      <c r="B92" s="129" t="str">
        <f aca="false">IF($U92="","",IF(INDEX('MiT Strom Pipeline'!$B$1:$B$860,$U92)="","",INDEX('MiT Strom Pipeline'!$B$1:$B$860,$U92)))</f>
        <v>Baumeler Leitungsbau AG</v>
      </c>
      <c r="C92" s="130" t="str">
        <f aca="false">IF($U92="","",IF(INDEX('MiT Strom Pipeline'!$C$1:$C$860,$U92)="","",INDEX('MiT Strom Pipeline'!$C$1:$C$860,$U92)))</f>
        <v>LU</v>
      </c>
      <c r="D92" s="129" t="str">
        <f aca="false">IF($U92="","",IF(INDEX('MiT Strom Pipeline'!$D$1:$D$860,$U92)="","",INDEX('MiT Strom Pipeline'!$D$1:$D$860,$U92)))</f>
        <v>Industrie</v>
      </c>
      <c r="E92" s="131" t="str">
        <f aca="false">IF($U92="","",IF(ISNUMBER(INDEX('MiT Strom Pipeline'!$O$1:$O$860,$U92)),INDEX('MiT Strom Pipeline'!$O$1:$O$860,$U92),IF(INDEX('MiT Strom Pipeline'!$H$1:$H$860,$U92)="","",INDEX('MiT Strom Pipeline'!$H$1:$H$860,$U92))))</f>
        <v>Juli</v>
      </c>
      <c r="F92" s="129" t="str">
        <f aca="false">IF($U92="","",IF(INDEX('MiT Strom Pipeline'!$E$1:$E$860,$U92)="","",INDEX('MiT Strom Pipeline'!$E$1:$E$860,$U92)))</f>
        <v>600 kVA </v>
      </c>
      <c r="G92" s="132" t="n">
        <f aca="false">IF($U92="","",IF(ISNUMBER(INDEX('MiT Strom Pipeline'!$I$1:$I$860,$U92)),INDEX('MiT Strom Pipeline'!$I$1:$I$860,$U92),0))</f>
        <v>11559.36</v>
      </c>
      <c r="H92" s="132" t="n">
        <f aca="false">IF($U92="","",IF(ISNUMBER(INDEX('MiT Strom Pipeline'!$Q$1:$Q$860,$U92)),INDEX('MiT Strom Pipeline'!$Q$1:$Q$860,$U92),0))</f>
        <v>0</v>
      </c>
      <c r="I92" s="130" t="str">
        <f aca="false">IF($U92="","",INDEX('MiT Strom Pipeline'!$R$1:$R$860,$U92))</f>
        <v>offered</v>
      </c>
      <c r="J92" s="133" t="n">
        <f aca="false">IF($U92="","",IF(ISNUMBER(INDEX('MiT Strom Pipeline'!$S$1:$S$860,$U92)),INDEX('MiT Strom Pipeline'!$S$1:$S$860,$U92),""))</f>
        <v>0.3</v>
      </c>
      <c r="K92" s="129" t="str">
        <f aca="false">IF($U92="","",IF(LEN(INDEX('MiT Strom Pipeline'!$V$1:$V$860,$U92))&gt;0,LEFT(INDEX('MiT Strom Pipeline'!$V$1:$V$860,$U92),55),""))</f>
        <v>Kunde angeschrieben, Offerte erstellt, Kunde hat Offert</v>
      </c>
      <c r="L92" s="112"/>
      <c r="M92" s="112"/>
      <c r="N92" s="112"/>
      <c r="O92" s="112"/>
      <c r="P92" s="112"/>
      <c r="Q92" s="112"/>
      <c r="R92" s="112"/>
      <c r="S92" s="112"/>
      <c r="U92" s="1" t="n">
        <f aca="false">IFERROR(MATCH(18,'MiT Strom Pipeline'!$AN$6:$AN$860,0)+5,"")</f>
        <v>43</v>
      </c>
    </row>
    <row r="93" customFormat="false" ht="38.25" hidden="false" customHeight="true" outlineLevel="0" collapsed="false">
      <c r="A93" s="128" t="n">
        <f aca="false">IF($U93="","",IF(ISNUMBER(INDEX('MiT Strom Pipeline'!$A$1:$A$860,$U93)),INDEX('MiT Strom Pipeline'!$A$1:$A$860,$U93),""))</f>
        <v>41</v>
      </c>
      <c r="B93" s="129" t="str">
        <f aca="false">IF($U93="","",IF(INDEX('MiT Strom Pipeline'!$B$1:$B$860,$U93)="","",INDEX('MiT Strom Pipeline'!$B$1:$B$860,$U93)))</f>
        <v>Verein Street Parade Zürich</v>
      </c>
      <c r="C93" s="130" t="str">
        <f aca="false">IF($U93="","",IF(INDEX('MiT Strom Pipeline'!$C$1:$C$860,$U93)="","",INDEX('MiT Strom Pipeline'!$C$1:$C$860,$U93)))</f>
        <v>ZH</v>
      </c>
      <c r="D93" s="129" t="str">
        <f aca="false">IF($U93="","",IF(INDEX('MiT Strom Pipeline'!$D$1:$D$860,$U93)="","",INDEX('MiT Strom Pipeline'!$D$1:$D$860,$U93)))</f>
        <v>Event</v>
      </c>
      <c r="E93" s="131" t="str">
        <f aca="false">IF($U93="","",IF(ISNUMBER(INDEX('MiT Strom Pipeline'!$O$1:$O$860,$U93)),INDEX('MiT Strom Pipeline'!$O$1:$O$860,$U93),IF(INDEX('MiT Strom Pipeline'!$H$1:$H$860,$U93)="","",INDEX('MiT Strom Pipeline'!$H$1:$H$860,$U93))))</f>
        <v>Aug</v>
      </c>
      <c r="F93" s="129" t="str">
        <f aca="false">IF($U93="","",IF(INDEX('MiT Strom Pipeline'!$E$1:$E$860,$U93)="","",INDEX('MiT Strom Pipeline'!$E$1:$E$860,$U93)))</f>
        <v>100 kVA </v>
      </c>
      <c r="G93" s="132" t="n">
        <f aca="false">IF($U93="","",IF(ISNUMBER(INDEX('MiT Strom Pipeline'!$I$1:$I$860,$U93)),INDEX('MiT Strom Pipeline'!$I$1:$I$860,$U93),0))</f>
        <v>3760.04</v>
      </c>
      <c r="H93" s="132" t="n">
        <f aca="false">IF($U93="","",IF(ISNUMBER(INDEX('MiT Strom Pipeline'!$Q$1:$Q$860,$U93)),INDEX('MiT Strom Pipeline'!$Q$1:$Q$860,$U93),0))</f>
        <v>0</v>
      </c>
      <c r="I93" s="130" t="str">
        <f aca="false">IF($U93="","",INDEX('MiT Strom Pipeline'!$R$1:$R$860,$U93))</f>
        <v>offered</v>
      </c>
      <c r="J93" s="133" t="n">
        <f aca="false">IF($U93="","",IF(ISNUMBER(INDEX('MiT Strom Pipeline'!$S$1:$S$860,$U93)),INDEX('MiT Strom Pipeline'!$S$1:$S$860,$U93),""))</f>
        <v>0.3</v>
      </c>
      <c r="K93" s="129" t="str">
        <f aca="false">IF($U93="","",IF(LEN(INDEX('MiT Strom Pipeline'!$V$1:$V$860,$U93))&gt;0,LEFT(INDEX('MiT Strom Pipeline'!$V$1:$V$860,$U93),55),""))</f>
        <v>Kunde angeschrieben, Offerte erstellt, Kunde hat Offert</v>
      </c>
      <c r="L93" s="112"/>
      <c r="M93" s="112"/>
      <c r="N93" s="112"/>
      <c r="O93" s="112"/>
      <c r="P93" s="112"/>
      <c r="Q93" s="112"/>
      <c r="R93" s="112"/>
      <c r="S93" s="112"/>
      <c r="U93" s="1" t="n">
        <f aca="false">IFERROR(MATCH(19,'MiT Strom Pipeline'!$AN$6:$AN$860,0)+5,"")</f>
        <v>44</v>
      </c>
    </row>
    <row r="94" customFormat="false" ht="25.5" hidden="false" customHeight="true" outlineLevel="0" collapsed="false">
      <c r="A94" s="128" t="n">
        <f aca="false">IF($U94="","",IF(ISNUMBER(INDEX('MiT Strom Pipeline'!$A$1:$A$860,$U94)),INDEX('MiT Strom Pipeline'!$A$1:$A$860,$U94),""))</f>
        <v>9</v>
      </c>
      <c r="B94" s="129" t="str">
        <f aca="false">IF($U94="","",IF(INDEX('MiT Strom Pipeline'!$B$1:$B$860,$U94)="","",INDEX('MiT Strom Pipeline'!$B$1:$B$860,$U94)))</f>
        <v>Badermetaux Sàrl (Schweiz)</v>
      </c>
      <c r="C94" s="130" t="str">
        <f aca="false">IF($U94="","",IF(INDEX('MiT Strom Pipeline'!$C$1:$C$860,$U94)="","",INDEX('MiT Strom Pipeline'!$C$1:$C$860,$U94)))</f>
        <v>ZH</v>
      </c>
      <c r="D94" s="129" t="str">
        <f aca="false">IF($U94="","",IF(INDEX('MiT Strom Pipeline'!$D$1:$D$860,$U94)="","",INDEX('MiT Strom Pipeline'!$D$1:$D$860,$U94)))</f>
        <v>Industrie / Metall</v>
      </c>
      <c r="E94" s="131" t="str">
        <f aca="false">IF($U94="","",IF(ISNUMBER(INDEX('MiT Strom Pipeline'!$O$1:$O$860,$U94)),INDEX('MiT Strom Pipeline'!$O$1:$O$860,$U94),IF(INDEX('MiT Strom Pipeline'!$H$1:$H$860,$U94)="","",INDEX('MiT Strom Pipeline'!$H$1:$H$860,$U94))))</f>
        <v>Mai</v>
      </c>
      <c r="F94" s="129" t="str">
        <f aca="false">IF($U94="","",IF(INDEX('MiT Strom Pipeline'!$E$1:$E$860,$U94)="","",INDEX('MiT Strom Pipeline'!$E$1:$E$860,$U94)))</f>
        <v>600 kVA Langzeitmiete</v>
      </c>
      <c r="G94" s="132" t="n">
        <f aca="false">IF($U94="","",IF(ISNUMBER(INDEX('MiT Strom Pipeline'!$I$1:$I$860,$U94)),INDEX('MiT Strom Pipeline'!$I$1:$I$860,$U94),0))</f>
        <v>500000</v>
      </c>
      <c r="H94" s="132" t="n">
        <f aca="false">IF($U94="","",IF(ISNUMBER(INDEX('MiT Strom Pipeline'!$Q$1:$Q$860,$U94)),INDEX('MiT Strom Pipeline'!$Q$1:$Q$860,$U94),0))</f>
        <v>0</v>
      </c>
      <c r="I94" s="130" t="str">
        <f aca="false">IF($U94="","",INDEX('MiT Strom Pipeline'!$R$1:$R$860,$U94))</f>
        <v>on hold</v>
      </c>
      <c r="J94" s="133" t="n">
        <f aca="false">IF($U94="","",IF(ISNUMBER(INDEX('MiT Strom Pipeline'!$S$1:$S$860,$U94)),INDEX('MiT Strom Pipeline'!$S$1:$S$860,$U94),""))</f>
        <v>0.3</v>
      </c>
      <c r="K94" s="129" t="str">
        <f aca="false">IF($U94="","",IF(LEN(INDEX('MiT Strom Pipeline'!$V$1:$V$860,$U94))&gt;0,LEFT(INDEX('MiT Strom Pipeline'!$V$1:$V$860,$U94),55),""))</f>
        <v>PQ-Analyse + Langzeitkonzept vorlegen</v>
      </c>
      <c r="L94" s="112"/>
      <c r="M94" s="112"/>
      <c r="N94" s="112"/>
      <c r="O94" s="112"/>
      <c r="P94" s="112"/>
      <c r="Q94" s="112"/>
      <c r="R94" s="112"/>
      <c r="S94" s="112"/>
      <c r="U94" s="1" t="n">
        <f aca="false">IFERROR(MATCH(20,'MiT Strom Pipeline'!$AN$6:$AN$860,0)+5,"")</f>
        <v>46</v>
      </c>
    </row>
    <row r="95" customFormat="false" ht="38.25" hidden="false" customHeight="true" outlineLevel="0" collapsed="false">
      <c r="A95" s="128" t="n">
        <f aca="false">IF($U95="","",IF(ISNUMBER(INDEX('MiT Strom Pipeline'!$A$1:$A$860,$U95)),INDEX('MiT Strom Pipeline'!$A$1:$A$860,$U95),""))</f>
        <v>42</v>
      </c>
      <c r="B95" s="129" t="str">
        <f aca="false">IF($U95="","",IF(INDEX('MiT Strom Pipeline'!$B$1:$B$860,$U95)="","",INDEX('MiT Strom Pipeline'!$B$1:$B$860,$U95)))</f>
        <v>SMT</v>
      </c>
      <c r="C95" s="130" t="str">
        <f aca="false">IF($U95="","",IF(INDEX('MiT Strom Pipeline'!$C$1:$C$860,$U95)="","",INDEX('MiT Strom Pipeline'!$C$1:$C$860,$U95)))</f>
        <v>ZH</v>
      </c>
      <c r="D95" s="129" t="str">
        <f aca="false">IF($U95="","",IF(INDEX('MiT Strom Pipeline'!$D$1:$D$860,$U95)="","",INDEX('MiT Strom Pipeline'!$D$1:$D$860,$U95)))</f>
        <v>Industrie</v>
      </c>
      <c r="E95" s="131" t="str">
        <f aca="false">IF($U95="","",IF(ISNUMBER(INDEX('MiT Strom Pipeline'!$O$1:$O$860,$U95)),INDEX('MiT Strom Pipeline'!$O$1:$O$860,$U95),IF(INDEX('MiT Strom Pipeline'!$H$1:$H$860,$U95)="","",INDEX('MiT Strom Pipeline'!$H$1:$H$860,$U95))))</f>
        <v>Aug</v>
      </c>
      <c r="F95" s="129" t="str">
        <f aca="false">IF($U95="","",IF(INDEX('MiT Strom Pipeline'!$E$1:$E$860,$U95)="","",INDEX('MiT Strom Pipeline'!$E$1:$E$860,$U95)))</f>
        <v>1000 kVA</v>
      </c>
      <c r="G95" s="132" t="n">
        <f aca="false">IF($U95="","",IF(ISNUMBER(INDEX('MiT Strom Pipeline'!$I$1:$I$860,$U95)),INDEX('MiT Strom Pipeline'!$I$1:$I$860,$U95),0))</f>
        <v>6772.8</v>
      </c>
      <c r="H95" s="132" t="n">
        <f aca="false">IF($U95="","",IF(ISNUMBER(INDEX('MiT Strom Pipeline'!$Q$1:$Q$860,$U95)),INDEX('MiT Strom Pipeline'!$Q$1:$Q$860,$U95),0))</f>
        <v>0</v>
      </c>
      <c r="I95" s="130" t="str">
        <f aca="false">IF($U95="","",INDEX('MiT Strom Pipeline'!$R$1:$R$860,$U95))</f>
        <v>on hold</v>
      </c>
      <c r="J95" s="133" t="n">
        <f aca="false">IF($U95="","",IF(ISNUMBER(INDEX('MiT Strom Pipeline'!$S$1:$S$860,$U95)),INDEX('MiT Strom Pipeline'!$S$1:$S$860,$U95),""))</f>
        <v>0.3</v>
      </c>
      <c r="K95" s="129" t="str">
        <f aca="false">IF($U95="","",IF(LEN(INDEX('MiT Strom Pipeline'!$V$1:$V$860,$U95))&gt;0,LEFT(INDEX('MiT Strom Pipeline'!$V$1:$V$860,$U95),55),""))</f>
        <v>Kunde angeschrieben, Offerte erstellt, Kunde hat Offert</v>
      </c>
      <c r="L95" s="112"/>
      <c r="M95" s="112"/>
      <c r="N95" s="112"/>
      <c r="O95" s="112"/>
      <c r="P95" s="112"/>
      <c r="Q95" s="112"/>
      <c r="R95" s="112"/>
      <c r="S95" s="112"/>
      <c r="U95" s="1" t="n">
        <f aca="false">IFERROR(MATCH(21,'MiT Strom Pipeline'!$AN$6:$AN$860,0)+5,"")</f>
        <v>52</v>
      </c>
    </row>
    <row r="96" customFormat="false" ht="38.25" hidden="false" customHeight="true" outlineLevel="0" collapsed="false">
      <c r="A96" s="128" t="n">
        <f aca="false">IF($U96="","",IF(ISNUMBER(INDEX('MiT Strom Pipeline'!$A$1:$A$860,$U96)),INDEX('MiT Strom Pipeline'!$A$1:$A$860,$U96),""))</f>
        <v>43</v>
      </c>
      <c r="B96" s="129" t="str">
        <f aca="false">IF($U96="","",IF(INDEX('MiT Strom Pipeline'!$B$1:$B$860,$U96)="","",INDEX('MiT Strom Pipeline'!$B$1:$B$860,$U96)))</f>
        <v>Equans Switzerland Kloten</v>
      </c>
      <c r="C96" s="130" t="str">
        <f aca="false">IF($U96="","",IF(INDEX('MiT Strom Pipeline'!$C$1:$C$860,$U96)="","",INDEX('MiT Strom Pipeline'!$C$1:$C$860,$U96)))</f>
        <v>ZH</v>
      </c>
      <c r="D96" s="129" t="str">
        <f aca="false">IF($U96="","",IF(INDEX('MiT Strom Pipeline'!$D$1:$D$860,$U96)="","",INDEX('MiT Strom Pipeline'!$D$1:$D$860,$U96)))</f>
        <v>Industrie</v>
      </c>
      <c r="E96" s="131" t="str">
        <f aca="false">IF($U96="","",IF(ISNUMBER(INDEX('MiT Strom Pipeline'!$O$1:$O$860,$U96)),INDEX('MiT Strom Pipeline'!$O$1:$O$860,$U96),IF(INDEX('MiT Strom Pipeline'!$H$1:$H$860,$U96)="","",INDEX('MiT Strom Pipeline'!$H$1:$H$860,$U96))))</f>
        <v>Dez</v>
      </c>
      <c r="F96" s="129" t="str">
        <f aca="false">IF($U96="","",IF(INDEX('MiT Strom Pipeline'!$E$1:$E$860,$U96)="","",INDEX('MiT Strom Pipeline'!$E$1:$E$860,$U96)))</f>
        <v>600 kVA</v>
      </c>
      <c r="G96" s="132" t="n">
        <f aca="false">IF($U96="","",IF(ISNUMBER(INDEX('MiT Strom Pipeline'!$I$1:$I$860,$U96)),INDEX('MiT Strom Pipeline'!$I$1:$I$860,$U96),0))</f>
        <v>224236.15</v>
      </c>
      <c r="H96" s="132" t="n">
        <f aca="false">IF($U96="","",IF(ISNUMBER(INDEX('MiT Strom Pipeline'!$Q$1:$Q$860,$U96)),INDEX('MiT Strom Pipeline'!$Q$1:$Q$860,$U96),0))</f>
        <v>0</v>
      </c>
      <c r="I96" s="130" t="str">
        <f aca="false">IF($U96="","",INDEX('MiT Strom Pipeline'!$R$1:$R$860,$U96))</f>
        <v>offered</v>
      </c>
      <c r="J96" s="133" t="n">
        <f aca="false">IF($U96="","",IF(ISNUMBER(INDEX('MiT Strom Pipeline'!$S$1:$S$860,$U96)),INDEX('MiT Strom Pipeline'!$S$1:$S$860,$U96),""))</f>
        <v>0.3</v>
      </c>
      <c r="K96" s="129" t="str">
        <f aca="false">IF($U96="","",IF(LEN(INDEX('MiT Strom Pipeline'!$V$1:$V$860,$U96))&gt;0,LEFT(INDEX('MiT Strom Pipeline'!$V$1:$V$860,$U96),55),""))</f>
        <v>Kunde angeschrieben, Offerte erstellt, Kunde hat Offert</v>
      </c>
      <c r="L96" s="112"/>
      <c r="M96" s="112"/>
      <c r="N96" s="112"/>
      <c r="O96" s="112"/>
      <c r="P96" s="112"/>
      <c r="Q96" s="112"/>
      <c r="R96" s="112"/>
      <c r="S96" s="112"/>
      <c r="U96" s="1" t="n">
        <f aca="false">IFERROR(MATCH(22,'MiT Strom Pipeline'!$AN$6:$AN$860,0)+5,"")</f>
        <v>53</v>
      </c>
    </row>
    <row r="97" customFormat="false" ht="38.25" hidden="false" customHeight="true" outlineLevel="0" collapsed="false">
      <c r="A97" s="128" t="n">
        <f aca="false">IF($U97="","",IF(ISNUMBER(INDEX('MiT Strom Pipeline'!$A$1:$A$860,$U97)),INDEX('MiT Strom Pipeline'!$A$1:$A$860,$U97),""))</f>
        <v>44</v>
      </c>
      <c r="B97" s="129" t="str">
        <f aca="false">IF($U97="","",IF(INDEX('MiT Strom Pipeline'!$B$1:$B$860,$U97)="","",INDEX('MiT Strom Pipeline'!$B$1:$B$860,$U97)))</f>
        <v>Equans Switzerland Kloten</v>
      </c>
      <c r="C97" s="130" t="str">
        <f aca="false">IF($U97="","",IF(INDEX('MiT Strom Pipeline'!$C$1:$C$860,$U97)="","",INDEX('MiT Strom Pipeline'!$C$1:$C$860,$U97)))</f>
        <v>ZH</v>
      </c>
      <c r="D97" s="129" t="str">
        <f aca="false">IF($U97="","",IF(INDEX('MiT Strom Pipeline'!$D$1:$D$860,$U97)="","",INDEX('MiT Strom Pipeline'!$D$1:$D$860,$U97)))</f>
        <v>Industrie</v>
      </c>
      <c r="E97" s="131" t="str">
        <f aca="false">IF($U97="","",IF(ISNUMBER(INDEX('MiT Strom Pipeline'!$O$1:$O$860,$U97)),INDEX('MiT Strom Pipeline'!$O$1:$O$860,$U97),IF(INDEX('MiT Strom Pipeline'!$H$1:$H$860,$U97)="","",INDEX('MiT Strom Pipeline'!$H$1:$H$860,$U97))))</f>
        <v>Juli</v>
      </c>
      <c r="F97" s="129" t="str">
        <f aca="false">IF($U97="","",IF(INDEX('MiT Strom Pipeline'!$E$1:$E$860,$U97)="","",INDEX('MiT Strom Pipeline'!$E$1:$E$860,$U97)))</f>
        <v>300 kVA</v>
      </c>
      <c r="G97" s="132" t="n">
        <f aca="false">IF($U97="","",IF(ISNUMBER(INDEX('MiT Strom Pipeline'!$I$1:$I$860,$U97)),INDEX('MiT Strom Pipeline'!$I$1:$I$860,$U97),0))</f>
        <v>31077.89</v>
      </c>
      <c r="H97" s="132" t="n">
        <f aca="false">IF($U97="","",IF(ISNUMBER(INDEX('MiT Strom Pipeline'!$Q$1:$Q$860,$U97)),INDEX('MiT Strom Pipeline'!$Q$1:$Q$860,$U97),0))</f>
        <v>0</v>
      </c>
      <c r="I97" s="130" t="str">
        <f aca="false">IF($U97="","",INDEX('MiT Strom Pipeline'!$R$1:$R$860,$U97))</f>
        <v>offered</v>
      </c>
      <c r="J97" s="133" t="n">
        <f aca="false">IF($U97="","",IF(ISNUMBER(INDEX('MiT Strom Pipeline'!$S$1:$S$860,$U97)),INDEX('MiT Strom Pipeline'!$S$1:$S$860,$U97),""))</f>
        <v>0.3</v>
      </c>
      <c r="K97" s="129" t="str">
        <f aca="false">IF($U97="","",IF(LEN(INDEX('MiT Strom Pipeline'!$V$1:$V$860,$U97))&gt;0,LEFT(INDEX('MiT Strom Pipeline'!$V$1:$V$860,$U97),55),""))</f>
        <v>Kunde angeschrieben, Offerte erstellt, Kunde hat Offert</v>
      </c>
      <c r="L97" s="112"/>
      <c r="M97" s="112"/>
      <c r="N97" s="112"/>
      <c r="O97" s="112"/>
      <c r="P97" s="112"/>
      <c r="Q97" s="112"/>
      <c r="R97" s="112"/>
      <c r="S97" s="112"/>
      <c r="U97" s="1" t="n">
        <f aca="false">IFERROR(MATCH(23,'MiT Strom Pipeline'!$AN$6:$AN$860,0)+5,"")</f>
        <v>54</v>
      </c>
    </row>
    <row r="98" customFormat="false" ht="38.25" hidden="false" customHeight="true" outlineLevel="0" collapsed="false">
      <c r="A98" s="128" t="n">
        <f aca="false">IF($U98="","",IF(ISNUMBER(INDEX('MiT Strom Pipeline'!$A$1:$A$860,$U98)),INDEX('MiT Strom Pipeline'!$A$1:$A$860,$U98),""))</f>
        <v>45</v>
      </c>
      <c r="B98" s="129" t="str">
        <f aca="false">IF($U98="","",IF(INDEX('MiT Strom Pipeline'!$B$1:$B$860,$U98)="","",INDEX('MiT Strom Pipeline'!$B$1:$B$860,$U98)))</f>
        <v>ETAVIS Basel</v>
      </c>
      <c r="C98" s="130" t="str">
        <f aca="false">IF($U98="","",IF(INDEX('MiT Strom Pipeline'!$C$1:$C$860,$U98)="","",INDEX('MiT Strom Pipeline'!$C$1:$C$860,$U98)))</f>
        <v>BS</v>
      </c>
      <c r="D98" s="129" t="str">
        <f aca="false">IF($U98="","",IF(INDEX('MiT Strom Pipeline'!$D$1:$D$860,$U98)="","",INDEX('MiT Strom Pipeline'!$D$1:$D$860,$U98)))</f>
        <v>Elektroinstallation</v>
      </c>
      <c r="E98" s="131" t="str">
        <f aca="false">IF($U98="","",IF(ISNUMBER(INDEX('MiT Strom Pipeline'!$O$1:$O$860,$U98)),INDEX('MiT Strom Pipeline'!$O$1:$O$860,$U98),IF(INDEX('MiT Strom Pipeline'!$H$1:$H$860,$U98)="","",INDEX('MiT Strom Pipeline'!$H$1:$H$860,$U98))))</f>
        <v>Juli</v>
      </c>
      <c r="F98" s="129" t="str">
        <f aca="false">IF($U98="","",IF(INDEX('MiT Strom Pipeline'!$E$1:$E$860,$U98)="","",INDEX('MiT Strom Pipeline'!$E$1:$E$860,$U98)))</f>
        <v>300 kVA</v>
      </c>
      <c r="G98" s="132" t="n">
        <f aca="false">IF($U98="","",IF(ISNUMBER(INDEX('MiT Strom Pipeline'!$I$1:$I$860,$U98)),INDEX('MiT Strom Pipeline'!$I$1:$I$860,$U98),0))</f>
        <v>13866.21</v>
      </c>
      <c r="H98" s="132" t="n">
        <f aca="false">IF($U98="","",IF(ISNUMBER(INDEX('MiT Strom Pipeline'!$Q$1:$Q$860,$U98)),INDEX('MiT Strom Pipeline'!$Q$1:$Q$860,$U98),0))</f>
        <v>0</v>
      </c>
      <c r="I98" s="130" t="str">
        <f aca="false">IF($U98="","",INDEX('MiT Strom Pipeline'!$R$1:$R$860,$U98))</f>
        <v>offered</v>
      </c>
      <c r="J98" s="133" t="n">
        <f aca="false">IF($U98="","",IF(ISNUMBER(INDEX('MiT Strom Pipeline'!$S$1:$S$860,$U98)),INDEX('MiT Strom Pipeline'!$S$1:$S$860,$U98),""))</f>
        <v>0.3</v>
      </c>
      <c r="K98" s="129" t="str">
        <f aca="false">IF($U98="","",IF(LEN(INDEX('MiT Strom Pipeline'!$V$1:$V$860,$U98))&gt;0,LEFT(INDEX('MiT Strom Pipeline'!$V$1:$V$860,$U98),55),""))</f>
        <v>Kunde angeschrieben, Offerte erstellt, Kunde hat Offert</v>
      </c>
      <c r="L98" s="112"/>
      <c r="M98" s="112"/>
      <c r="N98" s="112"/>
      <c r="O98" s="112"/>
      <c r="P98" s="112"/>
      <c r="Q98" s="112"/>
      <c r="R98" s="112"/>
      <c r="S98" s="112"/>
      <c r="U98" s="1" t="n">
        <f aca="false">IFERROR(MATCH(24,'MiT Strom Pipeline'!$AN$6:$AN$860,0)+5,"")</f>
        <v>55</v>
      </c>
    </row>
    <row r="99" customFormat="false" ht="38.25" hidden="false" customHeight="true" outlineLevel="0" collapsed="false">
      <c r="A99" s="128" t="n">
        <f aca="false">IF($U99="","",IF(ISNUMBER(INDEX('MiT Strom Pipeline'!$A$1:$A$860,$U99)),INDEX('MiT Strom Pipeline'!$A$1:$A$860,$U99),""))</f>
        <v>48</v>
      </c>
      <c r="B99" s="129" t="str">
        <f aca="false">IF($U99="","",IF(INDEX('MiT Strom Pipeline'!$B$1:$B$860,$U99)="","",INDEX('MiT Strom Pipeline'!$B$1:$B$860,$U99)))</f>
        <v>Coutaz CVS SA</v>
      </c>
      <c r="C99" s="130" t="str">
        <f aca="false">IF($U99="","",IF(INDEX('MiT Strom Pipeline'!$C$1:$C$860,$U99)="","",INDEX('MiT Strom Pipeline'!$C$1:$C$860,$U99)))</f>
        <v>VS</v>
      </c>
      <c r="D99" s="129" t="str">
        <f aca="false">IF($U99="","",IF(INDEX('MiT Strom Pipeline'!$D$1:$D$860,$U99)="","",INDEX('MiT Strom Pipeline'!$D$1:$D$860,$U99)))</f>
        <v>EVU</v>
      </c>
      <c r="E99" s="131" t="str">
        <f aca="false">IF($U99="","",IF(ISNUMBER(INDEX('MiT Strom Pipeline'!$O$1:$O$860,$U99)),INDEX('MiT Strom Pipeline'!$O$1:$O$860,$U99),IF(INDEX('MiT Strom Pipeline'!$H$1:$H$860,$U99)="","",INDEX('MiT Strom Pipeline'!$H$1:$H$860,$U99))))</f>
        <v>Okt</v>
      </c>
      <c r="F99" s="129" t="str">
        <f aca="false">IF($U99="","",IF(INDEX('MiT Strom Pipeline'!$E$1:$E$860,$U99)="","",INDEX('MiT Strom Pipeline'!$E$1:$E$860,$U99)))</f>
        <v>600 kVA, 200 kVA</v>
      </c>
      <c r="G99" s="132" t="n">
        <f aca="false">IF($U99="","",IF(ISNUMBER(INDEX('MiT Strom Pipeline'!$I$1:$I$860,$U99)),INDEX('MiT Strom Pipeline'!$I$1:$I$860,$U99),0))</f>
        <v>190701.37</v>
      </c>
      <c r="H99" s="132" t="n">
        <f aca="false">IF($U99="","",IF(ISNUMBER(INDEX('MiT Strom Pipeline'!$Q$1:$Q$860,$U99)),INDEX('MiT Strom Pipeline'!$Q$1:$Q$860,$U99),0))</f>
        <v>0</v>
      </c>
      <c r="I99" s="130" t="str">
        <f aca="false">IF($U99="","",INDEX('MiT Strom Pipeline'!$R$1:$R$860,$U99))</f>
        <v>offered</v>
      </c>
      <c r="J99" s="133" t="n">
        <f aca="false">IF($U99="","",IF(ISNUMBER(INDEX('MiT Strom Pipeline'!$S$1:$S$860,$U99)),INDEX('MiT Strom Pipeline'!$S$1:$S$860,$U99),""))</f>
        <v>0.3</v>
      </c>
      <c r="K99" s="129" t="str">
        <f aca="false">IF($U99="","",IF(LEN(INDEX('MiT Strom Pipeline'!$V$1:$V$860,$U99))&gt;0,LEFT(INDEX('MiT Strom Pipeline'!$V$1:$V$860,$U99),55),""))</f>
        <v>Kunde angeschrieben, Offerte erstellt, Kunde hat Offert</v>
      </c>
      <c r="L99" s="112"/>
      <c r="M99" s="112"/>
      <c r="N99" s="112"/>
      <c r="O99" s="112"/>
      <c r="P99" s="112"/>
      <c r="Q99" s="112"/>
      <c r="R99" s="112"/>
      <c r="S99" s="112"/>
      <c r="U99" s="1" t="n">
        <f aca="false">IFERROR(MATCH(25,'MiT Strom Pipeline'!$AN$6:$AN$860,0)+5,"")</f>
        <v>58</v>
      </c>
    </row>
    <row r="100" customFormat="false" ht="38.25" hidden="false" customHeight="true" outlineLevel="0" collapsed="false">
      <c r="A100" s="128" t="n">
        <f aca="false">IF($U100="","",IF(ISNUMBER(INDEX('MiT Strom Pipeline'!$A$1:$A$860,$U100)),INDEX('MiT Strom Pipeline'!$A$1:$A$860,$U100),""))</f>
        <v>49</v>
      </c>
      <c r="B100" s="129" t="str">
        <f aca="false">IF($U100="","",IF(INDEX('MiT Strom Pipeline'!$B$1:$B$860,$U100)="","",INDEX('MiT Strom Pipeline'!$B$1:$B$860,$U100)))</f>
        <v>Romand Energei SA</v>
      </c>
      <c r="C100" s="130" t="str">
        <f aca="false">IF($U100="","",IF(INDEX('MiT Strom Pipeline'!$C$1:$C$860,$U100)="","",INDEX('MiT Strom Pipeline'!$C$1:$C$860,$U100)))</f>
        <v>VS</v>
      </c>
      <c r="D100" s="129" t="str">
        <f aca="false">IF($U100="","",IF(INDEX('MiT Strom Pipeline'!$D$1:$D$860,$U100)="","",INDEX('MiT Strom Pipeline'!$D$1:$D$860,$U100)))</f>
        <v>EVU</v>
      </c>
      <c r="E100" s="131" t="str">
        <f aca="false">IF($U100="","",IF(ISNUMBER(INDEX('MiT Strom Pipeline'!$O$1:$O$860,$U100)),INDEX('MiT Strom Pipeline'!$O$1:$O$860,$U100),IF(INDEX('MiT Strom Pipeline'!$H$1:$H$860,$U100)="","",INDEX('MiT Strom Pipeline'!$H$1:$H$860,$U100))))</f>
        <v>Aug</v>
      </c>
      <c r="F100" s="129" t="str">
        <f aca="false">IF($U100="","",IF(INDEX('MiT Strom Pipeline'!$E$1:$E$860,$U100)="","",INDEX('MiT Strom Pipeline'!$E$1:$E$860,$U100)))</f>
        <v>600 kVA</v>
      </c>
      <c r="G100" s="132" t="n">
        <f aca="false">IF($U100="","",IF(ISNUMBER(INDEX('MiT Strom Pipeline'!$I$1:$I$860,$U100)),INDEX('MiT Strom Pipeline'!$I$1:$I$860,$U100),0))</f>
        <v>32467.62</v>
      </c>
      <c r="H100" s="132" t="n">
        <f aca="false">IF($U100="","",IF(ISNUMBER(INDEX('MiT Strom Pipeline'!$Q$1:$Q$860,$U100)),INDEX('MiT Strom Pipeline'!$Q$1:$Q$860,$U100),0))</f>
        <v>0</v>
      </c>
      <c r="I100" s="130" t="str">
        <f aca="false">IF($U100="","",INDEX('MiT Strom Pipeline'!$R$1:$R$860,$U100))</f>
        <v>offered</v>
      </c>
      <c r="J100" s="133" t="n">
        <f aca="false">IF($U100="","",IF(ISNUMBER(INDEX('MiT Strom Pipeline'!$S$1:$S$860,$U100)),INDEX('MiT Strom Pipeline'!$S$1:$S$860,$U100),""))</f>
        <v>0.3</v>
      </c>
      <c r="K100" s="129" t="str">
        <f aca="false">IF($U100="","",IF(LEN(INDEX('MiT Strom Pipeline'!$V$1:$V$860,$U100))&gt;0,LEFT(INDEX('MiT Strom Pipeline'!$V$1:$V$860,$U100),55),""))</f>
        <v>Kunde angeschrieben, Offerte erstellt, Kunde hat Offert</v>
      </c>
      <c r="L100" s="112"/>
      <c r="M100" s="112"/>
      <c r="N100" s="112"/>
      <c r="O100" s="112"/>
      <c r="P100" s="112"/>
      <c r="Q100" s="112"/>
      <c r="R100" s="112"/>
      <c r="S100" s="112"/>
      <c r="U100" s="1" t="n">
        <f aca="false">IFERROR(MATCH(26,'MiT Strom Pipeline'!$AN$6:$AN$860,0)+5,"")</f>
        <v>59</v>
      </c>
    </row>
    <row r="101" customFormat="false" ht="38.25" hidden="false" customHeight="true" outlineLevel="0" collapsed="false">
      <c r="A101" s="128" t="n">
        <f aca="false">IF($U101="","",IF(ISNUMBER(INDEX('MiT Strom Pipeline'!$A$1:$A$860,$U101)),INDEX('MiT Strom Pipeline'!$A$1:$A$860,$U101),""))</f>
        <v>54</v>
      </c>
      <c r="B101" s="129" t="str">
        <f aca="false">IF($U101="","",IF(INDEX('MiT Strom Pipeline'!$B$1:$B$860,$U101)="","",INDEX('MiT Strom Pipeline'!$B$1:$B$860,$U101)))</f>
        <v>Wyss Sound</v>
      </c>
      <c r="C101" s="130" t="str">
        <f aca="false">IF($U101="","",IF(INDEX('MiT Strom Pipeline'!$C$1:$C$860,$U101)="","",INDEX('MiT Strom Pipeline'!$C$1:$C$860,$U101)))</f>
        <v>LU</v>
      </c>
      <c r="D101" s="129" t="str">
        <f aca="false">IF($U101="","",IF(INDEX('MiT Strom Pipeline'!$D$1:$D$860,$U101)="","",INDEX('MiT Strom Pipeline'!$D$1:$D$860,$U101)))</f>
        <v>Event</v>
      </c>
      <c r="E101" s="131" t="str">
        <f aca="false">IF($U101="","",IF(ISNUMBER(INDEX('MiT Strom Pipeline'!$O$1:$O$860,$U101)),INDEX('MiT Strom Pipeline'!$O$1:$O$860,$U101),IF(INDEX('MiT Strom Pipeline'!$H$1:$H$860,$U101)="","",INDEX('MiT Strom Pipeline'!$H$1:$H$860,$U101))))</f>
        <v>Juli</v>
      </c>
      <c r="F101" s="129" t="str">
        <f aca="false">IF($U101="","",IF(INDEX('MiT Strom Pipeline'!$E$1:$E$860,$U101)="","",INDEX('MiT Strom Pipeline'!$E$1:$E$860,$U101)))</f>
        <v>300 kVA</v>
      </c>
      <c r="G101" s="132" t="n">
        <f aca="false">IF($U101="","",IF(ISNUMBER(INDEX('MiT Strom Pipeline'!$I$1:$I$860,$U101)),INDEX('MiT Strom Pipeline'!$I$1:$I$860,$U101),0))</f>
        <v>8381.21</v>
      </c>
      <c r="H101" s="132" t="n">
        <f aca="false">IF($U101="","",IF(ISNUMBER(INDEX('MiT Strom Pipeline'!$Q$1:$Q$860,$U101)),INDEX('MiT Strom Pipeline'!$Q$1:$Q$860,$U101),0))</f>
        <v>0</v>
      </c>
      <c r="I101" s="130" t="str">
        <f aca="false">IF($U101="","",INDEX('MiT Strom Pipeline'!$R$1:$R$860,$U101))</f>
        <v>offered</v>
      </c>
      <c r="J101" s="133" t="n">
        <f aca="false">IF($U101="","",IF(ISNUMBER(INDEX('MiT Strom Pipeline'!$S$1:$S$860,$U101)),INDEX('MiT Strom Pipeline'!$S$1:$S$860,$U101),""))</f>
        <v>0.3</v>
      </c>
      <c r="K101" s="129" t="str">
        <f aca="false">IF($U101="","",IF(LEN(INDEX('MiT Strom Pipeline'!$V$1:$V$860,$U101))&gt;0,LEFT(INDEX('MiT Strom Pipeline'!$V$1:$V$860,$U101),55),""))</f>
        <v>Kunde angeschrieben, Offerte erstellt, Kunde hat Offert</v>
      </c>
      <c r="L101" s="112"/>
      <c r="M101" s="112"/>
      <c r="N101" s="112"/>
      <c r="O101" s="112"/>
      <c r="P101" s="112"/>
      <c r="Q101" s="112"/>
      <c r="R101" s="112"/>
      <c r="S101" s="112"/>
      <c r="U101" s="1" t="n">
        <f aca="false">IFERROR(MATCH(27,'MiT Strom Pipeline'!$AN$6:$AN$860,0)+5,"")</f>
        <v>64</v>
      </c>
    </row>
    <row r="102" customFormat="false" ht="38.25" hidden="false" customHeight="true" outlineLevel="0" collapsed="false">
      <c r="A102" s="128" t="n">
        <f aca="false">IF($U102="","",IF(ISNUMBER(INDEX('MiT Strom Pipeline'!$A$1:$A$860,$U102)),INDEX('MiT Strom Pipeline'!$A$1:$A$860,$U102),""))</f>
        <v>55</v>
      </c>
      <c r="B102" s="129" t="str">
        <f aca="false">IF($U102="","",IF(INDEX('MiT Strom Pipeline'!$B$1:$B$860,$U102)="","",INDEX('MiT Strom Pipeline'!$B$1:$B$860,$U102)))</f>
        <v>Schmidiger + Rosasco AG</v>
      </c>
      <c r="C102" s="130" t="str">
        <f aca="false">IF($U102="","",IF(INDEX('MiT Strom Pipeline'!$C$1:$C$860,$U102)="","",INDEX('MiT Strom Pipeline'!$C$1:$C$860,$U102)))</f>
        <v>ZH</v>
      </c>
      <c r="D102" s="129" t="str">
        <f aca="false">IF($U102="","",IF(INDEX('MiT Strom Pipeline'!$D$1:$D$860,$U102)="","",INDEX('MiT Strom Pipeline'!$D$1:$D$860,$U102)))</f>
        <v>Elektroplaner</v>
      </c>
      <c r="E102" s="131" t="str">
        <f aca="false">IF($U102="","",IF(ISNUMBER(INDEX('MiT Strom Pipeline'!$O$1:$O$860,$U102)),INDEX('MiT Strom Pipeline'!$O$1:$O$860,$U102),IF(INDEX('MiT Strom Pipeline'!$H$1:$H$860,$U102)="","",INDEX('MiT Strom Pipeline'!$H$1:$H$860,$U102))))</f>
        <v>Juli</v>
      </c>
      <c r="F102" s="129" t="str">
        <f aca="false">IF($U102="","",IF(INDEX('MiT Strom Pipeline'!$E$1:$E$860,$U102)="","",INDEX('MiT Strom Pipeline'!$E$1:$E$860,$U102)))</f>
        <v>200 kVA</v>
      </c>
      <c r="G102" s="132" t="n">
        <f aca="false">IF($U102="","",IF(ISNUMBER(INDEX('MiT Strom Pipeline'!$I$1:$I$860,$U102)),INDEX('MiT Strom Pipeline'!$I$1:$I$860,$U102),0))</f>
        <v>6227.21</v>
      </c>
      <c r="H102" s="132" t="n">
        <f aca="false">IF($U102="","",IF(ISNUMBER(INDEX('MiT Strom Pipeline'!$Q$1:$Q$860,$U102)),INDEX('MiT Strom Pipeline'!$Q$1:$Q$860,$U102),0))</f>
        <v>0</v>
      </c>
      <c r="I102" s="130" t="str">
        <f aca="false">IF($U102="","",INDEX('MiT Strom Pipeline'!$R$1:$R$860,$U102))</f>
        <v>offered</v>
      </c>
      <c r="J102" s="133" t="n">
        <f aca="false">IF($U102="","",IF(ISNUMBER(INDEX('MiT Strom Pipeline'!$S$1:$S$860,$U102)),INDEX('MiT Strom Pipeline'!$S$1:$S$860,$U102),""))</f>
        <v>0.3</v>
      </c>
      <c r="K102" s="129" t="str">
        <f aca="false">IF($U102="","",IF(LEN(INDEX('MiT Strom Pipeline'!$V$1:$V$860,$U102))&gt;0,LEFT(INDEX('MiT Strom Pipeline'!$V$1:$V$860,$U102),55),""))</f>
        <v>Kunde angeschrieben, Offerte erstellt, Kunde hat Offert</v>
      </c>
      <c r="L102" s="112"/>
      <c r="M102" s="112"/>
      <c r="N102" s="112"/>
      <c r="O102" s="112"/>
      <c r="P102" s="112"/>
      <c r="Q102" s="112"/>
      <c r="R102" s="112"/>
      <c r="S102" s="112"/>
      <c r="U102" s="1" t="n">
        <f aca="false">IFERROR(MATCH(28,'MiT Strom Pipeline'!$AN$6:$AN$860,0)+5,"")</f>
        <v>65</v>
      </c>
    </row>
    <row r="103" customFormat="false" ht="38.25" hidden="false" customHeight="true" outlineLevel="0" collapsed="false">
      <c r="A103" s="128" t="n">
        <f aca="false">IF($U103="","",IF(ISNUMBER(INDEX('MiT Strom Pipeline'!$A$1:$A$860,$U103)),INDEX('MiT Strom Pipeline'!$A$1:$A$860,$U103),""))</f>
        <v>56</v>
      </c>
      <c r="B103" s="129" t="str">
        <f aca="false">IF($U103="","",IF(INDEX('MiT Strom Pipeline'!$B$1:$B$860,$U103)="","",INDEX('MiT Strom Pipeline'!$B$1:$B$860,$U103)))</f>
        <v>Winkler Livecom AG</v>
      </c>
      <c r="C103" s="130" t="str">
        <f aca="false">IF($U103="","",IF(INDEX('MiT Strom Pipeline'!$C$1:$C$860,$U103)="","",INDEX('MiT Strom Pipeline'!$C$1:$C$860,$U103)))</f>
        <v>AG</v>
      </c>
      <c r="D103" s="129" t="str">
        <f aca="false">IF($U103="","",IF(INDEX('MiT Strom Pipeline'!$D$1:$D$860,$U103)="","",INDEX('MiT Strom Pipeline'!$D$1:$D$860,$U103)))</f>
        <v>Event</v>
      </c>
      <c r="E103" s="131" t="str">
        <f aca="false">IF($U103="","",IF(ISNUMBER(INDEX('MiT Strom Pipeline'!$O$1:$O$860,$U103)),INDEX('MiT Strom Pipeline'!$O$1:$O$860,$U103),IF(INDEX('MiT Strom Pipeline'!$H$1:$H$860,$U103)="","",INDEX('MiT Strom Pipeline'!$H$1:$H$860,$U103))))</f>
        <v>Nov</v>
      </c>
      <c r="F103" s="129" t="str">
        <f aca="false">IF($U103="","",IF(INDEX('MiT Strom Pipeline'!$E$1:$E$860,$U103)="","",INDEX('MiT Strom Pipeline'!$E$1:$E$860,$U103)))</f>
        <v>300 kVA, 300 kWh</v>
      </c>
      <c r="G103" s="132" t="n">
        <f aca="false">IF($U103="","",IF(ISNUMBER(INDEX('MiT Strom Pipeline'!$I$1:$I$860,$U103)),INDEX('MiT Strom Pipeline'!$I$1:$I$860,$U103),0))</f>
        <v>41209</v>
      </c>
      <c r="H103" s="132" t="n">
        <f aca="false">IF($U103="","",IF(ISNUMBER(INDEX('MiT Strom Pipeline'!$Q$1:$Q$860,$U103)),INDEX('MiT Strom Pipeline'!$Q$1:$Q$860,$U103),0))</f>
        <v>0</v>
      </c>
      <c r="I103" s="130" t="str">
        <f aca="false">IF($U103="","",INDEX('MiT Strom Pipeline'!$R$1:$R$860,$U103))</f>
        <v>offered</v>
      </c>
      <c r="J103" s="133" t="n">
        <f aca="false">IF($U103="","",IF(ISNUMBER(INDEX('MiT Strom Pipeline'!$S$1:$S$860,$U103)),INDEX('MiT Strom Pipeline'!$S$1:$S$860,$U103),""))</f>
        <v>0.3</v>
      </c>
      <c r="K103" s="129" t="str">
        <f aca="false">IF($U103="","",IF(LEN(INDEX('MiT Strom Pipeline'!$V$1:$V$860,$U103))&gt;0,LEFT(INDEX('MiT Strom Pipeline'!$V$1:$V$860,$U103),55),""))</f>
        <v>Kunde angeschrieben, Offerte erstellt, Kunde hat Offert</v>
      </c>
      <c r="L103" s="112"/>
      <c r="M103" s="112"/>
      <c r="N103" s="112"/>
      <c r="O103" s="112"/>
      <c r="P103" s="112"/>
      <c r="Q103" s="112"/>
      <c r="R103" s="112"/>
      <c r="S103" s="112"/>
      <c r="U103" s="1" t="n">
        <f aca="false">IFERROR(MATCH(29,'MiT Strom Pipeline'!$AN$6:$AN$860,0)+5,"")</f>
        <v>66</v>
      </c>
    </row>
    <row r="104" customFormat="false" ht="38.25" hidden="false" customHeight="true" outlineLevel="0" collapsed="false">
      <c r="A104" s="128" t="n">
        <f aca="false">IF($U104="","",IF(ISNUMBER(INDEX('MiT Strom Pipeline'!$A$1:$A$860,$U104)),INDEX('MiT Strom Pipeline'!$A$1:$A$860,$U104),""))</f>
        <v>57</v>
      </c>
      <c r="B104" s="129" t="str">
        <f aca="false">IF($U104="","",IF(INDEX('MiT Strom Pipeline'!$B$1:$B$860,$U104)="","",INDEX('MiT Strom Pipeline'!$B$1:$B$860,$U104)))</f>
        <v>Siemens</v>
      </c>
      <c r="C104" s="130" t="str">
        <f aca="false">IF($U104="","",IF(INDEX('MiT Strom Pipeline'!$C$1:$C$860,$U104)="","",INDEX('MiT Strom Pipeline'!$C$1:$C$860,$U104)))</f>
        <v>ZG</v>
      </c>
      <c r="D104" s="129" t="str">
        <f aca="false">IF($U104="","",IF(INDEX('MiT Strom Pipeline'!$D$1:$D$860,$U104)="","",INDEX('MiT Strom Pipeline'!$D$1:$D$860,$U104)))</f>
        <v>Industrie</v>
      </c>
      <c r="E104" s="131" t="str">
        <f aca="false">IF($U104="","",IF(ISNUMBER(INDEX('MiT Strom Pipeline'!$O$1:$O$860,$U104)),INDEX('MiT Strom Pipeline'!$O$1:$O$860,$U104),IF(INDEX('MiT Strom Pipeline'!$H$1:$H$860,$U104)="","",INDEX('MiT Strom Pipeline'!$H$1:$H$860,$U104))))</f>
        <v>Sep</v>
      </c>
      <c r="F104" s="129" t="str">
        <f aca="false">IF($U104="","",IF(INDEX('MiT Strom Pipeline'!$E$1:$E$860,$U104)="","",INDEX('MiT Strom Pipeline'!$E$1:$E$860,$U104)))</f>
        <v>600 kVA</v>
      </c>
      <c r="G104" s="132" t="n">
        <f aca="false">IF($U104="","",IF(ISNUMBER(INDEX('MiT Strom Pipeline'!$I$1:$I$860,$U104)),INDEX('MiT Strom Pipeline'!$I$1:$I$860,$U104),0))</f>
        <v>40491.67</v>
      </c>
      <c r="H104" s="132" t="n">
        <f aca="false">IF($U104="","",IF(ISNUMBER(INDEX('MiT Strom Pipeline'!$Q$1:$Q$860,$U104)),INDEX('MiT Strom Pipeline'!$Q$1:$Q$860,$U104),0))</f>
        <v>0</v>
      </c>
      <c r="I104" s="130" t="str">
        <f aca="false">IF($U104="","",INDEX('MiT Strom Pipeline'!$R$1:$R$860,$U104))</f>
        <v>offered</v>
      </c>
      <c r="J104" s="133" t="n">
        <f aca="false">IF($U104="","",IF(ISNUMBER(INDEX('MiT Strom Pipeline'!$S$1:$S$860,$U104)),INDEX('MiT Strom Pipeline'!$S$1:$S$860,$U104),""))</f>
        <v>0.3</v>
      </c>
      <c r="K104" s="129" t="str">
        <f aca="false">IF($U104="","",IF(LEN(INDEX('MiT Strom Pipeline'!$V$1:$V$860,$U104))&gt;0,LEFT(INDEX('MiT Strom Pipeline'!$V$1:$V$860,$U104),55),""))</f>
        <v>Kunde angeschrieben, Offerte erstellt, Kunde hat Offert</v>
      </c>
      <c r="L104" s="112"/>
      <c r="M104" s="112"/>
      <c r="N104" s="112"/>
      <c r="O104" s="112"/>
      <c r="P104" s="112"/>
      <c r="Q104" s="112"/>
      <c r="R104" s="112"/>
      <c r="S104" s="112"/>
      <c r="U104" s="1" t="n">
        <f aca="false">IFERROR(MATCH(30,'MiT Strom Pipeline'!$AN$6:$AN$860,0)+5,"")</f>
        <v>67</v>
      </c>
    </row>
    <row r="105" customFormat="false" ht="38.25" hidden="false" customHeight="true" outlineLevel="0" collapsed="false">
      <c r="A105" s="128" t="n">
        <f aca="false">IF($U105="","",IF(ISNUMBER(INDEX('MiT Strom Pipeline'!$A$1:$A$860,$U105)),INDEX('MiT Strom Pipeline'!$A$1:$A$860,$U105),""))</f>
        <v>58</v>
      </c>
      <c r="B105" s="129" t="str">
        <f aca="false">IF($U105="","",IF(INDEX('MiT Strom Pipeline'!$B$1:$B$860,$U105)="","",INDEX('MiT Strom Pipeline'!$B$1:$B$860,$U105)))</f>
        <v>Kull Elektro AG</v>
      </c>
      <c r="C105" s="130" t="str">
        <f aca="false">IF($U105="","",IF(INDEX('MiT Strom Pipeline'!$C$1:$C$860,$U105)="","",INDEX('MiT Strom Pipeline'!$C$1:$C$860,$U105)))</f>
        <v>ZH</v>
      </c>
      <c r="D105" s="129" t="str">
        <f aca="false">IF($U105="","",IF(INDEX('MiT Strom Pipeline'!$D$1:$D$860,$U105)="","",INDEX('MiT Strom Pipeline'!$D$1:$D$860,$U105)))</f>
        <v>Elektroplaner</v>
      </c>
      <c r="E105" s="131" t="str">
        <f aca="false">IF($U105="","",IF(ISNUMBER(INDEX('MiT Strom Pipeline'!$O$1:$O$860,$U105)),INDEX('MiT Strom Pipeline'!$O$1:$O$860,$U105),IF(INDEX('MiT Strom Pipeline'!$H$1:$H$860,$U105)="","",INDEX('MiT Strom Pipeline'!$H$1:$H$860,$U105))))</f>
        <v>August</v>
      </c>
      <c r="F105" s="129" t="str">
        <f aca="false">IF($U105="","",IF(INDEX('MiT Strom Pipeline'!$E$1:$E$860,$U105)="","",INDEX('MiT Strom Pipeline'!$E$1:$E$860,$U105)))</f>
        <v>150 kVA Generator</v>
      </c>
      <c r="G105" s="132" t="n">
        <f aca="false">IF($U105="","",IF(ISNUMBER(INDEX('MiT Strom Pipeline'!$I$1:$I$860,$U105)),INDEX('MiT Strom Pipeline'!$I$1:$I$860,$U105),0))</f>
        <v>113382.4</v>
      </c>
      <c r="H105" s="132" t="n">
        <f aca="false">IF($U105="","",IF(ISNUMBER(INDEX('MiT Strom Pipeline'!$Q$1:$Q$860,$U105)),INDEX('MiT Strom Pipeline'!$Q$1:$Q$860,$U105),0))</f>
        <v>0</v>
      </c>
      <c r="I105" s="130" t="str">
        <f aca="false">IF($U105="","",INDEX('MiT Strom Pipeline'!$R$1:$R$860,$U105))</f>
        <v>offered</v>
      </c>
      <c r="J105" s="133" t="n">
        <f aca="false">IF($U105="","",IF(ISNUMBER(INDEX('MiT Strom Pipeline'!$S$1:$S$860,$U105)),INDEX('MiT Strom Pipeline'!$S$1:$S$860,$U105),""))</f>
        <v>0.3</v>
      </c>
      <c r="K105" s="129" t="str">
        <f aca="false">IF($U105="","",IF(LEN(INDEX('MiT Strom Pipeline'!$V$1:$V$860,$U105))&gt;0,LEFT(INDEX('MiT Strom Pipeline'!$V$1:$V$860,$U105),55),""))</f>
        <v>Kunde angeschrieben, Offerte erstellt, Kunde hat Offert</v>
      </c>
      <c r="L105" s="112"/>
      <c r="M105" s="112"/>
      <c r="N105" s="112"/>
      <c r="O105" s="112"/>
      <c r="P105" s="112"/>
      <c r="Q105" s="112"/>
      <c r="R105" s="112"/>
      <c r="S105" s="112"/>
      <c r="U105" s="1" t="n">
        <f aca="false">IFERROR(MATCH(31,'MiT Strom Pipeline'!$AN$6:$AN$860,0)+5,"")</f>
        <v>68</v>
      </c>
    </row>
    <row r="106" customFormat="false" ht="38.25" hidden="false" customHeight="true" outlineLevel="0" collapsed="false">
      <c r="A106" s="128" t="n">
        <f aca="false">IF($U106="","",IF(ISNUMBER(INDEX('MiT Strom Pipeline'!$A$1:$A$860,$U106)),INDEX('MiT Strom Pipeline'!$A$1:$A$860,$U106),""))</f>
        <v>59</v>
      </c>
      <c r="B106" s="129" t="str">
        <f aca="false">IF($U106="","",IF(INDEX('MiT Strom Pipeline'!$B$1:$B$860,$U106)="","",INDEX('MiT Strom Pipeline'!$B$1:$B$860,$U106)))</f>
        <v>(Megger) Power Diagnostix Service GmbH</v>
      </c>
      <c r="C106" s="130" t="str">
        <f aca="false">IF($U106="","",IF(INDEX('MiT Strom Pipeline'!$C$1:$C$860,$U106)="","",INDEX('MiT Strom Pipeline'!$C$1:$C$860,$U106)))</f>
        <v>ZH</v>
      </c>
      <c r="D106" s="129" t="str">
        <f aca="false">IF($U106="","",IF(INDEX('MiT Strom Pipeline'!$D$1:$D$860,$U106)="","",INDEX('MiT Strom Pipeline'!$D$1:$D$860,$U106)))</f>
        <v>EVU</v>
      </c>
      <c r="E106" s="131" t="str">
        <f aca="false">IF($U106="","",IF(ISNUMBER(INDEX('MiT Strom Pipeline'!$O$1:$O$860,$U106)),INDEX('MiT Strom Pipeline'!$O$1:$O$860,$U106),IF(INDEX('MiT Strom Pipeline'!$H$1:$H$860,$U106)="","",INDEX('MiT Strom Pipeline'!$H$1:$H$860,$U106))))</f>
        <v>August</v>
      </c>
      <c r="F106" s="129" t="str">
        <f aca="false">IF($U106="","",IF(INDEX('MiT Strom Pipeline'!$E$1:$E$860,$U106)="","",INDEX('MiT Strom Pipeline'!$E$1:$E$860,$U106)))</f>
        <v>150 kVA</v>
      </c>
      <c r="G106" s="132" t="n">
        <f aca="false">IF($U106="","",IF(ISNUMBER(INDEX('MiT Strom Pipeline'!$I$1:$I$860,$U106)),INDEX('MiT Strom Pipeline'!$I$1:$I$860,$U106),0))</f>
        <v>2435.75</v>
      </c>
      <c r="H106" s="132" t="n">
        <f aca="false">IF($U106="","",IF(ISNUMBER(INDEX('MiT Strom Pipeline'!$Q$1:$Q$860,$U106)),INDEX('MiT Strom Pipeline'!$Q$1:$Q$860,$U106),0))</f>
        <v>0</v>
      </c>
      <c r="I106" s="130" t="str">
        <f aca="false">IF($U106="","",INDEX('MiT Strom Pipeline'!$R$1:$R$860,$U106))</f>
        <v>offered</v>
      </c>
      <c r="J106" s="133" t="n">
        <f aca="false">IF($U106="","",IF(ISNUMBER(INDEX('MiT Strom Pipeline'!$S$1:$S$860,$U106)),INDEX('MiT Strom Pipeline'!$S$1:$S$860,$U106),""))</f>
        <v>0.3</v>
      </c>
      <c r="K106" s="129" t="str">
        <f aca="false">IF($U106="","",IF(LEN(INDEX('MiT Strom Pipeline'!$V$1:$V$860,$U106))&gt;0,LEFT(INDEX('MiT Strom Pipeline'!$V$1:$V$860,$U106),55),""))</f>
        <v>Kunde angeschrieben, Offerte erstellt, Kunde hat Offert</v>
      </c>
      <c r="L106" s="112"/>
      <c r="M106" s="112"/>
      <c r="N106" s="112"/>
      <c r="O106" s="112"/>
      <c r="P106" s="112"/>
      <c r="Q106" s="112"/>
      <c r="R106" s="112"/>
      <c r="S106" s="112"/>
      <c r="U106" s="1" t="n">
        <f aca="false">IFERROR(MATCH(32,'MiT Strom Pipeline'!$AN$6:$AN$860,0)+5,"")</f>
        <v>69</v>
      </c>
    </row>
    <row r="107" customFormat="false" ht="38.25" hidden="false" customHeight="true" outlineLevel="0" collapsed="false">
      <c r="A107" s="128" t="n">
        <f aca="false">IF($U107="","",IF(ISNUMBER(INDEX('MiT Strom Pipeline'!$A$1:$A$860,$U107)),INDEX('MiT Strom Pipeline'!$A$1:$A$860,$U107),""))</f>
        <v>60</v>
      </c>
      <c r="B107" s="129" t="str">
        <f aca="false">IF($U107="","",IF(INDEX('MiT Strom Pipeline'!$B$1:$B$860,$U107)="","",INDEX('MiT Strom Pipeline'!$B$1:$B$860,$U107)))</f>
        <v>Promacom engineering GmbH</v>
      </c>
      <c r="C107" s="130" t="str">
        <f aca="false">IF($U107="","",IF(INDEX('MiT Strom Pipeline'!$C$1:$C$860,$U107)="","",INDEX('MiT Strom Pipeline'!$C$1:$C$860,$U107)))</f>
        <v>ZH</v>
      </c>
      <c r="D107" s="129" t="str">
        <f aca="false">IF($U107="","",IF(INDEX('MiT Strom Pipeline'!$D$1:$D$860,$U107)="","",INDEX('MiT Strom Pipeline'!$D$1:$D$860,$U107)))</f>
        <v>Elektroplaner</v>
      </c>
      <c r="E107" s="131" t="str">
        <f aca="false">IF($U107="","",IF(ISNUMBER(INDEX('MiT Strom Pipeline'!$O$1:$O$860,$U107)),INDEX('MiT Strom Pipeline'!$O$1:$O$860,$U107),IF(INDEX('MiT Strom Pipeline'!$H$1:$H$860,$U107)="","",INDEX('MiT Strom Pipeline'!$H$1:$H$860,$U107))))</f>
        <v>Jan</v>
      </c>
      <c r="F107" s="129" t="str">
        <f aca="false">IF($U107="","",IF(INDEX('MiT Strom Pipeline'!$E$1:$E$860,$U107)="","",INDEX('MiT Strom Pipeline'!$E$1:$E$860,$U107)))</f>
        <v>450 kVA</v>
      </c>
      <c r="G107" s="132" t="n">
        <f aca="false">IF($U107="","",IF(ISNUMBER(INDEX('MiT Strom Pipeline'!$I$1:$I$860,$U107)),INDEX('MiT Strom Pipeline'!$I$1:$I$860,$U107),0))</f>
        <v>286997.24</v>
      </c>
      <c r="H107" s="132" t="n">
        <f aca="false">IF($U107="","",IF(ISNUMBER(INDEX('MiT Strom Pipeline'!$Q$1:$Q$860,$U107)),INDEX('MiT Strom Pipeline'!$Q$1:$Q$860,$U107),0))</f>
        <v>0</v>
      </c>
      <c r="I107" s="130" t="str">
        <f aca="false">IF($U107="","",INDEX('MiT Strom Pipeline'!$R$1:$R$860,$U107))</f>
        <v>offered</v>
      </c>
      <c r="J107" s="133" t="n">
        <f aca="false">IF($U107="","",IF(ISNUMBER(INDEX('MiT Strom Pipeline'!$S$1:$S$860,$U107)),INDEX('MiT Strom Pipeline'!$S$1:$S$860,$U107),""))</f>
        <v>0.3</v>
      </c>
      <c r="K107" s="129" t="str">
        <f aca="false">IF($U107="","",IF(LEN(INDEX('MiT Strom Pipeline'!$V$1:$V$860,$U107))&gt;0,LEFT(INDEX('MiT Strom Pipeline'!$V$1:$V$860,$U107),55),""))</f>
        <v>Kunde angeschrieben, Offerte erstellt, Kunde hat Offert</v>
      </c>
      <c r="L107" s="112"/>
      <c r="M107" s="112"/>
      <c r="N107" s="112"/>
      <c r="O107" s="112"/>
      <c r="P107" s="112"/>
      <c r="Q107" s="112"/>
      <c r="R107" s="112"/>
      <c r="S107" s="112"/>
      <c r="U107" s="1" t="n">
        <f aca="false">IFERROR(MATCH(33,'MiT Strom Pipeline'!$AN$6:$AN$860,0)+5,"")</f>
        <v>70</v>
      </c>
    </row>
    <row r="108" customFormat="false" ht="15.75" hidden="false" customHeight="true" outlineLevel="0" collapsed="false">
      <c r="A108" s="128" t="str">
        <f aca="false">IF($U108="","",IF(ISNUMBER(INDEX('MiT Strom Pipeline'!$A$1:$A$860,$U108)),INDEX('MiT Strom Pipeline'!$A$1:$A$860,$U108),""))</f>
        <v/>
      </c>
      <c r="B108" s="129" t="str">
        <f aca="false">IF($U108="","",IF(INDEX('MiT Strom Pipeline'!$B$1:$B$860,$U108)="","",INDEX('MiT Strom Pipeline'!$B$1:$B$860,$U108)))</f>
        <v/>
      </c>
      <c r="C108" s="130" t="str">
        <f aca="false">IF($U108="","",IF(INDEX('MiT Strom Pipeline'!$C$1:$C$860,$U108)="","",INDEX('MiT Strom Pipeline'!$C$1:$C$860,$U108)))</f>
        <v/>
      </c>
      <c r="D108" s="129" t="str">
        <f aca="false">IF($U108="","",IF(INDEX('MiT Strom Pipeline'!$D$1:$D$860,$U108)="","",INDEX('MiT Strom Pipeline'!$D$1:$D$860,$U108)))</f>
        <v/>
      </c>
      <c r="E108" s="131" t="str">
        <f aca="false">IF($U108="","",IF(ISNUMBER(INDEX('MiT Strom Pipeline'!$O$1:$O$860,$U108)),INDEX('MiT Strom Pipeline'!$O$1:$O$860,$U108),IF(INDEX('MiT Strom Pipeline'!$H$1:$H$860,$U108)="","",INDEX('MiT Strom Pipeline'!$H$1:$H$860,$U108))))</f>
        <v/>
      </c>
      <c r="F108" s="129" t="str">
        <f aca="false">IF($U108="","",IF(INDEX('MiT Strom Pipeline'!$E$1:$E$860,$U108)="","",INDEX('MiT Strom Pipeline'!$E$1:$E$860,$U108)))</f>
        <v/>
      </c>
      <c r="G108" s="132" t="str">
        <f aca="false">IF($U108="","",IF(ISNUMBER(INDEX('MiT Strom Pipeline'!$I$1:$I$860,$U108)),INDEX('MiT Strom Pipeline'!$I$1:$I$860,$U108),0))</f>
        <v/>
      </c>
      <c r="H108" s="132" t="str">
        <f aca="false">IF($U108="","",IF(ISNUMBER(INDEX('MiT Strom Pipeline'!$Q$1:$Q$860,$U108)),INDEX('MiT Strom Pipeline'!$Q$1:$Q$860,$U108),0))</f>
        <v/>
      </c>
      <c r="I108" s="130" t="str">
        <f aca="false">IF($U108="","",INDEX('MiT Strom Pipeline'!$R$1:$R$860,$U108))</f>
        <v/>
      </c>
      <c r="J108" s="133" t="str">
        <f aca="false">IF($U108="","",IF(ISNUMBER(INDEX('MiT Strom Pipeline'!$S$1:$S$860,$U108)),INDEX('MiT Strom Pipeline'!$S$1:$S$860,$U108),""))</f>
        <v/>
      </c>
      <c r="K108" s="129" t="str">
        <f aca="false">IF($U108="","",IF(LEN(INDEX('MiT Strom Pipeline'!$V$1:$V$860,$U108))&gt;0,LEFT(INDEX('MiT Strom Pipeline'!$V$1:$V$860,$U108),55),""))</f>
        <v/>
      </c>
      <c r="L108" s="112"/>
      <c r="M108" s="112"/>
      <c r="N108" s="112"/>
      <c r="O108" s="112"/>
      <c r="P108" s="112"/>
      <c r="Q108" s="112"/>
      <c r="R108" s="112"/>
      <c r="S108" s="112"/>
      <c r="U108" s="1" t="str">
        <f aca="false">IFERROR(MATCH(34,'MiT Strom Pipeline'!$AN$6:$AN$860,0)+5,"")</f>
        <v/>
      </c>
    </row>
    <row r="109" customFormat="false" ht="15.75" hidden="false" customHeight="true" outlineLevel="0" collapsed="false">
      <c r="A109" s="128" t="str">
        <f aca="false">IF($U109="","",IF(ISNUMBER(INDEX('MiT Strom Pipeline'!$A$1:$A$860,$U109)),INDEX('MiT Strom Pipeline'!$A$1:$A$860,$U109),""))</f>
        <v/>
      </c>
      <c r="B109" s="129" t="str">
        <f aca="false">IF($U109="","",IF(INDEX('MiT Strom Pipeline'!$B$1:$B$860,$U109)="","",INDEX('MiT Strom Pipeline'!$B$1:$B$860,$U109)))</f>
        <v/>
      </c>
      <c r="C109" s="130" t="str">
        <f aca="false">IF($U109="","",IF(INDEX('MiT Strom Pipeline'!$C$1:$C$860,$U109)="","",INDEX('MiT Strom Pipeline'!$C$1:$C$860,$U109)))</f>
        <v/>
      </c>
      <c r="D109" s="129" t="str">
        <f aca="false">IF($U109="","",IF(INDEX('MiT Strom Pipeline'!$D$1:$D$860,$U109)="","",INDEX('MiT Strom Pipeline'!$D$1:$D$860,$U109)))</f>
        <v/>
      </c>
      <c r="E109" s="131" t="str">
        <f aca="false">IF($U109="","",IF(ISNUMBER(INDEX('MiT Strom Pipeline'!$O$1:$O$860,$U109)),INDEX('MiT Strom Pipeline'!$O$1:$O$860,$U109),IF(INDEX('MiT Strom Pipeline'!$H$1:$H$860,$U109)="","",INDEX('MiT Strom Pipeline'!$H$1:$H$860,$U109))))</f>
        <v/>
      </c>
      <c r="F109" s="129" t="str">
        <f aca="false">IF($U109="","",IF(INDEX('MiT Strom Pipeline'!$E$1:$E$860,$U109)="","",INDEX('MiT Strom Pipeline'!$E$1:$E$860,$U109)))</f>
        <v/>
      </c>
      <c r="G109" s="132" t="str">
        <f aca="false">IF($U109="","",IF(ISNUMBER(INDEX('MiT Strom Pipeline'!$I$1:$I$860,$U109)),INDEX('MiT Strom Pipeline'!$I$1:$I$860,$U109),0))</f>
        <v/>
      </c>
      <c r="H109" s="132" t="str">
        <f aca="false">IF($U109="","",IF(ISNUMBER(INDEX('MiT Strom Pipeline'!$Q$1:$Q$860,$U109)),INDEX('MiT Strom Pipeline'!$Q$1:$Q$860,$U109),0))</f>
        <v/>
      </c>
      <c r="I109" s="130" t="str">
        <f aca="false">IF($U109="","",INDEX('MiT Strom Pipeline'!$R$1:$R$860,$U109))</f>
        <v/>
      </c>
      <c r="J109" s="133" t="str">
        <f aca="false">IF($U109="","",IF(ISNUMBER(INDEX('MiT Strom Pipeline'!$S$1:$S$860,$U109)),INDEX('MiT Strom Pipeline'!$S$1:$S$860,$U109),""))</f>
        <v/>
      </c>
      <c r="K109" s="129" t="str">
        <f aca="false">IF($U109="","",IF(LEN(INDEX('MiT Strom Pipeline'!$V$1:$V$860,$U109))&gt;0,LEFT(INDEX('MiT Strom Pipeline'!$V$1:$V$860,$U109),55),""))</f>
        <v/>
      </c>
      <c r="L109" s="112"/>
      <c r="M109" s="112"/>
      <c r="N109" s="112"/>
      <c r="O109" s="112"/>
      <c r="P109" s="112"/>
      <c r="Q109" s="112"/>
      <c r="R109" s="112"/>
      <c r="S109" s="112"/>
      <c r="U109" s="1" t="str">
        <f aca="false">IFERROR(MATCH(35,'MiT Strom Pipeline'!$AN$6:$AN$860,0)+5,"")</f>
        <v/>
      </c>
    </row>
    <row r="110" customFormat="false" ht="15.75" hidden="false" customHeight="true" outlineLevel="0" collapsed="false">
      <c r="A110" s="128" t="str">
        <f aca="false">IF($U110="","",IF(ISNUMBER(INDEX('MiT Strom Pipeline'!$A$1:$A$860,$U110)),INDEX('MiT Strom Pipeline'!$A$1:$A$860,$U110),""))</f>
        <v/>
      </c>
      <c r="B110" s="129" t="str">
        <f aca="false">IF($U110="","",IF(INDEX('MiT Strom Pipeline'!$B$1:$B$860,$U110)="","",INDEX('MiT Strom Pipeline'!$B$1:$B$860,$U110)))</f>
        <v/>
      </c>
      <c r="C110" s="130" t="str">
        <f aca="false">IF($U110="","",IF(INDEX('MiT Strom Pipeline'!$C$1:$C$860,$U110)="","",INDEX('MiT Strom Pipeline'!$C$1:$C$860,$U110)))</f>
        <v/>
      </c>
      <c r="D110" s="129" t="str">
        <f aca="false">IF($U110="","",IF(INDEX('MiT Strom Pipeline'!$D$1:$D$860,$U110)="","",INDEX('MiT Strom Pipeline'!$D$1:$D$860,$U110)))</f>
        <v/>
      </c>
      <c r="E110" s="131" t="str">
        <f aca="false">IF($U110="","",IF(ISNUMBER(INDEX('MiT Strom Pipeline'!$O$1:$O$860,$U110)),INDEX('MiT Strom Pipeline'!$O$1:$O$860,$U110),IF(INDEX('MiT Strom Pipeline'!$H$1:$H$860,$U110)="","",INDEX('MiT Strom Pipeline'!$H$1:$H$860,$U110))))</f>
        <v/>
      </c>
      <c r="F110" s="129" t="str">
        <f aca="false">IF($U110="","",IF(INDEX('MiT Strom Pipeline'!$E$1:$E$860,$U110)="","",INDEX('MiT Strom Pipeline'!$E$1:$E$860,$U110)))</f>
        <v/>
      </c>
      <c r="G110" s="132" t="str">
        <f aca="false">IF($U110="","",IF(ISNUMBER(INDEX('MiT Strom Pipeline'!$I$1:$I$860,$U110)),INDEX('MiT Strom Pipeline'!$I$1:$I$860,$U110),0))</f>
        <v/>
      </c>
      <c r="H110" s="132" t="str">
        <f aca="false">IF($U110="","",IF(ISNUMBER(INDEX('MiT Strom Pipeline'!$Q$1:$Q$860,$U110)),INDEX('MiT Strom Pipeline'!$Q$1:$Q$860,$U110),0))</f>
        <v/>
      </c>
      <c r="I110" s="130" t="str">
        <f aca="false">IF($U110="","",INDEX('MiT Strom Pipeline'!$R$1:$R$860,$U110))</f>
        <v/>
      </c>
      <c r="J110" s="133" t="str">
        <f aca="false">IF($U110="","",IF(ISNUMBER(INDEX('MiT Strom Pipeline'!$S$1:$S$860,$U110)),INDEX('MiT Strom Pipeline'!$S$1:$S$860,$U110),""))</f>
        <v/>
      </c>
      <c r="K110" s="129" t="str">
        <f aca="false">IF($U110="","",IF(LEN(INDEX('MiT Strom Pipeline'!$V$1:$V$860,$U110))&gt;0,LEFT(INDEX('MiT Strom Pipeline'!$V$1:$V$860,$U110),55),""))</f>
        <v/>
      </c>
      <c r="L110" s="112"/>
      <c r="M110" s="112"/>
      <c r="N110" s="112"/>
      <c r="O110" s="112"/>
      <c r="P110" s="112"/>
      <c r="Q110" s="112"/>
      <c r="R110" s="112"/>
      <c r="S110" s="112"/>
      <c r="U110" s="1" t="str">
        <f aca="false">IFERROR(MATCH(36,'MiT Strom Pipeline'!$AN$6:$AN$860,0)+5,"")</f>
        <v/>
      </c>
    </row>
    <row r="111" customFormat="false" ht="15.75" hidden="false" customHeight="true" outlineLevel="0" collapsed="false">
      <c r="A111" s="128" t="str">
        <f aca="false">IF($U111="","",IF(ISNUMBER(INDEX('MiT Strom Pipeline'!$A$1:$A$860,$U111)),INDEX('MiT Strom Pipeline'!$A$1:$A$860,$U111),""))</f>
        <v/>
      </c>
      <c r="B111" s="129" t="str">
        <f aca="false">IF($U111="","",IF(INDEX('MiT Strom Pipeline'!$B$1:$B$860,$U111)="","",INDEX('MiT Strom Pipeline'!$B$1:$B$860,$U111)))</f>
        <v/>
      </c>
      <c r="C111" s="130" t="str">
        <f aca="false">IF($U111="","",IF(INDEX('MiT Strom Pipeline'!$C$1:$C$860,$U111)="","",INDEX('MiT Strom Pipeline'!$C$1:$C$860,$U111)))</f>
        <v/>
      </c>
      <c r="D111" s="129" t="str">
        <f aca="false">IF($U111="","",IF(INDEX('MiT Strom Pipeline'!$D$1:$D$860,$U111)="","",INDEX('MiT Strom Pipeline'!$D$1:$D$860,$U111)))</f>
        <v/>
      </c>
      <c r="E111" s="131" t="str">
        <f aca="false">IF($U111="","",IF(ISNUMBER(INDEX('MiT Strom Pipeline'!$O$1:$O$860,$U111)),INDEX('MiT Strom Pipeline'!$O$1:$O$860,$U111),IF(INDEX('MiT Strom Pipeline'!$H$1:$H$860,$U111)="","",INDEX('MiT Strom Pipeline'!$H$1:$H$860,$U111))))</f>
        <v/>
      </c>
      <c r="F111" s="129" t="str">
        <f aca="false">IF($U111="","",IF(INDEX('MiT Strom Pipeline'!$E$1:$E$860,$U111)="","",INDEX('MiT Strom Pipeline'!$E$1:$E$860,$U111)))</f>
        <v/>
      </c>
      <c r="G111" s="132" t="str">
        <f aca="false">IF($U111="","",IF(ISNUMBER(INDEX('MiT Strom Pipeline'!$I$1:$I$860,$U111)),INDEX('MiT Strom Pipeline'!$I$1:$I$860,$U111),0))</f>
        <v/>
      </c>
      <c r="H111" s="132" t="str">
        <f aca="false">IF($U111="","",IF(ISNUMBER(INDEX('MiT Strom Pipeline'!$Q$1:$Q$860,$U111)),INDEX('MiT Strom Pipeline'!$Q$1:$Q$860,$U111),0))</f>
        <v/>
      </c>
      <c r="I111" s="130" t="str">
        <f aca="false">IF($U111="","",INDEX('MiT Strom Pipeline'!$R$1:$R$860,$U111))</f>
        <v/>
      </c>
      <c r="J111" s="133" t="str">
        <f aca="false">IF($U111="","",IF(ISNUMBER(INDEX('MiT Strom Pipeline'!$S$1:$S$860,$U111)),INDEX('MiT Strom Pipeline'!$S$1:$S$860,$U111),""))</f>
        <v/>
      </c>
      <c r="K111" s="129" t="str">
        <f aca="false">IF($U111="","",IF(LEN(INDEX('MiT Strom Pipeline'!$V$1:$V$860,$U111))&gt;0,LEFT(INDEX('MiT Strom Pipeline'!$V$1:$V$860,$U111),55),""))</f>
        <v/>
      </c>
      <c r="L111" s="112"/>
      <c r="M111" s="112"/>
      <c r="N111" s="112"/>
      <c r="O111" s="112"/>
      <c r="P111" s="112"/>
      <c r="Q111" s="112"/>
      <c r="R111" s="112"/>
      <c r="S111" s="112"/>
      <c r="U111" s="1" t="str">
        <f aca="false">IFERROR(MATCH(37,'MiT Strom Pipeline'!$AN$6:$AN$860,0)+5,"")</f>
        <v/>
      </c>
    </row>
    <row r="112" customFormat="false" ht="15.75" hidden="false" customHeight="true" outlineLevel="0" collapsed="false">
      <c r="A112" s="128" t="str">
        <f aca="false">IF($U112="","",IF(ISNUMBER(INDEX('MiT Strom Pipeline'!$A$1:$A$860,$U112)),INDEX('MiT Strom Pipeline'!$A$1:$A$860,$U112),""))</f>
        <v/>
      </c>
      <c r="B112" s="129" t="str">
        <f aca="false">IF($U112="","",IF(INDEX('MiT Strom Pipeline'!$B$1:$B$860,$U112)="","",INDEX('MiT Strom Pipeline'!$B$1:$B$860,$U112)))</f>
        <v/>
      </c>
      <c r="C112" s="130" t="str">
        <f aca="false">IF($U112="","",IF(INDEX('MiT Strom Pipeline'!$C$1:$C$860,$U112)="","",INDEX('MiT Strom Pipeline'!$C$1:$C$860,$U112)))</f>
        <v/>
      </c>
      <c r="D112" s="129" t="str">
        <f aca="false">IF($U112="","",IF(INDEX('MiT Strom Pipeline'!$D$1:$D$860,$U112)="","",INDEX('MiT Strom Pipeline'!$D$1:$D$860,$U112)))</f>
        <v/>
      </c>
      <c r="E112" s="131" t="str">
        <f aca="false">IF($U112="","",IF(ISNUMBER(INDEX('MiT Strom Pipeline'!$O$1:$O$860,$U112)),INDEX('MiT Strom Pipeline'!$O$1:$O$860,$U112),IF(INDEX('MiT Strom Pipeline'!$H$1:$H$860,$U112)="","",INDEX('MiT Strom Pipeline'!$H$1:$H$860,$U112))))</f>
        <v/>
      </c>
      <c r="F112" s="129" t="str">
        <f aca="false">IF($U112="","",IF(INDEX('MiT Strom Pipeline'!$E$1:$E$860,$U112)="","",INDEX('MiT Strom Pipeline'!$E$1:$E$860,$U112)))</f>
        <v/>
      </c>
      <c r="G112" s="132" t="str">
        <f aca="false">IF($U112="","",IF(ISNUMBER(INDEX('MiT Strom Pipeline'!$I$1:$I$860,$U112)),INDEX('MiT Strom Pipeline'!$I$1:$I$860,$U112),0))</f>
        <v/>
      </c>
      <c r="H112" s="132" t="str">
        <f aca="false">IF($U112="","",IF(ISNUMBER(INDEX('MiT Strom Pipeline'!$Q$1:$Q$860,$U112)),INDEX('MiT Strom Pipeline'!$Q$1:$Q$860,$U112),0))</f>
        <v/>
      </c>
      <c r="I112" s="130" t="str">
        <f aca="false">IF($U112="","",INDEX('MiT Strom Pipeline'!$R$1:$R$860,$U112))</f>
        <v/>
      </c>
      <c r="J112" s="133" t="str">
        <f aca="false">IF($U112="","",IF(ISNUMBER(INDEX('MiT Strom Pipeline'!$S$1:$S$860,$U112)),INDEX('MiT Strom Pipeline'!$S$1:$S$860,$U112),""))</f>
        <v/>
      </c>
      <c r="K112" s="129" t="str">
        <f aca="false">IF($U112="","",IF(LEN(INDEX('MiT Strom Pipeline'!$V$1:$V$860,$U112))&gt;0,LEFT(INDEX('MiT Strom Pipeline'!$V$1:$V$860,$U112),55),""))</f>
        <v/>
      </c>
      <c r="L112" s="112"/>
      <c r="M112" s="112"/>
      <c r="N112" s="112"/>
      <c r="O112" s="112"/>
      <c r="P112" s="112"/>
      <c r="Q112" s="112"/>
      <c r="R112" s="112"/>
      <c r="S112" s="112"/>
      <c r="U112" s="1" t="str">
        <f aca="false">IFERROR(MATCH(38,'MiT Strom Pipeline'!$AN$6:$AN$860,0)+5,"")</f>
        <v/>
      </c>
    </row>
    <row r="113" customFormat="false" ht="15.75" hidden="false" customHeight="true" outlineLevel="0" collapsed="false">
      <c r="A113" s="128" t="str">
        <f aca="false">IF($U113="","",IF(ISNUMBER(INDEX('MiT Strom Pipeline'!$A$1:$A$860,$U113)),INDEX('MiT Strom Pipeline'!$A$1:$A$860,$U113),""))</f>
        <v/>
      </c>
      <c r="B113" s="129" t="str">
        <f aca="false">IF($U113="","",IF(INDEX('MiT Strom Pipeline'!$B$1:$B$860,$U113)="","",INDEX('MiT Strom Pipeline'!$B$1:$B$860,$U113)))</f>
        <v/>
      </c>
      <c r="C113" s="130" t="str">
        <f aca="false">IF($U113="","",IF(INDEX('MiT Strom Pipeline'!$C$1:$C$860,$U113)="","",INDEX('MiT Strom Pipeline'!$C$1:$C$860,$U113)))</f>
        <v/>
      </c>
      <c r="D113" s="129" t="str">
        <f aca="false">IF($U113="","",IF(INDEX('MiT Strom Pipeline'!$D$1:$D$860,$U113)="","",INDEX('MiT Strom Pipeline'!$D$1:$D$860,$U113)))</f>
        <v/>
      </c>
      <c r="E113" s="131" t="str">
        <f aca="false">IF($U113="","",IF(ISNUMBER(INDEX('MiT Strom Pipeline'!$O$1:$O$860,$U113)),INDEX('MiT Strom Pipeline'!$O$1:$O$860,$U113),IF(INDEX('MiT Strom Pipeline'!$H$1:$H$860,$U113)="","",INDEX('MiT Strom Pipeline'!$H$1:$H$860,$U113))))</f>
        <v/>
      </c>
      <c r="F113" s="129" t="str">
        <f aca="false">IF($U113="","",IF(INDEX('MiT Strom Pipeline'!$E$1:$E$860,$U113)="","",INDEX('MiT Strom Pipeline'!$E$1:$E$860,$U113)))</f>
        <v/>
      </c>
      <c r="G113" s="132" t="str">
        <f aca="false">IF($U113="","",IF(ISNUMBER(INDEX('MiT Strom Pipeline'!$I$1:$I$860,$U113)),INDEX('MiT Strom Pipeline'!$I$1:$I$860,$U113),0))</f>
        <v/>
      </c>
      <c r="H113" s="132" t="str">
        <f aca="false">IF($U113="","",IF(ISNUMBER(INDEX('MiT Strom Pipeline'!$Q$1:$Q$860,$U113)),INDEX('MiT Strom Pipeline'!$Q$1:$Q$860,$U113),0))</f>
        <v/>
      </c>
      <c r="I113" s="130" t="str">
        <f aca="false">IF($U113="","",INDEX('MiT Strom Pipeline'!$R$1:$R$860,$U113))</f>
        <v/>
      </c>
      <c r="J113" s="133" t="str">
        <f aca="false">IF($U113="","",IF(ISNUMBER(INDEX('MiT Strom Pipeline'!$S$1:$S$860,$U113)),INDEX('MiT Strom Pipeline'!$S$1:$S$860,$U113),""))</f>
        <v/>
      </c>
      <c r="K113" s="129" t="str">
        <f aca="false">IF($U113="","",IF(LEN(INDEX('MiT Strom Pipeline'!$V$1:$V$860,$U113))&gt;0,LEFT(INDEX('MiT Strom Pipeline'!$V$1:$V$860,$U113),55),""))</f>
        <v/>
      </c>
      <c r="L113" s="112"/>
      <c r="M113" s="112"/>
      <c r="N113" s="112"/>
      <c r="O113" s="112"/>
      <c r="P113" s="112"/>
      <c r="Q113" s="112"/>
      <c r="R113" s="112"/>
      <c r="S113" s="112"/>
      <c r="U113" s="1" t="str">
        <f aca="false">IFERROR(MATCH(39,'MiT Strom Pipeline'!$AN$6:$AN$860,0)+5,"")</f>
        <v/>
      </c>
    </row>
    <row r="114" customFormat="false" ht="15.75" hidden="false" customHeight="true" outlineLevel="0" collapsed="false">
      <c r="A114" s="128" t="str">
        <f aca="false">IF($U114="","",IF(ISNUMBER(INDEX('MiT Strom Pipeline'!$A$1:$A$860,$U114)),INDEX('MiT Strom Pipeline'!$A$1:$A$860,$U114),""))</f>
        <v/>
      </c>
      <c r="B114" s="129" t="str">
        <f aca="false">IF($U114="","",IF(INDEX('MiT Strom Pipeline'!$B$1:$B$860,$U114)="","",INDEX('MiT Strom Pipeline'!$B$1:$B$860,$U114)))</f>
        <v/>
      </c>
      <c r="C114" s="130" t="str">
        <f aca="false">IF($U114="","",IF(INDEX('MiT Strom Pipeline'!$C$1:$C$860,$U114)="","",INDEX('MiT Strom Pipeline'!$C$1:$C$860,$U114)))</f>
        <v/>
      </c>
      <c r="D114" s="129" t="str">
        <f aca="false">IF($U114="","",IF(INDEX('MiT Strom Pipeline'!$D$1:$D$860,$U114)="","",INDEX('MiT Strom Pipeline'!$D$1:$D$860,$U114)))</f>
        <v/>
      </c>
      <c r="E114" s="131" t="str">
        <f aca="false">IF($U114="","",IF(ISNUMBER(INDEX('MiT Strom Pipeline'!$O$1:$O$860,$U114)),INDEX('MiT Strom Pipeline'!$O$1:$O$860,$U114),IF(INDEX('MiT Strom Pipeline'!$H$1:$H$860,$U114)="","",INDEX('MiT Strom Pipeline'!$H$1:$H$860,$U114))))</f>
        <v/>
      </c>
      <c r="F114" s="129" t="str">
        <f aca="false">IF($U114="","",IF(INDEX('MiT Strom Pipeline'!$E$1:$E$860,$U114)="","",INDEX('MiT Strom Pipeline'!$E$1:$E$860,$U114)))</f>
        <v/>
      </c>
      <c r="G114" s="132" t="str">
        <f aca="false">IF($U114="","",IF(ISNUMBER(INDEX('MiT Strom Pipeline'!$I$1:$I$860,$U114)),INDEX('MiT Strom Pipeline'!$I$1:$I$860,$U114),0))</f>
        <v/>
      </c>
      <c r="H114" s="132" t="str">
        <f aca="false">IF($U114="","",IF(ISNUMBER(INDEX('MiT Strom Pipeline'!$Q$1:$Q$860,$U114)),INDEX('MiT Strom Pipeline'!$Q$1:$Q$860,$U114),0))</f>
        <v/>
      </c>
      <c r="I114" s="130" t="str">
        <f aca="false">IF($U114="","",INDEX('MiT Strom Pipeline'!$R$1:$R$860,$U114))</f>
        <v/>
      </c>
      <c r="J114" s="133" t="str">
        <f aca="false">IF($U114="","",IF(ISNUMBER(INDEX('MiT Strom Pipeline'!$S$1:$S$860,$U114)),INDEX('MiT Strom Pipeline'!$S$1:$S$860,$U114),""))</f>
        <v/>
      </c>
      <c r="K114" s="129" t="str">
        <f aca="false">IF($U114="","",IF(LEN(INDEX('MiT Strom Pipeline'!$V$1:$V$860,$U114))&gt;0,LEFT(INDEX('MiT Strom Pipeline'!$V$1:$V$860,$U114),55),""))</f>
        <v/>
      </c>
      <c r="L114" s="112"/>
      <c r="M114" s="112"/>
      <c r="N114" s="112"/>
      <c r="O114" s="112"/>
      <c r="P114" s="112"/>
      <c r="Q114" s="112"/>
      <c r="R114" s="112"/>
      <c r="S114" s="112"/>
      <c r="U114" s="1" t="str">
        <f aca="false">IFERROR(MATCH(40,'MiT Strom Pipeline'!$AN$6:$AN$860,0)+5,"")</f>
        <v/>
      </c>
    </row>
    <row r="115" customFormat="false" ht="15.75" hidden="false" customHeight="true" outlineLevel="0" collapsed="false">
      <c r="A115" s="128" t="str">
        <f aca="false">IF($U115="","",IF(ISNUMBER(INDEX('MiT Strom Pipeline'!$A$1:$A$860,$U115)),INDEX('MiT Strom Pipeline'!$A$1:$A$860,$U115),""))</f>
        <v/>
      </c>
      <c r="B115" s="129" t="str">
        <f aca="false">IF($U115="","",IF(INDEX('MiT Strom Pipeline'!$B$1:$B$860,$U115)="","",INDEX('MiT Strom Pipeline'!$B$1:$B$860,$U115)))</f>
        <v/>
      </c>
      <c r="C115" s="130" t="str">
        <f aca="false">IF($U115="","",IF(INDEX('MiT Strom Pipeline'!$C$1:$C$860,$U115)="","",INDEX('MiT Strom Pipeline'!$C$1:$C$860,$U115)))</f>
        <v/>
      </c>
      <c r="D115" s="129" t="str">
        <f aca="false">IF($U115="","",IF(INDEX('MiT Strom Pipeline'!$D$1:$D$860,$U115)="","",INDEX('MiT Strom Pipeline'!$D$1:$D$860,$U115)))</f>
        <v/>
      </c>
      <c r="E115" s="131" t="str">
        <f aca="false">IF($U115="","",IF(ISNUMBER(INDEX('MiT Strom Pipeline'!$O$1:$O$860,$U115)),INDEX('MiT Strom Pipeline'!$O$1:$O$860,$U115),IF(INDEX('MiT Strom Pipeline'!$H$1:$H$860,$U115)="","",INDEX('MiT Strom Pipeline'!$H$1:$H$860,$U115))))</f>
        <v/>
      </c>
      <c r="F115" s="129" t="str">
        <f aca="false">IF($U115="","",IF(INDEX('MiT Strom Pipeline'!$E$1:$E$860,$U115)="","",INDEX('MiT Strom Pipeline'!$E$1:$E$860,$U115)))</f>
        <v/>
      </c>
      <c r="G115" s="132" t="str">
        <f aca="false">IF($U115="","",IF(ISNUMBER(INDEX('MiT Strom Pipeline'!$I$1:$I$860,$U115)),INDEX('MiT Strom Pipeline'!$I$1:$I$860,$U115),0))</f>
        <v/>
      </c>
      <c r="H115" s="132" t="str">
        <f aca="false">IF($U115="","",IF(ISNUMBER(INDEX('MiT Strom Pipeline'!$Q$1:$Q$860,$U115)),INDEX('MiT Strom Pipeline'!$Q$1:$Q$860,$U115),0))</f>
        <v/>
      </c>
      <c r="I115" s="130" t="str">
        <f aca="false">IF($U115="","",INDEX('MiT Strom Pipeline'!$R$1:$R$860,$U115))</f>
        <v/>
      </c>
      <c r="J115" s="133" t="str">
        <f aca="false">IF($U115="","",IF(ISNUMBER(INDEX('MiT Strom Pipeline'!$S$1:$S$860,$U115)),INDEX('MiT Strom Pipeline'!$S$1:$S$860,$U115),""))</f>
        <v/>
      </c>
      <c r="K115" s="129" t="str">
        <f aca="false">IF($U115="","",IF(LEN(INDEX('MiT Strom Pipeline'!$V$1:$V$860,$U115))&gt;0,LEFT(INDEX('MiT Strom Pipeline'!$V$1:$V$860,$U115),55),""))</f>
        <v/>
      </c>
      <c r="L115" s="112"/>
      <c r="M115" s="112"/>
      <c r="N115" s="112"/>
      <c r="O115" s="112"/>
      <c r="P115" s="112"/>
      <c r="Q115" s="112"/>
      <c r="R115" s="112"/>
      <c r="S115" s="112"/>
      <c r="U115" s="1" t="str">
        <f aca="false">IFERROR(MATCH(41,'MiT Strom Pipeline'!$AN$6:$AN$860,0)+5,"")</f>
        <v/>
      </c>
    </row>
    <row r="116" customFormat="false" ht="15.75" hidden="false" customHeight="true" outlineLevel="0" collapsed="false">
      <c r="A116" s="128" t="str">
        <f aca="false">IF($U116="","",IF(ISNUMBER(INDEX('MiT Strom Pipeline'!$A$1:$A$860,$U116)),INDEX('MiT Strom Pipeline'!$A$1:$A$860,$U116),""))</f>
        <v/>
      </c>
      <c r="B116" s="129" t="str">
        <f aca="false">IF($U116="","",IF(INDEX('MiT Strom Pipeline'!$B$1:$B$860,$U116)="","",INDEX('MiT Strom Pipeline'!$B$1:$B$860,$U116)))</f>
        <v/>
      </c>
      <c r="C116" s="130" t="str">
        <f aca="false">IF($U116="","",IF(INDEX('MiT Strom Pipeline'!$C$1:$C$860,$U116)="","",INDEX('MiT Strom Pipeline'!$C$1:$C$860,$U116)))</f>
        <v/>
      </c>
      <c r="D116" s="129" t="str">
        <f aca="false">IF($U116="","",IF(INDEX('MiT Strom Pipeline'!$D$1:$D$860,$U116)="","",INDEX('MiT Strom Pipeline'!$D$1:$D$860,$U116)))</f>
        <v/>
      </c>
      <c r="E116" s="131" t="str">
        <f aca="false">IF($U116="","",IF(ISNUMBER(INDEX('MiT Strom Pipeline'!$O$1:$O$860,$U116)),INDEX('MiT Strom Pipeline'!$O$1:$O$860,$U116),IF(INDEX('MiT Strom Pipeline'!$H$1:$H$860,$U116)="","",INDEX('MiT Strom Pipeline'!$H$1:$H$860,$U116))))</f>
        <v/>
      </c>
      <c r="F116" s="129" t="str">
        <f aca="false">IF($U116="","",IF(INDEX('MiT Strom Pipeline'!$E$1:$E$860,$U116)="","",INDEX('MiT Strom Pipeline'!$E$1:$E$860,$U116)))</f>
        <v/>
      </c>
      <c r="G116" s="132" t="str">
        <f aca="false">IF($U116="","",IF(ISNUMBER(INDEX('MiT Strom Pipeline'!$I$1:$I$860,$U116)),INDEX('MiT Strom Pipeline'!$I$1:$I$860,$U116),0))</f>
        <v/>
      </c>
      <c r="H116" s="132" t="str">
        <f aca="false">IF($U116="","",IF(ISNUMBER(INDEX('MiT Strom Pipeline'!$Q$1:$Q$860,$U116)),INDEX('MiT Strom Pipeline'!$Q$1:$Q$860,$U116),0))</f>
        <v/>
      </c>
      <c r="I116" s="130" t="str">
        <f aca="false">IF($U116="","",INDEX('MiT Strom Pipeline'!$R$1:$R$860,$U116))</f>
        <v/>
      </c>
      <c r="J116" s="133" t="str">
        <f aca="false">IF($U116="","",IF(ISNUMBER(INDEX('MiT Strom Pipeline'!$S$1:$S$860,$U116)),INDEX('MiT Strom Pipeline'!$S$1:$S$860,$U116),""))</f>
        <v/>
      </c>
      <c r="K116" s="129" t="str">
        <f aca="false">IF($U116="","",IF(LEN(INDEX('MiT Strom Pipeline'!$V$1:$V$860,$U116))&gt;0,LEFT(INDEX('MiT Strom Pipeline'!$V$1:$V$860,$U116),55),""))</f>
        <v/>
      </c>
      <c r="L116" s="112"/>
      <c r="M116" s="112"/>
      <c r="N116" s="112"/>
      <c r="O116" s="112"/>
      <c r="P116" s="112"/>
      <c r="Q116" s="112"/>
      <c r="R116" s="112"/>
      <c r="S116" s="112"/>
      <c r="U116" s="1" t="str">
        <f aca="false">IFERROR(MATCH(42,'MiT Strom Pipeline'!$AN$6:$AN$860,0)+5,"")</f>
        <v/>
      </c>
    </row>
    <row r="117" customFormat="false" ht="15.75" hidden="false" customHeight="true" outlineLevel="0" collapsed="false">
      <c r="A117" s="128" t="str">
        <f aca="false">IF($U117="","",IF(ISNUMBER(INDEX('MiT Strom Pipeline'!$A$1:$A$860,$U117)),INDEX('MiT Strom Pipeline'!$A$1:$A$860,$U117),""))</f>
        <v/>
      </c>
      <c r="B117" s="129" t="str">
        <f aca="false">IF($U117="","",IF(INDEX('MiT Strom Pipeline'!$B$1:$B$860,$U117)="","",INDEX('MiT Strom Pipeline'!$B$1:$B$860,$U117)))</f>
        <v/>
      </c>
      <c r="C117" s="130" t="str">
        <f aca="false">IF($U117="","",IF(INDEX('MiT Strom Pipeline'!$C$1:$C$860,$U117)="","",INDEX('MiT Strom Pipeline'!$C$1:$C$860,$U117)))</f>
        <v/>
      </c>
      <c r="D117" s="129" t="str">
        <f aca="false">IF($U117="","",IF(INDEX('MiT Strom Pipeline'!$D$1:$D$860,$U117)="","",INDEX('MiT Strom Pipeline'!$D$1:$D$860,$U117)))</f>
        <v/>
      </c>
      <c r="E117" s="131" t="str">
        <f aca="false">IF($U117="","",IF(ISNUMBER(INDEX('MiT Strom Pipeline'!$O$1:$O$860,$U117)),INDEX('MiT Strom Pipeline'!$O$1:$O$860,$U117),IF(INDEX('MiT Strom Pipeline'!$H$1:$H$860,$U117)="","",INDEX('MiT Strom Pipeline'!$H$1:$H$860,$U117))))</f>
        <v/>
      </c>
      <c r="F117" s="129" t="str">
        <f aca="false">IF($U117="","",IF(INDEX('MiT Strom Pipeline'!$E$1:$E$860,$U117)="","",INDEX('MiT Strom Pipeline'!$E$1:$E$860,$U117)))</f>
        <v/>
      </c>
      <c r="G117" s="132" t="str">
        <f aca="false">IF($U117="","",IF(ISNUMBER(INDEX('MiT Strom Pipeline'!$I$1:$I$860,$U117)),INDEX('MiT Strom Pipeline'!$I$1:$I$860,$U117),0))</f>
        <v/>
      </c>
      <c r="H117" s="132" t="str">
        <f aca="false">IF($U117="","",IF(ISNUMBER(INDEX('MiT Strom Pipeline'!$Q$1:$Q$860,$U117)),INDEX('MiT Strom Pipeline'!$Q$1:$Q$860,$U117),0))</f>
        <v/>
      </c>
      <c r="I117" s="130" t="str">
        <f aca="false">IF($U117="","",INDEX('MiT Strom Pipeline'!$R$1:$R$860,$U117))</f>
        <v/>
      </c>
      <c r="J117" s="133" t="str">
        <f aca="false">IF($U117="","",IF(ISNUMBER(INDEX('MiT Strom Pipeline'!$S$1:$S$860,$U117)),INDEX('MiT Strom Pipeline'!$S$1:$S$860,$U117),""))</f>
        <v/>
      </c>
      <c r="K117" s="129" t="str">
        <f aca="false">IF($U117="","",IF(LEN(INDEX('MiT Strom Pipeline'!$V$1:$V$860,$U117))&gt;0,LEFT(INDEX('MiT Strom Pipeline'!$V$1:$V$860,$U117),55),""))</f>
        <v/>
      </c>
      <c r="L117" s="112"/>
      <c r="M117" s="112"/>
      <c r="N117" s="112"/>
      <c r="O117" s="112"/>
      <c r="P117" s="112"/>
      <c r="Q117" s="112"/>
      <c r="R117" s="112"/>
      <c r="S117" s="112"/>
      <c r="U117" s="1" t="str">
        <f aca="false">IFERROR(MATCH(43,'MiT Strom Pipeline'!$AN$6:$AN$860,0)+5,"")</f>
        <v/>
      </c>
    </row>
    <row r="118" customFormat="false" ht="15.75" hidden="false" customHeight="true" outlineLevel="0" collapsed="false">
      <c r="A118" s="128" t="str">
        <f aca="false">IF($U118="","",IF(ISNUMBER(INDEX('MiT Strom Pipeline'!$A$1:$A$860,$U118)),INDEX('MiT Strom Pipeline'!$A$1:$A$860,$U118),""))</f>
        <v/>
      </c>
      <c r="B118" s="129" t="str">
        <f aca="false">IF($U118="","",IF(INDEX('MiT Strom Pipeline'!$B$1:$B$860,$U118)="","",INDEX('MiT Strom Pipeline'!$B$1:$B$860,$U118)))</f>
        <v/>
      </c>
      <c r="C118" s="130" t="str">
        <f aca="false">IF($U118="","",IF(INDEX('MiT Strom Pipeline'!$C$1:$C$860,$U118)="","",INDEX('MiT Strom Pipeline'!$C$1:$C$860,$U118)))</f>
        <v/>
      </c>
      <c r="D118" s="129" t="str">
        <f aca="false">IF($U118="","",IF(INDEX('MiT Strom Pipeline'!$D$1:$D$860,$U118)="","",INDEX('MiT Strom Pipeline'!$D$1:$D$860,$U118)))</f>
        <v/>
      </c>
      <c r="E118" s="131" t="str">
        <f aca="false">IF($U118="","",IF(ISNUMBER(INDEX('MiT Strom Pipeline'!$O$1:$O$860,$U118)),INDEX('MiT Strom Pipeline'!$O$1:$O$860,$U118),IF(INDEX('MiT Strom Pipeline'!$H$1:$H$860,$U118)="","",INDEX('MiT Strom Pipeline'!$H$1:$H$860,$U118))))</f>
        <v/>
      </c>
      <c r="F118" s="129" t="str">
        <f aca="false">IF($U118="","",IF(INDEX('MiT Strom Pipeline'!$E$1:$E$860,$U118)="","",INDEX('MiT Strom Pipeline'!$E$1:$E$860,$U118)))</f>
        <v/>
      </c>
      <c r="G118" s="132" t="str">
        <f aca="false">IF($U118="","",IF(ISNUMBER(INDEX('MiT Strom Pipeline'!$I$1:$I$860,$U118)),INDEX('MiT Strom Pipeline'!$I$1:$I$860,$U118),0))</f>
        <v/>
      </c>
      <c r="H118" s="132" t="str">
        <f aca="false">IF($U118="","",IF(ISNUMBER(INDEX('MiT Strom Pipeline'!$Q$1:$Q$860,$U118)),INDEX('MiT Strom Pipeline'!$Q$1:$Q$860,$U118),0))</f>
        <v/>
      </c>
      <c r="I118" s="130" t="str">
        <f aca="false">IF($U118="","",INDEX('MiT Strom Pipeline'!$R$1:$R$860,$U118))</f>
        <v/>
      </c>
      <c r="J118" s="133" t="str">
        <f aca="false">IF($U118="","",IF(ISNUMBER(INDEX('MiT Strom Pipeline'!$S$1:$S$860,$U118)),INDEX('MiT Strom Pipeline'!$S$1:$S$860,$U118),""))</f>
        <v/>
      </c>
      <c r="K118" s="129" t="str">
        <f aca="false">IF($U118="","",IF(LEN(INDEX('MiT Strom Pipeline'!$V$1:$V$860,$U118))&gt;0,LEFT(INDEX('MiT Strom Pipeline'!$V$1:$V$860,$U118),55),""))</f>
        <v/>
      </c>
      <c r="L118" s="112"/>
      <c r="M118" s="112"/>
      <c r="N118" s="112"/>
      <c r="O118" s="112"/>
      <c r="P118" s="112"/>
      <c r="Q118" s="112"/>
      <c r="R118" s="112"/>
      <c r="S118" s="112"/>
      <c r="U118" s="1" t="str">
        <f aca="false">IFERROR(MATCH(44,'MiT Strom Pipeline'!$AN$6:$AN$860,0)+5,"")</f>
        <v/>
      </c>
    </row>
    <row r="119" customFormat="false" ht="15.75" hidden="false" customHeight="true" outlineLevel="0" collapsed="false">
      <c r="A119" s="128" t="str">
        <f aca="false">IF($U119="","",IF(ISNUMBER(INDEX('MiT Strom Pipeline'!$A$1:$A$860,$U119)),INDEX('MiT Strom Pipeline'!$A$1:$A$860,$U119),""))</f>
        <v/>
      </c>
      <c r="B119" s="129" t="str">
        <f aca="false">IF($U119="","",IF(INDEX('MiT Strom Pipeline'!$B$1:$B$860,$U119)="","",INDEX('MiT Strom Pipeline'!$B$1:$B$860,$U119)))</f>
        <v/>
      </c>
      <c r="C119" s="130" t="str">
        <f aca="false">IF($U119="","",IF(INDEX('MiT Strom Pipeline'!$C$1:$C$860,$U119)="","",INDEX('MiT Strom Pipeline'!$C$1:$C$860,$U119)))</f>
        <v/>
      </c>
      <c r="D119" s="129" t="str">
        <f aca="false">IF($U119="","",IF(INDEX('MiT Strom Pipeline'!$D$1:$D$860,$U119)="","",INDEX('MiT Strom Pipeline'!$D$1:$D$860,$U119)))</f>
        <v/>
      </c>
      <c r="E119" s="131" t="str">
        <f aca="false">IF($U119="","",IF(ISNUMBER(INDEX('MiT Strom Pipeline'!$O$1:$O$860,$U119)),INDEX('MiT Strom Pipeline'!$O$1:$O$860,$U119),IF(INDEX('MiT Strom Pipeline'!$H$1:$H$860,$U119)="","",INDEX('MiT Strom Pipeline'!$H$1:$H$860,$U119))))</f>
        <v/>
      </c>
      <c r="F119" s="129" t="str">
        <f aca="false">IF($U119="","",IF(INDEX('MiT Strom Pipeline'!$E$1:$E$860,$U119)="","",INDEX('MiT Strom Pipeline'!$E$1:$E$860,$U119)))</f>
        <v/>
      </c>
      <c r="G119" s="132" t="str">
        <f aca="false">IF($U119="","",IF(ISNUMBER(INDEX('MiT Strom Pipeline'!$I$1:$I$860,$U119)),INDEX('MiT Strom Pipeline'!$I$1:$I$860,$U119),0))</f>
        <v/>
      </c>
      <c r="H119" s="132" t="str">
        <f aca="false">IF($U119="","",IF(ISNUMBER(INDEX('MiT Strom Pipeline'!$Q$1:$Q$860,$U119)),INDEX('MiT Strom Pipeline'!$Q$1:$Q$860,$U119),0))</f>
        <v/>
      </c>
      <c r="I119" s="130" t="str">
        <f aca="false">IF($U119="","",INDEX('MiT Strom Pipeline'!$R$1:$R$860,$U119))</f>
        <v/>
      </c>
      <c r="J119" s="133" t="str">
        <f aca="false">IF($U119="","",IF(ISNUMBER(INDEX('MiT Strom Pipeline'!$S$1:$S$860,$U119)),INDEX('MiT Strom Pipeline'!$S$1:$S$860,$U119),""))</f>
        <v/>
      </c>
      <c r="K119" s="129" t="str">
        <f aca="false">IF($U119="","",IF(LEN(INDEX('MiT Strom Pipeline'!$V$1:$V$860,$U119))&gt;0,LEFT(INDEX('MiT Strom Pipeline'!$V$1:$V$860,$U119),55),""))</f>
        <v/>
      </c>
      <c r="L119" s="112"/>
      <c r="M119" s="112"/>
      <c r="N119" s="112"/>
      <c r="O119" s="112"/>
      <c r="P119" s="112"/>
      <c r="Q119" s="112"/>
      <c r="R119" s="112"/>
      <c r="S119" s="112"/>
      <c r="U119" s="1" t="str">
        <f aca="false">IFERROR(MATCH(45,'MiT Strom Pipeline'!$AN$6:$AN$860,0)+5,"")</f>
        <v/>
      </c>
    </row>
    <row r="120" customFormat="false" ht="15.75" hidden="false" customHeight="true" outlineLevel="0" collapsed="false">
      <c r="A120" s="128" t="str">
        <f aca="false">IF($U120="","",IF(ISNUMBER(INDEX('MiT Strom Pipeline'!$A$1:$A$860,$U120)),INDEX('MiT Strom Pipeline'!$A$1:$A$860,$U120),""))</f>
        <v/>
      </c>
      <c r="B120" s="129" t="str">
        <f aca="false">IF($U120="","",IF(INDEX('MiT Strom Pipeline'!$B$1:$B$860,$U120)="","",INDEX('MiT Strom Pipeline'!$B$1:$B$860,$U120)))</f>
        <v/>
      </c>
      <c r="C120" s="130" t="str">
        <f aca="false">IF($U120="","",IF(INDEX('MiT Strom Pipeline'!$C$1:$C$860,$U120)="","",INDEX('MiT Strom Pipeline'!$C$1:$C$860,$U120)))</f>
        <v/>
      </c>
      <c r="D120" s="129" t="str">
        <f aca="false">IF($U120="","",IF(INDEX('MiT Strom Pipeline'!$D$1:$D$860,$U120)="","",INDEX('MiT Strom Pipeline'!$D$1:$D$860,$U120)))</f>
        <v/>
      </c>
      <c r="E120" s="131" t="str">
        <f aca="false">IF($U120="","",IF(ISNUMBER(INDEX('MiT Strom Pipeline'!$O$1:$O$860,$U120)),INDEX('MiT Strom Pipeline'!$O$1:$O$860,$U120),IF(INDEX('MiT Strom Pipeline'!$H$1:$H$860,$U120)="","",INDEX('MiT Strom Pipeline'!$H$1:$H$860,$U120))))</f>
        <v/>
      </c>
      <c r="F120" s="129" t="str">
        <f aca="false">IF($U120="","",IF(INDEX('MiT Strom Pipeline'!$E$1:$E$860,$U120)="","",INDEX('MiT Strom Pipeline'!$E$1:$E$860,$U120)))</f>
        <v/>
      </c>
      <c r="G120" s="132" t="str">
        <f aca="false">IF($U120="","",IF(ISNUMBER(INDEX('MiT Strom Pipeline'!$I$1:$I$860,$U120)),INDEX('MiT Strom Pipeline'!$I$1:$I$860,$U120),0))</f>
        <v/>
      </c>
      <c r="H120" s="132" t="str">
        <f aca="false">IF($U120="","",IF(ISNUMBER(INDEX('MiT Strom Pipeline'!$Q$1:$Q$860,$U120)),INDEX('MiT Strom Pipeline'!$Q$1:$Q$860,$U120),0))</f>
        <v/>
      </c>
      <c r="I120" s="130" t="str">
        <f aca="false">IF($U120="","",INDEX('MiT Strom Pipeline'!$R$1:$R$860,$U120))</f>
        <v/>
      </c>
      <c r="J120" s="133" t="str">
        <f aca="false">IF($U120="","",IF(ISNUMBER(INDEX('MiT Strom Pipeline'!$S$1:$S$860,$U120)),INDEX('MiT Strom Pipeline'!$S$1:$S$860,$U120),""))</f>
        <v/>
      </c>
      <c r="K120" s="129" t="str">
        <f aca="false">IF($U120="","",IF(LEN(INDEX('MiT Strom Pipeline'!$V$1:$V$860,$U120))&gt;0,LEFT(INDEX('MiT Strom Pipeline'!$V$1:$V$860,$U120),55),""))</f>
        <v/>
      </c>
      <c r="L120" s="112"/>
      <c r="M120" s="112"/>
      <c r="N120" s="112"/>
      <c r="O120" s="112"/>
      <c r="P120" s="112"/>
      <c r="Q120" s="112"/>
      <c r="R120" s="112"/>
      <c r="S120" s="112"/>
      <c r="U120" s="1" t="str">
        <f aca="false">IFERROR(MATCH(46,'MiT Strom Pipeline'!$AN$6:$AN$860,0)+5,"")</f>
        <v/>
      </c>
    </row>
    <row r="121" customFormat="false" ht="15.75" hidden="false" customHeight="true" outlineLevel="0" collapsed="false">
      <c r="A121" s="128" t="str">
        <f aca="false">IF($U121="","",IF(ISNUMBER(INDEX('MiT Strom Pipeline'!$A$1:$A$860,$U121)),INDEX('MiT Strom Pipeline'!$A$1:$A$860,$U121),""))</f>
        <v/>
      </c>
      <c r="B121" s="129" t="str">
        <f aca="false">IF($U121="","",IF(INDEX('MiT Strom Pipeline'!$B$1:$B$860,$U121)="","",INDEX('MiT Strom Pipeline'!$B$1:$B$860,$U121)))</f>
        <v/>
      </c>
      <c r="C121" s="130" t="str">
        <f aca="false">IF($U121="","",IF(INDEX('MiT Strom Pipeline'!$C$1:$C$860,$U121)="","",INDEX('MiT Strom Pipeline'!$C$1:$C$860,$U121)))</f>
        <v/>
      </c>
      <c r="D121" s="129" t="str">
        <f aca="false">IF($U121="","",IF(INDEX('MiT Strom Pipeline'!$D$1:$D$860,$U121)="","",INDEX('MiT Strom Pipeline'!$D$1:$D$860,$U121)))</f>
        <v/>
      </c>
      <c r="E121" s="131" t="str">
        <f aca="false">IF($U121="","",IF(ISNUMBER(INDEX('MiT Strom Pipeline'!$O$1:$O$860,$U121)),INDEX('MiT Strom Pipeline'!$O$1:$O$860,$U121),IF(INDEX('MiT Strom Pipeline'!$H$1:$H$860,$U121)="","",INDEX('MiT Strom Pipeline'!$H$1:$H$860,$U121))))</f>
        <v/>
      </c>
      <c r="F121" s="129" t="str">
        <f aca="false">IF($U121="","",IF(INDEX('MiT Strom Pipeline'!$E$1:$E$860,$U121)="","",INDEX('MiT Strom Pipeline'!$E$1:$E$860,$U121)))</f>
        <v/>
      </c>
      <c r="G121" s="132" t="str">
        <f aca="false">IF($U121="","",IF(ISNUMBER(INDEX('MiT Strom Pipeline'!$I$1:$I$860,$U121)),INDEX('MiT Strom Pipeline'!$I$1:$I$860,$U121),0))</f>
        <v/>
      </c>
      <c r="H121" s="132" t="str">
        <f aca="false">IF($U121="","",IF(ISNUMBER(INDEX('MiT Strom Pipeline'!$Q$1:$Q$860,$U121)),INDEX('MiT Strom Pipeline'!$Q$1:$Q$860,$U121),0))</f>
        <v/>
      </c>
      <c r="I121" s="130" t="str">
        <f aca="false">IF($U121="","",INDEX('MiT Strom Pipeline'!$R$1:$R$860,$U121))</f>
        <v/>
      </c>
      <c r="J121" s="133" t="str">
        <f aca="false">IF($U121="","",IF(ISNUMBER(INDEX('MiT Strom Pipeline'!$S$1:$S$860,$U121)),INDEX('MiT Strom Pipeline'!$S$1:$S$860,$U121),""))</f>
        <v/>
      </c>
      <c r="K121" s="129" t="str">
        <f aca="false">IF($U121="","",IF(LEN(INDEX('MiT Strom Pipeline'!$V$1:$V$860,$U121))&gt;0,LEFT(INDEX('MiT Strom Pipeline'!$V$1:$V$860,$U121),55),""))</f>
        <v/>
      </c>
      <c r="L121" s="112"/>
      <c r="M121" s="112"/>
      <c r="N121" s="112"/>
      <c r="O121" s="112"/>
      <c r="P121" s="112"/>
      <c r="Q121" s="112"/>
      <c r="R121" s="112"/>
      <c r="S121" s="112"/>
      <c r="U121" s="1" t="str">
        <f aca="false">IFERROR(MATCH(47,'MiT Strom Pipeline'!$AN$6:$AN$860,0)+5,"")</f>
        <v/>
      </c>
    </row>
    <row r="122" customFormat="false" ht="15.75" hidden="false" customHeight="true" outlineLevel="0" collapsed="false">
      <c r="A122" s="128" t="str">
        <f aca="false">IF($U122="","",IF(ISNUMBER(INDEX('MiT Strom Pipeline'!$A$1:$A$860,$U122)),INDEX('MiT Strom Pipeline'!$A$1:$A$860,$U122),""))</f>
        <v/>
      </c>
      <c r="B122" s="129" t="str">
        <f aca="false">IF($U122="","",IF(INDEX('MiT Strom Pipeline'!$B$1:$B$860,$U122)="","",INDEX('MiT Strom Pipeline'!$B$1:$B$860,$U122)))</f>
        <v/>
      </c>
      <c r="C122" s="130" t="str">
        <f aca="false">IF($U122="","",IF(INDEX('MiT Strom Pipeline'!$C$1:$C$860,$U122)="","",INDEX('MiT Strom Pipeline'!$C$1:$C$860,$U122)))</f>
        <v/>
      </c>
      <c r="D122" s="129" t="str">
        <f aca="false">IF($U122="","",IF(INDEX('MiT Strom Pipeline'!$D$1:$D$860,$U122)="","",INDEX('MiT Strom Pipeline'!$D$1:$D$860,$U122)))</f>
        <v/>
      </c>
      <c r="E122" s="131" t="str">
        <f aca="false">IF($U122="","",IF(ISNUMBER(INDEX('MiT Strom Pipeline'!$O$1:$O$860,$U122)),INDEX('MiT Strom Pipeline'!$O$1:$O$860,$U122),IF(INDEX('MiT Strom Pipeline'!$H$1:$H$860,$U122)="","",INDEX('MiT Strom Pipeline'!$H$1:$H$860,$U122))))</f>
        <v/>
      </c>
      <c r="F122" s="129" t="str">
        <f aca="false">IF($U122="","",IF(INDEX('MiT Strom Pipeline'!$E$1:$E$860,$U122)="","",INDEX('MiT Strom Pipeline'!$E$1:$E$860,$U122)))</f>
        <v/>
      </c>
      <c r="G122" s="132" t="str">
        <f aca="false">IF($U122="","",IF(ISNUMBER(INDEX('MiT Strom Pipeline'!$I$1:$I$860,$U122)),INDEX('MiT Strom Pipeline'!$I$1:$I$860,$U122),0))</f>
        <v/>
      </c>
      <c r="H122" s="132" t="str">
        <f aca="false">IF($U122="","",IF(ISNUMBER(INDEX('MiT Strom Pipeline'!$Q$1:$Q$860,$U122)),INDEX('MiT Strom Pipeline'!$Q$1:$Q$860,$U122),0))</f>
        <v/>
      </c>
      <c r="I122" s="130" t="str">
        <f aca="false">IF($U122="","",INDEX('MiT Strom Pipeline'!$R$1:$R$860,$U122))</f>
        <v/>
      </c>
      <c r="J122" s="133" t="str">
        <f aca="false">IF($U122="","",IF(ISNUMBER(INDEX('MiT Strom Pipeline'!$S$1:$S$860,$U122)),INDEX('MiT Strom Pipeline'!$S$1:$S$860,$U122),""))</f>
        <v/>
      </c>
      <c r="K122" s="129" t="str">
        <f aca="false">IF($U122="","",IF(LEN(INDEX('MiT Strom Pipeline'!$V$1:$V$860,$U122))&gt;0,LEFT(INDEX('MiT Strom Pipeline'!$V$1:$V$860,$U122),55),""))</f>
        <v/>
      </c>
      <c r="L122" s="112"/>
      <c r="M122" s="112"/>
      <c r="N122" s="112"/>
      <c r="O122" s="112"/>
      <c r="P122" s="112"/>
      <c r="Q122" s="112"/>
      <c r="R122" s="112"/>
      <c r="S122" s="112"/>
      <c r="U122" s="1" t="str">
        <f aca="false">IFERROR(MATCH(48,'MiT Strom Pipeline'!$AN$6:$AN$860,0)+5,"")</f>
        <v/>
      </c>
    </row>
    <row r="123" customFormat="false" ht="15.75" hidden="false" customHeight="true" outlineLevel="0" collapsed="false">
      <c r="A123" s="128" t="str">
        <f aca="false">IF($U123="","",IF(ISNUMBER(INDEX('MiT Strom Pipeline'!$A$1:$A$860,$U123)),INDEX('MiT Strom Pipeline'!$A$1:$A$860,$U123),""))</f>
        <v/>
      </c>
      <c r="B123" s="129" t="str">
        <f aca="false">IF($U123="","",IF(INDEX('MiT Strom Pipeline'!$B$1:$B$860,$U123)="","",INDEX('MiT Strom Pipeline'!$B$1:$B$860,$U123)))</f>
        <v/>
      </c>
      <c r="C123" s="130" t="str">
        <f aca="false">IF($U123="","",IF(INDEX('MiT Strom Pipeline'!$C$1:$C$860,$U123)="","",INDEX('MiT Strom Pipeline'!$C$1:$C$860,$U123)))</f>
        <v/>
      </c>
      <c r="D123" s="129" t="str">
        <f aca="false">IF($U123="","",IF(INDEX('MiT Strom Pipeline'!$D$1:$D$860,$U123)="","",INDEX('MiT Strom Pipeline'!$D$1:$D$860,$U123)))</f>
        <v/>
      </c>
      <c r="E123" s="131" t="str">
        <f aca="false">IF($U123="","",IF(ISNUMBER(INDEX('MiT Strom Pipeline'!$O$1:$O$860,$U123)),INDEX('MiT Strom Pipeline'!$O$1:$O$860,$U123),IF(INDEX('MiT Strom Pipeline'!$H$1:$H$860,$U123)="","",INDEX('MiT Strom Pipeline'!$H$1:$H$860,$U123))))</f>
        <v/>
      </c>
      <c r="F123" s="129" t="str">
        <f aca="false">IF($U123="","",IF(INDEX('MiT Strom Pipeline'!$E$1:$E$860,$U123)="","",INDEX('MiT Strom Pipeline'!$E$1:$E$860,$U123)))</f>
        <v/>
      </c>
      <c r="G123" s="132" t="str">
        <f aca="false">IF($U123="","",IF(ISNUMBER(INDEX('MiT Strom Pipeline'!$I$1:$I$860,$U123)),INDEX('MiT Strom Pipeline'!$I$1:$I$860,$U123),0))</f>
        <v/>
      </c>
      <c r="H123" s="132" t="str">
        <f aca="false">IF($U123="","",IF(ISNUMBER(INDEX('MiT Strom Pipeline'!$Q$1:$Q$860,$U123)),INDEX('MiT Strom Pipeline'!$Q$1:$Q$860,$U123),0))</f>
        <v/>
      </c>
      <c r="I123" s="130" t="str">
        <f aca="false">IF($U123="","",INDEX('MiT Strom Pipeline'!$R$1:$R$860,$U123))</f>
        <v/>
      </c>
      <c r="J123" s="133" t="str">
        <f aca="false">IF($U123="","",IF(ISNUMBER(INDEX('MiT Strom Pipeline'!$S$1:$S$860,$U123)),INDEX('MiT Strom Pipeline'!$S$1:$S$860,$U123),""))</f>
        <v/>
      </c>
      <c r="K123" s="129" t="str">
        <f aca="false">IF($U123="","",IF(LEN(INDEX('MiT Strom Pipeline'!$V$1:$V$860,$U123))&gt;0,LEFT(INDEX('MiT Strom Pipeline'!$V$1:$V$860,$U123),55),""))</f>
        <v/>
      </c>
      <c r="L123" s="112"/>
      <c r="M123" s="112"/>
      <c r="N123" s="112"/>
      <c r="O123" s="112"/>
      <c r="P123" s="112"/>
      <c r="Q123" s="112"/>
      <c r="R123" s="112"/>
      <c r="S123" s="112"/>
      <c r="U123" s="1" t="str">
        <f aca="false">IFERROR(MATCH(49,'MiT Strom Pipeline'!$AN$6:$AN$860,0)+5,"")</f>
        <v/>
      </c>
    </row>
    <row r="124" customFormat="false" ht="15.75" hidden="false" customHeight="true" outlineLevel="0" collapsed="false">
      <c r="A124" s="128" t="str">
        <f aca="false">IF($U124="","",IF(ISNUMBER(INDEX('MiT Strom Pipeline'!$A$1:$A$860,$U124)),INDEX('MiT Strom Pipeline'!$A$1:$A$860,$U124),""))</f>
        <v/>
      </c>
      <c r="B124" s="129" t="str">
        <f aca="false">IF($U124="","",IF(INDEX('MiT Strom Pipeline'!$B$1:$B$860,$U124)="","",INDEX('MiT Strom Pipeline'!$B$1:$B$860,$U124)))</f>
        <v/>
      </c>
      <c r="C124" s="130" t="str">
        <f aca="false">IF($U124="","",IF(INDEX('MiT Strom Pipeline'!$C$1:$C$860,$U124)="","",INDEX('MiT Strom Pipeline'!$C$1:$C$860,$U124)))</f>
        <v/>
      </c>
      <c r="D124" s="129" t="str">
        <f aca="false">IF($U124="","",IF(INDEX('MiT Strom Pipeline'!$D$1:$D$860,$U124)="","",INDEX('MiT Strom Pipeline'!$D$1:$D$860,$U124)))</f>
        <v/>
      </c>
      <c r="E124" s="131" t="str">
        <f aca="false">IF($U124="","",IF(ISNUMBER(INDEX('MiT Strom Pipeline'!$O$1:$O$860,$U124)),INDEX('MiT Strom Pipeline'!$O$1:$O$860,$U124),IF(INDEX('MiT Strom Pipeline'!$H$1:$H$860,$U124)="","",INDEX('MiT Strom Pipeline'!$H$1:$H$860,$U124))))</f>
        <v/>
      </c>
      <c r="F124" s="129" t="str">
        <f aca="false">IF($U124="","",IF(INDEX('MiT Strom Pipeline'!$E$1:$E$860,$U124)="","",INDEX('MiT Strom Pipeline'!$E$1:$E$860,$U124)))</f>
        <v/>
      </c>
      <c r="G124" s="132" t="str">
        <f aca="false">IF($U124="","",IF(ISNUMBER(INDEX('MiT Strom Pipeline'!$I$1:$I$860,$U124)),INDEX('MiT Strom Pipeline'!$I$1:$I$860,$U124),0))</f>
        <v/>
      </c>
      <c r="H124" s="132" t="str">
        <f aca="false">IF($U124="","",IF(ISNUMBER(INDEX('MiT Strom Pipeline'!$Q$1:$Q$860,$U124)),INDEX('MiT Strom Pipeline'!$Q$1:$Q$860,$U124),0))</f>
        <v/>
      </c>
      <c r="I124" s="130" t="str">
        <f aca="false">IF($U124="","",INDEX('MiT Strom Pipeline'!$R$1:$R$860,$U124))</f>
        <v/>
      </c>
      <c r="J124" s="133" t="str">
        <f aca="false">IF($U124="","",IF(ISNUMBER(INDEX('MiT Strom Pipeline'!$S$1:$S$860,$U124)),INDEX('MiT Strom Pipeline'!$S$1:$S$860,$U124),""))</f>
        <v/>
      </c>
      <c r="K124" s="129" t="str">
        <f aca="false">IF($U124="","",IF(LEN(INDEX('MiT Strom Pipeline'!$V$1:$V$860,$U124))&gt;0,LEFT(INDEX('MiT Strom Pipeline'!$V$1:$V$860,$U124),55),""))</f>
        <v/>
      </c>
      <c r="L124" s="112"/>
      <c r="M124" s="112"/>
      <c r="N124" s="112"/>
      <c r="O124" s="112"/>
      <c r="P124" s="112"/>
      <c r="Q124" s="112"/>
      <c r="R124" s="112"/>
      <c r="S124" s="112"/>
      <c r="U124" s="1" t="str">
        <f aca="false">IFERROR(MATCH(50,'MiT Strom Pipeline'!$AN$6:$AN$860,0)+5,"")</f>
        <v/>
      </c>
    </row>
    <row r="125" customFormat="false" ht="15.75" hidden="false" customHeight="true" outlineLevel="0" collapsed="false">
      <c r="A125" s="128" t="str">
        <f aca="false">IF($U125="","",IF(ISNUMBER(INDEX('MiT Strom Pipeline'!$A$1:$A$860,$U125)),INDEX('MiT Strom Pipeline'!$A$1:$A$860,$U125),""))</f>
        <v/>
      </c>
      <c r="B125" s="129" t="str">
        <f aca="false">IF($U125="","",IF(INDEX('MiT Strom Pipeline'!$B$1:$B$860,$U125)="","",INDEX('MiT Strom Pipeline'!$B$1:$B$860,$U125)))</f>
        <v/>
      </c>
      <c r="C125" s="130" t="str">
        <f aca="false">IF($U125="","",IF(INDEX('MiT Strom Pipeline'!$C$1:$C$860,$U125)="","",INDEX('MiT Strom Pipeline'!$C$1:$C$860,$U125)))</f>
        <v/>
      </c>
      <c r="D125" s="129" t="str">
        <f aca="false">IF($U125="","",IF(INDEX('MiT Strom Pipeline'!$D$1:$D$860,$U125)="","",INDEX('MiT Strom Pipeline'!$D$1:$D$860,$U125)))</f>
        <v/>
      </c>
      <c r="E125" s="131" t="str">
        <f aca="false">IF($U125="","",IF(ISNUMBER(INDEX('MiT Strom Pipeline'!$O$1:$O$860,$U125)),INDEX('MiT Strom Pipeline'!$O$1:$O$860,$U125),IF(INDEX('MiT Strom Pipeline'!$H$1:$H$860,$U125)="","",INDEX('MiT Strom Pipeline'!$H$1:$H$860,$U125))))</f>
        <v/>
      </c>
      <c r="F125" s="129" t="str">
        <f aca="false">IF($U125="","",IF(INDEX('MiT Strom Pipeline'!$E$1:$E$860,$U125)="","",INDEX('MiT Strom Pipeline'!$E$1:$E$860,$U125)))</f>
        <v/>
      </c>
      <c r="G125" s="132" t="str">
        <f aca="false">IF($U125="","",IF(ISNUMBER(INDEX('MiT Strom Pipeline'!$I$1:$I$860,$U125)),INDEX('MiT Strom Pipeline'!$I$1:$I$860,$U125),0))</f>
        <v/>
      </c>
      <c r="H125" s="132" t="str">
        <f aca="false">IF($U125="","",IF(ISNUMBER(INDEX('MiT Strom Pipeline'!$Q$1:$Q$860,$U125)),INDEX('MiT Strom Pipeline'!$Q$1:$Q$860,$U125),0))</f>
        <v/>
      </c>
      <c r="I125" s="130" t="str">
        <f aca="false">IF($U125="","",INDEX('MiT Strom Pipeline'!$R$1:$R$860,$U125))</f>
        <v/>
      </c>
      <c r="J125" s="133" t="str">
        <f aca="false">IF($U125="","",IF(ISNUMBER(INDEX('MiT Strom Pipeline'!$S$1:$S$860,$U125)),INDEX('MiT Strom Pipeline'!$S$1:$S$860,$U125),""))</f>
        <v/>
      </c>
      <c r="K125" s="129" t="str">
        <f aca="false">IF($U125="","",IF(LEN(INDEX('MiT Strom Pipeline'!$V$1:$V$860,$U125))&gt;0,LEFT(INDEX('MiT Strom Pipeline'!$V$1:$V$860,$U125),55),""))</f>
        <v/>
      </c>
      <c r="L125" s="112"/>
      <c r="M125" s="112"/>
      <c r="N125" s="112"/>
      <c r="O125" s="112"/>
      <c r="P125" s="112"/>
      <c r="Q125" s="112"/>
      <c r="R125" s="112"/>
      <c r="S125" s="112"/>
      <c r="U125" s="1" t="str">
        <f aca="false">IFERROR(MATCH(51,'MiT Strom Pipeline'!$AN$6:$AN$860,0)+5,"")</f>
        <v/>
      </c>
    </row>
    <row r="126" customFormat="false" ht="15.75" hidden="false" customHeight="true" outlineLevel="0" collapsed="false">
      <c r="A126" s="128" t="str">
        <f aca="false">IF($U126="","",IF(ISNUMBER(INDEX('MiT Strom Pipeline'!$A$1:$A$860,$U126)),INDEX('MiT Strom Pipeline'!$A$1:$A$860,$U126),""))</f>
        <v/>
      </c>
      <c r="B126" s="129" t="str">
        <f aca="false">IF($U126="","",IF(INDEX('MiT Strom Pipeline'!$B$1:$B$860,$U126)="","",INDEX('MiT Strom Pipeline'!$B$1:$B$860,$U126)))</f>
        <v/>
      </c>
      <c r="C126" s="130" t="str">
        <f aca="false">IF($U126="","",IF(INDEX('MiT Strom Pipeline'!$C$1:$C$860,$U126)="","",INDEX('MiT Strom Pipeline'!$C$1:$C$860,$U126)))</f>
        <v/>
      </c>
      <c r="D126" s="129" t="str">
        <f aca="false">IF($U126="","",IF(INDEX('MiT Strom Pipeline'!$D$1:$D$860,$U126)="","",INDEX('MiT Strom Pipeline'!$D$1:$D$860,$U126)))</f>
        <v/>
      </c>
      <c r="E126" s="131" t="str">
        <f aca="false">IF($U126="","",IF(ISNUMBER(INDEX('MiT Strom Pipeline'!$O$1:$O$860,$U126)),INDEX('MiT Strom Pipeline'!$O$1:$O$860,$U126),IF(INDEX('MiT Strom Pipeline'!$H$1:$H$860,$U126)="","",INDEX('MiT Strom Pipeline'!$H$1:$H$860,$U126))))</f>
        <v/>
      </c>
      <c r="F126" s="129" t="str">
        <f aca="false">IF($U126="","",IF(INDEX('MiT Strom Pipeline'!$E$1:$E$860,$U126)="","",INDEX('MiT Strom Pipeline'!$E$1:$E$860,$U126)))</f>
        <v/>
      </c>
      <c r="G126" s="132" t="str">
        <f aca="false">IF($U126="","",IF(ISNUMBER(INDEX('MiT Strom Pipeline'!$I$1:$I$860,$U126)),INDEX('MiT Strom Pipeline'!$I$1:$I$860,$U126),0))</f>
        <v/>
      </c>
      <c r="H126" s="132" t="str">
        <f aca="false">IF($U126="","",IF(ISNUMBER(INDEX('MiT Strom Pipeline'!$Q$1:$Q$860,$U126)),INDEX('MiT Strom Pipeline'!$Q$1:$Q$860,$U126),0))</f>
        <v/>
      </c>
      <c r="I126" s="130" t="str">
        <f aca="false">IF($U126="","",INDEX('MiT Strom Pipeline'!$R$1:$R$860,$U126))</f>
        <v/>
      </c>
      <c r="J126" s="133" t="str">
        <f aca="false">IF($U126="","",IF(ISNUMBER(INDEX('MiT Strom Pipeline'!$S$1:$S$860,$U126)),INDEX('MiT Strom Pipeline'!$S$1:$S$860,$U126),""))</f>
        <v/>
      </c>
      <c r="K126" s="129" t="str">
        <f aca="false">IF($U126="","",IF(LEN(INDEX('MiT Strom Pipeline'!$V$1:$V$860,$U126))&gt;0,LEFT(INDEX('MiT Strom Pipeline'!$V$1:$V$860,$U126),55),""))</f>
        <v/>
      </c>
      <c r="L126" s="112"/>
      <c r="M126" s="112"/>
      <c r="N126" s="112"/>
      <c r="O126" s="112"/>
      <c r="P126" s="112"/>
      <c r="Q126" s="112"/>
      <c r="R126" s="112"/>
      <c r="S126" s="112"/>
      <c r="U126" s="1" t="str">
        <f aca="false">IFERROR(MATCH(52,'MiT Strom Pipeline'!$AN$6:$AN$860,0)+5,"")</f>
        <v/>
      </c>
    </row>
    <row r="127" customFormat="false" ht="15.75" hidden="false" customHeight="true" outlineLevel="0" collapsed="false">
      <c r="A127" s="128" t="str">
        <f aca="false">IF($U127="","",IF(ISNUMBER(INDEX('MiT Strom Pipeline'!$A$1:$A$860,$U127)),INDEX('MiT Strom Pipeline'!$A$1:$A$860,$U127),""))</f>
        <v/>
      </c>
      <c r="B127" s="129" t="str">
        <f aca="false">IF($U127="","",IF(INDEX('MiT Strom Pipeline'!$B$1:$B$860,$U127)="","",INDEX('MiT Strom Pipeline'!$B$1:$B$860,$U127)))</f>
        <v/>
      </c>
      <c r="C127" s="130" t="str">
        <f aca="false">IF($U127="","",IF(INDEX('MiT Strom Pipeline'!$C$1:$C$860,$U127)="","",INDEX('MiT Strom Pipeline'!$C$1:$C$860,$U127)))</f>
        <v/>
      </c>
      <c r="D127" s="129" t="str">
        <f aca="false">IF($U127="","",IF(INDEX('MiT Strom Pipeline'!$D$1:$D$860,$U127)="","",INDEX('MiT Strom Pipeline'!$D$1:$D$860,$U127)))</f>
        <v/>
      </c>
      <c r="E127" s="131" t="str">
        <f aca="false">IF($U127="","",IF(ISNUMBER(INDEX('MiT Strom Pipeline'!$O$1:$O$860,$U127)),INDEX('MiT Strom Pipeline'!$O$1:$O$860,$U127),IF(INDEX('MiT Strom Pipeline'!$H$1:$H$860,$U127)="","",INDEX('MiT Strom Pipeline'!$H$1:$H$860,$U127))))</f>
        <v/>
      </c>
      <c r="F127" s="129" t="str">
        <f aca="false">IF($U127="","",IF(INDEX('MiT Strom Pipeline'!$E$1:$E$860,$U127)="","",INDEX('MiT Strom Pipeline'!$E$1:$E$860,$U127)))</f>
        <v/>
      </c>
      <c r="G127" s="132" t="str">
        <f aca="false">IF($U127="","",IF(ISNUMBER(INDEX('MiT Strom Pipeline'!$I$1:$I$860,$U127)),INDEX('MiT Strom Pipeline'!$I$1:$I$860,$U127),0))</f>
        <v/>
      </c>
      <c r="H127" s="132" t="str">
        <f aca="false">IF($U127="","",IF(ISNUMBER(INDEX('MiT Strom Pipeline'!$Q$1:$Q$860,$U127)),INDEX('MiT Strom Pipeline'!$Q$1:$Q$860,$U127),0))</f>
        <v/>
      </c>
      <c r="I127" s="130" t="str">
        <f aca="false">IF($U127="","",INDEX('MiT Strom Pipeline'!$R$1:$R$860,$U127))</f>
        <v/>
      </c>
      <c r="J127" s="133" t="str">
        <f aca="false">IF($U127="","",IF(ISNUMBER(INDEX('MiT Strom Pipeline'!$S$1:$S$860,$U127)),INDEX('MiT Strom Pipeline'!$S$1:$S$860,$U127),""))</f>
        <v/>
      </c>
      <c r="K127" s="129" t="str">
        <f aca="false">IF($U127="","",IF(LEN(INDEX('MiT Strom Pipeline'!$V$1:$V$860,$U127))&gt;0,LEFT(INDEX('MiT Strom Pipeline'!$V$1:$V$860,$U127),55),""))</f>
        <v/>
      </c>
      <c r="L127" s="112"/>
      <c r="M127" s="112"/>
      <c r="N127" s="112"/>
      <c r="O127" s="112"/>
      <c r="P127" s="112"/>
      <c r="Q127" s="112"/>
      <c r="R127" s="112"/>
      <c r="S127" s="112"/>
      <c r="U127" s="1" t="str">
        <f aca="false">IFERROR(MATCH(53,'MiT Strom Pipeline'!$AN$6:$AN$860,0)+5,"")</f>
        <v/>
      </c>
    </row>
    <row r="128" customFormat="false" ht="15.75" hidden="false" customHeight="true" outlineLevel="0" collapsed="false">
      <c r="A128" s="128" t="str">
        <f aca="false">IF($U128="","",IF(ISNUMBER(INDEX('MiT Strom Pipeline'!$A$1:$A$860,$U128)),INDEX('MiT Strom Pipeline'!$A$1:$A$860,$U128),""))</f>
        <v/>
      </c>
      <c r="B128" s="129" t="str">
        <f aca="false">IF($U128="","",IF(INDEX('MiT Strom Pipeline'!$B$1:$B$860,$U128)="","",INDEX('MiT Strom Pipeline'!$B$1:$B$860,$U128)))</f>
        <v/>
      </c>
      <c r="C128" s="130" t="str">
        <f aca="false">IF($U128="","",IF(INDEX('MiT Strom Pipeline'!$C$1:$C$860,$U128)="","",INDEX('MiT Strom Pipeline'!$C$1:$C$860,$U128)))</f>
        <v/>
      </c>
      <c r="D128" s="129" t="str">
        <f aca="false">IF($U128="","",IF(INDEX('MiT Strom Pipeline'!$D$1:$D$860,$U128)="","",INDEX('MiT Strom Pipeline'!$D$1:$D$860,$U128)))</f>
        <v/>
      </c>
      <c r="E128" s="131" t="str">
        <f aca="false">IF($U128="","",IF(ISNUMBER(INDEX('MiT Strom Pipeline'!$O$1:$O$860,$U128)),INDEX('MiT Strom Pipeline'!$O$1:$O$860,$U128),IF(INDEX('MiT Strom Pipeline'!$H$1:$H$860,$U128)="","",INDEX('MiT Strom Pipeline'!$H$1:$H$860,$U128))))</f>
        <v/>
      </c>
      <c r="F128" s="129" t="str">
        <f aca="false">IF($U128="","",IF(INDEX('MiT Strom Pipeline'!$E$1:$E$860,$U128)="","",INDEX('MiT Strom Pipeline'!$E$1:$E$860,$U128)))</f>
        <v/>
      </c>
      <c r="G128" s="132" t="str">
        <f aca="false">IF($U128="","",IF(ISNUMBER(INDEX('MiT Strom Pipeline'!$I$1:$I$860,$U128)),INDEX('MiT Strom Pipeline'!$I$1:$I$860,$U128),0))</f>
        <v/>
      </c>
      <c r="H128" s="132" t="str">
        <f aca="false">IF($U128="","",IF(ISNUMBER(INDEX('MiT Strom Pipeline'!$Q$1:$Q$860,$U128)),INDEX('MiT Strom Pipeline'!$Q$1:$Q$860,$U128),0))</f>
        <v/>
      </c>
      <c r="I128" s="130" t="str">
        <f aca="false">IF($U128="","",INDEX('MiT Strom Pipeline'!$R$1:$R$860,$U128))</f>
        <v/>
      </c>
      <c r="J128" s="133" t="str">
        <f aca="false">IF($U128="","",IF(ISNUMBER(INDEX('MiT Strom Pipeline'!$S$1:$S$860,$U128)),INDEX('MiT Strom Pipeline'!$S$1:$S$860,$U128),""))</f>
        <v/>
      </c>
      <c r="K128" s="129" t="str">
        <f aca="false">IF($U128="","",IF(LEN(INDEX('MiT Strom Pipeline'!$V$1:$V$860,$U128))&gt;0,LEFT(INDEX('MiT Strom Pipeline'!$V$1:$V$860,$U128),55),""))</f>
        <v/>
      </c>
      <c r="L128" s="112"/>
      <c r="M128" s="112"/>
      <c r="N128" s="112"/>
      <c r="O128" s="112"/>
      <c r="P128" s="112"/>
      <c r="Q128" s="112"/>
      <c r="R128" s="112"/>
      <c r="S128" s="112"/>
      <c r="U128" s="1" t="str">
        <f aca="false">IFERROR(MATCH(54,'MiT Strom Pipeline'!$AN$6:$AN$860,0)+5,"")</f>
        <v/>
      </c>
    </row>
    <row r="129" customFormat="false" ht="15.75" hidden="false" customHeight="true" outlineLevel="0" collapsed="false">
      <c r="A129" s="128" t="str">
        <f aca="false">IF($U129="","",IF(ISNUMBER(INDEX('MiT Strom Pipeline'!$A$1:$A$860,$U129)),INDEX('MiT Strom Pipeline'!$A$1:$A$860,$U129),""))</f>
        <v/>
      </c>
      <c r="B129" s="129" t="str">
        <f aca="false">IF($U129="","",IF(INDEX('MiT Strom Pipeline'!$B$1:$B$860,$U129)="","",INDEX('MiT Strom Pipeline'!$B$1:$B$860,$U129)))</f>
        <v/>
      </c>
      <c r="C129" s="130" t="str">
        <f aca="false">IF($U129="","",IF(INDEX('MiT Strom Pipeline'!$C$1:$C$860,$U129)="","",INDEX('MiT Strom Pipeline'!$C$1:$C$860,$U129)))</f>
        <v/>
      </c>
      <c r="D129" s="129" t="str">
        <f aca="false">IF($U129="","",IF(INDEX('MiT Strom Pipeline'!$D$1:$D$860,$U129)="","",INDEX('MiT Strom Pipeline'!$D$1:$D$860,$U129)))</f>
        <v/>
      </c>
      <c r="E129" s="131" t="str">
        <f aca="false">IF($U129="","",IF(ISNUMBER(INDEX('MiT Strom Pipeline'!$O$1:$O$860,$U129)),INDEX('MiT Strom Pipeline'!$O$1:$O$860,$U129),IF(INDEX('MiT Strom Pipeline'!$H$1:$H$860,$U129)="","",INDEX('MiT Strom Pipeline'!$H$1:$H$860,$U129))))</f>
        <v/>
      </c>
      <c r="F129" s="129" t="str">
        <f aca="false">IF($U129="","",IF(INDEX('MiT Strom Pipeline'!$E$1:$E$860,$U129)="","",INDEX('MiT Strom Pipeline'!$E$1:$E$860,$U129)))</f>
        <v/>
      </c>
      <c r="G129" s="132" t="str">
        <f aca="false">IF($U129="","",IF(ISNUMBER(INDEX('MiT Strom Pipeline'!$I$1:$I$860,$U129)),INDEX('MiT Strom Pipeline'!$I$1:$I$860,$U129),0))</f>
        <v/>
      </c>
      <c r="H129" s="132" t="str">
        <f aca="false">IF($U129="","",IF(ISNUMBER(INDEX('MiT Strom Pipeline'!$Q$1:$Q$860,$U129)),INDEX('MiT Strom Pipeline'!$Q$1:$Q$860,$U129),0))</f>
        <v/>
      </c>
      <c r="I129" s="130" t="str">
        <f aca="false">IF($U129="","",INDEX('MiT Strom Pipeline'!$R$1:$R$860,$U129))</f>
        <v/>
      </c>
      <c r="J129" s="133" t="str">
        <f aca="false">IF($U129="","",IF(ISNUMBER(INDEX('MiT Strom Pipeline'!$S$1:$S$860,$U129)),INDEX('MiT Strom Pipeline'!$S$1:$S$860,$U129),""))</f>
        <v/>
      </c>
      <c r="K129" s="129" t="str">
        <f aca="false">IF($U129="","",IF(LEN(INDEX('MiT Strom Pipeline'!$V$1:$V$860,$U129))&gt;0,LEFT(INDEX('MiT Strom Pipeline'!$V$1:$V$860,$U129),55),""))</f>
        <v/>
      </c>
      <c r="L129" s="112"/>
      <c r="M129" s="112"/>
      <c r="N129" s="112"/>
      <c r="O129" s="112"/>
      <c r="P129" s="112"/>
      <c r="Q129" s="112"/>
      <c r="R129" s="112"/>
      <c r="S129" s="112"/>
      <c r="U129" s="1" t="str">
        <f aca="false">IFERROR(MATCH(55,'MiT Strom Pipeline'!$AN$6:$AN$860,0)+5,"")</f>
        <v/>
      </c>
    </row>
    <row r="130" customFormat="false" ht="15.75" hidden="false" customHeight="true" outlineLevel="0" collapsed="false">
      <c r="A130" s="128" t="str">
        <f aca="false">IF($U130="","",IF(ISNUMBER(INDEX('MiT Strom Pipeline'!$A$1:$A$860,$U130)),INDEX('MiT Strom Pipeline'!$A$1:$A$860,$U130),""))</f>
        <v/>
      </c>
      <c r="B130" s="129" t="str">
        <f aca="false">IF($U130="","",IF(INDEX('MiT Strom Pipeline'!$B$1:$B$860,$U130)="","",INDEX('MiT Strom Pipeline'!$B$1:$B$860,$U130)))</f>
        <v/>
      </c>
      <c r="C130" s="130" t="str">
        <f aca="false">IF($U130="","",IF(INDEX('MiT Strom Pipeline'!$C$1:$C$860,$U130)="","",INDEX('MiT Strom Pipeline'!$C$1:$C$860,$U130)))</f>
        <v/>
      </c>
      <c r="D130" s="129" t="str">
        <f aca="false">IF($U130="","",IF(INDEX('MiT Strom Pipeline'!$D$1:$D$860,$U130)="","",INDEX('MiT Strom Pipeline'!$D$1:$D$860,$U130)))</f>
        <v/>
      </c>
      <c r="E130" s="131" t="str">
        <f aca="false">IF($U130="","",IF(ISNUMBER(INDEX('MiT Strom Pipeline'!$O$1:$O$860,$U130)),INDEX('MiT Strom Pipeline'!$O$1:$O$860,$U130),IF(INDEX('MiT Strom Pipeline'!$H$1:$H$860,$U130)="","",INDEX('MiT Strom Pipeline'!$H$1:$H$860,$U130))))</f>
        <v/>
      </c>
      <c r="F130" s="129" t="str">
        <f aca="false">IF($U130="","",IF(INDEX('MiT Strom Pipeline'!$E$1:$E$860,$U130)="","",INDEX('MiT Strom Pipeline'!$E$1:$E$860,$U130)))</f>
        <v/>
      </c>
      <c r="G130" s="132" t="str">
        <f aca="false">IF($U130="","",IF(ISNUMBER(INDEX('MiT Strom Pipeline'!$I$1:$I$860,$U130)),INDEX('MiT Strom Pipeline'!$I$1:$I$860,$U130),0))</f>
        <v/>
      </c>
      <c r="H130" s="132" t="str">
        <f aca="false">IF($U130="","",IF(ISNUMBER(INDEX('MiT Strom Pipeline'!$Q$1:$Q$860,$U130)),INDEX('MiT Strom Pipeline'!$Q$1:$Q$860,$U130),0))</f>
        <v/>
      </c>
      <c r="I130" s="130" t="str">
        <f aca="false">IF($U130="","",INDEX('MiT Strom Pipeline'!$R$1:$R$860,$U130))</f>
        <v/>
      </c>
      <c r="J130" s="133" t="str">
        <f aca="false">IF($U130="","",IF(ISNUMBER(INDEX('MiT Strom Pipeline'!$S$1:$S$860,$U130)),INDEX('MiT Strom Pipeline'!$S$1:$S$860,$U130),""))</f>
        <v/>
      </c>
      <c r="K130" s="129" t="str">
        <f aca="false">IF($U130="","",IF(LEN(INDEX('MiT Strom Pipeline'!$V$1:$V$860,$U130))&gt;0,LEFT(INDEX('MiT Strom Pipeline'!$V$1:$V$860,$U130),55),""))</f>
        <v/>
      </c>
      <c r="L130" s="112"/>
      <c r="M130" s="112"/>
      <c r="N130" s="112"/>
      <c r="O130" s="112"/>
      <c r="P130" s="112"/>
      <c r="Q130" s="112"/>
      <c r="R130" s="112"/>
      <c r="S130" s="112"/>
      <c r="U130" s="1" t="str">
        <f aca="false">IFERROR(MATCH(56,'MiT Strom Pipeline'!$AN$6:$AN$860,0)+5,"")</f>
        <v/>
      </c>
    </row>
    <row r="131" customFormat="false" ht="15.75" hidden="false" customHeight="true" outlineLevel="0" collapsed="false">
      <c r="A131" s="128" t="str">
        <f aca="false">IF($U131="","",IF(ISNUMBER(INDEX('MiT Strom Pipeline'!$A$1:$A$860,$U131)),INDEX('MiT Strom Pipeline'!$A$1:$A$860,$U131),""))</f>
        <v/>
      </c>
      <c r="B131" s="129" t="str">
        <f aca="false">IF($U131="","",IF(INDEX('MiT Strom Pipeline'!$B$1:$B$860,$U131)="","",INDEX('MiT Strom Pipeline'!$B$1:$B$860,$U131)))</f>
        <v/>
      </c>
      <c r="C131" s="130" t="str">
        <f aca="false">IF($U131="","",IF(INDEX('MiT Strom Pipeline'!$C$1:$C$860,$U131)="","",INDEX('MiT Strom Pipeline'!$C$1:$C$860,$U131)))</f>
        <v/>
      </c>
      <c r="D131" s="129" t="str">
        <f aca="false">IF($U131="","",IF(INDEX('MiT Strom Pipeline'!$D$1:$D$860,$U131)="","",INDEX('MiT Strom Pipeline'!$D$1:$D$860,$U131)))</f>
        <v/>
      </c>
      <c r="E131" s="131" t="str">
        <f aca="false">IF($U131="","",IF(ISNUMBER(INDEX('MiT Strom Pipeline'!$O$1:$O$860,$U131)),INDEX('MiT Strom Pipeline'!$O$1:$O$860,$U131),IF(INDEX('MiT Strom Pipeline'!$H$1:$H$860,$U131)="","",INDEX('MiT Strom Pipeline'!$H$1:$H$860,$U131))))</f>
        <v/>
      </c>
      <c r="F131" s="129" t="str">
        <f aca="false">IF($U131="","",IF(INDEX('MiT Strom Pipeline'!$E$1:$E$860,$U131)="","",INDEX('MiT Strom Pipeline'!$E$1:$E$860,$U131)))</f>
        <v/>
      </c>
      <c r="G131" s="132" t="str">
        <f aca="false">IF($U131="","",IF(ISNUMBER(INDEX('MiT Strom Pipeline'!$I$1:$I$860,$U131)),INDEX('MiT Strom Pipeline'!$I$1:$I$860,$U131),0))</f>
        <v/>
      </c>
      <c r="H131" s="132" t="str">
        <f aca="false">IF($U131="","",IF(ISNUMBER(INDEX('MiT Strom Pipeline'!$Q$1:$Q$860,$U131)),INDEX('MiT Strom Pipeline'!$Q$1:$Q$860,$U131),0))</f>
        <v/>
      </c>
      <c r="I131" s="130" t="str">
        <f aca="false">IF($U131="","",INDEX('MiT Strom Pipeline'!$R$1:$R$860,$U131))</f>
        <v/>
      </c>
      <c r="J131" s="133" t="str">
        <f aca="false">IF($U131="","",IF(ISNUMBER(INDEX('MiT Strom Pipeline'!$S$1:$S$860,$U131)),INDEX('MiT Strom Pipeline'!$S$1:$S$860,$U131),""))</f>
        <v/>
      </c>
      <c r="K131" s="129" t="str">
        <f aca="false">IF($U131="","",IF(LEN(INDEX('MiT Strom Pipeline'!$V$1:$V$860,$U131))&gt;0,LEFT(INDEX('MiT Strom Pipeline'!$V$1:$V$860,$U131),55),""))</f>
        <v/>
      </c>
      <c r="L131" s="112"/>
      <c r="M131" s="112"/>
      <c r="N131" s="112"/>
      <c r="O131" s="112"/>
      <c r="P131" s="112"/>
      <c r="Q131" s="112"/>
      <c r="R131" s="112"/>
      <c r="S131" s="112"/>
      <c r="U131" s="1" t="str">
        <f aca="false">IFERROR(MATCH(57,'MiT Strom Pipeline'!$AN$6:$AN$860,0)+5,"")</f>
        <v/>
      </c>
    </row>
    <row r="132" customFormat="false" ht="15.75" hidden="false" customHeight="true" outlineLevel="0" collapsed="false">
      <c r="A132" s="128" t="str">
        <f aca="false">IF($U132="","",IF(ISNUMBER(INDEX('MiT Strom Pipeline'!$A$1:$A$860,$U132)),INDEX('MiT Strom Pipeline'!$A$1:$A$860,$U132),""))</f>
        <v/>
      </c>
      <c r="B132" s="129" t="str">
        <f aca="false">IF($U132="","",IF(INDEX('MiT Strom Pipeline'!$B$1:$B$860,$U132)="","",INDEX('MiT Strom Pipeline'!$B$1:$B$860,$U132)))</f>
        <v/>
      </c>
      <c r="C132" s="130" t="str">
        <f aca="false">IF($U132="","",IF(INDEX('MiT Strom Pipeline'!$C$1:$C$860,$U132)="","",INDEX('MiT Strom Pipeline'!$C$1:$C$860,$U132)))</f>
        <v/>
      </c>
      <c r="D132" s="129" t="str">
        <f aca="false">IF($U132="","",IF(INDEX('MiT Strom Pipeline'!$D$1:$D$860,$U132)="","",INDEX('MiT Strom Pipeline'!$D$1:$D$860,$U132)))</f>
        <v/>
      </c>
      <c r="E132" s="131" t="str">
        <f aca="false">IF($U132="","",IF(ISNUMBER(INDEX('MiT Strom Pipeline'!$O$1:$O$860,$U132)),INDEX('MiT Strom Pipeline'!$O$1:$O$860,$U132),IF(INDEX('MiT Strom Pipeline'!$H$1:$H$860,$U132)="","",INDEX('MiT Strom Pipeline'!$H$1:$H$860,$U132))))</f>
        <v/>
      </c>
      <c r="F132" s="129" t="str">
        <f aca="false">IF($U132="","",IF(INDEX('MiT Strom Pipeline'!$E$1:$E$860,$U132)="","",INDEX('MiT Strom Pipeline'!$E$1:$E$860,$U132)))</f>
        <v/>
      </c>
      <c r="G132" s="132" t="str">
        <f aca="false">IF($U132="","",IF(ISNUMBER(INDEX('MiT Strom Pipeline'!$I$1:$I$860,$U132)),INDEX('MiT Strom Pipeline'!$I$1:$I$860,$U132),0))</f>
        <v/>
      </c>
      <c r="H132" s="132" t="str">
        <f aca="false">IF($U132="","",IF(ISNUMBER(INDEX('MiT Strom Pipeline'!$Q$1:$Q$860,$U132)),INDEX('MiT Strom Pipeline'!$Q$1:$Q$860,$U132),0))</f>
        <v/>
      </c>
      <c r="I132" s="130" t="str">
        <f aca="false">IF($U132="","",INDEX('MiT Strom Pipeline'!$R$1:$R$860,$U132))</f>
        <v/>
      </c>
      <c r="J132" s="133" t="str">
        <f aca="false">IF($U132="","",IF(ISNUMBER(INDEX('MiT Strom Pipeline'!$S$1:$S$860,$U132)),INDEX('MiT Strom Pipeline'!$S$1:$S$860,$U132),""))</f>
        <v/>
      </c>
      <c r="K132" s="129" t="str">
        <f aca="false">IF($U132="","",IF(LEN(INDEX('MiT Strom Pipeline'!$V$1:$V$860,$U132))&gt;0,LEFT(INDEX('MiT Strom Pipeline'!$V$1:$V$860,$U132),55),""))</f>
        <v/>
      </c>
      <c r="L132" s="112"/>
      <c r="M132" s="112"/>
      <c r="N132" s="112"/>
      <c r="O132" s="112"/>
      <c r="P132" s="112"/>
      <c r="Q132" s="112"/>
      <c r="R132" s="112"/>
      <c r="S132" s="112"/>
      <c r="U132" s="1" t="str">
        <f aca="false">IFERROR(MATCH(58,'MiT Strom Pipeline'!$AN$6:$AN$860,0)+5,"")</f>
        <v/>
      </c>
    </row>
    <row r="133" customFormat="false" ht="15.75" hidden="false" customHeight="true" outlineLevel="0" collapsed="false">
      <c r="A133" s="128" t="str">
        <f aca="false">IF($U133="","",IF(ISNUMBER(INDEX('MiT Strom Pipeline'!$A$1:$A$860,$U133)),INDEX('MiT Strom Pipeline'!$A$1:$A$860,$U133),""))</f>
        <v/>
      </c>
      <c r="B133" s="129" t="str">
        <f aca="false">IF($U133="","",IF(INDEX('MiT Strom Pipeline'!$B$1:$B$860,$U133)="","",INDEX('MiT Strom Pipeline'!$B$1:$B$860,$U133)))</f>
        <v/>
      </c>
      <c r="C133" s="130" t="str">
        <f aca="false">IF($U133="","",IF(INDEX('MiT Strom Pipeline'!$C$1:$C$860,$U133)="","",INDEX('MiT Strom Pipeline'!$C$1:$C$860,$U133)))</f>
        <v/>
      </c>
      <c r="D133" s="129" t="str">
        <f aca="false">IF($U133="","",IF(INDEX('MiT Strom Pipeline'!$D$1:$D$860,$U133)="","",INDEX('MiT Strom Pipeline'!$D$1:$D$860,$U133)))</f>
        <v/>
      </c>
      <c r="E133" s="131" t="str">
        <f aca="false">IF($U133="","",IF(ISNUMBER(INDEX('MiT Strom Pipeline'!$O$1:$O$860,$U133)),INDEX('MiT Strom Pipeline'!$O$1:$O$860,$U133),IF(INDEX('MiT Strom Pipeline'!$H$1:$H$860,$U133)="","",INDEX('MiT Strom Pipeline'!$H$1:$H$860,$U133))))</f>
        <v/>
      </c>
      <c r="F133" s="129" t="str">
        <f aca="false">IF($U133="","",IF(INDEX('MiT Strom Pipeline'!$E$1:$E$860,$U133)="","",INDEX('MiT Strom Pipeline'!$E$1:$E$860,$U133)))</f>
        <v/>
      </c>
      <c r="G133" s="132" t="str">
        <f aca="false">IF($U133="","",IF(ISNUMBER(INDEX('MiT Strom Pipeline'!$I$1:$I$860,$U133)),INDEX('MiT Strom Pipeline'!$I$1:$I$860,$U133),0))</f>
        <v/>
      </c>
      <c r="H133" s="132" t="str">
        <f aca="false">IF($U133="","",IF(ISNUMBER(INDEX('MiT Strom Pipeline'!$Q$1:$Q$860,$U133)),INDEX('MiT Strom Pipeline'!$Q$1:$Q$860,$U133),0))</f>
        <v/>
      </c>
      <c r="I133" s="130" t="str">
        <f aca="false">IF($U133="","",INDEX('MiT Strom Pipeline'!$R$1:$R$860,$U133))</f>
        <v/>
      </c>
      <c r="J133" s="133" t="str">
        <f aca="false">IF($U133="","",IF(ISNUMBER(INDEX('MiT Strom Pipeline'!$S$1:$S$860,$U133)),INDEX('MiT Strom Pipeline'!$S$1:$S$860,$U133),""))</f>
        <v/>
      </c>
      <c r="K133" s="129" t="str">
        <f aca="false">IF($U133="","",IF(LEN(INDEX('MiT Strom Pipeline'!$V$1:$V$860,$U133))&gt;0,LEFT(INDEX('MiT Strom Pipeline'!$V$1:$V$860,$U133),55),""))</f>
        <v/>
      </c>
      <c r="L133" s="112"/>
      <c r="M133" s="112"/>
      <c r="N133" s="112"/>
      <c r="O133" s="112"/>
      <c r="P133" s="112"/>
      <c r="Q133" s="112"/>
      <c r="R133" s="112"/>
      <c r="S133" s="112"/>
      <c r="U133" s="1" t="str">
        <f aca="false">IFERROR(MATCH(59,'MiT Strom Pipeline'!$AN$6:$AN$860,0)+5,"")</f>
        <v/>
      </c>
    </row>
    <row r="134" customFormat="false" ht="15.75" hidden="false" customHeight="true" outlineLevel="0" collapsed="false">
      <c r="A134" s="128" t="str">
        <f aca="false">IF($U134="","",IF(ISNUMBER(INDEX('MiT Strom Pipeline'!$A$1:$A$860,$U134)),INDEX('MiT Strom Pipeline'!$A$1:$A$860,$U134),""))</f>
        <v/>
      </c>
      <c r="B134" s="129" t="str">
        <f aca="false">IF($U134="","",IF(INDEX('MiT Strom Pipeline'!$B$1:$B$860,$U134)="","",INDEX('MiT Strom Pipeline'!$B$1:$B$860,$U134)))</f>
        <v/>
      </c>
      <c r="C134" s="130" t="str">
        <f aca="false">IF($U134="","",IF(INDEX('MiT Strom Pipeline'!$C$1:$C$860,$U134)="","",INDEX('MiT Strom Pipeline'!$C$1:$C$860,$U134)))</f>
        <v/>
      </c>
      <c r="D134" s="129" t="str">
        <f aca="false">IF($U134="","",IF(INDEX('MiT Strom Pipeline'!$D$1:$D$860,$U134)="","",INDEX('MiT Strom Pipeline'!$D$1:$D$860,$U134)))</f>
        <v/>
      </c>
      <c r="E134" s="131" t="str">
        <f aca="false">IF($U134="","",IF(ISNUMBER(INDEX('MiT Strom Pipeline'!$O$1:$O$860,$U134)),INDEX('MiT Strom Pipeline'!$O$1:$O$860,$U134),IF(INDEX('MiT Strom Pipeline'!$H$1:$H$860,$U134)="","",INDEX('MiT Strom Pipeline'!$H$1:$H$860,$U134))))</f>
        <v/>
      </c>
      <c r="F134" s="129" t="str">
        <f aca="false">IF($U134="","",IF(INDEX('MiT Strom Pipeline'!$E$1:$E$860,$U134)="","",INDEX('MiT Strom Pipeline'!$E$1:$E$860,$U134)))</f>
        <v/>
      </c>
      <c r="G134" s="132" t="str">
        <f aca="false">IF($U134="","",IF(ISNUMBER(INDEX('MiT Strom Pipeline'!$I$1:$I$860,$U134)),INDEX('MiT Strom Pipeline'!$I$1:$I$860,$U134),0))</f>
        <v/>
      </c>
      <c r="H134" s="132" t="str">
        <f aca="false">IF($U134="","",IF(ISNUMBER(INDEX('MiT Strom Pipeline'!$Q$1:$Q$860,$U134)),INDEX('MiT Strom Pipeline'!$Q$1:$Q$860,$U134),0))</f>
        <v/>
      </c>
      <c r="I134" s="130" t="str">
        <f aca="false">IF($U134="","",INDEX('MiT Strom Pipeline'!$R$1:$R$860,$U134))</f>
        <v/>
      </c>
      <c r="J134" s="133" t="str">
        <f aca="false">IF($U134="","",IF(ISNUMBER(INDEX('MiT Strom Pipeline'!$S$1:$S$860,$U134)),INDEX('MiT Strom Pipeline'!$S$1:$S$860,$U134),""))</f>
        <v/>
      </c>
      <c r="K134" s="129" t="str">
        <f aca="false">IF($U134="","",IF(LEN(INDEX('MiT Strom Pipeline'!$V$1:$V$860,$U134))&gt;0,LEFT(INDEX('MiT Strom Pipeline'!$V$1:$V$860,$U134),55),""))</f>
        <v/>
      </c>
      <c r="L134" s="112"/>
      <c r="M134" s="112"/>
      <c r="N134" s="112"/>
      <c r="O134" s="112"/>
      <c r="P134" s="112"/>
      <c r="Q134" s="112"/>
      <c r="R134" s="112"/>
      <c r="S134" s="112"/>
      <c r="U134" s="1" t="str">
        <f aca="false">IFERROR(MATCH(60,'MiT Strom Pipeline'!$AN$6:$AN$860,0)+5,"")</f>
        <v/>
      </c>
    </row>
    <row r="135" customFormat="false" ht="21.75" hidden="false" customHeight="true" outlineLevel="0" collapsed="false">
      <c r="A135" s="128" t="str">
        <f aca="false">IF($U135="","",IF(ISNUMBER(INDEX('MiT Strom Pipeline'!$A$1:$A$860,$U135)),INDEX('MiT Strom Pipeline'!$A$1:$A$860,$U135),""))</f>
        <v/>
      </c>
      <c r="B135" s="129" t="str">
        <f aca="false">IF($U135="","",IF(INDEX('MiT Strom Pipeline'!$B$1:$B$860,$U135)="","",INDEX('MiT Strom Pipeline'!$B$1:$B$860,$U135)))</f>
        <v/>
      </c>
      <c r="C135" s="130" t="str">
        <f aca="false">IF($U135="","",IF(INDEX('MiT Strom Pipeline'!$C$1:$C$860,$U135)="","",INDEX('MiT Strom Pipeline'!$C$1:$C$860,$U135)))</f>
        <v/>
      </c>
      <c r="D135" s="129" t="str">
        <f aca="false">IF($U135="","",IF(INDEX('MiT Strom Pipeline'!$D$1:$D$860,$U135)="","",INDEX('MiT Strom Pipeline'!$D$1:$D$860,$U135)))</f>
        <v/>
      </c>
      <c r="E135" s="131" t="str">
        <f aca="false">IF($U135="","",IF(ISNUMBER(INDEX('MiT Strom Pipeline'!$O$1:$O$860,$U135)),INDEX('MiT Strom Pipeline'!$O$1:$O$860,$U135),IF(INDEX('MiT Strom Pipeline'!$H$1:$H$860,$U135)="","",INDEX('MiT Strom Pipeline'!$H$1:$H$860,$U135))))</f>
        <v/>
      </c>
      <c r="F135" s="129" t="str">
        <f aca="false">IF($U135="","",IF(INDEX('MiT Strom Pipeline'!$E$1:$E$860,$U135)="","",INDEX('MiT Strom Pipeline'!$E$1:$E$860,$U135)))</f>
        <v/>
      </c>
      <c r="G135" s="132" t="str">
        <f aca="false">IF($U135="","",IF(ISNUMBER(INDEX('MiT Strom Pipeline'!$I$1:$I$860,$U135)),INDEX('MiT Strom Pipeline'!$I$1:$I$860,$U135),0))</f>
        <v/>
      </c>
      <c r="H135" s="132" t="str">
        <f aca="false">IF($U135="","",IF(ISNUMBER(INDEX('MiT Strom Pipeline'!$Q$1:$Q$860,$U135)),INDEX('MiT Strom Pipeline'!$Q$1:$Q$860,$U135),0))</f>
        <v/>
      </c>
      <c r="I135" s="130" t="str">
        <f aca="false">IF($U135="","",INDEX('MiT Strom Pipeline'!$R$1:$R$860,$U135))</f>
        <v/>
      </c>
      <c r="J135" s="133" t="str">
        <f aca="false">IF($U135="","",IF(ISNUMBER(INDEX('MiT Strom Pipeline'!$S$1:$S$860,$U135)),INDEX('MiT Strom Pipeline'!$S$1:$S$860,$U135),""))</f>
        <v/>
      </c>
      <c r="K135" s="129" t="str">
        <f aca="false">IF($U135="","",IF(LEN(INDEX('MiT Strom Pipeline'!$V$1:$V$860,$U135))&gt;0,LEFT(INDEX('MiT Strom Pipeline'!$V$1:$V$860,$U135),55),""))</f>
        <v/>
      </c>
      <c r="L135" s="112"/>
      <c r="M135" s="112"/>
      <c r="N135" s="112"/>
      <c r="O135" s="112"/>
      <c r="P135" s="112"/>
      <c r="Q135" s="112"/>
      <c r="R135" s="112"/>
      <c r="S135" s="112"/>
      <c r="U135" s="1" t="str">
        <f aca="false">IFERROR(MATCH(61,'MiT Strom Pipeline'!$AN$6:$AN$860,0)+5,"")</f>
        <v/>
      </c>
    </row>
    <row r="136" customFormat="false" ht="18.75" hidden="false" customHeight="true" outlineLevel="0" collapsed="false">
      <c r="A136" s="128" t="str">
        <f aca="false">IF($U136="","",IF(ISNUMBER(INDEX('MiT Strom Pipeline'!$A$1:$A$860,$U136)),INDEX('MiT Strom Pipeline'!$A$1:$A$860,$U136),""))</f>
        <v/>
      </c>
      <c r="B136" s="129" t="str">
        <f aca="false">IF($U136="","",IF(INDEX('MiT Strom Pipeline'!$B$1:$B$860,$U136)="","",INDEX('MiT Strom Pipeline'!$B$1:$B$860,$U136)))</f>
        <v/>
      </c>
      <c r="C136" s="130" t="str">
        <f aca="false">IF($U136="","",IF(INDEX('MiT Strom Pipeline'!$C$1:$C$860,$U136)="","",INDEX('MiT Strom Pipeline'!$C$1:$C$860,$U136)))</f>
        <v/>
      </c>
      <c r="D136" s="129" t="str">
        <f aca="false">IF($U136="","",IF(INDEX('MiT Strom Pipeline'!$D$1:$D$860,$U136)="","",INDEX('MiT Strom Pipeline'!$D$1:$D$860,$U136)))</f>
        <v/>
      </c>
      <c r="E136" s="131" t="str">
        <f aca="false">IF($U136="","",IF(ISNUMBER(INDEX('MiT Strom Pipeline'!$O$1:$O$860,$U136)),INDEX('MiT Strom Pipeline'!$O$1:$O$860,$U136),IF(INDEX('MiT Strom Pipeline'!$H$1:$H$860,$U136)="","",INDEX('MiT Strom Pipeline'!$H$1:$H$860,$U136))))</f>
        <v/>
      </c>
      <c r="F136" s="129" t="str">
        <f aca="false">IF($U136="","",IF(INDEX('MiT Strom Pipeline'!$E$1:$E$860,$U136)="","",INDEX('MiT Strom Pipeline'!$E$1:$E$860,$U136)))</f>
        <v/>
      </c>
      <c r="G136" s="132" t="str">
        <f aca="false">IF($U136="","",IF(ISNUMBER(INDEX('MiT Strom Pipeline'!$I$1:$I$860,$U136)),INDEX('MiT Strom Pipeline'!$I$1:$I$860,$U136),0))</f>
        <v/>
      </c>
      <c r="H136" s="132" t="str">
        <f aca="false">IF($U136="","",IF(ISNUMBER(INDEX('MiT Strom Pipeline'!$Q$1:$Q$860,$U136)),INDEX('MiT Strom Pipeline'!$Q$1:$Q$860,$U136),0))</f>
        <v/>
      </c>
      <c r="I136" s="130" t="str">
        <f aca="false">IF($U136="","",INDEX('MiT Strom Pipeline'!$R$1:$R$860,$U136))</f>
        <v/>
      </c>
      <c r="J136" s="133" t="str">
        <f aca="false">IF($U136="","",IF(ISNUMBER(INDEX('MiT Strom Pipeline'!$S$1:$S$860,$U136)),INDEX('MiT Strom Pipeline'!$S$1:$S$860,$U136),""))</f>
        <v/>
      </c>
      <c r="K136" s="129" t="str">
        <f aca="false">IF($U136="","",IF(LEN(INDEX('MiT Strom Pipeline'!$V$1:$V$860,$U136))&gt;0,LEFT(INDEX('MiT Strom Pipeline'!$V$1:$V$860,$U136),55),""))</f>
        <v/>
      </c>
      <c r="L136" s="112"/>
      <c r="M136" s="112"/>
      <c r="N136" s="112"/>
      <c r="O136" s="112"/>
      <c r="P136" s="112"/>
      <c r="Q136" s="112"/>
      <c r="R136" s="112"/>
      <c r="S136" s="112"/>
      <c r="U136" s="1" t="str">
        <f aca="false">IFERROR(MATCH(62,'MiT Strom Pipeline'!$AN$6:$AN$860,0)+5,"")</f>
        <v/>
      </c>
    </row>
    <row r="137" customFormat="false" ht="24" hidden="false" customHeight="true" outlineLevel="0" collapsed="false">
      <c r="A137" s="135" t="s">
        <v>123</v>
      </c>
      <c r="B137" s="135"/>
      <c r="C137" s="135"/>
      <c r="D137" s="135"/>
      <c r="E137" s="135"/>
      <c r="F137" s="135"/>
      <c r="G137" s="135"/>
      <c r="H137" s="135"/>
      <c r="I137" s="135"/>
      <c r="J137" s="135"/>
      <c r="K137" s="135"/>
      <c r="L137" s="112"/>
      <c r="M137" s="112"/>
      <c r="N137" s="112"/>
      <c r="O137" s="112"/>
      <c r="P137" s="112"/>
      <c r="Q137" s="112"/>
      <c r="R137" s="112"/>
      <c r="S137" s="112"/>
    </row>
    <row r="138" customFormat="false" ht="19.5" hidden="false" customHeight="true" outlineLevel="0" collapsed="false">
      <c r="A138" s="126" t="s">
        <v>6</v>
      </c>
      <c r="B138" s="127" t="s">
        <v>115</v>
      </c>
      <c r="C138" s="126" t="s">
        <v>8</v>
      </c>
      <c r="D138" s="127" t="s">
        <v>10</v>
      </c>
      <c r="E138" s="126" t="s">
        <v>9</v>
      </c>
      <c r="F138" s="127" t="s">
        <v>117</v>
      </c>
      <c r="G138" s="126" t="s">
        <v>16</v>
      </c>
      <c r="H138" s="126" t="s">
        <v>116</v>
      </c>
      <c r="I138" s="126" t="s">
        <v>14</v>
      </c>
      <c r="J138" s="126" t="s">
        <v>118</v>
      </c>
      <c r="K138" s="127" t="s">
        <v>119</v>
      </c>
      <c r="L138" s="112"/>
      <c r="M138" s="112"/>
      <c r="N138" s="112"/>
      <c r="O138" s="112"/>
      <c r="P138" s="112"/>
      <c r="Q138" s="112"/>
      <c r="R138" s="112"/>
      <c r="S138" s="112"/>
    </row>
    <row r="139" customFormat="false" ht="38.25" hidden="false" customHeight="true" outlineLevel="0" collapsed="false">
      <c r="A139" s="128" t="n">
        <f aca="false">IF($U139="","",IF(ISNUMBER(INDEX('MiT Strom Pipeline'!$A$1:$A$860,$U139)),INDEX('MiT Strom Pipeline'!$A$1:$A$860,$U139),""))</f>
        <v>32</v>
      </c>
      <c r="B139" s="129" t="str">
        <f aca="false">IF($U139="","",IF(INDEX('MiT Strom Pipeline'!$B$1:$B$860,$U139)="","",INDEX('MiT Strom Pipeline'!$B$1:$B$860,$U139)))</f>
        <v>WSP</v>
      </c>
      <c r="C139" s="130" t="str">
        <f aca="false">IF($U139="","",IF(INDEX('MiT Strom Pipeline'!$C$1:$C$860,$U139)="","",INDEX('MiT Strom Pipeline'!$C$1:$C$860,$U139)))</f>
        <v>VD</v>
      </c>
      <c r="D139" s="129" t="str">
        <f aca="false">IF($U139="","",IF(INDEX('MiT Strom Pipeline'!$D$1:$D$860,$U139)="","",INDEX('MiT Strom Pipeline'!$D$1:$D$860,$U139)))</f>
        <v>Industrie</v>
      </c>
      <c r="E139" s="131" t="str">
        <f aca="false">IF($U139="","",IF(ISNUMBER(INDEX('MiT Strom Pipeline'!$O$1:$O$860,$U139)),INDEX('MiT Strom Pipeline'!$O$1:$O$860,$U139),IF(INDEX('MiT Strom Pipeline'!$H$1:$H$860,$U139)="","",INDEX('MiT Strom Pipeline'!$H$1:$H$860,$U139))))</f>
        <v>tbd</v>
      </c>
      <c r="F139" s="129" t="str">
        <f aca="false">IF($U139="","",IF(INDEX('MiT Strom Pipeline'!$E$1:$E$860,$U139)="","",INDEX('MiT Strom Pipeline'!$E$1:$E$860,$U139)))</f>
        <v>tbd</v>
      </c>
      <c r="G139" s="132" t="n">
        <f aca="false">IF($U139="","",IF(ISNUMBER(INDEX('MiT Strom Pipeline'!$I$1:$I$860,$U139)),INDEX('MiT Strom Pipeline'!$I$1:$I$860,$U139),0))</f>
        <v>0</v>
      </c>
      <c r="H139" s="132" t="n">
        <f aca="false">IF($U139="","",IF(ISNUMBER(INDEX('MiT Strom Pipeline'!$Q$1:$Q$860,$U139)),INDEX('MiT Strom Pipeline'!$Q$1:$Q$860,$U139),0))</f>
        <v>0</v>
      </c>
      <c r="I139" s="130" t="str">
        <f aca="false">IF($U139="","",INDEX('MiT Strom Pipeline'!$R$1:$R$860,$U139))</f>
        <v>tbd</v>
      </c>
      <c r="J139" s="133" t="n">
        <f aca="false">IF($U139="","",IF(ISNUMBER(INDEX('MiT Strom Pipeline'!$S$1:$S$860,$U139)),INDEX('MiT Strom Pipeline'!$S$1:$S$860,$U139),""))</f>
        <v>0</v>
      </c>
      <c r="K139" s="129" t="str">
        <f aca="false">IF($U139="","",IF(LEN(INDEX('MiT Strom Pipeline'!$V$1:$V$860,$U139))&gt;0,LEFT(INDEX('MiT Strom Pipeline'!$V$1:$V$860,$U139),55),""))</f>
        <v>Kunde angeschrieben, Telefoniert noch kein bedarf</v>
      </c>
      <c r="L139" s="112"/>
      <c r="M139" s="112"/>
      <c r="N139" s="112"/>
      <c r="O139" s="112"/>
      <c r="P139" s="112"/>
      <c r="Q139" s="112"/>
      <c r="R139" s="112"/>
      <c r="S139" s="112"/>
      <c r="U139" s="1" t="n">
        <f aca="false">IFERROR(MATCH(1,'MiT Strom Pipeline'!$AO$6:$AO$860,0)+5,"")</f>
        <v>51</v>
      </c>
    </row>
    <row r="140" customFormat="false" ht="15.75" hidden="false" customHeight="true" outlineLevel="0" collapsed="false">
      <c r="A140" s="128" t="str">
        <f aca="false">IF($U140="","",IF(ISNUMBER(INDEX('MiT Strom Pipeline'!$A$1:$A$860,$U140)),INDEX('MiT Strom Pipeline'!$A$1:$A$860,$U140),""))</f>
        <v/>
      </c>
      <c r="B140" s="129" t="str">
        <f aca="false">IF($U140="","",IF(INDEX('MiT Strom Pipeline'!$B$1:$B$860,$U140)="","",INDEX('MiT Strom Pipeline'!$B$1:$B$860,$U140)))</f>
        <v/>
      </c>
      <c r="C140" s="130" t="str">
        <f aca="false">IF($U140="","",IF(INDEX('MiT Strom Pipeline'!$C$1:$C$860,$U140)="","",INDEX('MiT Strom Pipeline'!$C$1:$C$860,$U140)))</f>
        <v/>
      </c>
      <c r="D140" s="129" t="str">
        <f aca="false">IF($U140="","",IF(INDEX('MiT Strom Pipeline'!$D$1:$D$860,$U140)="","",INDEX('MiT Strom Pipeline'!$D$1:$D$860,$U140)))</f>
        <v/>
      </c>
      <c r="E140" s="131" t="str">
        <f aca="false">IF($U140="","",IF(ISNUMBER(INDEX('MiT Strom Pipeline'!$O$1:$O$860,$U140)),INDEX('MiT Strom Pipeline'!$O$1:$O$860,$U140),IF(INDEX('MiT Strom Pipeline'!$H$1:$H$860,$U140)="","",INDEX('MiT Strom Pipeline'!$H$1:$H$860,$U140))))</f>
        <v/>
      </c>
      <c r="F140" s="129" t="str">
        <f aca="false">IF($U140="","",IF(INDEX('MiT Strom Pipeline'!$E$1:$E$860,$U140)="","",INDEX('MiT Strom Pipeline'!$E$1:$E$860,$U140)))</f>
        <v/>
      </c>
      <c r="G140" s="132" t="str">
        <f aca="false">IF($U140="","",IF(ISNUMBER(INDEX('MiT Strom Pipeline'!$I$1:$I$860,$U140)),INDEX('MiT Strom Pipeline'!$I$1:$I$860,$U140),0))</f>
        <v/>
      </c>
      <c r="H140" s="132" t="str">
        <f aca="false">IF($U140="","",IF(ISNUMBER(INDEX('MiT Strom Pipeline'!$Q$1:$Q$860,$U140)),INDEX('MiT Strom Pipeline'!$Q$1:$Q$860,$U140),0))</f>
        <v/>
      </c>
      <c r="I140" s="130" t="str">
        <f aca="false">IF($U140="","",INDEX('MiT Strom Pipeline'!$R$1:$R$860,$U140))</f>
        <v/>
      </c>
      <c r="J140" s="133" t="str">
        <f aca="false">IF($U140="","",IF(ISNUMBER(INDEX('MiT Strom Pipeline'!$S$1:$S$860,$U140)),INDEX('MiT Strom Pipeline'!$S$1:$S$860,$U140),""))</f>
        <v/>
      </c>
      <c r="K140" s="129" t="str">
        <f aca="false">IF($U140="","",IF(LEN(INDEX('MiT Strom Pipeline'!$V$1:$V$860,$U140))&gt;0,LEFT(INDEX('MiT Strom Pipeline'!$V$1:$V$860,$U140),55),""))</f>
        <v/>
      </c>
      <c r="L140" s="112"/>
      <c r="M140" s="112"/>
      <c r="N140" s="112"/>
      <c r="O140" s="112"/>
      <c r="P140" s="112"/>
      <c r="Q140" s="112"/>
      <c r="R140" s="112"/>
      <c r="S140" s="112"/>
      <c r="U140" s="1" t="str">
        <f aca="false">IFERROR(MATCH(2,'MiT Strom Pipeline'!$AO$6:$AO$860,0)+5,"")</f>
        <v/>
      </c>
    </row>
    <row r="141" customFormat="false" ht="15.75" hidden="false" customHeight="true" outlineLevel="0" collapsed="false">
      <c r="A141" s="128" t="str">
        <f aca="false">IF($U141="","",IF(ISNUMBER(INDEX('MiT Strom Pipeline'!$A$1:$A$860,$U141)),INDEX('MiT Strom Pipeline'!$A$1:$A$860,$U141),""))</f>
        <v/>
      </c>
      <c r="B141" s="129" t="str">
        <f aca="false">IF($U141="","",IF(INDEX('MiT Strom Pipeline'!$B$1:$B$860,$U141)="","",INDEX('MiT Strom Pipeline'!$B$1:$B$860,$U141)))</f>
        <v/>
      </c>
      <c r="C141" s="130" t="str">
        <f aca="false">IF($U141="","",IF(INDEX('MiT Strom Pipeline'!$C$1:$C$860,$U141)="","",INDEX('MiT Strom Pipeline'!$C$1:$C$860,$U141)))</f>
        <v/>
      </c>
      <c r="D141" s="129" t="str">
        <f aca="false">IF($U141="","",IF(INDEX('MiT Strom Pipeline'!$D$1:$D$860,$U141)="","",INDEX('MiT Strom Pipeline'!$D$1:$D$860,$U141)))</f>
        <v/>
      </c>
      <c r="E141" s="131" t="str">
        <f aca="false">IF($U141="","",IF(ISNUMBER(INDEX('MiT Strom Pipeline'!$O$1:$O$860,$U141)),INDEX('MiT Strom Pipeline'!$O$1:$O$860,$U141),IF(INDEX('MiT Strom Pipeline'!$H$1:$H$860,$U141)="","",INDEX('MiT Strom Pipeline'!$H$1:$H$860,$U141))))</f>
        <v/>
      </c>
      <c r="F141" s="129" t="str">
        <f aca="false">IF($U141="","",IF(INDEX('MiT Strom Pipeline'!$E$1:$E$860,$U141)="","",INDEX('MiT Strom Pipeline'!$E$1:$E$860,$U141)))</f>
        <v/>
      </c>
      <c r="G141" s="132" t="str">
        <f aca="false">IF($U141="","",IF(ISNUMBER(INDEX('MiT Strom Pipeline'!$I$1:$I$860,$U141)),INDEX('MiT Strom Pipeline'!$I$1:$I$860,$U141),0))</f>
        <v/>
      </c>
      <c r="H141" s="132" t="str">
        <f aca="false">IF($U141="","",IF(ISNUMBER(INDEX('MiT Strom Pipeline'!$Q$1:$Q$860,$U141)),INDEX('MiT Strom Pipeline'!$Q$1:$Q$860,$U141),0))</f>
        <v/>
      </c>
      <c r="I141" s="130" t="str">
        <f aca="false">IF($U141="","",INDEX('MiT Strom Pipeline'!$R$1:$R$860,$U141))</f>
        <v/>
      </c>
      <c r="J141" s="133" t="str">
        <f aca="false">IF($U141="","",IF(ISNUMBER(INDEX('MiT Strom Pipeline'!$S$1:$S$860,$U141)),INDEX('MiT Strom Pipeline'!$S$1:$S$860,$U141),""))</f>
        <v/>
      </c>
      <c r="K141" s="129" t="str">
        <f aca="false">IF($U141="","",IF(LEN(INDEX('MiT Strom Pipeline'!$V$1:$V$860,$U141))&gt;0,LEFT(INDEX('MiT Strom Pipeline'!$V$1:$V$860,$U141),55),""))</f>
        <v/>
      </c>
      <c r="L141" s="112"/>
      <c r="M141" s="112"/>
      <c r="N141" s="112"/>
      <c r="O141" s="112"/>
      <c r="P141" s="112"/>
      <c r="Q141" s="112"/>
      <c r="R141" s="112"/>
      <c r="S141" s="112"/>
      <c r="U141" s="1" t="str">
        <f aca="false">IFERROR(MATCH(3,'MiT Strom Pipeline'!$AO$6:$AO$860,0)+5,"")</f>
        <v/>
      </c>
    </row>
    <row r="142" customFormat="false" ht="15.75" hidden="false" customHeight="true" outlineLevel="0" collapsed="false">
      <c r="A142" s="128" t="str">
        <f aca="false">IF($U142="","",IF(ISNUMBER(INDEX('MiT Strom Pipeline'!$A$1:$A$860,$U142)),INDEX('MiT Strom Pipeline'!$A$1:$A$860,$U142),""))</f>
        <v/>
      </c>
      <c r="B142" s="129" t="str">
        <f aca="false">IF($U142="","",IF(INDEX('MiT Strom Pipeline'!$B$1:$B$860,$U142)="","",INDEX('MiT Strom Pipeline'!$B$1:$B$860,$U142)))</f>
        <v/>
      </c>
      <c r="C142" s="130" t="str">
        <f aca="false">IF($U142="","",IF(INDEX('MiT Strom Pipeline'!$C$1:$C$860,$U142)="","",INDEX('MiT Strom Pipeline'!$C$1:$C$860,$U142)))</f>
        <v/>
      </c>
      <c r="D142" s="129" t="str">
        <f aca="false">IF($U142="","",IF(INDEX('MiT Strom Pipeline'!$D$1:$D$860,$U142)="","",INDEX('MiT Strom Pipeline'!$D$1:$D$860,$U142)))</f>
        <v/>
      </c>
      <c r="E142" s="131" t="str">
        <f aca="false">IF($U142="","",IF(ISNUMBER(INDEX('MiT Strom Pipeline'!$O$1:$O$860,$U142)),INDEX('MiT Strom Pipeline'!$O$1:$O$860,$U142),IF(INDEX('MiT Strom Pipeline'!$H$1:$H$860,$U142)="","",INDEX('MiT Strom Pipeline'!$H$1:$H$860,$U142))))</f>
        <v/>
      </c>
      <c r="F142" s="129" t="str">
        <f aca="false">IF($U142="","",IF(INDEX('MiT Strom Pipeline'!$E$1:$E$860,$U142)="","",INDEX('MiT Strom Pipeline'!$E$1:$E$860,$U142)))</f>
        <v/>
      </c>
      <c r="G142" s="132" t="str">
        <f aca="false">IF($U142="","",IF(ISNUMBER(INDEX('MiT Strom Pipeline'!$I$1:$I$860,$U142)),INDEX('MiT Strom Pipeline'!$I$1:$I$860,$U142),0))</f>
        <v/>
      </c>
      <c r="H142" s="132" t="str">
        <f aca="false">IF($U142="","",IF(ISNUMBER(INDEX('MiT Strom Pipeline'!$Q$1:$Q$860,$U142)),INDEX('MiT Strom Pipeline'!$Q$1:$Q$860,$U142),0))</f>
        <v/>
      </c>
      <c r="I142" s="130" t="str">
        <f aca="false">IF($U142="","",INDEX('MiT Strom Pipeline'!$R$1:$R$860,$U142))</f>
        <v/>
      </c>
      <c r="J142" s="133" t="str">
        <f aca="false">IF($U142="","",IF(ISNUMBER(INDEX('MiT Strom Pipeline'!$S$1:$S$860,$U142)),INDEX('MiT Strom Pipeline'!$S$1:$S$860,$U142),""))</f>
        <v/>
      </c>
      <c r="K142" s="129" t="str">
        <f aca="false">IF($U142="","",IF(LEN(INDEX('MiT Strom Pipeline'!$V$1:$V$860,$U142))&gt;0,LEFT(INDEX('MiT Strom Pipeline'!$V$1:$V$860,$U142),55),""))</f>
        <v/>
      </c>
      <c r="L142" s="112"/>
      <c r="M142" s="112"/>
      <c r="N142" s="112"/>
      <c r="O142" s="112"/>
      <c r="P142" s="112"/>
      <c r="Q142" s="112"/>
      <c r="R142" s="112"/>
      <c r="S142" s="112"/>
      <c r="U142" s="1" t="str">
        <f aca="false">IFERROR(MATCH(4,'MiT Strom Pipeline'!$AO$6:$AO$860,0)+5,"")</f>
        <v/>
      </c>
    </row>
    <row r="143" customFormat="false" ht="15.75" hidden="false" customHeight="true" outlineLevel="0" collapsed="false">
      <c r="A143" s="128" t="str">
        <f aca="false">IF($U143="","",IF(ISNUMBER(INDEX('MiT Strom Pipeline'!$A$1:$A$860,$U143)),INDEX('MiT Strom Pipeline'!$A$1:$A$860,$U143),""))</f>
        <v/>
      </c>
      <c r="B143" s="129" t="str">
        <f aca="false">IF($U143="","",IF(INDEX('MiT Strom Pipeline'!$B$1:$B$860,$U143)="","",INDEX('MiT Strom Pipeline'!$B$1:$B$860,$U143)))</f>
        <v/>
      </c>
      <c r="C143" s="130" t="str">
        <f aca="false">IF($U143="","",IF(INDEX('MiT Strom Pipeline'!$C$1:$C$860,$U143)="","",INDEX('MiT Strom Pipeline'!$C$1:$C$860,$U143)))</f>
        <v/>
      </c>
      <c r="D143" s="129" t="str">
        <f aca="false">IF($U143="","",IF(INDEX('MiT Strom Pipeline'!$D$1:$D$860,$U143)="","",INDEX('MiT Strom Pipeline'!$D$1:$D$860,$U143)))</f>
        <v/>
      </c>
      <c r="E143" s="131" t="str">
        <f aca="false">IF($U143="","",IF(ISNUMBER(INDEX('MiT Strom Pipeline'!$O$1:$O$860,$U143)),INDEX('MiT Strom Pipeline'!$O$1:$O$860,$U143),IF(INDEX('MiT Strom Pipeline'!$H$1:$H$860,$U143)="","",INDEX('MiT Strom Pipeline'!$H$1:$H$860,$U143))))</f>
        <v/>
      </c>
      <c r="F143" s="129" t="str">
        <f aca="false">IF($U143="","",IF(INDEX('MiT Strom Pipeline'!$E$1:$E$860,$U143)="","",INDEX('MiT Strom Pipeline'!$E$1:$E$860,$U143)))</f>
        <v/>
      </c>
      <c r="G143" s="132" t="str">
        <f aca="false">IF($U143="","",IF(ISNUMBER(INDEX('MiT Strom Pipeline'!$I$1:$I$860,$U143)),INDEX('MiT Strom Pipeline'!$I$1:$I$860,$U143),0))</f>
        <v/>
      </c>
      <c r="H143" s="132" t="str">
        <f aca="false">IF($U143="","",IF(ISNUMBER(INDEX('MiT Strom Pipeline'!$Q$1:$Q$860,$U143)),INDEX('MiT Strom Pipeline'!$Q$1:$Q$860,$U143),0))</f>
        <v/>
      </c>
      <c r="I143" s="130" t="str">
        <f aca="false">IF($U143="","",INDEX('MiT Strom Pipeline'!$R$1:$R$860,$U143))</f>
        <v/>
      </c>
      <c r="J143" s="133" t="str">
        <f aca="false">IF($U143="","",IF(ISNUMBER(INDEX('MiT Strom Pipeline'!$S$1:$S$860,$U143)),INDEX('MiT Strom Pipeline'!$S$1:$S$860,$U143),""))</f>
        <v/>
      </c>
      <c r="K143" s="129" t="str">
        <f aca="false">IF($U143="","",IF(LEN(INDEX('MiT Strom Pipeline'!$V$1:$V$860,$U143))&gt;0,LEFT(INDEX('MiT Strom Pipeline'!$V$1:$V$860,$U143),55),""))</f>
        <v/>
      </c>
      <c r="L143" s="112"/>
      <c r="M143" s="112"/>
      <c r="N143" s="112"/>
      <c r="O143" s="112"/>
      <c r="P143" s="112"/>
      <c r="Q143" s="112"/>
      <c r="R143" s="112"/>
      <c r="S143" s="112"/>
      <c r="U143" s="1" t="str">
        <f aca="false">IFERROR(MATCH(5,'MiT Strom Pipeline'!$AO$6:$AO$860,0)+5,"")</f>
        <v/>
      </c>
    </row>
    <row r="144" customFormat="false" ht="15.75" hidden="false" customHeight="true" outlineLevel="0" collapsed="false">
      <c r="A144" s="128" t="str">
        <f aca="false">IF($U144="","",IF(ISNUMBER(INDEX('MiT Strom Pipeline'!$A$1:$A$860,$U144)),INDEX('MiT Strom Pipeline'!$A$1:$A$860,$U144),""))</f>
        <v/>
      </c>
      <c r="B144" s="129" t="str">
        <f aca="false">IF($U144="","",IF(INDEX('MiT Strom Pipeline'!$B$1:$B$860,$U144)="","",INDEX('MiT Strom Pipeline'!$B$1:$B$860,$U144)))</f>
        <v/>
      </c>
      <c r="C144" s="130" t="str">
        <f aca="false">IF($U144="","",IF(INDEX('MiT Strom Pipeline'!$C$1:$C$860,$U144)="","",INDEX('MiT Strom Pipeline'!$C$1:$C$860,$U144)))</f>
        <v/>
      </c>
      <c r="D144" s="129" t="str">
        <f aca="false">IF($U144="","",IF(INDEX('MiT Strom Pipeline'!$D$1:$D$860,$U144)="","",INDEX('MiT Strom Pipeline'!$D$1:$D$860,$U144)))</f>
        <v/>
      </c>
      <c r="E144" s="131" t="str">
        <f aca="false">IF($U144="","",IF(ISNUMBER(INDEX('MiT Strom Pipeline'!$O$1:$O$860,$U144)),INDEX('MiT Strom Pipeline'!$O$1:$O$860,$U144),IF(INDEX('MiT Strom Pipeline'!$H$1:$H$860,$U144)="","",INDEX('MiT Strom Pipeline'!$H$1:$H$860,$U144))))</f>
        <v/>
      </c>
      <c r="F144" s="129" t="str">
        <f aca="false">IF($U144="","",IF(INDEX('MiT Strom Pipeline'!$E$1:$E$860,$U144)="","",INDEX('MiT Strom Pipeline'!$E$1:$E$860,$U144)))</f>
        <v/>
      </c>
      <c r="G144" s="132" t="str">
        <f aca="false">IF($U144="","",IF(ISNUMBER(INDEX('MiT Strom Pipeline'!$I$1:$I$860,$U144)),INDEX('MiT Strom Pipeline'!$I$1:$I$860,$U144),0))</f>
        <v/>
      </c>
      <c r="H144" s="132" t="str">
        <f aca="false">IF($U144="","",IF(ISNUMBER(INDEX('MiT Strom Pipeline'!$Q$1:$Q$860,$U144)),INDEX('MiT Strom Pipeline'!$Q$1:$Q$860,$U144),0))</f>
        <v/>
      </c>
      <c r="I144" s="130" t="str">
        <f aca="false">IF($U144="","",INDEX('MiT Strom Pipeline'!$R$1:$R$860,$U144))</f>
        <v/>
      </c>
      <c r="J144" s="133" t="str">
        <f aca="false">IF($U144="","",IF(ISNUMBER(INDEX('MiT Strom Pipeline'!$S$1:$S$860,$U144)),INDEX('MiT Strom Pipeline'!$S$1:$S$860,$U144),""))</f>
        <v/>
      </c>
      <c r="K144" s="129" t="str">
        <f aca="false">IF($U144="","",IF(LEN(INDEX('MiT Strom Pipeline'!$V$1:$V$860,$U144))&gt;0,LEFT(INDEX('MiT Strom Pipeline'!$V$1:$V$860,$U144),55),""))</f>
        <v/>
      </c>
      <c r="L144" s="112"/>
      <c r="M144" s="112"/>
      <c r="N144" s="112"/>
      <c r="O144" s="112"/>
      <c r="P144" s="112"/>
      <c r="Q144" s="112"/>
      <c r="R144" s="112"/>
      <c r="S144" s="112"/>
      <c r="U144" s="1" t="str">
        <f aca="false">IFERROR(MATCH(6,'MiT Strom Pipeline'!$AO$6:$AO$860,0)+5,"")</f>
        <v/>
      </c>
    </row>
    <row r="145" customFormat="false" ht="15.75" hidden="false" customHeight="true" outlineLevel="0" collapsed="false">
      <c r="A145" s="128" t="str">
        <f aca="false">IF($U145="","",IF(ISNUMBER(INDEX('MiT Strom Pipeline'!$A$1:$A$860,$U145)),INDEX('MiT Strom Pipeline'!$A$1:$A$860,$U145),""))</f>
        <v/>
      </c>
      <c r="B145" s="129" t="str">
        <f aca="false">IF($U145="","",IF(INDEX('MiT Strom Pipeline'!$B$1:$B$860,$U145)="","",INDEX('MiT Strom Pipeline'!$B$1:$B$860,$U145)))</f>
        <v/>
      </c>
      <c r="C145" s="130" t="str">
        <f aca="false">IF($U145="","",IF(INDEX('MiT Strom Pipeline'!$C$1:$C$860,$U145)="","",INDEX('MiT Strom Pipeline'!$C$1:$C$860,$U145)))</f>
        <v/>
      </c>
      <c r="D145" s="129" t="str">
        <f aca="false">IF($U145="","",IF(INDEX('MiT Strom Pipeline'!$D$1:$D$860,$U145)="","",INDEX('MiT Strom Pipeline'!$D$1:$D$860,$U145)))</f>
        <v/>
      </c>
      <c r="E145" s="131" t="str">
        <f aca="false">IF($U145="","",IF(ISNUMBER(INDEX('MiT Strom Pipeline'!$O$1:$O$860,$U145)),INDEX('MiT Strom Pipeline'!$O$1:$O$860,$U145),IF(INDEX('MiT Strom Pipeline'!$H$1:$H$860,$U145)="","",INDEX('MiT Strom Pipeline'!$H$1:$H$860,$U145))))</f>
        <v/>
      </c>
      <c r="F145" s="129" t="str">
        <f aca="false">IF($U145="","",IF(INDEX('MiT Strom Pipeline'!$E$1:$E$860,$U145)="","",INDEX('MiT Strom Pipeline'!$E$1:$E$860,$U145)))</f>
        <v/>
      </c>
      <c r="G145" s="132" t="str">
        <f aca="false">IF($U145="","",IF(ISNUMBER(INDEX('MiT Strom Pipeline'!$I$1:$I$860,$U145)),INDEX('MiT Strom Pipeline'!$I$1:$I$860,$U145),0))</f>
        <v/>
      </c>
      <c r="H145" s="132" t="str">
        <f aca="false">IF($U145="","",IF(ISNUMBER(INDEX('MiT Strom Pipeline'!$Q$1:$Q$860,$U145)),INDEX('MiT Strom Pipeline'!$Q$1:$Q$860,$U145),0))</f>
        <v/>
      </c>
      <c r="I145" s="130" t="str">
        <f aca="false">IF($U145="","",INDEX('MiT Strom Pipeline'!$R$1:$R$860,$U145))</f>
        <v/>
      </c>
      <c r="J145" s="133" t="str">
        <f aca="false">IF($U145="","",IF(ISNUMBER(INDEX('MiT Strom Pipeline'!$S$1:$S$860,$U145)),INDEX('MiT Strom Pipeline'!$S$1:$S$860,$U145),""))</f>
        <v/>
      </c>
      <c r="K145" s="129" t="str">
        <f aca="false">IF($U145="","",IF(LEN(INDEX('MiT Strom Pipeline'!$V$1:$V$860,$U145))&gt;0,LEFT(INDEX('MiT Strom Pipeline'!$V$1:$V$860,$U145),55),""))</f>
        <v/>
      </c>
      <c r="L145" s="112"/>
      <c r="M145" s="112"/>
      <c r="N145" s="112"/>
      <c r="O145" s="112"/>
      <c r="P145" s="112"/>
      <c r="Q145" s="112"/>
      <c r="R145" s="112"/>
      <c r="S145" s="112"/>
      <c r="U145" s="1" t="str">
        <f aca="false">IFERROR(MATCH(7,'MiT Strom Pipeline'!$AO$6:$AO$860,0)+5,"")</f>
        <v/>
      </c>
    </row>
    <row r="146" customFormat="false" ht="15.75" hidden="false" customHeight="true" outlineLevel="0" collapsed="false">
      <c r="A146" s="128" t="str">
        <f aca="false">IF($U146="","",IF(ISNUMBER(INDEX('MiT Strom Pipeline'!$A$1:$A$860,$U146)),INDEX('MiT Strom Pipeline'!$A$1:$A$860,$U146),""))</f>
        <v/>
      </c>
      <c r="B146" s="129" t="str">
        <f aca="false">IF($U146="","",IF(INDEX('MiT Strom Pipeline'!$B$1:$B$860,$U146)="","",INDEX('MiT Strom Pipeline'!$B$1:$B$860,$U146)))</f>
        <v/>
      </c>
      <c r="C146" s="130" t="str">
        <f aca="false">IF($U146="","",IF(INDEX('MiT Strom Pipeline'!$C$1:$C$860,$U146)="","",INDEX('MiT Strom Pipeline'!$C$1:$C$860,$U146)))</f>
        <v/>
      </c>
      <c r="D146" s="129" t="str">
        <f aca="false">IF($U146="","",IF(INDEX('MiT Strom Pipeline'!$D$1:$D$860,$U146)="","",INDEX('MiT Strom Pipeline'!$D$1:$D$860,$U146)))</f>
        <v/>
      </c>
      <c r="E146" s="131" t="str">
        <f aca="false">IF($U146="","",IF(ISNUMBER(INDEX('MiT Strom Pipeline'!$O$1:$O$860,$U146)),INDEX('MiT Strom Pipeline'!$O$1:$O$860,$U146),IF(INDEX('MiT Strom Pipeline'!$H$1:$H$860,$U146)="","",INDEX('MiT Strom Pipeline'!$H$1:$H$860,$U146))))</f>
        <v/>
      </c>
      <c r="F146" s="129" t="str">
        <f aca="false">IF($U146="","",IF(INDEX('MiT Strom Pipeline'!$E$1:$E$860,$U146)="","",INDEX('MiT Strom Pipeline'!$E$1:$E$860,$U146)))</f>
        <v/>
      </c>
      <c r="G146" s="132" t="str">
        <f aca="false">IF($U146="","",IF(ISNUMBER(INDEX('MiT Strom Pipeline'!$I$1:$I$860,$U146)),INDEX('MiT Strom Pipeline'!$I$1:$I$860,$U146),0))</f>
        <v/>
      </c>
      <c r="H146" s="132" t="str">
        <f aca="false">IF($U146="","",IF(ISNUMBER(INDEX('MiT Strom Pipeline'!$Q$1:$Q$860,$U146)),INDEX('MiT Strom Pipeline'!$Q$1:$Q$860,$U146),0))</f>
        <v/>
      </c>
      <c r="I146" s="130" t="str">
        <f aca="false">IF($U146="","",INDEX('MiT Strom Pipeline'!$R$1:$R$860,$U146))</f>
        <v/>
      </c>
      <c r="J146" s="133" t="str">
        <f aca="false">IF($U146="","",IF(ISNUMBER(INDEX('MiT Strom Pipeline'!$S$1:$S$860,$U146)),INDEX('MiT Strom Pipeline'!$S$1:$S$860,$U146),""))</f>
        <v/>
      </c>
      <c r="K146" s="129" t="str">
        <f aca="false">IF($U146="","",IF(LEN(INDEX('MiT Strom Pipeline'!$V$1:$V$860,$U146))&gt;0,LEFT(INDEX('MiT Strom Pipeline'!$V$1:$V$860,$U146),55),""))</f>
        <v/>
      </c>
      <c r="L146" s="112"/>
      <c r="M146" s="112"/>
      <c r="N146" s="112"/>
      <c r="O146" s="112"/>
      <c r="P146" s="112"/>
      <c r="Q146" s="112"/>
      <c r="R146" s="112"/>
      <c r="S146" s="112"/>
      <c r="U146" s="1" t="str">
        <f aca="false">IFERROR(MATCH(8,'MiT Strom Pipeline'!$AO$6:$AO$860,0)+5,"")</f>
        <v/>
      </c>
    </row>
    <row r="147" customFormat="false" ht="15.75" hidden="false" customHeight="true" outlineLevel="0" collapsed="false">
      <c r="A147" s="128" t="str">
        <f aca="false">IF($U147="","",IF(ISNUMBER(INDEX('MiT Strom Pipeline'!$A$1:$A$860,$U147)),INDEX('MiT Strom Pipeline'!$A$1:$A$860,$U147),""))</f>
        <v/>
      </c>
      <c r="B147" s="129" t="str">
        <f aca="false">IF($U147="","",IF(INDEX('MiT Strom Pipeline'!$B$1:$B$860,$U147)="","",INDEX('MiT Strom Pipeline'!$B$1:$B$860,$U147)))</f>
        <v/>
      </c>
      <c r="C147" s="130" t="str">
        <f aca="false">IF($U147="","",IF(INDEX('MiT Strom Pipeline'!$C$1:$C$860,$U147)="","",INDEX('MiT Strom Pipeline'!$C$1:$C$860,$U147)))</f>
        <v/>
      </c>
      <c r="D147" s="129" t="str">
        <f aca="false">IF($U147="","",IF(INDEX('MiT Strom Pipeline'!$D$1:$D$860,$U147)="","",INDEX('MiT Strom Pipeline'!$D$1:$D$860,$U147)))</f>
        <v/>
      </c>
      <c r="E147" s="131" t="str">
        <f aca="false">IF($U147="","",IF(ISNUMBER(INDEX('MiT Strom Pipeline'!$O$1:$O$860,$U147)),INDEX('MiT Strom Pipeline'!$O$1:$O$860,$U147),IF(INDEX('MiT Strom Pipeline'!$H$1:$H$860,$U147)="","",INDEX('MiT Strom Pipeline'!$H$1:$H$860,$U147))))</f>
        <v/>
      </c>
      <c r="F147" s="129" t="str">
        <f aca="false">IF($U147="","",IF(INDEX('MiT Strom Pipeline'!$E$1:$E$860,$U147)="","",INDEX('MiT Strom Pipeline'!$E$1:$E$860,$U147)))</f>
        <v/>
      </c>
      <c r="G147" s="132" t="str">
        <f aca="false">IF($U147="","",IF(ISNUMBER(INDEX('MiT Strom Pipeline'!$I$1:$I$860,$U147)),INDEX('MiT Strom Pipeline'!$I$1:$I$860,$U147),0))</f>
        <v/>
      </c>
      <c r="H147" s="132" t="str">
        <f aca="false">IF($U147="","",IF(ISNUMBER(INDEX('MiT Strom Pipeline'!$Q$1:$Q$860,$U147)),INDEX('MiT Strom Pipeline'!$Q$1:$Q$860,$U147),0))</f>
        <v/>
      </c>
      <c r="I147" s="130" t="str">
        <f aca="false">IF($U147="","",INDEX('MiT Strom Pipeline'!$R$1:$R$860,$U147))</f>
        <v/>
      </c>
      <c r="J147" s="133" t="str">
        <f aca="false">IF($U147="","",IF(ISNUMBER(INDEX('MiT Strom Pipeline'!$S$1:$S$860,$U147)),INDEX('MiT Strom Pipeline'!$S$1:$S$860,$U147),""))</f>
        <v/>
      </c>
      <c r="K147" s="129" t="str">
        <f aca="false">IF($U147="","",IF(LEN(INDEX('MiT Strom Pipeline'!$V$1:$V$860,$U147))&gt;0,LEFT(INDEX('MiT Strom Pipeline'!$V$1:$V$860,$U147),55),""))</f>
        <v/>
      </c>
      <c r="L147" s="112"/>
      <c r="M147" s="112"/>
      <c r="N147" s="112"/>
      <c r="O147" s="112"/>
      <c r="P147" s="112"/>
      <c r="Q147" s="112"/>
      <c r="R147" s="112"/>
      <c r="S147" s="112"/>
      <c r="U147" s="1" t="str">
        <f aca="false">IFERROR(MATCH(9,'MiT Strom Pipeline'!$AO$6:$AO$860,0)+5,"")</f>
        <v/>
      </c>
    </row>
    <row r="148" customFormat="false" ht="15.75" hidden="false" customHeight="true" outlineLevel="0" collapsed="false">
      <c r="A148" s="128" t="str">
        <f aca="false">IF($U148="","",IF(ISNUMBER(INDEX('MiT Strom Pipeline'!$A$1:$A$860,$U148)),INDEX('MiT Strom Pipeline'!$A$1:$A$860,$U148),""))</f>
        <v/>
      </c>
      <c r="B148" s="129" t="str">
        <f aca="false">IF($U148="","",IF(INDEX('MiT Strom Pipeline'!$B$1:$B$860,$U148)="","",INDEX('MiT Strom Pipeline'!$B$1:$B$860,$U148)))</f>
        <v/>
      </c>
      <c r="C148" s="130" t="str">
        <f aca="false">IF($U148="","",IF(INDEX('MiT Strom Pipeline'!$C$1:$C$860,$U148)="","",INDEX('MiT Strom Pipeline'!$C$1:$C$860,$U148)))</f>
        <v/>
      </c>
      <c r="D148" s="129" t="str">
        <f aca="false">IF($U148="","",IF(INDEX('MiT Strom Pipeline'!$D$1:$D$860,$U148)="","",INDEX('MiT Strom Pipeline'!$D$1:$D$860,$U148)))</f>
        <v/>
      </c>
      <c r="E148" s="131" t="str">
        <f aca="false">IF($U148="","",IF(ISNUMBER(INDEX('MiT Strom Pipeline'!$O$1:$O$860,$U148)),INDEX('MiT Strom Pipeline'!$O$1:$O$860,$U148),IF(INDEX('MiT Strom Pipeline'!$H$1:$H$860,$U148)="","",INDEX('MiT Strom Pipeline'!$H$1:$H$860,$U148))))</f>
        <v/>
      </c>
      <c r="F148" s="129" t="str">
        <f aca="false">IF($U148="","",IF(INDEX('MiT Strom Pipeline'!$E$1:$E$860,$U148)="","",INDEX('MiT Strom Pipeline'!$E$1:$E$860,$U148)))</f>
        <v/>
      </c>
      <c r="G148" s="132" t="str">
        <f aca="false">IF($U148="","",IF(ISNUMBER(INDEX('MiT Strom Pipeline'!$I$1:$I$860,$U148)),INDEX('MiT Strom Pipeline'!$I$1:$I$860,$U148),0))</f>
        <v/>
      </c>
      <c r="H148" s="132" t="str">
        <f aca="false">IF($U148="","",IF(ISNUMBER(INDEX('MiT Strom Pipeline'!$Q$1:$Q$860,$U148)),INDEX('MiT Strom Pipeline'!$Q$1:$Q$860,$U148),0))</f>
        <v/>
      </c>
      <c r="I148" s="130" t="str">
        <f aca="false">IF($U148="","",INDEX('MiT Strom Pipeline'!$R$1:$R$860,$U148))</f>
        <v/>
      </c>
      <c r="J148" s="133" t="str">
        <f aca="false">IF($U148="","",IF(ISNUMBER(INDEX('MiT Strom Pipeline'!$S$1:$S$860,$U148)),INDEX('MiT Strom Pipeline'!$S$1:$S$860,$U148),""))</f>
        <v/>
      </c>
      <c r="K148" s="129" t="str">
        <f aca="false">IF($U148="","",IF(LEN(INDEX('MiT Strom Pipeline'!$V$1:$V$860,$U148))&gt;0,LEFT(INDEX('MiT Strom Pipeline'!$V$1:$V$860,$U148),55),""))</f>
        <v/>
      </c>
      <c r="L148" s="112"/>
      <c r="M148" s="112"/>
      <c r="N148" s="112"/>
      <c r="O148" s="112"/>
      <c r="P148" s="112"/>
      <c r="Q148" s="112"/>
      <c r="R148" s="112"/>
      <c r="S148" s="112"/>
      <c r="U148" s="1" t="str">
        <f aca="false">IFERROR(MATCH(10,'MiT Strom Pipeline'!$AO$6:$AO$860,0)+5,"")</f>
        <v/>
      </c>
    </row>
    <row r="149" customFormat="false" ht="15.75" hidden="false" customHeight="true" outlineLevel="0" collapsed="false">
      <c r="A149" s="128" t="str">
        <f aca="false">IF($U149="","",IF(ISNUMBER(INDEX('MiT Strom Pipeline'!$A$1:$A$860,$U149)),INDEX('MiT Strom Pipeline'!$A$1:$A$860,$U149),""))</f>
        <v/>
      </c>
      <c r="B149" s="129" t="str">
        <f aca="false">IF($U149="","",IF(INDEX('MiT Strom Pipeline'!$B$1:$B$860,$U149)="","",INDEX('MiT Strom Pipeline'!$B$1:$B$860,$U149)))</f>
        <v/>
      </c>
      <c r="C149" s="130" t="str">
        <f aca="false">IF($U149="","",IF(INDEX('MiT Strom Pipeline'!$C$1:$C$860,$U149)="","",INDEX('MiT Strom Pipeline'!$C$1:$C$860,$U149)))</f>
        <v/>
      </c>
      <c r="D149" s="129" t="str">
        <f aca="false">IF($U149="","",IF(INDEX('MiT Strom Pipeline'!$D$1:$D$860,$U149)="","",INDEX('MiT Strom Pipeline'!$D$1:$D$860,$U149)))</f>
        <v/>
      </c>
      <c r="E149" s="131" t="str">
        <f aca="false">IF($U149="","",IF(ISNUMBER(INDEX('MiT Strom Pipeline'!$O$1:$O$860,$U149)),INDEX('MiT Strom Pipeline'!$O$1:$O$860,$U149),IF(INDEX('MiT Strom Pipeline'!$H$1:$H$860,$U149)="","",INDEX('MiT Strom Pipeline'!$H$1:$H$860,$U149))))</f>
        <v/>
      </c>
      <c r="F149" s="129" t="str">
        <f aca="false">IF($U149="","",IF(INDEX('MiT Strom Pipeline'!$E$1:$E$860,$U149)="","",INDEX('MiT Strom Pipeline'!$E$1:$E$860,$U149)))</f>
        <v/>
      </c>
      <c r="G149" s="132" t="str">
        <f aca="false">IF($U149="","",IF(ISNUMBER(INDEX('MiT Strom Pipeline'!$I$1:$I$860,$U149)),INDEX('MiT Strom Pipeline'!$I$1:$I$860,$U149),0))</f>
        <v/>
      </c>
      <c r="H149" s="132" t="str">
        <f aca="false">IF($U149="","",IF(ISNUMBER(INDEX('MiT Strom Pipeline'!$Q$1:$Q$860,$U149)),INDEX('MiT Strom Pipeline'!$Q$1:$Q$860,$U149),0))</f>
        <v/>
      </c>
      <c r="I149" s="130" t="str">
        <f aca="false">IF($U149="","",INDEX('MiT Strom Pipeline'!$R$1:$R$860,$U149))</f>
        <v/>
      </c>
      <c r="J149" s="133" t="str">
        <f aca="false">IF($U149="","",IF(ISNUMBER(INDEX('MiT Strom Pipeline'!$S$1:$S$860,$U149)),INDEX('MiT Strom Pipeline'!$S$1:$S$860,$U149),""))</f>
        <v/>
      </c>
      <c r="K149" s="129" t="str">
        <f aca="false">IF($U149="","",IF(LEN(INDEX('MiT Strom Pipeline'!$V$1:$V$860,$U149))&gt;0,LEFT(INDEX('MiT Strom Pipeline'!$V$1:$V$860,$U149),55),""))</f>
        <v/>
      </c>
      <c r="L149" s="112"/>
      <c r="M149" s="112"/>
      <c r="N149" s="112"/>
      <c r="O149" s="112"/>
      <c r="P149" s="112"/>
      <c r="Q149" s="112"/>
      <c r="R149" s="112"/>
      <c r="S149" s="112"/>
      <c r="U149" s="1" t="str">
        <f aca="false">IFERROR(MATCH(11,'MiT Strom Pipeline'!$AO$6:$AO$860,0)+5,"")</f>
        <v/>
      </c>
    </row>
    <row r="150" customFormat="false" ht="15.75" hidden="false" customHeight="true" outlineLevel="0" collapsed="false">
      <c r="A150" s="128" t="str">
        <f aca="false">IF($U150="","",IF(ISNUMBER(INDEX('MiT Strom Pipeline'!$A$1:$A$860,$U150)),INDEX('MiT Strom Pipeline'!$A$1:$A$860,$U150),""))</f>
        <v/>
      </c>
      <c r="B150" s="129" t="str">
        <f aca="false">IF($U150="","",IF(INDEX('MiT Strom Pipeline'!$B$1:$B$860,$U150)="","",INDEX('MiT Strom Pipeline'!$B$1:$B$860,$U150)))</f>
        <v/>
      </c>
      <c r="C150" s="130" t="str">
        <f aca="false">IF($U150="","",IF(INDEX('MiT Strom Pipeline'!$C$1:$C$860,$U150)="","",INDEX('MiT Strom Pipeline'!$C$1:$C$860,$U150)))</f>
        <v/>
      </c>
      <c r="D150" s="129" t="str">
        <f aca="false">IF($U150="","",IF(INDEX('MiT Strom Pipeline'!$D$1:$D$860,$U150)="","",INDEX('MiT Strom Pipeline'!$D$1:$D$860,$U150)))</f>
        <v/>
      </c>
      <c r="E150" s="131" t="str">
        <f aca="false">IF($U150="","",IF(ISNUMBER(INDEX('MiT Strom Pipeline'!$O$1:$O$860,$U150)),INDEX('MiT Strom Pipeline'!$O$1:$O$860,$U150),IF(INDEX('MiT Strom Pipeline'!$H$1:$H$860,$U150)="","",INDEX('MiT Strom Pipeline'!$H$1:$H$860,$U150))))</f>
        <v/>
      </c>
      <c r="F150" s="129" t="str">
        <f aca="false">IF($U150="","",IF(INDEX('MiT Strom Pipeline'!$E$1:$E$860,$U150)="","",INDEX('MiT Strom Pipeline'!$E$1:$E$860,$U150)))</f>
        <v/>
      </c>
      <c r="G150" s="132" t="str">
        <f aca="false">IF($U150="","",IF(ISNUMBER(INDEX('MiT Strom Pipeline'!$I$1:$I$860,$U150)),INDEX('MiT Strom Pipeline'!$I$1:$I$860,$U150),0))</f>
        <v/>
      </c>
      <c r="H150" s="132" t="str">
        <f aca="false">IF($U150="","",IF(ISNUMBER(INDEX('MiT Strom Pipeline'!$Q$1:$Q$860,$U150)),INDEX('MiT Strom Pipeline'!$Q$1:$Q$860,$U150),0))</f>
        <v/>
      </c>
      <c r="I150" s="130" t="str">
        <f aca="false">IF($U150="","",INDEX('MiT Strom Pipeline'!$R$1:$R$860,$U150))</f>
        <v/>
      </c>
      <c r="J150" s="133" t="str">
        <f aca="false">IF($U150="","",IF(ISNUMBER(INDEX('MiT Strom Pipeline'!$S$1:$S$860,$U150)),INDEX('MiT Strom Pipeline'!$S$1:$S$860,$U150),""))</f>
        <v/>
      </c>
      <c r="K150" s="129" t="str">
        <f aca="false">IF($U150="","",IF(LEN(INDEX('MiT Strom Pipeline'!$V$1:$V$860,$U150))&gt;0,LEFT(INDEX('MiT Strom Pipeline'!$V$1:$V$860,$U150),55),""))</f>
        <v/>
      </c>
      <c r="L150" s="112"/>
      <c r="M150" s="112"/>
      <c r="N150" s="112"/>
      <c r="O150" s="112"/>
      <c r="P150" s="112"/>
      <c r="Q150" s="112"/>
      <c r="R150" s="112"/>
      <c r="S150" s="112"/>
      <c r="U150" s="1" t="str">
        <f aca="false">IFERROR(MATCH(12,'MiT Strom Pipeline'!$AO$6:$AO$860,0)+5,"")</f>
        <v/>
      </c>
    </row>
    <row r="151" customFormat="false" ht="15.75" hidden="false" customHeight="true" outlineLevel="0" collapsed="false">
      <c r="A151" s="128" t="str">
        <f aca="false">IF($U151="","",IF(ISNUMBER(INDEX('MiT Strom Pipeline'!$A$1:$A$860,$U151)),INDEX('MiT Strom Pipeline'!$A$1:$A$860,$U151),""))</f>
        <v/>
      </c>
      <c r="B151" s="129" t="str">
        <f aca="false">IF($U151="","",IF(INDEX('MiT Strom Pipeline'!$B$1:$B$860,$U151)="","",INDEX('MiT Strom Pipeline'!$B$1:$B$860,$U151)))</f>
        <v/>
      </c>
      <c r="C151" s="130" t="str">
        <f aca="false">IF($U151="","",IF(INDEX('MiT Strom Pipeline'!$C$1:$C$860,$U151)="","",INDEX('MiT Strom Pipeline'!$C$1:$C$860,$U151)))</f>
        <v/>
      </c>
      <c r="D151" s="129" t="str">
        <f aca="false">IF($U151="","",IF(INDEX('MiT Strom Pipeline'!$D$1:$D$860,$U151)="","",INDEX('MiT Strom Pipeline'!$D$1:$D$860,$U151)))</f>
        <v/>
      </c>
      <c r="E151" s="131" t="str">
        <f aca="false">IF($U151="","",IF(ISNUMBER(INDEX('MiT Strom Pipeline'!$O$1:$O$860,$U151)),INDEX('MiT Strom Pipeline'!$O$1:$O$860,$U151),IF(INDEX('MiT Strom Pipeline'!$H$1:$H$860,$U151)="","",INDEX('MiT Strom Pipeline'!$H$1:$H$860,$U151))))</f>
        <v/>
      </c>
      <c r="F151" s="129" t="str">
        <f aca="false">IF($U151="","",IF(INDEX('MiT Strom Pipeline'!$E$1:$E$860,$U151)="","",INDEX('MiT Strom Pipeline'!$E$1:$E$860,$U151)))</f>
        <v/>
      </c>
      <c r="G151" s="132" t="str">
        <f aca="false">IF($U151="","",IF(ISNUMBER(INDEX('MiT Strom Pipeline'!$I$1:$I$860,$U151)),INDEX('MiT Strom Pipeline'!$I$1:$I$860,$U151),0))</f>
        <v/>
      </c>
      <c r="H151" s="132" t="str">
        <f aca="false">IF($U151="","",IF(ISNUMBER(INDEX('MiT Strom Pipeline'!$Q$1:$Q$860,$U151)),INDEX('MiT Strom Pipeline'!$Q$1:$Q$860,$U151),0))</f>
        <v/>
      </c>
      <c r="I151" s="130" t="str">
        <f aca="false">IF($U151="","",INDEX('MiT Strom Pipeline'!$R$1:$R$860,$U151))</f>
        <v/>
      </c>
      <c r="J151" s="133" t="str">
        <f aca="false">IF($U151="","",IF(ISNUMBER(INDEX('MiT Strom Pipeline'!$S$1:$S$860,$U151)),INDEX('MiT Strom Pipeline'!$S$1:$S$860,$U151),""))</f>
        <v/>
      </c>
      <c r="K151" s="129" t="str">
        <f aca="false">IF($U151="","",IF(LEN(INDEX('MiT Strom Pipeline'!$V$1:$V$860,$U151))&gt;0,LEFT(INDEX('MiT Strom Pipeline'!$V$1:$V$860,$U151),55),""))</f>
        <v/>
      </c>
      <c r="L151" s="112"/>
      <c r="M151" s="112"/>
      <c r="N151" s="112"/>
      <c r="O151" s="112"/>
      <c r="P151" s="112"/>
      <c r="Q151" s="112"/>
      <c r="R151" s="112"/>
      <c r="S151" s="112"/>
      <c r="U151" s="1" t="str">
        <f aca="false">IFERROR(MATCH(13,'MiT Strom Pipeline'!$AO$6:$AO$860,0)+5,"")</f>
        <v/>
      </c>
    </row>
    <row r="152" customFormat="false" ht="15.75" hidden="false" customHeight="true" outlineLevel="0" collapsed="false">
      <c r="A152" s="128" t="str">
        <f aca="false">IF($U152="","",IF(ISNUMBER(INDEX('MiT Strom Pipeline'!$A$1:$A$860,$U152)),INDEX('MiT Strom Pipeline'!$A$1:$A$860,$U152),""))</f>
        <v/>
      </c>
      <c r="B152" s="129" t="str">
        <f aca="false">IF($U152="","",IF(INDEX('MiT Strom Pipeline'!$B$1:$B$860,$U152)="","",INDEX('MiT Strom Pipeline'!$B$1:$B$860,$U152)))</f>
        <v/>
      </c>
      <c r="C152" s="130" t="str">
        <f aca="false">IF($U152="","",IF(INDEX('MiT Strom Pipeline'!$C$1:$C$860,$U152)="","",INDEX('MiT Strom Pipeline'!$C$1:$C$860,$U152)))</f>
        <v/>
      </c>
      <c r="D152" s="129" t="str">
        <f aca="false">IF($U152="","",IF(INDEX('MiT Strom Pipeline'!$D$1:$D$860,$U152)="","",INDEX('MiT Strom Pipeline'!$D$1:$D$860,$U152)))</f>
        <v/>
      </c>
      <c r="E152" s="131" t="str">
        <f aca="false">IF($U152="","",IF(ISNUMBER(INDEX('MiT Strom Pipeline'!$O$1:$O$860,$U152)),INDEX('MiT Strom Pipeline'!$O$1:$O$860,$U152),IF(INDEX('MiT Strom Pipeline'!$H$1:$H$860,$U152)="","",INDEX('MiT Strom Pipeline'!$H$1:$H$860,$U152))))</f>
        <v/>
      </c>
      <c r="F152" s="129" t="str">
        <f aca="false">IF($U152="","",IF(INDEX('MiT Strom Pipeline'!$E$1:$E$860,$U152)="","",INDEX('MiT Strom Pipeline'!$E$1:$E$860,$U152)))</f>
        <v/>
      </c>
      <c r="G152" s="132" t="str">
        <f aca="false">IF($U152="","",IF(ISNUMBER(INDEX('MiT Strom Pipeline'!$I$1:$I$860,$U152)),INDEX('MiT Strom Pipeline'!$I$1:$I$860,$U152),0))</f>
        <v/>
      </c>
      <c r="H152" s="132" t="str">
        <f aca="false">IF($U152="","",IF(ISNUMBER(INDEX('MiT Strom Pipeline'!$Q$1:$Q$860,$U152)),INDEX('MiT Strom Pipeline'!$Q$1:$Q$860,$U152),0))</f>
        <v/>
      </c>
      <c r="I152" s="130" t="str">
        <f aca="false">IF($U152="","",INDEX('MiT Strom Pipeline'!$R$1:$R$860,$U152))</f>
        <v/>
      </c>
      <c r="J152" s="133" t="str">
        <f aca="false">IF($U152="","",IF(ISNUMBER(INDEX('MiT Strom Pipeline'!$S$1:$S$860,$U152)),INDEX('MiT Strom Pipeline'!$S$1:$S$860,$U152),""))</f>
        <v/>
      </c>
      <c r="K152" s="129" t="str">
        <f aca="false">IF($U152="","",IF(LEN(INDEX('MiT Strom Pipeline'!$V$1:$V$860,$U152))&gt;0,LEFT(INDEX('MiT Strom Pipeline'!$V$1:$V$860,$U152),55),""))</f>
        <v/>
      </c>
      <c r="L152" s="112"/>
      <c r="M152" s="112"/>
      <c r="N152" s="112"/>
      <c r="O152" s="112"/>
      <c r="P152" s="112"/>
      <c r="Q152" s="112"/>
      <c r="R152" s="112"/>
      <c r="S152" s="112"/>
      <c r="U152" s="1" t="str">
        <f aca="false">IFERROR(MATCH(14,'MiT Strom Pipeline'!$AO$6:$AO$860,0)+5,"")</f>
        <v/>
      </c>
    </row>
    <row r="153" customFormat="false" ht="15.75" hidden="false" customHeight="true" outlineLevel="0" collapsed="false">
      <c r="A153" s="128" t="str">
        <f aca="false">IF($U153="","",IF(ISNUMBER(INDEX('MiT Strom Pipeline'!$A$1:$A$860,$U153)),INDEX('MiT Strom Pipeline'!$A$1:$A$860,$U153),""))</f>
        <v/>
      </c>
      <c r="B153" s="129" t="str">
        <f aca="false">IF($U153="","",IF(INDEX('MiT Strom Pipeline'!$B$1:$B$860,$U153)="","",INDEX('MiT Strom Pipeline'!$B$1:$B$860,$U153)))</f>
        <v/>
      </c>
      <c r="C153" s="130" t="str">
        <f aca="false">IF($U153="","",IF(INDEX('MiT Strom Pipeline'!$C$1:$C$860,$U153)="","",INDEX('MiT Strom Pipeline'!$C$1:$C$860,$U153)))</f>
        <v/>
      </c>
      <c r="D153" s="129" t="str">
        <f aca="false">IF($U153="","",IF(INDEX('MiT Strom Pipeline'!$D$1:$D$860,$U153)="","",INDEX('MiT Strom Pipeline'!$D$1:$D$860,$U153)))</f>
        <v/>
      </c>
      <c r="E153" s="131" t="str">
        <f aca="false">IF($U153="","",IF(ISNUMBER(INDEX('MiT Strom Pipeline'!$O$1:$O$860,$U153)),INDEX('MiT Strom Pipeline'!$O$1:$O$860,$U153),IF(INDEX('MiT Strom Pipeline'!$H$1:$H$860,$U153)="","",INDEX('MiT Strom Pipeline'!$H$1:$H$860,$U153))))</f>
        <v/>
      </c>
      <c r="F153" s="129" t="str">
        <f aca="false">IF($U153="","",IF(INDEX('MiT Strom Pipeline'!$E$1:$E$860,$U153)="","",INDEX('MiT Strom Pipeline'!$E$1:$E$860,$U153)))</f>
        <v/>
      </c>
      <c r="G153" s="132" t="str">
        <f aca="false">IF($U153="","",IF(ISNUMBER(INDEX('MiT Strom Pipeline'!$I$1:$I$860,$U153)),INDEX('MiT Strom Pipeline'!$I$1:$I$860,$U153),0))</f>
        <v/>
      </c>
      <c r="H153" s="132" t="str">
        <f aca="false">IF($U153="","",IF(ISNUMBER(INDEX('MiT Strom Pipeline'!$Q$1:$Q$860,$U153)),INDEX('MiT Strom Pipeline'!$Q$1:$Q$860,$U153),0))</f>
        <v/>
      </c>
      <c r="I153" s="130" t="str">
        <f aca="false">IF($U153="","",INDEX('MiT Strom Pipeline'!$R$1:$R$860,$U153))</f>
        <v/>
      </c>
      <c r="J153" s="133" t="str">
        <f aca="false">IF($U153="","",IF(ISNUMBER(INDEX('MiT Strom Pipeline'!$S$1:$S$860,$U153)),INDEX('MiT Strom Pipeline'!$S$1:$S$860,$U153),""))</f>
        <v/>
      </c>
      <c r="K153" s="129" t="str">
        <f aca="false">IF($U153="","",IF(LEN(INDEX('MiT Strom Pipeline'!$V$1:$V$860,$U153))&gt;0,LEFT(INDEX('MiT Strom Pipeline'!$V$1:$V$860,$U153),55),""))</f>
        <v/>
      </c>
      <c r="L153" s="112"/>
      <c r="M153" s="112"/>
      <c r="N153" s="112"/>
      <c r="O153" s="112"/>
      <c r="P153" s="112"/>
      <c r="Q153" s="112"/>
      <c r="R153" s="112"/>
      <c r="S153" s="112"/>
      <c r="U153" s="1" t="str">
        <f aca="false">IFERROR(MATCH(15,'MiT Strom Pipeline'!$AO$6:$AO$860,0)+5,"")</f>
        <v/>
      </c>
    </row>
    <row r="154" customFormat="false" ht="15.75" hidden="false" customHeight="true" outlineLevel="0" collapsed="false">
      <c r="A154" s="128" t="str">
        <f aca="false">IF($U154="","",IF(ISNUMBER(INDEX('MiT Strom Pipeline'!$A$1:$A$860,$U154)),INDEX('MiT Strom Pipeline'!$A$1:$A$860,$U154),""))</f>
        <v/>
      </c>
      <c r="B154" s="129" t="str">
        <f aca="false">IF($U154="","",IF(INDEX('MiT Strom Pipeline'!$B$1:$B$860,$U154)="","",INDEX('MiT Strom Pipeline'!$B$1:$B$860,$U154)))</f>
        <v/>
      </c>
      <c r="C154" s="130" t="str">
        <f aca="false">IF($U154="","",IF(INDEX('MiT Strom Pipeline'!$C$1:$C$860,$U154)="","",INDEX('MiT Strom Pipeline'!$C$1:$C$860,$U154)))</f>
        <v/>
      </c>
      <c r="D154" s="129" t="str">
        <f aca="false">IF($U154="","",IF(INDEX('MiT Strom Pipeline'!$D$1:$D$860,$U154)="","",INDEX('MiT Strom Pipeline'!$D$1:$D$860,$U154)))</f>
        <v/>
      </c>
      <c r="E154" s="131" t="str">
        <f aca="false">IF($U154="","",IF(ISNUMBER(INDEX('MiT Strom Pipeline'!$O$1:$O$860,$U154)),INDEX('MiT Strom Pipeline'!$O$1:$O$860,$U154),IF(INDEX('MiT Strom Pipeline'!$H$1:$H$860,$U154)="","",INDEX('MiT Strom Pipeline'!$H$1:$H$860,$U154))))</f>
        <v/>
      </c>
      <c r="F154" s="129" t="str">
        <f aca="false">IF($U154="","",IF(INDEX('MiT Strom Pipeline'!$E$1:$E$860,$U154)="","",INDEX('MiT Strom Pipeline'!$E$1:$E$860,$U154)))</f>
        <v/>
      </c>
      <c r="G154" s="132" t="str">
        <f aca="false">IF($U154="","",IF(ISNUMBER(INDEX('MiT Strom Pipeline'!$I$1:$I$860,$U154)),INDEX('MiT Strom Pipeline'!$I$1:$I$860,$U154),0))</f>
        <v/>
      </c>
      <c r="H154" s="132" t="str">
        <f aca="false">IF($U154="","",IF(ISNUMBER(INDEX('MiT Strom Pipeline'!$Q$1:$Q$860,$U154)),INDEX('MiT Strom Pipeline'!$Q$1:$Q$860,$U154),0))</f>
        <v/>
      </c>
      <c r="I154" s="130" t="str">
        <f aca="false">IF($U154="","",INDEX('MiT Strom Pipeline'!$R$1:$R$860,$U154))</f>
        <v/>
      </c>
      <c r="J154" s="133" t="str">
        <f aca="false">IF($U154="","",IF(ISNUMBER(INDEX('MiT Strom Pipeline'!$S$1:$S$860,$U154)),INDEX('MiT Strom Pipeline'!$S$1:$S$860,$U154),""))</f>
        <v/>
      </c>
      <c r="K154" s="129" t="str">
        <f aca="false">IF($U154="","",IF(LEN(INDEX('MiT Strom Pipeline'!$V$1:$V$860,$U154))&gt;0,LEFT(INDEX('MiT Strom Pipeline'!$V$1:$V$860,$U154),55),""))</f>
        <v/>
      </c>
      <c r="L154" s="112"/>
      <c r="M154" s="112"/>
      <c r="N154" s="112"/>
      <c r="O154" s="112"/>
      <c r="P154" s="112"/>
      <c r="Q154" s="112"/>
      <c r="R154" s="112"/>
      <c r="S154" s="112"/>
      <c r="U154" s="1" t="str">
        <f aca="false">IFERROR(MATCH(16,'MiT Strom Pipeline'!$AO$6:$AO$860,0)+5,"")</f>
        <v/>
      </c>
    </row>
    <row r="155" customFormat="false" ht="15.75" hidden="false" customHeight="true" outlineLevel="0" collapsed="false">
      <c r="A155" s="128" t="str">
        <f aca="false">IF($U155="","",IF(ISNUMBER(INDEX('MiT Strom Pipeline'!$A$1:$A$860,$U155)),INDEX('MiT Strom Pipeline'!$A$1:$A$860,$U155),""))</f>
        <v/>
      </c>
      <c r="B155" s="129" t="str">
        <f aca="false">IF($U155="","",IF(INDEX('MiT Strom Pipeline'!$B$1:$B$860,$U155)="","",INDEX('MiT Strom Pipeline'!$B$1:$B$860,$U155)))</f>
        <v/>
      </c>
      <c r="C155" s="130" t="str">
        <f aca="false">IF($U155="","",IF(INDEX('MiT Strom Pipeline'!$C$1:$C$860,$U155)="","",INDEX('MiT Strom Pipeline'!$C$1:$C$860,$U155)))</f>
        <v/>
      </c>
      <c r="D155" s="129" t="str">
        <f aca="false">IF($U155="","",IF(INDEX('MiT Strom Pipeline'!$D$1:$D$860,$U155)="","",INDEX('MiT Strom Pipeline'!$D$1:$D$860,$U155)))</f>
        <v/>
      </c>
      <c r="E155" s="131" t="str">
        <f aca="false">IF($U155="","",IF(ISNUMBER(INDEX('MiT Strom Pipeline'!$O$1:$O$860,$U155)),INDEX('MiT Strom Pipeline'!$O$1:$O$860,$U155),IF(INDEX('MiT Strom Pipeline'!$H$1:$H$860,$U155)="","",INDEX('MiT Strom Pipeline'!$H$1:$H$860,$U155))))</f>
        <v/>
      </c>
      <c r="F155" s="129" t="str">
        <f aca="false">IF($U155="","",IF(INDEX('MiT Strom Pipeline'!$E$1:$E$860,$U155)="","",INDEX('MiT Strom Pipeline'!$E$1:$E$860,$U155)))</f>
        <v/>
      </c>
      <c r="G155" s="132" t="str">
        <f aca="false">IF($U155="","",IF(ISNUMBER(INDEX('MiT Strom Pipeline'!$I$1:$I$860,$U155)),INDEX('MiT Strom Pipeline'!$I$1:$I$860,$U155),0))</f>
        <v/>
      </c>
      <c r="H155" s="132" t="str">
        <f aca="false">IF($U155="","",IF(ISNUMBER(INDEX('MiT Strom Pipeline'!$Q$1:$Q$860,$U155)),INDEX('MiT Strom Pipeline'!$Q$1:$Q$860,$U155),0))</f>
        <v/>
      </c>
      <c r="I155" s="130" t="str">
        <f aca="false">IF($U155="","",INDEX('MiT Strom Pipeline'!$R$1:$R$860,$U155))</f>
        <v/>
      </c>
      <c r="J155" s="133" t="str">
        <f aca="false">IF($U155="","",IF(ISNUMBER(INDEX('MiT Strom Pipeline'!$S$1:$S$860,$U155)),INDEX('MiT Strom Pipeline'!$S$1:$S$860,$U155),""))</f>
        <v/>
      </c>
      <c r="K155" s="129" t="str">
        <f aca="false">IF($U155="","",IF(LEN(INDEX('MiT Strom Pipeline'!$V$1:$V$860,$U155))&gt;0,LEFT(INDEX('MiT Strom Pipeline'!$V$1:$V$860,$U155),55),""))</f>
        <v/>
      </c>
      <c r="L155" s="112"/>
      <c r="M155" s="112"/>
      <c r="N155" s="112"/>
      <c r="O155" s="112"/>
      <c r="P155" s="112"/>
      <c r="Q155" s="112"/>
      <c r="R155" s="112"/>
      <c r="S155" s="112"/>
      <c r="U155" s="1" t="str">
        <f aca="false">IFERROR(MATCH(17,'MiT Strom Pipeline'!$AO$6:$AO$860,0)+5,"")</f>
        <v/>
      </c>
    </row>
    <row r="156" customFormat="false" ht="15.75" hidden="false" customHeight="true" outlineLevel="0" collapsed="false">
      <c r="A156" s="128" t="str">
        <f aca="false">IF($U156="","",IF(ISNUMBER(INDEX('MiT Strom Pipeline'!$A$1:$A$860,$U156)),INDEX('MiT Strom Pipeline'!$A$1:$A$860,$U156),""))</f>
        <v/>
      </c>
      <c r="B156" s="129" t="str">
        <f aca="false">IF($U156="","",IF(INDEX('MiT Strom Pipeline'!$B$1:$B$860,$U156)="","",INDEX('MiT Strom Pipeline'!$B$1:$B$860,$U156)))</f>
        <v/>
      </c>
      <c r="C156" s="130" t="str">
        <f aca="false">IF($U156="","",IF(INDEX('MiT Strom Pipeline'!$C$1:$C$860,$U156)="","",INDEX('MiT Strom Pipeline'!$C$1:$C$860,$U156)))</f>
        <v/>
      </c>
      <c r="D156" s="129" t="str">
        <f aca="false">IF($U156="","",IF(INDEX('MiT Strom Pipeline'!$D$1:$D$860,$U156)="","",INDEX('MiT Strom Pipeline'!$D$1:$D$860,$U156)))</f>
        <v/>
      </c>
      <c r="E156" s="131" t="str">
        <f aca="false">IF($U156="","",IF(ISNUMBER(INDEX('MiT Strom Pipeline'!$O$1:$O$860,$U156)),INDEX('MiT Strom Pipeline'!$O$1:$O$860,$U156),IF(INDEX('MiT Strom Pipeline'!$H$1:$H$860,$U156)="","",INDEX('MiT Strom Pipeline'!$H$1:$H$860,$U156))))</f>
        <v/>
      </c>
      <c r="F156" s="129" t="str">
        <f aca="false">IF($U156="","",IF(INDEX('MiT Strom Pipeline'!$E$1:$E$860,$U156)="","",INDEX('MiT Strom Pipeline'!$E$1:$E$860,$U156)))</f>
        <v/>
      </c>
      <c r="G156" s="132" t="str">
        <f aca="false">IF($U156="","",IF(ISNUMBER(INDEX('MiT Strom Pipeline'!$I$1:$I$860,$U156)),INDEX('MiT Strom Pipeline'!$I$1:$I$860,$U156),0))</f>
        <v/>
      </c>
      <c r="H156" s="132" t="str">
        <f aca="false">IF($U156="","",IF(ISNUMBER(INDEX('MiT Strom Pipeline'!$Q$1:$Q$860,$U156)),INDEX('MiT Strom Pipeline'!$Q$1:$Q$860,$U156),0))</f>
        <v/>
      </c>
      <c r="I156" s="130" t="str">
        <f aca="false">IF($U156="","",INDEX('MiT Strom Pipeline'!$R$1:$R$860,$U156))</f>
        <v/>
      </c>
      <c r="J156" s="133" t="str">
        <f aca="false">IF($U156="","",IF(ISNUMBER(INDEX('MiT Strom Pipeline'!$S$1:$S$860,$U156)),INDEX('MiT Strom Pipeline'!$S$1:$S$860,$U156),""))</f>
        <v/>
      </c>
      <c r="K156" s="129" t="str">
        <f aca="false">IF($U156="","",IF(LEN(INDEX('MiT Strom Pipeline'!$V$1:$V$860,$U156))&gt;0,LEFT(INDEX('MiT Strom Pipeline'!$V$1:$V$860,$U156),55),""))</f>
        <v/>
      </c>
      <c r="L156" s="112"/>
      <c r="M156" s="112"/>
      <c r="N156" s="112"/>
      <c r="O156" s="112"/>
      <c r="P156" s="112"/>
      <c r="Q156" s="112"/>
      <c r="R156" s="112"/>
      <c r="S156" s="112"/>
      <c r="U156" s="1" t="str">
        <f aca="false">IFERROR(MATCH(18,'MiT Strom Pipeline'!$AO$6:$AO$860,0)+5,"")</f>
        <v/>
      </c>
    </row>
    <row r="157" customFormat="false" ht="15.75" hidden="false" customHeight="true" outlineLevel="0" collapsed="false">
      <c r="A157" s="128" t="str">
        <f aca="false">IF($U157="","",IF(ISNUMBER(INDEX('MiT Strom Pipeline'!$A$1:$A$860,$U157)),INDEX('MiT Strom Pipeline'!$A$1:$A$860,$U157),""))</f>
        <v/>
      </c>
      <c r="B157" s="129" t="str">
        <f aca="false">IF($U157="","",IF(INDEX('MiT Strom Pipeline'!$B$1:$B$860,$U157)="","",INDEX('MiT Strom Pipeline'!$B$1:$B$860,$U157)))</f>
        <v/>
      </c>
      <c r="C157" s="130" t="str">
        <f aca="false">IF($U157="","",IF(INDEX('MiT Strom Pipeline'!$C$1:$C$860,$U157)="","",INDEX('MiT Strom Pipeline'!$C$1:$C$860,$U157)))</f>
        <v/>
      </c>
      <c r="D157" s="129" t="str">
        <f aca="false">IF($U157="","",IF(INDEX('MiT Strom Pipeline'!$D$1:$D$860,$U157)="","",INDEX('MiT Strom Pipeline'!$D$1:$D$860,$U157)))</f>
        <v/>
      </c>
      <c r="E157" s="131" t="str">
        <f aca="false">IF($U157="","",IF(ISNUMBER(INDEX('MiT Strom Pipeline'!$O$1:$O$860,$U157)),INDEX('MiT Strom Pipeline'!$O$1:$O$860,$U157),IF(INDEX('MiT Strom Pipeline'!$H$1:$H$860,$U157)="","",INDEX('MiT Strom Pipeline'!$H$1:$H$860,$U157))))</f>
        <v/>
      </c>
      <c r="F157" s="129" t="str">
        <f aca="false">IF($U157="","",IF(INDEX('MiT Strom Pipeline'!$E$1:$E$860,$U157)="","",INDEX('MiT Strom Pipeline'!$E$1:$E$860,$U157)))</f>
        <v/>
      </c>
      <c r="G157" s="132" t="str">
        <f aca="false">IF($U157="","",IF(ISNUMBER(INDEX('MiT Strom Pipeline'!$I$1:$I$860,$U157)),INDEX('MiT Strom Pipeline'!$I$1:$I$860,$U157),0))</f>
        <v/>
      </c>
      <c r="H157" s="132" t="str">
        <f aca="false">IF($U157="","",IF(ISNUMBER(INDEX('MiT Strom Pipeline'!$Q$1:$Q$860,$U157)),INDEX('MiT Strom Pipeline'!$Q$1:$Q$860,$U157),0))</f>
        <v/>
      </c>
      <c r="I157" s="130" t="str">
        <f aca="false">IF($U157="","",INDEX('MiT Strom Pipeline'!$R$1:$R$860,$U157))</f>
        <v/>
      </c>
      <c r="J157" s="133" t="str">
        <f aca="false">IF($U157="","",IF(ISNUMBER(INDEX('MiT Strom Pipeline'!$S$1:$S$860,$U157)),INDEX('MiT Strom Pipeline'!$S$1:$S$860,$U157),""))</f>
        <v/>
      </c>
      <c r="K157" s="129" t="str">
        <f aca="false">IF($U157="","",IF(LEN(INDEX('MiT Strom Pipeline'!$V$1:$V$860,$U157))&gt;0,LEFT(INDEX('MiT Strom Pipeline'!$V$1:$V$860,$U157),55),""))</f>
        <v/>
      </c>
      <c r="L157" s="112"/>
      <c r="M157" s="112"/>
      <c r="N157" s="112"/>
      <c r="O157" s="112"/>
      <c r="P157" s="112"/>
      <c r="Q157" s="112"/>
      <c r="R157" s="112"/>
      <c r="S157" s="112"/>
      <c r="U157" s="1" t="str">
        <f aca="false">IFERROR(MATCH(19,'MiT Strom Pipeline'!$AO$6:$AO$860,0)+5,"")</f>
        <v/>
      </c>
    </row>
    <row r="158" customFormat="false" ht="15.75" hidden="false" customHeight="true" outlineLevel="0" collapsed="false">
      <c r="A158" s="128" t="str">
        <f aca="false">IF($U158="","",IF(ISNUMBER(INDEX('MiT Strom Pipeline'!$A$1:$A$860,$U158)),INDEX('MiT Strom Pipeline'!$A$1:$A$860,$U158),""))</f>
        <v/>
      </c>
      <c r="B158" s="129" t="str">
        <f aca="false">IF($U158="","",IF(INDEX('MiT Strom Pipeline'!$B$1:$B$860,$U158)="","",INDEX('MiT Strom Pipeline'!$B$1:$B$860,$U158)))</f>
        <v/>
      </c>
      <c r="C158" s="130" t="str">
        <f aca="false">IF($U158="","",IF(INDEX('MiT Strom Pipeline'!$C$1:$C$860,$U158)="","",INDEX('MiT Strom Pipeline'!$C$1:$C$860,$U158)))</f>
        <v/>
      </c>
      <c r="D158" s="129" t="str">
        <f aca="false">IF($U158="","",IF(INDEX('MiT Strom Pipeline'!$D$1:$D$860,$U158)="","",INDEX('MiT Strom Pipeline'!$D$1:$D$860,$U158)))</f>
        <v/>
      </c>
      <c r="E158" s="131" t="str">
        <f aca="false">IF($U158="","",IF(ISNUMBER(INDEX('MiT Strom Pipeline'!$O$1:$O$860,$U158)),INDEX('MiT Strom Pipeline'!$O$1:$O$860,$U158),IF(INDEX('MiT Strom Pipeline'!$H$1:$H$860,$U158)="","",INDEX('MiT Strom Pipeline'!$H$1:$H$860,$U158))))</f>
        <v/>
      </c>
      <c r="F158" s="129" t="str">
        <f aca="false">IF($U158="","",IF(INDEX('MiT Strom Pipeline'!$E$1:$E$860,$U158)="","",INDEX('MiT Strom Pipeline'!$E$1:$E$860,$U158)))</f>
        <v/>
      </c>
      <c r="G158" s="132" t="str">
        <f aca="false">IF($U158="","",IF(ISNUMBER(INDEX('MiT Strom Pipeline'!$I$1:$I$860,$U158)),INDEX('MiT Strom Pipeline'!$I$1:$I$860,$U158),0))</f>
        <v/>
      </c>
      <c r="H158" s="132" t="str">
        <f aca="false">IF($U158="","",IF(ISNUMBER(INDEX('MiT Strom Pipeline'!$Q$1:$Q$860,$U158)),INDEX('MiT Strom Pipeline'!$Q$1:$Q$860,$U158),0))</f>
        <v/>
      </c>
      <c r="I158" s="130" t="str">
        <f aca="false">IF($U158="","",INDEX('MiT Strom Pipeline'!$R$1:$R$860,$U158))</f>
        <v/>
      </c>
      <c r="J158" s="133" t="str">
        <f aca="false">IF($U158="","",IF(ISNUMBER(INDEX('MiT Strom Pipeline'!$S$1:$S$860,$U158)),INDEX('MiT Strom Pipeline'!$S$1:$S$860,$U158),""))</f>
        <v/>
      </c>
      <c r="K158" s="129" t="str">
        <f aca="false">IF($U158="","",IF(LEN(INDEX('MiT Strom Pipeline'!$V$1:$V$860,$U158))&gt;0,LEFT(INDEX('MiT Strom Pipeline'!$V$1:$V$860,$U158),55),""))</f>
        <v/>
      </c>
      <c r="L158" s="112"/>
      <c r="M158" s="112"/>
      <c r="N158" s="112"/>
      <c r="O158" s="112"/>
      <c r="P158" s="112"/>
      <c r="Q158" s="112"/>
      <c r="R158" s="112"/>
      <c r="S158" s="112"/>
      <c r="U158" s="1" t="str">
        <f aca="false">IFERROR(MATCH(20,'MiT Strom Pipeline'!$AO$6:$AO$860,0)+5,"")</f>
        <v/>
      </c>
    </row>
    <row r="159" customFormat="false" ht="15.75" hidden="false" customHeight="true" outlineLevel="0" collapsed="false">
      <c r="A159" s="128" t="str">
        <f aca="false">IF($U159="","",IF(ISNUMBER(INDEX('MiT Strom Pipeline'!$A$1:$A$860,$U159)),INDEX('MiT Strom Pipeline'!$A$1:$A$860,$U159),""))</f>
        <v/>
      </c>
      <c r="B159" s="129" t="str">
        <f aca="false">IF($U159="","",IF(INDEX('MiT Strom Pipeline'!$B$1:$B$860,$U159)="","",INDEX('MiT Strom Pipeline'!$B$1:$B$860,$U159)))</f>
        <v/>
      </c>
      <c r="C159" s="130" t="str">
        <f aca="false">IF($U159="","",IF(INDEX('MiT Strom Pipeline'!$C$1:$C$860,$U159)="","",INDEX('MiT Strom Pipeline'!$C$1:$C$860,$U159)))</f>
        <v/>
      </c>
      <c r="D159" s="129" t="str">
        <f aca="false">IF($U159="","",IF(INDEX('MiT Strom Pipeline'!$D$1:$D$860,$U159)="","",INDEX('MiT Strom Pipeline'!$D$1:$D$860,$U159)))</f>
        <v/>
      </c>
      <c r="E159" s="131" t="str">
        <f aca="false">IF($U159="","",IF(ISNUMBER(INDEX('MiT Strom Pipeline'!$O$1:$O$860,$U159)),INDEX('MiT Strom Pipeline'!$O$1:$O$860,$U159),IF(INDEX('MiT Strom Pipeline'!$H$1:$H$860,$U159)="","",INDEX('MiT Strom Pipeline'!$H$1:$H$860,$U159))))</f>
        <v/>
      </c>
      <c r="F159" s="129" t="str">
        <f aca="false">IF($U159="","",IF(INDEX('MiT Strom Pipeline'!$E$1:$E$860,$U159)="","",INDEX('MiT Strom Pipeline'!$E$1:$E$860,$U159)))</f>
        <v/>
      </c>
      <c r="G159" s="132" t="str">
        <f aca="false">IF($U159="","",IF(ISNUMBER(INDEX('MiT Strom Pipeline'!$I$1:$I$860,$U159)),INDEX('MiT Strom Pipeline'!$I$1:$I$860,$U159),0))</f>
        <v/>
      </c>
      <c r="H159" s="132" t="str">
        <f aca="false">IF($U159="","",IF(ISNUMBER(INDEX('MiT Strom Pipeline'!$Q$1:$Q$860,$U159)),INDEX('MiT Strom Pipeline'!$Q$1:$Q$860,$U159),0))</f>
        <v/>
      </c>
      <c r="I159" s="130" t="str">
        <f aca="false">IF($U159="","",INDEX('MiT Strom Pipeline'!$R$1:$R$860,$U159))</f>
        <v/>
      </c>
      <c r="J159" s="133" t="str">
        <f aca="false">IF($U159="","",IF(ISNUMBER(INDEX('MiT Strom Pipeline'!$S$1:$S$860,$U159)),INDEX('MiT Strom Pipeline'!$S$1:$S$860,$U159),""))</f>
        <v/>
      </c>
      <c r="K159" s="129" t="str">
        <f aca="false">IF($U159="","",IF(LEN(INDEX('MiT Strom Pipeline'!$V$1:$V$860,$U159))&gt;0,LEFT(INDEX('MiT Strom Pipeline'!$V$1:$V$860,$U159),55),""))</f>
        <v/>
      </c>
      <c r="L159" s="112"/>
      <c r="M159" s="112"/>
      <c r="N159" s="112"/>
      <c r="O159" s="112"/>
      <c r="P159" s="112"/>
      <c r="Q159" s="112"/>
      <c r="R159" s="112"/>
      <c r="S159" s="112"/>
      <c r="U159" s="1" t="str">
        <f aca="false">IFERROR(MATCH(21,'MiT Strom Pipeline'!$AO$6:$AO$860,0)+5,"")</f>
        <v/>
      </c>
    </row>
    <row r="160" customFormat="false" ht="15.75" hidden="false" customHeight="true" outlineLevel="0" collapsed="false">
      <c r="A160" s="128" t="str">
        <f aca="false">IF($U160="","",IF(ISNUMBER(INDEX('MiT Strom Pipeline'!$A$1:$A$860,$U160)),INDEX('MiT Strom Pipeline'!$A$1:$A$860,$U160),""))</f>
        <v/>
      </c>
      <c r="B160" s="129" t="str">
        <f aca="false">IF($U160="","",IF(INDEX('MiT Strom Pipeline'!$B$1:$B$860,$U160)="","",INDEX('MiT Strom Pipeline'!$B$1:$B$860,$U160)))</f>
        <v/>
      </c>
      <c r="C160" s="130" t="str">
        <f aca="false">IF($U160="","",IF(INDEX('MiT Strom Pipeline'!$C$1:$C$860,$U160)="","",INDEX('MiT Strom Pipeline'!$C$1:$C$860,$U160)))</f>
        <v/>
      </c>
      <c r="D160" s="129" t="str">
        <f aca="false">IF($U160="","",IF(INDEX('MiT Strom Pipeline'!$D$1:$D$860,$U160)="","",INDEX('MiT Strom Pipeline'!$D$1:$D$860,$U160)))</f>
        <v/>
      </c>
      <c r="E160" s="131" t="str">
        <f aca="false">IF($U160="","",IF(ISNUMBER(INDEX('MiT Strom Pipeline'!$O$1:$O$860,$U160)),INDEX('MiT Strom Pipeline'!$O$1:$O$860,$U160),IF(INDEX('MiT Strom Pipeline'!$H$1:$H$860,$U160)="","",INDEX('MiT Strom Pipeline'!$H$1:$H$860,$U160))))</f>
        <v/>
      </c>
      <c r="F160" s="129" t="str">
        <f aca="false">IF($U160="","",IF(INDEX('MiT Strom Pipeline'!$E$1:$E$860,$U160)="","",INDEX('MiT Strom Pipeline'!$E$1:$E$860,$U160)))</f>
        <v/>
      </c>
      <c r="G160" s="132" t="str">
        <f aca="false">IF($U160="","",IF(ISNUMBER(INDEX('MiT Strom Pipeline'!$I$1:$I$860,$U160)),INDEX('MiT Strom Pipeline'!$I$1:$I$860,$U160),0))</f>
        <v/>
      </c>
      <c r="H160" s="132" t="str">
        <f aca="false">IF($U160="","",IF(ISNUMBER(INDEX('MiT Strom Pipeline'!$Q$1:$Q$860,$U160)),INDEX('MiT Strom Pipeline'!$Q$1:$Q$860,$U160),0))</f>
        <v/>
      </c>
      <c r="I160" s="130" t="str">
        <f aca="false">IF($U160="","",INDEX('MiT Strom Pipeline'!$R$1:$R$860,$U160))</f>
        <v/>
      </c>
      <c r="J160" s="133" t="str">
        <f aca="false">IF($U160="","",IF(ISNUMBER(INDEX('MiT Strom Pipeline'!$S$1:$S$860,$U160)),INDEX('MiT Strom Pipeline'!$S$1:$S$860,$U160),""))</f>
        <v/>
      </c>
      <c r="K160" s="129" t="str">
        <f aca="false">IF($U160="","",IF(LEN(INDEX('MiT Strom Pipeline'!$V$1:$V$860,$U160))&gt;0,LEFT(INDEX('MiT Strom Pipeline'!$V$1:$V$860,$U160),55),""))</f>
        <v/>
      </c>
      <c r="L160" s="112"/>
      <c r="M160" s="112"/>
      <c r="N160" s="112"/>
      <c r="O160" s="112"/>
      <c r="P160" s="112"/>
      <c r="Q160" s="112"/>
      <c r="R160" s="112"/>
      <c r="S160" s="112"/>
      <c r="U160" s="1" t="str">
        <f aca="false">IFERROR(MATCH(22,'MiT Strom Pipeline'!$AO$6:$AO$860,0)+5,"")</f>
        <v/>
      </c>
    </row>
    <row r="161" customFormat="false" ht="15.75" hidden="false" customHeight="true" outlineLevel="0" collapsed="false">
      <c r="A161" s="128" t="str">
        <f aca="false">IF($U161="","",IF(ISNUMBER(INDEX('MiT Strom Pipeline'!$A$1:$A$860,$U161)),INDEX('MiT Strom Pipeline'!$A$1:$A$860,$U161),""))</f>
        <v/>
      </c>
      <c r="B161" s="129" t="str">
        <f aca="false">IF($U161="","",IF(INDEX('MiT Strom Pipeline'!$B$1:$B$860,$U161)="","",INDEX('MiT Strom Pipeline'!$B$1:$B$860,$U161)))</f>
        <v/>
      </c>
      <c r="C161" s="130" t="str">
        <f aca="false">IF($U161="","",IF(INDEX('MiT Strom Pipeline'!$C$1:$C$860,$U161)="","",INDEX('MiT Strom Pipeline'!$C$1:$C$860,$U161)))</f>
        <v/>
      </c>
      <c r="D161" s="129" t="str">
        <f aca="false">IF($U161="","",IF(INDEX('MiT Strom Pipeline'!$D$1:$D$860,$U161)="","",INDEX('MiT Strom Pipeline'!$D$1:$D$860,$U161)))</f>
        <v/>
      </c>
      <c r="E161" s="131" t="str">
        <f aca="false">IF($U161="","",IF(ISNUMBER(INDEX('MiT Strom Pipeline'!$O$1:$O$860,$U161)),INDEX('MiT Strom Pipeline'!$O$1:$O$860,$U161),IF(INDEX('MiT Strom Pipeline'!$H$1:$H$860,$U161)="","",INDEX('MiT Strom Pipeline'!$H$1:$H$860,$U161))))</f>
        <v/>
      </c>
      <c r="F161" s="129" t="str">
        <f aca="false">IF($U161="","",IF(INDEX('MiT Strom Pipeline'!$E$1:$E$860,$U161)="","",INDEX('MiT Strom Pipeline'!$E$1:$E$860,$U161)))</f>
        <v/>
      </c>
      <c r="G161" s="132" t="str">
        <f aca="false">IF($U161="","",IF(ISNUMBER(INDEX('MiT Strom Pipeline'!$I$1:$I$860,$U161)),INDEX('MiT Strom Pipeline'!$I$1:$I$860,$U161),0))</f>
        <v/>
      </c>
      <c r="H161" s="132" t="str">
        <f aca="false">IF($U161="","",IF(ISNUMBER(INDEX('MiT Strom Pipeline'!$Q$1:$Q$860,$U161)),INDEX('MiT Strom Pipeline'!$Q$1:$Q$860,$U161),0))</f>
        <v/>
      </c>
      <c r="I161" s="130" t="str">
        <f aca="false">IF($U161="","",INDEX('MiT Strom Pipeline'!$R$1:$R$860,$U161))</f>
        <v/>
      </c>
      <c r="J161" s="133" t="str">
        <f aca="false">IF($U161="","",IF(ISNUMBER(INDEX('MiT Strom Pipeline'!$S$1:$S$860,$U161)),INDEX('MiT Strom Pipeline'!$S$1:$S$860,$U161),""))</f>
        <v/>
      </c>
      <c r="K161" s="129" t="str">
        <f aca="false">IF($U161="","",IF(LEN(INDEX('MiT Strom Pipeline'!$V$1:$V$860,$U161))&gt;0,LEFT(INDEX('MiT Strom Pipeline'!$V$1:$V$860,$U161),55),""))</f>
        <v/>
      </c>
      <c r="L161" s="112"/>
      <c r="M161" s="112"/>
      <c r="N161" s="112"/>
      <c r="O161" s="112"/>
      <c r="P161" s="112"/>
      <c r="Q161" s="112"/>
      <c r="R161" s="112"/>
      <c r="S161" s="112"/>
      <c r="U161" s="1" t="str">
        <f aca="false">IFERROR(MATCH(23,'MiT Strom Pipeline'!$AO$6:$AO$860,0)+5,"")</f>
        <v/>
      </c>
    </row>
    <row r="162" customFormat="false" ht="15.75" hidden="false" customHeight="true" outlineLevel="0" collapsed="false">
      <c r="A162" s="128" t="str">
        <f aca="false">IF($U162="","",IF(ISNUMBER(INDEX('MiT Strom Pipeline'!$A$1:$A$860,$U162)),INDEX('MiT Strom Pipeline'!$A$1:$A$860,$U162),""))</f>
        <v/>
      </c>
      <c r="B162" s="129" t="str">
        <f aca="false">IF($U162="","",IF(INDEX('MiT Strom Pipeline'!$B$1:$B$860,$U162)="","",INDEX('MiT Strom Pipeline'!$B$1:$B$860,$U162)))</f>
        <v/>
      </c>
      <c r="C162" s="130" t="str">
        <f aca="false">IF($U162="","",IF(INDEX('MiT Strom Pipeline'!$C$1:$C$860,$U162)="","",INDEX('MiT Strom Pipeline'!$C$1:$C$860,$U162)))</f>
        <v/>
      </c>
      <c r="D162" s="129" t="str">
        <f aca="false">IF($U162="","",IF(INDEX('MiT Strom Pipeline'!$D$1:$D$860,$U162)="","",INDEX('MiT Strom Pipeline'!$D$1:$D$860,$U162)))</f>
        <v/>
      </c>
      <c r="E162" s="131" t="str">
        <f aca="false">IF($U162="","",IF(ISNUMBER(INDEX('MiT Strom Pipeline'!$O$1:$O$860,$U162)),INDEX('MiT Strom Pipeline'!$O$1:$O$860,$U162),IF(INDEX('MiT Strom Pipeline'!$H$1:$H$860,$U162)="","",INDEX('MiT Strom Pipeline'!$H$1:$H$860,$U162))))</f>
        <v/>
      </c>
      <c r="F162" s="129" t="str">
        <f aca="false">IF($U162="","",IF(INDEX('MiT Strom Pipeline'!$E$1:$E$860,$U162)="","",INDEX('MiT Strom Pipeline'!$E$1:$E$860,$U162)))</f>
        <v/>
      </c>
      <c r="G162" s="132" t="str">
        <f aca="false">IF($U162="","",IF(ISNUMBER(INDEX('MiT Strom Pipeline'!$I$1:$I$860,$U162)),INDEX('MiT Strom Pipeline'!$I$1:$I$860,$U162),0))</f>
        <v/>
      </c>
      <c r="H162" s="132" t="str">
        <f aca="false">IF($U162="","",IF(ISNUMBER(INDEX('MiT Strom Pipeline'!$Q$1:$Q$860,$U162)),INDEX('MiT Strom Pipeline'!$Q$1:$Q$860,$U162),0))</f>
        <v/>
      </c>
      <c r="I162" s="130" t="str">
        <f aca="false">IF($U162="","",INDEX('MiT Strom Pipeline'!$R$1:$R$860,$U162))</f>
        <v/>
      </c>
      <c r="J162" s="133" t="str">
        <f aca="false">IF($U162="","",IF(ISNUMBER(INDEX('MiT Strom Pipeline'!$S$1:$S$860,$U162)),INDEX('MiT Strom Pipeline'!$S$1:$S$860,$U162),""))</f>
        <v/>
      </c>
      <c r="K162" s="129" t="str">
        <f aca="false">IF($U162="","",IF(LEN(INDEX('MiT Strom Pipeline'!$V$1:$V$860,$U162))&gt;0,LEFT(INDEX('MiT Strom Pipeline'!$V$1:$V$860,$U162),55),""))</f>
        <v/>
      </c>
      <c r="L162" s="112"/>
      <c r="M162" s="112"/>
      <c r="N162" s="112"/>
      <c r="O162" s="112"/>
      <c r="P162" s="112"/>
      <c r="Q162" s="112"/>
      <c r="R162" s="112"/>
      <c r="S162" s="112"/>
      <c r="U162" s="1" t="str">
        <f aca="false">IFERROR(MATCH(24,'MiT Strom Pipeline'!$AO$6:$AO$860,0)+5,"")</f>
        <v/>
      </c>
    </row>
    <row r="163" customFormat="false" ht="15.75" hidden="false" customHeight="true" outlineLevel="0" collapsed="false">
      <c r="A163" s="128" t="str">
        <f aca="false">IF($U163="","",IF(ISNUMBER(INDEX('MiT Strom Pipeline'!$A$1:$A$860,$U163)),INDEX('MiT Strom Pipeline'!$A$1:$A$860,$U163),""))</f>
        <v/>
      </c>
      <c r="B163" s="129" t="str">
        <f aca="false">IF($U163="","",IF(INDEX('MiT Strom Pipeline'!$B$1:$B$860,$U163)="","",INDEX('MiT Strom Pipeline'!$B$1:$B$860,$U163)))</f>
        <v/>
      </c>
      <c r="C163" s="130" t="str">
        <f aca="false">IF($U163="","",IF(INDEX('MiT Strom Pipeline'!$C$1:$C$860,$U163)="","",INDEX('MiT Strom Pipeline'!$C$1:$C$860,$U163)))</f>
        <v/>
      </c>
      <c r="D163" s="129" t="str">
        <f aca="false">IF($U163="","",IF(INDEX('MiT Strom Pipeline'!$D$1:$D$860,$U163)="","",INDEX('MiT Strom Pipeline'!$D$1:$D$860,$U163)))</f>
        <v/>
      </c>
      <c r="E163" s="131" t="str">
        <f aca="false">IF($U163="","",IF(ISNUMBER(INDEX('MiT Strom Pipeline'!$O$1:$O$860,$U163)),INDEX('MiT Strom Pipeline'!$O$1:$O$860,$U163),IF(INDEX('MiT Strom Pipeline'!$H$1:$H$860,$U163)="","",INDEX('MiT Strom Pipeline'!$H$1:$H$860,$U163))))</f>
        <v/>
      </c>
      <c r="F163" s="129" t="str">
        <f aca="false">IF($U163="","",IF(INDEX('MiT Strom Pipeline'!$E$1:$E$860,$U163)="","",INDEX('MiT Strom Pipeline'!$E$1:$E$860,$U163)))</f>
        <v/>
      </c>
      <c r="G163" s="132" t="str">
        <f aca="false">IF($U163="","",IF(ISNUMBER(INDEX('MiT Strom Pipeline'!$I$1:$I$860,$U163)),INDEX('MiT Strom Pipeline'!$I$1:$I$860,$U163),0))</f>
        <v/>
      </c>
      <c r="H163" s="132" t="str">
        <f aca="false">IF($U163="","",IF(ISNUMBER(INDEX('MiT Strom Pipeline'!$Q$1:$Q$860,$U163)),INDEX('MiT Strom Pipeline'!$Q$1:$Q$860,$U163),0))</f>
        <v/>
      </c>
      <c r="I163" s="130" t="str">
        <f aca="false">IF($U163="","",INDEX('MiT Strom Pipeline'!$R$1:$R$860,$U163))</f>
        <v/>
      </c>
      <c r="J163" s="133" t="str">
        <f aca="false">IF($U163="","",IF(ISNUMBER(INDEX('MiT Strom Pipeline'!$S$1:$S$860,$U163)),INDEX('MiT Strom Pipeline'!$S$1:$S$860,$U163),""))</f>
        <v/>
      </c>
      <c r="K163" s="129" t="str">
        <f aca="false">IF($U163="","",IF(LEN(INDEX('MiT Strom Pipeline'!$V$1:$V$860,$U163))&gt;0,LEFT(INDEX('MiT Strom Pipeline'!$V$1:$V$860,$U163),55),""))</f>
        <v/>
      </c>
      <c r="L163" s="112"/>
      <c r="M163" s="112"/>
      <c r="N163" s="112"/>
      <c r="O163" s="112"/>
      <c r="P163" s="112"/>
      <c r="Q163" s="112"/>
      <c r="R163" s="112"/>
      <c r="S163" s="112"/>
      <c r="U163" s="1" t="str">
        <f aca="false">IFERROR(MATCH(25,'MiT Strom Pipeline'!$AO$6:$AO$860,0)+5,"")</f>
        <v/>
      </c>
    </row>
    <row r="164" customFormat="false" ht="15.75" hidden="false" customHeight="true" outlineLevel="0" collapsed="false">
      <c r="A164" s="128" t="str">
        <f aca="false">IF($U164="","",IF(ISNUMBER(INDEX('MiT Strom Pipeline'!$A$1:$A$860,$U164)),INDEX('MiT Strom Pipeline'!$A$1:$A$860,$U164),""))</f>
        <v/>
      </c>
      <c r="B164" s="129" t="str">
        <f aca="false">IF($U164="","",IF(INDEX('MiT Strom Pipeline'!$B$1:$B$860,$U164)="","",INDEX('MiT Strom Pipeline'!$B$1:$B$860,$U164)))</f>
        <v/>
      </c>
      <c r="C164" s="130" t="str">
        <f aca="false">IF($U164="","",IF(INDEX('MiT Strom Pipeline'!$C$1:$C$860,$U164)="","",INDEX('MiT Strom Pipeline'!$C$1:$C$860,$U164)))</f>
        <v/>
      </c>
      <c r="D164" s="129" t="str">
        <f aca="false">IF($U164="","",IF(INDEX('MiT Strom Pipeline'!$D$1:$D$860,$U164)="","",INDEX('MiT Strom Pipeline'!$D$1:$D$860,$U164)))</f>
        <v/>
      </c>
      <c r="E164" s="131" t="str">
        <f aca="false">IF($U164="","",IF(ISNUMBER(INDEX('MiT Strom Pipeline'!$O$1:$O$860,$U164)),INDEX('MiT Strom Pipeline'!$O$1:$O$860,$U164),IF(INDEX('MiT Strom Pipeline'!$H$1:$H$860,$U164)="","",INDEX('MiT Strom Pipeline'!$H$1:$H$860,$U164))))</f>
        <v/>
      </c>
      <c r="F164" s="129" t="str">
        <f aca="false">IF($U164="","",IF(INDEX('MiT Strom Pipeline'!$E$1:$E$860,$U164)="","",INDEX('MiT Strom Pipeline'!$E$1:$E$860,$U164)))</f>
        <v/>
      </c>
      <c r="G164" s="132" t="str">
        <f aca="false">IF($U164="","",IF(ISNUMBER(INDEX('MiT Strom Pipeline'!$I$1:$I$860,$U164)),INDEX('MiT Strom Pipeline'!$I$1:$I$860,$U164),0))</f>
        <v/>
      </c>
      <c r="H164" s="132" t="str">
        <f aca="false">IF($U164="","",IF(ISNUMBER(INDEX('MiT Strom Pipeline'!$Q$1:$Q$860,$U164)),INDEX('MiT Strom Pipeline'!$Q$1:$Q$860,$U164),0))</f>
        <v/>
      </c>
      <c r="I164" s="130" t="str">
        <f aca="false">IF($U164="","",INDEX('MiT Strom Pipeline'!$R$1:$R$860,$U164))</f>
        <v/>
      </c>
      <c r="J164" s="133" t="str">
        <f aca="false">IF($U164="","",IF(ISNUMBER(INDEX('MiT Strom Pipeline'!$S$1:$S$860,$U164)),INDEX('MiT Strom Pipeline'!$S$1:$S$860,$U164),""))</f>
        <v/>
      </c>
      <c r="K164" s="129" t="str">
        <f aca="false">IF($U164="","",IF(LEN(INDEX('MiT Strom Pipeline'!$V$1:$V$860,$U164))&gt;0,LEFT(INDEX('MiT Strom Pipeline'!$V$1:$V$860,$U164),55),""))</f>
        <v/>
      </c>
      <c r="L164" s="112"/>
      <c r="M164" s="112"/>
      <c r="N164" s="112"/>
      <c r="O164" s="112"/>
      <c r="P164" s="112"/>
      <c r="Q164" s="112"/>
      <c r="R164" s="112"/>
      <c r="S164" s="112"/>
      <c r="U164" s="1" t="str">
        <f aca="false">IFERROR(MATCH(26,'MiT Strom Pipeline'!$AO$6:$AO$860,0)+5,"")</f>
        <v/>
      </c>
    </row>
    <row r="165" customFormat="false" ht="15.75" hidden="false" customHeight="true" outlineLevel="0" collapsed="false">
      <c r="A165" s="128" t="str">
        <f aca="false">IF($U165="","",IF(ISNUMBER(INDEX('MiT Strom Pipeline'!$A$1:$A$860,$U165)),INDEX('MiT Strom Pipeline'!$A$1:$A$860,$U165),""))</f>
        <v/>
      </c>
      <c r="B165" s="129" t="str">
        <f aca="false">IF($U165="","",IF(INDEX('MiT Strom Pipeline'!$B$1:$B$860,$U165)="","",INDEX('MiT Strom Pipeline'!$B$1:$B$860,$U165)))</f>
        <v/>
      </c>
      <c r="C165" s="130" t="str">
        <f aca="false">IF($U165="","",IF(INDEX('MiT Strom Pipeline'!$C$1:$C$860,$U165)="","",INDEX('MiT Strom Pipeline'!$C$1:$C$860,$U165)))</f>
        <v/>
      </c>
      <c r="D165" s="129" t="str">
        <f aca="false">IF($U165="","",IF(INDEX('MiT Strom Pipeline'!$D$1:$D$860,$U165)="","",INDEX('MiT Strom Pipeline'!$D$1:$D$860,$U165)))</f>
        <v/>
      </c>
      <c r="E165" s="131" t="str">
        <f aca="false">IF($U165="","",IF(ISNUMBER(INDEX('MiT Strom Pipeline'!$O$1:$O$860,$U165)),INDEX('MiT Strom Pipeline'!$O$1:$O$860,$U165),IF(INDEX('MiT Strom Pipeline'!$H$1:$H$860,$U165)="","",INDEX('MiT Strom Pipeline'!$H$1:$H$860,$U165))))</f>
        <v/>
      </c>
      <c r="F165" s="129" t="str">
        <f aca="false">IF($U165="","",IF(INDEX('MiT Strom Pipeline'!$E$1:$E$860,$U165)="","",INDEX('MiT Strom Pipeline'!$E$1:$E$860,$U165)))</f>
        <v/>
      </c>
      <c r="G165" s="132" t="str">
        <f aca="false">IF($U165="","",IF(ISNUMBER(INDEX('MiT Strom Pipeline'!$I$1:$I$860,$U165)),INDEX('MiT Strom Pipeline'!$I$1:$I$860,$U165),0))</f>
        <v/>
      </c>
      <c r="H165" s="132" t="str">
        <f aca="false">IF($U165="","",IF(ISNUMBER(INDEX('MiT Strom Pipeline'!$Q$1:$Q$860,$U165)),INDEX('MiT Strom Pipeline'!$Q$1:$Q$860,$U165),0))</f>
        <v/>
      </c>
      <c r="I165" s="130" t="str">
        <f aca="false">IF($U165="","",INDEX('MiT Strom Pipeline'!$R$1:$R$860,$U165))</f>
        <v/>
      </c>
      <c r="J165" s="133" t="str">
        <f aca="false">IF($U165="","",IF(ISNUMBER(INDEX('MiT Strom Pipeline'!$S$1:$S$860,$U165)),INDEX('MiT Strom Pipeline'!$S$1:$S$860,$U165),""))</f>
        <v/>
      </c>
      <c r="K165" s="129" t="str">
        <f aca="false">IF($U165="","",IF(LEN(INDEX('MiT Strom Pipeline'!$V$1:$V$860,$U165))&gt;0,LEFT(INDEX('MiT Strom Pipeline'!$V$1:$V$860,$U165),55),""))</f>
        <v/>
      </c>
      <c r="L165" s="112"/>
      <c r="M165" s="112"/>
      <c r="N165" s="112"/>
      <c r="O165" s="112"/>
      <c r="P165" s="112"/>
      <c r="Q165" s="112"/>
      <c r="R165" s="112"/>
      <c r="S165" s="112"/>
      <c r="U165" s="1" t="str">
        <f aca="false">IFERROR(MATCH(27,'MiT Strom Pipeline'!$AO$6:$AO$860,0)+5,"")</f>
        <v/>
      </c>
    </row>
    <row r="166" customFormat="false" ht="15.75" hidden="false" customHeight="true" outlineLevel="0" collapsed="false">
      <c r="A166" s="128" t="str">
        <f aca="false">IF($U166="","",IF(ISNUMBER(INDEX('MiT Strom Pipeline'!$A$1:$A$860,$U166)),INDEX('MiT Strom Pipeline'!$A$1:$A$860,$U166),""))</f>
        <v/>
      </c>
      <c r="B166" s="129" t="str">
        <f aca="false">IF($U166="","",IF(INDEX('MiT Strom Pipeline'!$B$1:$B$860,$U166)="","",INDEX('MiT Strom Pipeline'!$B$1:$B$860,$U166)))</f>
        <v/>
      </c>
      <c r="C166" s="130" t="str">
        <f aca="false">IF($U166="","",IF(INDEX('MiT Strom Pipeline'!$C$1:$C$860,$U166)="","",INDEX('MiT Strom Pipeline'!$C$1:$C$860,$U166)))</f>
        <v/>
      </c>
      <c r="D166" s="129" t="str">
        <f aca="false">IF($U166="","",IF(INDEX('MiT Strom Pipeline'!$D$1:$D$860,$U166)="","",INDEX('MiT Strom Pipeline'!$D$1:$D$860,$U166)))</f>
        <v/>
      </c>
      <c r="E166" s="131" t="str">
        <f aca="false">IF($U166="","",IF(ISNUMBER(INDEX('MiT Strom Pipeline'!$O$1:$O$860,$U166)),INDEX('MiT Strom Pipeline'!$O$1:$O$860,$U166),IF(INDEX('MiT Strom Pipeline'!$H$1:$H$860,$U166)="","",INDEX('MiT Strom Pipeline'!$H$1:$H$860,$U166))))</f>
        <v/>
      </c>
      <c r="F166" s="129" t="str">
        <f aca="false">IF($U166="","",IF(INDEX('MiT Strom Pipeline'!$E$1:$E$860,$U166)="","",INDEX('MiT Strom Pipeline'!$E$1:$E$860,$U166)))</f>
        <v/>
      </c>
      <c r="G166" s="132" t="str">
        <f aca="false">IF($U166="","",IF(ISNUMBER(INDEX('MiT Strom Pipeline'!$I$1:$I$860,$U166)),INDEX('MiT Strom Pipeline'!$I$1:$I$860,$U166),0))</f>
        <v/>
      </c>
      <c r="H166" s="132" t="str">
        <f aca="false">IF($U166="","",IF(ISNUMBER(INDEX('MiT Strom Pipeline'!$Q$1:$Q$860,$U166)),INDEX('MiT Strom Pipeline'!$Q$1:$Q$860,$U166),0))</f>
        <v/>
      </c>
      <c r="I166" s="130" t="str">
        <f aca="false">IF($U166="","",INDEX('MiT Strom Pipeline'!$R$1:$R$860,$U166))</f>
        <v/>
      </c>
      <c r="J166" s="133" t="str">
        <f aca="false">IF($U166="","",IF(ISNUMBER(INDEX('MiT Strom Pipeline'!$S$1:$S$860,$U166)),INDEX('MiT Strom Pipeline'!$S$1:$S$860,$U166),""))</f>
        <v/>
      </c>
      <c r="K166" s="129" t="str">
        <f aca="false">IF($U166="","",IF(LEN(INDEX('MiT Strom Pipeline'!$V$1:$V$860,$U166))&gt;0,LEFT(INDEX('MiT Strom Pipeline'!$V$1:$V$860,$U166),55),""))</f>
        <v/>
      </c>
      <c r="L166" s="112"/>
      <c r="M166" s="112"/>
      <c r="N166" s="112"/>
      <c r="O166" s="112"/>
      <c r="P166" s="112"/>
      <c r="Q166" s="112"/>
      <c r="R166" s="112"/>
      <c r="S166" s="112"/>
      <c r="U166" s="1" t="str">
        <f aca="false">IFERROR(MATCH(28,'MiT Strom Pipeline'!$AO$6:$AO$860,0)+5,"")</f>
        <v/>
      </c>
    </row>
    <row r="167" customFormat="false" ht="15.75" hidden="false" customHeight="true" outlineLevel="0" collapsed="false">
      <c r="A167" s="128" t="str">
        <f aca="false">IF($U167="","",IF(ISNUMBER(INDEX('MiT Strom Pipeline'!$A$1:$A$860,$U167)),INDEX('MiT Strom Pipeline'!$A$1:$A$860,$U167),""))</f>
        <v/>
      </c>
      <c r="B167" s="129" t="str">
        <f aca="false">IF($U167="","",IF(INDEX('MiT Strom Pipeline'!$B$1:$B$860,$U167)="","",INDEX('MiT Strom Pipeline'!$B$1:$B$860,$U167)))</f>
        <v/>
      </c>
      <c r="C167" s="130" t="str">
        <f aca="false">IF($U167="","",IF(INDEX('MiT Strom Pipeline'!$C$1:$C$860,$U167)="","",INDEX('MiT Strom Pipeline'!$C$1:$C$860,$U167)))</f>
        <v/>
      </c>
      <c r="D167" s="129" t="str">
        <f aca="false">IF($U167="","",IF(INDEX('MiT Strom Pipeline'!$D$1:$D$860,$U167)="","",INDEX('MiT Strom Pipeline'!$D$1:$D$860,$U167)))</f>
        <v/>
      </c>
      <c r="E167" s="131" t="str">
        <f aca="false">IF($U167="","",IF(ISNUMBER(INDEX('MiT Strom Pipeline'!$O$1:$O$860,$U167)),INDEX('MiT Strom Pipeline'!$O$1:$O$860,$U167),IF(INDEX('MiT Strom Pipeline'!$H$1:$H$860,$U167)="","",INDEX('MiT Strom Pipeline'!$H$1:$H$860,$U167))))</f>
        <v/>
      </c>
      <c r="F167" s="129" t="str">
        <f aca="false">IF($U167="","",IF(INDEX('MiT Strom Pipeline'!$E$1:$E$860,$U167)="","",INDEX('MiT Strom Pipeline'!$E$1:$E$860,$U167)))</f>
        <v/>
      </c>
      <c r="G167" s="132" t="str">
        <f aca="false">IF($U167="","",IF(ISNUMBER(INDEX('MiT Strom Pipeline'!$I$1:$I$860,$U167)),INDEX('MiT Strom Pipeline'!$I$1:$I$860,$U167),0))</f>
        <v/>
      </c>
      <c r="H167" s="132" t="str">
        <f aca="false">IF($U167="","",IF(ISNUMBER(INDEX('MiT Strom Pipeline'!$Q$1:$Q$860,$U167)),INDEX('MiT Strom Pipeline'!$Q$1:$Q$860,$U167),0))</f>
        <v/>
      </c>
      <c r="I167" s="130" t="str">
        <f aca="false">IF($U167="","",INDEX('MiT Strom Pipeline'!$R$1:$R$860,$U167))</f>
        <v/>
      </c>
      <c r="J167" s="133" t="str">
        <f aca="false">IF($U167="","",IF(ISNUMBER(INDEX('MiT Strom Pipeline'!$S$1:$S$860,$U167)),INDEX('MiT Strom Pipeline'!$S$1:$S$860,$U167),""))</f>
        <v/>
      </c>
      <c r="K167" s="129" t="str">
        <f aca="false">IF($U167="","",IF(LEN(INDEX('MiT Strom Pipeline'!$V$1:$V$860,$U167))&gt;0,LEFT(INDEX('MiT Strom Pipeline'!$V$1:$V$860,$U167),55),""))</f>
        <v/>
      </c>
      <c r="L167" s="112"/>
      <c r="M167" s="112"/>
      <c r="N167" s="112"/>
      <c r="O167" s="112"/>
      <c r="P167" s="112"/>
      <c r="Q167" s="112"/>
      <c r="R167" s="112"/>
      <c r="S167" s="112"/>
      <c r="U167" s="1" t="str">
        <f aca="false">IFERROR(MATCH(29,'MiT Strom Pipeline'!$AO$6:$AO$860,0)+5,"")</f>
        <v/>
      </c>
    </row>
    <row r="168" customFormat="false" ht="15.75" hidden="false" customHeight="true" outlineLevel="0" collapsed="false">
      <c r="A168" s="128" t="str">
        <f aca="false">IF($U168="","",IF(ISNUMBER(INDEX('MiT Strom Pipeline'!$A$1:$A$860,$U168)),INDEX('MiT Strom Pipeline'!$A$1:$A$860,$U168),""))</f>
        <v/>
      </c>
      <c r="B168" s="129" t="str">
        <f aca="false">IF($U168="","",IF(INDEX('MiT Strom Pipeline'!$B$1:$B$860,$U168)="","",INDEX('MiT Strom Pipeline'!$B$1:$B$860,$U168)))</f>
        <v/>
      </c>
      <c r="C168" s="130" t="str">
        <f aca="false">IF($U168="","",IF(INDEX('MiT Strom Pipeline'!$C$1:$C$860,$U168)="","",INDEX('MiT Strom Pipeline'!$C$1:$C$860,$U168)))</f>
        <v/>
      </c>
      <c r="D168" s="129" t="str">
        <f aca="false">IF($U168="","",IF(INDEX('MiT Strom Pipeline'!$D$1:$D$860,$U168)="","",INDEX('MiT Strom Pipeline'!$D$1:$D$860,$U168)))</f>
        <v/>
      </c>
      <c r="E168" s="131" t="str">
        <f aca="false">IF($U168="","",IF(ISNUMBER(INDEX('MiT Strom Pipeline'!$O$1:$O$860,$U168)),INDEX('MiT Strom Pipeline'!$O$1:$O$860,$U168),IF(INDEX('MiT Strom Pipeline'!$H$1:$H$860,$U168)="","",INDEX('MiT Strom Pipeline'!$H$1:$H$860,$U168))))</f>
        <v/>
      </c>
      <c r="F168" s="129" t="str">
        <f aca="false">IF($U168="","",IF(INDEX('MiT Strom Pipeline'!$E$1:$E$860,$U168)="","",INDEX('MiT Strom Pipeline'!$E$1:$E$860,$U168)))</f>
        <v/>
      </c>
      <c r="G168" s="132" t="str">
        <f aca="false">IF($U168="","",IF(ISNUMBER(INDEX('MiT Strom Pipeline'!$I$1:$I$860,$U168)),INDEX('MiT Strom Pipeline'!$I$1:$I$860,$U168),0))</f>
        <v/>
      </c>
      <c r="H168" s="132" t="str">
        <f aca="false">IF($U168="","",IF(ISNUMBER(INDEX('MiT Strom Pipeline'!$Q$1:$Q$860,$U168)),INDEX('MiT Strom Pipeline'!$Q$1:$Q$860,$U168),0))</f>
        <v/>
      </c>
      <c r="I168" s="130" t="str">
        <f aca="false">IF($U168="","",INDEX('MiT Strom Pipeline'!$R$1:$R$860,$U168))</f>
        <v/>
      </c>
      <c r="J168" s="133" t="str">
        <f aca="false">IF($U168="","",IF(ISNUMBER(INDEX('MiT Strom Pipeline'!$S$1:$S$860,$U168)),INDEX('MiT Strom Pipeline'!$S$1:$S$860,$U168),""))</f>
        <v/>
      </c>
      <c r="K168" s="129" t="str">
        <f aca="false">IF($U168="","",IF(LEN(INDEX('MiT Strom Pipeline'!$V$1:$V$860,$U168))&gt;0,LEFT(INDEX('MiT Strom Pipeline'!$V$1:$V$860,$U168),55),""))</f>
        <v/>
      </c>
      <c r="L168" s="112"/>
      <c r="M168" s="112"/>
      <c r="N168" s="112"/>
      <c r="O168" s="112"/>
      <c r="P168" s="112"/>
      <c r="Q168" s="112"/>
      <c r="R168" s="112"/>
      <c r="S168" s="112"/>
      <c r="U168" s="1" t="str">
        <f aca="false">IFERROR(MATCH(30,'MiT Strom Pipeline'!$AO$6:$AO$860,0)+5,"")</f>
        <v/>
      </c>
    </row>
    <row r="169" customFormat="false" ht="15.75" hidden="false" customHeight="true" outlineLevel="0" collapsed="false">
      <c r="A169" s="128" t="str">
        <f aca="false">IF($U169="","",IF(ISNUMBER(INDEX('MiT Strom Pipeline'!$A$1:$A$860,$U169)),INDEX('MiT Strom Pipeline'!$A$1:$A$860,$U169),""))</f>
        <v/>
      </c>
      <c r="B169" s="129" t="str">
        <f aca="false">IF($U169="","",IF(INDEX('MiT Strom Pipeline'!$B$1:$B$860,$U169)="","",INDEX('MiT Strom Pipeline'!$B$1:$B$860,$U169)))</f>
        <v/>
      </c>
      <c r="C169" s="130" t="str">
        <f aca="false">IF($U169="","",IF(INDEX('MiT Strom Pipeline'!$C$1:$C$860,$U169)="","",INDEX('MiT Strom Pipeline'!$C$1:$C$860,$U169)))</f>
        <v/>
      </c>
      <c r="D169" s="129" t="str">
        <f aca="false">IF($U169="","",IF(INDEX('MiT Strom Pipeline'!$D$1:$D$860,$U169)="","",INDEX('MiT Strom Pipeline'!$D$1:$D$860,$U169)))</f>
        <v/>
      </c>
      <c r="E169" s="131" t="str">
        <f aca="false">IF($U169="","",IF(ISNUMBER(INDEX('MiT Strom Pipeline'!$O$1:$O$860,$U169)),INDEX('MiT Strom Pipeline'!$O$1:$O$860,$U169),IF(INDEX('MiT Strom Pipeline'!$H$1:$H$860,$U169)="","",INDEX('MiT Strom Pipeline'!$H$1:$H$860,$U169))))</f>
        <v/>
      </c>
      <c r="F169" s="129" t="str">
        <f aca="false">IF($U169="","",IF(INDEX('MiT Strom Pipeline'!$E$1:$E$860,$U169)="","",INDEX('MiT Strom Pipeline'!$E$1:$E$860,$U169)))</f>
        <v/>
      </c>
      <c r="G169" s="132" t="str">
        <f aca="false">IF($U169="","",IF(ISNUMBER(INDEX('MiT Strom Pipeline'!$I$1:$I$860,$U169)),INDEX('MiT Strom Pipeline'!$I$1:$I$860,$U169),0))</f>
        <v/>
      </c>
      <c r="H169" s="132" t="str">
        <f aca="false">IF($U169="","",IF(ISNUMBER(INDEX('MiT Strom Pipeline'!$Q$1:$Q$860,$U169)),INDEX('MiT Strom Pipeline'!$Q$1:$Q$860,$U169),0))</f>
        <v/>
      </c>
      <c r="I169" s="130" t="str">
        <f aca="false">IF($U169="","",INDEX('MiT Strom Pipeline'!$R$1:$R$860,$U169))</f>
        <v/>
      </c>
      <c r="J169" s="133" t="str">
        <f aca="false">IF($U169="","",IF(ISNUMBER(INDEX('MiT Strom Pipeline'!$S$1:$S$860,$U169)),INDEX('MiT Strom Pipeline'!$S$1:$S$860,$U169),""))</f>
        <v/>
      </c>
      <c r="K169" s="129" t="str">
        <f aca="false">IF($U169="","",IF(LEN(INDEX('MiT Strom Pipeline'!$V$1:$V$860,$U169))&gt;0,LEFT(INDEX('MiT Strom Pipeline'!$V$1:$V$860,$U169),55),""))</f>
        <v/>
      </c>
      <c r="L169" s="112"/>
      <c r="M169" s="112"/>
      <c r="N169" s="112"/>
      <c r="O169" s="112"/>
      <c r="P169" s="112"/>
      <c r="Q169" s="112"/>
      <c r="R169" s="112"/>
      <c r="S169" s="112"/>
      <c r="U169" s="1" t="str">
        <f aca="false">IFERROR(MATCH(31,'MiT Strom Pipeline'!$AO$6:$AO$860,0)+5,"")</f>
        <v/>
      </c>
    </row>
    <row r="170" customFormat="false" ht="15.75" hidden="false" customHeight="true" outlineLevel="0" collapsed="false">
      <c r="A170" s="128" t="str">
        <f aca="false">IF($U170="","",IF(ISNUMBER(INDEX('MiT Strom Pipeline'!$A$1:$A$860,$U170)),INDEX('MiT Strom Pipeline'!$A$1:$A$860,$U170),""))</f>
        <v/>
      </c>
      <c r="B170" s="129" t="str">
        <f aca="false">IF($U170="","",IF(INDEX('MiT Strom Pipeline'!$B$1:$B$860,$U170)="","",INDEX('MiT Strom Pipeline'!$B$1:$B$860,$U170)))</f>
        <v/>
      </c>
      <c r="C170" s="130" t="str">
        <f aca="false">IF($U170="","",IF(INDEX('MiT Strom Pipeline'!$C$1:$C$860,$U170)="","",INDEX('MiT Strom Pipeline'!$C$1:$C$860,$U170)))</f>
        <v/>
      </c>
      <c r="D170" s="129" t="str">
        <f aca="false">IF($U170="","",IF(INDEX('MiT Strom Pipeline'!$D$1:$D$860,$U170)="","",INDEX('MiT Strom Pipeline'!$D$1:$D$860,$U170)))</f>
        <v/>
      </c>
      <c r="E170" s="131" t="str">
        <f aca="false">IF($U170="","",IF(ISNUMBER(INDEX('MiT Strom Pipeline'!$O$1:$O$860,$U170)),INDEX('MiT Strom Pipeline'!$O$1:$O$860,$U170),IF(INDEX('MiT Strom Pipeline'!$H$1:$H$860,$U170)="","",INDEX('MiT Strom Pipeline'!$H$1:$H$860,$U170))))</f>
        <v/>
      </c>
      <c r="F170" s="129" t="str">
        <f aca="false">IF($U170="","",IF(INDEX('MiT Strom Pipeline'!$E$1:$E$860,$U170)="","",INDEX('MiT Strom Pipeline'!$E$1:$E$860,$U170)))</f>
        <v/>
      </c>
      <c r="G170" s="132" t="str">
        <f aca="false">IF($U170="","",IF(ISNUMBER(INDEX('MiT Strom Pipeline'!$I$1:$I$860,$U170)),INDEX('MiT Strom Pipeline'!$I$1:$I$860,$U170),0))</f>
        <v/>
      </c>
      <c r="H170" s="132" t="str">
        <f aca="false">IF($U170="","",IF(ISNUMBER(INDEX('MiT Strom Pipeline'!$Q$1:$Q$860,$U170)),INDEX('MiT Strom Pipeline'!$Q$1:$Q$860,$U170),0))</f>
        <v/>
      </c>
      <c r="I170" s="130" t="str">
        <f aca="false">IF($U170="","",INDEX('MiT Strom Pipeline'!$R$1:$R$860,$U170))</f>
        <v/>
      </c>
      <c r="J170" s="133" t="str">
        <f aca="false">IF($U170="","",IF(ISNUMBER(INDEX('MiT Strom Pipeline'!$S$1:$S$860,$U170)),INDEX('MiT Strom Pipeline'!$S$1:$S$860,$U170),""))</f>
        <v/>
      </c>
      <c r="K170" s="129" t="str">
        <f aca="false">IF($U170="","",IF(LEN(INDEX('MiT Strom Pipeline'!$V$1:$V$860,$U170))&gt;0,LEFT(INDEX('MiT Strom Pipeline'!$V$1:$V$860,$U170),55),""))</f>
        <v/>
      </c>
      <c r="L170" s="112"/>
      <c r="M170" s="112"/>
      <c r="N170" s="112"/>
      <c r="O170" s="112"/>
      <c r="P170" s="112"/>
      <c r="Q170" s="112"/>
      <c r="R170" s="112"/>
      <c r="S170" s="112"/>
      <c r="U170" s="1" t="str">
        <f aca="false">IFERROR(MATCH(32,'MiT Strom Pipeline'!$AO$6:$AO$860,0)+5,"")</f>
        <v/>
      </c>
    </row>
    <row r="171" customFormat="false" ht="15.75" hidden="false" customHeight="true" outlineLevel="0" collapsed="false">
      <c r="A171" s="128" t="str">
        <f aca="false">IF($U171="","",IF(ISNUMBER(INDEX('MiT Strom Pipeline'!$A$1:$A$860,$U171)),INDEX('MiT Strom Pipeline'!$A$1:$A$860,$U171),""))</f>
        <v/>
      </c>
      <c r="B171" s="129" t="str">
        <f aca="false">IF($U171="","",IF(INDEX('MiT Strom Pipeline'!$B$1:$B$860,$U171)="","",INDEX('MiT Strom Pipeline'!$B$1:$B$860,$U171)))</f>
        <v/>
      </c>
      <c r="C171" s="130" t="str">
        <f aca="false">IF($U171="","",IF(INDEX('MiT Strom Pipeline'!$C$1:$C$860,$U171)="","",INDEX('MiT Strom Pipeline'!$C$1:$C$860,$U171)))</f>
        <v/>
      </c>
      <c r="D171" s="129" t="str">
        <f aca="false">IF($U171="","",IF(INDEX('MiT Strom Pipeline'!$D$1:$D$860,$U171)="","",INDEX('MiT Strom Pipeline'!$D$1:$D$860,$U171)))</f>
        <v/>
      </c>
      <c r="E171" s="131" t="str">
        <f aca="false">IF($U171="","",IF(ISNUMBER(INDEX('MiT Strom Pipeline'!$O$1:$O$860,$U171)),INDEX('MiT Strom Pipeline'!$O$1:$O$860,$U171),IF(INDEX('MiT Strom Pipeline'!$H$1:$H$860,$U171)="","",INDEX('MiT Strom Pipeline'!$H$1:$H$860,$U171))))</f>
        <v/>
      </c>
      <c r="F171" s="129" t="str">
        <f aca="false">IF($U171="","",IF(INDEX('MiT Strom Pipeline'!$E$1:$E$860,$U171)="","",INDEX('MiT Strom Pipeline'!$E$1:$E$860,$U171)))</f>
        <v/>
      </c>
      <c r="G171" s="132" t="str">
        <f aca="false">IF($U171="","",IF(ISNUMBER(INDEX('MiT Strom Pipeline'!$I$1:$I$860,$U171)),INDEX('MiT Strom Pipeline'!$I$1:$I$860,$U171),0))</f>
        <v/>
      </c>
      <c r="H171" s="132" t="str">
        <f aca="false">IF($U171="","",IF(ISNUMBER(INDEX('MiT Strom Pipeline'!$Q$1:$Q$860,$U171)),INDEX('MiT Strom Pipeline'!$Q$1:$Q$860,$U171),0))</f>
        <v/>
      </c>
      <c r="I171" s="130" t="str">
        <f aca="false">IF($U171="","",INDEX('MiT Strom Pipeline'!$R$1:$R$860,$U171))</f>
        <v/>
      </c>
      <c r="J171" s="133" t="str">
        <f aca="false">IF($U171="","",IF(ISNUMBER(INDEX('MiT Strom Pipeline'!$S$1:$S$860,$U171)),INDEX('MiT Strom Pipeline'!$S$1:$S$860,$U171),""))</f>
        <v/>
      </c>
      <c r="K171" s="129" t="str">
        <f aca="false">IF($U171="","",IF(LEN(INDEX('MiT Strom Pipeline'!$V$1:$V$860,$U171))&gt;0,LEFT(INDEX('MiT Strom Pipeline'!$V$1:$V$860,$U171),55),""))</f>
        <v/>
      </c>
      <c r="L171" s="112"/>
      <c r="M171" s="112"/>
      <c r="N171" s="112"/>
      <c r="O171" s="112"/>
      <c r="P171" s="112"/>
      <c r="Q171" s="112"/>
      <c r="R171" s="112"/>
      <c r="S171" s="112"/>
      <c r="U171" s="1" t="str">
        <f aca="false">IFERROR(MATCH(33,'MiT Strom Pipeline'!$AO$6:$AO$860,0)+5,"")</f>
        <v/>
      </c>
    </row>
    <row r="172" customFormat="false" ht="15.75" hidden="false" customHeight="true" outlineLevel="0" collapsed="false">
      <c r="A172" s="128" t="str">
        <f aca="false">IF($U172="","",IF(ISNUMBER(INDEX('MiT Strom Pipeline'!$A$1:$A$860,$U172)),INDEX('MiT Strom Pipeline'!$A$1:$A$860,$U172),""))</f>
        <v/>
      </c>
      <c r="B172" s="129" t="str">
        <f aca="false">IF($U172="","",IF(INDEX('MiT Strom Pipeline'!$B$1:$B$860,$U172)="","",INDEX('MiT Strom Pipeline'!$B$1:$B$860,$U172)))</f>
        <v/>
      </c>
      <c r="C172" s="130" t="str">
        <f aca="false">IF($U172="","",IF(INDEX('MiT Strom Pipeline'!$C$1:$C$860,$U172)="","",INDEX('MiT Strom Pipeline'!$C$1:$C$860,$U172)))</f>
        <v/>
      </c>
      <c r="D172" s="129" t="str">
        <f aca="false">IF($U172="","",IF(INDEX('MiT Strom Pipeline'!$D$1:$D$860,$U172)="","",INDEX('MiT Strom Pipeline'!$D$1:$D$860,$U172)))</f>
        <v/>
      </c>
      <c r="E172" s="131" t="str">
        <f aca="false">IF($U172="","",IF(ISNUMBER(INDEX('MiT Strom Pipeline'!$O$1:$O$860,$U172)),INDEX('MiT Strom Pipeline'!$O$1:$O$860,$U172),IF(INDEX('MiT Strom Pipeline'!$H$1:$H$860,$U172)="","",INDEX('MiT Strom Pipeline'!$H$1:$H$860,$U172))))</f>
        <v/>
      </c>
      <c r="F172" s="129" t="str">
        <f aca="false">IF($U172="","",IF(INDEX('MiT Strom Pipeline'!$E$1:$E$860,$U172)="","",INDEX('MiT Strom Pipeline'!$E$1:$E$860,$U172)))</f>
        <v/>
      </c>
      <c r="G172" s="132" t="str">
        <f aca="false">IF($U172="","",IF(ISNUMBER(INDEX('MiT Strom Pipeline'!$I$1:$I$860,$U172)),INDEX('MiT Strom Pipeline'!$I$1:$I$860,$U172),0))</f>
        <v/>
      </c>
      <c r="H172" s="132" t="str">
        <f aca="false">IF($U172="","",IF(ISNUMBER(INDEX('MiT Strom Pipeline'!$Q$1:$Q$860,$U172)),INDEX('MiT Strom Pipeline'!$Q$1:$Q$860,$U172),0))</f>
        <v/>
      </c>
      <c r="I172" s="130" t="str">
        <f aca="false">IF($U172="","",INDEX('MiT Strom Pipeline'!$R$1:$R$860,$U172))</f>
        <v/>
      </c>
      <c r="J172" s="133" t="str">
        <f aca="false">IF($U172="","",IF(ISNUMBER(INDEX('MiT Strom Pipeline'!$S$1:$S$860,$U172)),INDEX('MiT Strom Pipeline'!$S$1:$S$860,$U172),""))</f>
        <v/>
      </c>
      <c r="K172" s="129" t="str">
        <f aca="false">IF($U172="","",IF(LEN(INDEX('MiT Strom Pipeline'!$V$1:$V$860,$U172))&gt;0,LEFT(INDEX('MiT Strom Pipeline'!$V$1:$V$860,$U172),55),""))</f>
        <v/>
      </c>
      <c r="L172" s="112"/>
      <c r="M172" s="112"/>
      <c r="N172" s="112"/>
      <c r="O172" s="112"/>
      <c r="P172" s="112"/>
      <c r="Q172" s="112"/>
      <c r="R172" s="112"/>
      <c r="S172" s="112"/>
      <c r="U172" s="1" t="str">
        <f aca="false">IFERROR(MATCH(34,'MiT Strom Pipeline'!$AO$6:$AO$860,0)+5,"")</f>
        <v/>
      </c>
    </row>
    <row r="173" customFormat="false" ht="15.75" hidden="false" customHeight="true" outlineLevel="0" collapsed="false">
      <c r="A173" s="128" t="str">
        <f aca="false">IF($U173="","",IF(ISNUMBER(INDEX('MiT Strom Pipeline'!$A$1:$A$860,$U173)),INDEX('MiT Strom Pipeline'!$A$1:$A$860,$U173),""))</f>
        <v/>
      </c>
      <c r="B173" s="129" t="str">
        <f aca="false">IF($U173="","",IF(INDEX('MiT Strom Pipeline'!$B$1:$B$860,$U173)="","",INDEX('MiT Strom Pipeline'!$B$1:$B$860,$U173)))</f>
        <v/>
      </c>
      <c r="C173" s="130" t="str">
        <f aca="false">IF($U173="","",IF(INDEX('MiT Strom Pipeline'!$C$1:$C$860,$U173)="","",INDEX('MiT Strom Pipeline'!$C$1:$C$860,$U173)))</f>
        <v/>
      </c>
      <c r="D173" s="129" t="str">
        <f aca="false">IF($U173="","",IF(INDEX('MiT Strom Pipeline'!$D$1:$D$860,$U173)="","",INDEX('MiT Strom Pipeline'!$D$1:$D$860,$U173)))</f>
        <v/>
      </c>
      <c r="E173" s="131" t="str">
        <f aca="false">IF($U173="","",IF(ISNUMBER(INDEX('MiT Strom Pipeline'!$O$1:$O$860,$U173)),INDEX('MiT Strom Pipeline'!$O$1:$O$860,$U173),IF(INDEX('MiT Strom Pipeline'!$H$1:$H$860,$U173)="","",INDEX('MiT Strom Pipeline'!$H$1:$H$860,$U173))))</f>
        <v/>
      </c>
      <c r="F173" s="129" t="str">
        <f aca="false">IF($U173="","",IF(INDEX('MiT Strom Pipeline'!$E$1:$E$860,$U173)="","",INDEX('MiT Strom Pipeline'!$E$1:$E$860,$U173)))</f>
        <v/>
      </c>
      <c r="G173" s="132" t="str">
        <f aca="false">IF($U173="","",IF(ISNUMBER(INDEX('MiT Strom Pipeline'!$I$1:$I$860,$U173)),INDEX('MiT Strom Pipeline'!$I$1:$I$860,$U173),0))</f>
        <v/>
      </c>
      <c r="H173" s="132" t="str">
        <f aca="false">IF($U173="","",IF(ISNUMBER(INDEX('MiT Strom Pipeline'!$Q$1:$Q$860,$U173)),INDEX('MiT Strom Pipeline'!$Q$1:$Q$860,$U173),0))</f>
        <v/>
      </c>
      <c r="I173" s="130" t="str">
        <f aca="false">IF($U173="","",INDEX('MiT Strom Pipeline'!$R$1:$R$860,$U173))</f>
        <v/>
      </c>
      <c r="J173" s="133" t="str">
        <f aca="false">IF($U173="","",IF(ISNUMBER(INDEX('MiT Strom Pipeline'!$S$1:$S$860,$U173)),INDEX('MiT Strom Pipeline'!$S$1:$S$860,$U173),""))</f>
        <v/>
      </c>
      <c r="K173" s="129" t="str">
        <f aca="false">IF($U173="","",IF(LEN(INDEX('MiT Strom Pipeline'!$V$1:$V$860,$U173))&gt;0,LEFT(INDEX('MiT Strom Pipeline'!$V$1:$V$860,$U173),55),""))</f>
        <v/>
      </c>
      <c r="L173" s="112"/>
      <c r="M173" s="112"/>
      <c r="N173" s="112"/>
      <c r="O173" s="112"/>
      <c r="P173" s="112"/>
      <c r="Q173" s="112"/>
      <c r="R173" s="112"/>
      <c r="S173" s="112"/>
      <c r="U173" s="1" t="str">
        <f aca="false">IFERROR(MATCH(35,'MiT Strom Pipeline'!$AO$6:$AO$860,0)+5,"")</f>
        <v/>
      </c>
    </row>
    <row r="174" customFormat="false" ht="15.75" hidden="false" customHeight="true" outlineLevel="0" collapsed="false">
      <c r="A174" s="128" t="str">
        <f aca="false">IF($U174="","",IF(ISNUMBER(INDEX('MiT Strom Pipeline'!$A$1:$A$860,$U174)),INDEX('MiT Strom Pipeline'!$A$1:$A$860,$U174),""))</f>
        <v/>
      </c>
      <c r="B174" s="129" t="str">
        <f aca="false">IF($U174="","",IF(INDEX('MiT Strom Pipeline'!$B$1:$B$860,$U174)="","",INDEX('MiT Strom Pipeline'!$B$1:$B$860,$U174)))</f>
        <v/>
      </c>
      <c r="C174" s="130" t="str">
        <f aca="false">IF($U174="","",IF(INDEX('MiT Strom Pipeline'!$C$1:$C$860,$U174)="","",INDEX('MiT Strom Pipeline'!$C$1:$C$860,$U174)))</f>
        <v/>
      </c>
      <c r="D174" s="129" t="str">
        <f aca="false">IF($U174="","",IF(INDEX('MiT Strom Pipeline'!$D$1:$D$860,$U174)="","",INDEX('MiT Strom Pipeline'!$D$1:$D$860,$U174)))</f>
        <v/>
      </c>
      <c r="E174" s="131" t="str">
        <f aca="false">IF($U174="","",IF(ISNUMBER(INDEX('MiT Strom Pipeline'!$O$1:$O$860,$U174)),INDEX('MiT Strom Pipeline'!$O$1:$O$860,$U174),IF(INDEX('MiT Strom Pipeline'!$H$1:$H$860,$U174)="","",INDEX('MiT Strom Pipeline'!$H$1:$H$860,$U174))))</f>
        <v/>
      </c>
      <c r="F174" s="129" t="str">
        <f aca="false">IF($U174="","",IF(INDEX('MiT Strom Pipeline'!$E$1:$E$860,$U174)="","",INDEX('MiT Strom Pipeline'!$E$1:$E$860,$U174)))</f>
        <v/>
      </c>
      <c r="G174" s="132" t="str">
        <f aca="false">IF($U174="","",IF(ISNUMBER(INDEX('MiT Strom Pipeline'!$I$1:$I$860,$U174)),INDEX('MiT Strom Pipeline'!$I$1:$I$860,$U174),0))</f>
        <v/>
      </c>
      <c r="H174" s="132" t="str">
        <f aca="false">IF($U174="","",IF(ISNUMBER(INDEX('MiT Strom Pipeline'!$Q$1:$Q$860,$U174)),INDEX('MiT Strom Pipeline'!$Q$1:$Q$860,$U174),0))</f>
        <v/>
      </c>
      <c r="I174" s="130" t="str">
        <f aca="false">IF($U174="","",INDEX('MiT Strom Pipeline'!$R$1:$R$860,$U174))</f>
        <v/>
      </c>
      <c r="J174" s="133" t="str">
        <f aca="false">IF($U174="","",IF(ISNUMBER(INDEX('MiT Strom Pipeline'!$S$1:$S$860,$U174)),INDEX('MiT Strom Pipeline'!$S$1:$S$860,$U174),""))</f>
        <v/>
      </c>
      <c r="K174" s="129" t="str">
        <f aca="false">IF($U174="","",IF(LEN(INDEX('MiT Strom Pipeline'!$V$1:$V$860,$U174))&gt;0,LEFT(INDEX('MiT Strom Pipeline'!$V$1:$V$860,$U174),55),""))</f>
        <v/>
      </c>
      <c r="L174" s="112"/>
      <c r="M174" s="112"/>
      <c r="N174" s="112"/>
      <c r="O174" s="112"/>
      <c r="P174" s="112"/>
      <c r="Q174" s="112"/>
      <c r="R174" s="112"/>
      <c r="S174" s="112"/>
      <c r="U174" s="1" t="str">
        <f aca="false">IFERROR(MATCH(36,'MiT Strom Pipeline'!$AO$6:$AO$860,0)+5,"")</f>
        <v/>
      </c>
    </row>
    <row r="175" customFormat="false" ht="15.75" hidden="false" customHeight="true" outlineLevel="0" collapsed="false">
      <c r="A175" s="128" t="str">
        <f aca="false">IF($U175="","",IF(ISNUMBER(INDEX('MiT Strom Pipeline'!$A$1:$A$860,$U175)),INDEX('MiT Strom Pipeline'!$A$1:$A$860,$U175),""))</f>
        <v/>
      </c>
      <c r="B175" s="129" t="str">
        <f aca="false">IF($U175="","",IF(INDEX('MiT Strom Pipeline'!$B$1:$B$860,$U175)="","",INDEX('MiT Strom Pipeline'!$B$1:$B$860,$U175)))</f>
        <v/>
      </c>
      <c r="C175" s="130" t="str">
        <f aca="false">IF($U175="","",IF(INDEX('MiT Strom Pipeline'!$C$1:$C$860,$U175)="","",INDEX('MiT Strom Pipeline'!$C$1:$C$860,$U175)))</f>
        <v/>
      </c>
      <c r="D175" s="129" t="str">
        <f aca="false">IF($U175="","",IF(INDEX('MiT Strom Pipeline'!$D$1:$D$860,$U175)="","",INDEX('MiT Strom Pipeline'!$D$1:$D$860,$U175)))</f>
        <v/>
      </c>
      <c r="E175" s="131" t="str">
        <f aca="false">IF($U175="","",IF(ISNUMBER(INDEX('MiT Strom Pipeline'!$O$1:$O$860,$U175)),INDEX('MiT Strom Pipeline'!$O$1:$O$860,$U175),IF(INDEX('MiT Strom Pipeline'!$H$1:$H$860,$U175)="","",INDEX('MiT Strom Pipeline'!$H$1:$H$860,$U175))))</f>
        <v/>
      </c>
      <c r="F175" s="129" t="str">
        <f aca="false">IF($U175="","",IF(INDEX('MiT Strom Pipeline'!$E$1:$E$860,$U175)="","",INDEX('MiT Strom Pipeline'!$E$1:$E$860,$U175)))</f>
        <v/>
      </c>
      <c r="G175" s="132" t="str">
        <f aca="false">IF($U175="","",IF(ISNUMBER(INDEX('MiT Strom Pipeline'!$I$1:$I$860,$U175)),INDEX('MiT Strom Pipeline'!$I$1:$I$860,$U175),0))</f>
        <v/>
      </c>
      <c r="H175" s="132" t="str">
        <f aca="false">IF($U175="","",IF(ISNUMBER(INDEX('MiT Strom Pipeline'!$Q$1:$Q$860,$U175)),INDEX('MiT Strom Pipeline'!$Q$1:$Q$860,$U175),0))</f>
        <v/>
      </c>
      <c r="I175" s="130" t="str">
        <f aca="false">IF($U175="","",INDEX('MiT Strom Pipeline'!$R$1:$R$860,$U175))</f>
        <v/>
      </c>
      <c r="J175" s="133" t="str">
        <f aca="false">IF($U175="","",IF(ISNUMBER(INDEX('MiT Strom Pipeline'!$S$1:$S$860,$U175)),INDEX('MiT Strom Pipeline'!$S$1:$S$860,$U175),""))</f>
        <v/>
      </c>
      <c r="K175" s="129" t="str">
        <f aca="false">IF($U175="","",IF(LEN(INDEX('MiT Strom Pipeline'!$V$1:$V$860,$U175))&gt;0,LEFT(INDEX('MiT Strom Pipeline'!$V$1:$V$860,$U175),55),""))</f>
        <v/>
      </c>
      <c r="L175" s="112"/>
      <c r="M175" s="112"/>
      <c r="N175" s="112"/>
      <c r="O175" s="112"/>
      <c r="P175" s="112"/>
      <c r="Q175" s="112"/>
      <c r="R175" s="112"/>
      <c r="S175" s="112"/>
      <c r="U175" s="1" t="str">
        <f aca="false">IFERROR(MATCH(37,'MiT Strom Pipeline'!$AO$6:$AO$860,0)+5,"")</f>
        <v/>
      </c>
    </row>
    <row r="176" customFormat="false" ht="15.75" hidden="false" customHeight="true" outlineLevel="0" collapsed="false">
      <c r="A176" s="128" t="str">
        <f aca="false">IF($U176="","",IF(ISNUMBER(INDEX('MiT Strom Pipeline'!$A$1:$A$860,$U176)),INDEX('MiT Strom Pipeline'!$A$1:$A$860,$U176),""))</f>
        <v/>
      </c>
      <c r="B176" s="129" t="str">
        <f aca="false">IF($U176="","",IF(INDEX('MiT Strom Pipeline'!$B$1:$B$860,$U176)="","",INDEX('MiT Strom Pipeline'!$B$1:$B$860,$U176)))</f>
        <v/>
      </c>
      <c r="C176" s="130" t="str">
        <f aca="false">IF($U176="","",IF(INDEX('MiT Strom Pipeline'!$C$1:$C$860,$U176)="","",INDEX('MiT Strom Pipeline'!$C$1:$C$860,$U176)))</f>
        <v/>
      </c>
      <c r="D176" s="129" t="str">
        <f aca="false">IF($U176="","",IF(INDEX('MiT Strom Pipeline'!$D$1:$D$860,$U176)="","",INDEX('MiT Strom Pipeline'!$D$1:$D$860,$U176)))</f>
        <v/>
      </c>
      <c r="E176" s="131" t="str">
        <f aca="false">IF($U176="","",IF(ISNUMBER(INDEX('MiT Strom Pipeline'!$O$1:$O$860,$U176)),INDEX('MiT Strom Pipeline'!$O$1:$O$860,$U176),IF(INDEX('MiT Strom Pipeline'!$H$1:$H$860,$U176)="","",INDEX('MiT Strom Pipeline'!$H$1:$H$860,$U176))))</f>
        <v/>
      </c>
      <c r="F176" s="129" t="str">
        <f aca="false">IF($U176="","",IF(INDEX('MiT Strom Pipeline'!$E$1:$E$860,$U176)="","",INDEX('MiT Strom Pipeline'!$E$1:$E$860,$U176)))</f>
        <v/>
      </c>
      <c r="G176" s="132" t="str">
        <f aca="false">IF($U176="","",IF(ISNUMBER(INDEX('MiT Strom Pipeline'!$I$1:$I$860,$U176)),INDEX('MiT Strom Pipeline'!$I$1:$I$860,$U176),0))</f>
        <v/>
      </c>
      <c r="H176" s="132" t="str">
        <f aca="false">IF($U176="","",IF(ISNUMBER(INDEX('MiT Strom Pipeline'!$Q$1:$Q$860,$U176)),INDEX('MiT Strom Pipeline'!$Q$1:$Q$860,$U176),0))</f>
        <v/>
      </c>
      <c r="I176" s="130" t="str">
        <f aca="false">IF($U176="","",INDEX('MiT Strom Pipeline'!$R$1:$R$860,$U176))</f>
        <v/>
      </c>
      <c r="J176" s="133" t="str">
        <f aca="false">IF($U176="","",IF(ISNUMBER(INDEX('MiT Strom Pipeline'!$S$1:$S$860,$U176)),INDEX('MiT Strom Pipeline'!$S$1:$S$860,$U176),""))</f>
        <v/>
      </c>
      <c r="K176" s="129" t="str">
        <f aca="false">IF($U176="","",IF(LEN(INDEX('MiT Strom Pipeline'!$V$1:$V$860,$U176))&gt;0,LEFT(INDEX('MiT Strom Pipeline'!$V$1:$V$860,$U176),55),""))</f>
        <v/>
      </c>
      <c r="L176" s="112"/>
      <c r="M176" s="112"/>
      <c r="N176" s="112"/>
      <c r="O176" s="112"/>
      <c r="P176" s="112"/>
      <c r="Q176" s="112"/>
      <c r="R176" s="112"/>
      <c r="S176" s="112"/>
      <c r="U176" s="1" t="str">
        <f aca="false">IFERROR(MATCH(38,'MiT Strom Pipeline'!$AO$6:$AO$860,0)+5,"")</f>
        <v/>
      </c>
    </row>
    <row r="177" customFormat="false" ht="15.75" hidden="false" customHeight="true" outlineLevel="0" collapsed="false">
      <c r="A177" s="128" t="str">
        <f aca="false">IF($U177="","",IF(ISNUMBER(INDEX('MiT Strom Pipeline'!$A$1:$A$860,$U177)),INDEX('MiT Strom Pipeline'!$A$1:$A$860,$U177),""))</f>
        <v/>
      </c>
      <c r="B177" s="129" t="str">
        <f aca="false">IF($U177="","",IF(INDEX('MiT Strom Pipeline'!$B$1:$B$860,$U177)="","",INDEX('MiT Strom Pipeline'!$B$1:$B$860,$U177)))</f>
        <v/>
      </c>
      <c r="C177" s="130" t="str">
        <f aca="false">IF($U177="","",IF(INDEX('MiT Strom Pipeline'!$C$1:$C$860,$U177)="","",INDEX('MiT Strom Pipeline'!$C$1:$C$860,$U177)))</f>
        <v/>
      </c>
      <c r="D177" s="129" t="str">
        <f aca="false">IF($U177="","",IF(INDEX('MiT Strom Pipeline'!$D$1:$D$860,$U177)="","",INDEX('MiT Strom Pipeline'!$D$1:$D$860,$U177)))</f>
        <v/>
      </c>
      <c r="E177" s="131" t="str">
        <f aca="false">IF($U177="","",IF(ISNUMBER(INDEX('MiT Strom Pipeline'!$O$1:$O$860,$U177)),INDEX('MiT Strom Pipeline'!$O$1:$O$860,$U177),IF(INDEX('MiT Strom Pipeline'!$H$1:$H$860,$U177)="","",INDEX('MiT Strom Pipeline'!$H$1:$H$860,$U177))))</f>
        <v/>
      </c>
      <c r="F177" s="129" t="str">
        <f aca="false">IF($U177="","",IF(INDEX('MiT Strom Pipeline'!$E$1:$E$860,$U177)="","",INDEX('MiT Strom Pipeline'!$E$1:$E$860,$U177)))</f>
        <v/>
      </c>
      <c r="G177" s="132" t="str">
        <f aca="false">IF($U177="","",IF(ISNUMBER(INDEX('MiT Strom Pipeline'!$I$1:$I$860,$U177)),INDEX('MiT Strom Pipeline'!$I$1:$I$860,$U177),0))</f>
        <v/>
      </c>
      <c r="H177" s="132" t="str">
        <f aca="false">IF($U177="","",IF(ISNUMBER(INDEX('MiT Strom Pipeline'!$Q$1:$Q$860,$U177)),INDEX('MiT Strom Pipeline'!$Q$1:$Q$860,$U177),0))</f>
        <v/>
      </c>
      <c r="I177" s="130" t="str">
        <f aca="false">IF($U177="","",INDEX('MiT Strom Pipeline'!$R$1:$R$860,$U177))</f>
        <v/>
      </c>
      <c r="J177" s="133" t="str">
        <f aca="false">IF($U177="","",IF(ISNUMBER(INDEX('MiT Strom Pipeline'!$S$1:$S$860,$U177)),INDEX('MiT Strom Pipeline'!$S$1:$S$860,$U177),""))</f>
        <v/>
      </c>
      <c r="K177" s="129" t="str">
        <f aca="false">IF($U177="","",IF(LEN(INDEX('MiT Strom Pipeline'!$V$1:$V$860,$U177))&gt;0,LEFT(INDEX('MiT Strom Pipeline'!$V$1:$V$860,$U177),55),""))</f>
        <v/>
      </c>
      <c r="L177" s="112"/>
      <c r="M177" s="112"/>
      <c r="N177" s="112"/>
      <c r="O177" s="112"/>
      <c r="P177" s="112"/>
      <c r="Q177" s="112"/>
      <c r="R177" s="112"/>
      <c r="S177" s="112"/>
      <c r="U177" s="1" t="str">
        <f aca="false">IFERROR(MATCH(39,'MiT Strom Pipeline'!$AO$6:$AO$860,0)+5,"")</f>
        <v/>
      </c>
    </row>
    <row r="178" customFormat="false" ht="15.75" hidden="false" customHeight="true" outlineLevel="0" collapsed="false">
      <c r="A178" s="128" t="str">
        <f aca="false">IF($U178="","",IF(ISNUMBER(INDEX('MiT Strom Pipeline'!$A$1:$A$860,$U178)),INDEX('MiT Strom Pipeline'!$A$1:$A$860,$U178),""))</f>
        <v/>
      </c>
      <c r="B178" s="129" t="str">
        <f aca="false">IF($U178="","",IF(INDEX('MiT Strom Pipeline'!$B$1:$B$860,$U178)="","",INDEX('MiT Strom Pipeline'!$B$1:$B$860,$U178)))</f>
        <v/>
      </c>
      <c r="C178" s="130" t="str">
        <f aca="false">IF($U178="","",IF(INDEX('MiT Strom Pipeline'!$C$1:$C$860,$U178)="","",INDEX('MiT Strom Pipeline'!$C$1:$C$860,$U178)))</f>
        <v/>
      </c>
      <c r="D178" s="129" t="str">
        <f aca="false">IF($U178="","",IF(INDEX('MiT Strom Pipeline'!$D$1:$D$860,$U178)="","",INDEX('MiT Strom Pipeline'!$D$1:$D$860,$U178)))</f>
        <v/>
      </c>
      <c r="E178" s="131" t="str">
        <f aca="false">IF($U178="","",IF(ISNUMBER(INDEX('MiT Strom Pipeline'!$O$1:$O$860,$U178)),INDEX('MiT Strom Pipeline'!$O$1:$O$860,$U178),IF(INDEX('MiT Strom Pipeline'!$H$1:$H$860,$U178)="","",INDEX('MiT Strom Pipeline'!$H$1:$H$860,$U178))))</f>
        <v/>
      </c>
      <c r="F178" s="129" t="str">
        <f aca="false">IF($U178="","",IF(INDEX('MiT Strom Pipeline'!$E$1:$E$860,$U178)="","",INDEX('MiT Strom Pipeline'!$E$1:$E$860,$U178)))</f>
        <v/>
      </c>
      <c r="G178" s="132" t="str">
        <f aca="false">IF($U178="","",IF(ISNUMBER(INDEX('MiT Strom Pipeline'!$I$1:$I$860,$U178)),INDEX('MiT Strom Pipeline'!$I$1:$I$860,$U178),0))</f>
        <v/>
      </c>
      <c r="H178" s="132" t="str">
        <f aca="false">IF($U178="","",IF(ISNUMBER(INDEX('MiT Strom Pipeline'!$Q$1:$Q$860,$U178)),INDEX('MiT Strom Pipeline'!$Q$1:$Q$860,$U178),0))</f>
        <v/>
      </c>
      <c r="I178" s="130" t="str">
        <f aca="false">IF($U178="","",INDEX('MiT Strom Pipeline'!$R$1:$R$860,$U178))</f>
        <v/>
      </c>
      <c r="J178" s="133" t="str">
        <f aca="false">IF($U178="","",IF(ISNUMBER(INDEX('MiT Strom Pipeline'!$S$1:$S$860,$U178)),INDEX('MiT Strom Pipeline'!$S$1:$S$860,$U178),""))</f>
        <v/>
      </c>
      <c r="K178" s="129" t="str">
        <f aca="false">IF($U178="","",IF(LEN(INDEX('MiT Strom Pipeline'!$V$1:$V$860,$U178))&gt;0,LEFT(INDEX('MiT Strom Pipeline'!$V$1:$V$860,$U178),55),""))</f>
        <v/>
      </c>
      <c r="L178" s="112"/>
      <c r="M178" s="112"/>
      <c r="N178" s="112"/>
      <c r="O178" s="112"/>
      <c r="P178" s="112"/>
      <c r="Q178" s="112"/>
      <c r="R178" s="112"/>
      <c r="S178" s="112"/>
      <c r="U178" s="1" t="str">
        <f aca="false">IFERROR(MATCH(40,'MiT Strom Pipeline'!$AO$6:$AO$860,0)+5,"")</f>
        <v/>
      </c>
    </row>
    <row r="179" customFormat="false" ht="15.75" hidden="false" customHeight="true" outlineLevel="0" collapsed="false">
      <c r="A179" s="128" t="str">
        <f aca="false">IF($U179="","",IF(ISNUMBER(INDEX('MiT Strom Pipeline'!$A$1:$A$860,$U179)),INDEX('MiT Strom Pipeline'!$A$1:$A$860,$U179),""))</f>
        <v/>
      </c>
      <c r="B179" s="129" t="str">
        <f aca="false">IF($U179="","",IF(INDEX('MiT Strom Pipeline'!$B$1:$B$860,$U179)="","",INDEX('MiT Strom Pipeline'!$B$1:$B$860,$U179)))</f>
        <v/>
      </c>
      <c r="C179" s="130" t="str">
        <f aca="false">IF($U179="","",IF(INDEX('MiT Strom Pipeline'!$C$1:$C$860,$U179)="","",INDEX('MiT Strom Pipeline'!$C$1:$C$860,$U179)))</f>
        <v/>
      </c>
      <c r="D179" s="129" t="str">
        <f aca="false">IF($U179="","",IF(INDEX('MiT Strom Pipeline'!$D$1:$D$860,$U179)="","",INDEX('MiT Strom Pipeline'!$D$1:$D$860,$U179)))</f>
        <v/>
      </c>
      <c r="E179" s="131" t="str">
        <f aca="false">IF($U179="","",IF(ISNUMBER(INDEX('MiT Strom Pipeline'!$O$1:$O$860,$U179)),INDEX('MiT Strom Pipeline'!$O$1:$O$860,$U179),IF(INDEX('MiT Strom Pipeline'!$H$1:$H$860,$U179)="","",INDEX('MiT Strom Pipeline'!$H$1:$H$860,$U179))))</f>
        <v/>
      </c>
      <c r="F179" s="129" t="str">
        <f aca="false">IF($U179="","",IF(INDEX('MiT Strom Pipeline'!$E$1:$E$860,$U179)="","",INDEX('MiT Strom Pipeline'!$E$1:$E$860,$U179)))</f>
        <v/>
      </c>
      <c r="G179" s="132" t="str">
        <f aca="false">IF($U179="","",IF(ISNUMBER(INDEX('MiT Strom Pipeline'!$I$1:$I$860,$U179)),INDEX('MiT Strom Pipeline'!$I$1:$I$860,$U179),0))</f>
        <v/>
      </c>
      <c r="H179" s="132" t="str">
        <f aca="false">IF($U179="","",IF(ISNUMBER(INDEX('MiT Strom Pipeline'!$Q$1:$Q$860,$U179)),INDEX('MiT Strom Pipeline'!$Q$1:$Q$860,$U179),0))</f>
        <v/>
      </c>
      <c r="I179" s="130" t="str">
        <f aca="false">IF($U179="","",INDEX('MiT Strom Pipeline'!$R$1:$R$860,$U179))</f>
        <v/>
      </c>
      <c r="J179" s="133" t="str">
        <f aca="false">IF($U179="","",IF(ISNUMBER(INDEX('MiT Strom Pipeline'!$S$1:$S$860,$U179)),INDEX('MiT Strom Pipeline'!$S$1:$S$860,$U179),""))</f>
        <v/>
      </c>
      <c r="K179" s="129" t="str">
        <f aca="false">IF($U179="","",IF(LEN(INDEX('MiT Strom Pipeline'!$V$1:$V$860,$U179))&gt;0,LEFT(INDEX('MiT Strom Pipeline'!$V$1:$V$860,$U179),55),""))</f>
        <v/>
      </c>
      <c r="L179" s="112"/>
      <c r="M179" s="112"/>
      <c r="N179" s="112"/>
      <c r="O179" s="112"/>
      <c r="P179" s="112"/>
      <c r="Q179" s="112"/>
      <c r="R179" s="112"/>
      <c r="S179" s="112"/>
      <c r="U179" s="1" t="str">
        <f aca="false">IFERROR(MATCH(41,'MiT Strom Pipeline'!$AO$6:$AO$860,0)+5,"")</f>
        <v/>
      </c>
    </row>
    <row r="180" customFormat="false" ht="15.75" hidden="false" customHeight="true" outlineLevel="0" collapsed="false">
      <c r="A180" s="128" t="str">
        <f aca="false">IF($U180="","",IF(ISNUMBER(INDEX('MiT Strom Pipeline'!$A$1:$A$860,$U180)),INDEX('MiT Strom Pipeline'!$A$1:$A$860,$U180),""))</f>
        <v/>
      </c>
      <c r="B180" s="129" t="str">
        <f aca="false">IF($U180="","",IF(INDEX('MiT Strom Pipeline'!$B$1:$B$860,$U180)="","",INDEX('MiT Strom Pipeline'!$B$1:$B$860,$U180)))</f>
        <v/>
      </c>
      <c r="C180" s="130" t="str">
        <f aca="false">IF($U180="","",IF(INDEX('MiT Strom Pipeline'!$C$1:$C$860,$U180)="","",INDEX('MiT Strom Pipeline'!$C$1:$C$860,$U180)))</f>
        <v/>
      </c>
      <c r="D180" s="129" t="str">
        <f aca="false">IF($U180="","",IF(INDEX('MiT Strom Pipeline'!$D$1:$D$860,$U180)="","",INDEX('MiT Strom Pipeline'!$D$1:$D$860,$U180)))</f>
        <v/>
      </c>
      <c r="E180" s="131" t="str">
        <f aca="false">IF($U180="","",IF(ISNUMBER(INDEX('MiT Strom Pipeline'!$O$1:$O$860,$U180)),INDEX('MiT Strom Pipeline'!$O$1:$O$860,$U180),IF(INDEX('MiT Strom Pipeline'!$H$1:$H$860,$U180)="","",INDEX('MiT Strom Pipeline'!$H$1:$H$860,$U180))))</f>
        <v/>
      </c>
      <c r="F180" s="129" t="str">
        <f aca="false">IF($U180="","",IF(INDEX('MiT Strom Pipeline'!$E$1:$E$860,$U180)="","",INDEX('MiT Strom Pipeline'!$E$1:$E$860,$U180)))</f>
        <v/>
      </c>
      <c r="G180" s="132" t="str">
        <f aca="false">IF($U180="","",IF(ISNUMBER(INDEX('MiT Strom Pipeline'!$I$1:$I$860,$U180)),INDEX('MiT Strom Pipeline'!$I$1:$I$860,$U180),0))</f>
        <v/>
      </c>
      <c r="H180" s="132" t="str">
        <f aca="false">IF($U180="","",IF(ISNUMBER(INDEX('MiT Strom Pipeline'!$Q$1:$Q$860,$U180)),INDEX('MiT Strom Pipeline'!$Q$1:$Q$860,$U180),0))</f>
        <v/>
      </c>
      <c r="I180" s="130" t="str">
        <f aca="false">IF($U180="","",INDEX('MiT Strom Pipeline'!$R$1:$R$860,$U180))</f>
        <v/>
      </c>
      <c r="J180" s="133" t="str">
        <f aca="false">IF($U180="","",IF(ISNUMBER(INDEX('MiT Strom Pipeline'!$S$1:$S$860,$U180)),INDEX('MiT Strom Pipeline'!$S$1:$S$860,$U180),""))</f>
        <v/>
      </c>
      <c r="K180" s="129" t="str">
        <f aca="false">IF($U180="","",IF(LEN(INDEX('MiT Strom Pipeline'!$V$1:$V$860,$U180))&gt;0,LEFT(INDEX('MiT Strom Pipeline'!$V$1:$V$860,$U180),55),""))</f>
        <v/>
      </c>
      <c r="L180" s="112"/>
      <c r="M180" s="112"/>
      <c r="N180" s="112"/>
      <c r="O180" s="112"/>
      <c r="P180" s="112"/>
      <c r="Q180" s="112"/>
      <c r="R180" s="112"/>
      <c r="S180" s="112"/>
      <c r="U180" s="1" t="str">
        <f aca="false">IFERROR(MATCH(42,'MiT Strom Pipeline'!$AO$6:$AO$860,0)+5,"")</f>
        <v/>
      </c>
    </row>
    <row r="181" customFormat="false" ht="15.75" hidden="false" customHeight="true" outlineLevel="0" collapsed="false">
      <c r="A181" s="128" t="str">
        <f aca="false">IF($U181="","",IF(ISNUMBER(INDEX('MiT Strom Pipeline'!$A$1:$A$860,$U181)),INDEX('MiT Strom Pipeline'!$A$1:$A$860,$U181),""))</f>
        <v/>
      </c>
      <c r="B181" s="129" t="str">
        <f aca="false">IF($U181="","",IF(INDEX('MiT Strom Pipeline'!$B$1:$B$860,$U181)="","",INDEX('MiT Strom Pipeline'!$B$1:$B$860,$U181)))</f>
        <v/>
      </c>
      <c r="C181" s="130" t="str">
        <f aca="false">IF($U181="","",IF(INDEX('MiT Strom Pipeline'!$C$1:$C$860,$U181)="","",INDEX('MiT Strom Pipeline'!$C$1:$C$860,$U181)))</f>
        <v/>
      </c>
      <c r="D181" s="129" t="str">
        <f aca="false">IF($U181="","",IF(INDEX('MiT Strom Pipeline'!$D$1:$D$860,$U181)="","",INDEX('MiT Strom Pipeline'!$D$1:$D$860,$U181)))</f>
        <v/>
      </c>
      <c r="E181" s="131" t="str">
        <f aca="false">IF($U181="","",IF(ISNUMBER(INDEX('MiT Strom Pipeline'!$O$1:$O$860,$U181)),INDEX('MiT Strom Pipeline'!$O$1:$O$860,$U181),IF(INDEX('MiT Strom Pipeline'!$H$1:$H$860,$U181)="","",INDEX('MiT Strom Pipeline'!$H$1:$H$860,$U181))))</f>
        <v/>
      </c>
      <c r="F181" s="129" t="str">
        <f aca="false">IF($U181="","",IF(INDEX('MiT Strom Pipeline'!$E$1:$E$860,$U181)="","",INDEX('MiT Strom Pipeline'!$E$1:$E$860,$U181)))</f>
        <v/>
      </c>
      <c r="G181" s="132" t="str">
        <f aca="false">IF($U181="","",IF(ISNUMBER(INDEX('MiT Strom Pipeline'!$I$1:$I$860,$U181)),INDEX('MiT Strom Pipeline'!$I$1:$I$860,$U181),0))</f>
        <v/>
      </c>
      <c r="H181" s="132" t="str">
        <f aca="false">IF($U181="","",IF(ISNUMBER(INDEX('MiT Strom Pipeline'!$Q$1:$Q$860,$U181)),INDEX('MiT Strom Pipeline'!$Q$1:$Q$860,$U181),0))</f>
        <v/>
      </c>
      <c r="I181" s="130" t="str">
        <f aca="false">IF($U181="","",INDEX('MiT Strom Pipeline'!$R$1:$R$860,$U181))</f>
        <v/>
      </c>
      <c r="J181" s="133" t="str">
        <f aca="false">IF($U181="","",IF(ISNUMBER(INDEX('MiT Strom Pipeline'!$S$1:$S$860,$U181)),INDEX('MiT Strom Pipeline'!$S$1:$S$860,$U181),""))</f>
        <v/>
      </c>
      <c r="K181" s="129" t="str">
        <f aca="false">IF($U181="","",IF(LEN(INDEX('MiT Strom Pipeline'!$V$1:$V$860,$U181))&gt;0,LEFT(INDEX('MiT Strom Pipeline'!$V$1:$V$860,$U181),55),""))</f>
        <v/>
      </c>
      <c r="L181" s="112"/>
      <c r="M181" s="112"/>
      <c r="N181" s="112"/>
      <c r="O181" s="112"/>
      <c r="P181" s="112"/>
      <c r="Q181" s="112"/>
      <c r="R181" s="112"/>
      <c r="S181" s="112"/>
      <c r="U181" s="1" t="str">
        <f aca="false">IFERROR(MATCH(43,'MiT Strom Pipeline'!$AO$6:$AO$860,0)+5,"")</f>
        <v/>
      </c>
    </row>
    <row r="182" customFormat="false" ht="15.75" hidden="false" customHeight="true" outlineLevel="0" collapsed="false">
      <c r="A182" s="128" t="str">
        <f aca="false">IF($U182="","",IF(ISNUMBER(INDEX('MiT Strom Pipeline'!$A$1:$A$860,$U182)),INDEX('MiT Strom Pipeline'!$A$1:$A$860,$U182),""))</f>
        <v/>
      </c>
      <c r="B182" s="129" t="str">
        <f aca="false">IF($U182="","",IF(INDEX('MiT Strom Pipeline'!$B$1:$B$860,$U182)="","",INDEX('MiT Strom Pipeline'!$B$1:$B$860,$U182)))</f>
        <v/>
      </c>
      <c r="C182" s="130" t="str">
        <f aca="false">IF($U182="","",IF(INDEX('MiT Strom Pipeline'!$C$1:$C$860,$U182)="","",INDEX('MiT Strom Pipeline'!$C$1:$C$860,$U182)))</f>
        <v/>
      </c>
      <c r="D182" s="129" t="str">
        <f aca="false">IF($U182="","",IF(INDEX('MiT Strom Pipeline'!$D$1:$D$860,$U182)="","",INDEX('MiT Strom Pipeline'!$D$1:$D$860,$U182)))</f>
        <v/>
      </c>
      <c r="E182" s="131" t="str">
        <f aca="false">IF($U182="","",IF(ISNUMBER(INDEX('MiT Strom Pipeline'!$O$1:$O$860,$U182)),INDEX('MiT Strom Pipeline'!$O$1:$O$860,$U182),IF(INDEX('MiT Strom Pipeline'!$H$1:$H$860,$U182)="","",INDEX('MiT Strom Pipeline'!$H$1:$H$860,$U182))))</f>
        <v/>
      </c>
      <c r="F182" s="129" t="str">
        <f aca="false">IF($U182="","",IF(INDEX('MiT Strom Pipeline'!$E$1:$E$860,$U182)="","",INDEX('MiT Strom Pipeline'!$E$1:$E$860,$U182)))</f>
        <v/>
      </c>
      <c r="G182" s="132" t="str">
        <f aca="false">IF($U182="","",IF(ISNUMBER(INDEX('MiT Strom Pipeline'!$I$1:$I$860,$U182)),INDEX('MiT Strom Pipeline'!$I$1:$I$860,$U182),0))</f>
        <v/>
      </c>
      <c r="H182" s="132" t="str">
        <f aca="false">IF($U182="","",IF(ISNUMBER(INDEX('MiT Strom Pipeline'!$Q$1:$Q$860,$U182)),INDEX('MiT Strom Pipeline'!$Q$1:$Q$860,$U182),0))</f>
        <v/>
      </c>
      <c r="I182" s="130" t="str">
        <f aca="false">IF($U182="","",INDEX('MiT Strom Pipeline'!$R$1:$R$860,$U182))</f>
        <v/>
      </c>
      <c r="J182" s="133" t="str">
        <f aca="false">IF($U182="","",IF(ISNUMBER(INDEX('MiT Strom Pipeline'!$S$1:$S$860,$U182)),INDEX('MiT Strom Pipeline'!$S$1:$S$860,$U182),""))</f>
        <v/>
      </c>
      <c r="K182" s="129" t="str">
        <f aca="false">IF($U182="","",IF(LEN(INDEX('MiT Strom Pipeline'!$V$1:$V$860,$U182))&gt;0,LEFT(INDEX('MiT Strom Pipeline'!$V$1:$V$860,$U182),55),""))</f>
        <v/>
      </c>
      <c r="L182" s="112"/>
      <c r="M182" s="112"/>
      <c r="N182" s="112"/>
      <c r="O182" s="112"/>
      <c r="P182" s="112"/>
      <c r="Q182" s="112"/>
      <c r="R182" s="112"/>
      <c r="S182" s="112"/>
      <c r="U182" s="1" t="str">
        <f aca="false">IFERROR(MATCH(44,'MiT Strom Pipeline'!$AO$6:$AO$860,0)+5,"")</f>
        <v/>
      </c>
    </row>
    <row r="183" customFormat="false" ht="15.75" hidden="false" customHeight="true" outlineLevel="0" collapsed="false">
      <c r="A183" s="128" t="str">
        <f aca="false">IF($U183="","",IF(ISNUMBER(INDEX('MiT Strom Pipeline'!$A$1:$A$860,$U183)),INDEX('MiT Strom Pipeline'!$A$1:$A$860,$U183),""))</f>
        <v/>
      </c>
      <c r="B183" s="129" t="str">
        <f aca="false">IF($U183="","",IF(INDEX('MiT Strom Pipeline'!$B$1:$B$860,$U183)="","",INDEX('MiT Strom Pipeline'!$B$1:$B$860,$U183)))</f>
        <v/>
      </c>
      <c r="C183" s="130" t="str">
        <f aca="false">IF($U183="","",IF(INDEX('MiT Strom Pipeline'!$C$1:$C$860,$U183)="","",INDEX('MiT Strom Pipeline'!$C$1:$C$860,$U183)))</f>
        <v/>
      </c>
      <c r="D183" s="129" t="str">
        <f aca="false">IF($U183="","",IF(INDEX('MiT Strom Pipeline'!$D$1:$D$860,$U183)="","",INDEX('MiT Strom Pipeline'!$D$1:$D$860,$U183)))</f>
        <v/>
      </c>
      <c r="E183" s="131" t="str">
        <f aca="false">IF($U183="","",IF(ISNUMBER(INDEX('MiT Strom Pipeline'!$O$1:$O$860,$U183)),INDEX('MiT Strom Pipeline'!$O$1:$O$860,$U183),IF(INDEX('MiT Strom Pipeline'!$H$1:$H$860,$U183)="","",INDEX('MiT Strom Pipeline'!$H$1:$H$860,$U183))))</f>
        <v/>
      </c>
      <c r="F183" s="129" t="str">
        <f aca="false">IF($U183="","",IF(INDEX('MiT Strom Pipeline'!$E$1:$E$860,$U183)="","",INDEX('MiT Strom Pipeline'!$E$1:$E$860,$U183)))</f>
        <v/>
      </c>
      <c r="G183" s="132" t="str">
        <f aca="false">IF($U183="","",IF(ISNUMBER(INDEX('MiT Strom Pipeline'!$I$1:$I$860,$U183)),INDEX('MiT Strom Pipeline'!$I$1:$I$860,$U183),0))</f>
        <v/>
      </c>
      <c r="H183" s="132" t="str">
        <f aca="false">IF($U183="","",IF(ISNUMBER(INDEX('MiT Strom Pipeline'!$Q$1:$Q$860,$U183)),INDEX('MiT Strom Pipeline'!$Q$1:$Q$860,$U183),0))</f>
        <v/>
      </c>
      <c r="I183" s="130" t="str">
        <f aca="false">IF($U183="","",INDEX('MiT Strom Pipeline'!$R$1:$R$860,$U183))</f>
        <v/>
      </c>
      <c r="J183" s="133" t="str">
        <f aca="false">IF($U183="","",IF(ISNUMBER(INDEX('MiT Strom Pipeline'!$S$1:$S$860,$U183)),INDEX('MiT Strom Pipeline'!$S$1:$S$860,$U183),""))</f>
        <v/>
      </c>
      <c r="K183" s="129" t="str">
        <f aca="false">IF($U183="","",IF(LEN(INDEX('MiT Strom Pipeline'!$V$1:$V$860,$U183))&gt;0,LEFT(INDEX('MiT Strom Pipeline'!$V$1:$V$860,$U183),55),""))</f>
        <v/>
      </c>
      <c r="L183" s="112"/>
      <c r="M183" s="112"/>
      <c r="N183" s="112"/>
      <c r="O183" s="112"/>
      <c r="P183" s="112"/>
      <c r="Q183" s="112"/>
      <c r="R183" s="112"/>
      <c r="S183" s="112"/>
      <c r="U183" s="1" t="str">
        <f aca="false">IFERROR(MATCH(45,'MiT Strom Pipeline'!$AO$6:$AO$860,0)+5,"")</f>
        <v/>
      </c>
    </row>
    <row r="184" customFormat="false" ht="15.75" hidden="false" customHeight="true" outlineLevel="0" collapsed="false">
      <c r="A184" s="128" t="str">
        <f aca="false">IF($U184="","",IF(ISNUMBER(INDEX('MiT Strom Pipeline'!$A$1:$A$860,$U184)),INDEX('MiT Strom Pipeline'!$A$1:$A$860,$U184),""))</f>
        <v/>
      </c>
      <c r="B184" s="129" t="str">
        <f aca="false">IF($U184="","",IF(INDEX('MiT Strom Pipeline'!$B$1:$B$860,$U184)="","",INDEX('MiT Strom Pipeline'!$B$1:$B$860,$U184)))</f>
        <v/>
      </c>
      <c r="C184" s="130" t="str">
        <f aca="false">IF($U184="","",IF(INDEX('MiT Strom Pipeline'!$C$1:$C$860,$U184)="","",INDEX('MiT Strom Pipeline'!$C$1:$C$860,$U184)))</f>
        <v/>
      </c>
      <c r="D184" s="129" t="str">
        <f aca="false">IF($U184="","",IF(INDEX('MiT Strom Pipeline'!$D$1:$D$860,$U184)="","",INDEX('MiT Strom Pipeline'!$D$1:$D$860,$U184)))</f>
        <v/>
      </c>
      <c r="E184" s="131" t="str">
        <f aca="false">IF($U184="","",IF(ISNUMBER(INDEX('MiT Strom Pipeline'!$O$1:$O$860,$U184)),INDEX('MiT Strom Pipeline'!$O$1:$O$860,$U184),IF(INDEX('MiT Strom Pipeline'!$H$1:$H$860,$U184)="","",INDEX('MiT Strom Pipeline'!$H$1:$H$860,$U184))))</f>
        <v/>
      </c>
      <c r="F184" s="129" t="str">
        <f aca="false">IF($U184="","",IF(INDEX('MiT Strom Pipeline'!$E$1:$E$860,$U184)="","",INDEX('MiT Strom Pipeline'!$E$1:$E$860,$U184)))</f>
        <v/>
      </c>
      <c r="G184" s="132" t="str">
        <f aca="false">IF($U184="","",IF(ISNUMBER(INDEX('MiT Strom Pipeline'!$I$1:$I$860,$U184)),INDEX('MiT Strom Pipeline'!$I$1:$I$860,$U184),0))</f>
        <v/>
      </c>
      <c r="H184" s="132" t="str">
        <f aca="false">IF($U184="","",IF(ISNUMBER(INDEX('MiT Strom Pipeline'!$Q$1:$Q$860,$U184)),INDEX('MiT Strom Pipeline'!$Q$1:$Q$860,$U184),0))</f>
        <v/>
      </c>
      <c r="I184" s="130" t="str">
        <f aca="false">IF($U184="","",INDEX('MiT Strom Pipeline'!$R$1:$R$860,$U184))</f>
        <v/>
      </c>
      <c r="J184" s="133" t="str">
        <f aca="false">IF($U184="","",IF(ISNUMBER(INDEX('MiT Strom Pipeline'!$S$1:$S$860,$U184)),INDEX('MiT Strom Pipeline'!$S$1:$S$860,$U184),""))</f>
        <v/>
      </c>
      <c r="K184" s="129" t="str">
        <f aca="false">IF($U184="","",IF(LEN(INDEX('MiT Strom Pipeline'!$V$1:$V$860,$U184))&gt;0,LEFT(INDEX('MiT Strom Pipeline'!$V$1:$V$860,$U184),55),""))</f>
        <v/>
      </c>
      <c r="L184" s="112"/>
      <c r="M184" s="112"/>
      <c r="N184" s="112"/>
      <c r="O184" s="112"/>
      <c r="P184" s="112"/>
      <c r="Q184" s="112"/>
      <c r="R184" s="112"/>
      <c r="S184" s="112"/>
      <c r="U184" s="1" t="str">
        <f aca="false">IFERROR(MATCH(46,'MiT Strom Pipeline'!$AO$6:$AO$860,0)+5,"")</f>
        <v/>
      </c>
    </row>
    <row r="185" customFormat="false" ht="15.75" hidden="false" customHeight="true" outlineLevel="0" collapsed="false">
      <c r="A185" s="128" t="str">
        <f aca="false">IF($U185="","",IF(ISNUMBER(INDEX('MiT Strom Pipeline'!$A$1:$A$860,$U185)),INDEX('MiT Strom Pipeline'!$A$1:$A$860,$U185),""))</f>
        <v/>
      </c>
      <c r="B185" s="129" t="str">
        <f aca="false">IF($U185="","",IF(INDEX('MiT Strom Pipeline'!$B$1:$B$860,$U185)="","",INDEX('MiT Strom Pipeline'!$B$1:$B$860,$U185)))</f>
        <v/>
      </c>
      <c r="C185" s="130" t="str">
        <f aca="false">IF($U185="","",IF(INDEX('MiT Strom Pipeline'!$C$1:$C$860,$U185)="","",INDEX('MiT Strom Pipeline'!$C$1:$C$860,$U185)))</f>
        <v/>
      </c>
      <c r="D185" s="129" t="str">
        <f aca="false">IF($U185="","",IF(INDEX('MiT Strom Pipeline'!$D$1:$D$860,$U185)="","",INDEX('MiT Strom Pipeline'!$D$1:$D$860,$U185)))</f>
        <v/>
      </c>
      <c r="E185" s="131" t="str">
        <f aca="false">IF($U185="","",IF(ISNUMBER(INDEX('MiT Strom Pipeline'!$O$1:$O$860,$U185)),INDEX('MiT Strom Pipeline'!$O$1:$O$860,$U185),IF(INDEX('MiT Strom Pipeline'!$H$1:$H$860,$U185)="","",INDEX('MiT Strom Pipeline'!$H$1:$H$860,$U185))))</f>
        <v/>
      </c>
      <c r="F185" s="129" t="str">
        <f aca="false">IF($U185="","",IF(INDEX('MiT Strom Pipeline'!$E$1:$E$860,$U185)="","",INDEX('MiT Strom Pipeline'!$E$1:$E$860,$U185)))</f>
        <v/>
      </c>
      <c r="G185" s="132" t="str">
        <f aca="false">IF($U185="","",IF(ISNUMBER(INDEX('MiT Strom Pipeline'!$I$1:$I$860,$U185)),INDEX('MiT Strom Pipeline'!$I$1:$I$860,$U185),0))</f>
        <v/>
      </c>
      <c r="H185" s="132" t="str">
        <f aca="false">IF($U185="","",IF(ISNUMBER(INDEX('MiT Strom Pipeline'!$Q$1:$Q$860,$U185)),INDEX('MiT Strom Pipeline'!$Q$1:$Q$860,$U185),0))</f>
        <v/>
      </c>
      <c r="I185" s="130" t="str">
        <f aca="false">IF($U185="","",INDEX('MiT Strom Pipeline'!$R$1:$R$860,$U185))</f>
        <v/>
      </c>
      <c r="J185" s="133" t="str">
        <f aca="false">IF($U185="","",IF(ISNUMBER(INDEX('MiT Strom Pipeline'!$S$1:$S$860,$U185)),INDEX('MiT Strom Pipeline'!$S$1:$S$860,$U185),""))</f>
        <v/>
      </c>
      <c r="K185" s="129" t="str">
        <f aca="false">IF($U185="","",IF(LEN(INDEX('MiT Strom Pipeline'!$V$1:$V$860,$U185))&gt;0,LEFT(INDEX('MiT Strom Pipeline'!$V$1:$V$860,$U185),55),""))</f>
        <v/>
      </c>
      <c r="L185" s="112"/>
      <c r="M185" s="112"/>
      <c r="N185" s="112"/>
      <c r="O185" s="112"/>
      <c r="P185" s="112"/>
      <c r="Q185" s="112"/>
      <c r="R185" s="112"/>
      <c r="S185" s="112"/>
      <c r="U185" s="1" t="str">
        <f aca="false">IFERROR(MATCH(47,'MiT Strom Pipeline'!$AO$6:$AO$860,0)+5,"")</f>
        <v/>
      </c>
    </row>
    <row r="186" customFormat="false" ht="15.75" hidden="false" customHeight="true" outlineLevel="0" collapsed="false">
      <c r="A186" s="128" t="str">
        <f aca="false">IF($U186="","",IF(ISNUMBER(INDEX('MiT Strom Pipeline'!$A$1:$A$860,$U186)),INDEX('MiT Strom Pipeline'!$A$1:$A$860,$U186),""))</f>
        <v/>
      </c>
      <c r="B186" s="129" t="str">
        <f aca="false">IF($U186="","",IF(INDEX('MiT Strom Pipeline'!$B$1:$B$860,$U186)="","",INDEX('MiT Strom Pipeline'!$B$1:$B$860,$U186)))</f>
        <v/>
      </c>
      <c r="C186" s="130" t="str">
        <f aca="false">IF($U186="","",IF(INDEX('MiT Strom Pipeline'!$C$1:$C$860,$U186)="","",INDEX('MiT Strom Pipeline'!$C$1:$C$860,$U186)))</f>
        <v/>
      </c>
      <c r="D186" s="129" t="str">
        <f aca="false">IF($U186="","",IF(INDEX('MiT Strom Pipeline'!$D$1:$D$860,$U186)="","",INDEX('MiT Strom Pipeline'!$D$1:$D$860,$U186)))</f>
        <v/>
      </c>
      <c r="E186" s="131" t="str">
        <f aca="false">IF($U186="","",IF(ISNUMBER(INDEX('MiT Strom Pipeline'!$O$1:$O$860,$U186)),INDEX('MiT Strom Pipeline'!$O$1:$O$860,$U186),IF(INDEX('MiT Strom Pipeline'!$H$1:$H$860,$U186)="","",INDEX('MiT Strom Pipeline'!$H$1:$H$860,$U186))))</f>
        <v/>
      </c>
      <c r="F186" s="129" t="str">
        <f aca="false">IF($U186="","",IF(INDEX('MiT Strom Pipeline'!$E$1:$E$860,$U186)="","",INDEX('MiT Strom Pipeline'!$E$1:$E$860,$U186)))</f>
        <v/>
      </c>
      <c r="G186" s="132" t="str">
        <f aca="false">IF($U186="","",IF(ISNUMBER(INDEX('MiT Strom Pipeline'!$I$1:$I$860,$U186)),INDEX('MiT Strom Pipeline'!$I$1:$I$860,$U186),0))</f>
        <v/>
      </c>
      <c r="H186" s="132" t="str">
        <f aca="false">IF($U186="","",IF(ISNUMBER(INDEX('MiT Strom Pipeline'!$Q$1:$Q$860,$U186)),INDEX('MiT Strom Pipeline'!$Q$1:$Q$860,$U186),0))</f>
        <v/>
      </c>
      <c r="I186" s="130" t="str">
        <f aca="false">IF($U186="","",INDEX('MiT Strom Pipeline'!$R$1:$R$860,$U186))</f>
        <v/>
      </c>
      <c r="J186" s="133" t="str">
        <f aca="false">IF($U186="","",IF(ISNUMBER(INDEX('MiT Strom Pipeline'!$S$1:$S$860,$U186)),INDEX('MiT Strom Pipeline'!$S$1:$S$860,$U186),""))</f>
        <v/>
      </c>
      <c r="K186" s="129" t="str">
        <f aca="false">IF($U186="","",IF(LEN(INDEX('MiT Strom Pipeline'!$V$1:$V$860,$U186))&gt;0,LEFT(INDEX('MiT Strom Pipeline'!$V$1:$V$860,$U186),55),""))</f>
        <v/>
      </c>
      <c r="L186" s="112"/>
      <c r="M186" s="112"/>
      <c r="N186" s="112"/>
      <c r="O186" s="112"/>
      <c r="P186" s="112"/>
      <c r="Q186" s="112"/>
      <c r="R186" s="112"/>
      <c r="S186" s="112"/>
      <c r="U186" s="1" t="str">
        <f aca="false">IFERROR(MATCH(48,'MiT Strom Pipeline'!$AO$6:$AO$860,0)+5,"")</f>
        <v/>
      </c>
    </row>
    <row r="187" customFormat="false" ht="15.75" hidden="false" customHeight="true" outlineLevel="0" collapsed="false">
      <c r="A187" s="128" t="str">
        <f aca="false">IF($U187="","",IF(ISNUMBER(INDEX('MiT Strom Pipeline'!$A$1:$A$860,$U187)),INDEX('MiT Strom Pipeline'!$A$1:$A$860,$U187),""))</f>
        <v/>
      </c>
      <c r="B187" s="129" t="str">
        <f aca="false">IF($U187="","",IF(INDEX('MiT Strom Pipeline'!$B$1:$B$860,$U187)="","",INDEX('MiT Strom Pipeline'!$B$1:$B$860,$U187)))</f>
        <v/>
      </c>
      <c r="C187" s="130" t="str">
        <f aca="false">IF($U187="","",IF(INDEX('MiT Strom Pipeline'!$C$1:$C$860,$U187)="","",INDEX('MiT Strom Pipeline'!$C$1:$C$860,$U187)))</f>
        <v/>
      </c>
      <c r="D187" s="129" t="str">
        <f aca="false">IF($U187="","",IF(INDEX('MiT Strom Pipeline'!$D$1:$D$860,$U187)="","",INDEX('MiT Strom Pipeline'!$D$1:$D$860,$U187)))</f>
        <v/>
      </c>
      <c r="E187" s="131" t="str">
        <f aca="false">IF($U187="","",IF(ISNUMBER(INDEX('MiT Strom Pipeline'!$O$1:$O$860,$U187)),INDEX('MiT Strom Pipeline'!$O$1:$O$860,$U187),IF(INDEX('MiT Strom Pipeline'!$H$1:$H$860,$U187)="","",INDEX('MiT Strom Pipeline'!$H$1:$H$860,$U187))))</f>
        <v/>
      </c>
      <c r="F187" s="129" t="str">
        <f aca="false">IF($U187="","",IF(INDEX('MiT Strom Pipeline'!$E$1:$E$860,$U187)="","",INDEX('MiT Strom Pipeline'!$E$1:$E$860,$U187)))</f>
        <v/>
      </c>
      <c r="G187" s="132" t="str">
        <f aca="false">IF($U187="","",IF(ISNUMBER(INDEX('MiT Strom Pipeline'!$I$1:$I$860,$U187)),INDEX('MiT Strom Pipeline'!$I$1:$I$860,$U187),0))</f>
        <v/>
      </c>
      <c r="H187" s="132" t="str">
        <f aca="false">IF($U187="","",IF(ISNUMBER(INDEX('MiT Strom Pipeline'!$Q$1:$Q$860,$U187)),INDEX('MiT Strom Pipeline'!$Q$1:$Q$860,$U187),0))</f>
        <v/>
      </c>
      <c r="I187" s="130" t="str">
        <f aca="false">IF($U187="","",INDEX('MiT Strom Pipeline'!$R$1:$R$860,$U187))</f>
        <v/>
      </c>
      <c r="J187" s="133" t="str">
        <f aca="false">IF($U187="","",IF(ISNUMBER(INDEX('MiT Strom Pipeline'!$S$1:$S$860,$U187)),INDEX('MiT Strom Pipeline'!$S$1:$S$860,$U187),""))</f>
        <v/>
      </c>
      <c r="K187" s="129" t="str">
        <f aca="false">IF($U187="","",IF(LEN(INDEX('MiT Strom Pipeline'!$V$1:$V$860,$U187))&gt;0,LEFT(INDEX('MiT Strom Pipeline'!$V$1:$V$860,$U187),55),""))</f>
        <v/>
      </c>
      <c r="L187" s="112"/>
      <c r="M187" s="112"/>
      <c r="N187" s="112"/>
      <c r="O187" s="112"/>
      <c r="P187" s="112"/>
      <c r="Q187" s="112"/>
      <c r="R187" s="112"/>
      <c r="S187" s="112"/>
      <c r="U187" s="1" t="str">
        <f aca="false">IFERROR(MATCH(49,'MiT Strom Pipeline'!$AO$6:$AO$860,0)+5,"")</f>
        <v/>
      </c>
    </row>
    <row r="188" customFormat="false" ht="15.75" hidden="false" customHeight="true" outlineLevel="0" collapsed="false">
      <c r="A188" s="128" t="str">
        <f aca="false">IF($U188="","",IF(ISNUMBER(INDEX('MiT Strom Pipeline'!$A$1:$A$860,$U188)),INDEX('MiT Strom Pipeline'!$A$1:$A$860,$U188),""))</f>
        <v/>
      </c>
      <c r="B188" s="129" t="str">
        <f aca="false">IF($U188="","",IF(INDEX('MiT Strom Pipeline'!$B$1:$B$860,$U188)="","",INDEX('MiT Strom Pipeline'!$B$1:$B$860,$U188)))</f>
        <v/>
      </c>
      <c r="C188" s="130" t="str">
        <f aca="false">IF($U188="","",IF(INDEX('MiT Strom Pipeline'!$C$1:$C$860,$U188)="","",INDEX('MiT Strom Pipeline'!$C$1:$C$860,$U188)))</f>
        <v/>
      </c>
      <c r="D188" s="129" t="str">
        <f aca="false">IF($U188="","",IF(INDEX('MiT Strom Pipeline'!$D$1:$D$860,$U188)="","",INDEX('MiT Strom Pipeline'!$D$1:$D$860,$U188)))</f>
        <v/>
      </c>
      <c r="E188" s="131" t="str">
        <f aca="false">IF($U188="","",IF(ISNUMBER(INDEX('MiT Strom Pipeline'!$O$1:$O$860,$U188)),INDEX('MiT Strom Pipeline'!$O$1:$O$860,$U188),IF(INDEX('MiT Strom Pipeline'!$H$1:$H$860,$U188)="","",INDEX('MiT Strom Pipeline'!$H$1:$H$860,$U188))))</f>
        <v/>
      </c>
      <c r="F188" s="129" t="str">
        <f aca="false">IF($U188="","",IF(INDEX('MiT Strom Pipeline'!$E$1:$E$860,$U188)="","",INDEX('MiT Strom Pipeline'!$E$1:$E$860,$U188)))</f>
        <v/>
      </c>
      <c r="G188" s="132" t="str">
        <f aca="false">IF($U188="","",IF(ISNUMBER(INDEX('MiT Strom Pipeline'!$I$1:$I$860,$U188)),INDEX('MiT Strom Pipeline'!$I$1:$I$860,$U188),0))</f>
        <v/>
      </c>
      <c r="H188" s="132" t="str">
        <f aca="false">IF($U188="","",IF(ISNUMBER(INDEX('MiT Strom Pipeline'!$Q$1:$Q$860,$U188)),INDEX('MiT Strom Pipeline'!$Q$1:$Q$860,$U188),0))</f>
        <v/>
      </c>
      <c r="I188" s="130" t="str">
        <f aca="false">IF($U188="","",INDEX('MiT Strom Pipeline'!$R$1:$R$860,$U188))</f>
        <v/>
      </c>
      <c r="J188" s="133" t="str">
        <f aca="false">IF($U188="","",IF(ISNUMBER(INDEX('MiT Strom Pipeline'!$S$1:$S$860,$U188)),INDEX('MiT Strom Pipeline'!$S$1:$S$860,$U188),""))</f>
        <v/>
      </c>
      <c r="K188" s="129" t="str">
        <f aca="false">IF($U188="","",IF(LEN(INDEX('MiT Strom Pipeline'!$V$1:$V$860,$U188))&gt;0,LEFT(INDEX('MiT Strom Pipeline'!$V$1:$V$860,$U188),55),""))</f>
        <v/>
      </c>
      <c r="L188" s="112"/>
      <c r="M188" s="112"/>
      <c r="N188" s="112"/>
      <c r="O188" s="112"/>
      <c r="P188" s="112"/>
      <c r="Q188" s="112"/>
      <c r="R188" s="112"/>
      <c r="S188" s="112"/>
      <c r="U188" s="1" t="str">
        <f aca="false">IFERROR(MATCH(50,'MiT Strom Pipeline'!$AO$6:$AO$860,0)+5,"")</f>
        <v/>
      </c>
    </row>
    <row r="189" customFormat="false" ht="15.75" hidden="false" customHeight="true" outlineLevel="0" collapsed="false">
      <c r="A189" s="128" t="str">
        <f aca="false">IF($U189="","",IF(ISNUMBER(INDEX('MiT Strom Pipeline'!$A$1:$A$860,$U189)),INDEX('MiT Strom Pipeline'!$A$1:$A$860,$U189),""))</f>
        <v/>
      </c>
      <c r="B189" s="129" t="str">
        <f aca="false">IF($U189="","",IF(INDEX('MiT Strom Pipeline'!$B$1:$B$860,$U189)="","",INDEX('MiT Strom Pipeline'!$B$1:$B$860,$U189)))</f>
        <v/>
      </c>
      <c r="C189" s="130" t="str">
        <f aca="false">IF($U189="","",IF(INDEX('MiT Strom Pipeline'!$C$1:$C$860,$U189)="","",INDEX('MiT Strom Pipeline'!$C$1:$C$860,$U189)))</f>
        <v/>
      </c>
      <c r="D189" s="129" t="str">
        <f aca="false">IF($U189="","",IF(INDEX('MiT Strom Pipeline'!$D$1:$D$860,$U189)="","",INDEX('MiT Strom Pipeline'!$D$1:$D$860,$U189)))</f>
        <v/>
      </c>
      <c r="E189" s="131" t="str">
        <f aca="false">IF($U189="","",IF(ISNUMBER(INDEX('MiT Strom Pipeline'!$O$1:$O$860,$U189)),INDEX('MiT Strom Pipeline'!$O$1:$O$860,$U189),IF(INDEX('MiT Strom Pipeline'!$H$1:$H$860,$U189)="","",INDEX('MiT Strom Pipeline'!$H$1:$H$860,$U189))))</f>
        <v/>
      </c>
      <c r="F189" s="129" t="str">
        <f aca="false">IF($U189="","",IF(INDEX('MiT Strom Pipeline'!$E$1:$E$860,$U189)="","",INDEX('MiT Strom Pipeline'!$E$1:$E$860,$U189)))</f>
        <v/>
      </c>
      <c r="G189" s="132" t="str">
        <f aca="false">IF($U189="","",IF(ISNUMBER(INDEX('MiT Strom Pipeline'!$I$1:$I$860,$U189)),INDEX('MiT Strom Pipeline'!$I$1:$I$860,$U189),0))</f>
        <v/>
      </c>
      <c r="H189" s="132" t="str">
        <f aca="false">IF($U189="","",IF(ISNUMBER(INDEX('MiT Strom Pipeline'!$Q$1:$Q$860,$U189)),INDEX('MiT Strom Pipeline'!$Q$1:$Q$860,$U189),0))</f>
        <v/>
      </c>
      <c r="I189" s="130" t="str">
        <f aca="false">IF($U189="","",INDEX('MiT Strom Pipeline'!$R$1:$R$860,$U189))</f>
        <v/>
      </c>
      <c r="J189" s="133" t="str">
        <f aca="false">IF($U189="","",IF(ISNUMBER(INDEX('MiT Strom Pipeline'!$S$1:$S$860,$U189)),INDEX('MiT Strom Pipeline'!$S$1:$S$860,$U189),""))</f>
        <v/>
      </c>
      <c r="K189" s="129" t="str">
        <f aca="false">IF($U189="","",IF(LEN(INDEX('MiT Strom Pipeline'!$V$1:$V$860,$U189))&gt;0,LEFT(INDEX('MiT Strom Pipeline'!$V$1:$V$860,$U189),55),""))</f>
        <v/>
      </c>
      <c r="L189" s="112"/>
      <c r="M189" s="112"/>
      <c r="N189" s="112"/>
      <c r="O189" s="112"/>
      <c r="P189" s="112"/>
      <c r="Q189" s="112"/>
      <c r="R189" s="112"/>
      <c r="S189" s="112"/>
      <c r="U189" s="1" t="str">
        <f aca="false">IFERROR(MATCH(51,'MiT Strom Pipeline'!$AO$6:$AO$860,0)+5,"")</f>
        <v/>
      </c>
    </row>
    <row r="190" customFormat="false" ht="15.75" hidden="false" customHeight="true" outlineLevel="0" collapsed="false">
      <c r="A190" s="128" t="str">
        <f aca="false">IF($U190="","",IF(ISNUMBER(INDEX('MiT Strom Pipeline'!$A$1:$A$860,$U190)),INDEX('MiT Strom Pipeline'!$A$1:$A$860,$U190),""))</f>
        <v/>
      </c>
      <c r="B190" s="129" t="str">
        <f aca="false">IF($U190="","",IF(INDEX('MiT Strom Pipeline'!$B$1:$B$860,$U190)="","",INDEX('MiT Strom Pipeline'!$B$1:$B$860,$U190)))</f>
        <v/>
      </c>
      <c r="C190" s="130" t="str">
        <f aca="false">IF($U190="","",IF(INDEX('MiT Strom Pipeline'!$C$1:$C$860,$U190)="","",INDEX('MiT Strom Pipeline'!$C$1:$C$860,$U190)))</f>
        <v/>
      </c>
      <c r="D190" s="129" t="str">
        <f aca="false">IF($U190="","",IF(INDEX('MiT Strom Pipeline'!$D$1:$D$860,$U190)="","",INDEX('MiT Strom Pipeline'!$D$1:$D$860,$U190)))</f>
        <v/>
      </c>
      <c r="E190" s="131" t="str">
        <f aca="false">IF($U190="","",IF(ISNUMBER(INDEX('MiT Strom Pipeline'!$O$1:$O$860,$U190)),INDEX('MiT Strom Pipeline'!$O$1:$O$860,$U190),IF(INDEX('MiT Strom Pipeline'!$H$1:$H$860,$U190)="","",INDEX('MiT Strom Pipeline'!$H$1:$H$860,$U190))))</f>
        <v/>
      </c>
      <c r="F190" s="129" t="str">
        <f aca="false">IF($U190="","",IF(INDEX('MiT Strom Pipeline'!$E$1:$E$860,$U190)="","",INDEX('MiT Strom Pipeline'!$E$1:$E$860,$U190)))</f>
        <v/>
      </c>
      <c r="G190" s="132" t="str">
        <f aca="false">IF($U190="","",IF(ISNUMBER(INDEX('MiT Strom Pipeline'!$I$1:$I$860,$U190)),INDEX('MiT Strom Pipeline'!$I$1:$I$860,$U190),0))</f>
        <v/>
      </c>
      <c r="H190" s="132" t="str">
        <f aca="false">IF($U190="","",IF(ISNUMBER(INDEX('MiT Strom Pipeline'!$Q$1:$Q$860,$U190)),INDEX('MiT Strom Pipeline'!$Q$1:$Q$860,$U190),0))</f>
        <v/>
      </c>
      <c r="I190" s="130" t="str">
        <f aca="false">IF($U190="","",INDEX('MiT Strom Pipeline'!$R$1:$R$860,$U190))</f>
        <v/>
      </c>
      <c r="J190" s="133" t="str">
        <f aca="false">IF($U190="","",IF(ISNUMBER(INDEX('MiT Strom Pipeline'!$S$1:$S$860,$U190)),INDEX('MiT Strom Pipeline'!$S$1:$S$860,$U190),""))</f>
        <v/>
      </c>
      <c r="K190" s="129" t="str">
        <f aca="false">IF($U190="","",IF(LEN(INDEX('MiT Strom Pipeline'!$V$1:$V$860,$U190))&gt;0,LEFT(INDEX('MiT Strom Pipeline'!$V$1:$V$860,$U190),55),""))</f>
        <v/>
      </c>
      <c r="L190" s="112"/>
      <c r="M190" s="112"/>
      <c r="N190" s="112"/>
      <c r="O190" s="112"/>
      <c r="P190" s="112"/>
      <c r="Q190" s="112"/>
      <c r="R190" s="112"/>
      <c r="S190" s="112"/>
      <c r="U190" s="1" t="str">
        <f aca="false">IFERROR(MATCH(52,'MiT Strom Pipeline'!$AO$6:$AO$860,0)+5,"")</f>
        <v/>
      </c>
    </row>
    <row r="191" customFormat="false" ht="15.75" hidden="false" customHeight="true" outlineLevel="0" collapsed="false">
      <c r="A191" s="128" t="str">
        <f aca="false">IF($U191="","",IF(ISNUMBER(INDEX('MiT Strom Pipeline'!$A$1:$A$860,$U191)),INDEX('MiT Strom Pipeline'!$A$1:$A$860,$U191),""))</f>
        <v/>
      </c>
      <c r="B191" s="129" t="str">
        <f aca="false">IF($U191="","",IF(INDEX('MiT Strom Pipeline'!$B$1:$B$860,$U191)="","",INDEX('MiT Strom Pipeline'!$B$1:$B$860,$U191)))</f>
        <v/>
      </c>
      <c r="C191" s="130" t="str">
        <f aca="false">IF($U191="","",IF(INDEX('MiT Strom Pipeline'!$C$1:$C$860,$U191)="","",INDEX('MiT Strom Pipeline'!$C$1:$C$860,$U191)))</f>
        <v/>
      </c>
      <c r="D191" s="129" t="str">
        <f aca="false">IF($U191="","",IF(INDEX('MiT Strom Pipeline'!$D$1:$D$860,$U191)="","",INDEX('MiT Strom Pipeline'!$D$1:$D$860,$U191)))</f>
        <v/>
      </c>
      <c r="E191" s="131" t="str">
        <f aca="false">IF($U191="","",IF(ISNUMBER(INDEX('MiT Strom Pipeline'!$O$1:$O$860,$U191)),INDEX('MiT Strom Pipeline'!$O$1:$O$860,$U191),IF(INDEX('MiT Strom Pipeline'!$H$1:$H$860,$U191)="","",INDEX('MiT Strom Pipeline'!$H$1:$H$860,$U191))))</f>
        <v/>
      </c>
      <c r="F191" s="129" t="str">
        <f aca="false">IF($U191="","",IF(INDEX('MiT Strom Pipeline'!$E$1:$E$860,$U191)="","",INDEX('MiT Strom Pipeline'!$E$1:$E$860,$U191)))</f>
        <v/>
      </c>
      <c r="G191" s="132" t="str">
        <f aca="false">IF($U191="","",IF(ISNUMBER(INDEX('MiT Strom Pipeline'!$I$1:$I$860,$U191)),INDEX('MiT Strom Pipeline'!$I$1:$I$860,$U191),0))</f>
        <v/>
      </c>
      <c r="H191" s="132" t="str">
        <f aca="false">IF($U191="","",IF(ISNUMBER(INDEX('MiT Strom Pipeline'!$Q$1:$Q$860,$U191)),INDEX('MiT Strom Pipeline'!$Q$1:$Q$860,$U191),0))</f>
        <v/>
      </c>
      <c r="I191" s="130" t="str">
        <f aca="false">IF($U191="","",INDEX('MiT Strom Pipeline'!$R$1:$R$860,$U191))</f>
        <v/>
      </c>
      <c r="J191" s="133" t="str">
        <f aca="false">IF($U191="","",IF(ISNUMBER(INDEX('MiT Strom Pipeline'!$S$1:$S$860,$U191)),INDEX('MiT Strom Pipeline'!$S$1:$S$860,$U191),""))</f>
        <v/>
      </c>
      <c r="K191" s="129" t="str">
        <f aca="false">IF($U191="","",IF(LEN(INDEX('MiT Strom Pipeline'!$V$1:$V$860,$U191))&gt;0,LEFT(INDEX('MiT Strom Pipeline'!$V$1:$V$860,$U191),55),""))</f>
        <v/>
      </c>
      <c r="L191" s="112"/>
      <c r="M191" s="112"/>
      <c r="N191" s="112"/>
      <c r="O191" s="112"/>
      <c r="P191" s="112"/>
      <c r="Q191" s="112"/>
      <c r="R191" s="112"/>
      <c r="S191" s="112"/>
      <c r="U191" s="1" t="str">
        <f aca="false">IFERROR(MATCH(53,'MiT Strom Pipeline'!$AO$6:$AO$860,0)+5,"")</f>
        <v/>
      </c>
    </row>
    <row r="192" customFormat="false" ht="15.75" hidden="false" customHeight="true" outlineLevel="0" collapsed="false">
      <c r="A192" s="128" t="str">
        <f aca="false">IF($U192="","",IF(ISNUMBER(INDEX('MiT Strom Pipeline'!$A$1:$A$860,$U192)),INDEX('MiT Strom Pipeline'!$A$1:$A$860,$U192),""))</f>
        <v/>
      </c>
      <c r="B192" s="129" t="str">
        <f aca="false">IF($U192="","",IF(INDEX('MiT Strom Pipeline'!$B$1:$B$860,$U192)="","",INDEX('MiT Strom Pipeline'!$B$1:$B$860,$U192)))</f>
        <v/>
      </c>
      <c r="C192" s="130" t="str">
        <f aca="false">IF($U192="","",IF(INDEX('MiT Strom Pipeline'!$C$1:$C$860,$U192)="","",INDEX('MiT Strom Pipeline'!$C$1:$C$860,$U192)))</f>
        <v/>
      </c>
      <c r="D192" s="129" t="str">
        <f aca="false">IF($U192="","",IF(INDEX('MiT Strom Pipeline'!$D$1:$D$860,$U192)="","",INDEX('MiT Strom Pipeline'!$D$1:$D$860,$U192)))</f>
        <v/>
      </c>
      <c r="E192" s="131" t="str">
        <f aca="false">IF($U192="","",IF(ISNUMBER(INDEX('MiT Strom Pipeline'!$O$1:$O$860,$U192)),INDEX('MiT Strom Pipeline'!$O$1:$O$860,$U192),IF(INDEX('MiT Strom Pipeline'!$H$1:$H$860,$U192)="","",INDEX('MiT Strom Pipeline'!$H$1:$H$860,$U192))))</f>
        <v/>
      </c>
      <c r="F192" s="129" t="str">
        <f aca="false">IF($U192="","",IF(INDEX('MiT Strom Pipeline'!$E$1:$E$860,$U192)="","",INDEX('MiT Strom Pipeline'!$E$1:$E$860,$U192)))</f>
        <v/>
      </c>
      <c r="G192" s="132" t="str">
        <f aca="false">IF($U192="","",IF(ISNUMBER(INDEX('MiT Strom Pipeline'!$I$1:$I$860,$U192)),INDEX('MiT Strom Pipeline'!$I$1:$I$860,$U192),0))</f>
        <v/>
      </c>
      <c r="H192" s="132" t="str">
        <f aca="false">IF($U192="","",IF(ISNUMBER(INDEX('MiT Strom Pipeline'!$Q$1:$Q$860,$U192)),INDEX('MiT Strom Pipeline'!$Q$1:$Q$860,$U192),0))</f>
        <v/>
      </c>
      <c r="I192" s="130" t="str">
        <f aca="false">IF($U192="","",INDEX('MiT Strom Pipeline'!$R$1:$R$860,$U192))</f>
        <v/>
      </c>
      <c r="J192" s="133" t="str">
        <f aca="false">IF($U192="","",IF(ISNUMBER(INDEX('MiT Strom Pipeline'!$S$1:$S$860,$U192)),INDEX('MiT Strom Pipeline'!$S$1:$S$860,$U192),""))</f>
        <v/>
      </c>
      <c r="K192" s="129" t="str">
        <f aca="false">IF($U192="","",IF(LEN(INDEX('MiT Strom Pipeline'!$V$1:$V$860,$U192))&gt;0,LEFT(INDEX('MiT Strom Pipeline'!$V$1:$V$860,$U192),55),""))</f>
        <v/>
      </c>
      <c r="L192" s="112"/>
      <c r="M192" s="112"/>
      <c r="N192" s="112"/>
      <c r="O192" s="112"/>
      <c r="P192" s="112"/>
      <c r="Q192" s="112"/>
      <c r="R192" s="112"/>
      <c r="S192" s="112"/>
      <c r="U192" s="1" t="str">
        <f aca="false">IFERROR(MATCH(54,'MiT Strom Pipeline'!$AO$6:$AO$860,0)+5,"")</f>
        <v/>
      </c>
    </row>
    <row r="193" customFormat="false" ht="15.75" hidden="false" customHeight="true" outlineLevel="0" collapsed="false">
      <c r="A193" s="128" t="str">
        <f aca="false">IF($U193="","",IF(ISNUMBER(INDEX('MiT Strom Pipeline'!$A$1:$A$860,$U193)),INDEX('MiT Strom Pipeline'!$A$1:$A$860,$U193),""))</f>
        <v/>
      </c>
      <c r="B193" s="129" t="str">
        <f aca="false">IF($U193="","",IF(INDEX('MiT Strom Pipeline'!$B$1:$B$860,$U193)="","",INDEX('MiT Strom Pipeline'!$B$1:$B$860,$U193)))</f>
        <v/>
      </c>
      <c r="C193" s="130" t="str">
        <f aca="false">IF($U193="","",IF(INDEX('MiT Strom Pipeline'!$C$1:$C$860,$U193)="","",INDEX('MiT Strom Pipeline'!$C$1:$C$860,$U193)))</f>
        <v/>
      </c>
      <c r="D193" s="129" t="str">
        <f aca="false">IF($U193="","",IF(INDEX('MiT Strom Pipeline'!$D$1:$D$860,$U193)="","",INDEX('MiT Strom Pipeline'!$D$1:$D$860,$U193)))</f>
        <v/>
      </c>
      <c r="E193" s="131" t="str">
        <f aca="false">IF($U193="","",IF(ISNUMBER(INDEX('MiT Strom Pipeline'!$O$1:$O$860,$U193)),INDEX('MiT Strom Pipeline'!$O$1:$O$860,$U193),IF(INDEX('MiT Strom Pipeline'!$H$1:$H$860,$U193)="","",INDEX('MiT Strom Pipeline'!$H$1:$H$860,$U193))))</f>
        <v/>
      </c>
      <c r="F193" s="129" t="str">
        <f aca="false">IF($U193="","",IF(INDEX('MiT Strom Pipeline'!$E$1:$E$860,$U193)="","",INDEX('MiT Strom Pipeline'!$E$1:$E$860,$U193)))</f>
        <v/>
      </c>
      <c r="G193" s="132" t="str">
        <f aca="false">IF($U193="","",IF(ISNUMBER(INDEX('MiT Strom Pipeline'!$I$1:$I$860,$U193)),INDEX('MiT Strom Pipeline'!$I$1:$I$860,$U193),0))</f>
        <v/>
      </c>
      <c r="H193" s="132" t="str">
        <f aca="false">IF($U193="","",IF(ISNUMBER(INDEX('MiT Strom Pipeline'!$Q$1:$Q$860,$U193)),INDEX('MiT Strom Pipeline'!$Q$1:$Q$860,$U193),0))</f>
        <v/>
      </c>
      <c r="I193" s="130" t="str">
        <f aca="false">IF($U193="","",INDEX('MiT Strom Pipeline'!$R$1:$R$860,$U193))</f>
        <v/>
      </c>
      <c r="J193" s="133" t="str">
        <f aca="false">IF($U193="","",IF(ISNUMBER(INDEX('MiT Strom Pipeline'!$S$1:$S$860,$U193)),INDEX('MiT Strom Pipeline'!$S$1:$S$860,$U193),""))</f>
        <v/>
      </c>
      <c r="K193" s="129" t="str">
        <f aca="false">IF($U193="","",IF(LEN(INDEX('MiT Strom Pipeline'!$V$1:$V$860,$U193))&gt;0,LEFT(INDEX('MiT Strom Pipeline'!$V$1:$V$860,$U193),55),""))</f>
        <v/>
      </c>
      <c r="L193" s="112"/>
      <c r="M193" s="112"/>
      <c r="N193" s="112"/>
      <c r="O193" s="112"/>
      <c r="P193" s="112"/>
      <c r="Q193" s="112"/>
      <c r="R193" s="112"/>
      <c r="S193" s="112"/>
      <c r="U193" s="1" t="str">
        <f aca="false">IFERROR(MATCH(55,'MiT Strom Pipeline'!$AO$6:$AO$860,0)+5,"")</f>
        <v/>
      </c>
    </row>
    <row r="194" customFormat="false" ht="15.75" hidden="false" customHeight="true" outlineLevel="0" collapsed="false">
      <c r="A194" s="128" t="str">
        <f aca="false">IF($U194="","",IF(ISNUMBER(INDEX('MiT Strom Pipeline'!$A$1:$A$860,$U194)),INDEX('MiT Strom Pipeline'!$A$1:$A$860,$U194),""))</f>
        <v/>
      </c>
      <c r="B194" s="129" t="str">
        <f aca="false">IF($U194="","",IF(INDEX('MiT Strom Pipeline'!$B$1:$B$860,$U194)="","",INDEX('MiT Strom Pipeline'!$B$1:$B$860,$U194)))</f>
        <v/>
      </c>
      <c r="C194" s="130" t="str">
        <f aca="false">IF($U194="","",IF(INDEX('MiT Strom Pipeline'!$C$1:$C$860,$U194)="","",INDEX('MiT Strom Pipeline'!$C$1:$C$860,$U194)))</f>
        <v/>
      </c>
      <c r="D194" s="129" t="str">
        <f aca="false">IF($U194="","",IF(INDEX('MiT Strom Pipeline'!$D$1:$D$860,$U194)="","",INDEX('MiT Strom Pipeline'!$D$1:$D$860,$U194)))</f>
        <v/>
      </c>
      <c r="E194" s="131" t="str">
        <f aca="false">IF($U194="","",IF(ISNUMBER(INDEX('MiT Strom Pipeline'!$O$1:$O$860,$U194)),INDEX('MiT Strom Pipeline'!$O$1:$O$860,$U194),IF(INDEX('MiT Strom Pipeline'!$H$1:$H$860,$U194)="","",INDEX('MiT Strom Pipeline'!$H$1:$H$860,$U194))))</f>
        <v/>
      </c>
      <c r="F194" s="129" t="str">
        <f aca="false">IF($U194="","",IF(INDEX('MiT Strom Pipeline'!$E$1:$E$860,$U194)="","",INDEX('MiT Strom Pipeline'!$E$1:$E$860,$U194)))</f>
        <v/>
      </c>
      <c r="G194" s="132" t="str">
        <f aca="false">IF($U194="","",IF(ISNUMBER(INDEX('MiT Strom Pipeline'!$I$1:$I$860,$U194)),INDEX('MiT Strom Pipeline'!$I$1:$I$860,$U194),0))</f>
        <v/>
      </c>
      <c r="H194" s="132" t="str">
        <f aca="false">IF($U194="","",IF(ISNUMBER(INDEX('MiT Strom Pipeline'!$Q$1:$Q$860,$U194)),INDEX('MiT Strom Pipeline'!$Q$1:$Q$860,$U194),0))</f>
        <v/>
      </c>
      <c r="I194" s="130" t="str">
        <f aca="false">IF($U194="","",INDEX('MiT Strom Pipeline'!$R$1:$R$860,$U194))</f>
        <v/>
      </c>
      <c r="J194" s="133" t="str">
        <f aca="false">IF($U194="","",IF(ISNUMBER(INDEX('MiT Strom Pipeline'!$S$1:$S$860,$U194)),INDEX('MiT Strom Pipeline'!$S$1:$S$860,$U194),""))</f>
        <v/>
      </c>
      <c r="K194" s="129" t="str">
        <f aca="false">IF($U194="","",IF(LEN(INDEX('MiT Strom Pipeline'!$V$1:$V$860,$U194))&gt;0,LEFT(INDEX('MiT Strom Pipeline'!$V$1:$V$860,$U194),55),""))</f>
        <v/>
      </c>
      <c r="L194" s="112"/>
      <c r="M194" s="112"/>
      <c r="N194" s="112"/>
      <c r="O194" s="112"/>
      <c r="P194" s="112"/>
      <c r="Q194" s="112"/>
      <c r="R194" s="112"/>
      <c r="S194" s="112"/>
      <c r="U194" s="1" t="str">
        <f aca="false">IFERROR(MATCH(56,'MiT Strom Pipeline'!$AO$6:$AO$860,0)+5,"")</f>
        <v/>
      </c>
    </row>
    <row r="195" customFormat="false" ht="15.75" hidden="false" customHeight="true" outlineLevel="0" collapsed="false">
      <c r="A195" s="128" t="str">
        <f aca="false">IF($U195="","",IF(ISNUMBER(INDEX('MiT Strom Pipeline'!$A$1:$A$860,$U195)),INDEX('MiT Strom Pipeline'!$A$1:$A$860,$U195),""))</f>
        <v/>
      </c>
      <c r="B195" s="129" t="str">
        <f aca="false">IF($U195="","",IF(INDEX('MiT Strom Pipeline'!$B$1:$B$860,$U195)="","",INDEX('MiT Strom Pipeline'!$B$1:$B$860,$U195)))</f>
        <v/>
      </c>
      <c r="C195" s="130" t="str">
        <f aca="false">IF($U195="","",IF(INDEX('MiT Strom Pipeline'!$C$1:$C$860,$U195)="","",INDEX('MiT Strom Pipeline'!$C$1:$C$860,$U195)))</f>
        <v/>
      </c>
      <c r="D195" s="129" t="str">
        <f aca="false">IF($U195="","",IF(INDEX('MiT Strom Pipeline'!$D$1:$D$860,$U195)="","",INDEX('MiT Strom Pipeline'!$D$1:$D$860,$U195)))</f>
        <v/>
      </c>
      <c r="E195" s="131" t="str">
        <f aca="false">IF($U195="","",IF(ISNUMBER(INDEX('MiT Strom Pipeline'!$O$1:$O$860,$U195)),INDEX('MiT Strom Pipeline'!$O$1:$O$860,$U195),IF(INDEX('MiT Strom Pipeline'!$H$1:$H$860,$U195)="","",INDEX('MiT Strom Pipeline'!$H$1:$H$860,$U195))))</f>
        <v/>
      </c>
      <c r="F195" s="129" t="str">
        <f aca="false">IF($U195="","",IF(INDEX('MiT Strom Pipeline'!$E$1:$E$860,$U195)="","",INDEX('MiT Strom Pipeline'!$E$1:$E$860,$U195)))</f>
        <v/>
      </c>
      <c r="G195" s="132" t="str">
        <f aca="false">IF($U195="","",IF(ISNUMBER(INDEX('MiT Strom Pipeline'!$I$1:$I$860,$U195)),INDEX('MiT Strom Pipeline'!$I$1:$I$860,$U195),0))</f>
        <v/>
      </c>
      <c r="H195" s="132" t="str">
        <f aca="false">IF($U195="","",IF(ISNUMBER(INDEX('MiT Strom Pipeline'!$Q$1:$Q$860,$U195)),INDEX('MiT Strom Pipeline'!$Q$1:$Q$860,$U195),0))</f>
        <v/>
      </c>
      <c r="I195" s="130" t="str">
        <f aca="false">IF($U195="","",INDEX('MiT Strom Pipeline'!$R$1:$R$860,$U195))</f>
        <v/>
      </c>
      <c r="J195" s="133" t="str">
        <f aca="false">IF($U195="","",IF(ISNUMBER(INDEX('MiT Strom Pipeline'!$S$1:$S$860,$U195)),INDEX('MiT Strom Pipeline'!$S$1:$S$860,$U195),""))</f>
        <v/>
      </c>
      <c r="K195" s="129" t="str">
        <f aca="false">IF($U195="","",IF(LEN(INDEX('MiT Strom Pipeline'!$V$1:$V$860,$U195))&gt;0,LEFT(INDEX('MiT Strom Pipeline'!$V$1:$V$860,$U195),55),""))</f>
        <v/>
      </c>
      <c r="L195" s="112"/>
      <c r="M195" s="112"/>
      <c r="N195" s="112"/>
      <c r="O195" s="112"/>
      <c r="P195" s="112"/>
      <c r="Q195" s="112"/>
      <c r="R195" s="112"/>
      <c r="S195" s="112"/>
      <c r="U195" s="1" t="str">
        <f aca="false">IFERROR(MATCH(57,'MiT Strom Pipeline'!$AO$6:$AO$860,0)+5,"")</f>
        <v/>
      </c>
    </row>
    <row r="196" customFormat="false" ht="15.75" hidden="false" customHeight="true" outlineLevel="0" collapsed="false">
      <c r="A196" s="128" t="str">
        <f aca="false">IF($U196="","",IF(ISNUMBER(INDEX('MiT Strom Pipeline'!$A$1:$A$860,$U196)),INDEX('MiT Strom Pipeline'!$A$1:$A$860,$U196),""))</f>
        <v/>
      </c>
      <c r="B196" s="129" t="str">
        <f aca="false">IF($U196="","",IF(INDEX('MiT Strom Pipeline'!$B$1:$B$860,$U196)="","",INDEX('MiT Strom Pipeline'!$B$1:$B$860,$U196)))</f>
        <v/>
      </c>
      <c r="C196" s="130" t="str">
        <f aca="false">IF($U196="","",IF(INDEX('MiT Strom Pipeline'!$C$1:$C$860,$U196)="","",INDEX('MiT Strom Pipeline'!$C$1:$C$860,$U196)))</f>
        <v/>
      </c>
      <c r="D196" s="129" t="str">
        <f aca="false">IF($U196="","",IF(INDEX('MiT Strom Pipeline'!$D$1:$D$860,$U196)="","",INDEX('MiT Strom Pipeline'!$D$1:$D$860,$U196)))</f>
        <v/>
      </c>
      <c r="E196" s="131" t="str">
        <f aca="false">IF($U196="","",IF(ISNUMBER(INDEX('MiT Strom Pipeline'!$O$1:$O$860,$U196)),INDEX('MiT Strom Pipeline'!$O$1:$O$860,$U196),IF(INDEX('MiT Strom Pipeline'!$H$1:$H$860,$U196)="","",INDEX('MiT Strom Pipeline'!$H$1:$H$860,$U196))))</f>
        <v/>
      </c>
      <c r="F196" s="129" t="str">
        <f aca="false">IF($U196="","",IF(INDEX('MiT Strom Pipeline'!$E$1:$E$860,$U196)="","",INDEX('MiT Strom Pipeline'!$E$1:$E$860,$U196)))</f>
        <v/>
      </c>
      <c r="G196" s="132" t="str">
        <f aca="false">IF($U196="","",IF(ISNUMBER(INDEX('MiT Strom Pipeline'!$I$1:$I$860,$U196)),INDEX('MiT Strom Pipeline'!$I$1:$I$860,$U196),0))</f>
        <v/>
      </c>
      <c r="H196" s="132" t="str">
        <f aca="false">IF($U196="","",IF(ISNUMBER(INDEX('MiT Strom Pipeline'!$Q$1:$Q$860,$U196)),INDEX('MiT Strom Pipeline'!$Q$1:$Q$860,$U196),0))</f>
        <v/>
      </c>
      <c r="I196" s="130" t="str">
        <f aca="false">IF($U196="","",INDEX('MiT Strom Pipeline'!$R$1:$R$860,$U196))</f>
        <v/>
      </c>
      <c r="J196" s="133" t="str">
        <f aca="false">IF($U196="","",IF(ISNUMBER(INDEX('MiT Strom Pipeline'!$S$1:$S$860,$U196)),INDEX('MiT Strom Pipeline'!$S$1:$S$860,$U196),""))</f>
        <v/>
      </c>
      <c r="K196" s="129" t="str">
        <f aca="false">IF($U196="","",IF(LEN(INDEX('MiT Strom Pipeline'!$V$1:$V$860,$U196))&gt;0,LEFT(INDEX('MiT Strom Pipeline'!$V$1:$V$860,$U196),55),""))</f>
        <v/>
      </c>
      <c r="L196" s="112"/>
      <c r="M196" s="112"/>
      <c r="N196" s="112"/>
      <c r="O196" s="112"/>
      <c r="P196" s="112"/>
      <c r="Q196" s="112"/>
      <c r="R196" s="112"/>
      <c r="S196" s="112"/>
      <c r="U196" s="1" t="str">
        <f aca="false">IFERROR(MATCH(58,'MiT Strom Pipeline'!$AO$6:$AO$860,0)+5,"")</f>
        <v/>
      </c>
    </row>
    <row r="197" customFormat="false" ht="15.75" hidden="false" customHeight="true" outlineLevel="0" collapsed="false">
      <c r="A197" s="128" t="str">
        <f aca="false">IF($U197="","",IF(ISNUMBER(INDEX('MiT Strom Pipeline'!$A$1:$A$860,$U197)),INDEX('MiT Strom Pipeline'!$A$1:$A$860,$U197),""))</f>
        <v/>
      </c>
      <c r="B197" s="129" t="str">
        <f aca="false">IF($U197="","",IF(INDEX('MiT Strom Pipeline'!$B$1:$B$860,$U197)="","",INDEX('MiT Strom Pipeline'!$B$1:$B$860,$U197)))</f>
        <v/>
      </c>
      <c r="C197" s="130" t="str">
        <f aca="false">IF($U197="","",IF(INDEX('MiT Strom Pipeline'!$C$1:$C$860,$U197)="","",INDEX('MiT Strom Pipeline'!$C$1:$C$860,$U197)))</f>
        <v/>
      </c>
      <c r="D197" s="129" t="str">
        <f aca="false">IF($U197="","",IF(INDEX('MiT Strom Pipeline'!$D$1:$D$860,$U197)="","",INDEX('MiT Strom Pipeline'!$D$1:$D$860,$U197)))</f>
        <v/>
      </c>
      <c r="E197" s="131" t="str">
        <f aca="false">IF($U197="","",IF(ISNUMBER(INDEX('MiT Strom Pipeline'!$O$1:$O$860,$U197)),INDEX('MiT Strom Pipeline'!$O$1:$O$860,$U197),IF(INDEX('MiT Strom Pipeline'!$H$1:$H$860,$U197)="","",INDEX('MiT Strom Pipeline'!$H$1:$H$860,$U197))))</f>
        <v/>
      </c>
      <c r="F197" s="129" t="str">
        <f aca="false">IF($U197="","",IF(INDEX('MiT Strom Pipeline'!$E$1:$E$860,$U197)="","",INDEX('MiT Strom Pipeline'!$E$1:$E$860,$U197)))</f>
        <v/>
      </c>
      <c r="G197" s="132" t="str">
        <f aca="false">IF($U197="","",IF(ISNUMBER(INDEX('MiT Strom Pipeline'!$I$1:$I$860,$U197)),INDEX('MiT Strom Pipeline'!$I$1:$I$860,$U197),0))</f>
        <v/>
      </c>
      <c r="H197" s="132" t="str">
        <f aca="false">IF($U197="","",IF(ISNUMBER(INDEX('MiT Strom Pipeline'!$Q$1:$Q$860,$U197)),INDEX('MiT Strom Pipeline'!$Q$1:$Q$860,$U197),0))</f>
        <v/>
      </c>
      <c r="I197" s="130" t="str">
        <f aca="false">IF($U197="","",INDEX('MiT Strom Pipeline'!$R$1:$R$860,$U197))</f>
        <v/>
      </c>
      <c r="J197" s="133" t="str">
        <f aca="false">IF($U197="","",IF(ISNUMBER(INDEX('MiT Strom Pipeline'!$S$1:$S$860,$U197)),INDEX('MiT Strom Pipeline'!$S$1:$S$860,$U197),""))</f>
        <v/>
      </c>
      <c r="K197" s="129" t="str">
        <f aca="false">IF($U197="","",IF(LEN(INDEX('MiT Strom Pipeline'!$V$1:$V$860,$U197))&gt;0,LEFT(INDEX('MiT Strom Pipeline'!$V$1:$V$860,$U197),55),""))</f>
        <v/>
      </c>
      <c r="L197" s="112"/>
      <c r="M197" s="112"/>
      <c r="N197" s="112"/>
      <c r="O197" s="112"/>
      <c r="P197" s="112"/>
      <c r="Q197" s="112"/>
      <c r="R197" s="112"/>
      <c r="S197" s="112"/>
      <c r="U197" s="1" t="str">
        <f aca="false">IFERROR(MATCH(59,'MiT Strom Pipeline'!$AO$6:$AO$860,0)+5,"")</f>
        <v/>
      </c>
    </row>
    <row r="198" customFormat="false" ht="15.75" hidden="false" customHeight="true" outlineLevel="0" collapsed="false">
      <c r="A198" s="128" t="str">
        <f aca="false">IF($U198="","",IF(ISNUMBER(INDEX('MiT Strom Pipeline'!$A$1:$A$860,$U198)),INDEX('MiT Strom Pipeline'!$A$1:$A$860,$U198),""))</f>
        <v/>
      </c>
      <c r="B198" s="129" t="str">
        <f aca="false">IF($U198="","",IF(INDEX('MiT Strom Pipeline'!$B$1:$B$860,$U198)="","",INDEX('MiT Strom Pipeline'!$B$1:$B$860,$U198)))</f>
        <v/>
      </c>
      <c r="C198" s="130" t="str">
        <f aca="false">IF($U198="","",IF(INDEX('MiT Strom Pipeline'!$C$1:$C$860,$U198)="","",INDEX('MiT Strom Pipeline'!$C$1:$C$860,$U198)))</f>
        <v/>
      </c>
      <c r="D198" s="129" t="str">
        <f aca="false">IF($U198="","",IF(INDEX('MiT Strom Pipeline'!$D$1:$D$860,$U198)="","",INDEX('MiT Strom Pipeline'!$D$1:$D$860,$U198)))</f>
        <v/>
      </c>
      <c r="E198" s="131" t="str">
        <f aca="false">IF($U198="","",IF(ISNUMBER(INDEX('MiT Strom Pipeline'!$O$1:$O$860,$U198)),INDEX('MiT Strom Pipeline'!$O$1:$O$860,$U198),IF(INDEX('MiT Strom Pipeline'!$H$1:$H$860,$U198)="","",INDEX('MiT Strom Pipeline'!$H$1:$H$860,$U198))))</f>
        <v/>
      </c>
      <c r="F198" s="129" t="str">
        <f aca="false">IF($U198="","",IF(INDEX('MiT Strom Pipeline'!$E$1:$E$860,$U198)="","",INDEX('MiT Strom Pipeline'!$E$1:$E$860,$U198)))</f>
        <v/>
      </c>
      <c r="G198" s="132" t="str">
        <f aca="false">IF($U198="","",IF(ISNUMBER(INDEX('MiT Strom Pipeline'!$I$1:$I$860,$U198)),INDEX('MiT Strom Pipeline'!$I$1:$I$860,$U198),0))</f>
        <v/>
      </c>
      <c r="H198" s="132" t="str">
        <f aca="false">IF($U198="","",IF(ISNUMBER(INDEX('MiT Strom Pipeline'!$Q$1:$Q$860,$U198)),INDEX('MiT Strom Pipeline'!$Q$1:$Q$860,$U198),0))</f>
        <v/>
      </c>
      <c r="I198" s="130" t="str">
        <f aca="false">IF($U198="","",INDEX('MiT Strom Pipeline'!$R$1:$R$860,$U198))</f>
        <v/>
      </c>
      <c r="J198" s="133" t="str">
        <f aca="false">IF($U198="","",IF(ISNUMBER(INDEX('MiT Strom Pipeline'!$S$1:$S$860,$U198)),INDEX('MiT Strom Pipeline'!$S$1:$S$860,$U198),""))</f>
        <v/>
      </c>
      <c r="K198" s="129" t="str">
        <f aca="false">IF($U198="","",IF(LEN(INDEX('MiT Strom Pipeline'!$V$1:$V$860,$U198))&gt;0,LEFT(INDEX('MiT Strom Pipeline'!$V$1:$V$860,$U198),55),""))</f>
        <v/>
      </c>
      <c r="L198" s="112"/>
      <c r="M198" s="112"/>
      <c r="N198" s="112"/>
      <c r="O198" s="112"/>
      <c r="P198" s="112"/>
      <c r="Q198" s="112"/>
      <c r="R198" s="112"/>
      <c r="S198" s="112"/>
      <c r="U198" s="1" t="str">
        <f aca="false">IFERROR(MATCH(60,'MiT Strom Pipeline'!$AO$6:$AO$860,0)+5,"")</f>
        <v/>
      </c>
    </row>
    <row r="199" customFormat="false" ht="21.75" hidden="false" customHeight="true" outlineLevel="0" collapsed="false">
      <c r="A199" s="128" t="str">
        <f aca="false">IF($U199="","",IF(ISNUMBER(INDEX('MiT Strom Pipeline'!$A$1:$A$860,$U199)),INDEX('MiT Strom Pipeline'!$A$1:$A$860,$U199),""))</f>
        <v/>
      </c>
      <c r="B199" s="129" t="str">
        <f aca="false">IF($U199="","",IF(INDEX('MiT Strom Pipeline'!$B$1:$B$860,$U199)="","",INDEX('MiT Strom Pipeline'!$B$1:$B$860,$U199)))</f>
        <v/>
      </c>
      <c r="C199" s="130" t="str">
        <f aca="false">IF($U199="","",IF(INDEX('MiT Strom Pipeline'!$C$1:$C$860,$U199)="","",INDEX('MiT Strom Pipeline'!$C$1:$C$860,$U199)))</f>
        <v/>
      </c>
      <c r="D199" s="129" t="str">
        <f aca="false">IF($U199="","",IF(INDEX('MiT Strom Pipeline'!$D$1:$D$860,$U199)="","",INDEX('MiT Strom Pipeline'!$D$1:$D$860,$U199)))</f>
        <v/>
      </c>
      <c r="E199" s="131" t="str">
        <f aca="false">IF($U199="","",IF(ISNUMBER(INDEX('MiT Strom Pipeline'!$O$1:$O$860,$U199)),INDEX('MiT Strom Pipeline'!$O$1:$O$860,$U199),IF(INDEX('MiT Strom Pipeline'!$H$1:$H$860,$U199)="","",INDEX('MiT Strom Pipeline'!$H$1:$H$860,$U199))))</f>
        <v/>
      </c>
      <c r="F199" s="129" t="str">
        <f aca="false">IF($U199="","",IF(INDEX('MiT Strom Pipeline'!$E$1:$E$860,$U199)="","",INDEX('MiT Strom Pipeline'!$E$1:$E$860,$U199)))</f>
        <v/>
      </c>
      <c r="G199" s="132" t="str">
        <f aca="false">IF($U199="","",IF(ISNUMBER(INDEX('MiT Strom Pipeline'!$I$1:$I$860,$U199)),INDEX('MiT Strom Pipeline'!$I$1:$I$860,$U199),0))</f>
        <v/>
      </c>
      <c r="H199" s="132" t="str">
        <f aca="false">IF($U199="","",IF(ISNUMBER(INDEX('MiT Strom Pipeline'!$Q$1:$Q$860,$U199)),INDEX('MiT Strom Pipeline'!$Q$1:$Q$860,$U199),0))</f>
        <v/>
      </c>
      <c r="I199" s="130" t="str">
        <f aca="false">IF($U199="","",INDEX('MiT Strom Pipeline'!$R$1:$R$860,$U199))</f>
        <v/>
      </c>
      <c r="J199" s="133" t="str">
        <f aca="false">IF($U199="","",IF(ISNUMBER(INDEX('MiT Strom Pipeline'!$S$1:$S$860,$U199)),INDEX('MiT Strom Pipeline'!$S$1:$S$860,$U199),""))</f>
        <v/>
      </c>
      <c r="K199" s="129" t="str">
        <f aca="false">IF($U199="","",IF(LEN(INDEX('MiT Strom Pipeline'!$V$1:$V$860,$U199))&gt;0,LEFT(INDEX('MiT Strom Pipeline'!$V$1:$V$860,$U199),55),""))</f>
        <v/>
      </c>
      <c r="L199" s="112"/>
      <c r="M199" s="112"/>
      <c r="N199" s="112"/>
      <c r="O199" s="112"/>
      <c r="P199" s="112"/>
      <c r="Q199" s="112"/>
      <c r="R199" s="112"/>
      <c r="S199" s="112"/>
      <c r="U199" s="1" t="str">
        <f aca="false">IFERROR(MATCH(61,'MiT Strom Pipeline'!$AO$6:$AO$860,0)+5,"")</f>
        <v/>
      </c>
    </row>
    <row r="200" customFormat="false" ht="3.75" hidden="false" customHeight="true" outlineLevel="0" collapsed="false">
      <c r="A200" s="128" t="str">
        <f aca="false">IF($U200="","",IF(ISNUMBER(INDEX('MiT Strom Pipeline'!$A$1:$A$860,$U200)),INDEX('MiT Strom Pipeline'!$A$1:$A$860,$U200),""))</f>
        <v/>
      </c>
      <c r="B200" s="129" t="str">
        <f aca="false">IF($U200="","",IF(INDEX('MiT Strom Pipeline'!$B$1:$B$860,$U200)="","",INDEX('MiT Strom Pipeline'!$B$1:$B$860,$U200)))</f>
        <v/>
      </c>
      <c r="C200" s="130" t="str">
        <f aca="false">IF($U200="","",IF(INDEX('MiT Strom Pipeline'!$C$1:$C$860,$U200)="","",INDEX('MiT Strom Pipeline'!$C$1:$C$860,$U200)))</f>
        <v/>
      </c>
      <c r="D200" s="129" t="str">
        <f aca="false">IF($U200="","",IF(INDEX('MiT Strom Pipeline'!$D$1:$D$860,$U200)="","",INDEX('MiT Strom Pipeline'!$D$1:$D$860,$U200)))</f>
        <v/>
      </c>
      <c r="E200" s="131" t="str">
        <f aca="false">IF($U200="","",IF(ISNUMBER(INDEX('MiT Strom Pipeline'!$O$1:$O$860,$U200)),INDEX('MiT Strom Pipeline'!$O$1:$O$860,$U200),IF(INDEX('MiT Strom Pipeline'!$H$1:$H$860,$U200)="","",INDEX('MiT Strom Pipeline'!$H$1:$H$860,$U200))))</f>
        <v/>
      </c>
      <c r="F200" s="129" t="str">
        <f aca="false">IF($U200="","",IF(INDEX('MiT Strom Pipeline'!$E$1:$E$860,$U200)="","",INDEX('MiT Strom Pipeline'!$E$1:$E$860,$U200)))</f>
        <v/>
      </c>
      <c r="G200" s="132" t="str">
        <f aca="false">IF($U200="","",IF(ISNUMBER(INDEX('MiT Strom Pipeline'!$I$1:$I$860,$U200)),INDEX('MiT Strom Pipeline'!$I$1:$I$860,$U200),0))</f>
        <v/>
      </c>
      <c r="H200" s="132" t="str">
        <f aca="false">IF($U200="","",IF(ISNUMBER(INDEX('MiT Strom Pipeline'!$Q$1:$Q$860,$U200)),INDEX('MiT Strom Pipeline'!$Q$1:$Q$860,$U200),0))</f>
        <v/>
      </c>
      <c r="I200" s="130" t="str">
        <f aca="false">IF($U200="","",INDEX('MiT Strom Pipeline'!$R$1:$R$860,$U200))</f>
        <v/>
      </c>
      <c r="J200" s="133" t="str">
        <f aca="false">IF($U200="","",IF(ISNUMBER(INDEX('MiT Strom Pipeline'!$S$1:$S$860,$U200)),INDEX('MiT Strom Pipeline'!$S$1:$S$860,$U200),""))</f>
        <v/>
      </c>
      <c r="K200" s="129" t="str">
        <f aca="false">IF($U200="","",IF(LEN(INDEX('MiT Strom Pipeline'!$V$1:$V$860,$U200))&gt;0,LEFT(INDEX('MiT Strom Pipeline'!$V$1:$V$860,$U200),55),""))</f>
        <v/>
      </c>
      <c r="L200" s="112"/>
      <c r="M200" s="112"/>
      <c r="N200" s="112"/>
      <c r="O200" s="112"/>
      <c r="P200" s="112"/>
      <c r="Q200" s="112"/>
      <c r="R200" s="112"/>
      <c r="S200" s="112"/>
      <c r="U200" s="1" t="str">
        <f aca="false">IFERROR(MATCH(62,'MiT Strom Pipeline'!$AO$6:$AO$860,0)+5,"")</f>
        <v/>
      </c>
    </row>
    <row r="201" customFormat="false" ht="27.75" hidden="false" customHeight="true" outlineLevel="0" collapsed="false">
      <c r="A201" s="136" t="s">
        <v>160</v>
      </c>
      <c r="B201" s="136"/>
      <c r="C201" s="136"/>
      <c r="D201" s="136"/>
      <c r="E201" s="136"/>
      <c r="F201" s="222" t="n">
        <f aca="false">SUMIFS('MiT Strom Pipeline'!I$6:I$860,'MiT Strom Pipeline'!R$6:R$860,"WON")+SUMIFS('MiT Strom Pipeline'!I$6:I$860,'MiT Strom Pipeline'!R$6:R$860,"offered")+SUMIFS('MiT Strom Pipeline'!I$6:I$860,'MiT Strom Pipeline'!R$6:R$860,"to be offered")+SUMIFS('MiT Strom Pipeline'!I$6:I$860,'MiT Strom Pipeline'!R$6:R$860,"on hold")+SUMIFS('MiT Strom Pipeline'!I$6:I$860,'MiT Strom Pipeline'!R$6:R$860,"follow-up")+SUMIFS('MiT Strom Pipeline'!I$6:I$860,'MiT Strom Pipeline'!R$6:R$860,"Evaluation")+SUMIFS('MiT Strom Pipeline'!I$6:I$860,'MiT Strom Pipeline'!R$6:R$860,"tbd")+SUMIFS('MiT Strom Pipeline'!I$6:I$860,'MiT Strom Pipeline'!R$6:R$860,"In evaluation")</f>
        <v>6862149.23</v>
      </c>
      <c r="G201" s="223"/>
      <c r="H201" s="138"/>
      <c r="I201" s="138"/>
      <c r="J201" s="139"/>
      <c r="L201" s="112"/>
      <c r="M201" s="112"/>
      <c r="N201" s="112"/>
      <c r="O201" s="112"/>
      <c r="P201" s="112"/>
      <c r="Q201" s="112"/>
      <c r="R201" s="112"/>
      <c r="S201" s="112"/>
    </row>
    <row r="202" customFormat="false" ht="18" hidden="false" customHeight="true" outlineLevel="0" collapsed="false">
      <c r="A202" s="140" t="s">
        <v>125</v>
      </c>
      <c r="B202" s="140"/>
      <c r="C202" s="140"/>
      <c r="D202" s="140"/>
      <c r="E202" s="140"/>
      <c r="F202" s="224" t="n">
        <f aca="false">SUMIFS('MiT Strom Pipeline'!I$6:I$860,'MiT Strom Pipeline'!R$6:R$860,"WON")</f>
        <v>1428553.13</v>
      </c>
      <c r="G202" s="225"/>
      <c r="H202" s="142"/>
      <c r="I202" s="142"/>
      <c r="J202" s="143"/>
      <c r="L202" s="112"/>
      <c r="M202" s="112"/>
      <c r="N202" s="112"/>
      <c r="O202" s="112"/>
      <c r="P202" s="112"/>
      <c r="Q202" s="112"/>
      <c r="R202" s="112"/>
      <c r="S202" s="112"/>
    </row>
    <row r="203" customFormat="false" ht="18" hidden="false" customHeight="true" outlineLevel="0" collapsed="false">
      <c r="A203" s="140" t="s">
        <v>126</v>
      </c>
      <c r="B203" s="140"/>
      <c r="C203" s="140"/>
      <c r="D203" s="140"/>
      <c r="E203" s="140"/>
      <c r="F203" s="226" t="n">
        <f aca="false">SUMIFS('MiT Strom Pipeline'!I$6:I$860,'MiT Strom Pipeline'!R$6:R$860,"offered")+SUMIFS('MiT Strom Pipeline'!I$6:I$860,'MiT Strom Pipeline'!R$6:R$860,"to be offered")+SUMIFS('MiT Strom Pipeline'!I$6:I$860,'MiT Strom Pipeline'!R$6:R$860,"on hold")</f>
        <v>5433596.1</v>
      </c>
      <c r="G203" s="225"/>
      <c r="H203" s="142"/>
      <c r="I203" s="142"/>
      <c r="J203" s="143"/>
      <c r="L203" s="112"/>
      <c r="M203" s="112"/>
      <c r="N203" s="112"/>
      <c r="O203" s="112"/>
      <c r="P203" s="112"/>
      <c r="Q203" s="112"/>
      <c r="R203" s="112"/>
      <c r="S203" s="112"/>
    </row>
    <row r="204" customFormat="false" ht="18" hidden="false" customHeight="true" outlineLevel="0" collapsed="false">
      <c r="A204" s="140" t="s">
        <v>127</v>
      </c>
      <c r="B204" s="140"/>
      <c r="C204" s="140"/>
      <c r="D204" s="140"/>
      <c r="E204" s="140"/>
      <c r="F204" s="227" t="n">
        <f aca="false">SUMIFS('MiT Strom Pipeline'!I$6:I$860,'MiT Strom Pipeline'!R$6:R$860,"follow-up")+SUMIFS('MiT Strom Pipeline'!I$6:I$860,'MiT Strom Pipeline'!R$6:R$860,"Evaluation")+SUMIFS('MiT Strom Pipeline'!I$6:I$860,'MiT Strom Pipeline'!R$6:R$860,"tbd")+SUMIFS('MiT Strom Pipeline'!I$6:I$860,'MiT Strom Pipeline'!R$6:R$860,"In evaluation")</f>
        <v>0</v>
      </c>
      <c r="G204" s="225"/>
      <c r="H204" s="142"/>
      <c r="I204" s="142"/>
      <c r="J204" s="143"/>
      <c r="L204" s="112"/>
      <c r="M204" s="112"/>
      <c r="N204" s="112"/>
      <c r="O204" s="112"/>
      <c r="P204" s="112"/>
      <c r="Q204" s="112"/>
      <c r="R204" s="112"/>
      <c r="S204" s="112"/>
    </row>
    <row r="205" customFormat="false" ht="15" hidden="false" customHeight="true" outlineLevel="0" collapsed="false">
      <c r="D205" s="146"/>
      <c r="E205" s="146"/>
      <c r="J205" s="146"/>
      <c r="L205" s="112"/>
      <c r="M205" s="112"/>
      <c r="N205" s="112"/>
      <c r="O205" s="112"/>
      <c r="P205" s="112"/>
      <c r="Q205" s="112"/>
      <c r="R205" s="112"/>
      <c r="S205" s="112"/>
    </row>
    <row r="206" customFormat="false" ht="24" hidden="false" customHeight="true" outlineLevel="0" collapsed="false">
      <c r="A206" s="147" t="s">
        <v>128</v>
      </c>
      <c r="B206" s="147"/>
      <c r="C206" s="147"/>
      <c r="D206" s="147"/>
      <c r="E206" s="147"/>
      <c r="F206" s="147"/>
      <c r="G206" s="147"/>
      <c r="H206" s="147"/>
      <c r="I206" s="147"/>
      <c r="J206" s="147"/>
      <c r="K206" s="147"/>
      <c r="L206" s="112"/>
      <c r="M206" s="112"/>
      <c r="N206" s="112"/>
      <c r="O206" s="112"/>
      <c r="P206" s="112"/>
      <c r="Q206" s="112"/>
      <c r="R206" s="112"/>
      <c r="S206" s="112"/>
    </row>
    <row r="207" customFormat="false" ht="19.5" hidden="false" customHeight="true" outlineLevel="0" collapsed="false">
      <c r="A207" s="148" t="s">
        <v>129</v>
      </c>
      <c r="B207" s="148"/>
      <c r="C207" s="148"/>
      <c r="D207" s="149" t="s">
        <v>27</v>
      </c>
      <c r="E207" s="148" t="s">
        <v>15</v>
      </c>
      <c r="F207" s="149" t="s">
        <v>28</v>
      </c>
      <c r="G207" s="148" t="s">
        <v>29</v>
      </c>
      <c r="H207" s="148"/>
      <c r="I207" s="148" t="s">
        <v>42</v>
      </c>
      <c r="L207" s="112"/>
      <c r="M207" s="112"/>
      <c r="N207" s="112"/>
      <c r="O207" s="112"/>
      <c r="P207" s="112"/>
      <c r="Q207" s="112"/>
      <c r="R207" s="112"/>
      <c r="S207" s="112"/>
    </row>
    <row r="208" customFormat="false" ht="18" hidden="false" customHeight="true" outlineLevel="0" collapsed="false">
      <c r="A208" s="150" t="str">
        <f aca="false">'⚖️ Wahrscheinlichkeit'!$A$17</f>
        <v>0 – 44 %</v>
      </c>
      <c r="B208" s="150"/>
      <c r="C208" s="150"/>
      <c r="D208" s="151" t="n">
        <f aca="false">'⚖️ Wahrscheinlichkeit'!$D$17</f>
        <v>0</v>
      </c>
      <c r="E208" s="152" t="n">
        <f aca="false">'⚖️ Wahrscheinlichkeit'!$E$17</f>
        <v>30</v>
      </c>
      <c r="F208" s="228" t="n">
        <f aca="false">'⚖️ Wahrscheinlichkeit'!$F$17</f>
        <v>5092182.15</v>
      </c>
      <c r="G208" s="154" t="n">
        <f aca="false">'⚖️ Wahrscheinlichkeit'!$G$17</f>
        <v>0</v>
      </c>
      <c r="H208" s="154"/>
      <c r="I208" s="229" t="n">
        <f aca="false">'⚖️ Wahrscheinlichkeit'!$H$17</f>
        <v>0</v>
      </c>
      <c r="L208" s="112"/>
      <c r="M208" s="112"/>
      <c r="N208" s="112"/>
      <c r="O208" s="112"/>
      <c r="P208" s="112"/>
      <c r="Q208" s="112"/>
      <c r="R208" s="112"/>
      <c r="S208" s="112"/>
    </row>
    <row r="209" customFormat="false" ht="18" hidden="false" customHeight="true" outlineLevel="0" collapsed="false">
      <c r="A209" s="156" t="str">
        <f aca="false">'⚖️ Wahrscheinlichkeit'!$A$18</f>
        <v>45 – 59 %</v>
      </c>
      <c r="B209" s="156"/>
      <c r="C209" s="156"/>
      <c r="D209" s="157" t="n">
        <f aca="false">'⚖️ Wahrscheinlichkeit'!$D$18</f>
        <v>0.3</v>
      </c>
      <c r="E209" s="158" t="n">
        <f aca="false">'⚖️ Wahrscheinlichkeit'!$E$18</f>
        <v>0</v>
      </c>
      <c r="F209" s="230" t="n">
        <f aca="false">'⚖️ Wahrscheinlichkeit'!$F$18</f>
        <v>0</v>
      </c>
      <c r="G209" s="160" t="n">
        <f aca="false">'⚖️ Wahrscheinlichkeit'!$G$18</f>
        <v>0</v>
      </c>
      <c r="H209" s="160"/>
      <c r="I209" s="231" t="n">
        <f aca="false">'⚖️ Wahrscheinlichkeit'!$H$18</f>
        <v>0</v>
      </c>
      <c r="L209" s="112"/>
      <c r="M209" s="112"/>
      <c r="N209" s="112"/>
      <c r="O209" s="112"/>
      <c r="P209" s="112"/>
      <c r="Q209" s="112"/>
      <c r="R209" s="112"/>
      <c r="S209" s="112"/>
    </row>
    <row r="210" customFormat="false" ht="18" hidden="false" customHeight="true" outlineLevel="0" collapsed="false">
      <c r="A210" s="162" t="str">
        <f aca="false">'⚖️ Wahrscheinlichkeit'!$A$19</f>
        <v>60 – 89 %</v>
      </c>
      <c r="B210" s="162"/>
      <c r="C210" s="162"/>
      <c r="D210" s="163" t="n">
        <f aca="false">'⚖️ Wahrscheinlichkeit'!$D$19</f>
        <v>0.5</v>
      </c>
      <c r="E210" s="164" t="n">
        <f aca="false">'⚖️ Wahrscheinlichkeit'!$E$19</f>
        <v>2</v>
      </c>
      <c r="F210" s="232" t="n">
        <f aca="false">'⚖️ Wahrscheinlichkeit'!$F$19</f>
        <v>268500.23</v>
      </c>
      <c r="G210" s="166" t="n">
        <f aca="false">'⚖️ Wahrscheinlichkeit'!$G$19</f>
        <v>134250.115</v>
      </c>
      <c r="H210" s="166"/>
      <c r="I210" s="233" t="n">
        <f aca="false">'⚖️ Wahrscheinlichkeit'!$H$19</f>
        <v>0.0824416636394636</v>
      </c>
      <c r="L210" s="112"/>
      <c r="M210" s="112"/>
      <c r="N210" s="112"/>
      <c r="O210" s="112"/>
      <c r="P210" s="112"/>
      <c r="Q210" s="112"/>
      <c r="R210" s="112"/>
      <c r="S210" s="112"/>
    </row>
    <row r="211" customFormat="false" ht="18" hidden="false" customHeight="true" outlineLevel="0" collapsed="false">
      <c r="A211" s="168" t="str">
        <f aca="false">'⚖️ Wahrscheinlichkeit'!$A$20</f>
        <v>90 – 99 %</v>
      </c>
      <c r="B211" s="168"/>
      <c r="C211" s="168"/>
      <c r="D211" s="169" t="n">
        <f aca="false">'⚖️ Wahrscheinlichkeit'!$D$20</f>
        <v>0.9</v>
      </c>
      <c r="E211" s="170" t="n">
        <f aca="false">'⚖️ Wahrscheinlichkeit'!$E$20</f>
        <v>2</v>
      </c>
      <c r="F211" s="234" t="n">
        <f aca="false">'⚖️ Wahrscheinlichkeit'!$F$20</f>
        <v>72913.72</v>
      </c>
      <c r="G211" s="172" t="n">
        <f aca="false">'⚖️ Wahrscheinlichkeit'!$G$20</f>
        <v>65622.348</v>
      </c>
      <c r="H211" s="172"/>
      <c r="I211" s="235" t="n">
        <f aca="false">'⚖️ Wahrscheinlichkeit'!$H$20</f>
        <v>0.0402980328251326</v>
      </c>
      <c r="L211" s="112"/>
      <c r="M211" s="112"/>
      <c r="N211" s="112"/>
      <c r="O211" s="112"/>
      <c r="P211" s="112"/>
      <c r="Q211" s="112"/>
      <c r="R211" s="112"/>
      <c r="S211" s="112"/>
    </row>
    <row r="212" customFormat="false" ht="18" hidden="false" customHeight="true" outlineLevel="0" collapsed="false">
      <c r="A212" s="174" t="str">
        <f aca="false">'⚖️ Wahrscheinlichkeit'!$A$21</f>
        <v>100 %  ·  WON</v>
      </c>
      <c r="B212" s="174"/>
      <c r="C212" s="174"/>
      <c r="D212" s="175" t="n">
        <f aca="false">'⚖️ Wahrscheinlichkeit'!$D$21</f>
        <v>1</v>
      </c>
      <c r="E212" s="176" t="n">
        <f aca="false">'⚖️ Wahrscheinlichkeit'!$E$21</f>
        <v>12</v>
      </c>
      <c r="F212" s="236" t="n">
        <f aca="false">'⚖️ Wahrscheinlichkeit'!$F$21</f>
        <v>1428553.13</v>
      </c>
      <c r="G212" s="178" t="n">
        <f aca="false">'⚖️ Wahrscheinlichkeit'!$G$21</f>
        <v>1428553.13</v>
      </c>
      <c r="H212" s="178"/>
      <c r="I212" s="237" t="n">
        <f aca="false">'⚖️ Wahrscheinlichkeit'!$H$21</f>
        <v>0.877260303535404</v>
      </c>
      <c r="L212" s="112"/>
      <c r="M212" s="112"/>
      <c r="N212" s="112"/>
      <c r="O212" s="112"/>
      <c r="P212" s="112"/>
      <c r="Q212" s="112"/>
      <c r="R212" s="112"/>
      <c r="S212" s="112"/>
    </row>
    <row r="213" customFormat="false" ht="25.5" hidden="false" customHeight="true" outlineLevel="0" collapsed="false">
      <c r="A213" s="180" t="s">
        <v>130</v>
      </c>
      <c r="B213" s="180"/>
      <c r="C213" s="180"/>
      <c r="D213" s="181"/>
      <c r="E213" s="182" t="n">
        <f aca="false">'⚖️ Wahrscheinlichkeit'!$E$22</f>
        <v>46</v>
      </c>
      <c r="F213" s="238" t="n">
        <f aca="false">'⚖️ Wahrscheinlichkeit'!$F$22</f>
        <v>6862149.23</v>
      </c>
      <c r="G213" s="184" t="n">
        <f aca="false">'⚖️ Wahrscheinlichkeit'!$G$22</f>
        <v>1628425.593</v>
      </c>
      <c r="H213" s="184"/>
      <c r="I213" s="208" t="n">
        <f aca="false">'⚖️ Wahrscheinlichkeit'!$H$22</f>
        <v>0.237305476523424</v>
      </c>
      <c r="L213" s="112"/>
      <c r="M213" s="112"/>
      <c r="N213" s="112"/>
      <c r="O213" s="112"/>
      <c r="P213" s="112"/>
      <c r="Q213" s="112"/>
      <c r="R213" s="112"/>
      <c r="S213" s="112"/>
    </row>
    <row r="214" customFormat="false" ht="15.75" hidden="false" customHeight="true" outlineLevel="0" collapsed="false">
      <c r="A214" s="186" t="str">
        <f aca="false">"Gewichtungsgrad der Gesamtpipeline: "&amp;TEXT('⚖️ Wahrscheinlichkeit'!$H$22,"0.0%")&amp;"   ·   Faktoren: 0–44 % → 0 %  |  45–59 % → 30 %  |  60–89 % → 50 %  |  90–99 % → 90 %  |  100 % → 100 %"</f>
        <v>Gewichtungsgrad der Gesamtpipeline: 23.7%   ·   Faktoren: 0–44 % → 0 %  |  45–59 % → 30 %  |  60–89 % → 50 %  |  90–99 % → 90 %  |  100 % → 100 %</v>
      </c>
      <c r="B214" s="186"/>
      <c r="C214" s="186"/>
      <c r="D214" s="186"/>
      <c r="E214" s="186"/>
      <c r="F214" s="186"/>
      <c r="G214" s="186"/>
      <c r="H214" s="186"/>
      <c r="I214" s="186"/>
      <c r="J214" s="186"/>
      <c r="K214" s="186"/>
      <c r="L214" s="112"/>
      <c r="M214" s="112"/>
      <c r="N214" s="112"/>
      <c r="O214" s="112"/>
      <c r="P214" s="112"/>
      <c r="Q214" s="112"/>
      <c r="R214" s="112"/>
      <c r="S214" s="112"/>
    </row>
    <row r="215" customFormat="false" ht="15" hidden="false" customHeight="true" outlineLevel="0" collapsed="false">
      <c r="L215" s="112"/>
      <c r="M215" s="112"/>
      <c r="N215" s="112"/>
      <c r="O215" s="112"/>
      <c r="P215" s="112"/>
      <c r="Q215" s="112"/>
      <c r="R215" s="112"/>
      <c r="S215" s="112"/>
    </row>
    <row r="216" customFormat="false" ht="13.5" hidden="false" customHeight="true" outlineLevel="0" collapsed="false">
      <c r="A216" s="187"/>
      <c r="L216" s="112"/>
      <c r="M216" s="112"/>
      <c r="N216" s="112"/>
      <c r="O216" s="112"/>
      <c r="P216" s="112"/>
      <c r="Q216" s="112"/>
      <c r="R216" s="112"/>
      <c r="S216" s="112"/>
    </row>
    <row r="217" customFormat="false" ht="15" hidden="false" customHeight="true" outlineLevel="0" collapsed="false">
      <c r="L217" s="112"/>
      <c r="M217" s="112"/>
      <c r="N217" s="112"/>
      <c r="O217" s="112"/>
      <c r="P217" s="112"/>
      <c r="Q217" s="112"/>
      <c r="R217" s="112"/>
      <c r="S217" s="112"/>
    </row>
    <row r="218" customFormat="false" ht="24" hidden="false" customHeight="true" outlineLevel="0" collapsed="false">
      <c r="A218" s="147" t="s">
        <v>131</v>
      </c>
      <c r="B218" s="147"/>
      <c r="C218" s="147"/>
      <c r="D218" s="147"/>
      <c r="E218" s="147"/>
      <c r="F218" s="147"/>
      <c r="G218" s="147"/>
      <c r="H218" s="147"/>
      <c r="I218" s="147"/>
      <c r="J218" s="147"/>
      <c r="K218" s="147"/>
      <c r="L218" s="112"/>
      <c r="M218" s="112"/>
      <c r="N218" s="112"/>
      <c r="O218" s="112"/>
      <c r="P218" s="112"/>
      <c r="Q218" s="112"/>
      <c r="R218" s="112"/>
      <c r="S218" s="112"/>
    </row>
    <row r="219" customFormat="false" ht="19.5" hidden="false" customHeight="true" outlineLevel="0" collapsed="false">
      <c r="A219" s="148" t="s">
        <v>132</v>
      </c>
      <c r="B219" s="148"/>
      <c r="C219" s="148"/>
      <c r="D219" s="148"/>
      <c r="E219" s="148" t="s">
        <v>133</v>
      </c>
      <c r="F219" s="148" t="s">
        <v>134</v>
      </c>
      <c r="G219" s="148"/>
      <c r="H219" s="148"/>
      <c r="I219" s="148"/>
      <c r="J219" s="148"/>
      <c r="K219" s="148"/>
      <c r="L219" s="112"/>
      <c r="M219" s="112"/>
      <c r="N219" s="112"/>
      <c r="O219" s="112"/>
      <c r="P219" s="112"/>
      <c r="Q219" s="112"/>
      <c r="R219" s="112"/>
      <c r="S219" s="112"/>
    </row>
    <row r="220" customFormat="false" ht="18" hidden="false" customHeight="true" outlineLevel="0" collapsed="false">
      <c r="A220" s="188" t="s">
        <v>135</v>
      </c>
      <c r="B220" s="188"/>
      <c r="C220" s="188"/>
      <c r="D220" s="188"/>
      <c r="E220" s="189" t="n">
        <f aca="false">SUMIFS('MiT Strom Pipeline'!$I$6:$I$860,'MiT Strom Pipeline'!$R$6:$R$860,"WON")</f>
        <v>1428553.13</v>
      </c>
      <c r="F220" s="190" t="s">
        <v>136</v>
      </c>
      <c r="G220" s="190"/>
      <c r="H220" s="190"/>
      <c r="I220" s="190"/>
      <c r="J220" s="190"/>
      <c r="K220" s="190"/>
    </row>
    <row r="221" customFormat="false" ht="18" hidden="false" customHeight="true" outlineLevel="0" collapsed="false">
      <c r="A221" s="191" t="s">
        <v>32</v>
      </c>
      <c r="B221" s="191"/>
      <c r="C221" s="191"/>
      <c r="D221" s="191"/>
      <c r="E221" s="192" t="n">
        <f aca="false">SUMPRODUCT(--('MiT Strom Pipeline'!$R$6:$R$860="WON"),'MiT Strom Pipeline'!$AZ$6:$AZ$860)</f>
        <v>1321510.75855689</v>
      </c>
      <c r="F221" s="193" t="s">
        <v>137</v>
      </c>
      <c r="G221" s="193"/>
      <c r="H221" s="193"/>
      <c r="I221" s="193"/>
      <c r="J221" s="193"/>
      <c r="K221" s="193"/>
    </row>
    <row r="222" customFormat="false" ht="18" hidden="false" customHeight="true" outlineLevel="0" collapsed="false">
      <c r="A222" s="191" t="s">
        <v>138</v>
      </c>
      <c r="B222" s="191"/>
      <c r="C222" s="191"/>
      <c r="D222" s="191"/>
      <c r="E222" s="192" t="n">
        <f aca="false">SUMPRODUCT('MiT Strom Pipeline'!$AT$6:$AT$860,'MiT Strom Pipeline'!$AL$6:$AL$860)</f>
        <v>0</v>
      </c>
      <c r="F222" s="193" t="s">
        <v>139</v>
      </c>
      <c r="G222" s="193"/>
      <c r="H222" s="193"/>
      <c r="I222" s="193"/>
      <c r="J222" s="193"/>
      <c r="K222" s="193"/>
    </row>
    <row r="223" customFormat="false" ht="18" hidden="false" customHeight="true" outlineLevel="0" collapsed="false">
      <c r="A223" s="188" t="s">
        <v>140</v>
      </c>
      <c r="B223" s="188"/>
      <c r="C223" s="188"/>
      <c r="D223" s="188"/>
      <c r="E223" s="189" t="n">
        <f aca="false">SUMIFS('MiT Strom Pipeline'!$I$6:$I$860,'MiT Strom Pipeline'!$R$6:$R$860,"WON")-SUMPRODUCT('MiT Strom Pipeline'!$AT$6:$AT$860,'MiT Strom Pipeline'!$AL$6:$AL$860)</f>
        <v>1428553.13</v>
      </c>
      <c r="F223" s="190" t="s">
        <v>141</v>
      </c>
      <c r="G223" s="190"/>
      <c r="H223" s="190"/>
      <c r="I223" s="190"/>
      <c r="J223" s="190"/>
      <c r="K223" s="190"/>
    </row>
    <row r="224" customFormat="false" ht="18" hidden="false" customHeight="true" outlineLevel="0" collapsed="false">
      <c r="A224" s="188" t="s">
        <v>142</v>
      </c>
      <c r="B224" s="188"/>
      <c r="C224" s="188"/>
      <c r="D224" s="188"/>
      <c r="E224" s="189" t="n">
        <f aca="false">SUMPRODUCT('MiT Strom Pipeline'!$AP$6:$AP$860,'MiT Strom Pipeline'!$AL$6:$AL$860)</f>
        <v>6862149.23</v>
      </c>
      <c r="F224" s="190" t="s">
        <v>143</v>
      </c>
      <c r="G224" s="190"/>
      <c r="H224" s="190"/>
      <c r="I224" s="190"/>
      <c r="J224" s="190"/>
      <c r="K224" s="190"/>
    </row>
    <row r="225" customFormat="false" ht="18" hidden="false" customHeight="true" outlineLevel="0" collapsed="false">
      <c r="A225" s="188" t="s">
        <v>144</v>
      </c>
      <c r="B225" s="188"/>
      <c r="C225" s="188"/>
      <c r="D225" s="188"/>
      <c r="E225" s="189" t="n">
        <f aca="false">SUMPRODUCT('MiT Strom Pipeline'!$AP$6:$AP$860,'MiT Strom Pipeline'!$AU$6:$AU$860,'MiT Strom Pipeline'!$AL$6:$AL$860)</f>
        <v>6862149.23</v>
      </c>
      <c r="F225" s="190" t="s">
        <v>145</v>
      </c>
      <c r="G225" s="190"/>
      <c r="H225" s="190"/>
      <c r="I225" s="190"/>
      <c r="J225" s="190"/>
      <c r="K225" s="190"/>
    </row>
    <row r="226" customFormat="false" ht="18" hidden="false" customHeight="true" outlineLevel="0" collapsed="false">
      <c r="A226" s="188" t="s">
        <v>146</v>
      </c>
      <c r="B226" s="188"/>
      <c r="C226" s="188"/>
      <c r="D226" s="188"/>
      <c r="E226" s="194" t="n">
        <f aca="false">IFERROR(SUMPRODUCT('MiT Strom Pipeline'!$AT$6:$AT$860,'MiT Strom Pipeline'!$AL$6:$AL$860)/SUMIFS('MiT Strom Pipeline'!$I$6:$I$860,'MiT Strom Pipeline'!$R$6:$R$860,"WON"),0)</f>
        <v>0</v>
      </c>
      <c r="F226" s="190" t="s">
        <v>147</v>
      </c>
      <c r="G226" s="190"/>
      <c r="H226" s="190"/>
      <c r="I226" s="190"/>
      <c r="J226" s="190"/>
      <c r="K226" s="190"/>
    </row>
    <row r="227" customFormat="false" ht="18" hidden="false" customHeight="true" outlineLevel="0" collapsed="false">
      <c r="A227" s="188" t="s">
        <v>35</v>
      </c>
      <c r="B227" s="188"/>
      <c r="C227" s="188"/>
      <c r="D227" s="188"/>
      <c r="E227" s="195" t="n">
        <f aca="false">SUMPRODUCT('MiT Strom Pipeline'!$AP$6:$AP$860,'MiT Strom Pipeline'!$AY$6:$AY$860)</f>
        <v>0</v>
      </c>
      <c r="F227" s="190" t="s">
        <v>148</v>
      </c>
      <c r="G227" s="190"/>
      <c r="H227" s="190"/>
      <c r="I227" s="190"/>
      <c r="J227" s="190"/>
      <c r="K227" s="190"/>
    </row>
    <row r="228" customFormat="false" ht="18" hidden="false" customHeight="true" outlineLevel="0" collapsed="false">
      <c r="A228" s="191" t="s">
        <v>149</v>
      </c>
      <c r="B228" s="191"/>
      <c r="C228" s="191"/>
      <c r="D228" s="191"/>
      <c r="E228" s="196" t="n">
        <f aca="false">SUMPRODUCT('MiT Strom Pipeline'!$AP$6:$AP$860,--('MiT Strom Pipeline'!$AY$6:$AY$860=0))</f>
        <v>46</v>
      </c>
      <c r="F228" s="193" t="s">
        <v>150</v>
      </c>
      <c r="G228" s="193"/>
      <c r="H228" s="193"/>
      <c r="I228" s="193"/>
      <c r="J228" s="193"/>
      <c r="K228" s="193"/>
    </row>
    <row r="229" customFormat="false" ht="18" hidden="false" customHeight="true" outlineLevel="0" collapsed="false">
      <c r="A229" s="191" t="s">
        <v>151</v>
      </c>
      <c r="B229" s="191"/>
      <c r="C229" s="191"/>
      <c r="D229" s="191"/>
      <c r="E229" s="192" t="n">
        <f aca="false">SUMPRODUCT('MiT Strom Pipeline'!$AP$6:$AP$860,--('MiT Strom Pipeline'!$AY$6:$AY$860=0),'MiT Strom Pipeline'!$AL$6:$AL$860)</f>
        <v>6862149.23</v>
      </c>
      <c r="F229" s="193" t="s">
        <v>152</v>
      </c>
      <c r="G229" s="193"/>
      <c r="H229" s="193"/>
      <c r="I229" s="193"/>
      <c r="J229" s="193"/>
      <c r="K229" s="193"/>
    </row>
    <row r="230" customFormat="false" ht="15.75" hidden="false" customHeight="true" outlineLevel="0" collapsed="false">
      <c r="A230" s="186" t="str">
        <f aca="false">"Offene Pflichtangaben: "&amp;'📋 Definitionen &amp; Klärung'!$C$23&amp;"   ·   Definitionen, Kalkulationsregeln und offene Punkte: Blatt «📋 Definitionen &amp; Klärung»"</f>
        <v>Offene Pflichtangaben: 101   ·   Definitionen, Kalkulationsregeln und offene Punkte: Blatt «📋 Definitionen &amp; Klärung»</v>
      </c>
      <c r="B230" s="186"/>
      <c r="C230" s="186"/>
      <c r="D230" s="186"/>
      <c r="E230" s="186"/>
      <c r="F230" s="186"/>
      <c r="G230" s="186"/>
      <c r="H230" s="186"/>
      <c r="I230" s="186"/>
      <c r="J230" s="186"/>
      <c r="K230" s="186"/>
    </row>
    <row r="232" customFormat="false" ht="24" hidden="false" customHeight="true" outlineLevel="0" collapsed="false">
      <c r="A232" s="147" t="s">
        <v>153</v>
      </c>
      <c r="B232" s="147"/>
      <c r="C232" s="147"/>
      <c r="D232" s="147"/>
      <c r="E232" s="147"/>
      <c r="F232" s="147"/>
      <c r="G232" s="147"/>
      <c r="H232" s="147"/>
      <c r="I232" s="147"/>
      <c r="J232" s="147"/>
      <c r="K232" s="147"/>
    </row>
    <row r="233" customFormat="false" ht="18" hidden="false" customHeight="true" outlineLevel="0" collapsed="false">
      <c r="A233" s="197" t="s">
        <v>87</v>
      </c>
      <c r="B233" s="197"/>
      <c r="C233" s="197"/>
      <c r="D233" s="198" t="n">
        <f aca="true">YEAR(TODAY())</f>
        <v>2026</v>
      </c>
      <c r="E233" s="190" t="s">
        <v>154</v>
      </c>
      <c r="F233" s="190"/>
      <c r="G233" s="190"/>
      <c r="H233" s="190"/>
      <c r="I233" s="190"/>
      <c r="J233" s="190"/>
      <c r="K233" s="190"/>
    </row>
    <row r="234" customFormat="false" ht="19.5" hidden="false" customHeight="true" outlineLevel="0" collapsed="false">
      <c r="A234" s="148" t="s">
        <v>88</v>
      </c>
      <c r="B234" s="148"/>
      <c r="C234" s="148"/>
      <c r="D234" s="149" t="s">
        <v>89</v>
      </c>
      <c r="E234" s="148" t="s">
        <v>15</v>
      </c>
      <c r="F234" s="149" t="s">
        <v>16</v>
      </c>
      <c r="G234" s="148" t="s">
        <v>42</v>
      </c>
      <c r="H234" s="148"/>
      <c r="I234" s="148"/>
      <c r="J234" s="148"/>
      <c r="K234" s="148"/>
    </row>
    <row r="235" customFormat="false" ht="16.5" hidden="false" customHeight="true" outlineLevel="0" collapsed="false">
      <c r="A235" s="188" t="s">
        <v>90</v>
      </c>
      <c r="B235" s="188"/>
      <c r="C235" s="188"/>
      <c r="D235" s="199" t="s">
        <v>91</v>
      </c>
      <c r="E235" s="200" t="n">
        <f aca="false">SUMPRODUCT('MiT Strom Pipeline'!$AP$6:$AP$860,--('MiT Strom Pipeline'!$AX$6:$AX$860=DATE($D$233,1,1)))</f>
        <v>0</v>
      </c>
      <c r="F235" s="239" t="n">
        <f aca="false">SUMPRODUCT('MiT Strom Pipeline'!$AP$6:$AP$860,--('MiT Strom Pipeline'!$AX$6:$AX$860=DATE($D$233,1,1)),'MiT Strom Pipeline'!$AL$6:$AL$860)</f>
        <v>0</v>
      </c>
      <c r="G235" s="202" t="n">
        <f aca="false">IFERROR(SUMPRODUCT('MiT Strom Pipeline'!$AP$6:$AP$860,--('MiT Strom Pipeline'!$AX$6:$AX$860=DATE($D$233,1,1)),'MiT Strom Pipeline'!$AL$6:$AL$860)/SUMPRODUCT('MiT Strom Pipeline'!$AP$6:$AP$860,'MiT Strom Pipeline'!$AL$6:$AL$860),0)</f>
        <v>0</v>
      </c>
      <c r="H235" s="202"/>
      <c r="I235" s="202"/>
      <c r="J235" s="202"/>
      <c r="K235" s="202"/>
    </row>
    <row r="236" customFormat="false" ht="16.5" hidden="false" customHeight="true" outlineLevel="0" collapsed="false">
      <c r="A236" s="188" t="s">
        <v>92</v>
      </c>
      <c r="B236" s="188"/>
      <c r="C236" s="188"/>
      <c r="D236" s="199" t="s">
        <v>91</v>
      </c>
      <c r="E236" s="200" t="n">
        <f aca="false">SUMPRODUCT('MiT Strom Pipeline'!$AP$6:$AP$860,--('MiT Strom Pipeline'!$AX$6:$AX$860=DATE($D$233,2,1)))</f>
        <v>0</v>
      </c>
      <c r="F236" s="239" t="n">
        <f aca="false">SUMPRODUCT('MiT Strom Pipeline'!$AP$6:$AP$860,--('MiT Strom Pipeline'!$AX$6:$AX$860=DATE($D$233,2,1)),'MiT Strom Pipeline'!$AL$6:$AL$860)</f>
        <v>0</v>
      </c>
      <c r="G236" s="202" t="n">
        <f aca="false">IFERROR(SUMPRODUCT('MiT Strom Pipeline'!$AP$6:$AP$860,--('MiT Strom Pipeline'!$AX$6:$AX$860=DATE($D$233,2,1)),'MiT Strom Pipeline'!$AL$6:$AL$860)/SUMPRODUCT('MiT Strom Pipeline'!$AP$6:$AP$860,'MiT Strom Pipeline'!$AL$6:$AL$860),0)</f>
        <v>0</v>
      </c>
      <c r="H236" s="202"/>
      <c r="I236" s="202"/>
      <c r="J236" s="202"/>
      <c r="K236" s="202"/>
    </row>
    <row r="237" customFormat="false" ht="16.5" hidden="false" customHeight="true" outlineLevel="0" collapsed="false">
      <c r="A237" s="188" t="s">
        <v>93</v>
      </c>
      <c r="B237" s="188"/>
      <c r="C237" s="188"/>
      <c r="D237" s="199" t="s">
        <v>91</v>
      </c>
      <c r="E237" s="200" t="n">
        <f aca="false">SUMPRODUCT('MiT Strom Pipeline'!$AP$6:$AP$860,--('MiT Strom Pipeline'!$AX$6:$AX$860=DATE($D$233,3,1)))</f>
        <v>0</v>
      </c>
      <c r="F237" s="239" t="n">
        <f aca="false">SUMPRODUCT('MiT Strom Pipeline'!$AP$6:$AP$860,--('MiT Strom Pipeline'!$AX$6:$AX$860=DATE($D$233,3,1)),'MiT Strom Pipeline'!$AL$6:$AL$860)</f>
        <v>0</v>
      </c>
      <c r="G237" s="202" t="n">
        <f aca="false">IFERROR(SUMPRODUCT('MiT Strom Pipeline'!$AP$6:$AP$860,--('MiT Strom Pipeline'!$AX$6:$AX$860=DATE($D$233,3,1)),'MiT Strom Pipeline'!$AL$6:$AL$860)/SUMPRODUCT('MiT Strom Pipeline'!$AP$6:$AP$860,'MiT Strom Pipeline'!$AL$6:$AL$860),0)</f>
        <v>0</v>
      </c>
      <c r="H237" s="202"/>
      <c r="I237" s="202"/>
      <c r="J237" s="202"/>
      <c r="K237" s="202"/>
    </row>
    <row r="238" customFormat="false" ht="16.5" hidden="false" customHeight="true" outlineLevel="0" collapsed="false">
      <c r="A238" s="188" t="s">
        <v>94</v>
      </c>
      <c r="B238" s="188"/>
      <c r="C238" s="188"/>
      <c r="D238" s="199" t="s">
        <v>95</v>
      </c>
      <c r="E238" s="200" t="n">
        <f aca="false">SUMPRODUCT('MiT Strom Pipeline'!$AP$6:$AP$860,--('MiT Strom Pipeline'!$AX$6:$AX$860=DATE($D$233,4,1)))</f>
        <v>0</v>
      </c>
      <c r="F238" s="239" t="n">
        <f aca="false">SUMPRODUCT('MiT Strom Pipeline'!$AP$6:$AP$860,--('MiT Strom Pipeline'!$AX$6:$AX$860=DATE($D$233,4,1)),'MiT Strom Pipeline'!$AL$6:$AL$860)</f>
        <v>0</v>
      </c>
      <c r="G238" s="202" t="n">
        <f aca="false">IFERROR(SUMPRODUCT('MiT Strom Pipeline'!$AP$6:$AP$860,--('MiT Strom Pipeline'!$AX$6:$AX$860=DATE($D$233,4,1)),'MiT Strom Pipeline'!$AL$6:$AL$860)/SUMPRODUCT('MiT Strom Pipeline'!$AP$6:$AP$860,'MiT Strom Pipeline'!$AL$6:$AL$860),0)</f>
        <v>0</v>
      </c>
      <c r="H238" s="202"/>
      <c r="I238" s="202"/>
      <c r="J238" s="202"/>
      <c r="K238" s="202"/>
    </row>
    <row r="239" customFormat="false" ht="16.5" hidden="false" customHeight="true" outlineLevel="0" collapsed="false">
      <c r="A239" s="188" t="s">
        <v>96</v>
      </c>
      <c r="B239" s="188"/>
      <c r="C239" s="188"/>
      <c r="D239" s="199" t="s">
        <v>95</v>
      </c>
      <c r="E239" s="200" t="n">
        <f aca="false">SUMPRODUCT('MiT Strom Pipeline'!$AP$6:$AP$860,--('MiT Strom Pipeline'!$AX$6:$AX$860=DATE($D$233,5,1)))</f>
        <v>0</v>
      </c>
      <c r="F239" s="239" t="n">
        <f aca="false">SUMPRODUCT('MiT Strom Pipeline'!$AP$6:$AP$860,--('MiT Strom Pipeline'!$AX$6:$AX$860=DATE($D$233,5,1)),'MiT Strom Pipeline'!$AL$6:$AL$860)</f>
        <v>0</v>
      </c>
      <c r="G239" s="202" t="n">
        <f aca="false">IFERROR(SUMPRODUCT('MiT Strom Pipeline'!$AP$6:$AP$860,--('MiT Strom Pipeline'!$AX$6:$AX$860=DATE($D$233,5,1)),'MiT Strom Pipeline'!$AL$6:$AL$860)/SUMPRODUCT('MiT Strom Pipeline'!$AP$6:$AP$860,'MiT Strom Pipeline'!$AL$6:$AL$860),0)</f>
        <v>0</v>
      </c>
      <c r="H239" s="202"/>
      <c r="I239" s="202"/>
      <c r="J239" s="202"/>
      <c r="K239" s="202"/>
    </row>
    <row r="240" customFormat="false" ht="16.5" hidden="false" customHeight="true" outlineLevel="0" collapsed="false">
      <c r="A240" s="188" t="s">
        <v>97</v>
      </c>
      <c r="B240" s="188"/>
      <c r="C240" s="188"/>
      <c r="D240" s="199" t="s">
        <v>95</v>
      </c>
      <c r="E240" s="200" t="n">
        <f aca="false">SUMPRODUCT('MiT Strom Pipeline'!$AP$6:$AP$860,--('MiT Strom Pipeline'!$AX$6:$AX$860=DATE($D$233,6,1)))</f>
        <v>0</v>
      </c>
      <c r="F240" s="239" t="n">
        <f aca="false">SUMPRODUCT('MiT Strom Pipeline'!$AP$6:$AP$860,--('MiT Strom Pipeline'!$AX$6:$AX$860=DATE($D$233,6,1)),'MiT Strom Pipeline'!$AL$6:$AL$860)</f>
        <v>0</v>
      </c>
      <c r="G240" s="202" t="n">
        <f aca="false">IFERROR(SUMPRODUCT('MiT Strom Pipeline'!$AP$6:$AP$860,--('MiT Strom Pipeline'!$AX$6:$AX$860=DATE($D$233,6,1)),'MiT Strom Pipeline'!$AL$6:$AL$860)/SUMPRODUCT('MiT Strom Pipeline'!$AP$6:$AP$860,'MiT Strom Pipeline'!$AL$6:$AL$860),0)</f>
        <v>0</v>
      </c>
      <c r="H240" s="202"/>
      <c r="I240" s="202"/>
      <c r="J240" s="202"/>
      <c r="K240" s="202"/>
    </row>
    <row r="241" customFormat="false" ht="16.5" hidden="false" customHeight="true" outlineLevel="0" collapsed="false">
      <c r="A241" s="188" t="s">
        <v>98</v>
      </c>
      <c r="B241" s="188"/>
      <c r="C241" s="188"/>
      <c r="D241" s="199" t="s">
        <v>99</v>
      </c>
      <c r="E241" s="200" t="n">
        <f aca="false">SUMPRODUCT('MiT Strom Pipeline'!$AP$6:$AP$860,--('MiT Strom Pipeline'!$AX$6:$AX$860=DATE($D$233,7,1)))</f>
        <v>0</v>
      </c>
      <c r="F241" s="239" t="n">
        <f aca="false">SUMPRODUCT('MiT Strom Pipeline'!$AP$6:$AP$860,--('MiT Strom Pipeline'!$AX$6:$AX$860=DATE($D$233,7,1)),'MiT Strom Pipeline'!$AL$6:$AL$860)</f>
        <v>0</v>
      </c>
      <c r="G241" s="202" t="n">
        <f aca="false">IFERROR(SUMPRODUCT('MiT Strom Pipeline'!$AP$6:$AP$860,--('MiT Strom Pipeline'!$AX$6:$AX$860=DATE($D$233,7,1)),'MiT Strom Pipeline'!$AL$6:$AL$860)/SUMPRODUCT('MiT Strom Pipeline'!$AP$6:$AP$860,'MiT Strom Pipeline'!$AL$6:$AL$860),0)</f>
        <v>0</v>
      </c>
      <c r="H241" s="202"/>
      <c r="I241" s="202"/>
      <c r="J241" s="202"/>
      <c r="K241" s="202"/>
    </row>
    <row r="242" customFormat="false" ht="16.5" hidden="false" customHeight="true" outlineLevel="0" collapsed="false">
      <c r="A242" s="188" t="s">
        <v>100</v>
      </c>
      <c r="B242" s="188"/>
      <c r="C242" s="188"/>
      <c r="D242" s="199" t="s">
        <v>99</v>
      </c>
      <c r="E242" s="200" t="n">
        <f aca="false">SUMPRODUCT('MiT Strom Pipeline'!$AP$6:$AP$860,--('MiT Strom Pipeline'!$AX$6:$AX$860=DATE($D$233,8,1)))</f>
        <v>0</v>
      </c>
      <c r="F242" s="239" t="n">
        <f aca="false">SUMPRODUCT('MiT Strom Pipeline'!$AP$6:$AP$860,--('MiT Strom Pipeline'!$AX$6:$AX$860=DATE($D$233,8,1)),'MiT Strom Pipeline'!$AL$6:$AL$860)</f>
        <v>0</v>
      </c>
      <c r="G242" s="202" t="n">
        <f aca="false">IFERROR(SUMPRODUCT('MiT Strom Pipeline'!$AP$6:$AP$860,--('MiT Strom Pipeline'!$AX$6:$AX$860=DATE($D$233,8,1)),'MiT Strom Pipeline'!$AL$6:$AL$860)/SUMPRODUCT('MiT Strom Pipeline'!$AP$6:$AP$860,'MiT Strom Pipeline'!$AL$6:$AL$860),0)</f>
        <v>0</v>
      </c>
      <c r="H242" s="202"/>
      <c r="I242" s="202"/>
      <c r="J242" s="202"/>
      <c r="K242" s="202"/>
    </row>
    <row r="243" customFormat="false" ht="16.5" hidden="false" customHeight="true" outlineLevel="0" collapsed="false">
      <c r="A243" s="188" t="s">
        <v>101</v>
      </c>
      <c r="B243" s="188"/>
      <c r="C243" s="188"/>
      <c r="D243" s="199" t="s">
        <v>99</v>
      </c>
      <c r="E243" s="200" t="n">
        <f aca="false">SUMPRODUCT('MiT Strom Pipeline'!$AP$6:$AP$860,--('MiT Strom Pipeline'!$AX$6:$AX$860=DATE($D$233,9,1)))</f>
        <v>0</v>
      </c>
      <c r="F243" s="239" t="n">
        <f aca="false">SUMPRODUCT('MiT Strom Pipeline'!$AP$6:$AP$860,--('MiT Strom Pipeline'!$AX$6:$AX$860=DATE($D$233,9,1)),'MiT Strom Pipeline'!$AL$6:$AL$860)</f>
        <v>0</v>
      </c>
      <c r="G243" s="202" t="n">
        <f aca="false">IFERROR(SUMPRODUCT('MiT Strom Pipeline'!$AP$6:$AP$860,--('MiT Strom Pipeline'!$AX$6:$AX$860=DATE($D$233,9,1)),'MiT Strom Pipeline'!$AL$6:$AL$860)/SUMPRODUCT('MiT Strom Pipeline'!$AP$6:$AP$860,'MiT Strom Pipeline'!$AL$6:$AL$860),0)</f>
        <v>0</v>
      </c>
      <c r="H243" s="202"/>
      <c r="I243" s="202"/>
      <c r="J243" s="202"/>
      <c r="K243" s="202"/>
    </row>
    <row r="244" customFormat="false" ht="16.5" hidden="false" customHeight="true" outlineLevel="0" collapsed="false">
      <c r="A244" s="188" t="s">
        <v>102</v>
      </c>
      <c r="B244" s="188"/>
      <c r="C244" s="188"/>
      <c r="D244" s="199" t="s">
        <v>103</v>
      </c>
      <c r="E244" s="200" t="n">
        <f aca="false">SUMPRODUCT('MiT Strom Pipeline'!$AP$6:$AP$860,--('MiT Strom Pipeline'!$AX$6:$AX$860=DATE($D$233,10,1)))</f>
        <v>0</v>
      </c>
      <c r="F244" s="239" t="n">
        <f aca="false">SUMPRODUCT('MiT Strom Pipeline'!$AP$6:$AP$860,--('MiT Strom Pipeline'!$AX$6:$AX$860=DATE($D$233,10,1)),'MiT Strom Pipeline'!$AL$6:$AL$860)</f>
        <v>0</v>
      </c>
      <c r="G244" s="202" t="n">
        <f aca="false">IFERROR(SUMPRODUCT('MiT Strom Pipeline'!$AP$6:$AP$860,--('MiT Strom Pipeline'!$AX$6:$AX$860=DATE($D$233,10,1)),'MiT Strom Pipeline'!$AL$6:$AL$860)/SUMPRODUCT('MiT Strom Pipeline'!$AP$6:$AP$860,'MiT Strom Pipeline'!$AL$6:$AL$860),0)</f>
        <v>0</v>
      </c>
      <c r="H244" s="202"/>
      <c r="I244" s="202"/>
      <c r="J244" s="202"/>
      <c r="K244" s="202"/>
    </row>
    <row r="245" customFormat="false" ht="16.5" hidden="false" customHeight="true" outlineLevel="0" collapsed="false">
      <c r="A245" s="188" t="s">
        <v>104</v>
      </c>
      <c r="B245" s="188"/>
      <c r="C245" s="188"/>
      <c r="D245" s="199" t="s">
        <v>103</v>
      </c>
      <c r="E245" s="200" t="n">
        <f aca="false">SUMPRODUCT('MiT Strom Pipeline'!$AP$6:$AP$860,--('MiT Strom Pipeline'!$AX$6:$AX$860=DATE($D$233,11,1)))</f>
        <v>0</v>
      </c>
      <c r="F245" s="239" t="n">
        <f aca="false">SUMPRODUCT('MiT Strom Pipeline'!$AP$6:$AP$860,--('MiT Strom Pipeline'!$AX$6:$AX$860=DATE($D$233,11,1)),'MiT Strom Pipeline'!$AL$6:$AL$860)</f>
        <v>0</v>
      </c>
      <c r="G245" s="202" t="n">
        <f aca="false">IFERROR(SUMPRODUCT('MiT Strom Pipeline'!$AP$6:$AP$860,--('MiT Strom Pipeline'!$AX$6:$AX$860=DATE($D$233,11,1)),'MiT Strom Pipeline'!$AL$6:$AL$860)/SUMPRODUCT('MiT Strom Pipeline'!$AP$6:$AP$860,'MiT Strom Pipeline'!$AL$6:$AL$860),0)</f>
        <v>0</v>
      </c>
      <c r="H245" s="202"/>
      <c r="I245" s="202"/>
      <c r="J245" s="202"/>
      <c r="K245" s="202"/>
    </row>
    <row r="246" customFormat="false" ht="16.5" hidden="false" customHeight="true" outlineLevel="0" collapsed="false">
      <c r="A246" s="188" t="s">
        <v>105</v>
      </c>
      <c r="B246" s="188"/>
      <c r="C246" s="188"/>
      <c r="D246" s="199" t="s">
        <v>103</v>
      </c>
      <c r="E246" s="200" t="n">
        <f aca="false">SUMPRODUCT('MiT Strom Pipeline'!$AP$6:$AP$860,--('MiT Strom Pipeline'!$AX$6:$AX$860=DATE($D$233,12,1)))</f>
        <v>0</v>
      </c>
      <c r="F246" s="239" t="n">
        <f aca="false">SUMPRODUCT('MiT Strom Pipeline'!$AP$6:$AP$860,--('MiT Strom Pipeline'!$AX$6:$AX$860=DATE($D$233,12,1)),'MiT Strom Pipeline'!$AL$6:$AL$860)</f>
        <v>0</v>
      </c>
      <c r="G246" s="202" t="n">
        <f aca="false">IFERROR(SUMPRODUCT('MiT Strom Pipeline'!$AP$6:$AP$860,--('MiT Strom Pipeline'!$AX$6:$AX$860=DATE($D$233,12,1)),'MiT Strom Pipeline'!$AL$6:$AL$860)/SUMPRODUCT('MiT Strom Pipeline'!$AP$6:$AP$860,'MiT Strom Pipeline'!$AL$6:$AL$860),0)</f>
        <v>0</v>
      </c>
      <c r="H246" s="202"/>
      <c r="I246" s="202"/>
      <c r="J246" s="202"/>
      <c r="K246" s="202"/>
    </row>
    <row r="247" customFormat="false" ht="16.5" hidden="false" customHeight="true" outlineLevel="0" collapsed="false">
      <c r="A247" s="191" t="s">
        <v>106</v>
      </c>
      <c r="B247" s="191"/>
      <c r="C247" s="191"/>
      <c r="D247" s="203" t="s">
        <v>107</v>
      </c>
      <c r="E247" s="204" t="n">
        <f aca="false">SUMPRODUCT('MiT Strom Pipeline'!$AP$6:$AP$860,'MiT Strom Pipeline'!$AY$6:$AY$860,--('MiT Strom Pipeline'!$AX$6:$AX$860&lt;DATE($D$233,1,1))+--('MiT Strom Pipeline'!$AX$6:$AX$860&gt;DATE($D$233,12,1)))</f>
        <v>0</v>
      </c>
      <c r="F247" s="240" t="n">
        <f aca="false">SUMPRODUCT('MiT Strom Pipeline'!$AP$6:$AP$860,'MiT Strom Pipeline'!$AY$6:$AY$860,--('MiT Strom Pipeline'!$AX$6:$AX$860&lt;DATE($D$233,1,1))+--('MiT Strom Pipeline'!$AX$6:$AX$860&gt;DATE($D$233,12,1)),'MiT Strom Pipeline'!$AL$6:$AL$860)</f>
        <v>0</v>
      </c>
      <c r="G247" s="206" t="n">
        <f aca="false">IFERROR(SUMPRODUCT('MiT Strom Pipeline'!$AP$6:$AP$860,'MiT Strom Pipeline'!$AY$6:$AY$860,--('MiT Strom Pipeline'!$AX$6:$AX$860&lt;DATE($D$233,1,1))+--('MiT Strom Pipeline'!$AX$6:$AX$860&gt;DATE($D$233,12,1)),'MiT Strom Pipeline'!$AL$6:$AL$860)/SUMPRODUCT('MiT Strom Pipeline'!$AP$6:$AP$860,'MiT Strom Pipeline'!$AL$6:$AL$860),0)</f>
        <v>0</v>
      </c>
      <c r="H247" s="206"/>
      <c r="I247" s="206"/>
      <c r="J247" s="206"/>
      <c r="K247" s="206"/>
    </row>
    <row r="248" customFormat="false" ht="16.5" hidden="false" customHeight="true" outlineLevel="0" collapsed="false">
      <c r="A248" s="191" t="s">
        <v>108</v>
      </c>
      <c r="B248" s="191"/>
      <c r="C248" s="191"/>
      <c r="D248" s="203" t="s">
        <v>107</v>
      </c>
      <c r="E248" s="204" t="n">
        <f aca="false">SUMPRODUCT('MiT Strom Pipeline'!$AP$6:$AP$860,--('MiT Strom Pipeline'!$AY$6:$AY$860=0))</f>
        <v>46</v>
      </c>
      <c r="F248" s="240" t="n">
        <f aca="false">SUMPRODUCT('MiT Strom Pipeline'!$AP$6:$AP$860,--('MiT Strom Pipeline'!$AY$6:$AY$860=0),'MiT Strom Pipeline'!$AL$6:$AL$860)</f>
        <v>6862149.23</v>
      </c>
      <c r="G248" s="206" t="n">
        <f aca="false">IFERROR(SUMPRODUCT('MiT Strom Pipeline'!$AP$6:$AP$860,--('MiT Strom Pipeline'!$AY$6:$AY$860=0),'MiT Strom Pipeline'!$AL$6:$AL$860)/SUMPRODUCT('MiT Strom Pipeline'!$AP$6:$AP$860,'MiT Strom Pipeline'!$AL$6:$AL$860),0)</f>
        <v>1</v>
      </c>
      <c r="H248" s="206"/>
      <c r="I248" s="206"/>
      <c r="J248" s="206"/>
      <c r="K248" s="206"/>
    </row>
    <row r="249" customFormat="false" ht="21.75" hidden="false" customHeight="true" outlineLevel="0" collapsed="false">
      <c r="A249" s="180" t="s">
        <v>130</v>
      </c>
      <c r="B249" s="180"/>
      <c r="C249" s="180"/>
      <c r="D249" s="180"/>
      <c r="E249" s="182" t="n">
        <f aca="false">SUM(E235:E248)</f>
        <v>46</v>
      </c>
      <c r="F249" s="241" t="n">
        <f aca="false">SUM(F235:F248)</f>
        <v>6862149.23</v>
      </c>
      <c r="G249" s="208" t="n">
        <f aca="false">SUM(G235:G248)</f>
        <v>1</v>
      </c>
      <c r="H249" s="208"/>
      <c r="I249" s="208"/>
      <c r="J249" s="208"/>
      <c r="K249" s="208"/>
    </row>
    <row r="251" customFormat="false" ht="13.5" hidden="false" customHeight="true" outlineLevel="0" collapsed="false">
      <c r="A251" s="209" t="str">
        <f aca="true">"Stand: "&amp;TEXT(TODAY(),"DD.MM.YYYY")&amp;"  |  Burak Ücöz  |  Mobil in Time AG – An Aggreko Company  |  VERTRAULICH"</f>
        <v>Stand: 10.08.2026  |  Burak Ücöz  |  Mobil in Time AG – An Aggreko Company  |  VERTRAULICH</v>
      </c>
      <c r="B251" s="209"/>
      <c r="C251" s="209"/>
      <c r="D251" s="209"/>
      <c r="E251" s="209"/>
      <c r="F251" s="209"/>
      <c r="G251" s="209"/>
      <c r="H251" s="209"/>
      <c r="I251" s="209"/>
      <c r="J251" s="209"/>
      <c r="K251" s="209"/>
    </row>
  </sheetData>
  <autoFilter ref="A10:K72"/>
  <mergeCells count="99">
    <mergeCell ref="A1:K1"/>
    <mergeCell ref="A2:K2"/>
    <mergeCell ref="A3:K3"/>
    <mergeCell ref="A5:C5"/>
    <mergeCell ref="D5:F5"/>
    <mergeCell ref="G5:H5"/>
    <mergeCell ref="I5:K5"/>
    <mergeCell ref="A6:C6"/>
    <mergeCell ref="D6:F6"/>
    <mergeCell ref="G6:H6"/>
    <mergeCell ref="I6:K6"/>
    <mergeCell ref="A7:C7"/>
    <mergeCell ref="D7:F7"/>
    <mergeCell ref="G7:H7"/>
    <mergeCell ref="I7:K7"/>
    <mergeCell ref="A8:K8"/>
    <mergeCell ref="A9:K9"/>
    <mergeCell ref="A73:K73"/>
    <mergeCell ref="A137:K137"/>
    <mergeCell ref="A201:E201"/>
    <mergeCell ref="A202:E202"/>
    <mergeCell ref="A203:E203"/>
    <mergeCell ref="A204:E204"/>
    <mergeCell ref="A206:K206"/>
    <mergeCell ref="A207:C207"/>
    <mergeCell ref="G207:H207"/>
    <mergeCell ref="A208:C208"/>
    <mergeCell ref="G208:H208"/>
    <mergeCell ref="A209:C209"/>
    <mergeCell ref="G209:H209"/>
    <mergeCell ref="A210:C210"/>
    <mergeCell ref="G210:H210"/>
    <mergeCell ref="A211:C211"/>
    <mergeCell ref="G211:H211"/>
    <mergeCell ref="A212:C212"/>
    <mergeCell ref="G212:H212"/>
    <mergeCell ref="A213:C213"/>
    <mergeCell ref="G213:H213"/>
    <mergeCell ref="A214:K214"/>
    <mergeCell ref="A218:K218"/>
    <mergeCell ref="A219:D219"/>
    <mergeCell ref="F219:K219"/>
    <mergeCell ref="A220:D220"/>
    <mergeCell ref="F220:K220"/>
    <mergeCell ref="A221:D221"/>
    <mergeCell ref="F221:K221"/>
    <mergeCell ref="A222:D222"/>
    <mergeCell ref="F222:K222"/>
    <mergeCell ref="A223:D223"/>
    <mergeCell ref="F223:K223"/>
    <mergeCell ref="A224:D224"/>
    <mergeCell ref="F224:K224"/>
    <mergeCell ref="A225:D225"/>
    <mergeCell ref="F225:K225"/>
    <mergeCell ref="A226:D226"/>
    <mergeCell ref="F226:K226"/>
    <mergeCell ref="A227:D227"/>
    <mergeCell ref="F227:K227"/>
    <mergeCell ref="A228:D228"/>
    <mergeCell ref="F228:K228"/>
    <mergeCell ref="A229:D229"/>
    <mergeCell ref="F229:K229"/>
    <mergeCell ref="A230:K230"/>
    <mergeCell ref="A232:K232"/>
    <mergeCell ref="A233:C233"/>
    <mergeCell ref="E233:K233"/>
    <mergeCell ref="A234:C234"/>
    <mergeCell ref="G234:K234"/>
    <mergeCell ref="A235:C235"/>
    <mergeCell ref="G235:K235"/>
    <mergeCell ref="A236:C236"/>
    <mergeCell ref="G236:K236"/>
    <mergeCell ref="A237:C237"/>
    <mergeCell ref="G237:K237"/>
    <mergeCell ref="A238:C238"/>
    <mergeCell ref="G238:K238"/>
    <mergeCell ref="A239:C239"/>
    <mergeCell ref="G239:K239"/>
    <mergeCell ref="A240:C240"/>
    <mergeCell ref="G240:K240"/>
    <mergeCell ref="A241:C241"/>
    <mergeCell ref="G241:K241"/>
    <mergeCell ref="A242:C242"/>
    <mergeCell ref="G242:K242"/>
    <mergeCell ref="A243:C243"/>
    <mergeCell ref="G243:K243"/>
    <mergeCell ref="A244:C244"/>
    <mergeCell ref="G244:K244"/>
    <mergeCell ref="A245:C245"/>
    <mergeCell ref="G245:K245"/>
    <mergeCell ref="A246:C246"/>
    <mergeCell ref="G246:K246"/>
    <mergeCell ref="A247:C247"/>
    <mergeCell ref="G247:K247"/>
    <mergeCell ref="A248:C248"/>
    <mergeCell ref="G248:K248"/>
    <mergeCell ref="A249:D249"/>
    <mergeCell ref="G249:K249"/>
    <mergeCell ref="A251:K251"/>
  </mergeCells>
  <conditionalFormatting sqref="I11:I200">
    <cfRule type="cellIs" priority="2" operator="equal" aboveAverage="0" equalAverage="0" bottom="0" percent="0" rank="0" text="" dxfId="5">
      <formula>"WON"</formula>
    </cfRule>
    <cfRule type="cellIs" priority="3" operator="equal" aboveAverage="0" equalAverage="0" bottom="0" percent="0" rank="0" text="" dxfId="6">
      <formula>"offered"</formula>
    </cfRule>
    <cfRule type="cellIs" priority="4" operator="equal" aboveAverage="0" equalAverage="0" bottom="0" percent="0" rank="0" text="" dxfId="7">
      <formula>"to be offered"</formula>
    </cfRule>
    <cfRule type="cellIs" priority="5" operator="equal" aboveAverage="0" equalAverage="0" bottom="0" percent="0" rank="0" text="" dxfId="8">
      <formula>"follow-up"</formula>
    </cfRule>
    <cfRule type="cellIs" priority="6" operator="equal" aboveAverage="0" equalAverage="0" bottom="0" percent="0" rank="0" text="" dxfId="9">
      <formula>"Evaluation"</formula>
    </cfRule>
    <cfRule type="cellIs" priority="7" operator="equal" aboveAverage="0" equalAverage="0" bottom="0" percent="0" rank="0" text="" dxfId="9">
      <formula>"In evaluation"</formula>
    </cfRule>
    <cfRule type="cellIs" priority="8" operator="equal" aboveAverage="0" equalAverage="0" bottom="0" percent="0" rank="0" text="" dxfId="10">
      <formula>"on hold"</formula>
    </cfRule>
    <cfRule type="cellIs" priority="9" operator="equal" aboveAverage="0" equalAverage="0" bottom="0" percent="0" rank="0" text="" dxfId="11">
      <formula>"tbd"</formula>
    </cfRule>
    <cfRule type="cellIs" priority="10" operator="equal" aboveAverage="0" equalAverage="0" bottom="0" percent="0" rank="0" text="" dxfId="12">
      <formula>"LOST"</formula>
    </cfRule>
    <cfRule type="cellIs" priority="11" operator="equal" aboveAverage="0" equalAverage="0" bottom="0" percent="0" rank="0" text="" dxfId="13">
      <formula>"Declined"</formula>
    </cfRule>
  </conditionalFormatting>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Sales Dashboard</oddHeader>
    <oddFooter>&amp;L&amp;8 Mobil in Time AG · An Aggreko Company&amp;C&amp;8 Stand: &amp;D&amp;R&amp;8 Seite &amp;P von &amp;N</oddFooter>
  </headerFooter>
  <rowBreaks count="3" manualBreakCount="3">
    <brk id="72" man="true" max="16383" min="0"/>
    <brk id="136" man="true" max="16383" min="0"/>
    <brk id="205"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7C00"/>
    <pageSetUpPr fitToPage="true"/>
  </sheetPr>
  <dimension ref="A1:R1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8" min="1" style="1" width="11"/>
  </cols>
  <sheetData>
    <row r="1" customFormat="false" ht="31.5" hidden="false" customHeight="true" outlineLevel="0" collapsed="false">
      <c r="A1" s="242" t="s">
        <v>161</v>
      </c>
      <c r="B1" s="242"/>
      <c r="C1" s="242"/>
      <c r="D1" s="242"/>
      <c r="E1" s="242"/>
      <c r="F1" s="242"/>
      <c r="G1" s="242"/>
      <c r="H1" s="242"/>
      <c r="I1" s="242"/>
      <c r="J1" s="242"/>
      <c r="K1" s="242"/>
      <c r="L1" s="242"/>
      <c r="M1" s="242"/>
      <c r="N1" s="242"/>
      <c r="O1" s="242"/>
      <c r="P1" s="242"/>
      <c r="Q1" s="242"/>
      <c r="R1" s="242"/>
    </row>
    <row r="2" customFormat="false" ht="15.75" hidden="false" customHeight="true" outlineLevel="0" collapsed="false">
      <c r="A2" s="58" t="s">
        <v>162</v>
      </c>
      <c r="B2" s="58"/>
      <c r="C2" s="58"/>
      <c r="D2" s="58"/>
      <c r="E2" s="58"/>
      <c r="F2" s="58"/>
      <c r="G2" s="58"/>
      <c r="H2" s="58"/>
      <c r="I2" s="58"/>
      <c r="J2" s="58"/>
      <c r="K2" s="58"/>
      <c r="L2" s="58"/>
      <c r="M2" s="58"/>
      <c r="N2" s="58"/>
      <c r="O2" s="58"/>
      <c r="P2" s="58"/>
      <c r="Q2" s="58"/>
      <c r="R2" s="58"/>
    </row>
    <row r="3" customFormat="false" ht="15.75" hidden="false" customHeight="true" outlineLevel="0" collapsed="false"/>
    <row r="4" customFormat="false" ht="15.75" hidden="false" customHeight="true" outlineLevel="0" collapsed="false">
      <c r="A4" s="243" t="s">
        <v>163</v>
      </c>
      <c r="B4" s="112"/>
      <c r="C4" s="112"/>
      <c r="D4" s="112"/>
      <c r="E4" s="112"/>
      <c r="F4" s="112"/>
      <c r="G4" s="112"/>
      <c r="H4" s="112"/>
      <c r="I4" s="112"/>
      <c r="J4" s="243" t="s">
        <v>164</v>
      </c>
      <c r="K4" s="112"/>
      <c r="L4" s="112"/>
      <c r="M4" s="112"/>
      <c r="N4" s="112"/>
      <c r="O4" s="112"/>
      <c r="P4" s="112"/>
      <c r="Q4" s="112"/>
      <c r="R4" s="112"/>
    </row>
    <row r="5" customFormat="false" ht="15.75" hidden="false" customHeight="true" outlineLevel="0" collapsed="false">
      <c r="A5" s="112"/>
      <c r="B5" s="112"/>
      <c r="C5" s="112"/>
      <c r="D5" s="112"/>
      <c r="E5" s="112"/>
      <c r="F5" s="112"/>
      <c r="G5" s="112"/>
      <c r="H5" s="112"/>
      <c r="I5" s="112"/>
      <c r="J5" s="112"/>
      <c r="K5" s="112"/>
      <c r="L5" s="112"/>
      <c r="M5" s="112"/>
      <c r="N5" s="112"/>
      <c r="O5" s="112"/>
      <c r="P5" s="112"/>
      <c r="Q5" s="112"/>
      <c r="R5" s="112"/>
    </row>
    <row r="6" customFormat="false" ht="15.75" hidden="false" customHeight="true" outlineLevel="0" collapsed="false">
      <c r="A6" s="112"/>
      <c r="B6" s="112"/>
      <c r="C6" s="112"/>
      <c r="D6" s="112"/>
      <c r="E6" s="112"/>
      <c r="F6" s="112"/>
      <c r="G6" s="112"/>
      <c r="H6" s="112"/>
      <c r="I6" s="112"/>
      <c r="J6" s="112"/>
      <c r="K6" s="112"/>
      <c r="L6" s="112"/>
      <c r="M6" s="112"/>
      <c r="N6" s="112"/>
      <c r="O6" s="112"/>
      <c r="P6" s="112"/>
      <c r="Q6" s="112"/>
      <c r="R6" s="112"/>
    </row>
    <row r="7" customFormat="false" ht="15.75" hidden="false" customHeight="true" outlineLevel="0" collapsed="false">
      <c r="A7" s="112"/>
      <c r="B7" s="112"/>
      <c r="C7" s="112"/>
      <c r="D7" s="112"/>
      <c r="E7" s="112"/>
      <c r="F7" s="112"/>
      <c r="G7" s="112"/>
      <c r="H7" s="112"/>
      <c r="I7" s="112"/>
      <c r="J7" s="112"/>
      <c r="K7" s="112"/>
      <c r="L7" s="112"/>
      <c r="M7" s="112"/>
      <c r="N7" s="112"/>
      <c r="O7" s="112"/>
      <c r="P7" s="112"/>
      <c r="Q7" s="112"/>
      <c r="R7" s="112"/>
    </row>
    <row r="8" customFormat="false" ht="15.75" hidden="false" customHeight="true" outlineLevel="0" collapsed="false">
      <c r="A8" s="112"/>
      <c r="B8" s="112"/>
      <c r="C8" s="112"/>
      <c r="D8" s="112"/>
      <c r="E8" s="112"/>
      <c r="F8" s="112"/>
      <c r="G8" s="112"/>
      <c r="H8" s="112"/>
      <c r="I8" s="112"/>
      <c r="J8" s="112"/>
      <c r="K8" s="112"/>
      <c r="L8" s="112"/>
      <c r="M8" s="112"/>
      <c r="N8" s="112"/>
      <c r="O8" s="112"/>
      <c r="P8" s="112"/>
      <c r="Q8" s="112"/>
      <c r="R8" s="112"/>
    </row>
    <row r="9" customFormat="false" ht="15.75" hidden="false" customHeight="true" outlineLevel="0" collapsed="false">
      <c r="A9" s="112"/>
      <c r="B9" s="112"/>
      <c r="C9" s="112"/>
      <c r="D9" s="112"/>
      <c r="E9" s="112"/>
      <c r="F9" s="112"/>
      <c r="G9" s="112"/>
      <c r="H9" s="112"/>
      <c r="I9" s="112"/>
      <c r="J9" s="112"/>
      <c r="K9" s="112"/>
      <c r="L9" s="112"/>
      <c r="M9" s="112"/>
      <c r="N9" s="112"/>
      <c r="O9" s="112"/>
      <c r="P9" s="112"/>
      <c r="Q9" s="112"/>
      <c r="R9" s="112"/>
    </row>
    <row r="10" customFormat="false" ht="15.75" hidden="false" customHeight="true" outlineLevel="0" collapsed="false">
      <c r="A10" s="112"/>
      <c r="B10" s="112"/>
      <c r="C10" s="112"/>
      <c r="D10" s="112"/>
      <c r="E10" s="112"/>
      <c r="F10" s="112"/>
      <c r="G10" s="112"/>
      <c r="H10" s="112"/>
      <c r="I10" s="112"/>
      <c r="J10" s="112"/>
      <c r="K10" s="112"/>
      <c r="L10" s="112"/>
      <c r="M10" s="112"/>
      <c r="N10" s="112"/>
      <c r="O10" s="112"/>
      <c r="P10" s="112"/>
      <c r="Q10" s="112"/>
      <c r="R10" s="112"/>
    </row>
    <row r="11" customFormat="false" ht="15.75" hidden="false" customHeight="true" outlineLevel="0" collapsed="false">
      <c r="A11" s="112"/>
      <c r="B11" s="112"/>
      <c r="C11" s="112"/>
      <c r="D11" s="112"/>
      <c r="E11" s="112"/>
      <c r="F11" s="112"/>
      <c r="G11" s="112"/>
      <c r="H11" s="112"/>
      <c r="I11" s="112"/>
      <c r="J11" s="112"/>
      <c r="K11" s="112"/>
      <c r="L11" s="112"/>
      <c r="M11" s="112"/>
      <c r="N11" s="112"/>
      <c r="O11" s="112"/>
      <c r="P11" s="112"/>
      <c r="Q11" s="112"/>
      <c r="R11" s="112"/>
    </row>
    <row r="12" customFormat="false" ht="15.75" hidden="false" customHeight="true" outlineLevel="0" collapsed="false">
      <c r="A12" s="112"/>
      <c r="B12" s="112"/>
      <c r="C12" s="112"/>
      <c r="D12" s="112"/>
      <c r="E12" s="112"/>
      <c r="F12" s="112"/>
      <c r="G12" s="112"/>
      <c r="H12" s="112"/>
      <c r="I12" s="112"/>
      <c r="J12" s="112"/>
      <c r="K12" s="112"/>
      <c r="L12" s="112"/>
      <c r="M12" s="112"/>
      <c r="N12" s="112"/>
      <c r="O12" s="112"/>
      <c r="P12" s="112"/>
      <c r="Q12" s="112"/>
      <c r="R12" s="112"/>
    </row>
    <row r="13" customFormat="false" ht="15.75" hidden="false" customHeight="true" outlineLevel="0" collapsed="false">
      <c r="A13" s="112"/>
      <c r="B13" s="112"/>
      <c r="C13" s="112"/>
      <c r="D13" s="112"/>
      <c r="E13" s="112"/>
      <c r="F13" s="112"/>
      <c r="G13" s="112"/>
      <c r="H13" s="112"/>
      <c r="I13" s="112"/>
      <c r="J13" s="112"/>
      <c r="K13" s="112"/>
      <c r="L13" s="112"/>
      <c r="M13" s="112"/>
      <c r="N13" s="112"/>
      <c r="O13" s="112"/>
      <c r="P13" s="112"/>
      <c r="Q13" s="112"/>
      <c r="R13" s="112"/>
    </row>
    <row r="14" customFormat="false" ht="15.75" hidden="false" customHeight="true" outlineLevel="0" collapsed="false">
      <c r="A14" s="112"/>
      <c r="B14" s="112"/>
      <c r="C14" s="112"/>
      <c r="D14" s="112"/>
      <c r="E14" s="112"/>
      <c r="F14" s="112"/>
      <c r="G14" s="112"/>
      <c r="H14" s="112"/>
      <c r="I14" s="112"/>
      <c r="J14" s="112"/>
      <c r="K14" s="112"/>
      <c r="L14" s="112"/>
      <c r="M14" s="112"/>
      <c r="N14" s="112"/>
      <c r="O14" s="112"/>
      <c r="P14" s="112"/>
      <c r="Q14" s="112"/>
      <c r="R14" s="112"/>
    </row>
    <row r="15" customFormat="false" ht="15.75" hidden="false" customHeight="true" outlineLevel="0" collapsed="false">
      <c r="A15" s="112"/>
      <c r="B15" s="112"/>
      <c r="C15" s="112"/>
      <c r="D15" s="112"/>
      <c r="E15" s="112"/>
      <c r="F15" s="112"/>
      <c r="G15" s="112"/>
      <c r="H15" s="112"/>
      <c r="I15" s="112"/>
      <c r="J15" s="112"/>
      <c r="K15" s="112"/>
      <c r="L15" s="112"/>
      <c r="M15" s="112"/>
      <c r="N15" s="112"/>
      <c r="O15" s="112"/>
      <c r="P15" s="112"/>
      <c r="Q15" s="112"/>
      <c r="R15" s="112"/>
    </row>
    <row r="16" customFormat="false" ht="15.75" hidden="false" customHeight="true" outlineLevel="0" collapsed="false">
      <c r="A16" s="112"/>
      <c r="B16" s="112"/>
      <c r="C16" s="112"/>
      <c r="D16" s="112"/>
      <c r="E16" s="112"/>
      <c r="F16" s="112"/>
      <c r="G16" s="112"/>
      <c r="H16" s="112"/>
      <c r="I16" s="112"/>
      <c r="J16" s="112"/>
      <c r="K16" s="112"/>
      <c r="L16" s="112"/>
      <c r="M16" s="112"/>
      <c r="N16" s="112"/>
      <c r="O16" s="112"/>
      <c r="P16" s="112"/>
      <c r="Q16" s="112"/>
      <c r="R16" s="112"/>
    </row>
    <row r="17" customFormat="false" ht="15.75" hidden="false" customHeight="true" outlineLevel="0" collapsed="false">
      <c r="A17" s="112"/>
      <c r="B17" s="112"/>
      <c r="C17" s="112"/>
      <c r="D17" s="112"/>
      <c r="E17" s="112"/>
      <c r="F17" s="112"/>
      <c r="G17" s="112"/>
      <c r="H17" s="112"/>
      <c r="I17" s="112"/>
      <c r="J17" s="112"/>
      <c r="K17" s="112"/>
      <c r="L17" s="112"/>
      <c r="M17" s="112"/>
      <c r="N17" s="112"/>
      <c r="O17" s="112"/>
      <c r="P17" s="112"/>
      <c r="Q17" s="112"/>
      <c r="R17" s="112"/>
    </row>
    <row r="18" customFormat="false" ht="15.75" hidden="false" customHeight="true" outlineLevel="0" collapsed="false">
      <c r="A18" s="112"/>
      <c r="B18" s="112"/>
      <c r="C18" s="112"/>
      <c r="D18" s="112"/>
      <c r="E18" s="112"/>
      <c r="F18" s="112"/>
      <c r="G18" s="112"/>
      <c r="H18" s="112"/>
      <c r="I18" s="112"/>
      <c r="J18" s="112"/>
      <c r="K18" s="112"/>
      <c r="L18" s="112"/>
      <c r="M18" s="112"/>
      <c r="N18" s="112"/>
      <c r="O18" s="112"/>
      <c r="P18" s="112"/>
      <c r="Q18" s="112"/>
      <c r="R18" s="112"/>
    </row>
    <row r="19" customFormat="false" ht="15.75" hidden="false" customHeight="true" outlineLevel="0" collapsed="false">
      <c r="A19" s="112"/>
      <c r="B19" s="112"/>
      <c r="C19" s="112"/>
      <c r="D19" s="112"/>
      <c r="E19" s="112"/>
      <c r="F19" s="112"/>
      <c r="G19" s="112"/>
      <c r="H19" s="112"/>
      <c r="I19" s="112"/>
      <c r="J19" s="112"/>
      <c r="K19" s="112"/>
      <c r="L19" s="112"/>
      <c r="M19" s="112"/>
      <c r="N19" s="112"/>
      <c r="O19" s="112"/>
      <c r="P19" s="112"/>
      <c r="Q19" s="112"/>
      <c r="R19" s="112"/>
    </row>
    <row r="20" customFormat="false" ht="15.75" hidden="false" customHeight="true" outlineLevel="0" collapsed="false">
      <c r="A20" s="112"/>
      <c r="B20" s="112"/>
      <c r="C20" s="112"/>
      <c r="D20" s="112"/>
      <c r="E20" s="112"/>
      <c r="F20" s="112"/>
      <c r="G20" s="112"/>
      <c r="H20" s="112"/>
      <c r="I20" s="112"/>
      <c r="J20" s="112"/>
      <c r="K20" s="112"/>
      <c r="L20" s="112"/>
      <c r="M20" s="112"/>
      <c r="N20" s="112"/>
      <c r="O20" s="112"/>
      <c r="P20" s="112"/>
      <c r="Q20" s="112"/>
      <c r="R20" s="112"/>
    </row>
    <row r="21" customFormat="false" ht="15.75" hidden="false" customHeight="true" outlineLevel="0" collapsed="false">
      <c r="A21" s="112"/>
      <c r="B21" s="112"/>
      <c r="C21" s="112"/>
      <c r="D21" s="112"/>
      <c r="E21" s="112"/>
      <c r="F21" s="112"/>
      <c r="G21" s="112"/>
      <c r="H21" s="112"/>
      <c r="I21" s="112"/>
      <c r="J21" s="112"/>
      <c r="K21" s="112"/>
      <c r="L21" s="112"/>
      <c r="M21" s="112"/>
      <c r="N21" s="112"/>
      <c r="O21" s="112"/>
      <c r="P21" s="112"/>
      <c r="Q21" s="112"/>
      <c r="R21" s="112"/>
    </row>
    <row r="22" customFormat="false" ht="7.5" hidden="false" customHeight="true" outlineLevel="0" collapsed="false">
      <c r="A22" s="112"/>
      <c r="B22" s="112"/>
      <c r="C22" s="220"/>
      <c r="D22" s="112"/>
      <c r="E22" s="112"/>
      <c r="F22" s="220"/>
      <c r="G22" s="112"/>
      <c r="H22" s="112"/>
      <c r="I22" s="112"/>
      <c r="J22" s="220"/>
      <c r="K22" s="112"/>
      <c r="L22" s="112"/>
      <c r="M22" s="112"/>
      <c r="N22" s="112"/>
      <c r="O22" s="112"/>
      <c r="P22" s="112"/>
      <c r="Q22" s="112"/>
      <c r="R22" s="112"/>
    </row>
    <row r="23" customFormat="false" ht="7.5" hidden="false" customHeight="true" outlineLevel="0" collapsed="false">
      <c r="A23" s="112"/>
      <c r="B23" s="112"/>
      <c r="C23" s="220"/>
      <c r="D23" s="112"/>
      <c r="E23" s="112"/>
      <c r="F23" s="220"/>
      <c r="G23" s="112"/>
      <c r="H23" s="112"/>
      <c r="I23" s="112"/>
      <c r="J23" s="220"/>
      <c r="K23" s="112"/>
      <c r="L23" s="112"/>
      <c r="M23" s="112"/>
      <c r="N23" s="112"/>
      <c r="O23" s="112"/>
      <c r="P23" s="112"/>
      <c r="Q23" s="112"/>
      <c r="R23" s="112"/>
    </row>
    <row r="24" customFormat="false" ht="15.75" hidden="false" customHeight="true" outlineLevel="0" collapsed="false">
      <c r="B24" s="112"/>
      <c r="C24" s="220"/>
      <c r="D24" s="112"/>
      <c r="E24" s="112"/>
      <c r="F24" s="220"/>
      <c r="G24" s="112"/>
      <c r="H24" s="112"/>
      <c r="I24" s="112"/>
      <c r="M24" s="112"/>
      <c r="N24" s="112"/>
      <c r="O24" s="112"/>
      <c r="P24" s="112"/>
      <c r="Q24" s="112"/>
      <c r="R24" s="112"/>
    </row>
    <row r="25" customFormat="false" ht="15.75" hidden="false" customHeight="true" outlineLevel="0" collapsed="false">
      <c r="A25" s="112"/>
      <c r="B25" s="112"/>
      <c r="C25" s="220"/>
      <c r="D25" s="112"/>
      <c r="E25" s="112"/>
      <c r="F25" s="220"/>
      <c r="G25" s="112"/>
      <c r="H25" s="112"/>
      <c r="I25" s="112"/>
      <c r="J25" s="220"/>
      <c r="K25" s="112"/>
      <c r="L25" s="112"/>
      <c r="M25" s="112"/>
      <c r="N25" s="112"/>
      <c r="O25" s="112"/>
      <c r="P25" s="112"/>
      <c r="Q25" s="112"/>
      <c r="R25" s="112"/>
    </row>
    <row r="26" customFormat="false" ht="15.75" hidden="false" customHeight="true" outlineLevel="0" collapsed="false">
      <c r="A26" s="112"/>
      <c r="B26" s="112"/>
      <c r="C26" s="220"/>
      <c r="D26" s="112"/>
      <c r="E26" s="112"/>
      <c r="F26" s="220"/>
      <c r="G26" s="112"/>
      <c r="H26" s="112"/>
      <c r="I26" s="112"/>
      <c r="J26" s="220"/>
      <c r="K26" s="112"/>
      <c r="L26" s="112"/>
      <c r="M26" s="112"/>
      <c r="N26" s="112"/>
      <c r="O26" s="112"/>
      <c r="P26" s="112"/>
      <c r="Q26" s="112"/>
      <c r="R26" s="112"/>
    </row>
    <row r="27" customFormat="false" ht="15.75" hidden="false" customHeight="true" outlineLevel="0" collapsed="false">
      <c r="A27" s="112"/>
      <c r="B27" s="112"/>
      <c r="C27" s="220"/>
      <c r="D27" s="112"/>
      <c r="E27" s="112"/>
      <c r="F27" s="220"/>
      <c r="G27" s="112"/>
      <c r="H27" s="112"/>
      <c r="I27" s="112"/>
      <c r="J27" s="220"/>
      <c r="K27" s="112"/>
      <c r="L27" s="112"/>
      <c r="M27" s="112"/>
      <c r="N27" s="112"/>
      <c r="O27" s="112"/>
      <c r="P27" s="112"/>
      <c r="Q27" s="112"/>
      <c r="R27" s="112"/>
    </row>
    <row r="28" customFormat="false" ht="15.75" hidden="false" customHeight="true" outlineLevel="0" collapsed="false">
      <c r="A28" s="243"/>
      <c r="B28" s="112"/>
      <c r="C28" s="220"/>
      <c r="D28" s="112"/>
      <c r="E28" s="112"/>
      <c r="F28" s="220"/>
      <c r="G28" s="112"/>
      <c r="H28" s="112"/>
      <c r="I28" s="112"/>
      <c r="J28" s="244"/>
      <c r="K28" s="112"/>
      <c r="L28" s="112"/>
      <c r="M28" s="112"/>
      <c r="N28" s="112"/>
      <c r="O28" s="112"/>
      <c r="P28" s="112"/>
      <c r="Q28" s="112"/>
      <c r="R28" s="112"/>
    </row>
    <row r="29" customFormat="false" ht="15.75" hidden="false" customHeight="true" outlineLevel="0" collapsed="false">
      <c r="A29" s="112"/>
      <c r="B29" s="112"/>
      <c r="C29" s="220"/>
      <c r="D29" s="112"/>
      <c r="E29" s="112"/>
      <c r="F29" s="220"/>
      <c r="G29" s="112"/>
      <c r="H29" s="112"/>
      <c r="I29" s="112"/>
      <c r="J29" s="220"/>
      <c r="K29" s="112"/>
      <c r="L29" s="112"/>
      <c r="M29" s="112"/>
      <c r="N29" s="112"/>
      <c r="O29" s="112"/>
      <c r="P29" s="112"/>
      <c r="Q29" s="112"/>
      <c r="R29" s="112"/>
    </row>
    <row r="30" customFormat="false" ht="15.75" hidden="false" customHeight="true" outlineLevel="0" collapsed="false">
      <c r="A30" s="112"/>
      <c r="B30" s="112"/>
      <c r="C30" s="220"/>
      <c r="D30" s="112"/>
      <c r="E30" s="112"/>
      <c r="F30" s="220"/>
      <c r="G30" s="112"/>
      <c r="H30" s="112"/>
      <c r="I30" s="112"/>
      <c r="J30" s="220"/>
      <c r="K30" s="112"/>
      <c r="L30" s="112"/>
      <c r="M30" s="112"/>
      <c r="N30" s="112"/>
      <c r="O30" s="112"/>
      <c r="P30" s="112"/>
      <c r="Q30" s="112"/>
      <c r="R30" s="112"/>
    </row>
    <row r="31" customFormat="false" ht="15.75" hidden="false" customHeight="true" outlineLevel="0" collapsed="false">
      <c r="A31" s="112"/>
      <c r="B31" s="112"/>
      <c r="C31" s="220"/>
      <c r="D31" s="112"/>
      <c r="E31" s="112"/>
      <c r="F31" s="220"/>
      <c r="G31" s="112"/>
      <c r="H31" s="112"/>
      <c r="I31" s="112"/>
      <c r="J31" s="220"/>
      <c r="K31" s="112"/>
      <c r="L31" s="112"/>
      <c r="M31" s="112"/>
      <c r="N31" s="112"/>
      <c r="O31" s="112"/>
      <c r="P31" s="112"/>
      <c r="Q31" s="112"/>
      <c r="R31" s="112"/>
    </row>
    <row r="32" customFormat="false" ht="15.75" hidden="false" customHeight="true" outlineLevel="0" collapsed="false">
      <c r="A32" s="112"/>
      <c r="B32" s="112"/>
      <c r="C32" s="112"/>
      <c r="D32" s="112"/>
      <c r="E32" s="112"/>
      <c r="F32" s="220"/>
      <c r="G32" s="112"/>
      <c r="H32" s="112"/>
      <c r="I32" s="112"/>
      <c r="J32" s="220"/>
      <c r="K32" s="112"/>
      <c r="L32" s="112"/>
      <c r="M32" s="112"/>
      <c r="N32" s="112"/>
      <c r="O32" s="112"/>
      <c r="P32" s="112"/>
      <c r="Q32" s="112"/>
      <c r="R32" s="112"/>
    </row>
    <row r="33" customFormat="false" ht="15.75" hidden="false" customHeight="true" outlineLevel="0" collapsed="false">
      <c r="A33" s="112"/>
      <c r="B33" s="112"/>
      <c r="C33" s="112"/>
      <c r="D33" s="112"/>
      <c r="E33" s="112"/>
      <c r="F33" s="220"/>
      <c r="G33" s="112"/>
      <c r="H33" s="112"/>
      <c r="I33" s="112"/>
      <c r="J33" s="220"/>
      <c r="K33" s="112"/>
      <c r="L33" s="112"/>
      <c r="M33" s="112"/>
      <c r="N33" s="112"/>
      <c r="O33" s="112"/>
      <c r="P33" s="112"/>
      <c r="Q33" s="112"/>
      <c r="R33" s="112"/>
    </row>
    <row r="34" customFormat="false" ht="15.75" hidden="false" customHeight="true" outlineLevel="0" collapsed="false">
      <c r="A34" s="112"/>
      <c r="B34" s="112"/>
      <c r="C34" s="112"/>
      <c r="D34" s="112"/>
      <c r="E34" s="112"/>
      <c r="F34" s="220"/>
      <c r="G34" s="112"/>
      <c r="H34" s="112"/>
      <c r="I34" s="112"/>
      <c r="J34" s="220"/>
      <c r="K34" s="112"/>
      <c r="L34" s="112"/>
      <c r="M34" s="112"/>
      <c r="N34" s="112"/>
      <c r="O34" s="112"/>
      <c r="P34" s="112"/>
      <c r="Q34" s="112"/>
      <c r="R34" s="112"/>
    </row>
    <row r="35" customFormat="false" ht="15.75" hidden="false" customHeight="true" outlineLevel="0" collapsed="false">
      <c r="A35" s="112"/>
      <c r="B35" s="112"/>
      <c r="C35" s="112"/>
      <c r="D35" s="112"/>
      <c r="E35" s="112"/>
      <c r="F35" s="220"/>
      <c r="G35" s="112"/>
      <c r="H35" s="112"/>
      <c r="I35" s="112"/>
      <c r="J35" s="220"/>
      <c r="K35" s="112"/>
      <c r="L35" s="112"/>
      <c r="M35" s="112"/>
      <c r="N35" s="112"/>
      <c r="O35" s="112"/>
      <c r="P35" s="112"/>
      <c r="Q35" s="112"/>
      <c r="R35" s="112"/>
    </row>
    <row r="36" customFormat="false" ht="15.75" hidden="false" customHeight="true" outlineLevel="0" collapsed="false">
      <c r="A36" s="112"/>
      <c r="B36" s="112"/>
      <c r="C36" s="112"/>
      <c r="D36" s="112"/>
      <c r="E36" s="112"/>
      <c r="F36" s="220"/>
      <c r="G36" s="112"/>
      <c r="H36" s="112"/>
      <c r="I36" s="112"/>
      <c r="J36" s="220"/>
      <c r="K36" s="112"/>
      <c r="L36" s="112"/>
      <c r="M36" s="112"/>
      <c r="N36" s="112"/>
      <c r="O36" s="112"/>
      <c r="P36" s="112"/>
      <c r="Q36" s="112"/>
      <c r="R36" s="112"/>
    </row>
    <row r="37" customFormat="false" ht="15.75" hidden="false" customHeight="true" outlineLevel="0" collapsed="false">
      <c r="A37" s="112"/>
      <c r="B37" s="112"/>
      <c r="C37" s="112"/>
      <c r="D37" s="112"/>
      <c r="E37" s="112"/>
      <c r="F37" s="112"/>
      <c r="G37" s="112"/>
      <c r="H37" s="112"/>
      <c r="I37" s="112"/>
      <c r="J37" s="220"/>
      <c r="K37" s="112"/>
      <c r="L37" s="112"/>
      <c r="M37" s="112"/>
      <c r="N37" s="112"/>
      <c r="O37" s="112"/>
      <c r="P37" s="112"/>
      <c r="Q37" s="112"/>
      <c r="R37" s="112"/>
    </row>
    <row r="38" customFormat="false" ht="15.75" hidden="false" customHeight="true" outlineLevel="0" collapsed="false">
      <c r="A38" s="112"/>
      <c r="B38" s="112"/>
      <c r="C38" s="112"/>
      <c r="D38" s="112"/>
      <c r="E38" s="112"/>
      <c r="F38" s="112"/>
      <c r="G38" s="112"/>
      <c r="H38" s="112"/>
      <c r="I38" s="112"/>
      <c r="J38" s="220"/>
      <c r="K38" s="112"/>
      <c r="L38" s="112"/>
      <c r="M38" s="112"/>
      <c r="N38" s="112"/>
      <c r="O38" s="112"/>
      <c r="P38" s="112"/>
      <c r="Q38" s="112"/>
      <c r="R38" s="112"/>
    </row>
    <row r="39" customFormat="false" ht="15.75" hidden="false" customHeight="true" outlineLevel="0" collapsed="false">
      <c r="A39" s="112"/>
      <c r="B39" s="112"/>
      <c r="C39" s="112"/>
      <c r="D39" s="112"/>
      <c r="E39" s="112"/>
      <c r="F39" s="112"/>
      <c r="G39" s="112"/>
      <c r="H39" s="112"/>
      <c r="I39" s="112"/>
      <c r="J39" s="220"/>
      <c r="K39" s="112"/>
      <c r="L39" s="112"/>
      <c r="M39" s="112"/>
      <c r="N39" s="112"/>
      <c r="O39" s="112"/>
      <c r="P39" s="112"/>
      <c r="Q39" s="112"/>
      <c r="R39" s="112"/>
    </row>
    <row r="40" customFormat="false" ht="15.75" hidden="false" customHeight="true" outlineLevel="0" collapsed="false">
      <c r="A40" s="112"/>
      <c r="B40" s="112"/>
      <c r="C40" s="112"/>
      <c r="D40" s="112"/>
      <c r="E40" s="112"/>
      <c r="F40" s="112"/>
      <c r="G40" s="112"/>
      <c r="H40" s="112"/>
      <c r="I40" s="112"/>
      <c r="J40" s="220"/>
      <c r="K40" s="112"/>
      <c r="L40" s="112"/>
      <c r="M40" s="112"/>
      <c r="N40" s="112"/>
      <c r="O40" s="112"/>
      <c r="P40" s="112"/>
      <c r="Q40" s="112"/>
      <c r="R40" s="112"/>
    </row>
    <row r="41" customFormat="false" ht="15.75" hidden="false" customHeight="true" outlineLevel="0" collapsed="false">
      <c r="A41" s="112"/>
      <c r="B41" s="112"/>
      <c r="C41" s="112"/>
      <c r="D41" s="112"/>
      <c r="E41" s="112"/>
      <c r="F41" s="112"/>
      <c r="G41" s="112"/>
      <c r="H41" s="112"/>
      <c r="I41" s="112"/>
      <c r="J41" s="220"/>
      <c r="K41" s="112"/>
      <c r="L41" s="112"/>
      <c r="M41" s="112"/>
      <c r="N41" s="112"/>
      <c r="O41" s="112"/>
      <c r="P41" s="112"/>
      <c r="Q41" s="112"/>
      <c r="R41" s="112"/>
    </row>
    <row r="42" customFormat="false" ht="15.75" hidden="false" customHeight="true" outlineLevel="0" collapsed="false">
      <c r="A42" s="112"/>
      <c r="B42" s="112"/>
      <c r="C42" s="112"/>
      <c r="D42" s="112"/>
      <c r="E42" s="112"/>
      <c r="F42" s="112"/>
      <c r="G42" s="112"/>
      <c r="H42" s="112"/>
      <c r="I42" s="112"/>
      <c r="J42" s="220"/>
      <c r="K42" s="112"/>
      <c r="L42" s="112"/>
      <c r="M42" s="112"/>
      <c r="N42" s="112"/>
      <c r="O42" s="112"/>
      <c r="P42" s="112"/>
      <c r="Q42" s="112"/>
      <c r="R42" s="112"/>
    </row>
    <row r="43" customFormat="false" ht="15.75" hidden="false" customHeight="true" outlineLevel="0" collapsed="false">
      <c r="A43" s="112"/>
      <c r="B43" s="112"/>
      <c r="C43" s="112"/>
      <c r="D43" s="112"/>
      <c r="E43" s="112"/>
      <c r="F43" s="112"/>
      <c r="G43" s="112"/>
      <c r="H43" s="112"/>
      <c r="I43" s="112"/>
      <c r="J43" s="220"/>
      <c r="K43" s="112"/>
      <c r="L43" s="112"/>
      <c r="M43" s="112"/>
      <c r="N43" s="112"/>
      <c r="O43" s="112"/>
      <c r="P43" s="112"/>
      <c r="Q43" s="112"/>
      <c r="R43" s="112"/>
    </row>
    <row r="44" customFormat="false" ht="15" hidden="false" customHeight="true" outlineLevel="0" collapsed="false">
      <c r="A44" s="112"/>
      <c r="B44" s="112"/>
      <c r="C44" s="112"/>
      <c r="D44" s="112"/>
      <c r="E44" s="112"/>
      <c r="F44" s="112"/>
      <c r="G44" s="112"/>
      <c r="H44" s="112"/>
      <c r="I44" s="112"/>
      <c r="J44" s="220"/>
      <c r="K44" s="112"/>
      <c r="L44" s="112"/>
      <c r="M44" s="112"/>
      <c r="N44" s="112"/>
      <c r="O44" s="112"/>
      <c r="P44" s="112"/>
      <c r="Q44" s="112"/>
      <c r="R44" s="112"/>
    </row>
    <row r="45" customFormat="false" ht="15" hidden="false" customHeight="true" outlineLevel="0" collapsed="false">
      <c r="A45" s="112"/>
      <c r="B45" s="112"/>
      <c r="C45" s="112"/>
      <c r="D45" s="112"/>
      <c r="E45" s="112"/>
      <c r="F45" s="112"/>
      <c r="G45" s="112"/>
      <c r="H45" s="112"/>
      <c r="I45" s="112"/>
      <c r="J45" s="220"/>
      <c r="K45" s="112"/>
      <c r="L45" s="112"/>
      <c r="M45" s="112"/>
      <c r="N45" s="112"/>
      <c r="O45" s="112"/>
      <c r="P45" s="112"/>
      <c r="Q45" s="112"/>
      <c r="R45" s="112"/>
    </row>
    <row r="46" customFormat="false" ht="15" hidden="false" customHeight="true" outlineLevel="0" collapsed="false">
      <c r="A46" s="112"/>
      <c r="B46" s="112"/>
      <c r="C46" s="112"/>
      <c r="D46" s="112"/>
      <c r="E46" s="112"/>
      <c r="F46" s="112"/>
      <c r="G46" s="112"/>
      <c r="H46" s="112"/>
      <c r="I46" s="112"/>
      <c r="J46" s="112"/>
      <c r="K46" s="112"/>
      <c r="L46" s="112"/>
      <c r="M46" s="112"/>
      <c r="N46" s="112"/>
      <c r="O46" s="112"/>
      <c r="P46" s="112"/>
      <c r="Q46" s="112"/>
      <c r="R46" s="112"/>
    </row>
    <row r="47" customFormat="false" ht="15" hidden="false" customHeight="true" outlineLevel="0" collapsed="false">
      <c r="A47" s="112"/>
      <c r="B47" s="112"/>
      <c r="C47" s="112"/>
      <c r="D47" s="112"/>
      <c r="E47" s="112"/>
      <c r="F47" s="112"/>
      <c r="G47" s="112"/>
      <c r="H47" s="112"/>
      <c r="I47" s="112"/>
      <c r="J47" s="112"/>
      <c r="K47" s="112"/>
      <c r="L47" s="112"/>
      <c r="M47" s="112"/>
      <c r="N47" s="112"/>
      <c r="O47" s="112"/>
      <c r="P47" s="112"/>
      <c r="Q47" s="112"/>
      <c r="R47" s="112"/>
    </row>
    <row r="48" customFormat="false" ht="15" hidden="false" customHeight="true" outlineLevel="0" collapsed="false">
      <c r="A48" s="112"/>
      <c r="B48" s="112"/>
      <c r="C48" s="112"/>
      <c r="D48" s="112"/>
      <c r="E48" s="112"/>
      <c r="F48" s="112"/>
      <c r="G48" s="112"/>
      <c r="H48" s="112"/>
      <c r="I48" s="112"/>
      <c r="J48" s="112"/>
      <c r="K48" s="112"/>
      <c r="L48" s="112"/>
      <c r="M48" s="112"/>
      <c r="N48" s="112"/>
      <c r="O48" s="112"/>
      <c r="P48" s="112"/>
      <c r="Q48" s="112"/>
      <c r="R48" s="112"/>
    </row>
    <row r="49" customFormat="false" ht="15" hidden="false" customHeight="true" outlineLevel="0" collapsed="false">
      <c r="A49" s="112"/>
      <c r="B49" s="112"/>
      <c r="C49" s="112"/>
      <c r="D49" s="112"/>
      <c r="E49" s="112"/>
      <c r="F49" s="112"/>
      <c r="G49" s="112"/>
      <c r="H49" s="112"/>
      <c r="I49" s="112"/>
      <c r="J49" s="112"/>
      <c r="K49" s="112"/>
      <c r="L49" s="112"/>
      <c r="M49" s="112"/>
      <c r="N49" s="112"/>
      <c r="O49" s="112"/>
      <c r="P49" s="112"/>
      <c r="Q49" s="112"/>
      <c r="R49" s="112"/>
    </row>
    <row r="50" customFormat="false" ht="15.75" hidden="false" customHeight="true" outlineLevel="0" collapsed="false">
      <c r="A50" s="243" t="s">
        <v>165</v>
      </c>
      <c r="B50" s="112"/>
      <c r="C50" s="112"/>
      <c r="D50" s="112"/>
      <c r="E50" s="112"/>
      <c r="F50" s="112"/>
      <c r="G50" s="112"/>
      <c r="H50" s="112"/>
      <c r="I50" s="112"/>
      <c r="J50" s="244" t="s">
        <v>166</v>
      </c>
      <c r="K50" s="112"/>
      <c r="L50" s="112"/>
      <c r="M50" s="112"/>
      <c r="N50" s="112"/>
      <c r="O50" s="112"/>
      <c r="P50" s="112"/>
      <c r="Q50" s="112"/>
      <c r="R50" s="112"/>
    </row>
    <row r="51" customFormat="false" ht="15" hidden="false" customHeight="true" outlineLevel="0" collapsed="false">
      <c r="A51" s="112"/>
      <c r="B51" s="112"/>
      <c r="C51" s="112"/>
      <c r="D51" s="112"/>
      <c r="E51" s="112"/>
      <c r="F51" s="112"/>
      <c r="G51" s="112"/>
      <c r="H51" s="112"/>
      <c r="I51" s="112"/>
      <c r="J51" s="112"/>
      <c r="K51" s="112"/>
      <c r="L51" s="112"/>
      <c r="M51" s="112"/>
      <c r="N51" s="112"/>
      <c r="O51" s="112"/>
      <c r="P51" s="112"/>
      <c r="Q51" s="112"/>
      <c r="R51" s="112"/>
    </row>
    <row r="52" customFormat="false" ht="15" hidden="false" customHeight="true" outlineLevel="0" collapsed="false">
      <c r="A52" s="112"/>
      <c r="B52" s="112"/>
      <c r="C52" s="112"/>
      <c r="D52" s="112"/>
      <c r="E52" s="112"/>
      <c r="F52" s="112"/>
      <c r="G52" s="112"/>
      <c r="H52" s="112"/>
      <c r="I52" s="112"/>
      <c r="J52" s="112"/>
      <c r="K52" s="112"/>
      <c r="L52" s="112"/>
      <c r="M52" s="112"/>
      <c r="N52" s="112"/>
      <c r="O52" s="112"/>
      <c r="P52" s="112"/>
      <c r="Q52" s="112"/>
      <c r="R52" s="112"/>
    </row>
    <row r="53" customFormat="false" ht="15" hidden="false" customHeight="true" outlineLevel="0" collapsed="false">
      <c r="A53" s="112"/>
      <c r="B53" s="112"/>
      <c r="C53" s="112"/>
      <c r="D53" s="112"/>
      <c r="E53" s="112"/>
      <c r="F53" s="112"/>
      <c r="G53" s="112"/>
      <c r="H53" s="112"/>
      <c r="I53" s="112"/>
      <c r="J53" s="112"/>
      <c r="K53" s="112"/>
      <c r="L53" s="112"/>
      <c r="M53" s="112"/>
      <c r="N53" s="112"/>
      <c r="O53" s="112"/>
      <c r="P53" s="112"/>
      <c r="Q53" s="112"/>
      <c r="R53" s="112"/>
    </row>
    <row r="54" customFormat="false" ht="15" hidden="false" customHeight="true" outlineLevel="0" collapsed="false">
      <c r="A54" s="112"/>
      <c r="B54" s="112"/>
      <c r="C54" s="112"/>
      <c r="D54" s="112"/>
      <c r="E54" s="112"/>
      <c r="F54" s="112"/>
      <c r="G54" s="112"/>
      <c r="H54" s="112"/>
      <c r="I54" s="112"/>
      <c r="J54" s="112"/>
      <c r="K54" s="112"/>
      <c r="L54" s="112"/>
      <c r="M54" s="112"/>
      <c r="N54" s="112"/>
      <c r="O54" s="112"/>
      <c r="P54" s="112"/>
      <c r="Q54" s="112"/>
      <c r="R54" s="112"/>
    </row>
    <row r="55" customFormat="false" ht="15" hidden="false" customHeight="true" outlineLevel="0" collapsed="false">
      <c r="A55" s="112"/>
      <c r="B55" s="112"/>
      <c r="C55" s="112"/>
      <c r="D55" s="112"/>
      <c r="E55" s="112"/>
      <c r="F55" s="112"/>
      <c r="G55" s="112"/>
      <c r="H55" s="112"/>
      <c r="I55" s="112"/>
      <c r="J55" s="112"/>
      <c r="K55" s="112"/>
      <c r="L55" s="112"/>
      <c r="M55" s="112"/>
      <c r="N55" s="112"/>
      <c r="O55" s="112"/>
      <c r="P55" s="112"/>
      <c r="Q55" s="112"/>
      <c r="R55" s="112"/>
    </row>
    <row r="56" customFormat="false" ht="15" hidden="false" customHeight="true" outlineLevel="0" collapsed="false">
      <c r="A56" s="112"/>
      <c r="B56" s="112"/>
      <c r="C56" s="112"/>
      <c r="D56" s="112"/>
      <c r="E56" s="112"/>
      <c r="F56" s="112"/>
      <c r="G56" s="112"/>
      <c r="H56" s="112"/>
      <c r="I56" s="112"/>
      <c r="J56" s="112"/>
      <c r="K56" s="112"/>
      <c r="L56" s="112"/>
      <c r="M56" s="112"/>
      <c r="N56" s="112"/>
      <c r="O56" s="112"/>
      <c r="P56" s="112"/>
      <c r="Q56" s="112"/>
      <c r="R56" s="112"/>
    </row>
    <row r="57" customFormat="false" ht="15" hidden="false" customHeight="true" outlineLevel="0" collapsed="false">
      <c r="A57" s="112"/>
      <c r="B57" s="112"/>
      <c r="C57" s="112"/>
      <c r="D57" s="112"/>
      <c r="E57" s="112"/>
      <c r="F57" s="112"/>
      <c r="G57" s="112"/>
      <c r="H57" s="112"/>
      <c r="I57" s="112"/>
      <c r="J57" s="112"/>
      <c r="K57" s="112"/>
      <c r="L57" s="112"/>
      <c r="M57" s="112"/>
      <c r="N57" s="112"/>
      <c r="O57" s="112"/>
      <c r="P57" s="112"/>
      <c r="Q57" s="112"/>
      <c r="R57" s="112"/>
    </row>
    <row r="58" customFormat="false" ht="15" hidden="false" customHeight="true" outlineLevel="0" collapsed="false">
      <c r="A58" s="112"/>
      <c r="B58" s="112"/>
      <c r="C58" s="112"/>
      <c r="D58" s="112"/>
      <c r="E58" s="112"/>
      <c r="F58" s="112"/>
      <c r="G58" s="112"/>
      <c r="H58" s="112"/>
      <c r="I58" s="112"/>
      <c r="J58" s="112"/>
      <c r="K58" s="112"/>
      <c r="L58" s="112"/>
      <c r="M58" s="112"/>
      <c r="N58" s="112"/>
      <c r="O58" s="112"/>
      <c r="P58" s="112"/>
      <c r="Q58" s="112"/>
      <c r="R58" s="112"/>
    </row>
    <row r="59" customFormat="false" ht="15" hidden="false" customHeight="true" outlineLevel="0" collapsed="false">
      <c r="A59" s="112"/>
      <c r="B59" s="112"/>
      <c r="C59" s="112"/>
      <c r="D59" s="112"/>
      <c r="E59" s="112"/>
      <c r="F59" s="112"/>
      <c r="G59" s="112"/>
      <c r="H59" s="112"/>
      <c r="I59" s="112"/>
      <c r="J59" s="112"/>
      <c r="K59" s="112"/>
      <c r="L59" s="112"/>
      <c r="M59" s="112"/>
      <c r="N59" s="112"/>
      <c r="O59" s="112"/>
      <c r="P59" s="112"/>
      <c r="Q59" s="112"/>
      <c r="R59" s="112"/>
    </row>
    <row r="60" customFormat="false" ht="15" hidden="false" customHeight="true" outlineLevel="0" collapsed="false">
      <c r="A60" s="112"/>
      <c r="B60" s="112"/>
      <c r="C60" s="112"/>
      <c r="D60" s="112"/>
      <c r="E60" s="112"/>
      <c r="F60" s="112"/>
      <c r="G60" s="112"/>
      <c r="H60" s="112"/>
      <c r="I60" s="112"/>
      <c r="J60" s="112"/>
      <c r="K60" s="112"/>
      <c r="L60" s="112"/>
      <c r="M60" s="112"/>
      <c r="N60" s="112"/>
      <c r="O60" s="112"/>
      <c r="P60" s="112"/>
      <c r="Q60" s="112"/>
      <c r="R60" s="112"/>
    </row>
    <row r="61" customFormat="false" ht="15" hidden="false" customHeight="true" outlineLevel="0" collapsed="false">
      <c r="A61" s="112"/>
      <c r="B61" s="112"/>
      <c r="C61" s="112"/>
      <c r="D61" s="112"/>
      <c r="E61" s="112"/>
      <c r="F61" s="112"/>
      <c r="G61" s="112"/>
      <c r="H61" s="112"/>
      <c r="I61" s="112"/>
      <c r="J61" s="112"/>
      <c r="K61" s="112"/>
      <c r="L61" s="112"/>
      <c r="M61" s="112"/>
      <c r="N61" s="112"/>
      <c r="O61" s="112"/>
      <c r="P61" s="112"/>
      <c r="Q61" s="112"/>
      <c r="R61" s="112"/>
    </row>
    <row r="62" customFormat="false" ht="15" hidden="false" customHeight="true" outlineLevel="0" collapsed="false">
      <c r="A62" s="112"/>
      <c r="B62" s="112"/>
      <c r="C62" s="112"/>
      <c r="D62" s="112"/>
      <c r="E62" s="112"/>
      <c r="F62" s="112"/>
      <c r="G62" s="112"/>
      <c r="H62" s="112"/>
      <c r="I62" s="112"/>
      <c r="J62" s="112"/>
      <c r="K62" s="112"/>
      <c r="L62" s="112"/>
      <c r="M62" s="112"/>
      <c r="N62" s="112"/>
      <c r="O62" s="112"/>
      <c r="P62" s="112"/>
      <c r="Q62" s="112"/>
      <c r="R62" s="112"/>
    </row>
    <row r="63" customFormat="false" ht="15" hidden="false" customHeight="true" outlineLevel="0" collapsed="false">
      <c r="A63" s="112"/>
      <c r="B63" s="112"/>
      <c r="C63" s="112"/>
      <c r="D63" s="112"/>
      <c r="E63" s="112"/>
      <c r="F63" s="112"/>
      <c r="G63" s="112"/>
      <c r="H63" s="112"/>
      <c r="I63" s="112"/>
      <c r="J63" s="112"/>
      <c r="K63" s="112"/>
      <c r="L63" s="112"/>
      <c r="M63" s="112"/>
      <c r="N63" s="112"/>
      <c r="O63" s="112"/>
      <c r="P63" s="112"/>
      <c r="Q63" s="112"/>
      <c r="R63" s="112"/>
    </row>
    <row r="64" customFormat="false" ht="15" hidden="false" customHeight="true" outlineLevel="0" collapsed="false">
      <c r="A64" s="112"/>
      <c r="B64" s="112"/>
      <c r="C64" s="112"/>
      <c r="D64" s="112"/>
      <c r="E64" s="112"/>
      <c r="F64" s="112"/>
      <c r="G64" s="112"/>
      <c r="H64" s="112"/>
      <c r="I64" s="112"/>
      <c r="J64" s="112"/>
      <c r="K64" s="112"/>
      <c r="L64" s="112"/>
      <c r="M64" s="112"/>
      <c r="N64" s="112"/>
      <c r="O64" s="112"/>
      <c r="P64" s="112"/>
      <c r="Q64" s="112"/>
      <c r="R64" s="112"/>
    </row>
    <row r="65" customFormat="false" ht="15" hidden="false" customHeight="true" outlineLevel="0" collapsed="false">
      <c r="A65" s="112"/>
      <c r="B65" s="112"/>
      <c r="C65" s="112"/>
      <c r="D65" s="112"/>
      <c r="E65" s="112"/>
      <c r="F65" s="112"/>
      <c r="G65" s="112"/>
      <c r="H65" s="112"/>
      <c r="I65" s="112"/>
      <c r="J65" s="112"/>
      <c r="K65" s="112"/>
      <c r="L65" s="112"/>
      <c r="M65" s="112"/>
      <c r="N65" s="112"/>
      <c r="O65" s="112"/>
      <c r="P65" s="112"/>
      <c r="Q65" s="112"/>
      <c r="R65" s="112"/>
    </row>
    <row r="66" customFormat="false" ht="15" hidden="false" customHeight="true" outlineLevel="0" collapsed="false">
      <c r="A66" s="112"/>
      <c r="B66" s="112"/>
      <c r="C66" s="112"/>
      <c r="D66" s="112"/>
      <c r="E66" s="112"/>
      <c r="F66" s="112"/>
      <c r="G66" s="112"/>
      <c r="H66" s="112"/>
      <c r="I66" s="112"/>
      <c r="J66" s="112"/>
      <c r="K66" s="112"/>
      <c r="L66" s="112"/>
      <c r="M66" s="112"/>
      <c r="N66" s="112"/>
      <c r="O66" s="112"/>
      <c r="P66" s="112"/>
      <c r="Q66" s="112"/>
      <c r="R66" s="112"/>
    </row>
    <row r="67" customFormat="false" ht="15" hidden="false" customHeight="true" outlineLevel="0" collapsed="false">
      <c r="A67" s="112"/>
      <c r="B67" s="112"/>
      <c r="C67" s="112"/>
      <c r="D67" s="112"/>
      <c r="E67" s="112"/>
      <c r="F67" s="112"/>
      <c r="G67" s="112"/>
      <c r="H67" s="112"/>
      <c r="I67" s="112"/>
      <c r="J67" s="112"/>
      <c r="K67" s="112"/>
      <c r="L67" s="112"/>
      <c r="M67" s="112"/>
      <c r="N67" s="112"/>
      <c r="O67" s="112"/>
      <c r="P67" s="112"/>
      <c r="Q67" s="112"/>
      <c r="R67" s="112"/>
    </row>
    <row r="68" customFormat="false" ht="15" hidden="false" customHeight="true" outlineLevel="0" collapsed="false">
      <c r="A68" s="112"/>
      <c r="B68" s="112"/>
      <c r="C68" s="112"/>
      <c r="D68" s="112"/>
      <c r="E68" s="112"/>
      <c r="F68" s="112"/>
      <c r="G68" s="112"/>
      <c r="H68" s="112"/>
      <c r="I68" s="112"/>
      <c r="J68" s="112"/>
      <c r="K68" s="112"/>
      <c r="L68" s="112"/>
      <c r="M68" s="112"/>
      <c r="N68" s="112"/>
      <c r="O68" s="112"/>
      <c r="P68" s="112"/>
      <c r="Q68" s="112"/>
      <c r="R68" s="112"/>
    </row>
    <row r="69" customFormat="false" ht="15" hidden="false" customHeight="true" outlineLevel="0" collapsed="false">
      <c r="A69" s="112"/>
      <c r="B69" s="112"/>
      <c r="C69" s="112"/>
      <c r="D69" s="112"/>
      <c r="E69" s="112"/>
      <c r="F69" s="112"/>
      <c r="G69" s="112"/>
      <c r="H69" s="112"/>
      <c r="I69" s="112"/>
      <c r="J69" s="112"/>
      <c r="K69" s="112"/>
      <c r="L69" s="112"/>
      <c r="M69" s="112"/>
      <c r="N69" s="112"/>
      <c r="O69" s="112"/>
      <c r="P69" s="112"/>
      <c r="Q69" s="112"/>
      <c r="R69" s="112"/>
    </row>
    <row r="70" customFormat="false" ht="15" hidden="false" customHeight="true" outlineLevel="0" collapsed="false">
      <c r="A70" s="112"/>
      <c r="B70" s="112"/>
      <c r="C70" s="112"/>
      <c r="D70" s="112"/>
      <c r="E70" s="112"/>
      <c r="F70" s="112"/>
      <c r="G70" s="112"/>
      <c r="H70" s="112"/>
      <c r="I70" s="112"/>
      <c r="J70" s="112"/>
      <c r="K70" s="112"/>
      <c r="L70" s="112"/>
      <c r="M70" s="112"/>
      <c r="N70" s="112"/>
      <c r="O70" s="112"/>
      <c r="P70" s="112"/>
      <c r="Q70" s="112"/>
      <c r="R70" s="112"/>
    </row>
    <row r="71" customFormat="false" ht="15" hidden="false" customHeight="true" outlineLevel="0" collapsed="false">
      <c r="A71" s="112"/>
      <c r="B71" s="112"/>
      <c r="C71" s="112"/>
      <c r="D71" s="112"/>
      <c r="E71" s="112"/>
      <c r="F71" s="112"/>
      <c r="G71" s="112"/>
      <c r="H71" s="112"/>
      <c r="I71" s="112"/>
      <c r="J71" s="112"/>
      <c r="K71" s="112"/>
      <c r="L71" s="112"/>
      <c r="M71" s="112"/>
      <c r="N71" s="112"/>
      <c r="O71" s="112"/>
      <c r="P71" s="112"/>
      <c r="Q71" s="112"/>
      <c r="R71" s="112"/>
    </row>
    <row r="72" customFormat="false" ht="15" hidden="false" customHeight="true" outlineLevel="0" collapsed="false">
      <c r="A72" s="112"/>
      <c r="B72" s="112"/>
      <c r="C72" s="112"/>
      <c r="D72" s="112"/>
      <c r="E72" s="112"/>
      <c r="F72" s="112"/>
      <c r="G72" s="112"/>
      <c r="H72" s="112"/>
      <c r="I72" s="112"/>
      <c r="J72" s="112"/>
      <c r="K72" s="112"/>
      <c r="L72" s="112"/>
      <c r="M72" s="112"/>
      <c r="N72" s="112"/>
      <c r="O72" s="112"/>
      <c r="P72" s="112"/>
      <c r="Q72" s="112"/>
      <c r="R72" s="112"/>
    </row>
    <row r="73" customFormat="false" ht="15" hidden="false" customHeight="true" outlineLevel="0" collapsed="false">
      <c r="A73" s="112"/>
      <c r="B73" s="112"/>
      <c r="C73" s="112"/>
      <c r="D73" s="112"/>
      <c r="E73" s="112"/>
      <c r="F73" s="112"/>
      <c r="G73" s="112"/>
      <c r="H73" s="112"/>
      <c r="I73" s="112"/>
      <c r="J73" s="112"/>
      <c r="K73" s="112"/>
      <c r="L73" s="112"/>
      <c r="M73" s="112"/>
      <c r="N73" s="112"/>
      <c r="O73" s="112"/>
      <c r="P73" s="112"/>
      <c r="Q73" s="112"/>
      <c r="R73" s="112"/>
    </row>
    <row r="74" customFormat="false" ht="15" hidden="false" customHeight="true" outlineLevel="0" collapsed="false">
      <c r="A74" s="112"/>
      <c r="B74" s="112"/>
      <c r="C74" s="112"/>
      <c r="D74" s="112"/>
      <c r="E74" s="112"/>
      <c r="F74" s="112"/>
      <c r="G74" s="112"/>
      <c r="H74" s="112"/>
      <c r="I74" s="112"/>
      <c r="J74" s="112"/>
      <c r="K74" s="112"/>
      <c r="L74" s="112"/>
      <c r="M74" s="112"/>
      <c r="N74" s="112"/>
      <c r="O74" s="112"/>
      <c r="P74" s="112"/>
      <c r="Q74" s="112"/>
      <c r="R74" s="112"/>
    </row>
    <row r="75" customFormat="false" ht="15" hidden="false" customHeight="true" outlineLevel="0" collapsed="false">
      <c r="A75" s="112"/>
      <c r="B75" s="112"/>
      <c r="C75" s="112"/>
      <c r="D75" s="112"/>
      <c r="E75" s="112"/>
      <c r="F75" s="112"/>
      <c r="G75" s="112"/>
      <c r="H75" s="112"/>
      <c r="I75" s="112"/>
      <c r="J75" s="112"/>
      <c r="K75" s="112"/>
      <c r="L75" s="112"/>
      <c r="M75" s="112"/>
      <c r="N75" s="112"/>
      <c r="O75" s="112"/>
      <c r="P75" s="112"/>
      <c r="Q75" s="112"/>
      <c r="R75" s="112"/>
    </row>
    <row r="76" customFormat="false" ht="15" hidden="false" customHeight="true" outlineLevel="0" collapsed="false">
      <c r="A76" s="112"/>
      <c r="B76" s="112"/>
      <c r="C76" s="112"/>
      <c r="D76" s="112"/>
      <c r="E76" s="112"/>
      <c r="F76" s="112"/>
      <c r="G76" s="112"/>
      <c r="H76" s="112"/>
      <c r="I76" s="112"/>
      <c r="J76" s="112"/>
      <c r="K76" s="112"/>
      <c r="L76" s="112"/>
      <c r="M76" s="112"/>
      <c r="N76" s="112"/>
      <c r="O76" s="112"/>
      <c r="P76" s="112"/>
      <c r="Q76" s="112"/>
      <c r="R76" s="112"/>
    </row>
    <row r="77" customFormat="false" ht="15" hidden="false" customHeight="true" outlineLevel="0" collapsed="false">
      <c r="A77" s="112"/>
      <c r="B77" s="112"/>
      <c r="C77" s="112"/>
      <c r="D77" s="112"/>
      <c r="E77" s="112"/>
      <c r="F77" s="112"/>
      <c r="G77" s="112"/>
      <c r="H77" s="112"/>
      <c r="I77" s="112"/>
      <c r="J77" s="112"/>
      <c r="K77" s="112"/>
      <c r="L77" s="112"/>
      <c r="M77" s="112"/>
      <c r="N77" s="112"/>
      <c r="O77" s="112"/>
      <c r="P77" s="112"/>
      <c r="Q77" s="112"/>
      <c r="R77" s="112"/>
    </row>
    <row r="78" customFormat="false" ht="15" hidden="false" customHeight="true" outlineLevel="0" collapsed="false">
      <c r="A78" s="112"/>
      <c r="B78" s="112"/>
      <c r="C78" s="112"/>
      <c r="D78" s="112"/>
      <c r="E78" s="112"/>
      <c r="F78" s="112"/>
      <c r="G78" s="112"/>
      <c r="H78" s="112"/>
      <c r="I78" s="112"/>
      <c r="J78" s="112"/>
      <c r="K78" s="112"/>
      <c r="L78" s="112"/>
      <c r="M78" s="112"/>
      <c r="N78" s="112"/>
      <c r="O78" s="112"/>
      <c r="P78" s="112"/>
      <c r="Q78" s="112"/>
      <c r="R78" s="112"/>
    </row>
    <row r="79" customFormat="false" ht="15" hidden="false" customHeight="true" outlineLevel="0" collapsed="false">
      <c r="A79" s="112"/>
      <c r="B79" s="112"/>
      <c r="C79" s="112"/>
      <c r="D79" s="112"/>
      <c r="E79" s="112"/>
      <c r="F79" s="112"/>
      <c r="G79" s="112"/>
      <c r="H79" s="112"/>
      <c r="I79" s="112"/>
      <c r="J79" s="112"/>
      <c r="K79" s="112"/>
      <c r="L79" s="112"/>
      <c r="M79" s="112"/>
      <c r="N79" s="112"/>
      <c r="O79" s="112"/>
      <c r="P79" s="112"/>
      <c r="Q79" s="112"/>
      <c r="R79" s="112"/>
    </row>
    <row r="80" customFormat="false" ht="15" hidden="false" customHeight="true" outlineLevel="0" collapsed="false">
      <c r="A80" s="112"/>
      <c r="B80" s="112"/>
      <c r="C80" s="112"/>
      <c r="D80" s="112"/>
      <c r="E80" s="112"/>
      <c r="F80" s="112"/>
      <c r="G80" s="112"/>
      <c r="H80" s="112"/>
      <c r="I80" s="112"/>
      <c r="J80" s="112"/>
      <c r="K80" s="112"/>
      <c r="L80" s="112"/>
      <c r="M80" s="112"/>
      <c r="N80" s="112"/>
      <c r="O80" s="112"/>
      <c r="P80" s="112"/>
      <c r="Q80" s="112"/>
      <c r="R80" s="112"/>
    </row>
    <row r="81" customFormat="false" ht="15" hidden="false" customHeight="true" outlineLevel="0" collapsed="false">
      <c r="A81" s="112"/>
      <c r="B81" s="112"/>
      <c r="C81" s="112"/>
      <c r="D81" s="112"/>
      <c r="E81" s="112"/>
      <c r="F81" s="112"/>
      <c r="G81" s="112"/>
      <c r="H81" s="112"/>
      <c r="I81" s="112"/>
      <c r="J81" s="112"/>
      <c r="K81" s="112"/>
      <c r="L81" s="112"/>
      <c r="M81" s="112"/>
      <c r="N81" s="112"/>
      <c r="O81" s="112"/>
      <c r="P81" s="112"/>
      <c r="Q81" s="112"/>
      <c r="R81" s="112"/>
    </row>
    <row r="82" customFormat="false" ht="15" hidden="false" customHeight="true" outlineLevel="0" collapsed="false">
      <c r="A82" s="112"/>
      <c r="B82" s="112"/>
      <c r="C82" s="112"/>
      <c r="D82" s="112"/>
      <c r="E82" s="112"/>
      <c r="F82" s="112"/>
      <c r="G82" s="112"/>
      <c r="H82" s="112"/>
      <c r="I82" s="112"/>
      <c r="J82" s="112"/>
      <c r="K82" s="112"/>
      <c r="L82" s="112"/>
      <c r="M82" s="112"/>
      <c r="N82" s="112"/>
      <c r="O82" s="112"/>
      <c r="P82" s="112"/>
      <c r="Q82" s="112"/>
      <c r="R82" s="112"/>
    </row>
    <row r="83" customFormat="false" ht="15" hidden="false" customHeight="true" outlineLevel="0" collapsed="false">
      <c r="A83" s="112"/>
      <c r="B83" s="112"/>
      <c r="C83" s="112"/>
      <c r="D83" s="112"/>
      <c r="E83" s="112"/>
      <c r="F83" s="112"/>
      <c r="G83" s="112"/>
      <c r="H83" s="112"/>
      <c r="I83" s="112"/>
      <c r="J83" s="112"/>
      <c r="K83" s="112"/>
      <c r="L83" s="112"/>
      <c r="M83" s="112"/>
      <c r="N83" s="112"/>
      <c r="O83" s="112"/>
      <c r="P83" s="112"/>
      <c r="Q83" s="112"/>
      <c r="R83" s="112"/>
    </row>
    <row r="84" customFormat="false" ht="15" hidden="false" customHeight="true" outlineLevel="0" collapsed="false">
      <c r="A84" s="112"/>
      <c r="B84" s="112"/>
      <c r="C84" s="112"/>
      <c r="D84" s="112"/>
      <c r="E84" s="112"/>
      <c r="F84" s="112"/>
      <c r="G84" s="112"/>
      <c r="H84" s="112"/>
      <c r="I84" s="112"/>
      <c r="J84" s="112"/>
      <c r="K84" s="112"/>
      <c r="L84" s="112"/>
      <c r="M84" s="112"/>
      <c r="N84" s="112"/>
      <c r="O84" s="112"/>
      <c r="P84" s="112"/>
      <c r="Q84" s="112"/>
      <c r="R84" s="112"/>
    </row>
    <row r="85" customFormat="false" ht="15" hidden="false" customHeight="true" outlineLevel="0" collapsed="false">
      <c r="A85" s="112"/>
      <c r="B85" s="112"/>
      <c r="C85" s="112"/>
      <c r="D85" s="112"/>
      <c r="E85" s="112"/>
      <c r="F85" s="112"/>
      <c r="G85" s="112"/>
      <c r="H85" s="112"/>
      <c r="I85" s="112"/>
      <c r="J85" s="112"/>
      <c r="K85" s="112"/>
      <c r="L85" s="112"/>
      <c r="M85" s="112"/>
      <c r="N85" s="112"/>
      <c r="O85" s="112"/>
      <c r="P85" s="112"/>
      <c r="Q85" s="112"/>
      <c r="R85" s="112"/>
    </row>
    <row r="86" customFormat="false" ht="15" hidden="false" customHeight="true" outlineLevel="0" collapsed="false">
      <c r="A86" s="112"/>
      <c r="B86" s="112"/>
      <c r="C86" s="112"/>
      <c r="D86" s="112"/>
      <c r="E86" s="112"/>
      <c r="F86" s="112"/>
      <c r="G86" s="112"/>
      <c r="H86" s="112"/>
      <c r="I86" s="112"/>
      <c r="J86" s="112"/>
      <c r="K86" s="112"/>
      <c r="L86" s="112"/>
      <c r="M86" s="112"/>
      <c r="N86" s="112"/>
      <c r="O86" s="112"/>
      <c r="P86" s="112"/>
      <c r="Q86" s="112"/>
      <c r="R86" s="112"/>
    </row>
    <row r="87" customFormat="false" ht="15" hidden="false" customHeight="true" outlineLevel="0" collapsed="false">
      <c r="A87" s="112"/>
      <c r="B87" s="112"/>
      <c r="C87" s="112"/>
      <c r="D87" s="112"/>
      <c r="E87" s="112"/>
      <c r="F87" s="112"/>
      <c r="G87" s="112"/>
      <c r="H87" s="112"/>
      <c r="I87" s="112"/>
      <c r="J87" s="112"/>
      <c r="K87" s="112"/>
      <c r="L87" s="112"/>
      <c r="M87" s="112"/>
      <c r="N87" s="112"/>
      <c r="O87" s="112"/>
      <c r="P87" s="112"/>
      <c r="Q87" s="112"/>
      <c r="R87" s="112"/>
    </row>
    <row r="88" customFormat="false" ht="15" hidden="false" customHeight="true" outlineLevel="0" collapsed="false">
      <c r="A88" s="112"/>
      <c r="B88" s="112"/>
      <c r="C88" s="112"/>
      <c r="D88" s="112"/>
      <c r="E88" s="112"/>
      <c r="F88" s="112"/>
      <c r="G88" s="112"/>
      <c r="H88" s="112"/>
      <c r="I88" s="112"/>
      <c r="J88" s="112"/>
      <c r="K88" s="112"/>
      <c r="L88" s="112"/>
      <c r="M88" s="112"/>
      <c r="N88" s="112"/>
      <c r="O88" s="112"/>
      <c r="P88" s="112"/>
      <c r="Q88" s="112"/>
      <c r="R88" s="112"/>
    </row>
    <row r="89" customFormat="false" ht="15" hidden="false" customHeight="true" outlineLevel="0" collapsed="false">
      <c r="A89" s="112"/>
      <c r="B89" s="112"/>
      <c r="C89" s="112"/>
      <c r="D89" s="112"/>
      <c r="E89" s="112"/>
      <c r="F89" s="112"/>
      <c r="G89" s="112"/>
      <c r="H89" s="112"/>
      <c r="I89" s="112"/>
      <c r="J89" s="112"/>
      <c r="K89" s="112"/>
      <c r="L89" s="112"/>
      <c r="M89" s="112"/>
      <c r="N89" s="112"/>
      <c r="O89" s="112"/>
      <c r="P89" s="112"/>
      <c r="Q89" s="112"/>
      <c r="R89" s="112"/>
    </row>
    <row r="90" customFormat="false" ht="15" hidden="false" customHeight="true" outlineLevel="0" collapsed="false">
      <c r="A90" s="112"/>
      <c r="B90" s="112"/>
      <c r="C90" s="112"/>
      <c r="D90" s="112"/>
      <c r="E90" s="112"/>
      <c r="F90" s="112"/>
      <c r="G90" s="112"/>
      <c r="H90" s="112"/>
      <c r="I90" s="112"/>
      <c r="J90" s="112"/>
      <c r="K90" s="112"/>
      <c r="L90" s="112"/>
      <c r="M90" s="112"/>
      <c r="N90" s="112"/>
      <c r="O90" s="112"/>
      <c r="P90" s="112"/>
      <c r="Q90" s="112"/>
      <c r="R90" s="112"/>
    </row>
    <row r="91" customFormat="false" ht="15" hidden="false" customHeight="true" outlineLevel="0" collapsed="false">
      <c r="A91" s="112"/>
      <c r="B91" s="112"/>
      <c r="C91" s="112"/>
      <c r="D91" s="112"/>
      <c r="E91" s="112"/>
      <c r="F91" s="112"/>
      <c r="G91" s="112"/>
      <c r="H91" s="112"/>
      <c r="I91" s="112"/>
      <c r="J91" s="112"/>
      <c r="K91" s="112"/>
      <c r="L91" s="112"/>
      <c r="M91" s="112"/>
      <c r="N91" s="112"/>
      <c r="O91" s="112"/>
      <c r="P91" s="112"/>
      <c r="Q91" s="112"/>
      <c r="R91" s="112"/>
    </row>
    <row r="92" customFormat="false" ht="15" hidden="false" customHeight="true" outlineLevel="0" collapsed="false">
      <c r="A92" s="112"/>
      <c r="B92" s="112"/>
      <c r="C92" s="112"/>
      <c r="D92" s="112"/>
      <c r="E92" s="112"/>
      <c r="F92" s="112"/>
      <c r="G92" s="112"/>
      <c r="H92" s="112"/>
      <c r="I92" s="112"/>
      <c r="J92" s="112"/>
      <c r="K92" s="112"/>
      <c r="L92" s="112"/>
      <c r="M92" s="112"/>
      <c r="N92" s="112"/>
      <c r="O92" s="112"/>
      <c r="P92" s="112"/>
      <c r="Q92" s="112"/>
      <c r="R92" s="112"/>
    </row>
    <row r="93" customFormat="false" ht="15" hidden="false" customHeight="true" outlineLevel="0" collapsed="false">
      <c r="A93" s="112"/>
      <c r="B93" s="112"/>
      <c r="C93" s="112"/>
      <c r="D93" s="112"/>
      <c r="E93" s="112"/>
      <c r="F93" s="112"/>
      <c r="G93" s="112"/>
      <c r="H93" s="112"/>
      <c r="I93" s="112"/>
      <c r="J93" s="112"/>
      <c r="K93" s="112"/>
      <c r="L93" s="112"/>
      <c r="M93" s="112"/>
      <c r="N93" s="112"/>
      <c r="O93" s="112"/>
      <c r="P93" s="112"/>
      <c r="Q93" s="112"/>
      <c r="R93" s="112"/>
    </row>
    <row r="94" customFormat="false" ht="15" hidden="false" customHeight="true" outlineLevel="0" collapsed="false">
      <c r="A94" s="112"/>
      <c r="B94" s="112"/>
      <c r="C94" s="112"/>
      <c r="D94" s="112"/>
      <c r="E94" s="112"/>
      <c r="F94" s="112"/>
      <c r="G94" s="112"/>
      <c r="H94" s="112"/>
      <c r="I94" s="112"/>
      <c r="J94" s="112"/>
      <c r="K94" s="112"/>
      <c r="L94" s="112"/>
      <c r="M94" s="112"/>
      <c r="N94" s="112"/>
      <c r="O94" s="112"/>
      <c r="P94" s="112"/>
      <c r="Q94" s="112"/>
      <c r="R94" s="112"/>
    </row>
    <row r="95" customFormat="false" ht="15" hidden="false" customHeight="true" outlineLevel="0" collapsed="false">
      <c r="A95" s="112"/>
      <c r="B95" s="112"/>
      <c r="C95" s="112"/>
      <c r="D95" s="112"/>
      <c r="E95" s="112"/>
      <c r="F95" s="112"/>
      <c r="G95" s="112"/>
      <c r="H95" s="112"/>
      <c r="I95" s="112"/>
      <c r="J95" s="112"/>
      <c r="K95" s="112"/>
      <c r="L95" s="112"/>
      <c r="M95" s="112"/>
      <c r="N95" s="112"/>
      <c r="O95" s="112"/>
      <c r="P95" s="112"/>
      <c r="Q95" s="112"/>
      <c r="R95" s="112"/>
    </row>
    <row r="96" customFormat="false" ht="15" hidden="false" customHeight="true" outlineLevel="0" collapsed="false">
      <c r="A96" s="112"/>
      <c r="B96" s="112"/>
      <c r="C96" s="112"/>
      <c r="D96" s="112"/>
      <c r="E96" s="112"/>
      <c r="F96" s="112"/>
      <c r="G96" s="112"/>
      <c r="H96" s="112"/>
      <c r="I96" s="112"/>
      <c r="J96" s="112"/>
      <c r="K96" s="112"/>
      <c r="L96" s="112"/>
      <c r="M96" s="112"/>
      <c r="N96" s="112"/>
      <c r="O96" s="112"/>
      <c r="P96" s="112"/>
      <c r="Q96" s="112"/>
      <c r="R96" s="112"/>
    </row>
    <row r="97" customFormat="false" ht="15" hidden="false" customHeight="true" outlineLevel="0" collapsed="false">
      <c r="A97" s="112"/>
      <c r="B97" s="112"/>
      <c r="C97" s="112"/>
      <c r="D97" s="112"/>
      <c r="E97" s="112"/>
      <c r="F97" s="112"/>
      <c r="G97" s="112"/>
      <c r="H97" s="112"/>
      <c r="I97" s="112"/>
      <c r="J97" s="112"/>
      <c r="K97" s="112"/>
      <c r="L97" s="112"/>
      <c r="M97" s="112"/>
      <c r="N97" s="112"/>
      <c r="O97" s="112"/>
      <c r="P97" s="112"/>
      <c r="Q97" s="112"/>
      <c r="R97" s="112"/>
    </row>
    <row r="98" customFormat="false" ht="15" hidden="false" customHeight="true" outlineLevel="0" collapsed="false">
      <c r="A98" s="112"/>
      <c r="B98" s="112"/>
      <c r="C98" s="112"/>
      <c r="D98" s="112"/>
      <c r="E98" s="112"/>
      <c r="F98" s="112"/>
      <c r="G98" s="112"/>
      <c r="H98" s="112"/>
      <c r="I98" s="112"/>
      <c r="J98" s="112"/>
      <c r="K98" s="112"/>
      <c r="L98" s="112"/>
      <c r="M98" s="112"/>
      <c r="N98" s="112"/>
      <c r="O98" s="112"/>
      <c r="P98" s="112"/>
      <c r="Q98" s="112"/>
      <c r="R98" s="112"/>
    </row>
    <row r="99" customFormat="false" ht="15" hidden="false" customHeight="true" outlineLevel="0" collapsed="false">
      <c r="A99" s="112"/>
      <c r="B99" s="112"/>
      <c r="C99" s="112"/>
      <c r="D99" s="112"/>
      <c r="E99" s="112"/>
      <c r="F99" s="112"/>
      <c r="G99" s="112"/>
      <c r="H99" s="112"/>
      <c r="I99" s="112"/>
      <c r="J99" s="112"/>
      <c r="K99" s="112"/>
      <c r="L99" s="112"/>
      <c r="M99" s="112"/>
      <c r="N99" s="112"/>
      <c r="O99" s="112"/>
      <c r="P99" s="112"/>
      <c r="Q99" s="112"/>
      <c r="R99" s="112"/>
    </row>
    <row r="100" customFormat="false" ht="15" hidden="false" customHeight="true" outlineLevel="0" collapsed="false">
      <c r="A100" s="112"/>
      <c r="B100" s="112"/>
      <c r="C100" s="112"/>
      <c r="D100" s="112"/>
      <c r="E100" s="112"/>
      <c r="F100" s="112"/>
      <c r="G100" s="112"/>
      <c r="H100" s="112"/>
      <c r="I100" s="112"/>
      <c r="J100" s="112"/>
      <c r="K100" s="112"/>
      <c r="L100" s="112"/>
      <c r="M100" s="112"/>
      <c r="N100" s="112"/>
      <c r="O100" s="112"/>
      <c r="P100" s="112"/>
      <c r="Q100" s="112"/>
      <c r="R100" s="112"/>
    </row>
  </sheetData>
  <mergeCells count="2">
    <mergeCell ref="A1:R1"/>
    <mergeCell ref="A2:R2"/>
  </mergeCell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Diagramme und Visualisierungen</oddHeader>
    <oddFooter>&amp;L&amp;8 Mobil in Time AG · An Aggreko Company&amp;C&amp;8 Stand: &amp;D&amp;R&amp;8 Seite &amp;P von &amp;N</oddFooter>
  </headerFooter>
  <rowBreaks count="2" manualBreakCount="2">
    <brk id="48" man="true" max="16383" min="0"/>
    <brk id="94"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55555"/>
    <pageSetUpPr fitToPage="true"/>
  </sheetPr>
  <dimension ref="A1:BB8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I863" activeCellId="0" sqref="I863"/>
    </sheetView>
  </sheetViews>
  <sheetFormatPr defaultColWidth="9.1484375" defaultRowHeight="15" zeroHeight="false" outlineLevelRow="0" outlineLevelCol="0"/>
  <cols>
    <col collapsed="false" customWidth="true" hidden="false" outlineLevel="0" max="1" min="1" style="1" width="4"/>
    <col collapsed="false" customWidth="true" hidden="false" outlineLevel="0" max="2" min="2" style="1" width="39.09"/>
    <col collapsed="false" customWidth="true" hidden="false" outlineLevel="0" max="3" min="3" style="1" width="6"/>
    <col collapsed="false" customWidth="true" hidden="false" outlineLevel="0" max="4" min="4" style="1" width="18"/>
    <col collapsed="false" customWidth="true" hidden="false" outlineLevel="0" max="5" min="5" style="1" width="24"/>
    <col collapsed="false" customWidth="true" hidden="false" outlineLevel="0" max="6" min="6" style="1" width="21.43"/>
    <col collapsed="false" customWidth="true" hidden="false" outlineLevel="0" max="7" min="7" style="1" width="9"/>
    <col collapsed="false" customWidth="true" hidden="false" outlineLevel="0" max="8" min="8" style="1" width="14.14"/>
    <col collapsed="false" customWidth="true" hidden="false" outlineLevel="0" max="9" min="9" style="1" width="11.43"/>
    <col collapsed="false" customWidth="true" hidden="false" outlineLevel="0" max="10" min="10" style="1" width="12"/>
    <col collapsed="false" customWidth="true" hidden="false" outlineLevel="0" max="11" min="11" style="1" width="11.29"/>
    <col collapsed="false" customWidth="true" hidden="false" outlineLevel="0" max="12" min="12" style="1" width="11.43"/>
    <col collapsed="false" customWidth="true" hidden="false" outlineLevel="0" max="13" min="13" style="1" width="13"/>
    <col collapsed="false" customWidth="true" hidden="false" outlineLevel="0" max="14" min="14" style="1" width="12"/>
    <col collapsed="false" customWidth="true" hidden="false" outlineLevel="0" max="16" min="15" style="1" width="14"/>
    <col collapsed="false" customWidth="true" hidden="false" outlineLevel="0" max="17" min="17" style="1" width="13"/>
    <col collapsed="false" customWidth="true" hidden="false" outlineLevel="0" max="18" min="18" style="1" width="14"/>
    <col collapsed="false" customWidth="true" hidden="false" outlineLevel="0" max="19" min="19" style="1" width="8"/>
    <col collapsed="false" customWidth="true" hidden="false" outlineLevel="0" max="20" min="20" style="1" width="16.3"/>
    <col collapsed="false" customWidth="true" hidden="false" outlineLevel="0" max="21" min="21" style="1" width="20.85"/>
    <col collapsed="false" customWidth="true" hidden="false" outlineLevel="0" max="22" min="22" style="1" width="45"/>
    <col collapsed="false" customWidth="true" hidden="false" outlineLevel="0" max="23" min="23" style="1" width="12"/>
    <col collapsed="false" customWidth="true" hidden="false" outlineLevel="0" max="24" min="24" style="1" width="45"/>
    <col collapsed="false" customWidth="true" hidden="false" outlineLevel="0" max="30" min="25" style="1" width="13"/>
    <col collapsed="false" customWidth="true" hidden="false" outlineLevel="0" max="31" min="31" style="1" width="15"/>
    <col collapsed="false" customWidth="true" hidden="false" outlineLevel="0" max="32" min="32" style="1" width="17"/>
    <col collapsed="false" customWidth="true" hidden="false" outlineLevel="0" max="33" min="33" style="1" width="13"/>
    <col collapsed="false" customWidth="true" hidden="false" outlineLevel="0" max="34" min="34" style="1" width="46"/>
    <col collapsed="false" customWidth="true" hidden="false" outlineLevel="0" max="35" min="35" style="1" width="15"/>
    <col collapsed="false" customWidth="true" hidden="true" outlineLevel="0" max="43" min="36" style="1" width="13"/>
    <col collapsed="false" customWidth="true" hidden="true" outlineLevel="0" max="54" min="44" style="1" width="12"/>
    <col collapsed="false" customWidth="true" hidden="true" outlineLevel="0" max="55" min="55" style="1" width="13"/>
  </cols>
  <sheetData>
    <row r="1" customFormat="false" ht="36" hidden="false" customHeight="true" outlineLevel="0" collapsed="false">
      <c r="A1" s="245" t="s">
        <v>167</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row>
    <row r="2" customFormat="false" ht="15.75" hidden="false" customHeight="true" outlineLevel="0" collapsed="false">
      <c r="A2" s="246" t="s">
        <v>168</v>
      </c>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row>
    <row r="3" customFormat="false" ht="4.5" hidden="false" customHeight="true" outlineLevel="0" collapsed="false">
      <c r="A3" s="114"/>
      <c r="B3" s="114"/>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row>
    <row r="4" customFormat="false" ht="25.5" hidden="false" customHeight="true" outlineLevel="0" collapsed="false">
      <c r="A4" s="247" t="s">
        <v>169</v>
      </c>
      <c r="B4" s="247"/>
      <c r="C4" s="248" t="n">
        <f aca="false">SUMIFS(I$6:I$860,R$6:R$860,"WON")</f>
        <v>1428553.13</v>
      </c>
      <c r="D4" s="248"/>
      <c r="E4" s="248"/>
      <c r="F4" s="248"/>
      <c r="G4" s="249" t="s">
        <v>170</v>
      </c>
      <c r="H4" s="249"/>
      <c r="I4" s="250" t="n">
        <f aca="false">COUNTIF(R$6:R$860,"WON")+COUNTIF(R$6:R$860,"offered")+COUNTIF(R$6:R$860,"to be offered")+COUNTIF(R$6:R$860,"on hold")+COUNTIF(R$6:R$860,"follow-up")+COUNTIF(R$6:R$860,"Evaluation")+COUNTIF(R$6:R$860,"tbd")+COUNTIF(R$6:R$860,"In evaluation")</f>
        <v>46</v>
      </c>
      <c r="J4" s="250"/>
      <c r="K4" s="250"/>
      <c r="L4" s="250"/>
      <c r="M4" s="251" t="s">
        <v>171</v>
      </c>
      <c r="N4" s="251"/>
      <c r="O4" s="252" t="n">
        <f aca="false">SUMIFS(I$6:I$860,R$6:R$860,"offered")+SUMIFS(I$6:I$860,R$6:R$860,"to be offered")+SUMIFS(I$6:I$860,R$6:R$860,"on hold")</f>
        <v>5433596.1</v>
      </c>
      <c r="P4" s="252"/>
      <c r="Q4" s="252"/>
      <c r="R4" s="252"/>
      <c r="S4" s="253" t="s">
        <v>172</v>
      </c>
      <c r="T4" s="253"/>
      <c r="U4" s="254" t="n">
        <f aca="false">SUMIFS(Q$6:Q$860,R$6:R$860,"WON")+SUMIFS(Q$6:Q$860,R$6:R$860,"offered")+SUMIFS(Q$6:Q$860,R$6:R$860,"to be offered")+SUMIFS(Q$6:Q$860,R$6:R$860,"on hold")+SUMIFS(Q$6:Q$860,R$6:R$860,"follow-up")+SUMIFS(Q$6:Q$860,R$6:R$860,"Evaluation")+SUMIFS(Q$6:Q$860,R$6:R$860,"In evaluation")+SUMIFS(Q$6:Q$860,R$6:R$860,"tbd")</f>
        <v>1628425.593</v>
      </c>
      <c r="V4" s="254"/>
      <c r="W4" s="254"/>
      <c r="X4" s="254"/>
    </row>
    <row r="5" customFormat="false" ht="36" hidden="false" customHeight="true" outlineLevel="0" collapsed="false">
      <c r="A5" s="127" t="s">
        <v>6</v>
      </c>
      <c r="B5" s="127" t="s">
        <v>115</v>
      </c>
      <c r="C5" s="127" t="s">
        <v>8</v>
      </c>
      <c r="D5" s="127" t="s">
        <v>10</v>
      </c>
      <c r="E5" s="127" t="s">
        <v>117</v>
      </c>
      <c r="F5" s="127" t="s">
        <v>173</v>
      </c>
      <c r="G5" s="127" t="s">
        <v>174</v>
      </c>
      <c r="H5" s="255" t="s">
        <v>175</v>
      </c>
      <c r="I5" s="256" t="s">
        <v>176</v>
      </c>
      <c r="J5" s="256" t="s">
        <v>177</v>
      </c>
      <c r="K5" s="256" t="s">
        <v>178</v>
      </c>
      <c r="L5" s="256" t="s">
        <v>179</v>
      </c>
      <c r="M5" s="256" t="s">
        <v>180</v>
      </c>
      <c r="N5" s="256" t="s">
        <v>181</v>
      </c>
      <c r="O5" s="127" t="s">
        <v>9</v>
      </c>
      <c r="P5" s="127" t="s">
        <v>12</v>
      </c>
      <c r="Q5" s="256" t="s">
        <v>182</v>
      </c>
      <c r="R5" s="127" t="s">
        <v>14</v>
      </c>
      <c r="S5" s="127" t="s">
        <v>183</v>
      </c>
      <c r="T5" s="127" t="s">
        <v>184</v>
      </c>
      <c r="U5" s="127" t="s">
        <v>185</v>
      </c>
      <c r="V5" s="127" t="s">
        <v>119</v>
      </c>
      <c r="W5" s="127" t="s">
        <v>186</v>
      </c>
      <c r="X5" s="127" t="s">
        <v>187</v>
      </c>
      <c r="Y5" s="127" t="s">
        <v>188</v>
      </c>
      <c r="Z5" s="127" t="s">
        <v>189</v>
      </c>
      <c r="AA5" s="127" t="s">
        <v>190</v>
      </c>
      <c r="AB5" s="127" t="s">
        <v>191</v>
      </c>
      <c r="AC5" s="127" t="s">
        <v>192</v>
      </c>
      <c r="AD5" s="127" t="s">
        <v>193</v>
      </c>
      <c r="AE5" s="127" t="s">
        <v>194</v>
      </c>
      <c r="AF5" s="127" t="s">
        <v>120</v>
      </c>
      <c r="AG5" s="127" t="s">
        <v>195</v>
      </c>
      <c r="AH5" s="127" t="s">
        <v>121</v>
      </c>
      <c r="AI5" s="127" t="s">
        <v>196</v>
      </c>
      <c r="AJ5" s="257" t="s">
        <v>197</v>
      </c>
      <c r="AK5" s="257" t="s">
        <v>198</v>
      </c>
      <c r="AL5" s="257" t="s">
        <v>199</v>
      </c>
      <c r="AM5" s="1" t="s">
        <v>200</v>
      </c>
      <c r="AN5" s="1" t="s">
        <v>201</v>
      </c>
      <c r="AO5" s="1" t="s">
        <v>202</v>
      </c>
      <c r="AP5" s="257" t="s">
        <v>203</v>
      </c>
      <c r="AQ5" s="257" t="s">
        <v>204</v>
      </c>
      <c r="AR5" s="257" t="s">
        <v>205</v>
      </c>
      <c r="AS5" s="257" t="s">
        <v>206</v>
      </c>
      <c r="AT5" s="257" t="s">
        <v>207</v>
      </c>
      <c r="AU5" s="257" t="s">
        <v>208</v>
      </c>
      <c r="AV5" s="257" t="s">
        <v>209</v>
      </c>
      <c r="AW5" s="257" t="s">
        <v>210</v>
      </c>
      <c r="AX5" s="257" t="s">
        <v>211</v>
      </c>
      <c r="AY5" s="257" t="s">
        <v>212</v>
      </c>
      <c r="AZ5" s="257" t="s">
        <v>213</v>
      </c>
      <c r="BA5" s="257" t="s">
        <v>214</v>
      </c>
      <c r="BB5" s="257" t="s">
        <v>215</v>
      </c>
    </row>
    <row r="6" customFormat="false" ht="30" hidden="false" customHeight="true" outlineLevel="0" collapsed="false">
      <c r="A6" s="258" t="n">
        <v>6</v>
      </c>
      <c r="B6" s="259" t="s">
        <v>216</v>
      </c>
      <c r="C6" s="258" t="s">
        <v>74</v>
      </c>
      <c r="D6" s="260" t="s">
        <v>217</v>
      </c>
      <c r="E6" s="260" t="s">
        <v>218</v>
      </c>
      <c r="F6" s="261" t="n">
        <v>1000</v>
      </c>
      <c r="G6" s="258" t="n">
        <f aca="false">IF(B6="","",IF(AY6=1,P6-O6+1,IF(AW6="","",AW6)))</f>
        <v>365</v>
      </c>
      <c r="H6" s="262" t="s">
        <v>96</v>
      </c>
      <c r="I6" s="261" t="n">
        <v>390000</v>
      </c>
      <c r="J6" s="261" t="n">
        <v>240000</v>
      </c>
      <c r="K6" s="261" t="n">
        <v>6000</v>
      </c>
      <c r="L6" s="261" t="n">
        <v>0</v>
      </c>
      <c r="M6" s="261" t="n">
        <v>18000</v>
      </c>
      <c r="N6" s="261" t="n">
        <v>8000</v>
      </c>
      <c r="O6" s="263"/>
      <c r="P6" s="263"/>
      <c r="Q6" s="261" t="n">
        <f aca="false">IF(AND(ISNUMBER(I6),ISNUMBER(S6)),I6*AJ6,IF(OR(I6&lt;&gt;"",S6&lt;&gt;""),"tbd",""))</f>
        <v>0</v>
      </c>
      <c r="R6" s="264" t="s">
        <v>219</v>
      </c>
      <c r="S6" s="265" t="n">
        <v>0.3</v>
      </c>
      <c r="T6" s="259" t="s">
        <v>220</v>
      </c>
      <c r="U6" s="260" t="s">
        <v>221</v>
      </c>
      <c r="V6" s="260" t="s">
        <v>222</v>
      </c>
      <c r="W6" s="258" t="s">
        <v>100</v>
      </c>
      <c r="X6" s="260" t="s">
        <v>223</v>
      </c>
      <c r="Y6" s="261" t="n">
        <f aca="false">IF(ISNUMBER(I6),I6/Netto_Faktor,"")</f>
        <v>360777.058279371</v>
      </c>
      <c r="Z6" s="261" t="n">
        <f aca="false">IF(B6="","",IF(COUNT(J6:N6)=0,"",SUM(J6:N6)))</f>
        <v>272000</v>
      </c>
      <c r="AA6" s="266"/>
      <c r="AB6" s="266"/>
      <c r="AC6" s="266"/>
      <c r="AD6" s="266"/>
      <c r="AE6" s="266"/>
      <c r="AF6" s="266"/>
      <c r="AG6" s="267"/>
      <c r="AH6" s="259" t="str">
        <f aca="false">IF(B6="","",IF(BA6="",IF(R6="WON","✅ belegt &amp; vollständig","✔ vollständig"),LEFT(BA6,LEN(BA6)-3)))</f>
        <v>○ Zeitraum offen</v>
      </c>
      <c r="AI6" s="265" t="n">
        <v>0.5</v>
      </c>
      <c r="AJ6" s="268" t="n">
        <f aca="false">IF(ISNUMBER(S6),IFERROR(LOOKUP(IF(S6&lt;=1,S6,S6/100),'⚖️ Wahrscheinlichkeit'!$B$17:$B$21,'⚖️ Wahrscheinlichkeit'!$D$17:$D$21),0),0)</f>
        <v>0</v>
      </c>
      <c r="AK6" s="1" t="str">
        <f aca="false">IF(AND(R6="WON",ISNUMBER(I6)),AL6+(861-ROW())*0.000001,"")</f>
        <v/>
      </c>
      <c r="AL6" s="1" t="n">
        <f aca="false">IFERROR(I6*1,0)</f>
        <v>390000</v>
      </c>
      <c r="AM6" s="1" t="n">
        <f aca="false">N(AM5)+IF(AND(R6="WON",B6&lt;&gt;""),1,0)</f>
        <v>0</v>
      </c>
      <c r="AN6" s="1" t="n">
        <f aca="false">N(AN5)+IF(AND(OR(R6="offered",R6="to be offered",R6="on hold"),B6&lt;&gt;""),1,0)</f>
        <v>1</v>
      </c>
      <c r="AO6" s="1" t="n">
        <f aca="false">N(AO5)+IF(AND(OR(R6="follow-up",R6="Evaluation",R6="tbd",R6="In evaluation"),B6&lt;&gt;""),1,0)</f>
        <v>0</v>
      </c>
      <c r="AP6" s="1" t="n">
        <f aca="false">IF(B6="",0,IF(COUNTIF('⚖️ Wahrscheinlichkeit'!$J$17:$J$24,R6)&gt;0,1,0))</f>
        <v>1</v>
      </c>
      <c r="AQ6" s="1" t="n">
        <f aca="false">IF(B6="",0,IF(AND(ISNUMBER(S6),COUNTIF('⚖️ Wahrscheinlichkeit'!$B$6:$B$11,S6)&gt;0),1,0))</f>
        <v>1</v>
      </c>
      <c r="AR6" s="1" t="n">
        <f aca="false">IF(B6="",0,IF(AND(COUNT(J6:M6)=4,SUM(J6:M6)&gt;0),1,0))</f>
        <v>1</v>
      </c>
      <c r="AS6" s="1" t="n">
        <f aca="false">IF(B6="",0,IF(AND(AF6&lt;&gt;"",AG6&lt;&gt;""),1,0))</f>
        <v>0</v>
      </c>
      <c r="AT6" s="1" t="n">
        <f aca="false">IF(AND(R6="WON",AS6=1,AR6=1),1,0)</f>
        <v>0</v>
      </c>
      <c r="AU6" s="1" t="n">
        <f aca="false">IF(B6="",0,IF(AD6="Alternative – zählt nicht",0,1))</f>
        <v>1</v>
      </c>
      <c r="AV6" s="1" t="n">
        <f aca="false">IF(B6="",0,IF(COUNTIF($B$6:$B$860,B6)&gt;1,1,0))</f>
        <v>0</v>
      </c>
      <c r="AW6" s="1" t="n">
        <v>365</v>
      </c>
      <c r="AX6" s="269" t="str">
        <f aca="false">IF(AY6=1,DATE(YEAR(O6),MONTH(O6),1),"")</f>
        <v/>
      </c>
      <c r="AY6" s="1" t="n">
        <f aca="false">IF(B6="",0,IF(AND(ISNUMBER(O6),ISNUMBER(P6)),IF(P6&gt;=O6,1,0),0))</f>
        <v>0</v>
      </c>
      <c r="AZ6" s="270" t="n">
        <f aca="false">IF(ISNUMBER(Y6),Y6,0)</f>
        <v>360777.058279371</v>
      </c>
      <c r="BA6" s="1" t="str">
        <f aca="false">IF(B6="","",IF(AND(R6="WON",AS6=0),"⛔ Beleg fehlt · ","")&amp;IF(AND(R6="WON",AR6=0),"⛔ Einstand fehlt · ","")&amp;IF(AND(R6&lt;&gt;"WON",AR6=0),"○ Einstand offen · ","")&amp;IF(AND(R6="WON",AB6=""),"⛔ Vertragsart fehlt · ","")&amp;IF(AND(ISNUMBER(O6),ISNUMBER(P6)),IF(P6&lt;O6,"⚠ Ende vor Start · ",""),"")&amp;IF(AND(R6="WON",AY6=0,NOT(AND(ISNUMBER(O6),ISNUMBER(P6)))),"⛔ Zeitraum fehlt · ","")&amp;IF(AND(R6&lt;&gt;"WON",AY6=0,NOT(AND(ISNUMBER(O6),ISNUMBER(P6)))),"○ Zeitraum offen · ",""))</f>
        <v>○ Zeitraum offen · </v>
      </c>
      <c r="BB6" s="1" t="str">
        <f aca="false">IF(B6="","",IF(AND(R6="WON",AS6=0),"⛔ Nachweis fehlt",IF(AND(ISNUMBER(O6),ISNUMBER(P6),P6&lt;O6),"⚠ Ende vor Start",IF(AND(R6="WON",AY6=0),"⛔ Zeitraum fehlt",IF(AR6=0,"○ Einstand offen",IF(AY6=0,"○ Zeitraum offen",IF(R6="WON","✅ belegt","✔ erfasst")))))))</f>
        <v>○ Zeitraum offen</v>
      </c>
    </row>
    <row r="7" customFormat="false" ht="30" hidden="false" customHeight="true" outlineLevel="0" collapsed="false">
      <c r="A7" s="258" t="n">
        <v>12</v>
      </c>
      <c r="B7" s="259" t="s">
        <v>224</v>
      </c>
      <c r="C7" s="258" t="s">
        <v>82</v>
      </c>
      <c r="D7" s="260" t="s">
        <v>225</v>
      </c>
      <c r="E7" s="260" t="s">
        <v>226</v>
      </c>
      <c r="F7" s="261" t="n">
        <v>200</v>
      </c>
      <c r="G7" s="258" t="str">
        <f aca="false">IF(B7="","",IF(AY7=1,P7-O7+1,IF(AW7="","",AW7)))</f>
        <v>tbd</v>
      </c>
      <c r="H7" s="262" t="s">
        <v>227</v>
      </c>
      <c r="I7" s="261" t="n">
        <v>0</v>
      </c>
      <c r="J7" s="261" t="n">
        <v>0</v>
      </c>
      <c r="K7" s="261" t="n">
        <v>0</v>
      </c>
      <c r="L7" s="261" t="n">
        <v>0</v>
      </c>
      <c r="M7" s="261" t="n">
        <v>0</v>
      </c>
      <c r="N7" s="261" t="n">
        <v>0</v>
      </c>
      <c r="O7" s="263"/>
      <c r="P7" s="263"/>
      <c r="Q7" s="261" t="n">
        <f aca="false">IF(AND(ISNUMBER(I7),ISNUMBER(S7)),I7*AJ7,IF(OR(I7&lt;&gt;"",S7&lt;&gt;""),"tbd",""))</f>
        <v>0</v>
      </c>
      <c r="R7" s="264" t="s">
        <v>228</v>
      </c>
      <c r="S7" s="265" t="n">
        <v>0</v>
      </c>
      <c r="T7" s="259" t="s">
        <v>220</v>
      </c>
      <c r="U7" s="260" t="s">
        <v>229</v>
      </c>
      <c r="V7" s="260" t="s">
        <v>230</v>
      </c>
      <c r="W7" s="258" t="s">
        <v>97</v>
      </c>
      <c r="X7" s="260" t="s">
        <v>231</v>
      </c>
      <c r="Y7" s="261" t="n">
        <f aca="false">IF(ISNUMBER(I7),I7/Netto_Faktor,"")</f>
        <v>0</v>
      </c>
      <c r="Z7" s="261" t="n">
        <f aca="false">IF(B7="","",IF(COUNT(J7:N7)=0,"",SUM(J7:N7)))</f>
        <v>0</v>
      </c>
      <c r="AA7" s="266"/>
      <c r="AB7" s="266"/>
      <c r="AC7" s="266"/>
      <c r="AD7" s="266"/>
      <c r="AE7" s="266"/>
      <c r="AF7" s="266"/>
      <c r="AG7" s="267"/>
      <c r="AH7" s="259" t="str">
        <f aca="false">IF(B7="","",IF(BA7="",IF(R7="WON","✅ belegt &amp; vollständig","✔ vollständig"),LEFT(BA7,LEN(BA7)-3)))</f>
        <v>○ Einstand offen · ○ Zeitraum offen</v>
      </c>
      <c r="AI7" s="265" t="n">
        <v>0</v>
      </c>
      <c r="AJ7" s="268" t="n">
        <f aca="false">IF(ISNUMBER(S7),IFERROR(LOOKUP(IF(S7&lt;=1,S7,S7/100),'⚖️ Wahrscheinlichkeit'!$B$17:$B$21,'⚖️ Wahrscheinlichkeit'!$D$17:$D$21),0),0)</f>
        <v>0</v>
      </c>
      <c r="AK7" s="1" t="str">
        <f aca="false">IF(AND(R7="WON",ISNUMBER(I7)),AL7+(861-ROW())*0.000001,"")</f>
        <v/>
      </c>
      <c r="AL7" s="1" t="n">
        <f aca="false">IFERROR(I7*1,0)</f>
        <v>0</v>
      </c>
      <c r="AM7" s="1" t="n">
        <f aca="false">N(AM6)+IF(AND(R7="WON",B7&lt;&gt;""),1,0)</f>
        <v>0</v>
      </c>
      <c r="AN7" s="1" t="n">
        <f aca="false">N(AN6)+IF(AND(OR(R7="offered",R7="to be offered",R7="on hold"),B7&lt;&gt;""),1,0)</f>
        <v>1</v>
      </c>
      <c r="AO7" s="1" t="n">
        <f aca="false">N(AO6)+IF(AND(OR(R7="follow-up",R7="Evaluation",R7="tbd",R7="In evaluation"),B7&lt;&gt;""),1,0)</f>
        <v>0</v>
      </c>
      <c r="AP7" s="1" t="n">
        <f aca="false">IF(B7="",0,IF(COUNTIF('⚖️ Wahrscheinlichkeit'!$J$17:$J$24,R7)&gt;0,1,0))</f>
        <v>0</v>
      </c>
      <c r="AQ7" s="1" t="n">
        <f aca="false">IF(B7="",0,IF(AND(ISNUMBER(S7),COUNTIF('⚖️ Wahrscheinlichkeit'!$B$6:$B$11,S7)&gt;0),1,0))</f>
        <v>1</v>
      </c>
      <c r="AR7" s="1" t="n">
        <f aca="false">IF(B7="",0,IF(AND(COUNT(J7:M7)=4,SUM(J7:M7)&gt;0),1,0))</f>
        <v>0</v>
      </c>
      <c r="AS7" s="1" t="n">
        <f aca="false">IF(B7="",0,IF(AND(AF7&lt;&gt;"",AG7&lt;&gt;""),1,0))</f>
        <v>0</v>
      </c>
      <c r="AT7" s="1" t="n">
        <f aca="false">IF(AND(R7="WON",AS7=1,AR7=1),1,0)</f>
        <v>0</v>
      </c>
      <c r="AU7" s="1" t="n">
        <f aca="false">IF(B7="",0,IF(AD7="Alternative – zählt nicht",0,1))</f>
        <v>1</v>
      </c>
      <c r="AV7" s="1" t="n">
        <f aca="false">IF(B7="",0,IF(COUNTIF($B$6:$B$860,B7)&gt;1,1,0))</f>
        <v>0</v>
      </c>
      <c r="AW7" s="1" t="s">
        <v>227</v>
      </c>
      <c r="AX7" s="269" t="str">
        <f aca="false">IF(AY7=1,DATE(YEAR(O7),MONTH(O7),1),"")</f>
        <v/>
      </c>
      <c r="AY7" s="1" t="n">
        <f aca="false">IF(B7="",0,IF(AND(ISNUMBER(O7),ISNUMBER(P7)),IF(P7&gt;=O7,1,0),0))</f>
        <v>0</v>
      </c>
      <c r="AZ7" s="270" t="n">
        <f aca="false">IF(ISNUMBER(Y7),Y7,0)</f>
        <v>0</v>
      </c>
      <c r="BA7" s="1" t="str">
        <f aca="false">IF(B7="","",IF(AND(R7="WON",AS7=0),"⛔ Beleg fehlt · ","")&amp;IF(AND(R7="WON",AR7=0),"⛔ Einstand fehlt · ","")&amp;IF(AND(R7&lt;&gt;"WON",AR7=0),"○ Einstand offen · ","")&amp;IF(AND(R7="WON",AB7=""),"⛔ Vertragsart fehlt · ","")&amp;IF(AND(ISNUMBER(O7),ISNUMBER(P7)),IF(P7&lt;O7,"⚠ Ende vor Start · ",""),"")&amp;IF(AND(R7="WON",AY7=0,NOT(AND(ISNUMBER(O7),ISNUMBER(P7)))),"⛔ Zeitraum fehlt · ","")&amp;IF(AND(R7&lt;&gt;"WON",AY7=0,NOT(AND(ISNUMBER(O7),ISNUMBER(P7)))),"○ Zeitraum offen · ",""))</f>
        <v>○ Einstand offen · ○ Zeitraum offen · </v>
      </c>
      <c r="BB7" s="1" t="str">
        <f aca="false">IF(B7="","",IF(AND(R7="WON",AS7=0),"⛔ Nachweis fehlt",IF(AND(ISNUMBER(O7),ISNUMBER(P7),P7&lt;O7),"⚠ Ende vor Start",IF(AND(R7="WON",AY7=0),"⛔ Zeitraum fehlt",IF(AR7=0,"○ Einstand offen",IF(AY7=0,"○ Zeitraum offen",IF(R7="WON","✅ belegt","✔ erfasst")))))))</f>
        <v>○ Einstand offen</v>
      </c>
    </row>
    <row r="8" customFormat="false" ht="30" hidden="false" customHeight="true" outlineLevel="0" collapsed="false">
      <c r="A8" s="258" t="n">
        <v>15</v>
      </c>
      <c r="B8" s="259" t="s">
        <v>232</v>
      </c>
      <c r="C8" s="258" t="s">
        <v>78</v>
      </c>
      <c r="D8" s="260" t="s">
        <v>233</v>
      </c>
      <c r="E8" s="260" t="s">
        <v>234</v>
      </c>
      <c r="F8" s="271"/>
      <c r="G8" s="258" t="str">
        <f aca="false">IF(B8="","",IF(AY8=1,P8-O8+1,IF(AW8="","",AW8)))</f>
        <v>Jahre</v>
      </c>
      <c r="H8" s="262" t="s">
        <v>227</v>
      </c>
      <c r="I8" s="261" t="n">
        <v>0</v>
      </c>
      <c r="J8" s="261" t="n">
        <v>0</v>
      </c>
      <c r="K8" s="261" t="n">
        <v>0</v>
      </c>
      <c r="L8" s="261" t="n">
        <v>0</v>
      </c>
      <c r="M8" s="261" t="n">
        <v>0</v>
      </c>
      <c r="N8" s="261" t="n">
        <v>0</v>
      </c>
      <c r="O8" s="263"/>
      <c r="P8" s="263"/>
      <c r="Q8" s="261" t="n">
        <f aca="false">IF(AND(ISNUMBER(I8),ISNUMBER(S8)),I8*AJ8,IF(OR(I8&lt;&gt;"",S8&lt;&gt;""),"tbd",""))</f>
        <v>0</v>
      </c>
      <c r="R8" s="264" t="s">
        <v>235</v>
      </c>
      <c r="S8" s="265" t="n">
        <v>0.1</v>
      </c>
      <c r="T8" s="259" t="s">
        <v>236</v>
      </c>
      <c r="U8" s="260" t="s">
        <v>237</v>
      </c>
      <c r="V8" s="260" t="s">
        <v>238</v>
      </c>
      <c r="W8" s="258" t="s">
        <v>97</v>
      </c>
      <c r="X8" s="260" t="s">
        <v>239</v>
      </c>
      <c r="Y8" s="261" t="n">
        <f aca="false">IF(ISNUMBER(I8),I8/Netto_Faktor,"")</f>
        <v>0</v>
      </c>
      <c r="Z8" s="261" t="n">
        <f aca="false">IF(B8="","",IF(COUNT(J8:N8)=0,"",SUM(J8:N8)))</f>
        <v>0</v>
      </c>
      <c r="AA8" s="266"/>
      <c r="AB8" s="266"/>
      <c r="AC8" s="266"/>
      <c r="AD8" s="266"/>
      <c r="AE8" s="266"/>
      <c r="AF8" s="266"/>
      <c r="AG8" s="267"/>
      <c r="AH8" s="259" t="str">
        <f aca="false">IF(B8="","",IF(BA8="",IF(R8="WON","✅ belegt &amp; vollständig","✔ vollständig"),LEFT(BA8,LEN(BA8)-3)))</f>
        <v>○ Einstand offen · ○ Zeitraum offen</v>
      </c>
      <c r="AI8" s="265" t="n">
        <v>0.1</v>
      </c>
      <c r="AJ8" s="268" t="n">
        <f aca="false">IF(ISNUMBER(S8),IFERROR(LOOKUP(IF(S8&lt;=1,S8,S8/100),'⚖️ Wahrscheinlichkeit'!$B$17:$B$21,'⚖️ Wahrscheinlichkeit'!$D$17:$D$21),0),0)</f>
        <v>0</v>
      </c>
      <c r="AK8" s="1" t="str">
        <f aca="false">IF(AND(R8="WON",ISNUMBER(I8)),AL8+(861-ROW())*0.000001,"")</f>
        <v/>
      </c>
      <c r="AL8" s="1" t="n">
        <f aca="false">IFERROR(I8*1,0)</f>
        <v>0</v>
      </c>
      <c r="AM8" s="1" t="n">
        <f aca="false">N(AM7)+IF(AND(R8="WON",B8&lt;&gt;""),1,0)</f>
        <v>0</v>
      </c>
      <c r="AN8" s="1" t="n">
        <f aca="false">N(AN7)+IF(AND(OR(R8="offered",R8="to be offered",R8="on hold"),B8&lt;&gt;""),1,0)</f>
        <v>2</v>
      </c>
      <c r="AO8" s="1" t="n">
        <f aca="false">N(AO7)+IF(AND(OR(R8="follow-up",R8="Evaluation",R8="tbd",R8="In evaluation"),B8&lt;&gt;""),1,0)</f>
        <v>0</v>
      </c>
      <c r="AP8" s="1" t="n">
        <f aca="false">IF(B8="",0,IF(COUNTIF('⚖️ Wahrscheinlichkeit'!$J$17:$J$24,R8)&gt;0,1,0))</f>
        <v>1</v>
      </c>
      <c r="AQ8" s="1" t="n">
        <f aca="false">IF(B8="",0,IF(AND(ISNUMBER(S8),COUNTIF('⚖️ Wahrscheinlichkeit'!$B$6:$B$11,S8)&gt;0),1,0))</f>
        <v>1</v>
      </c>
      <c r="AR8" s="1" t="n">
        <f aca="false">IF(B8="",0,IF(AND(COUNT(J8:M8)=4,SUM(J8:M8)&gt;0),1,0))</f>
        <v>0</v>
      </c>
      <c r="AS8" s="1" t="n">
        <f aca="false">IF(B8="",0,IF(AND(AF8&lt;&gt;"",AG8&lt;&gt;""),1,0))</f>
        <v>0</v>
      </c>
      <c r="AT8" s="1" t="n">
        <f aca="false">IF(AND(R8="WON",AS8=1,AR8=1),1,0)</f>
        <v>0</v>
      </c>
      <c r="AU8" s="1" t="n">
        <f aca="false">IF(B8="",0,IF(AD8="Alternative – zählt nicht",0,1))</f>
        <v>1</v>
      </c>
      <c r="AV8" s="1" t="n">
        <f aca="false">IF(B8="",0,IF(COUNTIF($B$6:$B$860,B8)&gt;1,1,0))</f>
        <v>0</v>
      </c>
      <c r="AW8" s="1" t="s">
        <v>240</v>
      </c>
      <c r="AX8" s="269" t="str">
        <f aca="false">IF(AY8=1,DATE(YEAR(O8),MONTH(O8),1),"")</f>
        <v/>
      </c>
      <c r="AY8" s="1" t="n">
        <f aca="false">IF(B8="",0,IF(AND(ISNUMBER(O8),ISNUMBER(P8)),IF(P8&gt;=O8,1,0),0))</f>
        <v>0</v>
      </c>
      <c r="AZ8" s="270" t="n">
        <f aca="false">IF(ISNUMBER(Y8),Y8,0)</f>
        <v>0</v>
      </c>
      <c r="BA8" s="1" t="str">
        <f aca="false">IF(B8="","",IF(AND(R8="WON",AS8=0),"⛔ Beleg fehlt · ","")&amp;IF(AND(R8="WON",AR8=0),"⛔ Einstand fehlt · ","")&amp;IF(AND(R8&lt;&gt;"WON",AR8=0),"○ Einstand offen · ","")&amp;IF(AND(R8="WON",AB8=""),"⛔ Vertragsart fehlt · ","")&amp;IF(AND(ISNUMBER(O8),ISNUMBER(P8)),IF(P8&lt;O8,"⚠ Ende vor Start · ",""),"")&amp;IF(AND(R8="WON",AY8=0,NOT(AND(ISNUMBER(O8),ISNUMBER(P8)))),"⛔ Zeitraum fehlt · ","")&amp;IF(AND(R8&lt;&gt;"WON",AY8=0,NOT(AND(ISNUMBER(O8),ISNUMBER(P8)))),"○ Zeitraum offen · ",""))</f>
        <v>○ Einstand offen · ○ Zeitraum offen · </v>
      </c>
      <c r="BB8" s="1" t="str">
        <f aca="false">IF(B8="","",IF(AND(R8="WON",AS8=0),"⛔ Nachweis fehlt",IF(AND(ISNUMBER(O8),ISNUMBER(P8),P8&lt;O8),"⚠ Ende vor Start",IF(AND(R8="WON",AY8=0),"⛔ Zeitraum fehlt",IF(AR8=0,"○ Einstand offen",IF(AY8=0,"○ Zeitraum offen",IF(R8="WON","✅ belegt","✔ erfasst")))))))</f>
        <v>○ Einstand offen</v>
      </c>
    </row>
    <row r="9" customFormat="false" ht="30" hidden="false" customHeight="true" outlineLevel="0" collapsed="false">
      <c r="A9" s="258" t="n">
        <v>1</v>
      </c>
      <c r="B9" s="259" t="s">
        <v>241</v>
      </c>
      <c r="C9" s="258" t="s">
        <v>82</v>
      </c>
      <c r="D9" s="260" t="s">
        <v>242</v>
      </c>
      <c r="E9" s="260" t="s">
        <v>243</v>
      </c>
      <c r="F9" s="261" t="n">
        <v>1600</v>
      </c>
      <c r="G9" s="258" t="n">
        <f aca="false">IF(B9="","",IF(AY9=1,P9-O9+1,IF(AW9="","",AW9)))</f>
        <v>28</v>
      </c>
      <c r="H9" s="262" t="s">
        <v>96</v>
      </c>
      <c r="I9" s="261" t="n">
        <v>380000</v>
      </c>
      <c r="J9" s="261" t="n">
        <v>195000</v>
      </c>
      <c r="K9" s="261" t="n">
        <v>8000</v>
      </c>
      <c r="L9" s="261" t="n">
        <v>12000</v>
      </c>
      <c r="M9" s="261" t="n">
        <v>15000</v>
      </c>
      <c r="N9" s="261" t="n">
        <v>5000</v>
      </c>
      <c r="O9" s="263"/>
      <c r="P9" s="263"/>
      <c r="Q9" s="261" t="n">
        <f aca="false">IF(AND(ISNUMBER(I9),ISNUMBER(S9)),I9*AJ9,IF(OR(I9&lt;&gt;"",S9&lt;&gt;""),"tbd",""))</f>
        <v>380000</v>
      </c>
      <c r="R9" s="264" t="s">
        <v>244</v>
      </c>
      <c r="S9" s="265" t="n">
        <v>1</v>
      </c>
      <c r="T9" s="259" t="s">
        <v>236</v>
      </c>
      <c r="U9" s="260" t="s">
        <v>245</v>
      </c>
      <c r="V9" s="260" t="s">
        <v>246</v>
      </c>
      <c r="W9" s="258" t="s">
        <v>247</v>
      </c>
      <c r="X9" s="260" t="s">
        <v>248</v>
      </c>
      <c r="Y9" s="261" t="n">
        <f aca="false">IF(ISNUMBER(I9),I9/Netto_Faktor,"")</f>
        <v>351526.364477336</v>
      </c>
      <c r="Z9" s="261" t="n">
        <f aca="false">IF(B9="","",IF(COUNT(J9:N9)=0,"",SUM(J9:N9)))</f>
        <v>235000</v>
      </c>
      <c r="AA9" s="266"/>
      <c r="AB9" s="266"/>
      <c r="AC9" s="266"/>
      <c r="AD9" s="266"/>
      <c r="AE9" s="266"/>
      <c r="AF9" s="266"/>
      <c r="AG9" s="267"/>
      <c r="AH9" s="260" t="str">
        <f aca="false">IF(B9="","",IF(BA9="",IF(R9="WON","✅ belegt &amp; vollständig","✔ vollständig"),LEFT(BA9,LEN(BA9)-3)))</f>
        <v>⛔ Beleg fehlt · ⛔ Vertragsart fehlt · ⛔ Zeitraum fehlt</v>
      </c>
      <c r="AI9" s="265" t="n">
        <v>1</v>
      </c>
      <c r="AJ9" s="268" t="n">
        <f aca="false">IF(ISNUMBER(S9),IFERROR(LOOKUP(IF(S9&lt;=1,S9,S9/100),'⚖️ Wahrscheinlichkeit'!$B$17:$B$21,'⚖️ Wahrscheinlichkeit'!$D$17:$D$21),0),0)</f>
        <v>1</v>
      </c>
      <c r="AK9" s="1" t="n">
        <f aca="false">IF(AND(R9="WON",ISNUMBER(I9)),AL9+(861-ROW())*0.000001,"")</f>
        <v>380000.000852</v>
      </c>
      <c r="AL9" s="1" t="n">
        <f aca="false">IFERROR(I9*1,0)</f>
        <v>380000</v>
      </c>
      <c r="AM9" s="1" t="n">
        <f aca="false">N(AM8)+IF(AND(R9="WON",B9&lt;&gt;""),1,0)</f>
        <v>1</v>
      </c>
      <c r="AN9" s="1" t="n">
        <f aca="false">N(AN8)+IF(AND(OR(R9="offered",R9="to be offered",R9="on hold"),B9&lt;&gt;""),1,0)</f>
        <v>2</v>
      </c>
      <c r="AO9" s="1" t="n">
        <f aca="false">N(AO8)+IF(AND(OR(R9="follow-up",R9="Evaluation",R9="tbd",R9="In evaluation"),B9&lt;&gt;""),1,0)</f>
        <v>0</v>
      </c>
      <c r="AP9" s="1" t="n">
        <f aca="false">IF(B9="",0,IF(COUNTIF('⚖️ Wahrscheinlichkeit'!$J$17:$J$24,R9)&gt;0,1,0))</f>
        <v>1</v>
      </c>
      <c r="AQ9" s="1" t="n">
        <f aca="false">IF(B9="",0,IF(AND(ISNUMBER(S9),COUNTIF('⚖️ Wahrscheinlichkeit'!$B$6:$B$11,S9)&gt;0),1,0))</f>
        <v>1</v>
      </c>
      <c r="AR9" s="1" t="n">
        <f aca="false">IF(B9="",0,IF(AND(COUNT(J9:M9)=4,SUM(J9:M9)&gt;0),1,0))</f>
        <v>1</v>
      </c>
      <c r="AS9" s="1" t="n">
        <f aca="false">IF(B9="",0,IF(AND(AF9&lt;&gt;"",AG9&lt;&gt;""),1,0))</f>
        <v>0</v>
      </c>
      <c r="AT9" s="1" t="n">
        <f aca="false">IF(AND(R9="WON",AS9=1,AR9=1),1,0)</f>
        <v>0</v>
      </c>
      <c r="AU9" s="1" t="n">
        <f aca="false">IF(B9="",0,IF(AD9="Alternative – zählt nicht",0,1))</f>
        <v>1</v>
      </c>
      <c r="AV9" s="1" t="n">
        <f aca="false">IF(B9="",0,IF(COUNTIF($B$6:$B$860,B9)&gt;1,1,0))</f>
        <v>0</v>
      </c>
      <c r="AW9" s="1" t="n">
        <v>28</v>
      </c>
      <c r="AX9" s="269" t="str">
        <f aca="false">IF(AY9=1,DATE(YEAR(O9),MONTH(O9),1),"")</f>
        <v/>
      </c>
      <c r="AY9" s="1" t="n">
        <f aca="false">IF(B9="",0,IF(AND(ISNUMBER(O9),ISNUMBER(P9)),IF(P9&gt;=O9,1,0),0))</f>
        <v>0</v>
      </c>
      <c r="AZ9" s="270" t="n">
        <f aca="false">IF(ISNUMBER(Y9),Y9,0)</f>
        <v>351526.364477336</v>
      </c>
      <c r="BA9" s="1" t="str">
        <f aca="false">IF(B9="","",IF(AND(R9="WON",AS9=0),"⛔ Beleg fehlt · ","")&amp;IF(AND(R9="WON",AR9=0),"⛔ Einstand fehlt · ","")&amp;IF(AND(R9&lt;&gt;"WON",AR9=0),"○ Einstand offen · ","")&amp;IF(AND(R9="WON",AB9=""),"⛔ Vertragsart fehlt · ","")&amp;IF(AND(ISNUMBER(O9),ISNUMBER(P9)),IF(P9&lt;O9,"⚠ Ende vor Start · ",""),"")&amp;IF(AND(R9="WON",AY9=0,NOT(AND(ISNUMBER(O9),ISNUMBER(P9)))),"⛔ Zeitraum fehlt · ","")&amp;IF(AND(R9&lt;&gt;"WON",AY9=0,NOT(AND(ISNUMBER(O9),ISNUMBER(P9)))),"○ Zeitraum offen · ",""))</f>
        <v>⛔ Beleg fehlt · ⛔ Vertragsart fehlt · ⛔ Zeitraum fehlt · </v>
      </c>
      <c r="BB9" s="1" t="str">
        <f aca="false">IF(B9="","",IF(AND(R9="WON",AS9=0),"⛔ Nachweis fehlt",IF(AND(ISNUMBER(O9),ISNUMBER(P9),P9&lt;O9),"⚠ Ende vor Start",IF(AND(R9="WON",AY9=0),"⛔ Zeitraum fehlt",IF(AR9=0,"○ Einstand offen",IF(AY9=0,"○ Zeitraum offen",IF(R9="WON","✅ belegt","✔ erfasst")))))))</f>
        <v>⛔ Nachweis fehlt</v>
      </c>
    </row>
    <row r="10" customFormat="false" ht="30" hidden="false" customHeight="true" outlineLevel="0" collapsed="false">
      <c r="A10" s="258" t="n">
        <v>2</v>
      </c>
      <c r="B10" s="259" t="s">
        <v>249</v>
      </c>
      <c r="C10" s="258" t="s">
        <v>56</v>
      </c>
      <c r="D10" s="260" t="s">
        <v>250</v>
      </c>
      <c r="E10" s="260" t="s">
        <v>251</v>
      </c>
      <c r="F10" s="261" t="n">
        <v>240</v>
      </c>
      <c r="G10" s="258" t="n">
        <f aca="false">IF(B10="","",IF(AY10=1,P10-O10+1,IF(AW10="","",AW10)))</f>
        <v>21</v>
      </c>
      <c r="H10" s="262" t="s">
        <v>94</v>
      </c>
      <c r="I10" s="261" t="n">
        <v>13100</v>
      </c>
      <c r="J10" s="261" t="n">
        <v>7500</v>
      </c>
      <c r="K10" s="261" t="n">
        <v>800</v>
      </c>
      <c r="L10" s="261" t="n">
        <v>600</v>
      </c>
      <c r="M10" s="261" t="n">
        <v>900</v>
      </c>
      <c r="N10" s="261" t="n">
        <v>300</v>
      </c>
      <c r="O10" s="263"/>
      <c r="P10" s="263"/>
      <c r="Q10" s="261" t="n">
        <f aca="false">IF(AND(ISNUMBER(I10),ISNUMBER(S10)),I10*AJ10,IF(OR(I10&lt;&gt;"",S10&lt;&gt;""),"tbd",""))</f>
        <v>13100</v>
      </c>
      <c r="R10" s="264" t="s">
        <v>244</v>
      </c>
      <c r="S10" s="265" t="n">
        <v>1</v>
      </c>
      <c r="T10" s="259" t="s">
        <v>236</v>
      </c>
      <c r="U10" s="260" t="s">
        <v>252</v>
      </c>
      <c r="V10" s="260" t="s">
        <v>246</v>
      </c>
      <c r="W10" s="258" t="s">
        <v>247</v>
      </c>
      <c r="X10" s="260" t="s">
        <v>253</v>
      </c>
      <c r="Y10" s="261" t="n">
        <f aca="false">IF(ISNUMBER(I10),I10/Netto_Faktor,"")</f>
        <v>12118.4088806661</v>
      </c>
      <c r="Z10" s="261" t="n">
        <f aca="false">IF(B10="","",IF(COUNT(J10:N10)=0,"",SUM(J10:N10)))</f>
        <v>10100</v>
      </c>
      <c r="AA10" s="266"/>
      <c r="AB10" s="266"/>
      <c r="AC10" s="266"/>
      <c r="AD10" s="266"/>
      <c r="AE10" s="266"/>
      <c r="AF10" s="266"/>
      <c r="AG10" s="267"/>
      <c r="AH10" s="260" t="str">
        <f aca="false">IF(B10="","",IF(BA10="",IF(R10="WON","✅ belegt &amp; vollständig","✔ vollständig"),LEFT(BA10,LEN(BA10)-3)))</f>
        <v>⛔ Beleg fehlt · ⛔ Vertragsart fehlt · ⛔ Zeitraum fehlt</v>
      </c>
      <c r="AI10" s="265" t="n">
        <v>1</v>
      </c>
      <c r="AJ10" s="268" t="n">
        <f aca="false">IF(ISNUMBER(S10),IFERROR(LOOKUP(IF(S10&lt;=1,S10,S10/100),'⚖️ Wahrscheinlichkeit'!$B$17:$B$21,'⚖️ Wahrscheinlichkeit'!$D$17:$D$21),0),0)</f>
        <v>1</v>
      </c>
      <c r="AK10" s="1" t="n">
        <f aca="false">IF(AND(R10="WON",ISNUMBER(I10)),AL10+(861-ROW())*0.000001,"")</f>
        <v>13100.000851</v>
      </c>
      <c r="AL10" s="1" t="n">
        <f aca="false">IFERROR(I10*1,0)</f>
        <v>13100</v>
      </c>
      <c r="AM10" s="1" t="n">
        <f aca="false">N(AM9)+IF(AND(R10="WON",B10&lt;&gt;""),1,0)</f>
        <v>2</v>
      </c>
      <c r="AN10" s="1" t="n">
        <f aca="false">N(AN9)+IF(AND(OR(R10="offered",R10="to be offered",R10="on hold"),B10&lt;&gt;""),1,0)</f>
        <v>2</v>
      </c>
      <c r="AO10" s="1" t="n">
        <f aca="false">N(AO9)+IF(AND(OR(R10="follow-up",R10="Evaluation",R10="tbd",R10="In evaluation"),B10&lt;&gt;""),1,0)</f>
        <v>0</v>
      </c>
      <c r="AP10" s="1" t="n">
        <f aca="false">IF(B10="",0,IF(COUNTIF('⚖️ Wahrscheinlichkeit'!$J$17:$J$24,R10)&gt;0,1,0))</f>
        <v>1</v>
      </c>
      <c r="AQ10" s="1" t="n">
        <f aca="false">IF(B10="",0,IF(AND(ISNUMBER(S10),COUNTIF('⚖️ Wahrscheinlichkeit'!$B$6:$B$11,S10)&gt;0),1,0))</f>
        <v>1</v>
      </c>
      <c r="AR10" s="1" t="n">
        <f aca="false">IF(B10="",0,IF(AND(COUNT(J10:M10)=4,SUM(J10:M10)&gt;0),1,0))</f>
        <v>1</v>
      </c>
      <c r="AS10" s="1" t="n">
        <f aca="false">IF(B10="",0,IF(AND(AF10&lt;&gt;"",AG10&lt;&gt;""),1,0))</f>
        <v>0</v>
      </c>
      <c r="AT10" s="1" t="n">
        <f aca="false">IF(AND(R10="WON",AS10=1,AR10=1),1,0)</f>
        <v>0</v>
      </c>
      <c r="AU10" s="1" t="n">
        <f aca="false">IF(B10="",0,IF(AD10="Alternative – zählt nicht",0,1))</f>
        <v>1</v>
      </c>
      <c r="AV10" s="1" t="n">
        <f aca="false">IF(B10="",0,IF(COUNTIF($B$6:$B$860,B10)&gt;1,1,0))</f>
        <v>1</v>
      </c>
      <c r="AW10" s="1" t="n">
        <v>21</v>
      </c>
      <c r="AX10" s="269" t="str">
        <f aca="false">IF(AY10=1,DATE(YEAR(O10),MONTH(O10),1),"")</f>
        <v/>
      </c>
      <c r="AY10" s="1" t="n">
        <f aca="false">IF(B10="",0,IF(AND(ISNUMBER(O10),ISNUMBER(P10)),IF(P10&gt;=O10,1,0),0))</f>
        <v>0</v>
      </c>
      <c r="AZ10" s="270" t="n">
        <f aca="false">IF(ISNUMBER(Y10),Y10,0)</f>
        <v>12118.4088806661</v>
      </c>
      <c r="BA10" s="1" t="str">
        <f aca="false">IF(B10="","",IF(AND(R10="WON",AS10=0),"⛔ Beleg fehlt · ","")&amp;IF(AND(R10="WON",AR10=0),"⛔ Einstand fehlt · ","")&amp;IF(AND(R10&lt;&gt;"WON",AR10=0),"○ Einstand offen · ","")&amp;IF(AND(R10="WON",AB10=""),"⛔ Vertragsart fehlt · ","")&amp;IF(AND(ISNUMBER(O10),ISNUMBER(P10)),IF(P10&lt;O10,"⚠ Ende vor Start · ",""),"")&amp;IF(AND(R10="WON",AY10=0,NOT(AND(ISNUMBER(O10),ISNUMBER(P10)))),"⛔ Zeitraum fehlt · ","")&amp;IF(AND(R10&lt;&gt;"WON",AY10=0,NOT(AND(ISNUMBER(O10),ISNUMBER(P10)))),"○ Zeitraum offen · ",""))</f>
        <v>⛔ Beleg fehlt · ⛔ Vertragsart fehlt · ⛔ Zeitraum fehlt · </v>
      </c>
      <c r="BB10" s="1" t="str">
        <f aca="false">IF(B10="","",IF(AND(R10="WON",AS10=0),"⛔ Nachweis fehlt",IF(AND(ISNUMBER(O10),ISNUMBER(P10),P10&lt;O10),"⚠ Ende vor Start",IF(AND(R10="WON",AY10=0),"⛔ Zeitraum fehlt",IF(AR10=0,"○ Einstand offen",IF(AY10=0,"○ Zeitraum offen",IF(R10="WON","✅ belegt","✔ erfasst")))))))</f>
        <v>⛔ Nachweis fehlt</v>
      </c>
    </row>
    <row r="11" customFormat="false" ht="30" hidden="false" customHeight="true" outlineLevel="0" collapsed="false">
      <c r="A11" s="258" t="n">
        <v>7</v>
      </c>
      <c r="B11" s="259" t="s">
        <v>254</v>
      </c>
      <c r="C11" s="258" t="s">
        <v>82</v>
      </c>
      <c r="D11" s="260" t="s">
        <v>255</v>
      </c>
      <c r="E11" s="260" t="s">
        <v>256</v>
      </c>
      <c r="F11" s="261" t="n">
        <v>1000</v>
      </c>
      <c r="G11" s="258" t="n">
        <f aca="false">IF(B11="","",IF(AY11=1,P11-O11+1,IF(AW11="","",AW11)))</f>
        <v>30</v>
      </c>
      <c r="H11" s="272" t="s">
        <v>96</v>
      </c>
      <c r="I11" s="261" t="n">
        <v>41000</v>
      </c>
      <c r="J11" s="261" t="n">
        <v>24000</v>
      </c>
      <c r="K11" s="261" t="n">
        <v>2000</v>
      </c>
      <c r="L11" s="261" t="n">
        <v>2500</v>
      </c>
      <c r="M11" s="261" t="n">
        <v>3000</v>
      </c>
      <c r="N11" s="261" t="n">
        <v>500</v>
      </c>
      <c r="O11" s="263"/>
      <c r="P11" s="263"/>
      <c r="Q11" s="261" t="n">
        <f aca="false">IF(AND(ISNUMBER(I11),ISNUMBER(S11)),I11*AJ11,IF(OR(I11&lt;&gt;"",S11&lt;&gt;""),"tbd",""))</f>
        <v>0</v>
      </c>
      <c r="R11" s="264" t="s">
        <v>228</v>
      </c>
      <c r="S11" s="265" t="n">
        <v>0</v>
      </c>
      <c r="T11" s="259" t="s">
        <v>220</v>
      </c>
      <c r="U11" s="260" t="s">
        <v>257</v>
      </c>
      <c r="V11" s="260" t="s">
        <v>258</v>
      </c>
      <c r="W11" s="258" t="s">
        <v>97</v>
      </c>
      <c r="X11" s="260" t="s">
        <v>259</v>
      </c>
      <c r="Y11" s="261" t="n">
        <f aca="false">IF(ISNUMBER(I11),I11/Netto_Faktor,"")</f>
        <v>37927.8445883441</v>
      </c>
      <c r="Z11" s="261" t="n">
        <f aca="false">IF(B11="","",IF(COUNT(J11:N11)=0,"",SUM(J11:N11)))</f>
        <v>32000</v>
      </c>
      <c r="AA11" s="266"/>
      <c r="AB11" s="266"/>
      <c r="AC11" s="266"/>
      <c r="AD11" s="266"/>
      <c r="AE11" s="266"/>
      <c r="AF11" s="266"/>
      <c r="AG11" s="267"/>
      <c r="AH11" s="259" t="str">
        <f aca="false">IF(B11="","",IF(BA11="",IF(R11="WON","✅ belegt &amp; vollständig","✔ vollständig"),LEFT(BA11,LEN(BA11)-3)))</f>
        <v>○ Zeitraum offen</v>
      </c>
      <c r="AI11" s="265" t="n">
        <v>0</v>
      </c>
      <c r="AJ11" s="268" t="n">
        <f aca="false">IF(ISNUMBER(S11),IFERROR(LOOKUP(IF(S11&lt;=1,S11,S11/100),'⚖️ Wahrscheinlichkeit'!$B$17:$B$21,'⚖️ Wahrscheinlichkeit'!$D$17:$D$21),0),0)</f>
        <v>0</v>
      </c>
      <c r="AK11" s="1" t="str">
        <f aca="false">IF(AND(R11="WON",ISNUMBER(I11)),AL11+(861-ROW())*0.000001,"")</f>
        <v/>
      </c>
      <c r="AL11" s="1" t="n">
        <f aca="false">IFERROR(I11*1,0)</f>
        <v>41000</v>
      </c>
      <c r="AM11" s="1" t="n">
        <f aca="false">N(AM10)+IF(AND(R11="WON",B11&lt;&gt;""),1,0)</f>
        <v>2</v>
      </c>
      <c r="AN11" s="1" t="n">
        <f aca="false">N(AN10)+IF(AND(OR(R11="offered",R11="to be offered",R11="on hold"),B11&lt;&gt;""),1,0)</f>
        <v>2</v>
      </c>
      <c r="AO11" s="1" t="n">
        <f aca="false">N(AO10)+IF(AND(OR(R11="follow-up",R11="Evaluation",R11="tbd",R11="In evaluation"),B11&lt;&gt;""),1,0)</f>
        <v>0</v>
      </c>
      <c r="AP11" s="1" t="n">
        <f aca="false">IF(B11="",0,IF(COUNTIF('⚖️ Wahrscheinlichkeit'!$J$17:$J$24,R11)&gt;0,1,0))</f>
        <v>0</v>
      </c>
      <c r="AQ11" s="1" t="n">
        <f aca="false">IF(B11="",0,IF(AND(ISNUMBER(S11),COUNTIF('⚖️ Wahrscheinlichkeit'!$B$6:$B$11,S11)&gt;0),1,0))</f>
        <v>1</v>
      </c>
      <c r="AR11" s="1" t="n">
        <f aca="false">IF(B11="",0,IF(AND(COUNT(J11:M11)=4,SUM(J11:M11)&gt;0),1,0))</f>
        <v>1</v>
      </c>
      <c r="AS11" s="1" t="n">
        <f aca="false">IF(B11="",0,IF(AND(AF11&lt;&gt;"",AG11&lt;&gt;""),1,0))</f>
        <v>0</v>
      </c>
      <c r="AT11" s="1" t="n">
        <f aca="false">IF(AND(R11="WON",AS11=1,AR11=1),1,0)</f>
        <v>0</v>
      </c>
      <c r="AU11" s="1" t="n">
        <f aca="false">IF(B11="",0,IF(AD11="Alternative – zählt nicht",0,1))</f>
        <v>1</v>
      </c>
      <c r="AV11" s="1" t="n">
        <f aca="false">IF(B11="",0,IF(COUNTIF($B$6:$B$860,B11)&gt;1,1,0))</f>
        <v>0</v>
      </c>
      <c r="AW11" s="1" t="n">
        <v>30</v>
      </c>
      <c r="AX11" s="269" t="str">
        <f aca="false">IF(AY11=1,DATE(YEAR(O11),MONTH(O11),1),"")</f>
        <v/>
      </c>
      <c r="AY11" s="1" t="n">
        <f aca="false">IF(B11="",0,IF(AND(ISNUMBER(O11),ISNUMBER(P11)),IF(P11&gt;=O11,1,0),0))</f>
        <v>0</v>
      </c>
      <c r="AZ11" s="270" t="n">
        <f aca="false">IF(ISNUMBER(Y11),Y11,0)</f>
        <v>37927.8445883441</v>
      </c>
      <c r="BA11" s="1" t="str">
        <f aca="false">IF(B11="","",IF(AND(R11="WON",AS11=0),"⛔ Beleg fehlt · ","")&amp;IF(AND(R11="WON",AR11=0),"⛔ Einstand fehlt · ","")&amp;IF(AND(R11&lt;&gt;"WON",AR11=0),"○ Einstand offen · ","")&amp;IF(AND(R11="WON",AB11=""),"⛔ Vertragsart fehlt · ","")&amp;IF(AND(ISNUMBER(O11),ISNUMBER(P11)),IF(P11&lt;O11,"⚠ Ende vor Start · ",""),"")&amp;IF(AND(R11="WON",AY11=0,NOT(AND(ISNUMBER(O11),ISNUMBER(P11)))),"⛔ Zeitraum fehlt · ","")&amp;IF(AND(R11&lt;&gt;"WON",AY11=0,NOT(AND(ISNUMBER(O11),ISNUMBER(P11)))),"○ Zeitraum offen · ",""))</f>
        <v>○ Zeitraum offen · </v>
      </c>
      <c r="BB11" s="1" t="str">
        <f aca="false">IF(B11="","",IF(AND(R11="WON",AS11=0),"⛔ Nachweis fehlt",IF(AND(ISNUMBER(O11),ISNUMBER(P11),P11&lt;O11),"⚠ Ende vor Start",IF(AND(R11="WON",AY11=0),"⛔ Zeitraum fehlt",IF(AR11=0,"○ Einstand offen",IF(AY11=0,"○ Zeitraum offen",IF(R11="WON","✅ belegt","✔ erfasst")))))))</f>
        <v>○ Zeitraum offen</v>
      </c>
    </row>
    <row r="12" customFormat="false" ht="30" hidden="false" customHeight="true" outlineLevel="0" collapsed="false">
      <c r="A12" s="258" t="n">
        <v>3</v>
      </c>
      <c r="B12" s="259" t="s">
        <v>260</v>
      </c>
      <c r="C12" s="258" t="s">
        <v>82</v>
      </c>
      <c r="D12" s="260" t="s">
        <v>261</v>
      </c>
      <c r="E12" s="260" t="s">
        <v>262</v>
      </c>
      <c r="F12" s="261" t="n">
        <v>600</v>
      </c>
      <c r="G12" s="258" t="n">
        <f aca="false">IF(B12="","",IF(AY12=1,P12-O12+1,IF(AW12="","",AW12)))</f>
        <v>21</v>
      </c>
      <c r="H12" s="262" t="s">
        <v>227</v>
      </c>
      <c r="I12" s="261" t="n">
        <v>10000</v>
      </c>
      <c r="J12" s="261" t="n">
        <v>0</v>
      </c>
      <c r="K12" s="261" t="n">
        <v>0</v>
      </c>
      <c r="L12" s="261" t="n">
        <v>0</v>
      </c>
      <c r="M12" s="261" t="n">
        <v>0</v>
      </c>
      <c r="N12" s="261" t="n">
        <v>0</v>
      </c>
      <c r="O12" s="263"/>
      <c r="P12" s="263"/>
      <c r="Q12" s="261" t="n">
        <f aca="false">IF(AND(ISNUMBER(I12),ISNUMBER(S12)),I12*AJ12,IF(OR(I12&lt;&gt;"",S12&lt;&gt;""),"tbd",""))</f>
        <v>10000</v>
      </c>
      <c r="R12" s="264" t="s">
        <v>244</v>
      </c>
      <c r="S12" s="265" t="n">
        <v>1</v>
      </c>
      <c r="T12" s="259" t="s">
        <v>220</v>
      </c>
      <c r="U12" s="260" t="s">
        <v>263</v>
      </c>
      <c r="V12" s="260" t="s">
        <v>246</v>
      </c>
      <c r="W12" s="258" t="s">
        <v>247</v>
      </c>
      <c r="X12" s="260" t="s">
        <v>264</v>
      </c>
      <c r="Y12" s="261" t="n">
        <f aca="false">IF(ISNUMBER(I12),I12/Netto_Faktor,"")</f>
        <v>9250.69380203515</v>
      </c>
      <c r="Z12" s="261" t="n">
        <f aca="false">IF(B12="","",IF(COUNT(J12:N12)=0,"",SUM(J12:N12)))</f>
        <v>0</v>
      </c>
      <c r="AA12" s="266"/>
      <c r="AB12" s="266"/>
      <c r="AC12" s="266"/>
      <c r="AD12" s="266"/>
      <c r="AE12" s="266"/>
      <c r="AF12" s="266"/>
      <c r="AG12" s="267"/>
      <c r="AH12" s="260" t="str">
        <f aca="false">IF(B12="","",IF(BA12="",IF(R12="WON","✅ belegt &amp; vollständig","✔ vollständig"),LEFT(BA12,LEN(BA12)-3)))</f>
        <v>⛔ Beleg fehlt · ⛔ Einstand fehlt · ⛔ Vertragsart fehlt · ⛔ Zeitraum fehlt</v>
      </c>
      <c r="AI12" s="265" t="n">
        <v>1</v>
      </c>
      <c r="AJ12" s="268" t="n">
        <f aca="false">IF(ISNUMBER(S12),IFERROR(LOOKUP(IF(S12&lt;=1,S12,S12/100),'⚖️ Wahrscheinlichkeit'!$B$17:$B$21,'⚖️ Wahrscheinlichkeit'!$D$17:$D$21),0),0)</f>
        <v>1</v>
      </c>
      <c r="AK12" s="1" t="n">
        <f aca="false">IF(AND(R12="WON",ISNUMBER(I12)),AL12+(861-ROW())*0.000001,"")</f>
        <v>10000.000849</v>
      </c>
      <c r="AL12" s="1" t="n">
        <f aca="false">IFERROR(I12*1,0)</f>
        <v>10000</v>
      </c>
      <c r="AM12" s="1" t="n">
        <f aca="false">N(AM11)+IF(AND(R12="WON",B12&lt;&gt;""),1,0)</f>
        <v>3</v>
      </c>
      <c r="AN12" s="1" t="n">
        <f aca="false">N(AN11)+IF(AND(OR(R12="offered",R12="to be offered",R12="on hold"),B12&lt;&gt;""),1,0)</f>
        <v>2</v>
      </c>
      <c r="AO12" s="1" t="n">
        <f aca="false">N(AO11)+IF(AND(OR(R12="follow-up",R12="Evaluation",R12="tbd",R12="In evaluation"),B12&lt;&gt;""),1,0)</f>
        <v>0</v>
      </c>
      <c r="AP12" s="1" t="n">
        <f aca="false">IF(B12="",0,IF(COUNTIF('⚖️ Wahrscheinlichkeit'!$J$17:$J$24,R12)&gt;0,1,0))</f>
        <v>1</v>
      </c>
      <c r="AQ12" s="1" t="n">
        <f aca="false">IF(B12="",0,IF(AND(ISNUMBER(S12),COUNTIF('⚖️ Wahrscheinlichkeit'!$B$6:$B$11,S12)&gt;0),1,0))</f>
        <v>1</v>
      </c>
      <c r="AR12" s="1" t="n">
        <f aca="false">IF(B12="",0,IF(AND(COUNT(J12:M12)=4,SUM(J12:M12)&gt;0),1,0))</f>
        <v>0</v>
      </c>
      <c r="AS12" s="1" t="n">
        <f aca="false">IF(B12="",0,IF(AND(AF12&lt;&gt;"",AG12&lt;&gt;""),1,0))</f>
        <v>0</v>
      </c>
      <c r="AT12" s="1" t="n">
        <f aca="false">IF(AND(R12="WON",AS12=1,AR12=1),1,0)</f>
        <v>0</v>
      </c>
      <c r="AU12" s="1" t="n">
        <f aca="false">IF(B12="",0,IF(AD12="Alternative – zählt nicht",0,1))</f>
        <v>1</v>
      </c>
      <c r="AV12" s="1" t="n">
        <f aca="false">IF(B12="",0,IF(COUNTIF($B$6:$B$860,B12)&gt;1,1,0))</f>
        <v>1</v>
      </c>
      <c r="AW12" s="1" t="n">
        <v>21</v>
      </c>
      <c r="AX12" s="269" t="str">
        <f aca="false">IF(AY12=1,DATE(YEAR(O12),MONTH(O12),1),"")</f>
        <v/>
      </c>
      <c r="AY12" s="1" t="n">
        <f aca="false">IF(B12="",0,IF(AND(ISNUMBER(O12),ISNUMBER(P12)),IF(P12&gt;=O12,1,0),0))</f>
        <v>0</v>
      </c>
      <c r="AZ12" s="270" t="n">
        <f aca="false">IF(ISNUMBER(Y12),Y12,0)</f>
        <v>9250.69380203515</v>
      </c>
      <c r="BA12" s="1" t="str">
        <f aca="false">IF(B12="","",IF(AND(R12="WON",AS12=0),"⛔ Beleg fehlt · ","")&amp;IF(AND(R12="WON",AR12=0),"⛔ Einstand fehlt · ","")&amp;IF(AND(R12&lt;&gt;"WON",AR12=0),"○ Einstand offen · ","")&amp;IF(AND(R12="WON",AB12=""),"⛔ Vertragsart fehlt · ","")&amp;IF(AND(ISNUMBER(O12),ISNUMBER(P12)),IF(P12&lt;O12,"⚠ Ende vor Start · ",""),"")&amp;IF(AND(R12="WON",AY12=0,NOT(AND(ISNUMBER(O12),ISNUMBER(P12)))),"⛔ Zeitraum fehlt · ","")&amp;IF(AND(R12&lt;&gt;"WON",AY12=0,NOT(AND(ISNUMBER(O12),ISNUMBER(P12)))),"○ Zeitraum offen · ",""))</f>
        <v>⛔ Beleg fehlt · ⛔ Einstand fehlt · ⛔ Vertragsart fehlt · ⛔ Zeitraum fehlt · </v>
      </c>
      <c r="BB12" s="1" t="str">
        <f aca="false">IF(B12="","",IF(AND(R12="WON",AS12=0),"⛔ Nachweis fehlt",IF(AND(ISNUMBER(O12),ISNUMBER(P12),P12&lt;O12),"⚠ Ende vor Start",IF(AND(R12="WON",AY12=0),"⛔ Zeitraum fehlt",IF(AR12=0,"○ Einstand offen",IF(AY12=0,"○ Zeitraum offen",IF(R12="WON","✅ belegt","✔ erfasst")))))))</f>
        <v>⛔ Nachweis fehlt</v>
      </c>
    </row>
    <row r="13" customFormat="false" ht="38.25" hidden="false" customHeight="true" outlineLevel="0" collapsed="false">
      <c r="A13" s="258" t="n">
        <v>4</v>
      </c>
      <c r="B13" s="259" t="s">
        <v>265</v>
      </c>
      <c r="C13" s="258" t="s">
        <v>76</v>
      </c>
      <c r="D13" s="260" t="s">
        <v>266</v>
      </c>
      <c r="E13" s="260" t="s">
        <v>267</v>
      </c>
      <c r="F13" s="261" t="n">
        <v>500</v>
      </c>
      <c r="G13" s="258" t="n">
        <f aca="false">IF(B13="","",IF(AY13=1,P13-O13+1,IF(AW13="","",AW13)))</f>
        <v>14</v>
      </c>
      <c r="H13" s="262" t="s">
        <v>98</v>
      </c>
      <c r="I13" s="261" t="n">
        <v>150000</v>
      </c>
      <c r="J13" s="261" t="n">
        <v>88000</v>
      </c>
      <c r="K13" s="261" t="n">
        <v>4500</v>
      </c>
      <c r="L13" s="261" t="n">
        <v>7000</v>
      </c>
      <c r="M13" s="261" t="n">
        <v>9000</v>
      </c>
      <c r="N13" s="261" t="n">
        <v>2000</v>
      </c>
      <c r="O13" s="263"/>
      <c r="P13" s="263"/>
      <c r="Q13" s="273" t="n">
        <f aca="false">IF(AND(ISNUMBER(I13),ISNUMBER(S13)),I13*AJ13,IF(OR(I13&lt;&gt;"",S13&lt;&gt;""),"tbd",""))</f>
        <v>150000</v>
      </c>
      <c r="R13" s="264" t="s">
        <v>244</v>
      </c>
      <c r="S13" s="265" t="n">
        <v>1</v>
      </c>
      <c r="T13" s="259" t="s">
        <v>236</v>
      </c>
      <c r="U13" s="260" t="s">
        <v>268</v>
      </c>
      <c r="V13" s="260" t="s">
        <v>246</v>
      </c>
      <c r="W13" s="258" t="s">
        <v>247</v>
      </c>
      <c r="X13" s="260" t="s">
        <v>269</v>
      </c>
      <c r="Y13" s="261" t="n">
        <f aca="false">IF(ISNUMBER(I13),I13/Netto_Faktor,"")</f>
        <v>138760.407030527</v>
      </c>
      <c r="Z13" s="261" t="n">
        <f aca="false">IF(B13="","",IF(COUNT(J13:N13)=0,"",SUM(J13:N13)))</f>
        <v>110500</v>
      </c>
      <c r="AA13" s="266"/>
      <c r="AB13" s="266"/>
      <c r="AC13" s="266"/>
      <c r="AD13" s="266"/>
      <c r="AE13" s="266"/>
      <c r="AF13" s="266"/>
      <c r="AG13" s="267"/>
      <c r="AH13" s="260" t="str">
        <f aca="false">IF(B13="","",IF(BA13="",IF(R13="WON","✅ belegt &amp; vollständig","✔ vollständig"),LEFT(BA13,LEN(BA13)-3)))</f>
        <v>⛔ Beleg fehlt · ⛔ Vertragsart fehlt · ⛔ Zeitraum fehlt</v>
      </c>
      <c r="AI13" s="265" t="n">
        <v>1</v>
      </c>
      <c r="AJ13" s="268" t="n">
        <f aca="false">IF(ISNUMBER(S13),IFERROR(LOOKUP(IF(S13&lt;=1,S13,S13/100),'⚖️ Wahrscheinlichkeit'!$B$17:$B$21,'⚖️ Wahrscheinlichkeit'!$D$17:$D$21),0),0)</f>
        <v>1</v>
      </c>
      <c r="AK13" s="1" t="n">
        <f aca="false">IF(AND(R13="WON",ISNUMBER(I13)),AL13+(861-ROW())*0.000001,"")</f>
        <v>150000.000848</v>
      </c>
      <c r="AL13" s="1" t="n">
        <f aca="false">IFERROR(I13*1,0)</f>
        <v>150000</v>
      </c>
      <c r="AM13" s="1" t="n">
        <f aca="false">N(AM12)+IF(AND(R13="WON",B13&lt;&gt;""),1,0)</f>
        <v>4</v>
      </c>
      <c r="AN13" s="1" t="n">
        <f aca="false">N(AN12)+IF(AND(OR(R13="offered",R13="to be offered",R13="on hold"),B13&lt;&gt;""),1,0)</f>
        <v>2</v>
      </c>
      <c r="AO13" s="1" t="n">
        <f aca="false">N(AO12)+IF(AND(OR(R13="follow-up",R13="Evaluation",R13="tbd",R13="In evaluation"),B13&lt;&gt;""),1,0)</f>
        <v>0</v>
      </c>
      <c r="AP13" s="1" t="n">
        <f aca="false">IF(B13="",0,IF(COUNTIF('⚖️ Wahrscheinlichkeit'!$J$17:$J$24,R13)&gt;0,1,0))</f>
        <v>1</v>
      </c>
      <c r="AQ13" s="1" t="n">
        <f aca="false">IF(B13="",0,IF(AND(ISNUMBER(S13),COUNTIF('⚖️ Wahrscheinlichkeit'!$B$6:$B$11,S13)&gt;0),1,0))</f>
        <v>1</v>
      </c>
      <c r="AR13" s="1" t="n">
        <f aca="false">IF(B13="",0,IF(AND(COUNT(J13:M13)=4,SUM(J13:M13)&gt;0),1,0))</f>
        <v>1</v>
      </c>
      <c r="AS13" s="1" t="n">
        <f aca="false">IF(B13="",0,IF(AND(AF13&lt;&gt;"",AG13&lt;&gt;""),1,0))</f>
        <v>0</v>
      </c>
      <c r="AT13" s="1" t="n">
        <f aca="false">IF(AND(R13="WON",AS13=1,AR13=1),1,0)</f>
        <v>0</v>
      </c>
      <c r="AU13" s="1" t="n">
        <f aca="false">IF(B13="",0,IF(AD13="Alternative – zählt nicht",0,1))</f>
        <v>1</v>
      </c>
      <c r="AV13" s="1" t="n">
        <f aca="false">IF(B13="",0,IF(COUNTIF($B$6:$B$860,B13)&gt;1,1,0))</f>
        <v>0</v>
      </c>
      <c r="AW13" s="1" t="n">
        <v>14</v>
      </c>
      <c r="AX13" s="269" t="str">
        <f aca="false">IF(AY13=1,DATE(YEAR(O13),MONTH(O13),1),"")</f>
        <v/>
      </c>
      <c r="AY13" s="1" t="n">
        <f aca="false">IF(B13="",0,IF(AND(ISNUMBER(O13),ISNUMBER(P13)),IF(P13&gt;=O13,1,0),0))</f>
        <v>0</v>
      </c>
      <c r="AZ13" s="270" t="n">
        <f aca="false">IF(ISNUMBER(Y13),Y13,0)</f>
        <v>138760.407030527</v>
      </c>
      <c r="BA13" s="1" t="str">
        <f aca="false">IF(B13="","",IF(AND(R13="WON",AS13=0),"⛔ Beleg fehlt · ","")&amp;IF(AND(R13="WON",AR13=0),"⛔ Einstand fehlt · ","")&amp;IF(AND(R13&lt;&gt;"WON",AR13=0),"○ Einstand offen · ","")&amp;IF(AND(R13="WON",AB13=""),"⛔ Vertragsart fehlt · ","")&amp;IF(AND(ISNUMBER(O13),ISNUMBER(P13)),IF(P13&lt;O13,"⚠ Ende vor Start · ",""),"")&amp;IF(AND(R13="WON",AY13=0,NOT(AND(ISNUMBER(O13),ISNUMBER(P13)))),"⛔ Zeitraum fehlt · ","")&amp;IF(AND(R13&lt;&gt;"WON",AY13=0,NOT(AND(ISNUMBER(O13),ISNUMBER(P13)))),"○ Zeitraum offen · ",""))</f>
        <v>⛔ Beleg fehlt · ⛔ Vertragsart fehlt · ⛔ Zeitraum fehlt · </v>
      </c>
      <c r="BB13" s="1" t="str">
        <f aca="false">IF(B13="","",IF(AND(R13="WON",AS13=0),"⛔ Nachweis fehlt",IF(AND(ISNUMBER(O13),ISNUMBER(P13),P13&lt;O13),"⚠ Ende vor Start",IF(AND(R13="WON",AY13=0),"⛔ Zeitraum fehlt",IF(AR13=0,"○ Einstand offen",IF(AY13=0,"○ Zeitraum offen",IF(R13="WON","✅ belegt","✔ erfasst")))))))</f>
        <v>⛔ Nachweis fehlt</v>
      </c>
    </row>
    <row r="14" customFormat="false" ht="38.25" hidden="false" customHeight="true" outlineLevel="0" collapsed="false">
      <c r="A14" s="258" t="n">
        <v>10</v>
      </c>
      <c r="B14" s="259" t="s">
        <v>270</v>
      </c>
      <c r="C14" s="258" t="s">
        <v>72</v>
      </c>
      <c r="D14" s="260" t="s">
        <v>255</v>
      </c>
      <c r="E14" s="260" t="s">
        <v>271</v>
      </c>
      <c r="F14" s="261" t="n">
        <v>250</v>
      </c>
      <c r="G14" s="258" t="n">
        <f aca="false">IF(B14="","",IF(AY14=1,P14-O14+1,IF(AW14="","",AW14)))</f>
        <v>365</v>
      </c>
      <c r="H14" s="262" t="s">
        <v>272</v>
      </c>
      <c r="I14" s="261" t="n">
        <v>96658.69</v>
      </c>
      <c r="J14" s="261" t="n">
        <v>83232</v>
      </c>
      <c r="K14" s="261" t="n">
        <v>3100</v>
      </c>
      <c r="L14" s="261" t="n">
        <v>0</v>
      </c>
      <c r="M14" s="261" t="n">
        <v>870</v>
      </c>
      <c r="N14" s="261" t="n">
        <v>2214</v>
      </c>
      <c r="O14" s="263"/>
      <c r="P14" s="263"/>
      <c r="Q14" s="261" t="n">
        <f aca="false">IF(AND(ISNUMBER(I14),ISNUMBER(S14)),I14*AJ14,IF(OR(I14&lt;&gt;"",S14&lt;&gt;""),"tbd",""))</f>
        <v>96658.69</v>
      </c>
      <c r="R14" s="264" t="s">
        <v>244</v>
      </c>
      <c r="S14" s="265" t="n">
        <v>1</v>
      </c>
      <c r="T14" s="259" t="s">
        <v>220</v>
      </c>
      <c r="U14" s="260" t="s">
        <v>273</v>
      </c>
      <c r="V14" s="260" t="s">
        <v>274</v>
      </c>
      <c r="W14" s="258" t="s">
        <v>247</v>
      </c>
      <c r="X14" s="260" t="s">
        <v>275</v>
      </c>
      <c r="Y14" s="261" t="n">
        <f aca="false">IF(ISNUMBER(I14),I14/Netto_Faktor,"")</f>
        <v>89415.9944495837</v>
      </c>
      <c r="Z14" s="261" t="n">
        <f aca="false">IF(B14="","",IF(COUNT(J14:N14)=0,"",SUM(J14:N14)))</f>
        <v>89416</v>
      </c>
      <c r="AA14" s="266"/>
      <c r="AB14" s="266"/>
      <c r="AC14" s="266"/>
      <c r="AD14" s="266"/>
      <c r="AE14" s="266"/>
      <c r="AF14" s="266"/>
      <c r="AG14" s="267"/>
      <c r="AH14" s="260" t="str">
        <f aca="false">IF(B14="","",IF(BA14="",IF(R14="WON","✅ belegt &amp; vollständig","✔ vollständig"),LEFT(BA14,LEN(BA14)-3)))</f>
        <v>⛔ Beleg fehlt · ⛔ Vertragsart fehlt · ⛔ Zeitraum fehlt</v>
      </c>
      <c r="AI14" s="265" t="n">
        <v>1</v>
      </c>
      <c r="AJ14" s="268" t="n">
        <f aca="false">IF(ISNUMBER(S14),IFERROR(LOOKUP(IF(S14&lt;=1,S14,S14/100),'⚖️ Wahrscheinlichkeit'!$B$17:$B$21,'⚖️ Wahrscheinlichkeit'!$D$17:$D$21),0),0)</f>
        <v>1</v>
      </c>
      <c r="AK14" s="1" t="n">
        <f aca="false">IF(AND(R14="WON",ISNUMBER(I14)),AL14+(861-ROW())*0.000001,"")</f>
        <v>96658.690847</v>
      </c>
      <c r="AL14" s="1" t="n">
        <f aca="false">IFERROR(I14*1,0)</f>
        <v>96658.69</v>
      </c>
      <c r="AM14" s="1" t="n">
        <f aca="false">N(AM13)+IF(AND(R14="WON",B14&lt;&gt;""),1,0)</f>
        <v>5</v>
      </c>
      <c r="AN14" s="1" t="n">
        <f aca="false">N(AN13)+IF(AND(OR(R14="offered",R14="to be offered",R14="on hold"),B14&lt;&gt;""),1,0)</f>
        <v>2</v>
      </c>
      <c r="AO14" s="1" t="n">
        <f aca="false">N(AO13)+IF(AND(OR(R14="follow-up",R14="Evaluation",R14="tbd",R14="In evaluation"),B14&lt;&gt;""),1,0)</f>
        <v>0</v>
      </c>
      <c r="AP14" s="1" t="n">
        <f aca="false">IF(B14="",0,IF(COUNTIF('⚖️ Wahrscheinlichkeit'!$J$17:$J$24,R14)&gt;0,1,0))</f>
        <v>1</v>
      </c>
      <c r="AQ14" s="1" t="n">
        <f aca="false">IF(B14="",0,IF(AND(ISNUMBER(S14),COUNTIF('⚖️ Wahrscheinlichkeit'!$B$6:$B$11,S14)&gt;0),1,0))</f>
        <v>1</v>
      </c>
      <c r="AR14" s="1" t="n">
        <f aca="false">IF(B14="",0,IF(AND(COUNT(J14:M14)=4,SUM(J14:M14)&gt;0),1,0))</f>
        <v>1</v>
      </c>
      <c r="AS14" s="1" t="n">
        <f aca="false">IF(B14="",0,IF(AND(AF14&lt;&gt;"",AG14&lt;&gt;""),1,0))</f>
        <v>0</v>
      </c>
      <c r="AT14" s="1" t="n">
        <f aca="false">IF(AND(R14="WON",AS14=1,AR14=1),1,0)</f>
        <v>0</v>
      </c>
      <c r="AU14" s="1" t="n">
        <f aca="false">IF(B14="",0,IF(AD14="Alternative – zählt nicht",0,1))</f>
        <v>1</v>
      </c>
      <c r="AV14" s="1" t="n">
        <f aca="false">IF(B14="",0,IF(COUNTIF($B$6:$B$860,B14)&gt;1,1,0))</f>
        <v>0</v>
      </c>
      <c r="AW14" s="1" t="n">
        <v>365</v>
      </c>
      <c r="AX14" s="269" t="str">
        <f aca="false">IF(AY14=1,DATE(YEAR(O14),MONTH(O14),1),"")</f>
        <v/>
      </c>
      <c r="AY14" s="1" t="n">
        <f aca="false">IF(B14="",0,IF(AND(ISNUMBER(O14),ISNUMBER(P14)),IF(P14&gt;=O14,1,0),0))</f>
        <v>0</v>
      </c>
      <c r="AZ14" s="270" t="n">
        <f aca="false">IF(ISNUMBER(Y14),Y14,0)</f>
        <v>89415.9944495837</v>
      </c>
      <c r="BA14" s="1" t="str">
        <f aca="false">IF(B14="","",IF(AND(R14="WON",AS14=0),"⛔ Beleg fehlt · ","")&amp;IF(AND(R14="WON",AR14=0),"⛔ Einstand fehlt · ","")&amp;IF(AND(R14&lt;&gt;"WON",AR14=0),"○ Einstand offen · ","")&amp;IF(AND(R14="WON",AB14=""),"⛔ Vertragsart fehlt · ","")&amp;IF(AND(ISNUMBER(O14),ISNUMBER(P14)),IF(P14&lt;O14,"⚠ Ende vor Start · ",""),"")&amp;IF(AND(R14="WON",AY14=0,NOT(AND(ISNUMBER(O14),ISNUMBER(P14)))),"⛔ Zeitraum fehlt · ","")&amp;IF(AND(R14&lt;&gt;"WON",AY14=0,NOT(AND(ISNUMBER(O14),ISNUMBER(P14)))),"○ Zeitraum offen · ",""))</f>
        <v>⛔ Beleg fehlt · ⛔ Vertragsart fehlt · ⛔ Zeitraum fehlt · </v>
      </c>
      <c r="BB14" s="1" t="str">
        <f aca="false">IF(B14="","",IF(AND(R14="WON",AS14=0),"⛔ Nachweis fehlt",IF(AND(ISNUMBER(O14),ISNUMBER(P14),P14&lt;O14),"⚠ Ende vor Start",IF(AND(R14="WON",AY14=0),"⛔ Zeitraum fehlt",IF(AR14=0,"○ Einstand offen",IF(AY14=0,"○ Zeitraum offen",IF(R14="WON","✅ belegt","✔ erfasst")))))))</f>
        <v>⛔ Nachweis fehlt</v>
      </c>
    </row>
    <row r="15" customFormat="false" ht="38.25" hidden="false" customHeight="true" outlineLevel="0" collapsed="false">
      <c r="A15" s="258" t="n">
        <v>21</v>
      </c>
      <c r="B15" s="259" t="s">
        <v>276</v>
      </c>
      <c r="C15" s="258" t="s">
        <v>73</v>
      </c>
      <c r="D15" s="260" t="s">
        <v>225</v>
      </c>
      <c r="E15" s="260" t="s">
        <v>277</v>
      </c>
      <c r="F15" s="261" t="n">
        <v>150</v>
      </c>
      <c r="G15" s="258" t="n">
        <f aca="false">IF(B15="","",IF(AY15=1,P15-O15+1,IF(AW15="","",AW15)))</f>
        <v>1</v>
      </c>
      <c r="H15" s="262" t="s">
        <v>97</v>
      </c>
      <c r="I15" s="261" t="s">
        <v>278</v>
      </c>
      <c r="J15" s="261" t="s">
        <v>278</v>
      </c>
      <c r="K15" s="261" t="s">
        <v>278</v>
      </c>
      <c r="L15" s="261" t="s">
        <v>278</v>
      </c>
      <c r="M15" s="261" t="s">
        <v>278</v>
      </c>
      <c r="N15" s="261" t="s">
        <v>278</v>
      </c>
      <c r="O15" s="263"/>
      <c r="P15" s="263"/>
      <c r="Q15" s="261" t="str">
        <f aca="false">IF(AND(ISNUMBER(I15),ISNUMBER(S15)),I15*AJ15,IF(OR(I15&lt;&gt;"",S15&lt;&gt;""),"tbd",""))</f>
        <v>tbd</v>
      </c>
      <c r="R15" s="264" t="s">
        <v>244</v>
      </c>
      <c r="S15" s="265" t="n">
        <v>1</v>
      </c>
      <c r="T15" s="259" t="s">
        <v>220</v>
      </c>
      <c r="U15" s="260" t="s">
        <v>279</v>
      </c>
      <c r="V15" s="260" t="s">
        <v>246</v>
      </c>
      <c r="W15" s="258" t="s">
        <v>247</v>
      </c>
      <c r="X15" s="260" t="s">
        <v>280</v>
      </c>
      <c r="Y15" s="261" t="str">
        <f aca="false">IF(ISNUMBER(I15),I15/Netto_Faktor,"")</f>
        <v/>
      </c>
      <c r="Z15" s="261" t="str">
        <f aca="false">IF(B15="","",IF(COUNT(J15:N15)=0,"",SUM(J15:N15)))</f>
        <v/>
      </c>
      <c r="AA15" s="266"/>
      <c r="AB15" s="266"/>
      <c r="AC15" s="266"/>
      <c r="AD15" s="266"/>
      <c r="AE15" s="266"/>
      <c r="AF15" s="266"/>
      <c r="AG15" s="267"/>
      <c r="AH15" s="260" t="str">
        <f aca="false">IF(B15="","",IF(BA15="",IF(R15="WON","✅ belegt &amp; vollständig","✔ vollständig"),LEFT(BA15,LEN(BA15)-3)))</f>
        <v>⛔ Beleg fehlt · ⛔ Einstand fehlt · ⛔ Vertragsart fehlt · ⛔ Zeitraum fehlt</v>
      </c>
      <c r="AI15" s="265" t="n">
        <v>1</v>
      </c>
      <c r="AJ15" s="268" t="n">
        <f aca="false">IF(ISNUMBER(S15),IFERROR(LOOKUP(IF(S15&lt;=1,S15,S15/100),'⚖️ Wahrscheinlichkeit'!$B$17:$B$21,'⚖️ Wahrscheinlichkeit'!$D$17:$D$21),0),0)</f>
        <v>1</v>
      </c>
      <c r="AK15" s="1" t="str">
        <f aca="false">IF(AND(R15="WON",ISNUMBER(I15)),AL15+(861-ROW())*0.000001,"")</f>
        <v/>
      </c>
      <c r="AL15" s="1" t="n">
        <f aca="false">IFERROR(I15*1,0)</f>
        <v>0</v>
      </c>
      <c r="AM15" s="1" t="n">
        <f aca="false">N(AM14)+IF(AND(R15="WON",B15&lt;&gt;""),1,0)</f>
        <v>6</v>
      </c>
      <c r="AN15" s="1" t="n">
        <f aca="false">N(AN14)+IF(AND(OR(R15="offered",R15="to be offered",R15="on hold"),B15&lt;&gt;""),1,0)</f>
        <v>2</v>
      </c>
      <c r="AO15" s="1" t="n">
        <f aca="false">N(AO14)+IF(AND(OR(R15="follow-up",R15="Evaluation",R15="tbd",R15="In evaluation"),B15&lt;&gt;""),1,0)</f>
        <v>0</v>
      </c>
      <c r="AP15" s="1" t="n">
        <f aca="false">IF(B15="",0,IF(COUNTIF('⚖️ Wahrscheinlichkeit'!$J$17:$J$24,R15)&gt;0,1,0))</f>
        <v>1</v>
      </c>
      <c r="AQ15" s="1" t="n">
        <f aca="false">IF(B15="",0,IF(AND(ISNUMBER(S15),COUNTIF('⚖️ Wahrscheinlichkeit'!$B$6:$B$11,S15)&gt;0),1,0))</f>
        <v>1</v>
      </c>
      <c r="AR15" s="1" t="n">
        <f aca="false">IF(B15="",0,IF(AND(COUNT(J15:M15)=4,SUM(J15:M15)&gt;0),1,0))</f>
        <v>0</v>
      </c>
      <c r="AS15" s="1" t="n">
        <f aca="false">IF(B15="",0,IF(AND(AF15&lt;&gt;"",AG15&lt;&gt;""),1,0))</f>
        <v>0</v>
      </c>
      <c r="AT15" s="1" t="n">
        <f aca="false">IF(AND(R15="WON",AS15=1,AR15=1),1,0)</f>
        <v>0</v>
      </c>
      <c r="AU15" s="1" t="n">
        <f aca="false">IF(B15="",0,IF(AD15="Alternative – zählt nicht",0,1))</f>
        <v>1</v>
      </c>
      <c r="AV15" s="1" t="n">
        <f aca="false">IF(B15="",0,IF(COUNTIF($B$6:$B$860,B15)&gt;1,1,0))</f>
        <v>0</v>
      </c>
      <c r="AW15" s="1" t="n">
        <v>1</v>
      </c>
      <c r="AX15" s="269" t="str">
        <f aca="false">IF(AY15=1,DATE(YEAR(O15),MONTH(O15),1),"")</f>
        <v/>
      </c>
      <c r="AY15" s="1" t="n">
        <f aca="false">IF(B15="",0,IF(AND(ISNUMBER(O15),ISNUMBER(P15)),IF(P15&gt;=O15,1,0),0))</f>
        <v>0</v>
      </c>
      <c r="AZ15" s="1" t="n">
        <f aca="false">IF(ISNUMBER(Y15),Y15,0)</f>
        <v>0</v>
      </c>
      <c r="BA15" s="1" t="str">
        <f aca="false">IF(B15="","",IF(AND(R15="WON",AS15=0),"⛔ Beleg fehlt · ","")&amp;IF(AND(R15="WON",AR15=0),"⛔ Einstand fehlt · ","")&amp;IF(AND(R15&lt;&gt;"WON",AR15=0),"○ Einstand offen · ","")&amp;IF(AND(R15="WON",AB15=""),"⛔ Vertragsart fehlt · ","")&amp;IF(AND(ISNUMBER(O15),ISNUMBER(P15)),IF(P15&lt;O15,"⚠ Ende vor Start · ",""),"")&amp;IF(AND(R15="WON",AY15=0,NOT(AND(ISNUMBER(O15),ISNUMBER(P15)))),"⛔ Zeitraum fehlt · ","")&amp;IF(AND(R15&lt;&gt;"WON",AY15=0,NOT(AND(ISNUMBER(O15),ISNUMBER(P15)))),"○ Zeitraum offen · ",""))</f>
        <v>⛔ Beleg fehlt · ⛔ Einstand fehlt · ⛔ Vertragsart fehlt · ⛔ Zeitraum fehlt · </v>
      </c>
      <c r="BB15" s="1" t="str">
        <f aca="false">IF(B15="","",IF(AND(R15="WON",AS15=0),"⛔ Nachweis fehlt",IF(AND(ISNUMBER(O15),ISNUMBER(P15),P15&lt;O15),"⚠ Ende vor Start",IF(AND(R15="WON",AY15=0),"⛔ Zeitraum fehlt",IF(AR15=0,"○ Einstand offen",IF(AY15=0,"○ Zeitraum offen",IF(R15="WON","✅ belegt","✔ erfasst")))))))</f>
        <v>⛔ Nachweis fehlt</v>
      </c>
    </row>
    <row r="16" customFormat="false" ht="51" hidden="false" customHeight="true" outlineLevel="0" collapsed="false">
      <c r="A16" s="258" t="n">
        <v>33</v>
      </c>
      <c r="B16" s="259" t="s">
        <v>249</v>
      </c>
      <c r="C16" s="258" t="s">
        <v>56</v>
      </c>
      <c r="D16" s="260" t="s">
        <v>281</v>
      </c>
      <c r="E16" s="260" t="s">
        <v>282</v>
      </c>
      <c r="F16" s="274" t="n">
        <v>300</v>
      </c>
      <c r="G16" s="258" t="n">
        <f aca="false">IF(B16="","",IF(AY16=1,P16-O16+1,IF(AW16="","",AW16)))</f>
        <v>365</v>
      </c>
      <c r="H16" s="262" t="s">
        <v>100</v>
      </c>
      <c r="I16" s="261" t="n">
        <v>193598.12</v>
      </c>
      <c r="J16" s="261" t="n">
        <v>173039.2</v>
      </c>
      <c r="K16" s="261" t="n">
        <v>2950</v>
      </c>
      <c r="L16" s="261" t="n">
        <v>0</v>
      </c>
      <c r="M16" s="261" t="n">
        <v>1232.5</v>
      </c>
      <c r="N16" s="261" t="n">
        <f aca="false">370+1500</f>
        <v>1870</v>
      </c>
      <c r="O16" s="263"/>
      <c r="P16" s="263"/>
      <c r="Q16" s="261" t="n">
        <f aca="false">IF(AND(ISNUMBER(I16),ISNUMBER(S16)),I16*AJ16,IF(OR(I16&lt;&gt;"",S16&lt;&gt;""),"tbd",""))</f>
        <v>96799.06</v>
      </c>
      <c r="R16" s="264" t="s">
        <v>219</v>
      </c>
      <c r="S16" s="265" t="n">
        <v>0.6</v>
      </c>
      <c r="T16" s="259" t="s">
        <v>220</v>
      </c>
      <c r="U16" s="260" t="s">
        <v>283</v>
      </c>
      <c r="V16" s="260" t="s">
        <v>284</v>
      </c>
      <c r="W16" s="258" t="s">
        <v>100</v>
      </c>
      <c r="X16" s="260" t="s">
        <v>285</v>
      </c>
      <c r="Y16" s="261" t="n">
        <f aca="false">IF(ISNUMBER(I16),I16/Netto_Faktor,"")</f>
        <v>179091.692876966</v>
      </c>
      <c r="Z16" s="261" t="n">
        <f aca="false">IF(B16="","",IF(COUNT(J16:N16)=0,"",SUM(J16:N16)))</f>
        <v>179091.7</v>
      </c>
      <c r="AA16" s="266"/>
      <c r="AB16" s="266"/>
      <c r="AC16" s="266"/>
      <c r="AD16" s="266"/>
      <c r="AE16" s="266"/>
      <c r="AF16" s="266"/>
      <c r="AG16" s="267"/>
      <c r="AH16" s="259" t="str">
        <f aca="false">IF(B16="","",IF(BA16="",IF(R16="WON","✅ belegt &amp; vollständig","✔ vollständig"),LEFT(BA16,LEN(BA16)-3)))</f>
        <v>○ Zeitraum offen</v>
      </c>
      <c r="AI16" s="265" t="n">
        <v>0.8</v>
      </c>
      <c r="AJ16" s="268" t="n">
        <f aca="false">IF(ISNUMBER(S16),IFERROR(LOOKUP(IF(S16&lt;=1,S16,S16/100),'⚖️ Wahrscheinlichkeit'!$B$17:$B$21,'⚖️ Wahrscheinlichkeit'!$D$17:$D$21),0),0)</f>
        <v>0.5</v>
      </c>
      <c r="AK16" s="1" t="str">
        <f aca="false">IF(AND(R16="WON",ISNUMBER(I16)),AL16+(861-ROW())*0.000001,"")</f>
        <v/>
      </c>
      <c r="AL16" s="1" t="n">
        <f aca="false">IFERROR(I16*1,0)</f>
        <v>193598.12</v>
      </c>
      <c r="AM16" s="1" t="n">
        <f aca="false">N(AM15)+IF(AND(R16="WON",B16&lt;&gt;""),1,0)</f>
        <v>6</v>
      </c>
      <c r="AN16" s="1" t="n">
        <f aca="false">N(AN15)+IF(AND(OR(R16="offered",R16="to be offered",R16="on hold"),B16&lt;&gt;""),1,0)</f>
        <v>3</v>
      </c>
      <c r="AO16" s="1" t="n">
        <f aca="false">N(AO15)+IF(AND(OR(R16="follow-up",R16="Evaluation",R16="tbd",R16="In evaluation"),B16&lt;&gt;""),1,0)</f>
        <v>0</v>
      </c>
      <c r="AP16" s="1" t="n">
        <f aca="false">IF(B16="",0,IF(COUNTIF('⚖️ Wahrscheinlichkeit'!$J$17:$J$24,R16)&gt;0,1,0))</f>
        <v>1</v>
      </c>
      <c r="AQ16" s="1" t="n">
        <f aca="false">IF(B16="",0,IF(AND(ISNUMBER(S16),COUNTIF('⚖️ Wahrscheinlichkeit'!$B$6:$B$11,S16)&gt;0),1,0))</f>
        <v>1</v>
      </c>
      <c r="AR16" s="1" t="n">
        <f aca="false">IF(B16="",0,IF(AND(COUNT(J16:M16)=4,SUM(J16:M16)&gt;0),1,0))</f>
        <v>1</v>
      </c>
      <c r="AS16" s="1" t="n">
        <f aca="false">IF(B16="",0,IF(AND(AF16&lt;&gt;"",AG16&lt;&gt;""),1,0))</f>
        <v>0</v>
      </c>
      <c r="AT16" s="1" t="n">
        <f aca="false">IF(AND(R16="WON",AS16=1,AR16=1),1,0)</f>
        <v>0</v>
      </c>
      <c r="AU16" s="1" t="n">
        <f aca="false">IF(B16="",0,IF(AD16="Alternative – zählt nicht",0,1))</f>
        <v>1</v>
      </c>
      <c r="AV16" s="1" t="n">
        <f aca="false">IF(B16="",0,IF(COUNTIF($B$6:$B$860,B16)&gt;1,1,0))</f>
        <v>1</v>
      </c>
      <c r="AW16" s="1" t="n">
        <v>365</v>
      </c>
      <c r="AX16" s="269" t="str">
        <f aca="false">IF(AY16=1,DATE(YEAR(O16),MONTH(O16),1),"")</f>
        <v/>
      </c>
      <c r="AY16" s="1" t="n">
        <f aca="false">IF(B16="",0,IF(AND(ISNUMBER(O16),ISNUMBER(P16)),IF(P16&gt;=O16,1,0),0))</f>
        <v>0</v>
      </c>
      <c r="AZ16" s="270" t="n">
        <f aca="false">IF(ISNUMBER(Y16),Y16,0)</f>
        <v>179091.692876966</v>
      </c>
      <c r="BA16" s="1" t="str">
        <f aca="false">IF(B16="","",IF(AND(R16="WON",AS16=0),"⛔ Beleg fehlt · ","")&amp;IF(AND(R16="WON",AR16=0),"⛔ Einstand fehlt · ","")&amp;IF(AND(R16&lt;&gt;"WON",AR16=0),"○ Einstand offen · ","")&amp;IF(AND(R16="WON",AB16=""),"⛔ Vertragsart fehlt · ","")&amp;IF(AND(ISNUMBER(O16),ISNUMBER(P16)),IF(P16&lt;O16,"⚠ Ende vor Start · ",""),"")&amp;IF(AND(R16="WON",AY16=0,NOT(AND(ISNUMBER(O16),ISNUMBER(P16)))),"⛔ Zeitraum fehlt · ","")&amp;IF(AND(R16&lt;&gt;"WON",AY16=0,NOT(AND(ISNUMBER(O16),ISNUMBER(P16)))),"○ Zeitraum offen · ",""))</f>
        <v>○ Zeitraum offen · </v>
      </c>
      <c r="BB16" s="1" t="str">
        <f aca="false">IF(B16="","",IF(AND(R16="WON",AS16=0),"⛔ Nachweis fehlt",IF(AND(ISNUMBER(O16),ISNUMBER(P16),P16&lt;O16),"⚠ Ende vor Start",IF(AND(R16="WON",AY16=0),"⛔ Zeitraum fehlt",IF(AR16=0,"○ Einstand offen",IF(AY16=0,"○ Zeitraum offen",IF(R16="WON","✅ belegt","✔ erfasst")))))))</f>
        <v>○ Zeitraum offen</v>
      </c>
    </row>
    <row r="17" customFormat="false" ht="51" hidden="false" customHeight="true" outlineLevel="0" collapsed="false">
      <c r="A17" s="258" t="n">
        <v>33</v>
      </c>
      <c r="B17" s="259" t="s">
        <v>249</v>
      </c>
      <c r="C17" s="258" t="s">
        <v>56</v>
      </c>
      <c r="D17" s="260" t="s">
        <v>281</v>
      </c>
      <c r="E17" s="260" t="s">
        <v>286</v>
      </c>
      <c r="F17" s="274" t="s">
        <v>287</v>
      </c>
      <c r="G17" s="258" t="n">
        <f aca="false">IF(B17="","",IF(AY17=1,P17-O17+1,IF(AW17="","",AW17)))</f>
        <v>365</v>
      </c>
      <c r="H17" s="262" t="s">
        <v>100</v>
      </c>
      <c r="I17" s="261" t="n">
        <v>74902.11</v>
      </c>
      <c r="J17" s="261" t="n">
        <v>56475.04</v>
      </c>
      <c r="K17" s="261" t="n">
        <v>1800</v>
      </c>
      <c r="L17" s="261" t="n">
        <v>0</v>
      </c>
      <c r="M17" s="261" t="n">
        <v>0</v>
      </c>
      <c r="N17" s="261" t="n">
        <v>5691.99</v>
      </c>
      <c r="O17" s="263"/>
      <c r="P17" s="263"/>
      <c r="Q17" s="261" t="n">
        <f aca="false">IF(AND(ISNUMBER(I17),ISNUMBER(S17)),I17*AJ17,IF(OR(I17&lt;&gt;"",S17&lt;&gt;""),"tbd",""))</f>
        <v>37451.055</v>
      </c>
      <c r="R17" s="264" t="s">
        <v>219</v>
      </c>
      <c r="S17" s="265" t="n">
        <v>0.6</v>
      </c>
      <c r="T17" s="259" t="s">
        <v>220</v>
      </c>
      <c r="U17" s="260" t="s">
        <v>283</v>
      </c>
      <c r="V17" s="260" t="s">
        <v>284</v>
      </c>
      <c r="W17" s="258" t="s">
        <v>100</v>
      </c>
      <c r="X17" s="260" t="s">
        <v>285</v>
      </c>
      <c r="Y17" s="261" t="n">
        <f aca="false">IF(ISNUMBER(I17),I17/Netto_Faktor,"")</f>
        <v>69289.6484736355</v>
      </c>
      <c r="Z17" s="261" t="n">
        <f aca="false">IF(B17="","",IF(COUNT(J17:N17)=0,"",SUM(J17:N17)))</f>
        <v>63967.03</v>
      </c>
      <c r="AA17" s="266"/>
      <c r="AB17" s="266"/>
      <c r="AC17" s="266"/>
      <c r="AD17" s="266"/>
      <c r="AE17" s="266"/>
      <c r="AF17" s="266"/>
      <c r="AG17" s="267"/>
      <c r="AH17" s="259" t="str">
        <f aca="false">IF(B17="","",IF(BA17="",IF(R17="WON","✅ belegt &amp; vollständig","✔ vollständig"),LEFT(BA17,LEN(BA17)-3)))</f>
        <v>○ Zeitraum offen</v>
      </c>
      <c r="AI17" s="265" t="n">
        <v>0.8</v>
      </c>
      <c r="AJ17" s="268" t="n">
        <f aca="false">IF(ISNUMBER(S17),IFERROR(LOOKUP(IF(S17&lt;=1,S17,S17/100),'⚖️ Wahrscheinlichkeit'!$B$17:$B$21,'⚖️ Wahrscheinlichkeit'!$D$17:$D$21),0),0)</f>
        <v>0.5</v>
      </c>
      <c r="AK17" s="1" t="str">
        <f aca="false">IF(AND(R17="WON",ISNUMBER(I17)),AL17+(861-ROW())*0.000001,"")</f>
        <v/>
      </c>
      <c r="AL17" s="1" t="n">
        <f aca="false">IFERROR(I17*1,0)</f>
        <v>74902.11</v>
      </c>
      <c r="AM17" s="1" t="n">
        <f aca="false">N(AM16)+IF(AND(R17="WON",B17&lt;&gt;""),1,0)</f>
        <v>6</v>
      </c>
      <c r="AN17" s="1" t="n">
        <f aca="false">N(AN16)+IF(AND(OR(R17="offered",R17="to be offered",R17="on hold"),B17&lt;&gt;""),1,0)</f>
        <v>4</v>
      </c>
      <c r="AO17" s="1" t="n">
        <f aca="false">N(AO16)+IF(AND(OR(R17="follow-up",R17="Evaluation",R17="tbd",R17="In evaluation"),B17&lt;&gt;""),1,0)</f>
        <v>0</v>
      </c>
      <c r="AP17" s="1" t="n">
        <f aca="false">IF(B17="",0,IF(COUNTIF('⚖️ Wahrscheinlichkeit'!$J$17:$J$24,R17)&gt;0,1,0))</f>
        <v>1</v>
      </c>
      <c r="AQ17" s="1" t="n">
        <f aca="false">IF(B17="",0,IF(AND(ISNUMBER(S17),COUNTIF('⚖️ Wahrscheinlichkeit'!$B$6:$B$11,S17)&gt;0),1,0))</f>
        <v>1</v>
      </c>
      <c r="AR17" s="1" t="n">
        <f aca="false">IF(B17="",0,IF(AND(COUNT(J17:M17)=4,SUM(J17:M17)&gt;0),1,0))</f>
        <v>1</v>
      </c>
      <c r="AS17" s="1" t="n">
        <f aca="false">IF(B17="",0,IF(AND(AF17&lt;&gt;"",AG17&lt;&gt;""),1,0))</f>
        <v>0</v>
      </c>
      <c r="AT17" s="1" t="n">
        <f aca="false">IF(AND(R17="WON",AS17=1,AR17=1),1,0)</f>
        <v>0</v>
      </c>
      <c r="AU17" s="1" t="n">
        <f aca="false">IF(B17="",0,IF(AD17="Alternative – zählt nicht",0,1))</f>
        <v>1</v>
      </c>
      <c r="AV17" s="1" t="n">
        <f aca="false">IF(B17="",0,IF(COUNTIF($B$6:$B$860,B17)&gt;1,1,0))</f>
        <v>1</v>
      </c>
      <c r="AW17" s="1" t="n">
        <v>365</v>
      </c>
      <c r="AX17" s="269" t="str">
        <f aca="false">IF(AY17=1,DATE(YEAR(O17),MONTH(O17),1),"")</f>
        <v/>
      </c>
      <c r="AY17" s="1" t="n">
        <f aca="false">IF(B17="",0,IF(AND(ISNUMBER(O17),ISNUMBER(P17)),IF(P17&gt;=O17,1,0),0))</f>
        <v>0</v>
      </c>
      <c r="AZ17" s="270" t="n">
        <f aca="false">IF(ISNUMBER(Y17),Y17,0)</f>
        <v>69289.6484736355</v>
      </c>
      <c r="BA17" s="1" t="str">
        <f aca="false">IF(B17="","",IF(AND(R17="WON",AS17=0),"⛔ Beleg fehlt · ","")&amp;IF(AND(R17="WON",AR17=0),"⛔ Einstand fehlt · ","")&amp;IF(AND(R17&lt;&gt;"WON",AR17=0),"○ Einstand offen · ","")&amp;IF(AND(R17="WON",AB17=""),"⛔ Vertragsart fehlt · ","")&amp;IF(AND(ISNUMBER(O17),ISNUMBER(P17)),IF(P17&lt;O17,"⚠ Ende vor Start · ",""),"")&amp;IF(AND(R17="WON",AY17=0,NOT(AND(ISNUMBER(O17),ISNUMBER(P17)))),"⛔ Zeitraum fehlt · ","")&amp;IF(AND(R17&lt;&gt;"WON",AY17=0,NOT(AND(ISNUMBER(O17),ISNUMBER(P17)))),"○ Zeitraum offen · ",""))</f>
        <v>○ Zeitraum offen · </v>
      </c>
      <c r="BB17" s="1" t="str">
        <f aca="false">IF(B17="","",IF(AND(R17="WON",AS17=0),"⛔ Nachweis fehlt",IF(AND(ISNUMBER(O17),ISNUMBER(P17),P17&lt;O17),"⚠ Ende vor Start",IF(AND(R17="WON",AY17=0),"⛔ Zeitraum fehlt",IF(AR17=0,"○ Einstand offen",IF(AY17=0,"○ Zeitraum offen",IF(R17="WON","✅ belegt","✔ erfasst")))))))</f>
        <v>○ Zeitraum offen</v>
      </c>
    </row>
    <row r="18" customFormat="false" ht="38.25" hidden="false" customHeight="true" outlineLevel="0" collapsed="false">
      <c r="A18" s="258" t="n">
        <v>13</v>
      </c>
      <c r="B18" s="259" t="s">
        <v>288</v>
      </c>
      <c r="C18" s="258" t="s">
        <v>82</v>
      </c>
      <c r="D18" s="260" t="s">
        <v>289</v>
      </c>
      <c r="E18" s="260" t="s">
        <v>218</v>
      </c>
      <c r="F18" s="261" t="n">
        <v>1000</v>
      </c>
      <c r="G18" s="258" t="n">
        <f aca="false">IF(B18="","",IF(AY18=1,P18-O18+1,IF(AW18="","",AW18)))</f>
        <v>365</v>
      </c>
      <c r="H18" s="262" t="s">
        <v>98</v>
      </c>
      <c r="I18" s="261" t="n">
        <v>365003</v>
      </c>
      <c r="J18" s="261" t="n">
        <v>326376</v>
      </c>
      <c r="K18" s="261" t="n">
        <v>6900</v>
      </c>
      <c r="L18" s="261" t="n">
        <v>0</v>
      </c>
      <c r="M18" s="261" t="n">
        <v>1160</v>
      </c>
      <c r="N18" s="261" t="n">
        <v>480</v>
      </c>
      <c r="O18" s="263"/>
      <c r="P18" s="263"/>
      <c r="Q18" s="261" t="n">
        <f aca="false">IF(AND(ISNUMBER(I18),ISNUMBER(S18)),I18*AJ18,IF(OR(I18&lt;&gt;"",S18&lt;&gt;""),"tbd",""))</f>
        <v>0</v>
      </c>
      <c r="R18" s="264" t="s">
        <v>219</v>
      </c>
      <c r="S18" s="265" t="n">
        <v>0.3</v>
      </c>
      <c r="T18" s="259" t="s">
        <v>236</v>
      </c>
      <c r="U18" s="260" t="s">
        <v>283</v>
      </c>
      <c r="V18" s="260" t="s">
        <v>290</v>
      </c>
      <c r="W18" s="258" t="s">
        <v>97</v>
      </c>
      <c r="X18" s="260" t="s">
        <v>291</v>
      </c>
      <c r="Y18" s="261" t="n">
        <f aca="false">IF(ISNUMBER(I18),I18/Netto_Faktor,"")</f>
        <v>337653.098982424</v>
      </c>
      <c r="Z18" s="261" t="n">
        <f aca="false">IF(B18="","",IF(COUNT(J18:N18)=0,"",SUM(J18:N18)))</f>
        <v>334916</v>
      </c>
      <c r="AA18" s="266"/>
      <c r="AB18" s="266"/>
      <c r="AC18" s="266"/>
      <c r="AD18" s="266"/>
      <c r="AE18" s="266"/>
      <c r="AF18" s="266"/>
      <c r="AG18" s="267"/>
      <c r="AH18" s="259" t="str">
        <f aca="false">IF(B18="","",IF(BA18="",IF(R18="WON","✅ belegt &amp; vollständig","✔ vollständig"),LEFT(BA18,LEN(BA18)-3)))</f>
        <v>○ Zeitraum offen</v>
      </c>
      <c r="AI18" s="265" t="n">
        <v>0.5</v>
      </c>
      <c r="AJ18" s="268" t="n">
        <f aca="false">IF(ISNUMBER(S18),IFERROR(LOOKUP(IF(S18&lt;=1,S18,S18/100),'⚖️ Wahrscheinlichkeit'!$B$17:$B$21,'⚖️ Wahrscheinlichkeit'!$D$17:$D$21),0),0)</f>
        <v>0</v>
      </c>
      <c r="AK18" s="1" t="str">
        <f aca="false">IF(AND(R18="WON",ISNUMBER(I18)),AL18+(861-ROW())*0.000001,"")</f>
        <v/>
      </c>
      <c r="AL18" s="1" t="n">
        <f aca="false">IFERROR(I18*1,0)</f>
        <v>365003</v>
      </c>
      <c r="AM18" s="1" t="n">
        <f aca="false">N(AM17)+IF(AND(R18="WON",B18&lt;&gt;""),1,0)</f>
        <v>6</v>
      </c>
      <c r="AN18" s="1" t="n">
        <f aca="false">N(AN17)+IF(AND(OR(R18="offered",R18="to be offered",R18="on hold"),B18&lt;&gt;""),1,0)</f>
        <v>5</v>
      </c>
      <c r="AO18" s="1" t="n">
        <f aca="false">N(AO17)+IF(AND(OR(R18="follow-up",R18="Evaluation",R18="tbd",R18="In evaluation"),B18&lt;&gt;""),1,0)</f>
        <v>0</v>
      </c>
      <c r="AP18" s="1" t="n">
        <f aca="false">IF(B18="",0,IF(COUNTIF('⚖️ Wahrscheinlichkeit'!$J$17:$J$24,R18)&gt;0,1,0))</f>
        <v>1</v>
      </c>
      <c r="AQ18" s="1" t="n">
        <f aca="false">IF(B18="",0,IF(AND(ISNUMBER(S18),COUNTIF('⚖️ Wahrscheinlichkeit'!$B$6:$B$11,S18)&gt;0),1,0))</f>
        <v>1</v>
      </c>
      <c r="AR18" s="1" t="n">
        <f aca="false">IF(B18="",0,IF(AND(COUNT(J18:M18)=4,SUM(J18:M18)&gt;0),1,0))</f>
        <v>1</v>
      </c>
      <c r="AS18" s="1" t="n">
        <f aca="false">IF(B18="",0,IF(AND(AF18&lt;&gt;"",AG18&lt;&gt;""),1,0))</f>
        <v>0</v>
      </c>
      <c r="AT18" s="1" t="n">
        <f aca="false">IF(AND(R18="WON",AS18=1,AR18=1),1,0)</f>
        <v>0</v>
      </c>
      <c r="AU18" s="1" t="n">
        <f aca="false">IF(B18="",0,IF(AD18="Alternative – zählt nicht",0,1))</f>
        <v>1</v>
      </c>
      <c r="AV18" s="1" t="n">
        <f aca="false">IF(B18="",0,IF(COUNTIF($B$6:$B$860,B18)&gt;1,1,0))</f>
        <v>0</v>
      </c>
      <c r="AW18" s="1" t="n">
        <v>365</v>
      </c>
      <c r="AX18" s="269" t="str">
        <f aca="false">IF(AY18=1,DATE(YEAR(O18),MONTH(O18),1),"")</f>
        <v/>
      </c>
      <c r="AY18" s="1" t="n">
        <f aca="false">IF(B18="",0,IF(AND(ISNUMBER(O18),ISNUMBER(P18)),IF(P18&gt;=O18,1,0),0))</f>
        <v>0</v>
      </c>
      <c r="AZ18" s="270" t="n">
        <f aca="false">IF(ISNUMBER(Y18),Y18,0)</f>
        <v>337653.098982424</v>
      </c>
      <c r="BA18" s="1" t="str">
        <f aca="false">IF(B18="","",IF(AND(R18="WON",AS18=0),"⛔ Beleg fehlt · ","")&amp;IF(AND(R18="WON",AR18=0),"⛔ Einstand fehlt · ","")&amp;IF(AND(R18&lt;&gt;"WON",AR18=0),"○ Einstand offen · ","")&amp;IF(AND(R18="WON",AB18=""),"⛔ Vertragsart fehlt · ","")&amp;IF(AND(ISNUMBER(O18),ISNUMBER(P18)),IF(P18&lt;O18,"⚠ Ende vor Start · ",""),"")&amp;IF(AND(R18="WON",AY18=0,NOT(AND(ISNUMBER(O18),ISNUMBER(P18)))),"⛔ Zeitraum fehlt · ","")&amp;IF(AND(R18&lt;&gt;"WON",AY18=0,NOT(AND(ISNUMBER(O18),ISNUMBER(P18)))),"○ Zeitraum offen · ",""))</f>
        <v>○ Zeitraum offen · </v>
      </c>
      <c r="BB18" s="1" t="str">
        <f aca="false">IF(B18="","",IF(AND(R18="WON",AS18=0),"⛔ Nachweis fehlt",IF(AND(ISNUMBER(O18),ISNUMBER(P18),P18&lt;O18),"⚠ Ende vor Start",IF(AND(R18="WON",AY18=0),"⛔ Zeitraum fehlt",IF(AR18=0,"○ Einstand offen",IF(AY18=0,"○ Zeitraum offen",IF(R18="WON","✅ belegt","✔ erfasst")))))))</f>
        <v>○ Zeitraum offen</v>
      </c>
    </row>
    <row r="19" customFormat="false" ht="63.75" hidden="false" customHeight="true" outlineLevel="0" collapsed="false">
      <c r="A19" s="258" t="n">
        <v>25</v>
      </c>
      <c r="B19" s="259" t="s">
        <v>292</v>
      </c>
      <c r="C19" s="258" t="s">
        <v>56</v>
      </c>
      <c r="D19" s="260" t="s">
        <v>293</v>
      </c>
      <c r="E19" s="260" t="s">
        <v>294</v>
      </c>
      <c r="F19" s="274" t="s">
        <v>295</v>
      </c>
      <c r="G19" s="258" t="n">
        <f aca="false">IF(B19="","",IF(AY19=1,P19-O19+1,IF(AW19="","",AW19)))</f>
        <v>21</v>
      </c>
      <c r="H19" s="262" t="s">
        <v>296</v>
      </c>
      <c r="I19" s="261" t="n">
        <v>57249.54</v>
      </c>
      <c r="J19" s="261" t="n">
        <v>46525.57</v>
      </c>
      <c r="K19" s="261" t="n">
        <v>4000</v>
      </c>
      <c r="L19" s="261" t="n">
        <v>0</v>
      </c>
      <c r="M19" s="261" t="n">
        <v>24000</v>
      </c>
      <c r="N19" s="275"/>
      <c r="O19" s="263"/>
      <c r="P19" s="263"/>
      <c r="Q19" s="261" t="n">
        <f aca="false">IF(AND(ISNUMBER(I19),ISNUMBER(S19)),I19*AJ19,IF(OR(I19&lt;&gt;"",S19&lt;&gt;""),"tbd",""))</f>
        <v>51524.586</v>
      </c>
      <c r="R19" s="264" t="s">
        <v>219</v>
      </c>
      <c r="S19" s="265" t="n">
        <v>0.9</v>
      </c>
      <c r="T19" s="259" t="s">
        <v>236</v>
      </c>
      <c r="U19" s="260" t="s">
        <v>283</v>
      </c>
      <c r="V19" s="260" t="s">
        <v>297</v>
      </c>
      <c r="W19" s="258" t="s">
        <v>98</v>
      </c>
      <c r="X19" s="260" t="s">
        <v>298</v>
      </c>
      <c r="Y19" s="261" t="n">
        <f aca="false">IF(ISNUMBER(I19),I19/Netto_Faktor,"")</f>
        <v>52959.7964847364</v>
      </c>
      <c r="Z19" s="261" t="n">
        <f aca="false">IF(B19="","",IF(COUNT(J19:N19)=0,"",SUM(J19:N19)))</f>
        <v>74525.57</v>
      </c>
      <c r="AA19" s="266"/>
      <c r="AB19" s="266"/>
      <c r="AC19" s="266"/>
      <c r="AD19" s="266"/>
      <c r="AE19" s="266"/>
      <c r="AF19" s="266"/>
      <c r="AG19" s="267"/>
      <c r="AH19" s="259" t="str">
        <f aca="false">IF(B19="","",IF(BA19="",IF(R19="WON","✅ belegt &amp; vollständig","✔ vollständig"),LEFT(BA19,LEN(BA19)-3)))</f>
        <v>○ Zeitraum offen</v>
      </c>
      <c r="AI19" s="265" t="n">
        <v>0.9</v>
      </c>
      <c r="AJ19" s="268" t="n">
        <f aca="false">IF(ISNUMBER(S19),IFERROR(LOOKUP(IF(S19&lt;=1,S19,S19/100),'⚖️ Wahrscheinlichkeit'!$B$17:$B$21,'⚖️ Wahrscheinlichkeit'!$D$17:$D$21),0),0)</f>
        <v>0.9</v>
      </c>
      <c r="AK19" s="1" t="str">
        <f aca="false">IF(AND(R19="WON",ISNUMBER(I19)),AL19+(861-ROW())*0.000001,"")</f>
        <v/>
      </c>
      <c r="AL19" s="1" t="n">
        <f aca="false">IFERROR(I19*1,0)</f>
        <v>57249.54</v>
      </c>
      <c r="AM19" s="1" t="n">
        <f aca="false">N(AM18)+IF(AND(R19="WON",B19&lt;&gt;""),1,0)</f>
        <v>6</v>
      </c>
      <c r="AN19" s="1" t="n">
        <f aca="false">N(AN18)+IF(AND(OR(R19="offered",R19="to be offered",R19="on hold"),B19&lt;&gt;""),1,0)</f>
        <v>6</v>
      </c>
      <c r="AO19" s="1" t="n">
        <f aca="false">N(AO18)+IF(AND(OR(R19="follow-up",R19="Evaluation",R19="tbd",R19="In evaluation"),B19&lt;&gt;""),1,0)</f>
        <v>0</v>
      </c>
      <c r="AP19" s="1" t="n">
        <f aca="false">IF(B19="",0,IF(COUNTIF('⚖️ Wahrscheinlichkeit'!$J$17:$J$24,R19)&gt;0,1,0))</f>
        <v>1</v>
      </c>
      <c r="AQ19" s="1" t="n">
        <f aca="false">IF(B19="",0,IF(AND(ISNUMBER(S19),COUNTIF('⚖️ Wahrscheinlichkeit'!$B$6:$B$11,S19)&gt;0),1,0))</f>
        <v>1</v>
      </c>
      <c r="AR19" s="1" t="n">
        <f aca="false">IF(B19="",0,IF(AND(COUNT(J19:M19)=4,SUM(J19:M19)&gt;0),1,0))</f>
        <v>1</v>
      </c>
      <c r="AS19" s="1" t="n">
        <f aca="false">IF(B19="",0,IF(AND(AF19&lt;&gt;"",AG19&lt;&gt;""),1,0))</f>
        <v>0</v>
      </c>
      <c r="AT19" s="1" t="n">
        <f aca="false">IF(AND(R19="WON",AS19=1,AR19=1),1,0)</f>
        <v>0</v>
      </c>
      <c r="AU19" s="1" t="n">
        <f aca="false">IF(B19="",0,IF(AD19="Alternative – zählt nicht",0,1))</f>
        <v>1</v>
      </c>
      <c r="AV19" s="1" t="n">
        <f aca="false">IF(B19="",0,IF(COUNTIF($B$6:$B$860,B19)&gt;1,1,0))</f>
        <v>1</v>
      </c>
      <c r="AW19" s="1" t="n">
        <v>21</v>
      </c>
      <c r="AX19" s="269" t="str">
        <f aca="false">IF(AY19=1,DATE(YEAR(O19),MONTH(O19),1),"")</f>
        <v/>
      </c>
      <c r="AY19" s="1" t="n">
        <f aca="false">IF(B19="",0,IF(AND(ISNUMBER(O19),ISNUMBER(P19)),IF(P19&gt;=O19,1,0),0))</f>
        <v>0</v>
      </c>
      <c r="AZ19" s="270" t="n">
        <f aca="false">IF(ISNUMBER(Y19),Y19,0)</f>
        <v>52959.7964847364</v>
      </c>
      <c r="BA19" s="1" t="str">
        <f aca="false">IF(B19="","",IF(AND(R19="WON",AS19=0),"⛔ Beleg fehlt · ","")&amp;IF(AND(R19="WON",AR19=0),"⛔ Einstand fehlt · ","")&amp;IF(AND(R19&lt;&gt;"WON",AR19=0),"○ Einstand offen · ","")&amp;IF(AND(R19="WON",AB19=""),"⛔ Vertragsart fehlt · ","")&amp;IF(AND(ISNUMBER(O19),ISNUMBER(P19)),IF(P19&lt;O19,"⚠ Ende vor Start · ",""),"")&amp;IF(AND(R19="WON",AY19=0,NOT(AND(ISNUMBER(O19),ISNUMBER(P19)))),"⛔ Zeitraum fehlt · ","")&amp;IF(AND(R19&lt;&gt;"WON",AY19=0,NOT(AND(ISNUMBER(O19),ISNUMBER(P19)))),"○ Zeitraum offen · ",""))</f>
        <v>○ Zeitraum offen · </v>
      </c>
      <c r="BB19" s="1" t="str">
        <f aca="false">IF(B19="","",IF(AND(R19="WON",AS19=0),"⛔ Nachweis fehlt",IF(AND(ISNUMBER(O19),ISNUMBER(P19),P19&lt;O19),"⚠ Ende vor Start",IF(AND(R19="WON",AY19=0),"⛔ Zeitraum fehlt",IF(AR19=0,"○ Einstand offen",IF(AY19=0,"○ Zeitraum offen",IF(R19="WON","✅ belegt","✔ erfasst")))))))</f>
        <v>○ Zeitraum offen</v>
      </c>
    </row>
    <row r="20" customFormat="false" ht="63.75" hidden="false" customHeight="true" outlineLevel="0" collapsed="false">
      <c r="A20" s="258" t="n">
        <v>25</v>
      </c>
      <c r="B20" s="259" t="s">
        <v>292</v>
      </c>
      <c r="C20" s="258" t="s">
        <v>56</v>
      </c>
      <c r="D20" s="260" t="s">
        <v>293</v>
      </c>
      <c r="E20" s="260" t="s">
        <v>299</v>
      </c>
      <c r="F20" s="274" t="s">
        <v>300</v>
      </c>
      <c r="G20" s="258" t="n">
        <f aca="false">IF(B20="","",IF(AY20=1,P20-O20+1,IF(AW20="","",AW20)))</f>
        <v>21</v>
      </c>
      <c r="H20" s="262" t="s">
        <v>296</v>
      </c>
      <c r="I20" s="261" t="n">
        <v>15664.18</v>
      </c>
      <c r="J20" s="261" t="n">
        <f aca="false">3635.52+8340.93</f>
        <v>11976.45</v>
      </c>
      <c r="K20" s="261" t="n">
        <v>2496</v>
      </c>
      <c r="L20" s="261" t="n">
        <v>0</v>
      </c>
      <c r="M20" s="261" t="n">
        <v>0</v>
      </c>
      <c r="N20" s="275"/>
      <c r="O20" s="263"/>
      <c r="P20" s="263"/>
      <c r="Q20" s="261" t="n">
        <f aca="false">IF(AND(ISNUMBER(I20),ISNUMBER(S20)),I20*AJ20,IF(OR(I20&lt;&gt;"",S20&lt;&gt;""),"tbd",""))</f>
        <v>14097.762</v>
      </c>
      <c r="R20" s="264" t="s">
        <v>219</v>
      </c>
      <c r="S20" s="265" t="n">
        <v>0.9</v>
      </c>
      <c r="T20" s="259" t="s">
        <v>236</v>
      </c>
      <c r="U20" s="260" t="s">
        <v>283</v>
      </c>
      <c r="V20" s="260" t="s">
        <v>297</v>
      </c>
      <c r="W20" s="258" t="s">
        <v>98</v>
      </c>
      <c r="X20" s="260" t="s">
        <v>298</v>
      </c>
      <c r="Y20" s="261" t="n">
        <f aca="false">IF(ISNUMBER(I20),I20/Netto_Faktor,"")</f>
        <v>14490.4532839963</v>
      </c>
      <c r="Z20" s="261" t="n">
        <f aca="false">IF(B20="","",IF(COUNT(J20:N20)=0,"",SUM(J20:N20)))</f>
        <v>14472.45</v>
      </c>
      <c r="AA20" s="266"/>
      <c r="AB20" s="266"/>
      <c r="AC20" s="266"/>
      <c r="AD20" s="266"/>
      <c r="AE20" s="266"/>
      <c r="AF20" s="266"/>
      <c r="AG20" s="267"/>
      <c r="AH20" s="259" t="str">
        <f aca="false">IF(B20="","",IF(BA20="",IF(R20="WON","✅ belegt &amp; vollständig","✔ vollständig"),LEFT(BA20,LEN(BA20)-3)))</f>
        <v>○ Zeitraum offen</v>
      </c>
      <c r="AI20" s="265" t="n">
        <v>0.9</v>
      </c>
      <c r="AJ20" s="268" t="n">
        <f aca="false">IF(ISNUMBER(S20),IFERROR(LOOKUP(IF(S20&lt;=1,S20,S20/100),'⚖️ Wahrscheinlichkeit'!$B$17:$B$21,'⚖️ Wahrscheinlichkeit'!$D$17:$D$21),0),0)</f>
        <v>0.9</v>
      </c>
      <c r="AK20" s="1" t="str">
        <f aca="false">IF(AND(R20="WON",ISNUMBER(I20)),AL20+(861-ROW())*0.000001,"")</f>
        <v/>
      </c>
      <c r="AL20" s="1" t="n">
        <f aca="false">IFERROR(I20*1,0)</f>
        <v>15664.18</v>
      </c>
      <c r="AM20" s="1" t="n">
        <f aca="false">N(AM19)+IF(AND(R20="WON",B20&lt;&gt;""),1,0)</f>
        <v>6</v>
      </c>
      <c r="AN20" s="1" t="n">
        <f aca="false">N(AN19)+IF(AND(OR(R20="offered",R20="to be offered",R20="on hold"),B20&lt;&gt;""),1,0)</f>
        <v>7</v>
      </c>
      <c r="AO20" s="1" t="n">
        <f aca="false">N(AO19)+IF(AND(OR(R20="follow-up",R20="Evaluation",R20="tbd",R20="In evaluation"),B20&lt;&gt;""),1,0)</f>
        <v>0</v>
      </c>
      <c r="AP20" s="1" t="n">
        <f aca="false">IF(B20="",0,IF(COUNTIF('⚖️ Wahrscheinlichkeit'!$J$17:$J$24,R20)&gt;0,1,0))</f>
        <v>1</v>
      </c>
      <c r="AQ20" s="1" t="n">
        <f aca="false">IF(B20="",0,IF(AND(ISNUMBER(S20),COUNTIF('⚖️ Wahrscheinlichkeit'!$B$6:$B$11,S20)&gt;0),1,0))</f>
        <v>1</v>
      </c>
      <c r="AR20" s="1" t="n">
        <f aca="false">IF(B20="",0,IF(AND(COUNT(J20:M20)=4,SUM(J20:M20)&gt;0),1,0))</f>
        <v>1</v>
      </c>
      <c r="AS20" s="1" t="n">
        <f aca="false">IF(B20="",0,IF(AND(AF20&lt;&gt;"",AG20&lt;&gt;""),1,0))</f>
        <v>0</v>
      </c>
      <c r="AT20" s="1" t="n">
        <f aca="false">IF(AND(R20="WON",AS20=1,AR20=1),1,0)</f>
        <v>0</v>
      </c>
      <c r="AU20" s="1" t="n">
        <f aca="false">IF(B20="",0,IF(AD20="Alternative – zählt nicht",0,1))</f>
        <v>1</v>
      </c>
      <c r="AV20" s="1" t="n">
        <f aca="false">IF(B20="",0,IF(COUNTIF($B$6:$B$860,B20)&gt;1,1,0))</f>
        <v>1</v>
      </c>
      <c r="AW20" s="1" t="n">
        <v>21</v>
      </c>
      <c r="AX20" s="269" t="str">
        <f aca="false">IF(AY20=1,DATE(YEAR(O20),MONTH(O20),1),"")</f>
        <v/>
      </c>
      <c r="AY20" s="1" t="n">
        <f aca="false">IF(B20="",0,IF(AND(ISNUMBER(O20),ISNUMBER(P20)),IF(P20&gt;=O20,1,0),0))</f>
        <v>0</v>
      </c>
      <c r="AZ20" s="270" t="n">
        <f aca="false">IF(ISNUMBER(Y20),Y20,0)</f>
        <v>14490.4532839963</v>
      </c>
      <c r="BA20" s="1" t="str">
        <f aca="false">IF(B20="","",IF(AND(R20="WON",AS20=0),"⛔ Beleg fehlt · ","")&amp;IF(AND(R20="WON",AR20=0),"⛔ Einstand fehlt · ","")&amp;IF(AND(R20&lt;&gt;"WON",AR20=0),"○ Einstand offen · ","")&amp;IF(AND(R20="WON",AB20=""),"⛔ Vertragsart fehlt · ","")&amp;IF(AND(ISNUMBER(O20),ISNUMBER(P20)),IF(P20&lt;O20,"⚠ Ende vor Start · ",""),"")&amp;IF(AND(R20="WON",AY20=0,NOT(AND(ISNUMBER(O20),ISNUMBER(P20)))),"⛔ Zeitraum fehlt · ","")&amp;IF(AND(R20&lt;&gt;"WON",AY20=0,NOT(AND(ISNUMBER(O20),ISNUMBER(P20)))),"○ Zeitraum offen · ",""))</f>
        <v>○ Zeitraum offen · </v>
      </c>
      <c r="BB20" s="1" t="str">
        <f aca="false">IF(B20="","",IF(AND(R20="WON",AS20=0),"⛔ Nachweis fehlt",IF(AND(ISNUMBER(O20),ISNUMBER(P20),P20&lt;O20),"⚠ Ende vor Start",IF(AND(R20="WON",AY20=0),"⛔ Zeitraum fehlt",IF(AR20=0,"○ Einstand offen",IF(AY20=0,"○ Zeitraum offen",IF(R20="WON","✅ belegt","✔ erfasst")))))))</f>
        <v>○ Zeitraum offen</v>
      </c>
    </row>
    <row r="21" customFormat="false" ht="38.25" hidden="false" customHeight="true" outlineLevel="0" collapsed="false">
      <c r="A21" s="258" t="n">
        <v>28</v>
      </c>
      <c r="B21" s="259" t="s">
        <v>301</v>
      </c>
      <c r="C21" s="258" t="s">
        <v>65</v>
      </c>
      <c r="D21" s="260" t="s">
        <v>302</v>
      </c>
      <c r="E21" s="260" t="s">
        <v>303</v>
      </c>
      <c r="F21" s="261" t="s">
        <v>304</v>
      </c>
      <c r="G21" s="258" t="n">
        <f aca="false">IF(B21="","",IF(AY21=1,P21-O21+1,IF(AW21="","",AW21)))</f>
        <v>28</v>
      </c>
      <c r="H21" s="262" t="s">
        <v>305</v>
      </c>
      <c r="I21" s="261" t="n">
        <v>77325.62</v>
      </c>
      <c r="J21" s="261" t="n">
        <v>54334.56</v>
      </c>
      <c r="K21" s="261" t="s">
        <v>227</v>
      </c>
      <c r="L21" s="261" t="n">
        <v>0</v>
      </c>
      <c r="M21" s="261" t="n">
        <v>10353</v>
      </c>
      <c r="N21" s="261" t="n">
        <v>6844</v>
      </c>
      <c r="O21" s="263"/>
      <c r="P21" s="263"/>
      <c r="Q21" s="261" t="n">
        <f aca="false">IF(AND(ISNUMBER(I21),ISNUMBER(S21)),I21*AJ21,IF(OR(I21&lt;&gt;"",S21&lt;&gt;""),"tbd",""))</f>
        <v>0</v>
      </c>
      <c r="R21" s="264" t="s">
        <v>219</v>
      </c>
      <c r="S21" s="265" t="n">
        <v>0.3</v>
      </c>
      <c r="T21" s="259" t="s">
        <v>306</v>
      </c>
      <c r="U21" s="260" t="s">
        <v>252</v>
      </c>
      <c r="V21" s="276" t="s">
        <v>307</v>
      </c>
      <c r="W21" s="277" t="s">
        <v>308</v>
      </c>
      <c r="X21" s="260" t="s">
        <v>309</v>
      </c>
      <c r="Y21" s="261" t="n">
        <f aca="false">IF(ISNUMBER(I21),I21/Netto_Faktor,"")</f>
        <v>71531.5633672525</v>
      </c>
      <c r="Z21" s="261" t="n">
        <f aca="false">IF(B21="","",IF(COUNT(J21:N21)=0,"",SUM(J21:N21)))</f>
        <v>71531.56</v>
      </c>
      <c r="AA21" s="266"/>
      <c r="AB21" s="266"/>
      <c r="AC21" s="266"/>
      <c r="AD21" s="266"/>
      <c r="AE21" s="266"/>
      <c r="AF21" s="266"/>
      <c r="AG21" s="267"/>
      <c r="AH21" s="259" t="str">
        <f aca="false">IF(B21="","",IF(BA21="",IF(R21="WON","✅ belegt &amp; vollständig","✔ vollständig"),LEFT(BA21,LEN(BA21)-3)))</f>
        <v>○ Einstand offen · ○ Zeitraum offen</v>
      </c>
      <c r="AI21" s="265" t="n">
        <v>0.5</v>
      </c>
      <c r="AJ21" s="268" t="n">
        <f aca="false">IF(ISNUMBER(S21),IFERROR(LOOKUP(IF(S21&lt;=1,S21,S21/100),'⚖️ Wahrscheinlichkeit'!$B$17:$B$21,'⚖️ Wahrscheinlichkeit'!$D$17:$D$21),0),0)</f>
        <v>0</v>
      </c>
      <c r="AK21" s="1" t="str">
        <f aca="false">IF(AND(R21="WON",ISNUMBER(I21)),AL21+(861-ROW())*0.000001,"")</f>
        <v/>
      </c>
      <c r="AL21" s="1" t="n">
        <f aca="false">IFERROR(I21*1,0)</f>
        <v>77325.62</v>
      </c>
      <c r="AM21" s="1" t="n">
        <f aca="false">N(AM20)+IF(AND(R21="WON",B21&lt;&gt;""),1,0)</f>
        <v>6</v>
      </c>
      <c r="AN21" s="1" t="n">
        <f aca="false">N(AN20)+IF(AND(OR(R21="offered",R21="to be offered",R21="on hold"),B21&lt;&gt;""),1,0)</f>
        <v>8</v>
      </c>
      <c r="AO21" s="1" t="n">
        <f aca="false">N(AO20)+IF(AND(OR(R21="follow-up",R21="Evaluation",R21="tbd",R21="In evaluation"),B21&lt;&gt;""),1,0)</f>
        <v>0</v>
      </c>
      <c r="AP21" s="1" t="n">
        <f aca="false">IF(B21="",0,IF(COUNTIF('⚖️ Wahrscheinlichkeit'!$J$17:$J$24,R21)&gt;0,1,0))</f>
        <v>1</v>
      </c>
      <c r="AQ21" s="1" t="n">
        <f aca="false">IF(B21="",0,IF(AND(ISNUMBER(S21),COUNTIF('⚖️ Wahrscheinlichkeit'!$B$6:$B$11,S21)&gt;0),1,0))</f>
        <v>1</v>
      </c>
      <c r="AR21" s="1" t="n">
        <f aca="false">IF(B21="",0,IF(AND(COUNT(J21:M21)=4,SUM(J21:M21)&gt;0),1,0))</f>
        <v>0</v>
      </c>
      <c r="AS21" s="1" t="n">
        <f aca="false">IF(B21="",0,IF(AND(AF21&lt;&gt;"",AG21&lt;&gt;""),1,0))</f>
        <v>0</v>
      </c>
      <c r="AT21" s="1" t="n">
        <f aca="false">IF(AND(R21="WON",AS21=1,AR21=1),1,0)</f>
        <v>0</v>
      </c>
      <c r="AU21" s="1" t="n">
        <f aca="false">IF(B21="",0,IF(AD21="Alternative – zählt nicht",0,1))</f>
        <v>1</v>
      </c>
      <c r="AV21" s="1" t="n">
        <f aca="false">IF(B21="",0,IF(COUNTIF($B$6:$B$860,B21)&gt;1,1,0))</f>
        <v>0</v>
      </c>
      <c r="AW21" s="1" t="n">
        <v>28</v>
      </c>
      <c r="AX21" s="269" t="str">
        <f aca="false">IF(AY21=1,DATE(YEAR(O21),MONTH(O21),1),"")</f>
        <v/>
      </c>
      <c r="AY21" s="1" t="n">
        <f aca="false">IF(B21="",0,IF(AND(ISNUMBER(O21),ISNUMBER(P21)),IF(P21&gt;=O21,1,0),0))</f>
        <v>0</v>
      </c>
      <c r="AZ21" s="270" t="n">
        <f aca="false">IF(ISNUMBER(Y21),Y21,0)</f>
        <v>71531.5633672525</v>
      </c>
      <c r="BA21" s="1" t="str">
        <f aca="false">IF(B21="","",IF(AND(R21="WON",AS21=0),"⛔ Beleg fehlt · ","")&amp;IF(AND(R21="WON",AR21=0),"⛔ Einstand fehlt · ","")&amp;IF(AND(R21&lt;&gt;"WON",AR21=0),"○ Einstand offen · ","")&amp;IF(AND(R21="WON",AB21=""),"⛔ Vertragsart fehlt · ","")&amp;IF(AND(ISNUMBER(O21),ISNUMBER(P21)),IF(P21&lt;O21,"⚠ Ende vor Start · ",""),"")&amp;IF(AND(R21="WON",AY21=0,NOT(AND(ISNUMBER(O21),ISNUMBER(P21)))),"⛔ Zeitraum fehlt · ","")&amp;IF(AND(R21&lt;&gt;"WON",AY21=0,NOT(AND(ISNUMBER(O21),ISNUMBER(P21)))),"○ Zeitraum offen · ",""))</f>
        <v>○ Einstand offen · ○ Zeitraum offen · </v>
      </c>
      <c r="BB21" s="1" t="str">
        <f aca="false">IF(B21="","",IF(AND(R21="WON",AS21=0),"⛔ Nachweis fehlt",IF(AND(ISNUMBER(O21),ISNUMBER(P21),P21&lt;O21),"⚠ Ende vor Start",IF(AND(R21="WON",AY21=0),"⛔ Zeitraum fehlt",IF(AR21=0,"○ Einstand offen",IF(AY21=0,"○ Zeitraum offen",IF(R21="WON","✅ belegt","✔ erfasst")))))))</f>
        <v>○ Einstand offen</v>
      </c>
    </row>
    <row r="22" customFormat="false" ht="38.25" hidden="false" customHeight="true" outlineLevel="0" collapsed="false">
      <c r="A22" s="258" t="n">
        <v>29</v>
      </c>
      <c r="B22" s="259" t="s">
        <v>310</v>
      </c>
      <c r="C22" s="258" t="s">
        <v>80</v>
      </c>
      <c r="D22" s="260" t="s">
        <v>302</v>
      </c>
      <c r="E22" s="260" t="s">
        <v>311</v>
      </c>
      <c r="F22" s="274" t="s">
        <v>312</v>
      </c>
      <c r="G22" s="258" t="n">
        <f aca="false">IF(B22="","",IF(AY22=1,P22-O22+1,IF(AW22="","",AW22)))</f>
        <v>3</v>
      </c>
      <c r="H22" s="262" t="s">
        <v>313</v>
      </c>
      <c r="I22" s="261" t="n">
        <v>80621.21</v>
      </c>
      <c r="J22" s="261" t="n">
        <v>38750</v>
      </c>
      <c r="K22" s="261" t="n">
        <v>40000</v>
      </c>
      <c r="L22" s="261" t="n">
        <v>0</v>
      </c>
      <c r="M22" s="261" t="n">
        <v>6380</v>
      </c>
      <c r="N22" s="261" t="n">
        <v>5999.11</v>
      </c>
      <c r="O22" s="263"/>
      <c r="P22" s="263"/>
      <c r="Q22" s="261" t="n">
        <f aca="false">IF(AND(ISNUMBER(I22),ISNUMBER(S22)),I22*AJ22,IF(OR(I22&lt;&gt;"",S22&lt;&gt;""),"tbd",""))</f>
        <v>80621.21</v>
      </c>
      <c r="R22" s="264" t="s">
        <v>244</v>
      </c>
      <c r="S22" s="265" t="n">
        <v>1</v>
      </c>
      <c r="T22" s="259" t="s">
        <v>314</v>
      </c>
      <c r="U22" s="260" t="s">
        <v>283</v>
      </c>
      <c r="V22" s="260" t="s">
        <v>246</v>
      </c>
      <c r="W22" s="258" t="s">
        <v>247</v>
      </c>
      <c r="X22" s="260" t="s">
        <v>315</v>
      </c>
      <c r="Y22" s="261" t="n">
        <f aca="false">IF(ISNUMBER(I22),I22/Netto_Faktor,"")</f>
        <v>74580.2127659575</v>
      </c>
      <c r="Z22" s="261" t="n">
        <f aca="false">IF(B22="","",IF(COUNT(J22:N22)=0,"",SUM(J22:N22)))</f>
        <v>91129.11</v>
      </c>
      <c r="AA22" s="266"/>
      <c r="AB22" s="266"/>
      <c r="AC22" s="266"/>
      <c r="AD22" s="266"/>
      <c r="AE22" s="266"/>
      <c r="AF22" s="266"/>
      <c r="AG22" s="267"/>
      <c r="AH22" s="260" t="str">
        <f aca="false">IF(B22="","",IF(BA22="",IF(R22="WON","✅ belegt &amp; vollständig","✔ vollständig"),LEFT(BA22,LEN(BA22)-3)))</f>
        <v>⛔ Beleg fehlt · ⛔ Vertragsart fehlt · ⛔ Zeitraum fehlt</v>
      </c>
      <c r="AI22" s="265" t="n">
        <v>1</v>
      </c>
      <c r="AJ22" s="268" t="n">
        <f aca="false">IF(ISNUMBER(S22),IFERROR(LOOKUP(IF(S22&lt;=1,S22,S22/100),'⚖️ Wahrscheinlichkeit'!$B$17:$B$21,'⚖️ Wahrscheinlichkeit'!$D$17:$D$21),0),0)</f>
        <v>1</v>
      </c>
      <c r="AK22" s="1" t="n">
        <f aca="false">IF(AND(R22="WON",ISNUMBER(I22)),AL22+(861-ROW())*0.000001,"")</f>
        <v>80621.210839</v>
      </c>
      <c r="AL22" s="1" t="n">
        <f aca="false">IFERROR(I22*1,0)</f>
        <v>80621.21</v>
      </c>
      <c r="AM22" s="1" t="n">
        <f aca="false">N(AM21)+IF(AND(R22="WON",B22&lt;&gt;""),1,0)</f>
        <v>7</v>
      </c>
      <c r="AN22" s="1" t="n">
        <f aca="false">N(AN21)+IF(AND(OR(R22="offered",R22="to be offered",R22="on hold"),B22&lt;&gt;""),1,0)</f>
        <v>8</v>
      </c>
      <c r="AO22" s="1" t="n">
        <f aca="false">N(AO21)+IF(AND(OR(R22="follow-up",R22="Evaluation",R22="tbd",R22="In evaluation"),B22&lt;&gt;""),1,0)</f>
        <v>0</v>
      </c>
      <c r="AP22" s="1" t="n">
        <f aca="false">IF(B22="",0,IF(COUNTIF('⚖️ Wahrscheinlichkeit'!$J$17:$J$24,R22)&gt;0,1,0))</f>
        <v>1</v>
      </c>
      <c r="AQ22" s="1" t="n">
        <f aca="false">IF(B22="",0,IF(AND(ISNUMBER(S22),COUNTIF('⚖️ Wahrscheinlichkeit'!$B$6:$B$11,S22)&gt;0),1,0))</f>
        <v>1</v>
      </c>
      <c r="AR22" s="1" t="n">
        <f aca="false">IF(B22="",0,IF(AND(COUNT(J22:M22)=4,SUM(J22:M22)&gt;0),1,0))</f>
        <v>1</v>
      </c>
      <c r="AS22" s="1" t="n">
        <f aca="false">IF(B22="",0,IF(AND(AF22&lt;&gt;"",AG22&lt;&gt;""),1,0))</f>
        <v>0</v>
      </c>
      <c r="AT22" s="1" t="n">
        <f aca="false">IF(AND(R22="WON",AS22=1,AR22=1),1,0)</f>
        <v>0</v>
      </c>
      <c r="AU22" s="1" t="n">
        <f aca="false">IF(B22="",0,IF(AD22="Alternative – zählt nicht",0,1))</f>
        <v>1</v>
      </c>
      <c r="AV22" s="1" t="n">
        <f aca="false">IF(B22="",0,IF(COUNTIF($B$6:$B$860,B22)&gt;1,1,0))</f>
        <v>0</v>
      </c>
      <c r="AW22" s="1" t="n">
        <v>3</v>
      </c>
      <c r="AX22" s="269" t="str">
        <f aca="false">IF(AY22=1,DATE(YEAR(O22),MONTH(O22),1),"")</f>
        <v/>
      </c>
      <c r="AY22" s="1" t="n">
        <f aca="false">IF(B22="",0,IF(AND(ISNUMBER(O22),ISNUMBER(P22)),IF(P22&gt;=O22,1,0),0))</f>
        <v>0</v>
      </c>
      <c r="AZ22" s="270" t="n">
        <f aca="false">IF(ISNUMBER(Y22),Y22,0)</f>
        <v>74580.2127659575</v>
      </c>
      <c r="BA22" s="1" t="str">
        <f aca="false">IF(B22="","",IF(AND(R22="WON",AS22=0),"⛔ Beleg fehlt · ","")&amp;IF(AND(R22="WON",AR22=0),"⛔ Einstand fehlt · ","")&amp;IF(AND(R22&lt;&gt;"WON",AR22=0),"○ Einstand offen · ","")&amp;IF(AND(R22="WON",AB22=""),"⛔ Vertragsart fehlt · ","")&amp;IF(AND(ISNUMBER(O22),ISNUMBER(P22)),IF(P22&lt;O22,"⚠ Ende vor Start · ",""),"")&amp;IF(AND(R22="WON",AY22=0,NOT(AND(ISNUMBER(O22),ISNUMBER(P22)))),"⛔ Zeitraum fehlt · ","")&amp;IF(AND(R22&lt;&gt;"WON",AY22=0,NOT(AND(ISNUMBER(O22),ISNUMBER(P22)))),"○ Zeitraum offen · ",""))</f>
        <v>⛔ Beleg fehlt · ⛔ Vertragsart fehlt · ⛔ Zeitraum fehlt · </v>
      </c>
      <c r="BB22" s="1" t="str">
        <f aca="false">IF(B22="","",IF(AND(R22="WON",AS22=0),"⛔ Nachweis fehlt",IF(AND(ISNUMBER(O22),ISNUMBER(P22),P22&lt;O22),"⚠ Ende vor Start",IF(AND(R22="WON",AY22=0),"⛔ Zeitraum fehlt",IF(AR22=0,"○ Einstand offen",IF(AY22=0,"○ Zeitraum offen",IF(R22="WON","✅ belegt","✔ erfasst")))))))</f>
        <v>⛔ Nachweis fehlt</v>
      </c>
    </row>
    <row r="23" customFormat="false" ht="38.25" hidden="false" customHeight="true" outlineLevel="0" collapsed="false">
      <c r="A23" s="258" t="n">
        <v>16</v>
      </c>
      <c r="B23" s="259" t="s">
        <v>316</v>
      </c>
      <c r="C23" s="258" t="s">
        <v>82</v>
      </c>
      <c r="D23" s="260" t="s">
        <v>293</v>
      </c>
      <c r="E23" s="260" t="s">
        <v>317</v>
      </c>
      <c r="F23" s="261" t="n">
        <v>30</v>
      </c>
      <c r="G23" s="258" t="n">
        <f aca="false">IF(B23="","",IF(AY23=1,P23-O23+1,IF(AW23="","",AW23)))</f>
        <v>90</v>
      </c>
      <c r="H23" s="258" t="s">
        <v>227</v>
      </c>
      <c r="I23" s="261" t="n">
        <v>0</v>
      </c>
      <c r="J23" s="261" t="n">
        <v>0</v>
      </c>
      <c r="K23" s="261" t="n">
        <v>0</v>
      </c>
      <c r="L23" s="261" t="n">
        <v>0</v>
      </c>
      <c r="M23" s="261" t="n">
        <v>0</v>
      </c>
      <c r="N23" s="261" t="n">
        <v>0</v>
      </c>
      <c r="O23" s="263"/>
      <c r="P23" s="263"/>
      <c r="Q23" s="261" t="n">
        <f aca="false">IF(AND(ISNUMBER(I23),ISNUMBER(S23)),I23*AJ23,IF(OR(I23&lt;&gt;"",S23&lt;&gt;""),"tbd",""))</f>
        <v>0</v>
      </c>
      <c r="R23" s="264" t="s">
        <v>228</v>
      </c>
      <c r="S23" s="265" t="n">
        <v>0</v>
      </c>
      <c r="T23" s="259" t="s">
        <v>220</v>
      </c>
      <c r="U23" s="260" t="s">
        <v>279</v>
      </c>
      <c r="V23" s="260" t="s">
        <v>318</v>
      </c>
      <c r="W23" s="258" t="s">
        <v>97</v>
      </c>
      <c r="X23" s="260" t="s">
        <v>318</v>
      </c>
      <c r="Y23" s="261" t="n">
        <f aca="false">IF(ISNUMBER(I23),I23/Netto_Faktor,"")</f>
        <v>0</v>
      </c>
      <c r="Z23" s="261" t="n">
        <f aca="false">IF(B23="","",IF(COUNT(J23:N23)=0,"",SUM(J23:N23)))</f>
        <v>0</v>
      </c>
      <c r="AA23" s="266"/>
      <c r="AB23" s="266"/>
      <c r="AC23" s="266"/>
      <c r="AD23" s="266"/>
      <c r="AE23" s="266"/>
      <c r="AF23" s="266"/>
      <c r="AG23" s="267"/>
      <c r="AH23" s="259" t="str">
        <f aca="false">IF(B23="","",IF(BA23="",IF(R23="WON","✅ belegt &amp; vollständig","✔ vollständig"),LEFT(BA23,LEN(BA23)-3)))</f>
        <v>○ Einstand offen · ○ Zeitraum offen</v>
      </c>
      <c r="AI23" s="265" t="n">
        <v>0</v>
      </c>
      <c r="AJ23" s="268" t="n">
        <f aca="false">IF(ISNUMBER(S23),IFERROR(LOOKUP(IF(S23&lt;=1,S23,S23/100),'⚖️ Wahrscheinlichkeit'!$B$17:$B$21,'⚖️ Wahrscheinlichkeit'!$D$17:$D$21),0),0)</f>
        <v>0</v>
      </c>
      <c r="AK23" s="1" t="str">
        <f aca="false">IF(AND(R23="WON",ISNUMBER(I23)),AL23+(861-ROW())*0.000001,"")</f>
        <v/>
      </c>
      <c r="AL23" s="1" t="n">
        <f aca="false">IFERROR(I23*1,0)</f>
        <v>0</v>
      </c>
      <c r="AM23" s="1" t="n">
        <f aca="false">N(AM22)+IF(AND(R23="WON",B23&lt;&gt;""),1,0)</f>
        <v>7</v>
      </c>
      <c r="AN23" s="1" t="n">
        <f aca="false">N(AN22)+IF(AND(OR(R23="offered",R23="to be offered",R23="on hold"),B23&lt;&gt;""),1,0)</f>
        <v>8</v>
      </c>
      <c r="AO23" s="1" t="n">
        <f aca="false">N(AO22)+IF(AND(OR(R23="follow-up",R23="Evaluation",R23="tbd",R23="In evaluation"),B23&lt;&gt;""),1,0)</f>
        <v>0</v>
      </c>
      <c r="AP23" s="1" t="n">
        <f aca="false">IF(B23="",0,IF(COUNTIF('⚖️ Wahrscheinlichkeit'!$J$17:$J$24,R23)&gt;0,1,0))</f>
        <v>0</v>
      </c>
      <c r="AQ23" s="1" t="n">
        <f aca="false">IF(B23="",0,IF(AND(ISNUMBER(S23),COUNTIF('⚖️ Wahrscheinlichkeit'!$B$6:$B$11,S23)&gt;0),1,0))</f>
        <v>1</v>
      </c>
      <c r="AR23" s="1" t="n">
        <f aca="false">IF(B23="",0,IF(AND(COUNT(J23:M23)=4,SUM(J23:M23)&gt;0),1,0))</f>
        <v>0</v>
      </c>
      <c r="AS23" s="1" t="n">
        <f aca="false">IF(B23="",0,IF(AND(AF23&lt;&gt;"",AG23&lt;&gt;""),1,0))</f>
        <v>0</v>
      </c>
      <c r="AT23" s="1" t="n">
        <f aca="false">IF(AND(R23="WON",AS23=1,AR23=1),1,0)</f>
        <v>0</v>
      </c>
      <c r="AU23" s="1" t="n">
        <f aca="false">IF(B23="",0,IF(AD23="Alternative – zählt nicht",0,1))</f>
        <v>1</v>
      </c>
      <c r="AV23" s="1" t="n">
        <f aca="false">IF(B23="",0,IF(COUNTIF($B$6:$B$860,B23)&gt;1,1,0))</f>
        <v>0</v>
      </c>
      <c r="AW23" s="1" t="n">
        <v>90</v>
      </c>
      <c r="AX23" s="269" t="str">
        <f aca="false">IF(AY23=1,DATE(YEAR(O23),MONTH(O23),1),"")</f>
        <v/>
      </c>
      <c r="AY23" s="1" t="n">
        <f aca="false">IF(B23="",0,IF(AND(ISNUMBER(O23),ISNUMBER(P23)),IF(P23&gt;=O23,1,0),0))</f>
        <v>0</v>
      </c>
      <c r="AZ23" s="270" t="n">
        <f aca="false">IF(ISNUMBER(Y23),Y23,0)</f>
        <v>0</v>
      </c>
      <c r="BA23" s="1" t="str">
        <f aca="false">IF(B23="","",IF(AND(R23="WON",AS23=0),"⛔ Beleg fehlt · ","")&amp;IF(AND(R23="WON",AR23=0),"⛔ Einstand fehlt · ","")&amp;IF(AND(R23&lt;&gt;"WON",AR23=0),"○ Einstand offen · ","")&amp;IF(AND(R23="WON",AB23=""),"⛔ Vertragsart fehlt · ","")&amp;IF(AND(ISNUMBER(O23),ISNUMBER(P23)),IF(P23&lt;O23,"⚠ Ende vor Start · ",""),"")&amp;IF(AND(R23="WON",AY23=0,NOT(AND(ISNUMBER(O23),ISNUMBER(P23)))),"⛔ Zeitraum fehlt · ","")&amp;IF(AND(R23&lt;&gt;"WON",AY23=0,NOT(AND(ISNUMBER(O23),ISNUMBER(P23)))),"○ Zeitraum offen · ",""))</f>
        <v>○ Einstand offen · ○ Zeitraum offen · </v>
      </c>
      <c r="BB23" s="1" t="str">
        <f aca="false">IF(B23="","",IF(AND(R23="WON",AS23=0),"⛔ Nachweis fehlt",IF(AND(ISNUMBER(O23),ISNUMBER(P23),P23&lt;O23),"⚠ Ende vor Start",IF(AND(R23="WON",AY23=0),"⛔ Zeitraum fehlt",IF(AR23=0,"○ Einstand offen",IF(AY23=0,"○ Zeitraum offen",IF(R23="WON","✅ belegt","✔ erfasst")))))))</f>
        <v>○ Einstand offen</v>
      </c>
    </row>
    <row r="24" customFormat="false" ht="30" hidden="false" customHeight="true" outlineLevel="0" collapsed="false">
      <c r="A24" s="258" t="n">
        <v>17</v>
      </c>
      <c r="B24" s="259" t="s">
        <v>319</v>
      </c>
      <c r="C24" s="258" t="s">
        <v>82</v>
      </c>
      <c r="D24" s="260" t="s">
        <v>320</v>
      </c>
      <c r="E24" s="260" t="s">
        <v>227</v>
      </c>
      <c r="F24" s="271"/>
      <c r="G24" s="258" t="str">
        <f aca="false">IF(B24="","",IF(AY24=1,P24-O24+1,IF(AW24="","",AW24)))</f>
        <v>tbd</v>
      </c>
      <c r="H24" s="258" t="s">
        <v>227</v>
      </c>
      <c r="I24" s="261" t="n">
        <v>0</v>
      </c>
      <c r="J24" s="261" t="n">
        <v>0</v>
      </c>
      <c r="K24" s="261" t="n">
        <v>0</v>
      </c>
      <c r="L24" s="261" t="n">
        <v>0</v>
      </c>
      <c r="M24" s="261" t="n">
        <v>0</v>
      </c>
      <c r="N24" s="261" t="n">
        <v>0</v>
      </c>
      <c r="O24" s="263"/>
      <c r="P24" s="263"/>
      <c r="Q24" s="261" t="n">
        <f aca="false">IF(AND(ISNUMBER(I24),ISNUMBER(S24)),I24*AJ24,IF(OR(I24&lt;&gt;"",S24&lt;&gt;""),"tbd",""))</f>
        <v>0</v>
      </c>
      <c r="R24" s="264" t="s">
        <v>228</v>
      </c>
      <c r="S24" s="265" t="n">
        <v>0</v>
      </c>
      <c r="T24" s="259" t="s">
        <v>236</v>
      </c>
      <c r="U24" s="260" t="s">
        <v>227</v>
      </c>
      <c r="V24" s="260" t="s">
        <v>318</v>
      </c>
      <c r="W24" s="258" t="s">
        <v>97</v>
      </c>
      <c r="X24" s="260" t="s">
        <v>318</v>
      </c>
      <c r="Y24" s="261" t="n">
        <f aca="false">IF(ISNUMBER(I24),I24/Netto_Faktor,"")</f>
        <v>0</v>
      </c>
      <c r="Z24" s="261" t="n">
        <f aca="false">IF(B24="","",IF(COUNT(J24:N24)=0,"",SUM(J24:N24)))</f>
        <v>0</v>
      </c>
      <c r="AA24" s="266"/>
      <c r="AB24" s="266"/>
      <c r="AC24" s="266"/>
      <c r="AD24" s="266"/>
      <c r="AE24" s="266"/>
      <c r="AF24" s="266"/>
      <c r="AG24" s="267"/>
      <c r="AH24" s="259" t="str">
        <f aca="false">IF(B24="","",IF(BA24="",IF(R24="WON","✅ belegt &amp; vollständig","✔ vollständig"),LEFT(BA24,LEN(BA24)-3)))</f>
        <v>○ Einstand offen · ○ Zeitraum offen</v>
      </c>
      <c r="AI24" s="265" t="n">
        <v>0</v>
      </c>
      <c r="AJ24" s="268" t="n">
        <f aca="false">IF(ISNUMBER(S24),IFERROR(LOOKUP(IF(S24&lt;=1,S24,S24/100),'⚖️ Wahrscheinlichkeit'!$B$17:$B$21,'⚖️ Wahrscheinlichkeit'!$D$17:$D$21),0),0)</f>
        <v>0</v>
      </c>
      <c r="AK24" s="1" t="str">
        <f aca="false">IF(AND(R24="WON",ISNUMBER(I24)),AL24+(861-ROW())*0.000001,"")</f>
        <v/>
      </c>
      <c r="AL24" s="1" t="n">
        <f aca="false">IFERROR(I24*1,0)</f>
        <v>0</v>
      </c>
      <c r="AM24" s="1" t="n">
        <f aca="false">N(AM23)+IF(AND(R24="WON",B24&lt;&gt;""),1,0)</f>
        <v>7</v>
      </c>
      <c r="AN24" s="1" t="n">
        <f aca="false">N(AN23)+IF(AND(OR(R24="offered",R24="to be offered",R24="on hold"),B24&lt;&gt;""),1,0)</f>
        <v>8</v>
      </c>
      <c r="AO24" s="1" t="n">
        <f aca="false">N(AO23)+IF(AND(OR(R24="follow-up",R24="Evaluation",R24="tbd",R24="In evaluation"),B24&lt;&gt;""),1,0)</f>
        <v>0</v>
      </c>
      <c r="AP24" s="1" t="n">
        <f aca="false">IF(B24="",0,IF(COUNTIF('⚖️ Wahrscheinlichkeit'!$J$17:$J$24,R24)&gt;0,1,0))</f>
        <v>0</v>
      </c>
      <c r="AQ24" s="1" t="n">
        <f aca="false">IF(B24="",0,IF(AND(ISNUMBER(S24),COUNTIF('⚖️ Wahrscheinlichkeit'!$B$6:$B$11,S24)&gt;0),1,0))</f>
        <v>1</v>
      </c>
      <c r="AR24" s="1" t="n">
        <f aca="false">IF(B24="",0,IF(AND(COUNT(J24:M24)=4,SUM(J24:M24)&gt;0),1,0))</f>
        <v>0</v>
      </c>
      <c r="AS24" s="1" t="n">
        <f aca="false">IF(B24="",0,IF(AND(AF24&lt;&gt;"",AG24&lt;&gt;""),1,0))</f>
        <v>0</v>
      </c>
      <c r="AT24" s="1" t="n">
        <f aca="false">IF(AND(R24="WON",AS24=1,AR24=1),1,0)</f>
        <v>0</v>
      </c>
      <c r="AU24" s="1" t="n">
        <f aca="false">IF(B24="",0,IF(AD24="Alternative – zählt nicht",0,1))</f>
        <v>1</v>
      </c>
      <c r="AV24" s="1" t="n">
        <f aca="false">IF(B24="",0,IF(COUNTIF($B$6:$B$860,B24)&gt;1,1,0))</f>
        <v>0</v>
      </c>
      <c r="AW24" s="1" t="s">
        <v>227</v>
      </c>
      <c r="AX24" s="269" t="str">
        <f aca="false">IF(AY24=1,DATE(YEAR(O24),MONTH(O24),1),"")</f>
        <v/>
      </c>
      <c r="AY24" s="1" t="n">
        <f aca="false">IF(B24="",0,IF(AND(ISNUMBER(O24),ISNUMBER(P24)),IF(P24&gt;=O24,1,0),0))</f>
        <v>0</v>
      </c>
      <c r="AZ24" s="270" t="n">
        <f aca="false">IF(ISNUMBER(Y24),Y24,0)</f>
        <v>0</v>
      </c>
      <c r="BA24" s="1" t="str">
        <f aca="false">IF(B24="","",IF(AND(R24="WON",AS24=0),"⛔ Beleg fehlt · ","")&amp;IF(AND(R24="WON",AR24=0),"⛔ Einstand fehlt · ","")&amp;IF(AND(R24&lt;&gt;"WON",AR24=0),"○ Einstand offen · ","")&amp;IF(AND(R24="WON",AB24=""),"⛔ Vertragsart fehlt · ","")&amp;IF(AND(ISNUMBER(O24),ISNUMBER(P24)),IF(P24&lt;O24,"⚠ Ende vor Start · ",""),"")&amp;IF(AND(R24="WON",AY24=0,NOT(AND(ISNUMBER(O24),ISNUMBER(P24)))),"⛔ Zeitraum fehlt · ","")&amp;IF(AND(R24&lt;&gt;"WON",AY24=0,NOT(AND(ISNUMBER(O24),ISNUMBER(P24)))),"○ Zeitraum offen · ",""))</f>
        <v>○ Einstand offen · ○ Zeitraum offen · </v>
      </c>
      <c r="BB24" s="1" t="str">
        <f aca="false">IF(B24="","",IF(AND(R24="WON",AS24=0),"⛔ Nachweis fehlt",IF(AND(ISNUMBER(O24),ISNUMBER(P24),P24&lt;O24),"⚠ Ende vor Start",IF(AND(R24="WON",AY24=0),"⛔ Zeitraum fehlt",IF(AR24=0,"○ Einstand offen",IF(AY24=0,"○ Zeitraum offen",IF(R24="WON","✅ belegt","✔ erfasst")))))))</f>
        <v>○ Einstand offen</v>
      </c>
    </row>
    <row r="25" customFormat="false" ht="30" hidden="false" customHeight="true" outlineLevel="0" collapsed="false">
      <c r="A25" s="258" t="n">
        <v>18</v>
      </c>
      <c r="B25" s="259" t="s">
        <v>321</v>
      </c>
      <c r="C25" s="258" t="s">
        <v>227</v>
      </c>
      <c r="D25" s="260" t="s">
        <v>227</v>
      </c>
      <c r="E25" s="260" t="s">
        <v>227</v>
      </c>
      <c r="F25" s="271"/>
      <c r="G25" s="258" t="str">
        <f aca="false">IF(B25="","",IF(AY25=1,P25-O25+1,IF(AW25="","",AW25)))</f>
        <v>tbd</v>
      </c>
      <c r="H25" s="258" t="s">
        <v>227</v>
      </c>
      <c r="I25" s="275"/>
      <c r="J25" s="275"/>
      <c r="K25" s="275"/>
      <c r="L25" s="261" t="n">
        <v>0</v>
      </c>
      <c r="M25" s="275"/>
      <c r="N25" s="275"/>
      <c r="O25" s="263"/>
      <c r="P25" s="263"/>
      <c r="Q25" s="261" t="str">
        <f aca="false">IF(AND(ISNUMBER(I25),ISNUMBER(S25)),I25*AJ25,IF(OR(I25&lt;&gt;"",S25&lt;&gt;""),"tbd",""))</f>
        <v>tbd</v>
      </c>
      <c r="R25" s="264" t="s">
        <v>228</v>
      </c>
      <c r="S25" s="265" t="n">
        <v>0</v>
      </c>
      <c r="T25" s="259" t="s">
        <v>236</v>
      </c>
      <c r="U25" s="260" t="s">
        <v>227</v>
      </c>
      <c r="V25" s="260" t="s">
        <v>318</v>
      </c>
      <c r="W25" s="258" t="s">
        <v>97</v>
      </c>
      <c r="X25" s="260" t="s">
        <v>318</v>
      </c>
      <c r="Y25" s="261" t="str">
        <f aca="false">IF(ISNUMBER(I25),I25/Netto_Faktor,"")</f>
        <v/>
      </c>
      <c r="Z25" s="261" t="n">
        <f aca="false">IF(B25="","",IF(COUNT(J25:N25)=0,"",SUM(J25:N25)))</f>
        <v>0</v>
      </c>
      <c r="AA25" s="266"/>
      <c r="AB25" s="266"/>
      <c r="AC25" s="266"/>
      <c r="AD25" s="266"/>
      <c r="AE25" s="266"/>
      <c r="AF25" s="266"/>
      <c r="AG25" s="267"/>
      <c r="AH25" s="259" t="str">
        <f aca="false">IF(B25="","",IF(BA25="",IF(R25="WON","✅ belegt &amp; vollständig","✔ vollständig"),LEFT(BA25,LEN(BA25)-3)))</f>
        <v>○ Einstand offen · ○ Zeitraum offen</v>
      </c>
      <c r="AI25" s="265" t="n">
        <v>0</v>
      </c>
      <c r="AJ25" s="268" t="n">
        <f aca="false">IF(ISNUMBER(S25),IFERROR(LOOKUP(IF(S25&lt;=1,S25,S25/100),'⚖️ Wahrscheinlichkeit'!$B$17:$B$21,'⚖️ Wahrscheinlichkeit'!$D$17:$D$21),0),0)</f>
        <v>0</v>
      </c>
      <c r="AK25" s="1" t="str">
        <f aca="false">IF(AND(R25="WON",ISNUMBER(I25)),AL25+(861-ROW())*0.000001,"")</f>
        <v/>
      </c>
      <c r="AL25" s="1" t="n">
        <f aca="false">IFERROR(I25*1,0)</f>
        <v>0</v>
      </c>
      <c r="AM25" s="1" t="n">
        <f aca="false">N(AM24)+IF(AND(R25="WON",B25&lt;&gt;""),1,0)</f>
        <v>7</v>
      </c>
      <c r="AN25" s="1" t="n">
        <f aca="false">N(AN24)+IF(AND(OR(R25="offered",R25="to be offered",R25="on hold"),B25&lt;&gt;""),1,0)</f>
        <v>8</v>
      </c>
      <c r="AO25" s="1" t="n">
        <f aca="false">N(AO24)+IF(AND(OR(R25="follow-up",R25="Evaluation",R25="tbd",R25="In evaluation"),B25&lt;&gt;""),1,0)</f>
        <v>0</v>
      </c>
      <c r="AP25" s="1" t="n">
        <f aca="false">IF(B25="",0,IF(COUNTIF('⚖️ Wahrscheinlichkeit'!$J$17:$J$24,R25)&gt;0,1,0))</f>
        <v>0</v>
      </c>
      <c r="AQ25" s="1" t="n">
        <f aca="false">IF(B25="",0,IF(AND(ISNUMBER(S25),COUNTIF('⚖️ Wahrscheinlichkeit'!$B$6:$B$11,S25)&gt;0),1,0))</f>
        <v>1</v>
      </c>
      <c r="AR25" s="1" t="n">
        <f aca="false">IF(B25="",0,IF(AND(COUNT(J25:M25)=4,SUM(J25:M25)&gt;0),1,0))</f>
        <v>0</v>
      </c>
      <c r="AS25" s="1" t="n">
        <f aca="false">IF(B25="",0,IF(AND(AF25&lt;&gt;"",AG25&lt;&gt;""),1,0))</f>
        <v>0</v>
      </c>
      <c r="AT25" s="1" t="n">
        <f aca="false">IF(AND(R25="WON",AS25=1,AR25=1),1,0)</f>
        <v>0</v>
      </c>
      <c r="AU25" s="1" t="n">
        <f aca="false">IF(B25="",0,IF(AD25="Alternative – zählt nicht",0,1))</f>
        <v>1</v>
      </c>
      <c r="AV25" s="1" t="n">
        <f aca="false">IF(B25="",0,IF(COUNTIF($B$6:$B$860,B25)&gt;1,1,0))</f>
        <v>0</v>
      </c>
      <c r="AW25" s="1" t="s">
        <v>227</v>
      </c>
      <c r="AX25" s="269" t="str">
        <f aca="false">IF(AY25=1,DATE(YEAR(O25),MONTH(O25),1),"")</f>
        <v/>
      </c>
      <c r="AY25" s="1" t="n">
        <f aca="false">IF(B25="",0,IF(AND(ISNUMBER(O25),ISNUMBER(P25)),IF(P25&gt;=O25,1,0),0))</f>
        <v>0</v>
      </c>
      <c r="AZ25" s="1" t="n">
        <f aca="false">IF(ISNUMBER(Y25),Y25,0)</f>
        <v>0</v>
      </c>
      <c r="BA25" s="1" t="str">
        <f aca="false">IF(B25="","",IF(AND(R25="WON",AS25=0),"⛔ Beleg fehlt · ","")&amp;IF(AND(R25="WON",AR25=0),"⛔ Einstand fehlt · ","")&amp;IF(AND(R25&lt;&gt;"WON",AR25=0),"○ Einstand offen · ","")&amp;IF(AND(R25="WON",AB25=""),"⛔ Vertragsart fehlt · ","")&amp;IF(AND(ISNUMBER(O25),ISNUMBER(P25)),IF(P25&lt;O25,"⚠ Ende vor Start · ",""),"")&amp;IF(AND(R25="WON",AY25=0,NOT(AND(ISNUMBER(O25),ISNUMBER(P25)))),"⛔ Zeitraum fehlt · ","")&amp;IF(AND(R25&lt;&gt;"WON",AY25=0,NOT(AND(ISNUMBER(O25),ISNUMBER(P25)))),"○ Zeitraum offen · ",""))</f>
        <v>○ Einstand offen · ○ Zeitraum offen · </v>
      </c>
      <c r="BB25" s="1" t="str">
        <f aca="false">IF(B25="","",IF(AND(R25="WON",AS25=0),"⛔ Nachweis fehlt",IF(AND(ISNUMBER(O25),ISNUMBER(P25),P25&lt;O25),"⚠ Ende vor Start",IF(AND(R25="WON",AY25=0),"⛔ Zeitraum fehlt",IF(AR25=0,"○ Einstand offen",IF(AY25=0,"○ Zeitraum offen",IF(R25="WON","✅ belegt","✔ erfasst")))))))</f>
        <v>○ Einstand offen</v>
      </c>
    </row>
    <row r="26" customFormat="false" ht="30" hidden="false" customHeight="true" outlineLevel="0" collapsed="false">
      <c r="A26" s="258" t="n">
        <v>19</v>
      </c>
      <c r="B26" s="259" t="s">
        <v>322</v>
      </c>
      <c r="C26" s="258" t="s">
        <v>56</v>
      </c>
      <c r="D26" s="260" t="s">
        <v>323</v>
      </c>
      <c r="E26" s="260" t="s">
        <v>324</v>
      </c>
      <c r="F26" s="261" t="n">
        <v>1500</v>
      </c>
      <c r="G26" s="258" t="n">
        <f aca="false">IF(B26="","",IF(AY26=1,P26-O26+1,IF(AW26="","",AW26)))</f>
        <v>19</v>
      </c>
      <c r="H26" s="272" t="s">
        <v>94</v>
      </c>
      <c r="I26" s="261" t="n">
        <v>48950</v>
      </c>
      <c r="J26" s="261" t="n">
        <v>0</v>
      </c>
      <c r="K26" s="261" t="n">
        <v>0</v>
      </c>
      <c r="L26" s="261" t="n">
        <v>0</v>
      </c>
      <c r="M26" s="261" t="n">
        <v>0</v>
      </c>
      <c r="N26" s="261" t="n">
        <v>0</v>
      </c>
      <c r="O26" s="263"/>
      <c r="P26" s="263"/>
      <c r="Q26" s="261" t="n">
        <f aca="false">IF(AND(ISNUMBER(I26),ISNUMBER(S26)),I26*AJ26,IF(OR(I26&lt;&gt;"",S26&lt;&gt;""),"tbd",""))</f>
        <v>0</v>
      </c>
      <c r="R26" s="264" t="s">
        <v>228</v>
      </c>
      <c r="S26" s="265" t="n">
        <v>0</v>
      </c>
      <c r="T26" s="259" t="s">
        <v>220</v>
      </c>
      <c r="U26" s="260" t="s">
        <v>247</v>
      </c>
      <c r="V26" s="260" t="s">
        <v>325</v>
      </c>
      <c r="W26" s="258" t="s">
        <v>97</v>
      </c>
      <c r="X26" s="260" t="s">
        <v>326</v>
      </c>
      <c r="Y26" s="261" t="n">
        <f aca="false">IF(ISNUMBER(I26),I26/Netto_Faktor,"")</f>
        <v>45282.1461609621</v>
      </c>
      <c r="Z26" s="261" t="n">
        <f aca="false">IF(B26="","",IF(COUNT(J26:N26)=0,"",SUM(J26:N26)))</f>
        <v>0</v>
      </c>
      <c r="AA26" s="266"/>
      <c r="AB26" s="266"/>
      <c r="AC26" s="266"/>
      <c r="AD26" s="266"/>
      <c r="AE26" s="266"/>
      <c r="AF26" s="266"/>
      <c r="AG26" s="267"/>
      <c r="AH26" s="259" t="str">
        <f aca="false">IF(B26="","",IF(BA26="",IF(R26="WON","✅ belegt &amp; vollständig","✔ vollständig"),LEFT(BA26,LEN(BA26)-3)))</f>
        <v>○ Einstand offen · ○ Zeitraum offen</v>
      </c>
      <c r="AI26" s="265" t="n">
        <v>0</v>
      </c>
      <c r="AJ26" s="268" t="n">
        <f aca="false">IF(ISNUMBER(S26),IFERROR(LOOKUP(IF(S26&lt;=1,S26,S26/100),'⚖️ Wahrscheinlichkeit'!$B$17:$B$21,'⚖️ Wahrscheinlichkeit'!$D$17:$D$21),0),0)</f>
        <v>0</v>
      </c>
      <c r="AK26" s="1" t="str">
        <f aca="false">IF(AND(R26="WON",ISNUMBER(I26)),AL26+(861-ROW())*0.000001,"")</f>
        <v/>
      </c>
      <c r="AL26" s="1" t="n">
        <f aca="false">IFERROR(I26*1,0)</f>
        <v>48950</v>
      </c>
      <c r="AM26" s="1" t="n">
        <f aca="false">N(AM25)+IF(AND(R26="WON",B26&lt;&gt;""),1,0)</f>
        <v>7</v>
      </c>
      <c r="AN26" s="1" t="n">
        <f aca="false">N(AN25)+IF(AND(OR(R26="offered",R26="to be offered",R26="on hold"),B26&lt;&gt;""),1,0)</f>
        <v>8</v>
      </c>
      <c r="AO26" s="1" t="n">
        <f aca="false">N(AO25)+IF(AND(OR(R26="follow-up",R26="Evaluation",R26="tbd",R26="In evaluation"),B26&lt;&gt;""),1,0)</f>
        <v>0</v>
      </c>
      <c r="AP26" s="1" t="n">
        <f aca="false">IF(B26="",0,IF(COUNTIF('⚖️ Wahrscheinlichkeit'!$J$17:$J$24,R26)&gt;0,1,0))</f>
        <v>0</v>
      </c>
      <c r="AQ26" s="1" t="n">
        <f aca="false">IF(B26="",0,IF(AND(ISNUMBER(S26),COUNTIF('⚖️ Wahrscheinlichkeit'!$B$6:$B$11,S26)&gt;0),1,0))</f>
        <v>1</v>
      </c>
      <c r="AR26" s="1" t="n">
        <f aca="false">IF(B26="",0,IF(AND(COUNT(J26:M26)=4,SUM(J26:M26)&gt;0),1,0))</f>
        <v>0</v>
      </c>
      <c r="AS26" s="1" t="n">
        <f aca="false">IF(B26="",0,IF(AND(AF26&lt;&gt;"",AG26&lt;&gt;""),1,0))</f>
        <v>0</v>
      </c>
      <c r="AT26" s="1" t="n">
        <f aca="false">IF(AND(R26="WON",AS26=1,AR26=1),1,0)</f>
        <v>0</v>
      </c>
      <c r="AU26" s="1" t="n">
        <f aca="false">IF(B26="",0,IF(AD26="Alternative – zählt nicht",0,1))</f>
        <v>1</v>
      </c>
      <c r="AV26" s="1" t="n">
        <f aca="false">IF(B26="",0,IF(COUNTIF($B$6:$B$860,B26)&gt;1,1,0))</f>
        <v>0</v>
      </c>
      <c r="AW26" s="1" t="n">
        <v>19</v>
      </c>
      <c r="AX26" s="269" t="str">
        <f aca="false">IF(AY26=1,DATE(YEAR(O26),MONTH(O26),1),"")</f>
        <v/>
      </c>
      <c r="AY26" s="1" t="n">
        <f aca="false">IF(B26="",0,IF(AND(ISNUMBER(O26),ISNUMBER(P26)),IF(P26&gt;=O26,1,0),0))</f>
        <v>0</v>
      </c>
      <c r="AZ26" s="270" t="n">
        <f aca="false">IF(ISNUMBER(Y26),Y26,0)</f>
        <v>45282.1461609621</v>
      </c>
      <c r="BA26" s="1" t="str">
        <f aca="false">IF(B26="","",IF(AND(R26="WON",AS26=0),"⛔ Beleg fehlt · ","")&amp;IF(AND(R26="WON",AR26=0),"⛔ Einstand fehlt · ","")&amp;IF(AND(R26&lt;&gt;"WON",AR26=0),"○ Einstand offen · ","")&amp;IF(AND(R26="WON",AB26=""),"⛔ Vertragsart fehlt · ","")&amp;IF(AND(ISNUMBER(O26),ISNUMBER(P26)),IF(P26&lt;O26,"⚠ Ende vor Start · ",""),"")&amp;IF(AND(R26="WON",AY26=0,NOT(AND(ISNUMBER(O26),ISNUMBER(P26)))),"⛔ Zeitraum fehlt · ","")&amp;IF(AND(R26&lt;&gt;"WON",AY26=0,NOT(AND(ISNUMBER(O26),ISNUMBER(P26)))),"○ Zeitraum offen · ",""))</f>
        <v>○ Einstand offen · ○ Zeitraum offen · </v>
      </c>
      <c r="BB26" s="1" t="str">
        <f aca="false">IF(B26="","",IF(AND(R26="WON",AS26=0),"⛔ Nachweis fehlt",IF(AND(ISNUMBER(O26),ISNUMBER(P26),P26&lt;O26),"⚠ Ende vor Start",IF(AND(R26="WON",AY26=0),"⛔ Zeitraum fehlt",IF(AR26=0,"○ Einstand offen",IF(AY26=0,"○ Zeitraum offen",IF(R26="WON","✅ belegt","✔ erfasst")))))))</f>
        <v>○ Einstand offen</v>
      </c>
    </row>
    <row r="27" customFormat="false" ht="30" hidden="false" customHeight="true" outlineLevel="0" collapsed="false">
      <c r="A27" s="258" t="n">
        <v>20</v>
      </c>
      <c r="B27" s="259" t="s">
        <v>327</v>
      </c>
      <c r="C27" s="258" t="s">
        <v>59</v>
      </c>
      <c r="D27" s="260" t="s">
        <v>328</v>
      </c>
      <c r="E27" s="260" t="s">
        <v>271</v>
      </c>
      <c r="F27" s="261" t="n">
        <v>250</v>
      </c>
      <c r="G27" s="258" t="n">
        <f aca="false">IF(B27="","",IF(AY27=1,P27-O27+1,IF(AW27="","",AW27)))</f>
        <v>90</v>
      </c>
      <c r="H27" s="272" t="s">
        <v>96</v>
      </c>
      <c r="I27" s="261" t="n">
        <v>39000</v>
      </c>
      <c r="J27" s="275"/>
      <c r="K27" s="275"/>
      <c r="L27" s="261" t="n">
        <v>0</v>
      </c>
      <c r="M27" s="275"/>
      <c r="N27" s="275"/>
      <c r="O27" s="263"/>
      <c r="P27" s="263"/>
      <c r="Q27" s="261" t="n">
        <f aca="false">IF(AND(ISNUMBER(I27),ISNUMBER(S27)),I27*AJ27,IF(OR(I27&lt;&gt;"",S27&lt;&gt;""),"tbd",""))</f>
        <v>0</v>
      </c>
      <c r="R27" s="264" t="s">
        <v>329</v>
      </c>
      <c r="S27" s="265" t="n">
        <v>0</v>
      </c>
      <c r="T27" s="259" t="s">
        <v>220</v>
      </c>
      <c r="U27" s="260" t="s">
        <v>247</v>
      </c>
      <c r="V27" s="260" t="s">
        <v>330</v>
      </c>
      <c r="W27" s="258" t="s">
        <v>97</v>
      </c>
      <c r="X27" s="260" t="s">
        <v>331</v>
      </c>
      <c r="Y27" s="261" t="n">
        <f aca="false">IF(ISNUMBER(I27),I27/Netto_Faktor,"")</f>
        <v>36077.7058279371</v>
      </c>
      <c r="Z27" s="261" t="n">
        <f aca="false">IF(B27="","",IF(COUNT(J27:N27)=0,"",SUM(J27:N27)))</f>
        <v>0</v>
      </c>
      <c r="AA27" s="266"/>
      <c r="AB27" s="266"/>
      <c r="AC27" s="266"/>
      <c r="AD27" s="266"/>
      <c r="AE27" s="266"/>
      <c r="AF27" s="266"/>
      <c r="AG27" s="267"/>
      <c r="AH27" s="259" t="str">
        <f aca="false">IF(B27="","",IF(BA27="",IF(R27="WON","✅ belegt &amp; vollständig","✔ vollständig"),LEFT(BA27,LEN(BA27)-3)))</f>
        <v>○ Einstand offen · ○ Zeitraum offen</v>
      </c>
      <c r="AI27" s="265" t="n">
        <v>0</v>
      </c>
      <c r="AJ27" s="268" t="n">
        <f aca="false">IF(ISNUMBER(S27),IFERROR(LOOKUP(IF(S27&lt;=1,S27,S27/100),'⚖️ Wahrscheinlichkeit'!$B$17:$B$21,'⚖️ Wahrscheinlichkeit'!$D$17:$D$21),0),0)</f>
        <v>0</v>
      </c>
      <c r="AK27" s="1" t="str">
        <f aca="false">IF(AND(R27="WON",ISNUMBER(I27)),AL27+(861-ROW())*0.000001,"")</f>
        <v/>
      </c>
      <c r="AL27" s="1" t="n">
        <f aca="false">IFERROR(I27*1,0)</f>
        <v>39000</v>
      </c>
      <c r="AM27" s="1" t="n">
        <f aca="false">N(AM26)+IF(AND(R27="WON",B27&lt;&gt;""),1,0)</f>
        <v>7</v>
      </c>
      <c r="AN27" s="1" t="n">
        <f aca="false">N(AN26)+IF(AND(OR(R27="offered",R27="to be offered",R27="on hold"),B27&lt;&gt;""),1,0)</f>
        <v>8</v>
      </c>
      <c r="AO27" s="1" t="n">
        <f aca="false">N(AO26)+IF(AND(OR(R27="follow-up",R27="Evaluation",R27="tbd",R27="In evaluation"),B27&lt;&gt;""),1,0)</f>
        <v>0</v>
      </c>
      <c r="AP27" s="1" t="n">
        <f aca="false">IF(B27="",0,IF(COUNTIF('⚖️ Wahrscheinlichkeit'!$J$17:$J$24,R27)&gt;0,1,0))</f>
        <v>0</v>
      </c>
      <c r="AQ27" s="1" t="n">
        <f aca="false">IF(B27="",0,IF(AND(ISNUMBER(S27),COUNTIF('⚖️ Wahrscheinlichkeit'!$B$6:$B$11,S27)&gt;0),1,0))</f>
        <v>1</v>
      </c>
      <c r="AR27" s="1" t="n">
        <f aca="false">IF(B27="",0,IF(AND(COUNT(J27:M27)=4,SUM(J27:M27)&gt;0),1,0))</f>
        <v>0</v>
      </c>
      <c r="AS27" s="1" t="n">
        <f aca="false">IF(B27="",0,IF(AND(AF27&lt;&gt;"",AG27&lt;&gt;""),1,0))</f>
        <v>0</v>
      </c>
      <c r="AT27" s="1" t="n">
        <f aca="false">IF(AND(R27="WON",AS27=1,AR27=1),1,0)</f>
        <v>0</v>
      </c>
      <c r="AU27" s="1" t="n">
        <f aca="false">IF(B27="",0,IF(AD27="Alternative – zählt nicht",0,1))</f>
        <v>1</v>
      </c>
      <c r="AV27" s="1" t="n">
        <f aca="false">IF(B27="",0,IF(COUNTIF($B$6:$B$860,B27)&gt;1,1,0))</f>
        <v>0</v>
      </c>
      <c r="AW27" s="1" t="n">
        <v>90</v>
      </c>
      <c r="AX27" s="269" t="str">
        <f aca="false">IF(AY27=1,DATE(YEAR(O27),MONTH(O27),1),"")</f>
        <v/>
      </c>
      <c r="AY27" s="1" t="n">
        <f aca="false">IF(B27="",0,IF(AND(ISNUMBER(O27),ISNUMBER(P27)),IF(P27&gt;=O27,1,0),0))</f>
        <v>0</v>
      </c>
      <c r="AZ27" s="270" t="n">
        <f aca="false">IF(ISNUMBER(Y27),Y27,0)</f>
        <v>36077.7058279371</v>
      </c>
      <c r="BA27" s="1" t="str">
        <f aca="false">IF(B27="","",IF(AND(R27="WON",AS27=0),"⛔ Beleg fehlt · ","")&amp;IF(AND(R27="WON",AR27=0),"⛔ Einstand fehlt · ","")&amp;IF(AND(R27&lt;&gt;"WON",AR27=0),"○ Einstand offen · ","")&amp;IF(AND(R27="WON",AB27=""),"⛔ Vertragsart fehlt · ","")&amp;IF(AND(ISNUMBER(O27),ISNUMBER(P27)),IF(P27&lt;O27,"⚠ Ende vor Start · ",""),"")&amp;IF(AND(R27="WON",AY27=0,NOT(AND(ISNUMBER(O27),ISNUMBER(P27)))),"⛔ Zeitraum fehlt · ","")&amp;IF(AND(R27&lt;&gt;"WON",AY27=0,NOT(AND(ISNUMBER(O27),ISNUMBER(P27)))),"○ Zeitraum offen · ",""))</f>
        <v>○ Einstand offen · ○ Zeitraum offen · </v>
      </c>
      <c r="BB27" s="1" t="str">
        <f aca="false">IF(B27="","",IF(AND(R27="WON",AS27=0),"⛔ Nachweis fehlt",IF(AND(ISNUMBER(O27),ISNUMBER(P27),P27&lt;O27),"⚠ Ende vor Start",IF(AND(R27="WON",AY27=0),"⛔ Zeitraum fehlt",IF(AR27=0,"○ Einstand offen",IF(AY27=0,"○ Zeitraum offen",IF(R27="WON","✅ belegt","✔ erfasst")))))))</f>
        <v>○ Einstand offen</v>
      </c>
    </row>
    <row r="28" customFormat="false" ht="38.25" hidden="false" customHeight="true" outlineLevel="0" collapsed="false">
      <c r="A28" s="258" t="n">
        <v>8</v>
      </c>
      <c r="B28" s="259" t="s">
        <v>332</v>
      </c>
      <c r="C28" s="258" t="s">
        <v>63</v>
      </c>
      <c r="D28" s="260" t="s">
        <v>333</v>
      </c>
      <c r="E28" s="260" t="s">
        <v>334</v>
      </c>
      <c r="F28" s="261" t="n">
        <v>750</v>
      </c>
      <c r="G28" s="258" t="n">
        <f aca="false">IF(B28="","",IF(AY28=1,P28-O28+1,IF(AW28="","",AW28)))</f>
        <v>42</v>
      </c>
      <c r="H28" s="262" t="s">
        <v>94</v>
      </c>
      <c r="I28" s="261" t="n">
        <v>38885</v>
      </c>
      <c r="J28" s="261" t="n">
        <v>22000</v>
      </c>
      <c r="K28" s="261" t="n">
        <v>2500</v>
      </c>
      <c r="L28" s="261" t="n">
        <v>3500</v>
      </c>
      <c r="M28" s="261" t="n">
        <v>3000</v>
      </c>
      <c r="N28" s="261" t="n">
        <v>800</v>
      </c>
      <c r="O28" s="263"/>
      <c r="P28" s="263"/>
      <c r="Q28" s="261" t="n">
        <f aca="false">IF(AND(ISNUMBER(I28),ISNUMBER(S28)),I28*AJ28,IF(OR(I28&lt;&gt;"",S28&lt;&gt;""),"tbd",""))</f>
        <v>0</v>
      </c>
      <c r="R28" s="264" t="s">
        <v>235</v>
      </c>
      <c r="S28" s="265" t="n">
        <v>0.3</v>
      </c>
      <c r="T28" s="259" t="s">
        <v>220</v>
      </c>
      <c r="U28" s="260" t="s">
        <v>335</v>
      </c>
      <c r="V28" s="260" t="s">
        <v>336</v>
      </c>
      <c r="W28" s="258" t="s">
        <v>337</v>
      </c>
      <c r="X28" s="260" t="s">
        <v>338</v>
      </c>
      <c r="Y28" s="261" t="n">
        <f aca="false">IF(ISNUMBER(I28),I28/Netto_Faktor,"")</f>
        <v>35971.3228492137</v>
      </c>
      <c r="Z28" s="261" t="n">
        <f aca="false">IF(B28="","",IF(COUNT(J28:N28)=0,"",SUM(J28:N28)))</f>
        <v>31800</v>
      </c>
      <c r="AA28" s="266"/>
      <c r="AB28" s="266"/>
      <c r="AC28" s="266"/>
      <c r="AD28" s="266"/>
      <c r="AE28" s="266"/>
      <c r="AF28" s="266"/>
      <c r="AG28" s="267"/>
      <c r="AH28" s="259" t="str">
        <f aca="false">IF(B28="","",IF(BA28="",IF(R28="WON","✅ belegt &amp; vollständig","✔ vollständig"),LEFT(BA28,LEN(BA28)-3)))</f>
        <v>○ Zeitraum offen</v>
      </c>
      <c r="AI28" s="265" t="n">
        <v>0.5</v>
      </c>
      <c r="AJ28" s="268" t="n">
        <f aca="false">IF(ISNUMBER(S28),IFERROR(LOOKUP(IF(S28&lt;=1,S28,S28/100),'⚖️ Wahrscheinlichkeit'!$B$17:$B$21,'⚖️ Wahrscheinlichkeit'!$D$17:$D$21),0),0)</f>
        <v>0</v>
      </c>
      <c r="AK28" s="1" t="str">
        <f aca="false">IF(AND(R28="WON",ISNUMBER(I28)),AL28+(861-ROW())*0.000001,"")</f>
        <v/>
      </c>
      <c r="AL28" s="1" t="n">
        <f aca="false">IFERROR(I28*1,0)</f>
        <v>38885</v>
      </c>
      <c r="AM28" s="1" t="n">
        <f aca="false">N(AM27)+IF(AND(R28="WON",B28&lt;&gt;""),1,0)</f>
        <v>7</v>
      </c>
      <c r="AN28" s="1" t="n">
        <f aca="false">N(AN27)+IF(AND(OR(R28="offered",R28="to be offered",R28="on hold"),B28&lt;&gt;""),1,0)</f>
        <v>9</v>
      </c>
      <c r="AO28" s="1" t="n">
        <f aca="false">N(AO27)+IF(AND(OR(R28="follow-up",R28="Evaluation",R28="tbd",R28="In evaluation"),B28&lt;&gt;""),1,0)</f>
        <v>0</v>
      </c>
      <c r="AP28" s="1" t="n">
        <f aca="false">IF(B28="",0,IF(COUNTIF('⚖️ Wahrscheinlichkeit'!$J$17:$J$24,R28)&gt;0,1,0))</f>
        <v>1</v>
      </c>
      <c r="AQ28" s="1" t="n">
        <f aca="false">IF(B28="",0,IF(AND(ISNUMBER(S28),COUNTIF('⚖️ Wahrscheinlichkeit'!$B$6:$B$11,S28)&gt;0),1,0))</f>
        <v>1</v>
      </c>
      <c r="AR28" s="1" t="n">
        <f aca="false">IF(B28="",0,IF(AND(COUNT(J28:M28)=4,SUM(J28:M28)&gt;0),1,0))</f>
        <v>1</v>
      </c>
      <c r="AS28" s="1" t="n">
        <f aca="false">IF(B28="",0,IF(AND(AF28&lt;&gt;"",AG28&lt;&gt;""),1,0))</f>
        <v>0</v>
      </c>
      <c r="AT28" s="1" t="n">
        <f aca="false">IF(AND(R28="WON",AS28=1,AR28=1),1,0)</f>
        <v>0</v>
      </c>
      <c r="AU28" s="1" t="n">
        <f aca="false">IF(B28="",0,IF(AD28="Alternative – zählt nicht",0,1))</f>
        <v>1</v>
      </c>
      <c r="AV28" s="1" t="n">
        <f aca="false">IF(B28="",0,IF(COUNTIF($B$6:$B$860,B28)&gt;1,1,0))</f>
        <v>0</v>
      </c>
      <c r="AW28" s="1" t="n">
        <v>42</v>
      </c>
      <c r="AX28" s="269" t="str">
        <f aca="false">IF(AY28=1,DATE(YEAR(O28),MONTH(O28),1),"")</f>
        <v/>
      </c>
      <c r="AY28" s="1" t="n">
        <f aca="false">IF(B28="",0,IF(AND(ISNUMBER(O28),ISNUMBER(P28)),IF(P28&gt;=O28,1,0),0))</f>
        <v>0</v>
      </c>
      <c r="AZ28" s="270" t="n">
        <f aca="false">IF(ISNUMBER(Y28),Y28,0)</f>
        <v>35971.3228492137</v>
      </c>
      <c r="BA28" s="1" t="str">
        <f aca="false">IF(B28="","",IF(AND(R28="WON",AS28=0),"⛔ Beleg fehlt · ","")&amp;IF(AND(R28="WON",AR28=0),"⛔ Einstand fehlt · ","")&amp;IF(AND(R28&lt;&gt;"WON",AR28=0),"○ Einstand offen · ","")&amp;IF(AND(R28="WON",AB28=""),"⛔ Vertragsart fehlt · ","")&amp;IF(AND(ISNUMBER(O28),ISNUMBER(P28)),IF(P28&lt;O28,"⚠ Ende vor Start · ",""),"")&amp;IF(AND(R28="WON",AY28=0,NOT(AND(ISNUMBER(O28),ISNUMBER(P28)))),"⛔ Zeitraum fehlt · ","")&amp;IF(AND(R28&lt;&gt;"WON",AY28=0,NOT(AND(ISNUMBER(O28),ISNUMBER(P28)))),"○ Zeitraum offen · ",""))</f>
        <v>○ Zeitraum offen · </v>
      </c>
      <c r="BB28" s="1" t="str">
        <f aca="false">IF(B28="","",IF(AND(R28="WON",AS28=0),"⛔ Nachweis fehlt",IF(AND(ISNUMBER(O28),ISNUMBER(P28),P28&lt;O28),"⚠ Ende vor Start",IF(AND(R28="WON",AY28=0),"⛔ Zeitraum fehlt",IF(AR28=0,"○ Einstand offen",IF(AY28=0,"○ Zeitraum offen",IF(R28="WON","✅ belegt","✔ erfasst")))))))</f>
        <v>○ Zeitraum offen</v>
      </c>
    </row>
    <row r="29" customFormat="false" ht="38.25" hidden="false" customHeight="true" outlineLevel="0" collapsed="false">
      <c r="A29" s="258" t="n">
        <v>22</v>
      </c>
      <c r="B29" s="259" t="s">
        <v>339</v>
      </c>
      <c r="C29" s="258" t="s">
        <v>73</v>
      </c>
      <c r="D29" s="260" t="s">
        <v>340</v>
      </c>
      <c r="E29" s="260" t="s">
        <v>341</v>
      </c>
      <c r="F29" s="261" t="n">
        <v>400</v>
      </c>
      <c r="G29" s="258" t="n">
        <f aca="false">IF(B29="","",IF(AY29=1,P29-O29+1,IF(AW29="","",AW29)))</f>
        <v>21</v>
      </c>
      <c r="H29" s="272" t="s">
        <v>98</v>
      </c>
      <c r="I29" s="261" t="n">
        <v>12572.63</v>
      </c>
      <c r="J29" s="261" t="n">
        <f aca="false">6763.05+672+168</f>
        <v>7603.05</v>
      </c>
      <c r="K29" s="261" t="n">
        <v>3000</v>
      </c>
      <c r="L29" s="261" t="n">
        <v>0</v>
      </c>
      <c r="M29" s="261" t="n">
        <v>870</v>
      </c>
      <c r="N29" s="275"/>
      <c r="O29" s="263"/>
      <c r="P29" s="263"/>
      <c r="Q29" s="261" t="n">
        <f aca="false">IF(AND(ISNUMBER(I29),ISNUMBER(S29)),I29*AJ29,IF(OR(I29&lt;&gt;"",S29&lt;&gt;""),"tbd",""))</f>
        <v>0</v>
      </c>
      <c r="R29" s="264" t="s">
        <v>329</v>
      </c>
      <c r="S29" s="265" t="n">
        <v>0</v>
      </c>
      <c r="T29" s="259" t="s">
        <v>220</v>
      </c>
      <c r="U29" s="260" t="s">
        <v>342</v>
      </c>
      <c r="V29" s="276" t="s">
        <v>343</v>
      </c>
      <c r="W29" s="258" t="s">
        <v>97</v>
      </c>
      <c r="X29" s="260" t="s">
        <v>344</v>
      </c>
      <c r="Y29" s="261" t="n">
        <f aca="false">IF(ISNUMBER(I29),I29/Netto_Faktor,"")</f>
        <v>11630.5550416281</v>
      </c>
      <c r="Z29" s="261" t="n">
        <f aca="false">IF(B29="","",IF(COUNT(J29:N29)=0,"",SUM(J29:N29)))</f>
        <v>11473.05</v>
      </c>
      <c r="AA29" s="266"/>
      <c r="AB29" s="266"/>
      <c r="AC29" s="266"/>
      <c r="AD29" s="266"/>
      <c r="AE29" s="266"/>
      <c r="AF29" s="266"/>
      <c r="AG29" s="267"/>
      <c r="AH29" s="259" t="str">
        <f aca="false">IF(B29="","",IF(BA29="",IF(R29="WON","✅ belegt &amp; vollständig","✔ vollständig"),LEFT(BA29,LEN(BA29)-3)))</f>
        <v>○ Zeitraum offen</v>
      </c>
      <c r="AI29" s="265" t="n">
        <v>0</v>
      </c>
      <c r="AJ29" s="268" t="n">
        <f aca="false">IF(ISNUMBER(S29),IFERROR(LOOKUP(IF(S29&lt;=1,S29,S29/100),'⚖️ Wahrscheinlichkeit'!$B$17:$B$21,'⚖️ Wahrscheinlichkeit'!$D$17:$D$21),0),0)</f>
        <v>0</v>
      </c>
      <c r="AK29" s="1" t="str">
        <f aca="false">IF(AND(R29="WON",ISNUMBER(I29)),AL29+(861-ROW())*0.000001,"")</f>
        <v/>
      </c>
      <c r="AL29" s="1" t="n">
        <f aca="false">IFERROR(I29*1,0)</f>
        <v>12572.63</v>
      </c>
      <c r="AM29" s="1" t="n">
        <f aca="false">N(AM28)+IF(AND(R29="WON",B29&lt;&gt;""),1,0)</f>
        <v>7</v>
      </c>
      <c r="AN29" s="1" t="n">
        <f aca="false">N(AN28)+IF(AND(OR(R29="offered",R29="to be offered",R29="on hold"),B29&lt;&gt;""),1,0)</f>
        <v>9</v>
      </c>
      <c r="AO29" s="1" t="n">
        <f aca="false">N(AO28)+IF(AND(OR(R29="follow-up",R29="Evaluation",R29="tbd",R29="In evaluation"),B29&lt;&gt;""),1,0)</f>
        <v>0</v>
      </c>
      <c r="AP29" s="1" t="n">
        <f aca="false">IF(B29="",0,IF(COUNTIF('⚖️ Wahrscheinlichkeit'!$J$17:$J$24,R29)&gt;0,1,0))</f>
        <v>0</v>
      </c>
      <c r="AQ29" s="1" t="n">
        <f aca="false">IF(B29="",0,IF(AND(ISNUMBER(S29),COUNTIF('⚖️ Wahrscheinlichkeit'!$B$6:$B$11,S29)&gt;0),1,0))</f>
        <v>1</v>
      </c>
      <c r="AR29" s="1" t="n">
        <f aca="false">IF(B29="",0,IF(AND(COUNT(J29:M29)=4,SUM(J29:M29)&gt;0),1,0))</f>
        <v>1</v>
      </c>
      <c r="AS29" s="1" t="n">
        <f aca="false">IF(B29="",0,IF(AND(AF29&lt;&gt;"",AG29&lt;&gt;""),1,0))</f>
        <v>0</v>
      </c>
      <c r="AT29" s="1" t="n">
        <f aca="false">IF(AND(R29="WON",AS29=1,AR29=1),1,0)</f>
        <v>0</v>
      </c>
      <c r="AU29" s="1" t="n">
        <f aca="false">IF(B29="",0,IF(AD29="Alternative – zählt nicht",0,1))</f>
        <v>1</v>
      </c>
      <c r="AV29" s="1" t="n">
        <f aca="false">IF(B29="",0,IF(COUNTIF($B$6:$B$860,B29)&gt;1,1,0))</f>
        <v>0</v>
      </c>
      <c r="AW29" s="1" t="n">
        <v>21</v>
      </c>
      <c r="AX29" s="269" t="str">
        <f aca="false">IF(AY29=1,DATE(YEAR(O29),MONTH(O29),1),"")</f>
        <v/>
      </c>
      <c r="AY29" s="1" t="n">
        <f aca="false">IF(B29="",0,IF(AND(ISNUMBER(O29),ISNUMBER(P29)),IF(P29&gt;=O29,1,0),0))</f>
        <v>0</v>
      </c>
      <c r="AZ29" s="270" t="n">
        <f aca="false">IF(ISNUMBER(Y29),Y29,0)</f>
        <v>11630.5550416281</v>
      </c>
      <c r="BA29" s="1" t="str">
        <f aca="false">IF(B29="","",IF(AND(R29="WON",AS29=0),"⛔ Beleg fehlt · ","")&amp;IF(AND(R29="WON",AR29=0),"⛔ Einstand fehlt · ","")&amp;IF(AND(R29&lt;&gt;"WON",AR29=0),"○ Einstand offen · ","")&amp;IF(AND(R29="WON",AB29=""),"⛔ Vertragsart fehlt · ","")&amp;IF(AND(ISNUMBER(O29),ISNUMBER(P29)),IF(P29&lt;O29,"⚠ Ende vor Start · ",""),"")&amp;IF(AND(R29="WON",AY29=0,NOT(AND(ISNUMBER(O29),ISNUMBER(P29)))),"⛔ Zeitraum fehlt · ","")&amp;IF(AND(R29&lt;&gt;"WON",AY29=0,NOT(AND(ISNUMBER(O29),ISNUMBER(P29)))),"○ Zeitraum offen · ",""))</f>
        <v>○ Zeitraum offen · </v>
      </c>
      <c r="BB29" s="1" t="str">
        <f aca="false">IF(B29="","",IF(AND(R29="WON",AS29=0),"⛔ Nachweis fehlt",IF(AND(ISNUMBER(O29),ISNUMBER(P29),P29&lt;O29),"⚠ Ende vor Start",IF(AND(R29="WON",AY29=0),"⛔ Zeitraum fehlt",IF(AR29=0,"○ Einstand offen",IF(AY29=0,"○ Zeitraum offen",IF(R29="WON","✅ belegt","✔ erfasst")))))))</f>
        <v>○ Zeitraum offen</v>
      </c>
    </row>
    <row r="30" customFormat="false" ht="30" hidden="false" customHeight="true" outlineLevel="0" collapsed="false">
      <c r="A30" s="258" t="n">
        <v>23</v>
      </c>
      <c r="B30" s="259" t="s">
        <v>345</v>
      </c>
      <c r="C30" s="258" t="s">
        <v>65</v>
      </c>
      <c r="D30" s="260" t="s">
        <v>293</v>
      </c>
      <c r="E30" s="260" t="s">
        <v>346</v>
      </c>
      <c r="F30" s="261" t="n">
        <v>30</v>
      </c>
      <c r="G30" s="258" t="str">
        <f aca="false">IF(B30="","",IF(AY30=1,P30-O30+1,IF(AW30="","",AW30)))</f>
        <v>tbd</v>
      </c>
      <c r="H30" s="258" t="s">
        <v>227</v>
      </c>
      <c r="I30" s="261" t="n">
        <v>0</v>
      </c>
      <c r="J30" s="261" t="n">
        <v>0</v>
      </c>
      <c r="K30" s="261" t="n">
        <v>0</v>
      </c>
      <c r="L30" s="261" t="n">
        <v>0</v>
      </c>
      <c r="M30" s="261" t="n">
        <v>0</v>
      </c>
      <c r="N30" s="261" t="n">
        <v>0</v>
      </c>
      <c r="O30" s="263"/>
      <c r="P30" s="263"/>
      <c r="Q30" s="261" t="n">
        <f aca="false">IF(AND(ISNUMBER(I30),ISNUMBER(S30)),I30*AJ30,IF(OR(I30&lt;&gt;"",S30&lt;&gt;""),"tbd",""))</f>
        <v>0</v>
      </c>
      <c r="R30" s="264" t="s">
        <v>228</v>
      </c>
      <c r="S30" s="265" t="n">
        <v>0</v>
      </c>
      <c r="T30" s="259" t="s">
        <v>236</v>
      </c>
      <c r="U30" s="278"/>
      <c r="V30" s="260" t="s">
        <v>347</v>
      </c>
      <c r="W30" s="258" t="s">
        <v>97</v>
      </c>
      <c r="X30" s="260" t="s">
        <v>348</v>
      </c>
      <c r="Y30" s="261" t="n">
        <f aca="false">IF(ISNUMBER(I30),I30/Netto_Faktor,"")</f>
        <v>0</v>
      </c>
      <c r="Z30" s="261" t="n">
        <f aca="false">IF(B30="","",IF(COUNT(J30:N30)=0,"",SUM(J30:N30)))</f>
        <v>0</v>
      </c>
      <c r="AA30" s="266"/>
      <c r="AB30" s="266"/>
      <c r="AC30" s="266"/>
      <c r="AD30" s="266"/>
      <c r="AE30" s="266"/>
      <c r="AF30" s="266"/>
      <c r="AG30" s="267"/>
      <c r="AH30" s="259" t="str">
        <f aca="false">IF(B30="","",IF(BA30="",IF(R30="WON","✅ belegt &amp; vollständig","✔ vollständig"),LEFT(BA30,LEN(BA30)-3)))</f>
        <v>○ Einstand offen · ○ Zeitraum offen</v>
      </c>
      <c r="AI30" s="265" t="n">
        <v>0</v>
      </c>
      <c r="AJ30" s="268" t="n">
        <f aca="false">IF(ISNUMBER(S30),IFERROR(LOOKUP(IF(S30&lt;=1,S30,S30/100),'⚖️ Wahrscheinlichkeit'!$B$17:$B$21,'⚖️ Wahrscheinlichkeit'!$D$17:$D$21),0),0)</f>
        <v>0</v>
      </c>
      <c r="AK30" s="1" t="str">
        <f aca="false">IF(AND(R30="WON",ISNUMBER(I30)),AL30+(861-ROW())*0.000001,"")</f>
        <v/>
      </c>
      <c r="AL30" s="1" t="n">
        <f aca="false">IFERROR(I30*1,0)</f>
        <v>0</v>
      </c>
      <c r="AM30" s="1" t="n">
        <f aca="false">N(AM29)+IF(AND(R30="WON",B30&lt;&gt;""),1,0)</f>
        <v>7</v>
      </c>
      <c r="AN30" s="1" t="n">
        <f aca="false">N(AN29)+IF(AND(OR(R30="offered",R30="to be offered",R30="on hold"),B30&lt;&gt;""),1,0)</f>
        <v>9</v>
      </c>
      <c r="AO30" s="1" t="n">
        <f aca="false">N(AO29)+IF(AND(OR(R30="follow-up",R30="Evaluation",R30="tbd",R30="In evaluation"),B30&lt;&gt;""),1,0)</f>
        <v>0</v>
      </c>
      <c r="AP30" s="1" t="n">
        <f aca="false">IF(B30="",0,IF(COUNTIF('⚖️ Wahrscheinlichkeit'!$J$17:$J$24,R30)&gt;0,1,0))</f>
        <v>0</v>
      </c>
      <c r="AQ30" s="1" t="n">
        <f aca="false">IF(B30="",0,IF(AND(ISNUMBER(S30),COUNTIF('⚖️ Wahrscheinlichkeit'!$B$6:$B$11,S30)&gt;0),1,0))</f>
        <v>1</v>
      </c>
      <c r="AR30" s="1" t="n">
        <f aca="false">IF(B30="",0,IF(AND(COUNT(J30:M30)=4,SUM(J30:M30)&gt;0),1,0))</f>
        <v>0</v>
      </c>
      <c r="AS30" s="1" t="n">
        <f aca="false">IF(B30="",0,IF(AND(AF30&lt;&gt;"",AG30&lt;&gt;""),1,0))</f>
        <v>0</v>
      </c>
      <c r="AT30" s="1" t="n">
        <f aca="false">IF(AND(R30="WON",AS30=1,AR30=1),1,0)</f>
        <v>0</v>
      </c>
      <c r="AU30" s="1" t="n">
        <f aca="false">IF(B30="",0,IF(AD30="Alternative – zählt nicht",0,1))</f>
        <v>1</v>
      </c>
      <c r="AV30" s="1" t="n">
        <f aca="false">IF(B30="",0,IF(COUNTIF($B$6:$B$860,B30)&gt;1,1,0))</f>
        <v>0</v>
      </c>
      <c r="AW30" s="1" t="s">
        <v>227</v>
      </c>
      <c r="AX30" s="269" t="str">
        <f aca="false">IF(AY30=1,DATE(YEAR(O30),MONTH(O30),1),"")</f>
        <v/>
      </c>
      <c r="AY30" s="1" t="n">
        <f aca="false">IF(B30="",0,IF(AND(ISNUMBER(O30),ISNUMBER(P30)),IF(P30&gt;=O30,1,0),0))</f>
        <v>0</v>
      </c>
      <c r="AZ30" s="270" t="n">
        <f aca="false">IF(ISNUMBER(Y30),Y30,0)</f>
        <v>0</v>
      </c>
      <c r="BA30" s="1" t="str">
        <f aca="false">IF(B30="","",IF(AND(R30="WON",AS30=0),"⛔ Beleg fehlt · ","")&amp;IF(AND(R30="WON",AR30=0),"⛔ Einstand fehlt · ","")&amp;IF(AND(R30&lt;&gt;"WON",AR30=0),"○ Einstand offen · ","")&amp;IF(AND(R30="WON",AB30=""),"⛔ Vertragsart fehlt · ","")&amp;IF(AND(ISNUMBER(O30),ISNUMBER(P30)),IF(P30&lt;O30,"⚠ Ende vor Start · ",""),"")&amp;IF(AND(R30="WON",AY30=0,NOT(AND(ISNUMBER(O30),ISNUMBER(P30)))),"⛔ Zeitraum fehlt · ","")&amp;IF(AND(R30&lt;&gt;"WON",AY30=0,NOT(AND(ISNUMBER(O30),ISNUMBER(P30)))),"○ Zeitraum offen · ",""))</f>
        <v>○ Einstand offen · ○ Zeitraum offen · </v>
      </c>
      <c r="BB30" s="1" t="str">
        <f aca="false">IF(B30="","",IF(AND(R30="WON",AS30=0),"⛔ Nachweis fehlt",IF(AND(ISNUMBER(O30),ISNUMBER(P30),P30&lt;O30),"⚠ Ende vor Start",IF(AND(R30="WON",AY30=0),"⛔ Zeitraum fehlt",IF(AR30=0,"○ Einstand offen",IF(AY30=0,"○ Zeitraum offen",IF(R30="WON","✅ belegt","✔ erfasst")))))))</f>
        <v>○ Einstand offen</v>
      </c>
    </row>
    <row r="31" customFormat="false" ht="30" hidden="false" customHeight="true" outlineLevel="0" collapsed="false">
      <c r="A31" s="258" t="n">
        <v>24</v>
      </c>
      <c r="B31" s="259" t="s">
        <v>349</v>
      </c>
      <c r="C31" s="258" t="s">
        <v>82</v>
      </c>
      <c r="D31" s="260" t="s">
        <v>350</v>
      </c>
      <c r="E31" s="260" t="s">
        <v>351</v>
      </c>
      <c r="F31" s="274" t="s">
        <v>227</v>
      </c>
      <c r="G31" s="258" t="str">
        <f aca="false">IF(B31="","",IF(AY31=1,P31-O31+1,IF(AW31="","",AW31)))</f>
        <v>tbd</v>
      </c>
      <c r="H31" s="258" t="s">
        <v>227</v>
      </c>
      <c r="I31" s="275"/>
      <c r="J31" s="275"/>
      <c r="K31" s="275"/>
      <c r="L31" s="261" t="n">
        <v>0</v>
      </c>
      <c r="M31" s="275"/>
      <c r="N31" s="275"/>
      <c r="O31" s="263"/>
      <c r="P31" s="263"/>
      <c r="Q31" s="261" t="str">
        <f aca="false">IF(AND(ISNUMBER(I31),ISNUMBER(S31)),I31*AJ31,IF(OR(I31&lt;&gt;"",S31&lt;&gt;""),"tbd",""))</f>
        <v>tbd</v>
      </c>
      <c r="R31" s="264" t="s">
        <v>329</v>
      </c>
      <c r="S31" s="265" t="n">
        <v>0</v>
      </c>
      <c r="T31" s="259" t="s">
        <v>220</v>
      </c>
      <c r="U31" s="260" t="s">
        <v>352</v>
      </c>
      <c r="V31" s="260" t="s">
        <v>347</v>
      </c>
      <c r="W31" s="258" t="s">
        <v>97</v>
      </c>
      <c r="X31" s="260" t="s">
        <v>348</v>
      </c>
      <c r="Y31" s="261" t="str">
        <f aca="false">IF(ISNUMBER(I31),I31/Netto_Faktor,"")</f>
        <v/>
      </c>
      <c r="Z31" s="261" t="n">
        <f aca="false">IF(B31="","",IF(COUNT(J31:N31)=0,"",SUM(J31:N31)))</f>
        <v>0</v>
      </c>
      <c r="AA31" s="266"/>
      <c r="AB31" s="266"/>
      <c r="AC31" s="266"/>
      <c r="AD31" s="266"/>
      <c r="AE31" s="266"/>
      <c r="AF31" s="266"/>
      <c r="AG31" s="267"/>
      <c r="AH31" s="259" t="str">
        <f aca="false">IF(B31="","",IF(BA31="",IF(R31="WON","✅ belegt &amp; vollständig","✔ vollständig"),LEFT(BA31,LEN(BA31)-3)))</f>
        <v>○ Einstand offen · ○ Zeitraum offen</v>
      </c>
      <c r="AI31" s="265" t="n">
        <v>0</v>
      </c>
      <c r="AJ31" s="268" t="n">
        <f aca="false">IF(ISNUMBER(S31),IFERROR(LOOKUP(IF(S31&lt;=1,S31,S31/100),'⚖️ Wahrscheinlichkeit'!$B$17:$B$21,'⚖️ Wahrscheinlichkeit'!$D$17:$D$21),0),0)</f>
        <v>0</v>
      </c>
      <c r="AK31" s="1" t="str">
        <f aca="false">IF(AND(R31="WON",ISNUMBER(I31)),AL31+(861-ROW())*0.000001,"")</f>
        <v/>
      </c>
      <c r="AL31" s="1" t="n">
        <f aca="false">IFERROR(I31*1,0)</f>
        <v>0</v>
      </c>
      <c r="AM31" s="1" t="n">
        <f aca="false">N(AM30)+IF(AND(R31="WON",B31&lt;&gt;""),1,0)</f>
        <v>7</v>
      </c>
      <c r="AN31" s="1" t="n">
        <f aca="false">N(AN30)+IF(AND(OR(R31="offered",R31="to be offered",R31="on hold"),B31&lt;&gt;""),1,0)</f>
        <v>9</v>
      </c>
      <c r="AO31" s="1" t="n">
        <f aca="false">N(AO30)+IF(AND(OR(R31="follow-up",R31="Evaluation",R31="tbd",R31="In evaluation"),B31&lt;&gt;""),1,0)</f>
        <v>0</v>
      </c>
      <c r="AP31" s="1" t="n">
        <f aca="false">IF(B31="",0,IF(COUNTIF('⚖️ Wahrscheinlichkeit'!$J$17:$J$24,R31)&gt;0,1,0))</f>
        <v>0</v>
      </c>
      <c r="AQ31" s="1" t="n">
        <f aca="false">IF(B31="",0,IF(AND(ISNUMBER(S31),COUNTIF('⚖️ Wahrscheinlichkeit'!$B$6:$B$11,S31)&gt;0),1,0))</f>
        <v>1</v>
      </c>
      <c r="AR31" s="1" t="n">
        <f aca="false">IF(B31="",0,IF(AND(COUNT(J31:M31)=4,SUM(J31:M31)&gt;0),1,0))</f>
        <v>0</v>
      </c>
      <c r="AS31" s="1" t="n">
        <f aca="false">IF(B31="",0,IF(AND(AF31&lt;&gt;"",AG31&lt;&gt;""),1,0))</f>
        <v>0</v>
      </c>
      <c r="AT31" s="1" t="n">
        <f aca="false">IF(AND(R31="WON",AS31=1,AR31=1),1,0)</f>
        <v>0</v>
      </c>
      <c r="AU31" s="1" t="n">
        <f aca="false">IF(B31="",0,IF(AD31="Alternative – zählt nicht",0,1))</f>
        <v>1</v>
      </c>
      <c r="AV31" s="1" t="n">
        <f aca="false">IF(B31="",0,IF(COUNTIF($B$6:$B$860,B31)&gt;1,1,0))</f>
        <v>0</v>
      </c>
      <c r="AW31" s="1" t="s">
        <v>227</v>
      </c>
      <c r="AX31" s="269" t="str">
        <f aca="false">IF(AY31=1,DATE(YEAR(O31),MONTH(O31),1),"")</f>
        <v/>
      </c>
      <c r="AY31" s="1" t="n">
        <f aca="false">IF(B31="",0,IF(AND(ISNUMBER(O31),ISNUMBER(P31)),IF(P31&gt;=O31,1,0),0))</f>
        <v>0</v>
      </c>
      <c r="AZ31" s="1" t="n">
        <f aca="false">IF(ISNUMBER(Y31),Y31,0)</f>
        <v>0</v>
      </c>
      <c r="BA31" s="1" t="str">
        <f aca="false">IF(B31="","",IF(AND(R31="WON",AS31=0),"⛔ Beleg fehlt · ","")&amp;IF(AND(R31="WON",AR31=0),"⛔ Einstand fehlt · ","")&amp;IF(AND(R31&lt;&gt;"WON",AR31=0),"○ Einstand offen · ","")&amp;IF(AND(R31="WON",AB31=""),"⛔ Vertragsart fehlt · ","")&amp;IF(AND(ISNUMBER(O31),ISNUMBER(P31)),IF(P31&lt;O31,"⚠ Ende vor Start · ",""),"")&amp;IF(AND(R31="WON",AY31=0,NOT(AND(ISNUMBER(O31),ISNUMBER(P31)))),"⛔ Zeitraum fehlt · ","")&amp;IF(AND(R31&lt;&gt;"WON",AY31=0,NOT(AND(ISNUMBER(O31),ISNUMBER(P31)))),"○ Zeitraum offen · ",""))</f>
        <v>○ Einstand offen · ○ Zeitraum offen · </v>
      </c>
      <c r="BB31" s="1" t="str">
        <f aca="false">IF(B31="","",IF(AND(R31="WON",AS31=0),"⛔ Nachweis fehlt",IF(AND(ISNUMBER(O31),ISNUMBER(P31),P31&lt;O31),"⚠ Ende vor Start",IF(AND(R31="WON",AY31=0),"⛔ Zeitraum fehlt",IF(AR31=0,"○ Einstand offen",IF(AY31=0,"○ Zeitraum offen",IF(R31="WON","✅ belegt","✔ erfasst")))))))</f>
        <v>○ Einstand offen</v>
      </c>
    </row>
    <row r="32" customFormat="false" ht="38.25" hidden="false" customHeight="true" outlineLevel="0" collapsed="false">
      <c r="A32" s="258" t="n">
        <v>11</v>
      </c>
      <c r="B32" s="259" t="s">
        <v>353</v>
      </c>
      <c r="C32" s="258" t="s">
        <v>82</v>
      </c>
      <c r="D32" s="260" t="s">
        <v>293</v>
      </c>
      <c r="E32" s="260" t="s">
        <v>354</v>
      </c>
      <c r="F32" s="261" t="n">
        <v>150</v>
      </c>
      <c r="G32" s="258" t="n">
        <f aca="false">IF(B32="","",IF(AY32=1,P32-O32+1,IF(AW32="","",AW32)))</f>
        <v>14</v>
      </c>
      <c r="H32" s="262" t="s">
        <v>96</v>
      </c>
      <c r="I32" s="261" t="n">
        <v>0</v>
      </c>
      <c r="J32" s="261" t="n">
        <v>0</v>
      </c>
      <c r="K32" s="261" t="n">
        <v>0</v>
      </c>
      <c r="L32" s="261" t="n">
        <v>0</v>
      </c>
      <c r="M32" s="261" t="n">
        <v>0</v>
      </c>
      <c r="N32" s="261" t="n">
        <v>0</v>
      </c>
      <c r="O32" s="263"/>
      <c r="P32" s="263"/>
      <c r="Q32" s="261" t="n">
        <f aca="false">IF(AND(ISNUMBER(I32),ISNUMBER(S32)),I32*AJ32,IF(OR(I32&lt;&gt;"",S32&lt;&gt;""),"tbd",""))</f>
        <v>0</v>
      </c>
      <c r="R32" s="264" t="s">
        <v>228</v>
      </c>
      <c r="S32" s="265" t="n">
        <v>0</v>
      </c>
      <c r="T32" s="259" t="s">
        <v>220</v>
      </c>
      <c r="U32" s="260" t="s">
        <v>355</v>
      </c>
      <c r="V32" s="260" t="s">
        <v>356</v>
      </c>
      <c r="W32" s="258" t="s">
        <v>97</v>
      </c>
      <c r="X32" s="260" t="s">
        <v>357</v>
      </c>
      <c r="Y32" s="261" t="n">
        <f aca="false">IF(ISNUMBER(I32),I32/Netto_Faktor,"")</f>
        <v>0</v>
      </c>
      <c r="Z32" s="261" t="n">
        <f aca="false">IF(B32="","",IF(COUNT(J32:N32)=0,"",SUM(J32:N32)))</f>
        <v>0</v>
      </c>
      <c r="AA32" s="266"/>
      <c r="AB32" s="266"/>
      <c r="AC32" s="266"/>
      <c r="AD32" s="266"/>
      <c r="AE32" s="266"/>
      <c r="AF32" s="266"/>
      <c r="AG32" s="267"/>
      <c r="AH32" s="259" t="str">
        <f aca="false">IF(B32="","",IF(BA32="",IF(R32="WON","✅ belegt &amp; vollständig","✔ vollständig"),LEFT(BA32,LEN(BA32)-3)))</f>
        <v>○ Einstand offen · ○ Zeitraum offen</v>
      </c>
      <c r="AI32" s="265" t="n">
        <v>0</v>
      </c>
      <c r="AJ32" s="268" t="n">
        <f aca="false">IF(ISNUMBER(S32),IFERROR(LOOKUP(IF(S32&lt;=1,S32,S32/100),'⚖️ Wahrscheinlichkeit'!$B$17:$B$21,'⚖️ Wahrscheinlichkeit'!$D$17:$D$21),0),0)</f>
        <v>0</v>
      </c>
      <c r="AK32" s="1" t="str">
        <f aca="false">IF(AND(R32="WON",ISNUMBER(I32)),AL32+(861-ROW())*0.000001,"")</f>
        <v/>
      </c>
      <c r="AL32" s="1" t="n">
        <f aca="false">IFERROR(I32*1,0)</f>
        <v>0</v>
      </c>
      <c r="AM32" s="1" t="n">
        <f aca="false">N(AM31)+IF(AND(R32="WON",B32&lt;&gt;""),1,0)</f>
        <v>7</v>
      </c>
      <c r="AN32" s="1" t="n">
        <f aca="false">N(AN31)+IF(AND(OR(R32="offered",R32="to be offered",R32="on hold"),B32&lt;&gt;""),1,0)</f>
        <v>9</v>
      </c>
      <c r="AO32" s="1" t="n">
        <f aca="false">N(AO31)+IF(AND(OR(R32="follow-up",R32="Evaluation",R32="tbd",R32="In evaluation"),B32&lt;&gt;""),1,0)</f>
        <v>0</v>
      </c>
      <c r="AP32" s="1" t="n">
        <f aca="false">IF(B32="",0,IF(COUNTIF('⚖️ Wahrscheinlichkeit'!$J$17:$J$24,R32)&gt;0,1,0))</f>
        <v>0</v>
      </c>
      <c r="AQ32" s="1" t="n">
        <f aca="false">IF(B32="",0,IF(AND(ISNUMBER(S32),COUNTIF('⚖️ Wahrscheinlichkeit'!$B$6:$B$11,S32)&gt;0),1,0))</f>
        <v>1</v>
      </c>
      <c r="AR32" s="1" t="n">
        <f aca="false">IF(B32="",0,IF(AND(COUNT(J32:M32)=4,SUM(J32:M32)&gt;0),1,0))</f>
        <v>0</v>
      </c>
      <c r="AS32" s="1" t="n">
        <f aca="false">IF(B32="",0,IF(AND(AF32&lt;&gt;"",AG32&lt;&gt;""),1,0))</f>
        <v>0</v>
      </c>
      <c r="AT32" s="1" t="n">
        <f aca="false">IF(AND(R32="WON",AS32=1,AR32=1),1,0)</f>
        <v>0</v>
      </c>
      <c r="AU32" s="1" t="n">
        <f aca="false">IF(B32="",0,IF(AD32="Alternative – zählt nicht",0,1))</f>
        <v>1</v>
      </c>
      <c r="AV32" s="1" t="n">
        <f aca="false">IF(B32="",0,IF(COUNTIF($B$6:$B$860,B32)&gt;1,1,0))</f>
        <v>0</v>
      </c>
      <c r="AW32" s="1" t="n">
        <v>14</v>
      </c>
      <c r="AX32" s="269" t="str">
        <f aca="false">IF(AY32=1,DATE(YEAR(O32),MONTH(O32),1),"")</f>
        <v/>
      </c>
      <c r="AY32" s="1" t="n">
        <f aca="false">IF(B32="",0,IF(AND(ISNUMBER(O32),ISNUMBER(P32)),IF(P32&gt;=O32,1,0),0))</f>
        <v>0</v>
      </c>
      <c r="AZ32" s="270" t="n">
        <f aca="false">IF(ISNUMBER(Y32),Y32,0)</f>
        <v>0</v>
      </c>
      <c r="BA32" s="1" t="str">
        <f aca="false">IF(B32="","",IF(AND(R32="WON",AS32=0),"⛔ Beleg fehlt · ","")&amp;IF(AND(R32="WON",AR32=0),"⛔ Einstand fehlt · ","")&amp;IF(AND(R32&lt;&gt;"WON",AR32=0),"○ Einstand offen · ","")&amp;IF(AND(R32="WON",AB32=""),"⛔ Vertragsart fehlt · ","")&amp;IF(AND(ISNUMBER(O32),ISNUMBER(P32)),IF(P32&lt;O32,"⚠ Ende vor Start · ",""),"")&amp;IF(AND(R32="WON",AY32=0,NOT(AND(ISNUMBER(O32),ISNUMBER(P32)))),"⛔ Zeitraum fehlt · ","")&amp;IF(AND(R32&lt;&gt;"WON",AY32=0,NOT(AND(ISNUMBER(O32),ISNUMBER(P32)))),"○ Zeitraum offen · ",""))</f>
        <v>○ Einstand offen · ○ Zeitraum offen · </v>
      </c>
      <c r="BB32" s="1" t="str">
        <f aca="false">IF(B32="","",IF(AND(R32="WON",AS32=0),"⛔ Nachweis fehlt",IF(AND(ISNUMBER(O32),ISNUMBER(P32),P32&lt;O32),"⚠ Ende vor Start",IF(AND(R32="WON",AY32=0),"⛔ Zeitraum fehlt",IF(AR32=0,"○ Einstand offen",IF(AY32=0,"○ Zeitraum offen",IF(R32="WON","✅ belegt","✔ erfasst")))))))</f>
        <v>○ Einstand offen</v>
      </c>
    </row>
    <row r="33" customFormat="false" ht="51" hidden="false" customHeight="true" outlineLevel="0" collapsed="false">
      <c r="A33" s="258" t="n">
        <v>14</v>
      </c>
      <c r="B33" s="259" t="s">
        <v>358</v>
      </c>
      <c r="C33" s="258" t="s">
        <v>82</v>
      </c>
      <c r="D33" s="260" t="s">
        <v>359</v>
      </c>
      <c r="E33" s="260" t="s">
        <v>360</v>
      </c>
      <c r="F33" s="261" t="n">
        <v>450</v>
      </c>
      <c r="G33" s="258" t="str">
        <f aca="false">IF(B33="","",IF(AY33=1,P33-O33+1,IF(AW33="","",AW33)))</f>
        <v>tbd</v>
      </c>
      <c r="H33" s="262" t="s">
        <v>227</v>
      </c>
      <c r="I33" s="261" t="n">
        <v>17300</v>
      </c>
      <c r="J33" s="261" t="n">
        <v>0</v>
      </c>
      <c r="K33" s="261" t="n">
        <v>0</v>
      </c>
      <c r="L33" s="261" t="n">
        <v>0</v>
      </c>
      <c r="M33" s="261" t="n">
        <v>0</v>
      </c>
      <c r="N33" s="261" t="n">
        <v>0</v>
      </c>
      <c r="O33" s="263"/>
      <c r="P33" s="263"/>
      <c r="Q33" s="261" t="n">
        <f aca="false">IF(AND(ISNUMBER(I33),ISNUMBER(S33)),I33*AJ33,IF(OR(I33&lt;&gt;"",S33&lt;&gt;""),"tbd",""))</f>
        <v>0</v>
      </c>
      <c r="R33" s="264" t="s">
        <v>219</v>
      </c>
      <c r="S33" s="265" t="n">
        <v>0.3</v>
      </c>
      <c r="T33" s="259" t="s">
        <v>236</v>
      </c>
      <c r="U33" s="260" t="s">
        <v>361</v>
      </c>
      <c r="V33" s="260" t="s">
        <v>362</v>
      </c>
      <c r="W33" s="258" t="s">
        <v>97</v>
      </c>
      <c r="X33" s="260" t="s">
        <v>363</v>
      </c>
      <c r="Y33" s="261" t="n">
        <f aca="false">IF(ISNUMBER(I33),I33/Netto_Faktor,"")</f>
        <v>16003.7002775208</v>
      </c>
      <c r="Z33" s="261" t="n">
        <f aca="false">IF(B33="","",IF(COUNT(J33:N33)=0,"",SUM(J33:N33)))</f>
        <v>0</v>
      </c>
      <c r="AA33" s="266"/>
      <c r="AB33" s="266"/>
      <c r="AC33" s="266"/>
      <c r="AD33" s="266"/>
      <c r="AE33" s="266"/>
      <c r="AF33" s="266"/>
      <c r="AG33" s="267"/>
      <c r="AH33" s="259" t="str">
        <f aca="false">IF(B33="","",IF(BA33="",IF(R33="WON","✅ belegt &amp; vollständig","✔ vollständig"),LEFT(BA33,LEN(BA33)-3)))</f>
        <v>○ Einstand offen · ○ Zeitraum offen</v>
      </c>
      <c r="AI33" s="265" t="n">
        <v>0.2</v>
      </c>
      <c r="AJ33" s="268" t="n">
        <f aca="false">IF(ISNUMBER(S33),IFERROR(LOOKUP(IF(S33&lt;=1,S33,S33/100),'⚖️ Wahrscheinlichkeit'!$B$17:$B$21,'⚖️ Wahrscheinlichkeit'!$D$17:$D$21),0),0)</f>
        <v>0</v>
      </c>
      <c r="AK33" s="1" t="str">
        <f aca="false">IF(AND(R33="WON",ISNUMBER(I33)),AL33+(861-ROW())*0.000001,"")</f>
        <v/>
      </c>
      <c r="AL33" s="1" t="n">
        <f aca="false">IFERROR(I33*1,0)</f>
        <v>17300</v>
      </c>
      <c r="AM33" s="1" t="n">
        <f aca="false">N(AM32)+IF(AND(R33="WON",B33&lt;&gt;""),1,0)</f>
        <v>7</v>
      </c>
      <c r="AN33" s="1" t="n">
        <f aca="false">N(AN32)+IF(AND(OR(R33="offered",R33="to be offered",R33="on hold"),B33&lt;&gt;""),1,0)</f>
        <v>10</v>
      </c>
      <c r="AO33" s="1" t="n">
        <f aca="false">N(AO32)+IF(AND(OR(R33="follow-up",R33="Evaluation",R33="tbd",R33="In evaluation"),B33&lt;&gt;""),1,0)</f>
        <v>0</v>
      </c>
      <c r="AP33" s="1" t="n">
        <f aca="false">IF(B33="",0,IF(COUNTIF('⚖️ Wahrscheinlichkeit'!$J$17:$J$24,R33)&gt;0,1,0))</f>
        <v>1</v>
      </c>
      <c r="AQ33" s="1" t="n">
        <f aca="false">IF(B33="",0,IF(AND(ISNUMBER(S33),COUNTIF('⚖️ Wahrscheinlichkeit'!$B$6:$B$11,S33)&gt;0),1,0))</f>
        <v>1</v>
      </c>
      <c r="AR33" s="1" t="n">
        <f aca="false">IF(B33="",0,IF(AND(COUNT(J33:M33)=4,SUM(J33:M33)&gt;0),1,0))</f>
        <v>0</v>
      </c>
      <c r="AS33" s="1" t="n">
        <f aca="false">IF(B33="",0,IF(AND(AF33&lt;&gt;"",AG33&lt;&gt;""),1,0))</f>
        <v>0</v>
      </c>
      <c r="AT33" s="1" t="n">
        <f aca="false">IF(AND(R33="WON",AS33=1,AR33=1),1,0)</f>
        <v>0</v>
      </c>
      <c r="AU33" s="1" t="n">
        <f aca="false">IF(B33="",0,IF(AD33="Alternative – zählt nicht",0,1))</f>
        <v>1</v>
      </c>
      <c r="AV33" s="1" t="n">
        <f aca="false">IF(B33="",0,IF(COUNTIF($B$6:$B$860,B33)&gt;1,1,0))</f>
        <v>1</v>
      </c>
      <c r="AW33" s="1" t="s">
        <v>227</v>
      </c>
      <c r="AX33" s="269" t="str">
        <f aca="false">IF(AY33=1,DATE(YEAR(O33),MONTH(O33),1),"")</f>
        <v/>
      </c>
      <c r="AY33" s="1" t="n">
        <f aca="false">IF(B33="",0,IF(AND(ISNUMBER(O33),ISNUMBER(P33)),IF(P33&gt;=O33,1,0),0))</f>
        <v>0</v>
      </c>
      <c r="AZ33" s="270" t="n">
        <f aca="false">IF(ISNUMBER(Y33),Y33,0)</f>
        <v>16003.7002775208</v>
      </c>
      <c r="BA33" s="1" t="str">
        <f aca="false">IF(B33="","",IF(AND(R33="WON",AS33=0),"⛔ Beleg fehlt · ","")&amp;IF(AND(R33="WON",AR33=0),"⛔ Einstand fehlt · ","")&amp;IF(AND(R33&lt;&gt;"WON",AR33=0),"○ Einstand offen · ","")&amp;IF(AND(R33="WON",AB33=""),"⛔ Vertragsart fehlt · ","")&amp;IF(AND(ISNUMBER(O33),ISNUMBER(P33)),IF(P33&lt;O33,"⚠ Ende vor Start · ",""),"")&amp;IF(AND(R33="WON",AY33=0,NOT(AND(ISNUMBER(O33),ISNUMBER(P33)))),"⛔ Zeitraum fehlt · ","")&amp;IF(AND(R33&lt;&gt;"WON",AY33=0,NOT(AND(ISNUMBER(O33),ISNUMBER(P33)))),"○ Zeitraum offen · ",""))</f>
        <v>○ Einstand offen · ○ Zeitraum offen · </v>
      </c>
      <c r="BB33" s="1" t="str">
        <f aca="false">IF(B33="","",IF(AND(R33="WON",AS33=0),"⛔ Nachweis fehlt",IF(AND(ISNUMBER(O33),ISNUMBER(P33),P33&lt;O33),"⚠ Ende vor Start",IF(AND(R33="WON",AY33=0),"⛔ Zeitraum fehlt",IF(AR33=0,"○ Einstand offen",IF(AY33=0,"○ Zeitraum offen",IF(R33="WON","✅ belegt","✔ erfasst")))))))</f>
        <v>○ Einstand offen</v>
      </c>
    </row>
    <row r="34" customFormat="false" ht="38.25" hidden="false" customHeight="true" outlineLevel="0" collapsed="false">
      <c r="A34" s="258" t="n">
        <v>26</v>
      </c>
      <c r="B34" s="259" t="s">
        <v>364</v>
      </c>
      <c r="C34" s="258" t="s">
        <v>72</v>
      </c>
      <c r="D34" s="260" t="s">
        <v>365</v>
      </c>
      <c r="E34" s="260" t="s">
        <v>366</v>
      </c>
      <c r="F34" s="261" t="n">
        <v>200</v>
      </c>
      <c r="G34" s="262" t="str">
        <f aca="false">IF(B34="","",IF(AY34=1,P34-O34+1,IF(AW34="","",AW34)))</f>
        <v>tbd</v>
      </c>
      <c r="H34" s="262" t="s">
        <v>227</v>
      </c>
      <c r="I34" s="261" t="n">
        <v>0</v>
      </c>
      <c r="J34" s="261" t="n">
        <v>0</v>
      </c>
      <c r="K34" s="261" t="n">
        <v>0</v>
      </c>
      <c r="L34" s="261" t="n">
        <v>0</v>
      </c>
      <c r="M34" s="261" t="n">
        <v>0</v>
      </c>
      <c r="N34" s="261" t="n">
        <v>0</v>
      </c>
      <c r="O34" s="263"/>
      <c r="P34" s="263"/>
      <c r="Q34" s="261" t="n">
        <f aca="false">IF(AND(ISNUMBER(I34),ISNUMBER(S34)),I34*AJ34,IF(OR(I34&lt;&gt;"",S34&lt;&gt;""),"tbd",""))</f>
        <v>0</v>
      </c>
      <c r="R34" s="264" t="s">
        <v>228</v>
      </c>
      <c r="S34" s="265" t="n">
        <v>0</v>
      </c>
      <c r="T34" s="259" t="s">
        <v>236</v>
      </c>
      <c r="U34" s="260" t="s">
        <v>342</v>
      </c>
      <c r="V34" s="260" t="s">
        <v>367</v>
      </c>
      <c r="W34" s="258" t="s">
        <v>97</v>
      </c>
      <c r="X34" s="260" t="s">
        <v>368</v>
      </c>
      <c r="Y34" s="261" t="n">
        <f aca="false">IF(ISNUMBER(I34),I34/Netto_Faktor,"")</f>
        <v>0</v>
      </c>
      <c r="Z34" s="261" t="n">
        <f aca="false">IF(B34="","",IF(COUNT(J34:N34)=0,"",SUM(J34:N34)))</f>
        <v>0</v>
      </c>
      <c r="AA34" s="266"/>
      <c r="AB34" s="266"/>
      <c r="AC34" s="266"/>
      <c r="AD34" s="266"/>
      <c r="AE34" s="266"/>
      <c r="AF34" s="266"/>
      <c r="AG34" s="267"/>
      <c r="AH34" s="259" t="str">
        <f aca="false">IF(B34="","",IF(BA34="",IF(R34="WON","✅ belegt &amp; vollständig","✔ vollständig"),LEFT(BA34,LEN(BA34)-3)))</f>
        <v>○ Einstand offen · ○ Zeitraum offen</v>
      </c>
      <c r="AI34" s="265" t="n">
        <v>0</v>
      </c>
      <c r="AJ34" s="268" t="n">
        <f aca="false">IF(ISNUMBER(S34),IFERROR(LOOKUP(IF(S34&lt;=1,S34,S34/100),'⚖️ Wahrscheinlichkeit'!$B$17:$B$21,'⚖️ Wahrscheinlichkeit'!$D$17:$D$21),0),0)</f>
        <v>0</v>
      </c>
      <c r="AK34" s="1" t="str">
        <f aca="false">IF(AND(R34="WON",ISNUMBER(I34)),AL34+(861-ROW())*0.000001,"")</f>
        <v/>
      </c>
      <c r="AL34" s="1" t="n">
        <f aca="false">IFERROR(I34*1,0)</f>
        <v>0</v>
      </c>
      <c r="AM34" s="1" t="n">
        <f aca="false">N(AM33)+IF(AND(R34="WON",B34&lt;&gt;""),1,0)</f>
        <v>7</v>
      </c>
      <c r="AN34" s="1" t="n">
        <f aca="false">N(AN33)+IF(AND(OR(R34="offered",R34="to be offered",R34="on hold"),B34&lt;&gt;""),1,0)</f>
        <v>10</v>
      </c>
      <c r="AO34" s="1" t="n">
        <f aca="false">N(AO33)+IF(AND(OR(R34="follow-up",R34="Evaluation",R34="tbd",R34="In evaluation"),B34&lt;&gt;""),1,0)</f>
        <v>0</v>
      </c>
      <c r="AP34" s="1" t="n">
        <f aca="false">IF(B34="",0,IF(COUNTIF('⚖️ Wahrscheinlichkeit'!$J$17:$J$24,R34)&gt;0,1,0))</f>
        <v>0</v>
      </c>
      <c r="AQ34" s="1" t="n">
        <f aca="false">IF(B34="",0,IF(AND(ISNUMBER(S34),COUNTIF('⚖️ Wahrscheinlichkeit'!$B$6:$B$11,S34)&gt;0),1,0))</f>
        <v>1</v>
      </c>
      <c r="AR34" s="1" t="n">
        <f aca="false">IF(B34="",0,IF(AND(COUNT(J34:M34)=4,SUM(J34:M34)&gt;0),1,0))</f>
        <v>0</v>
      </c>
      <c r="AS34" s="1" t="n">
        <f aca="false">IF(B34="",0,IF(AND(AF34&lt;&gt;"",AG34&lt;&gt;""),1,0))</f>
        <v>0</v>
      </c>
      <c r="AT34" s="1" t="n">
        <f aca="false">IF(AND(R34="WON",AS34=1,AR34=1),1,0)</f>
        <v>0</v>
      </c>
      <c r="AU34" s="1" t="n">
        <f aca="false">IF(B34="",0,IF(AD34="Alternative – zählt nicht",0,1))</f>
        <v>1</v>
      </c>
      <c r="AV34" s="1" t="n">
        <f aca="false">IF(B34="",0,IF(COUNTIF($B$6:$B$860,B34)&gt;1,1,0))</f>
        <v>0</v>
      </c>
      <c r="AW34" s="1" t="s">
        <v>227</v>
      </c>
      <c r="AX34" s="269" t="str">
        <f aca="false">IF(AY34=1,DATE(YEAR(O34),MONTH(O34),1),"")</f>
        <v/>
      </c>
      <c r="AY34" s="1" t="n">
        <f aca="false">IF(B34="",0,IF(AND(ISNUMBER(O34),ISNUMBER(P34)),IF(P34&gt;=O34,1,0),0))</f>
        <v>0</v>
      </c>
      <c r="AZ34" s="270" t="n">
        <f aca="false">IF(ISNUMBER(Y34),Y34,0)</f>
        <v>0</v>
      </c>
      <c r="BA34" s="1" t="str">
        <f aca="false">IF(B34="","",IF(AND(R34="WON",AS34=0),"⛔ Beleg fehlt · ","")&amp;IF(AND(R34="WON",AR34=0),"⛔ Einstand fehlt · ","")&amp;IF(AND(R34&lt;&gt;"WON",AR34=0),"○ Einstand offen · ","")&amp;IF(AND(R34="WON",AB34=""),"⛔ Vertragsart fehlt · ","")&amp;IF(AND(ISNUMBER(O34),ISNUMBER(P34)),IF(P34&lt;O34,"⚠ Ende vor Start · ",""),"")&amp;IF(AND(R34="WON",AY34=0,NOT(AND(ISNUMBER(O34),ISNUMBER(P34)))),"⛔ Zeitraum fehlt · ","")&amp;IF(AND(R34&lt;&gt;"WON",AY34=0,NOT(AND(ISNUMBER(O34),ISNUMBER(P34)))),"○ Zeitraum offen · ",""))</f>
        <v>○ Einstand offen · ○ Zeitraum offen · </v>
      </c>
      <c r="BB34" s="1" t="str">
        <f aca="false">IF(B34="","",IF(AND(R34="WON",AS34=0),"⛔ Nachweis fehlt",IF(AND(ISNUMBER(O34),ISNUMBER(P34),P34&lt;O34),"⚠ Ende vor Start",IF(AND(R34="WON",AY34=0),"⛔ Zeitraum fehlt",IF(AR34=0,"○ Einstand offen",IF(AY34=0,"○ Zeitraum offen",IF(R34="WON","✅ belegt","✔ erfasst")))))))</f>
        <v>○ Einstand offen</v>
      </c>
    </row>
    <row r="35" customFormat="false" ht="51" hidden="false" customHeight="true" outlineLevel="0" collapsed="false">
      <c r="A35" s="258" t="n">
        <v>14</v>
      </c>
      <c r="B35" s="259" t="s">
        <v>358</v>
      </c>
      <c r="C35" s="258" t="s">
        <v>82</v>
      </c>
      <c r="D35" s="260" t="s">
        <v>359</v>
      </c>
      <c r="E35" s="260" t="s">
        <v>369</v>
      </c>
      <c r="F35" s="261" t="n">
        <v>450</v>
      </c>
      <c r="G35" s="258" t="str">
        <f aca="false">IF(B35="","",IF(AY35=1,P35-O35+1,IF(AW35="","",AW35)))</f>
        <v>tbd</v>
      </c>
      <c r="H35" s="262" t="s">
        <v>227</v>
      </c>
      <c r="I35" s="261" t="n">
        <v>21025</v>
      </c>
      <c r="J35" s="261" t="n">
        <v>0</v>
      </c>
      <c r="K35" s="261" t="n">
        <v>0</v>
      </c>
      <c r="L35" s="261" t="n">
        <v>0</v>
      </c>
      <c r="M35" s="261" t="n">
        <v>0</v>
      </c>
      <c r="N35" s="261" t="n">
        <v>0</v>
      </c>
      <c r="O35" s="263"/>
      <c r="P35" s="263"/>
      <c r="Q35" s="261" t="n">
        <f aca="false">IF(AND(ISNUMBER(I35),ISNUMBER(S35)),I35*AJ35,IF(OR(I35&lt;&gt;"",S35&lt;&gt;""),"tbd",""))</f>
        <v>0</v>
      </c>
      <c r="R35" s="264" t="s">
        <v>219</v>
      </c>
      <c r="S35" s="265" t="n">
        <v>0.3</v>
      </c>
      <c r="T35" s="259" t="s">
        <v>236</v>
      </c>
      <c r="U35" s="260" t="s">
        <v>361</v>
      </c>
      <c r="V35" s="260" t="s">
        <v>362</v>
      </c>
      <c r="W35" s="258" t="s">
        <v>97</v>
      </c>
      <c r="X35" s="260" t="s">
        <v>363</v>
      </c>
      <c r="Y35" s="261" t="n">
        <f aca="false">IF(ISNUMBER(I35),I35/Netto_Faktor,"")</f>
        <v>19449.5837187789</v>
      </c>
      <c r="Z35" s="261" t="n">
        <f aca="false">IF(B35="","",IF(COUNT(J35:N35)=0,"",SUM(J35:N35)))</f>
        <v>0</v>
      </c>
      <c r="AA35" s="266"/>
      <c r="AB35" s="266"/>
      <c r="AC35" s="266"/>
      <c r="AD35" s="266"/>
      <c r="AE35" s="266"/>
      <c r="AF35" s="266"/>
      <c r="AG35" s="267"/>
      <c r="AH35" s="259" t="str">
        <f aca="false">IF(B35="","",IF(BA35="",IF(R35="WON","✅ belegt &amp; vollständig","✔ vollständig"),LEFT(BA35,LEN(BA35)-3)))</f>
        <v>○ Einstand offen · ○ Zeitraum offen</v>
      </c>
      <c r="AI35" s="265" t="n">
        <v>0.2</v>
      </c>
      <c r="AJ35" s="268" t="n">
        <f aca="false">IF(ISNUMBER(S35),IFERROR(LOOKUP(IF(S35&lt;=1,S35,S35/100),'⚖️ Wahrscheinlichkeit'!$B$17:$B$21,'⚖️ Wahrscheinlichkeit'!$D$17:$D$21),0),0)</f>
        <v>0</v>
      </c>
      <c r="AK35" s="1" t="str">
        <f aca="false">IF(AND(R35="WON",ISNUMBER(I35)),AL35+(861-ROW())*0.000001,"")</f>
        <v/>
      </c>
      <c r="AL35" s="1" t="n">
        <f aca="false">IFERROR(I35*1,0)</f>
        <v>21025</v>
      </c>
      <c r="AM35" s="1" t="n">
        <f aca="false">N(AM34)+IF(AND(R35="WON",B35&lt;&gt;""),1,0)</f>
        <v>7</v>
      </c>
      <c r="AN35" s="1" t="n">
        <f aca="false">N(AN34)+IF(AND(OR(R35="offered",R35="to be offered",R35="on hold"),B35&lt;&gt;""),1,0)</f>
        <v>11</v>
      </c>
      <c r="AO35" s="1" t="n">
        <f aca="false">N(AO34)+IF(AND(OR(R35="follow-up",R35="Evaluation",R35="tbd",R35="In evaluation"),B35&lt;&gt;""),1,0)</f>
        <v>0</v>
      </c>
      <c r="AP35" s="1" t="n">
        <f aca="false">IF(B35="",0,IF(COUNTIF('⚖️ Wahrscheinlichkeit'!$J$17:$J$24,R35)&gt;0,1,0))</f>
        <v>1</v>
      </c>
      <c r="AQ35" s="1" t="n">
        <f aca="false">IF(B35="",0,IF(AND(ISNUMBER(S35),COUNTIF('⚖️ Wahrscheinlichkeit'!$B$6:$B$11,S35)&gt;0),1,0))</f>
        <v>1</v>
      </c>
      <c r="AR35" s="1" t="n">
        <f aca="false">IF(B35="",0,IF(AND(COUNT(J35:M35)=4,SUM(J35:M35)&gt;0),1,0))</f>
        <v>0</v>
      </c>
      <c r="AS35" s="1" t="n">
        <f aca="false">IF(B35="",0,IF(AND(AF35&lt;&gt;"",AG35&lt;&gt;""),1,0))</f>
        <v>0</v>
      </c>
      <c r="AT35" s="1" t="n">
        <f aca="false">IF(AND(R35="WON",AS35=1,AR35=1),1,0)</f>
        <v>0</v>
      </c>
      <c r="AU35" s="1" t="n">
        <f aca="false">IF(B35="",0,IF(AD35="Alternative – zählt nicht",0,1))</f>
        <v>1</v>
      </c>
      <c r="AV35" s="1" t="n">
        <f aca="false">IF(B35="",0,IF(COUNTIF($B$6:$B$860,B35)&gt;1,1,0))</f>
        <v>1</v>
      </c>
      <c r="AW35" s="1" t="s">
        <v>227</v>
      </c>
      <c r="AX35" s="269" t="str">
        <f aca="false">IF(AY35=1,DATE(YEAR(O35),MONTH(O35),1),"")</f>
        <v/>
      </c>
      <c r="AY35" s="1" t="n">
        <f aca="false">IF(B35="",0,IF(AND(ISNUMBER(O35),ISNUMBER(P35)),IF(P35&gt;=O35,1,0),0))</f>
        <v>0</v>
      </c>
      <c r="AZ35" s="270" t="n">
        <f aca="false">IF(ISNUMBER(Y35),Y35,0)</f>
        <v>19449.5837187789</v>
      </c>
      <c r="BA35" s="1" t="str">
        <f aca="false">IF(B35="","",IF(AND(R35="WON",AS35=0),"⛔ Beleg fehlt · ","")&amp;IF(AND(R35="WON",AR35=0),"⛔ Einstand fehlt · ","")&amp;IF(AND(R35&lt;&gt;"WON",AR35=0),"○ Einstand offen · ","")&amp;IF(AND(R35="WON",AB35=""),"⛔ Vertragsart fehlt · ","")&amp;IF(AND(ISNUMBER(O35),ISNUMBER(P35)),IF(P35&lt;O35,"⚠ Ende vor Start · ",""),"")&amp;IF(AND(R35="WON",AY35=0,NOT(AND(ISNUMBER(O35),ISNUMBER(P35)))),"⛔ Zeitraum fehlt · ","")&amp;IF(AND(R35&lt;&gt;"WON",AY35=0,NOT(AND(ISNUMBER(O35),ISNUMBER(P35)))),"○ Zeitraum offen · ",""))</f>
        <v>○ Einstand offen · ○ Zeitraum offen · </v>
      </c>
      <c r="BB35" s="1" t="str">
        <f aca="false">IF(B35="","",IF(AND(R35="WON",AS35=0),"⛔ Nachweis fehlt",IF(AND(ISNUMBER(O35),ISNUMBER(P35),P35&lt;O35),"⚠ Ende vor Start",IF(AND(R35="WON",AY35=0),"⛔ Zeitraum fehlt",IF(AR35=0,"○ Einstand offen",IF(AY35=0,"○ Zeitraum offen",IF(R35="WON","✅ belegt","✔ erfasst")))))))</f>
        <v>○ Einstand offen</v>
      </c>
    </row>
    <row r="36" customFormat="false" ht="51" hidden="false" customHeight="true" outlineLevel="0" collapsed="false">
      <c r="A36" s="258" t="n">
        <v>14</v>
      </c>
      <c r="B36" s="259" t="s">
        <v>358</v>
      </c>
      <c r="C36" s="258" t="s">
        <v>82</v>
      </c>
      <c r="D36" s="260" t="s">
        <v>359</v>
      </c>
      <c r="E36" s="260" t="s">
        <v>370</v>
      </c>
      <c r="F36" s="261" t="n">
        <v>450</v>
      </c>
      <c r="G36" s="258" t="str">
        <f aca="false">IF(B36="","",IF(AY36=1,P36-O36+1,IF(AW36="","",AW36)))</f>
        <v>tbd</v>
      </c>
      <c r="H36" s="262" t="s">
        <v>227</v>
      </c>
      <c r="I36" s="261" t="n">
        <v>37444</v>
      </c>
      <c r="J36" s="261" t="n">
        <v>0</v>
      </c>
      <c r="K36" s="261" t="n">
        <v>0</v>
      </c>
      <c r="L36" s="261" t="n">
        <v>0</v>
      </c>
      <c r="M36" s="261" t="n">
        <v>0</v>
      </c>
      <c r="N36" s="261" t="n">
        <v>0</v>
      </c>
      <c r="O36" s="263"/>
      <c r="P36" s="263"/>
      <c r="Q36" s="261" t="n">
        <f aca="false">IF(AND(ISNUMBER(I36),ISNUMBER(S36)),I36*AJ36,IF(OR(I36&lt;&gt;"",S36&lt;&gt;""),"tbd",""))</f>
        <v>0</v>
      </c>
      <c r="R36" s="264" t="s">
        <v>219</v>
      </c>
      <c r="S36" s="265" t="n">
        <v>0.3</v>
      </c>
      <c r="T36" s="259" t="s">
        <v>236</v>
      </c>
      <c r="U36" s="260" t="s">
        <v>361</v>
      </c>
      <c r="V36" s="260" t="s">
        <v>362</v>
      </c>
      <c r="W36" s="258" t="s">
        <v>97</v>
      </c>
      <c r="X36" s="260" t="s">
        <v>363</v>
      </c>
      <c r="Y36" s="261" t="n">
        <f aca="false">IF(ISNUMBER(I36),I36/Netto_Faktor,"")</f>
        <v>34638.2978723404</v>
      </c>
      <c r="Z36" s="261" t="n">
        <f aca="false">IF(B36="","",IF(COUNT(J36:N36)=0,"",SUM(J36:N36)))</f>
        <v>0</v>
      </c>
      <c r="AA36" s="266"/>
      <c r="AB36" s="266"/>
      <c r="AC36" s="266"/>
      <c r="AD36" s="266"/>
      <c r="AE36" s="266"/>
      <c r="AF36" s="266"/>
      <c r="AG36" s="267"/>
      <c r="AH36" s="259" t="str">
        <f aca="false">IF(B36="","",IF(BA36="",IF(R36="WON","✅ belegt &amp; vollständig","✔ vollständig"),LEFT(BA36,LEN(BA36)-3)))</f>
        <v>○ Einstand offen · ○ Zeitraum offen</v>
      </c>
      <c r="AI36" s="265" t="n">
        <v>0.2</v>
      </c>
      <c r="AJ36" s="268" t="n">
        <f aca="false">IF(ISNUMBER(S36),IFERROR(LOOKUP(IF(S36&lt;=1,S36,S36/100),'⚖️ Wahrscheinlichkeit'!$B$17:$B$21,'⚖️ Wahrscheinlichkeit'!$D$17:$D$21),0),0)</f>
        <v>0</v>
      </c>
      <c r="AK36" s="1" t="str">
        <f aca="false">IF(AND(R36="WON",ISNUMBER(I36)),AL36+(861-ROW())*0.000001,"")</f>
        <v/>
      </c>
      <c r="AL36" s="1" t="n">
        <f aca="false">IFERROR(I36*1,0)</f>
        <v>37444</v>
      </c>
      <c r="AM36" s="1" t="n">
        <f aca="false">N(AM35)+IF(AND(R36="WON",B36&lt;&gt;""),1,0)</f>
        <v>7</v>
      </c>
      <c r="AN36" s="1" t="n">
        <f aca="false">N(AN35)+IF(AND(OR(R36="offered",R36="to be offered",R36="on hold"),B36&lt;&gt;""),1,0)</f>
        <v>12</v>
      </c>
      <c r="AO36" s="1" t="n">
        <f aca="false">N(AO35)+IF(AND(OR(R36="follow-up",R36="Evaluation",R36="tbd",R36="In evaluation"),B36&lt;&gt;""),1,0)</f>
        <v>0</v>
      </c>
      <c r="AP36" s="1" t="n">
        <f aca="false">IF(B36="",0,IF(COUNTIF('⚖️ Wahrscheinlichkeit'!$J$17:$J$24,R36)&gt;0,1,0))</f>
        <v>1</v>
      </c>
      <c r="AQ36" s="1" t="n">
        <f aca="false">IF(B36="",0,IF(AND(ISNUMBER(S36),COUNTIF('⚖️ Wahrscheinlichkeit'!$B$6:$B$11,S36)&gt;0),1,0))</f>
        <v>1</v>
      </c>
      <c r="AR36" s="1" t="n">
        <f aca="false">IF(B36="",0,IF(AND(COUNT(J36:M36)=4,SUM(J36:M36)&gt;0),1,0))</f>
        <v>0</v>
      </c>
      <c r="AS36" s="1" t="n">
        <f aca="false">IF(B36="",0,IF(AND(AF36&lt;&gt;"",AG36&lt;&gt;""),1,0))</f>
        <v>0</v>
      </c>
      <c r="AT36" s="1" t="n">
        <f aca="false">IF(AND(R36="WON",AS36=1,AR36=1),1,0)</f>
        <v>0</v>
      </c>
      <c r="AU36" s="1" t="n">
        <f aca="false">IF(B36="",0,IF(AD36="Alternative – zählt nicht",0,1))</f>
        <v>1</v>
      </c>
      <c r="AV36" s="1" t="n">
        <f aca="false">IF(B36="",0,IF(COUNTIF($B$6:$B$860,B36)&gt;1,1,0))</f>
        <v>1</v>
      </c>
      <c r="AW36" s="1" t="s">
        <v>227</v>
      </c>
      <c r="AX36" s="269" t="str">
        <f aca="false">IF(AY36=1,DATE(YEAR(O36),MONTH(O36),1),"")</f>
        <v/>
      </c>
      <c r="AY36" s="1" t="n">
        <f aca="false">IF(B36="",0,IF(AND(ISNUMBER(O36),ISNUMBER(P36)),IF(P36&gt;=O36,1,0),0))</f>
        <v>0</v>
      </c>
      <c r="AZ36" s="270" t="n">
        <f aca="false">IF(ISNUMBER(Y36),Y36,0)</f>
        <v>34638.2978723404</v>
      </c>
      <c r="BA36" s="1" t="str">
        <f aca="false">IF(B36="","",IF(AND(R36="WON",AS36=0),"⛔ Beleg fehlt · ","")&amp;IF(AND(R36="WON",AR36=0),"⛔ Einstand fehlt · ","")&amp;IF(AND(R36&lt;&gt;"WON",AR36=0),"○ Einstand offen · ","")&amp;IF(AND(R36="WON",AB36=""),"⛔ Vertragsart fehlt · ","")&amp;IF(AND(ISNUMBER(O36),ISNUMBER(P36)),IF(P36&lt;O36,"⚠ Ende vor Start · ",""),"")&amp;IF(AND(R36="WON",AY36=0,NOT(AND(ISNUMBER(O36),ISNUMBER(P36)))),"⛔ Zeitraum fehlt · ","")&amp;IF(AND(R36&lt;&gt;"WON",AY36=0,NOT(AND(ISNUMBER(O36),ISNUMBER(P36)))),"○ Zeitraum offen · ",""))</f>
        <v>○ Einstand offen · ○ Zeitraum offen · </v>
      </c>
      <c r="BB36" s="1" t="str">
        <f aca="false">IF(B36="","",IF(AND(R36="WON",AS36=0),"⛔ Nachweis fehlt",IF(AND(ISNUMBER(O36),ISNUMBER(P36),P36&lt;O36),"⚠ Ende vor Start",IF(AND(R36="WON",AY36=0),"⛔ Zeitraum fehlt",IF(AR36=0,"○ Einstand offen",IF(AY36=0,"○ Zeitraum offen",IF(R36="WON","✅ belegt","✔ erfasst")))))))</f>
        <v>○ Einstand offen</v>
      </c>
    </row>
    <row r="37" customFormat="false" ht="38.25" hidden="false" customHeight="true" outlineLevel="0" collapsed="false">
      <c r="A37" s="258" t="n">
        <v>27</v>
      </c>
      <c r="B37" s="259" t="s">
        <v>371</v>
      </c>
      <c r="C37" s="258" t="s">
        <v>73</v>
      </c>
      <c r="D37" s="260" t="s">
        <v>281</v>
      </c>
      <c r="E37" s="260" t="s">
        <v>372</v>
      </c>
      <c r="F37" s="274" t="s">
        <v>373</v>
      </c>
      <c r="G37" s="258" t="str">
        <f aca="false">IF(B37="","",IF(AY37=1,P37-O37+1,IF(AW37="","",AW37)))</f>
        <v>inf</v>
      </c>
      <c r="H37" s="262" t="s">
        <v>227</v>
      </c>
      <c r="I37" s="261" t="n">
        <f aca="false">416100+7665+2190</f>
        <v>425955</v>
      </c>
      <c r="J37" s="261" t="n">
        <v>416100</v>
      </c>
      <c r="K37" s="261" t="n">
        <v>7620</v>
      </c>
      <c r="L37" s="261" t="n">
        <v>0</v>
      </c>
      <c r="M37" s="261" t="n">
        <v>0</v>
      </c>
      <c r="N37" s="261" t="n">
        <v>0</v>
      </c>
      <c r="O37" s="263"/>
      <c r="P37" s="263"/>
      <c r="Q37" s="261" t="n">
        <f aca="false">IF(AND(ISNUMBER(I37),ISNUMBER(S37)),I37*AJ37,IF(OR(I37&lt;&gt;"",S37&lt;&gt;""),"tbd",""))</f>
        <v>0</v>
      </c>
      <c r="R37" s="264" t="s">
        <v>219</v>
      </c>
      <c r="S37" s="265" t="n">
        <v>0.3</v>
      </c>
      <c r="T37" s="259" t="s">
        <v>220</v>
      </c>
      <c r="U37" s="260" t="s">
        <v>283</v>
      </c>
      <c r="V37" s="260" t="s">
        <v>297</v>
      </c>
      <c r="W37" s="258" t="s">
        <v>97</v>
      </c>
      <c r="X37" s="260" t="s">
        <v>374</v>
      </c>
      <c r="Y37" s="261" t="n">
        <f aca="false">IF(ISNUMBER(I37),I37/Netto_Faktor,"")</f>
        <v>394037.927844588</v>
      </c>
      <c r="Z37" s="261" t="n">
        <f aca="false">IF(B37="","",IF(COUNT(J37:N37)=0,"",SUM(J37:N37)))</f>
        <v>423720</v>
      </c>
      <c r="AA37" s="266"/>
      <c r="AB37" s="266"/>
      <c r="AC37" s="266"/>
      <c r="AD37" s="266"/>
      <c r="AE37" s="266"/>
      <c r="AF37" s="266"/>
      <c r="AG37" s="267"/>
      <c r="AH37" s="259" t="str">
        <f aca="false">IF(B37="","",IF(BA37="",IF(R37="WON","✅ belegt &amp; vollständig","✔ vollständig"),LEFT(BA37,LEN(BA37)-3)))</f>
        <v>○ Zeitraum offen</v>
      </c>
      <c r="AI37" s="265" t="n">
        <v>0.2</v>
      </c>
      <c r="AJ37" s="268" t="n">
        <f aca="false">IF(ISNUMBER(S37),IFERROR(LOOKUP(IF(S37&lt;=1,S37,S37/100),'⚖️ Wahrscheinlichkeit'!$B$17:$B$21,'⚖️ Wahrscheinlichkeit'!$D$17:$D$21),0),0)</f>
        <v>0</v>
      </c>
      <c r="AK37" s="1" t="str">
        <f aca="false">IF(AND(R37="WON",ISNUMBER(I37)),AL37+(861-ROW())*0.000001,"")</f>
        <v/>
      </c>
      <c r="AL37" s="1" t="n">
        <f aca="false">IFERROR(I37*1,0)</f>
        <v>425955</v>
      </c>
      <c r="AM37" s="1" t="n">
        <f aca="false">N(AM36)+IF(AND(R37="WON",B37&lt;&gt;""),1,0)</f>
        <v>7</v>
      </c>
      <c r="AN37" s="1" t="n">
        <f aca="false">N(AN36)+IF(AND(OR(R37="offered",R37="to be offered",R37="on hold"),B37&lt;&gt;""),1,0)</f>
        <v>13</v>
      </c>
      <c r="AO37" s="1" t="n">
        <f aca="false">N(AO36)+IF(AND(OR(R37="follow-up",R37="Evaluation",R37="tbd",R37="In evaluation"),B37&lt;&gt;""),1,0)</f>
        <v>0</v>
      </c>
      <c r="AP37" s="1" t="n">
        <f aca="false">IF(B37="",0,IF(COUNTIF('⚖️ Wahrscheinlichkeit'!$J$17:$J$24,R37)&gt;0,1,0))</f>
        <v>1</v>
      </c>
      <c r="AQ37" s="1" t="n">
        <f aca="false">IF(B37="",0,IF(AND(ISNUMBER(S37),COUNTIF('⚖️ Wahrscheinlichkeit'!$B$6:$B$11,S37)&gt;0),1,0))</f>
        <v>1</v>
      </c>
      <c r="AR37" s="1" t="n">
        <f aca="false">IF(B37="",0,IF(AND(COUNT(J37:M37)=4,SUM(J37:M37)&gt;0),1,0))</f>
        <v>1</v>
      </c>
      <c r="AS37" s="1" t="n">
        <f aca="false">IF(B37="",0,IF(AND(AF37&lt;&gt;"",AG37&lt;&gt;""),1,0))</f>
        <v>0</v>
      </c>
      <c r="AT37" s="1" t="n">
        <f aca="false">IF(AND(R37="WON",AS37=1,AR37=1),1,0)</f>
        <v>0</v>
      </c>
      <c r="AU37" s="1" t="n">
        <f aca="false">IF(B37="",0,IF(AD37="Alternative – zählt nicht",0,1))</f>
        <v>1</v>
      </c>
      <c r="AV37" s="1" t="n">
        <f aca="false">IF(B37="",0,IF(COUNTIF($B$6:$B$860,B37)&gt;1,1,0))</f>
        <v>1</v>
      </c>
      <c r="AW37" s="1" t="s">
        <v>375</v>
      </c>
      <c r="AX37" s="269" t="str">
        <f aca="false">IF(AY37=1,DATE(YEAR(O37),MONTH(O37),1),"")</f>
        <v/>
      </c>
      <c r="AY37" s="1" t="n">
        <f aca="false">IF(B37="",0,IF(AND(ISNUMBER(O37),ISNUMBER(P37)),IF(P37&gt;=O37,1,0),0))</f>
        <v>0</v>
      </c>
      <c r="AZ37" s="270" t="n">
        <f aca="false">IF(ISNUMBER(Y37),Y37,0)</f>
        <v>394037.927844588</v>
      </c>
      <c r="BA37" s="1" t="str">
        <f aca="false">IF(B37="","",IF(AND(R37="WON",AS37=0),"⛔ Beleg fehlt · ","")&amp;IF(AND(R37="WON",AR37=0),"⛔ Einstand fehlt · ","")&amp;IF(AND(R37&lt;&gt;"WON",AR37=0),"○ Einstand offen · ","")&amp;IF(AND(R37="WON",AB37=""),"⛔ Vertragsart fehlt · ","")&amp;IF(AND(ISNUMBER(O37),ISNUMBER(P37)),IF(P37&lt;O37,"⚠ Ende vor Start · ",""),"")&amp;IF(AND(R37="WON",AY37=0,NOT(AND(ISNUMBER(O37),ISNUMBER(P37)))),"⛔ Zeitraum fehlt · ","")&amp;IF(AND(R37&lt;&gt;"WON",AY37=0,NOT(AND(ISNUMBER(O37),ISNUMBER(P37)))),"○ Zeitraum offen · ",""))</f>
        <v>○ Zeitraum offen · </v>
      </c>
      <c r="BB37" s="1" t="str">
        <f aca="false">IF(B37="","",IF(AND(R37="WON",AS37=0),"⛔ Nachweis fehlt",IF(AND(ISNUMBER(O37),ISNUMBER(P37),P37&lt;O37),"⚠ Ende vor Start",IF(AND(R37="WON",AY37=0),"⛔ Zeitraum fehlt",IF(AR37=0,"○ Einstand offen",IF(AY37=0,"○ Zeitraum offen",IF(R37="WON","✅ belegt","✔ erfasst")))))))</f>
        <v>○ Zeitraum offen</v>
      </c>
    </row>
    <row r="38" customFormat="false" ht="38.25" hidden="false" customHeight="true" outlineLevel="0" collapsed="false">
      <c r="A38" s="258" t="n">
        <v>27</v>
      </c>
      <c r="B38" s="259" t="s">
        <v>371</v>
      </c>
      <c r="C38" s="258" t="s">
        <v>73</v>
      </c>
      <c r="D38" s="260" t="s">
        <v>281</v>
      </c>
      <c r="E38" s="260" t="s">
        <v>376</v>
      </c>
      <c r="F38" s="274" t="s">
        <v>377</v>
      </c>
      <c r="G38" s="258" t="str">
        <f aca="false">IF(B38="","",IF(AY38=1,P38-O38+1,IF(AW38="","",AW38)))</f>
        <v>inf</v>
      </c>
      <c r="H38" s="262" t="s">
        <v>227</v>
      </c>
      <c r="I38" s="261" t="n">
        <f aca="false">873810+15330+2190</f>
        <v>891330</v>
      </c>
      <c r="J38" s="261" t="n">
        <v>873810</v>
      </c>
      <c r="K38" s="261" t="n">
        <v>7620</v>
      </c>
      <c r="L38" s="261" t="n">
        <v>0</v>
      </c>
      <c r="M38" s="261" t="n">
        <v>0</v>
      </c>
      <c r="N38" s="261" t="n">
        <v>0</v>
      </c>
      <c r="O38" s="263"/>
      <c r="P38" s="263"/>
      <c r="Q38" s="261" t="n">
        <f aca="false">IF(AND(ISNUMBER(I38),ISNUMBER(S38)),I38*AJ38,IF(OR(I38&lt;&gt;"",S38&lt;&gt;""),"tbd",""))</f>
        <v>0</v>
      </c>
      <c r="R38" s="264" t="s">
        <v>219</v>
      </c>
      <c r="S38" s="265" t="n">
        <v>0.3</v>
      </c>
      <c r="T38" s="259" t="s">
        <v>220</v>
      </c>
      <c r="U38" s="260" t="s">
        <v>283</v>
      </c>
      <c r="V38" s="260" t="s">
        <v>297</v>
      </c>
      <c r="W38" s="258" t="s">
        <v>97</v>
      </c>
      <c r="X38" s="260" t="s">
        <v>374</v>
      </c>
      <c r="Y38" s="261" t="n">
        <f aca="false">IF(ISNUMBER(I38),I38/Netto_Faktor,"")</f>
        <v>824542.090656799</v>
      </c>
      <c r="Z38" s="261" t="n">
        <f aca="false">IF(B38="","",IF(COUNT(J38:N38)=0,"",SUM(J38:N38)))</f>
        <v>881430</v>
      </c>
      <c r="AA38" s="266"/>
      <c r="AB38" s="266"/>
      <c r="AC38" s="266"/>
      <c r="AD38" s="266"/>
      <c r="AE38" s="266"/>
      <c r="AF38" s="266"/>
      <c r="AG38" s="267"/>
      <c r="AH38" s="259" t="str">
        <f aca="false">IF(B38="","",IF(BA38="",IF(R38="WON","✅ belegt &amp; vollständig","✔ vollständig"),LEFT(BA38,LEN(BA38)-3)))</f>
        <v>○ Zeitraum offen</v>
      </c>
      <c r="AI38" s="265" t="n">
        <v>0.2</v>
      </c>
      <c r="AJ38" s="268" t="n">
        <f aca="false">IF(ISNUMBER(S38),IFERROR(LOOKUP(IF(S38&lt;=1,S38,S38/100),'⚖️ Wahrscheinlichkeit'!$B$17:$B$21,'⚖️ Wahrscheinlichkeit'!$D$17:$D$21),0),0)</f>
        <v>0</v>
      </c>
      <c r="AK38" s="1" t="str">
        <f aca="false">IF(AND(R38="WON",ISNUMBER(I38)),AL38+(861-ROW())*0.000001,"")</f>
        <v/>
      </c>
      <c r="AL38" s="1" t="n">
        <f aca="false">IFERROR(I38*1,0)</f>
        <v>891330</v>
      </c>
      <c r="AM38" s="1" t="n">
        <f aca="false">N(AM37)+IF(AND(R38="WON",B38&lt;&gt;""),1,0)</f>
        <v>7</v>
      </c>
      <c r="AN38" s="1" t="n">
        <f aca="false">N(AN37)+IF(AND(OR(R38="offered",R38="to be offered",R38="on hold"),B38&lt;&gt;""),1,0)</f>
        <v>14</v>
      </c>
      <c r="AO38" s="1" t="n">
        <f aca="false">N(AO37)+IF(AND(OR(R38="follow-up",R38="Evaluation",R38="tbd",R38="In evaluation"),B38&lt;&gt;""),1,0)</f>
        <v>0</v>
      </c>
      <c r="AP38" s="1" t="n">
        <f aca="false">IF(B38="",0,IF(COUNTIF('⚖️ Wahrscheinlichkeit'!$J$17:$J$24,R38)&gt;0,1,0))</f>
        <v>1</v>
      </c>
      <c r="AQ38" s="1" t="n">
        <f aca="false">IF(B38="",0,IF(AND(ISNUMBER(S38),COUNTIF('⚖️ Wahrscheinlichkeit'!$B$6:$B$11,S38)&gt;0),1,0))</f>
        <v>1</v>
      </c>
      <c r="AR38" s="1" t="n">
        <f aca="false">IF(B38="",0,IF(AND(COUNT(J38:M38)=4,SUM(J38:M38)&gt;0),1,0))</f>
        <v>1</v>
      </c>
      <c r="AS38" s="1" t="n">
        <f aca="false">IF(B38="",0,IF(AND(AF38&lt;&gt;"",AG38&lt;&gt;""),1,0))</f>
        <v>0</v>
      </c>
      <c r="AT38" s="1" t="n">
        <f aca="false">IF(AND(R38="WON",AS38=1,AR38=1),1,0)</f>
        <v>0</v>
      </c>
      <c r="AU38" s="1" t="n">
        <f aca="false">IF(B38="",0,IF(AD38="Alternative – zählt nicht",0,1))</f>
        <v>1</v>
      </c>
      <c r="AV38" s="1" t="n">
        <f aca="false">IF(B38="",0,IF(COUNTIF($B$6:$B$860,B38)&gt;1,1,0))</f>
        <v>1</v>
      </c>
      <c r="AW38" s="1" t="s">
        <v>375</v>
      </c>
      <c r="AX38" s="269" t="str">
        <f aca="false">IF(AY38=1,DATE(YEAR(O38),MONTH(O38),1),"")</f>
        <v/>
      </c>
      <c r="AY38" s="1" t="n">
        <f aca="false">IF(B38="",0,IF(AND(ISNUMBER(O38),ISNUMBER(P38)),IF(P38&gt;=O38,1,0),0))</f>
        <v>0</v>
      </c>
      <c r="AZ38" s="270" t="n">
        <f aca="false">IF(ISNUMBER(Y38),Y38,0)</f>
        <v>824542.090656799</v>
      </c>
      <c r="BA38" s="1" t="str">
        <f aca="false">IF(B38="","",IF(AND(R38="WON",AS38=0),"⛔ Beleg fehlt · ","")&amp;IF(AND(R38="WON",AR38=0),"⛔ Einstand fehlt · ","")&amp;IF(AND(R38&lt;&gt;"WON",AR38=0),"○ Einstand offen · ","")&amp;IF(AND(R38="WON",AB38=""),"⛔ Vertragsart fehlt · ","")&amp;IF(AND(ISNUMBER(O38),ISNUMBER(P38)),IF(P38&lt;O38,"⚠ Ende vor Start · ",""),"")&amp;IF(AND(R38="WON",AY38=0,NOT(AND(ISNUMBER(O38),ISNUMBER(P38)))),"⛔ Zeitraum fehlt · ","")&amp;IF(AND(R38&lt;&gt;"WON",AY38=0,NOT(AND(ISNUMBER(O38),ISNUMBER(P38)))),"○ Zeitraum offen · ",""))</f>
        <v>○ Zeitraum offen · </v>
      </c>
      <c r="BB38" s="1" t="str">
        <f aca="false">IF(B38="","",IF(AND(R38="WON",AS38=0),"⛔ Nachweis fehlt",IF(AND(ISNUMBER(O38),ISNUMBER(P38),P38&lt;O38),"⚠ Ende vor Start",IF(AND(R38="WON",AY38=0),"⛔ Zeitraum fehlt",IF(AR38=0,"○ Einstand offen",IF(AY38=0,"○ Zeitraum offen",IF(R38="WON","✅ belegt","✔ erfasst")))))))</f>
        <v>○ Zeitraum offen</v>
      </c>
    </row>
    <row r="39" customFormat="false" ht="38.25" hidden="false" customHeight="true" outlineLevel="0" collapsed="false">
      <c r="A39" s="258" t="n">
        <v>27</v>
      </c>
      <c r="B39" s="259" t="s">
        <v>371</v>
      </c>
      <c r="C39" s="258" t="s">
        <v>73</v>
      </c>
      <c r="D39" s="260" t="s">
        <v>281</v>
      </c>
      <c r="E39" s="260" t="s">
        <v>378</v>
      </c>
      <c r="F39" s="274" t="s">
        <v>379</v>
      </c>
      <c r="G39" s="258" t="str">
        <f aca="false">IF(B39="","",IF(AY39=1,P39-O39+1,IF(AW39="","",AW39)))</f>
        <v>inf</v>
      </c>
      <c r="H39" s="262" t="s">
        <v>227</v>
      </c>
      <c r="I39" s="261" t="n">
        <f aca="false">1289910+15330+2190</f>
        <v>1307430</v>
      </c>
      <c r="J39" s="261" t="n">
        <v>1289910</v>
      </c>
      <c r="K39" s="261" t="n">
        <v>7620</v>
      </c>
      <c r="L39" s="261" t="n">
        <v>0</v>
      </c>
      <c r="M39" s="261" t="n">
        <v>0</v>
      </c>
      <c r="N39" s="261" t="n">
        <v>0</v>
      </c>
      <c r="O39" s="263"/>
      <c r="P39" s="263"/>
      <c r="Q39" s="261" t="n">
        <f aca="false">IF(AND(ISNUMBER(I39),ISNUMBER(S39)),I39*AJ39,IF(OR(I39&lt;&gt;"",S39&lt;&gt;""),"tbd",""))</f>
        <v>0</v>
      </c>
      <c r="R39" s="264" t="s">
        <v>219</v>
      </c>
      <c r="S39" s="265" t="n">
        <v>0.3</v>
      </c>
      <c r="T39" s="259" t="s">
        <v>220</v>
      </c>
      <c r="U39" s="260" t="s">
        <v>283</v>
      </c>
      <c r="V39" s="260" t="s">
        <v>297</v>
      </c>
      <c r="W39" s="258" t="s">
        <v>97</v>
      </c>
      <c r="X39" s="260" t="s">
        <v>374</v>
      </c>
      <c r="Y39" s="261" t="n">
        <f aca="false">IF(ISNUMBER(I39),I39/Netto_Faktor,"")</f>
        <v>1209463.45975948</v>
      </c>
      <c r="Z39" s="261" t="n">
        <f aca="false">IF(B39="","",IF(COUNT(J39:N39)=0,"",SUM(J39:N39)))</f>
        <v>1297530</v>
      </c>
      <c r="AA39" s="266"/>
      <c r="AB39" s="266"/>
      <c r="AC39" s="266"/>
      <c r="AD39" s="266"/>
      <c r="AE39" s="266"/>
      <c r="AF39" s="266"/>
      <c r="AG39" s="267"/>
      <c r="AH39" s="259" t="str">
        <f aca="false">IF(B39="","",IF(BA39="",IF(R39="WON","✅ belegt &amp; vollständig","✔ vollständig"),LEFT(BA39,LEN(BA39)-3)))</f>
        <v>○ Zeitraum offen</v>
      </c>
      <c r="AI39" s="265" t="n">
        <v>0.2</v>
      </c>
      <c r="AJ39" s="268" t="n">
        <f aca="false">IF(ISNUMBER(S39),IFERROR(LOOKUP(IF(S39&lt;=1,S39,S39/100),'⚖️ Wahrscheinlichkeit'!$B$17:$B$21,'⚖️ Wahrscheinlichkeit'!$D$17:$D$21),0),0)</f>
        <v>0</v>
      </c>
      <c r="AK39" s="1" t="str">
        <f aca="false">IF(AND(R39="WON",ISNUMBER(I39)),AL39+(861-ROW())*0.000001,"")</f>
        <v/>
      </c>
      <c r="AL39" s="1" t="n">
        <f aca="false">IFERROR(I39*1,0)</f>
        <v>1307430</v>
      </c>
      <c r="AM39" s="1" t="n">
        <f aca="false">N(AM38)+IF(AND(R39="WON",B39&lt;&gt;""),1,0)</f>
        <v>7</v>
      </c>
      <c r="AN39" s="1" t="n">
        <f aca="false">N(AN38)+IF(AND(OR(R39="offered",R39="to be offered",R39="on hold"),B39&lt;&gt;""),1,0)</f>
        <v>15</v>
      </c>
      <c r="AO39" s="1" t="n">
        <f aca="false">N(AO38)+IF(AND(OR(R39="follow-up",R39="Evaluation",R39="tbd",R39="In evaluation"),B39&lt;&gt;""),1,0)</f>
        <v>0</v>
      </c>
      <c r="AP39" s="1" t="n">
        <f aca="false">IF(B39="",0,IF(COUNTIF('⚖️ Wahrscheinlichkeit'!$J$17:$J$24,R39)&gt;0,1,0))</f>
        <v>1</v>
      </c>
      <c r="AQ39" s="1" t="n">
        <f aca="false">IF(B39="",0,IF(AND(ISNUMBER(S39),COUNTIF('⚖️ Wahrscheinlichkeit'!$B$6:$B$11,S39)&gt;0),1,0))</f>
        <v>1</v>
      </c>
      <c r="AR39" s="1" t="n">
        <f aca="false">IF(B39="",0,IF(AND(COUNT(J39:M39)=4,SUM(J39:M39)&gt;0),1,0))</f>
        <v>1</v>
      </c>
      <c r="AS39" s="1" t="n">
        <f aca="false">IF(B39="",0,IF(AND(AF39&lt;&gt;"",AG39&lt;&gt;""),1,0))</f>
        <v>0</v>
      </c>
      <c r="AT39" s="1" t="n">
        <f aca="false">IF(AND(R39="WON",AS39=1,AR39=1),1,0)</f>
        <v>0</v>
      </c>
      <c r="AU39" s="1" t="n">
        <f aca="false">IF(B39="",0,IF(AD39="Alternative – zählt nicht",0,1))</f>
        <v>1</v>
      </c>
      <c r="AV39" s="1" t="n">
        <f aca="false">IF(B39="",0,IF(COUNTIF($B$6:$B$860,B39)&gt;1,1,0))</f>
        <v>1</v>
      </c>
      <c r="AW39" s="1" t="s">
        <v>375</v>
      </c>
      <c r="AX39" s="269" t="str">
        <f aca="false">IF(AY39=1,DATE(YEAR(O39),MONTH(O39),1),"")</f>
        <v/>
      </c>
      <c r="AY39" s="1" t="n">
        <f aca="false">IF(B39="",0,IF(AND(ISNUMBER(O39),ISNUMBER(P39)),IF(P39&gt;=O39,1,0),0))</f>
        <v>0</v>
      </c>
      <c r="AZ39" s="270" t="n">
        <f aca="false">IF(ISNUMBER(Y39),Y39,0)</f>
        <v>1209463.45975948</v>
      </c>
      <c r="BA39" s="1" t="str">
        <f aca="false">IF(B39="","",IF(AND(R39="WON",AS39=0),"⛔ Beleg fehlt · ","")&amp;IF(AND(R39="WON",AR39=0),"⛔ Einstand fehlt · ","")&amp;IF(AND(R39&lt;&gt;"WON",AR39=0),"○ Einstand offen · ","")&amp;IF(AND(R39="WON",AB39=""),"⛔ Vertragsart fehlt · ","")&amp;IF(AND(ISNUMBER(O39),ISNUMBER(P39)),IF(P39&lt;O39,"⚠ Ende vor Start · ",""),"")&amp;IF(AND(R39="WON",AY39=0,NOT(AND(ISNUMBER(O39),ISNUMBER(P39)))),"⛔ Zeitraum fehlt · ","")&amp;IF(AND(R39&lt;&gt;"WON",AY39=0,NOT(AND(ISNUMBER(O39),ISNUMBER(P39)))),"○ Zeitraum offen · ",""))</f>
        <v>○ Zeitraum offen · </v>
      </c>
      <c r="BB39" s="1" t="str">
        <f aca="false">IF(B39="","",IF(AND(R39="WON",AS39=0),"⛔ Nachweis fehlt",IF(AND(ISNUMBER(O39),ISNUMBER(P39),P39&lt;O39),"⚠ Ende vor Start",IF(AND(R39="WON",AY39=0),"⛔ Zeitraum fehlt",IF(AR39=0,"○ Einstand offen",IF(AY39=0,"○ Zeitraum offen",IF(R39="WON","✅ belegt","✔ erfasst")))))))</f>
        <v>○ Zeitraum offen</v>
      </c>
    </row>
    <row r="40" customFormat="false" ht="30" hidden="false" customHeight="true" outlineLevel="0" collapsed="false">
      <c r="A40" s="258" t="n">
        <v>34</v>
      </c>
      <c r="B40" s="259" t="s">
        <v>380</v>
      </c>
      <c r="C40" s="258" t="s">
        <v>59</v>
      </c>
      <c r="D40" s="260" t="s">
        <v>333</v>
      </c>
      <c r="E40" s="260" t="s">
        <v>277</v>
      </c>
      <c r="F40" s="274" t="s">
        <v>381</v>
      </c>
      <c r="G40" s="258" t="n">
        <f aca="false">IF(B40="","",IF(AY40=1,P40-O40+1,IF(AW40="","",AW40)))</f>
        <v>4</v>
      </c>
      <c r="H40" s="262" t="s">
        <v>98</v>
      </c>
      <c r="I40" s="261" t="n">
        <v>3232.41</v>
      </c>
      <c r="J40" s="261" t="n">
        <f aca="false">435.2+102.4</f>
        <v>537.6</v>
      </c>
      <c r="K40" s="261" t="n">
        <v>1300</v>
      </c>
      <c r="L40" s="261" t="n">
        <v>0</v>
      </c>
      <c r="M40" s="261" t="n">
        <f aca="false">725+57.6</f>
        <v>782.6</v>
      </c>
      <c r="N40" s="275"/>
      <c r="O40" s="263"/>
      <c r="P40" s="263"/>
      <c r="Q40" s="261" t="n">
        <f aca="false">IF(AND(ISNUMBER(I40),ISNUMBER(S40)),I40*AJ40,IF(OR(I40&lt;&gt;"",S40&lt;&gt;""),"tbd",""))</f>
        <v>0</v>
      </c>
      <c r="R40" s="264" t="s">
        <v>219</v>
      </c>
      <c r="S40" s="265" t="n">
        <v>0.3</v>
      </c>
      <c r="T40" s="259" t="s">
        <v>220</v>
      </c>
      <c r="U40" s="260" t="s">
        <v>283</v>
      </c>
      <c r="V40" s="260" t="s">
        <v>382</v>
      </c>
      <c r="W40" s="258" t="s">
        <v>97</v>
      </c>
      <c r="X40" s="260" t="s">
        <v>382</v>
      </c>
      <c r="Y40" s="261" t="n">
        <f aca="false">IF(ISNUMBER(I40),I40/Netto_Faktor,"")</f>
        <v>2990.20351526365</v>
      </c>
      <c r="Z40" s="261" t="n">
        <f aca="false">IF(B40="","",IF(COUNT(J40:N40)=0,"",SUM(J40:N40)))</f>
        <v>2620.2</v>
      </c>
      <c r="AA40" s="266"/>
      <c r="AB40" s="266"/>
      <c r="AC40" s="266"/>
      <c r="AD40" s="266"/>
      <c r="AE40" s="266"/>
      <c r="AF40" s="266"/>
      <c r="AG40" s="267"/>
      <c r="AH40" s="259" t="str">
        <f aca="false">IF(B40="","",IF(BA40="",IF(R40="WON","✅ belegt &amp; vollständig","✔ vollständig"),LEFT(BA40,LEN(BA40)-3)))</f>
        <v>○ Zeitraum offen</v>
      </c>
      <c r="AI40" s="265" t="n">
        <v>0.5</v>
      </c>
      <c r="AJ40" s="268" t="n">
        <f aca="false">IF(ISNUMBER(S40),IFERROR(LOOKUP(IF(S40&lt;=1,S40,S40/100),'⚖️ Wahrscheinlichkeit'!$B$17:$B$21,'⚖️ Wahrscheinlichkeit'!$D$17:$D$21),0),0)</f>
        <v>0</v>
      </c>
      <c r="AK40" s="1" t="str">
        <f aca="false">IF(AND(R40="WON",ISNUMBER(I40)),AL40+(861-ROW())*0.000001,"")</f>
        <v/>
      </c>
      <c r="AL40" s="1" t="n">
        <f aca="false">IFERROR(I40*1,0)</f>
        <v>3232.41</v>
      </c>
      <c r="AM40" s="1" t="n">
        <f aca="false">N(AM39)+IF(AND(R40="WON",B40&lt;&gt;""),1,0)</f>
        <v>7</v>
      </c>
      <c r="AN40" s="1" t="n">
        <f aca="false">N(AN39)+IF(AND(OR(R40="offered",R40="to be offered",R40="on hold"),B40&lt;&gt;""),1,0)</f>
        <v>16</v>
      </c>
      <c r="AO40" s="1" t="n">
        <f aca="false">N(AO39)+IF(AND(OR(R40="follow-up",R40="Evaluation",R40="tbd",R40="In evaluation"),B40&lt;&gt;""),1,0)</f>
        <v>0</v>
      </c>
      <c r="AP40" s="1" t="n">
        <f aca="false">IF(B40="",0,IF(COUNTIF('⚖️ Wahrscheinlichkeit'!$J$17:$J$24,R40)&gt;0,1,0))</f>
        <v>1</v>
      </c>
      <c r="AQ40" s="1" t="n">
        <f aca="false">IF(B40="",0,IF(AND(ISNUMBER(S40),COUNTIF('⚖️ Wahrscheinlichkeit'!$B$6:$B$11,S40)&gt;0),1,0))</f>
        <v>1</v>
      </c>
      <c r="AR40" s="1" t="n">
        <f aca="false">IF(B40="",0,IF(AND(COUNT(J40:M40)=4,SUM(J40:M40)&gt;0),1,0))</f>
        <v>1</v>
      </c>
      <c r="AS40" s="1" t="n">
        <f aca="false">IF(B40="",0,IF(AND(AF40&lt;&gt;"",AG40&lt;&gt;""),1,0))</f>
        <v>0</v>
      </c>
      <c r="AT40" s="1" t="n">
        <f aca="false">IF(AND(R40="WON",AS40=1,AR40=1),1,0)</f>
        <v>0</v>
      </c>
      <c r="AU40" s="1" t="n">
        <f aca="false">IF(B40="",0,IF(AD40="Alternative – zählt nicht",0,1))</f>
        <v>1</v>
      </c>
      <c r="AV40" s="1" t="n">
        <f aca="false">IF(B40="",0,IF(COUNTIF($B$6:$B$860,B40)&gt;1,1,0))</f>
        <v>0</v>
      </c>
      <c r="AW40" s="1" t="n">
        <v>4</v>
      </c>
      <c r="AX40" s="269" t="str">
        <f aca="false">IF(AY40=1,DATE(YEAR(O40),MONTH(O40),1),"")</f>
        <v/>
      </c>
      <c r="AY40" s="1" t="n">
        <f aca="false">IF(B40="",0,IF(AND(ISNUMBER(O40),ISNUMBER(P40)),IF(P40&gt;=O40,1,0),0))</f>
        <v>0</v>
      </c>
      <c r="AZ40" s="270" t="n">
        <f aca="false">IF(ISNUMBER(Y40),Y40,0)</f>
        <v>2990.20351526365</v>
      </c>
      <c r="BA40" s="1" t="str">
        <f aca="false">IF(B40="","",IF(AND(R40="WON",AS40=0),"⛔ Beleg fehlt · ","")&amp;IF(AND(R40="WON",AR40=0),"⛔ Einstand fehlt · ","")&amp;IF(AND(R40&lt;&gt;"WON",AR40=0),"○ Einstand offen · ","")&amp;IF(AND(R40="WON",AB40=""),"⛔ Vertragsart fehlt · ","")&amp;IF(AND(ISNUMBER(O40),ISNUMBER(P40)),IF(P40&lt;O40,"⚠ Ende vor Start · ",""),"")&amp;IF(AND(R40="WON",AY40=0,NOT(AND(ISNUMBER(O40),ISNUMBER(P40)))),"⛔ Zeitraum fehlt · ","")&amp;IF(AND(R40&lt;&gt;"WON",AY40=0,NOT(AND(ISNUMBER(O40),ISNUMBER(P40)))),"○ Zeitraum offen · ",""))</f>
        <v>○ Zeitraum offen · </v>
      </c>
      <c r="BB40" s="1" t="str">
        <f aca="false">IF(B40="","",IF(AND(R40="WON",AS40=0),"⛔ Nachweis fehlt",IF(AND(ISNUMBER(O40),ISNUMBER(P40),P40&lt;O40),"⚠ Ende vor Start",IF(AND(R40="WON",AY40=0),"⛔ Zeitraum fehlt",IF(AR40=0,"○ Einstand offen",IF(AY40=0,"○ Zeitraum offen",IF(R40="WON","✅ belegt","✔ erfasst")))))))</f>
        <v>○ Zeitraum offen</v>
      </c>
    </row>
    <row r="41" customFormat="false" ht="30" hidden="false" customHeight="true" outlineLevel="0" collapsed="false">
      <c r="A41" s="258" t="n">
        <v>36</v>
      </c>
      <c r="B41" s="279" t="s">
        <v>383</v>
      </c>
      <c r="C41" s="277" t="s">
        <v>59</v>
      </c>
      <c r="D41" s="260" t="s">
        <v>333</v>
      </c>
      <c r="E41" s="276" t="s">
        <v>384</v>
      </c>
      <c r="F41" s="280" t="s">
        <v>385</v>
      </c>
      <c r="G41" s="258" t="n">
        <f aca="false">IF(B41="","",IF(AY41=1,P41-O41+1,IF(AW41="","",AW41)))</f>
        <v>28</v>
      </c>
      <c r="H41" s="281" t="s">
        <v>97</v>
      </c>
      <c r="I41" s="261" t="n">
        <v>8574.71</v>
      </c>
      <c r="J41" s="261" t="n">
        <v>3427.2</v>
      </c>
      <c r="K41" s="261" t="n">
        <v>3200</v>
      </c>
      <c r="L41" s="261" t="n">
        <v>0</v>
      </c>
      <c r="M41" s="261" t="n">
        <v>1305</v>
      </c>
      <c r="N41" s="275"/>
      <c r="O41" s="263"/>
      <c r="P41" s="263"/>
      <c r="Q41" s="261" t="n">
        <f aca="false">IF(AND(ISNUMBER(I41),ISNUMBER(S41)),I41*AJ41,IF(OR(I41&lt;&gt;"",S41&lt;&gt;""),"tbd",""))</f>
        <v>0</v>
      </c>
      <c r="R41" s="264" t="s">
        <v>329</v>
      </c>
      <c r="S41" s="265" t="n">
        <v>0</v>
      </c>
      <c r="T41" s="279" t="s">
        <v>220</v>
      </c>
      <c r="U41" s="260" t="s">
        <v>283</v>
      </c>
      <c r="V41" s="276" t="s">
        <v>386</v>
      </c>
      <c r="W41" s="277" t="s">
        <v>97</v>
      </c>
      <c r="X41" s="276" t="s">
        <v>386</v>
      </c>
      <c r="Y41" s="261" t="n">
        <f aca="false">IF(ISNUMBER(I41),I41/Netto_Faktor,"")</f>
        <v>7932.20166512488</v>
      </c>
      <c r="Z41" s="261" t="n">
        <f aca="false">IF(B41="","",IF(COUNT(J41:N41)=0,"",SUM(J41:N41)))</f>
        <v>7932.2</v>
      </c>
      <c r="AA41" s="266"/>
      <c r="AB41" s="266"/>
      <c r="AC41" s="266"/>
      <c r="AD41" s="266"/>
      <c r="AE41" s="266"/>
      <c r="AF41" s="266"/>
      <c r="AG41" s="267"/>
      <c r="AH41" s="259" t="str">
        <f aca="false">IF(B41="","",IF(BA41="",IF(R41="WON","✅ belegt &amp; vollständig","✔ vollständig"),LEFT(BA41,LEN(BA41)-3)))</f>
        <v>○ Zeitraum offen</v>
      </c>
      <c r="AI41" s="265" t="n">
        <v>0</v>
      </c>
      <c r="AJ41" s="268" t="n">
        <f aca="false">IF(ISNUMBER(S41),IFERROR(LOOKUP(IF(S41&lt;=1,S41,S41/100),'⚖️ Wahrscheinlichkeit'!$B$17:$B$21,'⚖️ Wahrscheinlichkeit'!$D$17:$D$21),0),0)</f>
        <v>0</v>
      </c>
      <c r="AK41" s="1" t="str">
        <f aca="false">IF(AND(R41="WON",ISNUMBER(I41)),AL41+(861-ROW())*0.000001,"")</f>
        <v/>
      </c>
      <c r="AL41" s="1" t="n">
        <f aca="false">IFERROR(I41*1,0)</f>
        <v>8574.71</v>
      </c>
      <c r="AM41" s="1" t="n">
        <f aca="false">N(AM40)+IF(AND(R41="WON",B41&lt;&gt;""),1,0)</f>
        <v>7</v>
      </c>
      <c r="AN41" s="1" t="n">
        <f aca="false">N(AN40)+IF(AND(OR(R41="offered",R41="to be offered",R41="on hold"),B41&lt;&gt;""),1,0)</f>
        <v>16</v>
      </c>
      <c r="AO41" s="1" t="n">
        <f aca="false">N(AO40)+IF(AND(OR(R41="follow-up",R41="Evaluation",R41="tbd",R41="In evaluation"),B41&lt;&gt;""),1,0)</f>
        <v>0</v>
      </c>
      <c r="AP41" s="1" t="n">
        <f aca="false">IF(B41="",0,IF(COUNTIF('⚖️ Wahrscheinlichkeit'!$J$17:$J$24,R41)&gt;0,1,0))</f>
        <v>0</v>
      </c>
      <c r="AQ41" s="1" t="n">
        <f aca="false">IF(B41="",0,IF(AND(ISNUMBER(S41),COUNTIF('⚖️ Wahrscheinlichkeit'!$B$6:$B$11,S41)&gt;0),1,0))</f>
        <v>1</v>
      </c>
      <c r="AR41" s="1" t="n">
        <f aca="false">IF(B41="",0,IF(AND(COUNT(J41:M41)=4,SUM(J41:M41)&gt;0),1,0))</f>
        <v>1</v>
      </c>
      <c r="AS41" s="1" t="n">
        <f aca="false">IF(B41="",0,IF(AND(AF41&lt;&gt;"",AG41&lt;&gt;""),1,0))</f>
        <v>0</v>
      </c>
      <c r="AT41" s="1" t="n">
        <f aca="false">IF(AND(R41="WON",AS41=1,AR41=1),1,0)</f>
        <v>0</v>
      </c>
      <c r="AU41" s="1" t="n">
        <f aca="false">IF(B41="",0,IF(AD41="Alternative – zählt nicht",0,1))</f>
        <v>1</v>
      </c>
      <c r="AV41" s="1" t="n">
        <f aca="false">IF(B41="",0,IF(COUNTIF($B$6:$B$860,B41)&gt;1,1,0))</f>
        <v>0</v>
      </c>
      <c r="AW41" s="1" t="n">
        <v>28</v>
      </c>
      <c r="AX41" s="269" t="str">
        <f aca="false">IF(AY41=1,DATE(YEAR(O41),MONTH(O41),1),"")</f>
        <v/>
      </c>
      <c r="AY41" s="1" t="n">
        <f aca="false">IF(B41="",0,IF(AND(ISNUMBER(O41),ISNUMBER(P41)),IF(P41&gt;=O41,1,0),0))</f>
        <v>0</v>
      </c>
      <c r="AZ41" s="270" t="n">
        <f aca="false">IF(ISNUMBER(Y41),Y41,0)</f>
        <v>7932.20166512488</v>
      </c>
      <c r="BA41" s="1" t="str">
        <f aca="false">IF(B41="","",IF(AND(R41="WON",AS41=0),"⛔ Beleg fehlt · ","")&amp;IF(AND(R41="WON",AR41=0),"⛔ Einstand fehlt · ","")&amp;IF(AND(R41&lt;&gt;"WON",AR41=0),"○ Einstand offen · ","")&amp;IF(AND(R41="WON",AB41=""),"⛔ Vertragsart fehlt · ","")&amp;IF(AND(ISNUMBER(O41),ISNUMBER(P41)),IF(P41&lt;O41,"⚠ Ende vor Start · ",""),"")&amp;IF(AND(R41="WON",AY41=0,NOT(AND(ISNUMBER(O41),ISNUMBER(P41)))),"⛔ Zeitraum fehlt · ","")&amp;IF(AND(R41&lt;&gt;"WON",AY41=0,NOT(AND(ISNUMBER(O41),ISNUMBER(P41)))),"○ Zeitraum offen · ",""))</f>
        <v>○ Zeitraum offen · </v>
      </c>
      <c r="BB41" s="1" t="str">
        <f aca="false">IF(B41="","",IF(AND(R41="WON",AS41=0),"⛔ Nachweis fehlt",IF(AND(ISNUMBER(O41),ISNUMBER(P41),P41&lt;O41),"⚠ Ende vor Start",IF(AND(R41="WON",AY41=0),"⛔ Zeitraum fehlt",IF(AR41=0,"○ Einstand offen",IF(AY41=0,"○ Zeitraum offen",IF(R41="WON","✅ belegt","✔ erfasst")))))))</f>
        <v>○ Zeitraum offen</v>
      </c>
    </row>
    <row r="42" customFormat="false" ht="30" hidden="false" customHeight="true" outlineLevel="0" collapsed="false">
      <c r="A42" s="258" t="n">
        <v>38</v>
      </c>
      <c r="B42" s="279" t="s">
        <v>387</v>
      </c>
      <c r="C42" s="277" t="s">
        <v>67</v>
      </c>
      <c r="D42" s="260" t="s">
        <v>281</v>
      </c>
      <c r="E42" s="276" t="s">
        <v>388</v>
      </c>
      <c r="F42" s="280" t="s">
        <v>389</v>
      </c>
      <c r="G42" s="258" t="n">
        <f aca="false">IF(B42="","",IF(AY42=1,P42-O42+1,IF(AW42="","",AW42)))</f>
        <v>7</v>
      </c>
      <c r="H42" s="262" t="s">
        <v>305</v>
      </c>
      <c r="I42" s="261" t="n">
        <v>3686.2</v>
      </c>
      <c r="J42" s="261" t="n">
        <f aca="false">699.3+21.6+12.6+18.9+6.3+44.1</f>
        <v>802.8</v>
      </c>
      <c r="K42" s="261" t="n">
        <v>1200</v>
      </c>
      <c r="L42" s="261" t="n">
        <v>0</v>
      </c>
      <c r="M42" s="261" t="n">
        <f aca="false">1160+67.2</f>
        <v>1227.2</v>
      </c>
      <c r="N42" s="275"/>
      <c r="O42" s="263"/>
      <c r="P42" s="263"/>
      <c r="Q42" s="261" t="n">
        <f aca="false">IF(AND(ISNUMBER(I42),ISNUMBER(S42)),I42*AJ42,IF(OR(I42&lt;&gt;"",S42&lt;&gt;""),"tbd",""))</f>
        <v>0</v>
      </c>
      <c r="R42" s="264" t="s">
        <v>219</v>
      </c>
      <c r="S42" s="265" t="n">
        <v>0.3</v>
      </c>
      <c r="T42" s="279" t="s">
        <v>220</v>
      </c>
      <c r="U42" s="260" t="s">
        <v>283</v>
      </c>
      <c r="V42" s="282"/>
      <c r="W42" s="277" t="s">
        <v>97</v>
      </c>
      <c r="X42" s="276" t="s">
        <v>386</v>
      </c>
      <c r="Y42" s="261" t="n">
        <f aca="false">IF(ISNUMBER(I42),I42/Netto_Faktor,"")</f>
        <v>3409.9907493062</v>
      </c>
      <c r="Z42" s="261" t="n">
        <f aca="false">IF(B42="","",IF(COUNT(J42:N42)=0,"",SUM(J42:N42)))</f>
        <v>3230</v>
      </c>
      <c r="AA42" s="266"/>
      <c r="AB42" s="266"/>
      <c r="AC42" s="266"/>
      <c r="AD42" s="266"/>
      <c r="AE42" s="266"/>
      <c r="AF42" s="266"/>
      <c r="AG42" s="267"/>
      <c r="AH42" s="259" t="str">
        <f aca="false">IF(B42="","",IF(BA42="",IF(R42="WON","✅ belegt &amp; vollständig","✔ vollständig"),LEFT(BA42,LEN(BA42)-3)))</f>
        <v>○ Zeitraum offen</v>
      </c>
      <c r="AI42" s="265" t="n">
        <v>0.5</v>
      </c>
      <c r="AJ42" s="268" t="n">
        <f aca="false">IF(ISNUMBER(S42),IFERROR(LOOKUP(IF(S42&lt;=1,S42,S42/100),'⚖️ Wahrscheinlichkeit'!$B$17:$B$21,'⚖️ Wahrscheinlichkeit'!$D$17:$D$21),0),0)</f>
        <v>0</v>
      </c>
      <c r="AK42" s="1" t="str">
        <f aca="false">IF(AND(R42="WON",ISNUMBER(I42)),AL42+(861-ROW())*0.000001,"")</f>
        <v/>
      </c>
      <c r="AL42" s="1" t="n">
        <f aca="false">IFERROR(I42*1,0)</f>
        <v>3686.2</v>
      </c>
      <c r="AM42" s="1" t="n">
        <f aca="false">N(AM41)+IF(AND(R42="WON",B42&lt;&gt;""),1,0)</f>
        <v>7</v>
      </c>
      <c r="AN42" s="1" t="n">
        <f aca="false">N(AN41)+IF(AND(OR(R42="offered",R42="to be offered",R42="on hold"),B42&lt;&gt;""),1,0)</f>
        <v>17</v>
      </c>
      <c r="AO42" s="1" t="n">
        <f aca="false">N(AO41)+IF(AND(OR(R42="follow-up",R42="Evaluation",R42="tbd",R42="In evaluation"),B42&lt;&gt;""),1,0)</f>
        <v>0</v>
      </c>
      <c r="AP42" s="1" t="n">
        <f aca="false">IF(B42="",0,IF(COUNTIF('⚖️ Wahrscheinlichkeit'!$J$17:$J$24,R42)&gt;0,1,0))</f>
        <v>1</v>
      </c>
      <c r="AQ42" s="1" t="n">
        <f aca="false">IF(B42="",0,IF(AND(ISNUMBER(S42),COUNTIF('⚖️ Wahrscheinlichkeit'!$B$6:$B$11,S42)&gt;0),1,0))</f>
        <v>1</v>
      </c>
      <c r="AR42" s="1" t="n">
        <f aca="false">IF(B42="",0,IF(AND(COUNT(J42:M42)=4,SUM(J42:M42)&gt;0),1,0))</f>
        <v>1</v>
      </c>
      <c r="AS42" s="1" t="n">
        <f aca="false">IF(B42="",0,IF(AND(AF42&lt;&gt;"",AG42&lt;&gt;""),1,0))</f>
        <v>0</v>
      </c>
      <c r="AT42" s="1" t="n">
        <f aca="false">IF(AND(R42="WON",AS42=1,AR42=1),1,0)</f>
        <v>0</v>
      </c>
      <c r="AU42" s="1" t="n">
        <f aca="false">IF(B42="",0,IF(AD42="Alternative – zählt nicht",0,1))</f>
        <v>1</v>
      </c>
      <c r="AV42" s="1" t="n">
        <f aca="false">IF(B42="",0,IF(COUNTIF($B$6:$B$860,B42)&gt;1,1,0))</f>
        <v>0</v>
      </c>
      <c r="AW42" s="1" t="n">
        <v>7</v>
      </c>
      <c r="AX42" s="269" t="str">
        <f aca="false">IF(AY42=1,DATE(YEAR(O42),MONTH(O42),1),"")</f>
        <v/>
      </c>
      <c r="AY42" s="1" t="n">
        <f aca="false">IF(B42="",0,IF(AND(ISNUMBER(O42),ISNUMBER(P42)),IF(P42&gt;=O42,1,0),0))</f>
        <v>0</v>
      </c>
      <c r="AZ42" s="270" t="n">
        <f aca="false">IF(ISNUMBER(Y42),Y42,0)</f>
        <v>3409.9907493062</v>
      </c>
      <c r="BA42" s="1" t="str">
        <f aca="false">IF(B42="","",IF(AND(R42="WON",AS42=0),"⛔ Beleg fehlt · ","")&amp;IF(AND(R42="WON",AR42=0),"⛔ Einstand fehlt · ","")&amp;IF(AND(R42&lt;&gt;"WON",AR42=0),"○ Einstand offen · ","")&amp;IF(AND(R42="WON",AB42=""),"⛔ Vertragsart fehlt · ","")&amp;IF(AND(ISNUMBER(O42),ISNUMBER(P42)),IF(P42&lt;O42,"⚠ Ende vor Start · ",""),"")&amp;IF(AND(R42="WON",AY42=0,NOT(AND(ISNUMBER(O42),ISNUMBER(P42)))),"⛔ Zeitraum fehlt · ","")&amp;IF(AND(R42&lt;&gt;"WON",AY42=0,NOT(AND(ISNUMBER(O42),ISNUMBER(P42)))),"○ Zeitraum offen · ",""))</f>
        <v>○ Zeitraum offen · </v>
      </c>
      <c r="BB42" s="1" t="str">
        <f aca="false">IF(B42="","",IF(AND(R42="WON",AS42=0),"⛔ Nachweis fehlt",IF(AND(ISNUMBER(O42),ISNUMBER(P42),P42&lt;O42),"⚠ Ende vor Start",IF(AND(R42="WON",AY42=0),"⛔ Zeitraum fehlt",IF(AR42=0,"○ Einstand offen",IF(AY42=0,"○ Zeitraum offen",IF(R42="WON","✅ belegt","✔ erfasst")))))))</f>
        <v>○ Zeitraum offen</v>
      </c>
    </row>
    <row r="43" customFormat="false" ht="38.25" hidden="false" customHeight="true" outlineLevel="0" collapsed="false">
      <c r="A43" s="258" t="n">
        <v>39</v>
      </c>
      <c r="B43" s="259" t="s">
        <v>390</v>
      </c>
      <c r="C43" s="258" t="s">
        <v>67</v>
      </c>
      <c r="D43" s="259" t="s">
        <v>281</v>
      </c>
      <c r="E43" s="260" t="s">
        <v>391</v>
      </c>
      <c r="F43" s="261" t="s">
        <v>392</v>
      </c>
      <c r="G43" s="258" t="n">
        <f aca="false">IF(B43="","",IF(AY43=1,P43-O43+1,IF(AW43="","",AW43)))</f>
        <v>7</v>
      </c>
      <c r="H43" s="262" t="s">
        <v>98</v>
      </c>
      <c r="I43" s="261" t="n">
        <v>11559.36</v>
      </c>
      <c r="J43" s="261" t="n">
        <f aca="false">2217.6+1276.8+179.2</f>
        <v>3673.6</v>
      </c>
      <c r="K43" s="261" t="n">
        <v>2400</v>
      </c>
      <c r="L43" s="261" t="n">
        <v>0</v>
      </c>
      <c r="M43" s="261" t="n">
        <f aca="false">1450+969.6</f>
        <v>2419.6</v>
      </c>
      <c r="N43" s="275"/>
      <c r="O43" s="263"/>
      <c r="P43" s="263"/>
      <c r="Q43" s="261" t="n">
        <f aca="false">IF(AND(ISNUMBER(I43),ISNUMBER(S43)),I43*AJ43,IF(OR(I43&lt;&gt;"",S43&lt;&gt;""),"tbd",""))</f>
        <v>0</v>
      </c>
      <c r="R43" s="264" t="s">
        <v>219</v>
      </c>
      <c r="S43" s="265" t="n">
        <v>0.3</v>
      </c>
      <c r="T43" s="259" t="s">
        <v>220</v>
      </c>
      <c r="U43" s="260" t="s">
        <v>283</v>
      </c>
      <c r="V43" s="276" t="s">
        <v>393</v>
      </c>
      <c r="W43" s="258" t="s">
        <v>97</v>
      </c>
      <c r="X43" s="276" t="s">
        <v>386</v>
      </c>
      <c r="Y43" s="261" t="n">
        <f aca="false">IF(ISNUMBER(I43),I43/Netto_Faktor,"")</f>
        <v>10693.2099907493</v>
      </c>
      <c r="Z43" s="261" t="n">
        <f aca="false">IF(B43="","",IF(COUNT(J43:N43)=0,"",SUM(J43:N43)))</f>
        <v>8493.2</v>
      </c>
      <c r="AA43" s="266"/>
      <c r="AB43" s="266"/>
      <c r="AC43" s="266"/>
      <c r="AD43" s="266"/>
      <c r="AE43" s="266"/>
      <c r="AF43" s="266"/>
      <c r="AG43" s="267"/>
      <c r="AH43" s="259" t="str">
        <f aca="false">IF(B43="","",IF(BA43="",IF(R43="WON","✅ belegt &amp; vollständig","✔ vollständig"),LEFT(BA43,LEN(BA43)-3)))</f>
        <v>○ Zeitraum offen</v>
      </c>
      <c r="AI43" s="265" t="n">
        <v>0.5</v>
      </c>
      <c r="AJ43" s="268" t="n">
        <f aca="false">IF(ISNUMBER(S43),IFERROR(LOOKUP(IF(S43&lt;=1,S43,S43/100),'⚖️ Wahrscheinlichkeit'!$B$17:$B$21,'⚖️ Wahrscheinlichkeit'!$D$17:$D$21),0),0)</f>
        <v>0</v>
      </c>
      <c r="AK43" s="1" t="str">
        <f aca="false">IF(AND(R43="WON",ISNUMBER(I43)),AL43+(861-ROW())*0.000001,"")</f>
        <v/>
      </c>
      <c r="AL43" s="1" t="n">
        <f aca="false">IFERROR(I43*1,0)</f>
        <v>11559.36</v>
      </c>
      <c r="AM43" s="1" t="n">
        <f aca="false">N(AM42)+IF(AND(R43="WON",B43&lt;&gt;""),1,0)</f>
        <v>7</v>
      </c>
      <c r="AN43" s="1" t="n">
        <f aca="false">N(AN42)+IF(AND(OR(R43="offered",R43="to be offered",R43="on hold"),B43&lt;&gt;""),1,0)</f>
        <v>18</v>
      </c>
      <c r="AO43" s="1" t="n">
        <f aca="false">N(AO42)+IF(AND(OR(R43="follow-up",R43="Evaluation",R43="tbd",R43="In evaluation"),B43&lt;&gt;""),1,0)</f>
        <v>0</v>
      </c>
      <c r="AP43" s="1" t="n">
        <f aca="false">IF(B43="",0,IF(COUNTIF('⚖️ Wahrscheinlichkeit'!$J$17:$J$24,R43)&gt;0,1,0))</f>
        <v>1</v>
      </c>
      <c r="AQ43" s="1" t="n">
        <f aca="false">IF(B43="",0,IF(AND(ISNUMBER(S43),COUNTIF('⚖️ Wahrscheinlichkeit'!$B$6:$B$11,S43)&gt;0),1,0))</f>
        <v>1</v>
      </c>
      <c r="AR43" s="1" t="n">
        <f aca="false">IF(B43="",0,IF(AND(COUNT(J43:M43)=4,SUM(J43:M43)&gt;0),1,0))</f>
        <v>1</v>
      </c>
      <c r="AS43" s="1" t="n">
        <f aca="false">IF(B43="",0,IF(AND(AF43&lt;&gt;"",AG43&lt;&gt;""),1,0))</f>
        <v>0</v>
      </c>
      <c r="AT43" s="1" t="n">
        <f aca="false">IF(AND(R43="WON",AS43=1,AR43=1),1,0)</f>
        <v>0</v>
      </c>
      <c r="AU43" s="1" t="n">
        <f aca="false">IF(B43="",0,IF(AD43="Alternative – zählt nicht",0,1))</f>
        <v>1</v>
      </c>
      <c r="AV43" s="1" t="n">
        <f aca="false">IF(B43="",0,IF(COUNTIF($B$6:$B$860,B43)&gt;1,1,0))</f>
        <v>0</v>
      </c>
      <c r="AW43" s="1" t="n">
        <v>7</v>
      </c>
      <c r="AX43" s="269" t="str">
        <f aca="false">IF(AY43=1,DATE(YEAR(O43),MONTH(O43),1),"")</f>
        <v/>
      </c>
      <c r="AY43" s="1" t="n">
        <f aca="false">IF(B43="",0,IF(AND(ISNUMBER(O43),ISNUMBER(P43)),IF(P43&gt;=O43,1,0),0))</f>
        <v>0</v>
      </c>
      <c r="AZ43" s="270" t="n">
        <f aca="false">IF(ISNUMBER(Y43),Y43,0)</f>
        <v>10693.2099907493</v>
      </c>
      <c r="BA43" s="1" t="str">
        <f aca="false">IF(B43="","",IF(AND(R43="WON",AS43=0),"⛔ Beleg fehlt · ","")&amp;IF(AND(R43="WON",AR43=0),"⛔ Einstand fehlt · ","")&amp;IF(AND(R43&lt;&gt;"WON",AR43=0),"○ Einstand offen · ","")&amp;IF(AND(R43="WON",AB43=""),"⛔ Vertragsart fehlt · ","")&amp;IF(AND(ISNUMBER(O43),ISNUMBER(P43)),IF(P43&lt;O43,"⚠ Ende vor Start · ",""),"")&amp;IF(AND(R43="WON",AY43=0,NOT(AND(ISNUMBER(O43),ISNUMBER(P43)))),"⛔ Zeitraum fehlt · ","")&amp;IF(AND(R43&lt;&gt;"WON",AY43=0,NOT(AND(ISNUMBER(O43),ISNUMBER(P43)))),"○ Zeitraum offen · ",""))</f>
        <v>○ Zeitraum offen · </v>
      </c>
      <c r="BB43" s="1" t="str">
        <f aca="false">IF(B43="","",IF(AND(R43="WON",AS43=0),"⛔ Nachweis fehlt",IF(AND(ISNUMBER(O43),ISNUMBER(P43),P43&lt;O43),"⚠ Ende vor Start",IF(AND(R43="WON",AY43=0),"⛔ Zeitraum fehlt",IF(AR43=0,"○ Einstand offen",IF(AY43=0,"○ Zeitraum offen",IF(R43="WON","✅ belegt","✔ erfasst")))))))</f>
        <v>○ Zeitraum offen</v>
      </c>
    </row>
    <row r="44" customFormat="false" ht="30" hidden="false" customHeight="true" outlineLevel="0" collapsed="false">
      <c r="A44" s="258" t="n">
        <v>41</v>
      </c>
      <c r="B44" s="259" t="s">
        <v>394</v>
      </c>
      <c r="C44" s="258" t="s">
        <v>82</v>
      </c>
      <c r="D44" s="259" t="s">
        <v>302</v>
      </c>
      <c r="E44" s="260" t="s">
        <v>395</v>
      </c>
      <c r="F44" s="261" t="s">
        <v>381</v>
      </c>
      <c r="G44" s="258" t="n">
        <f aca="false">IF(B44="","",IF(AY44=1,P44-O44+1,IF(AW44="","",AW44)))</f>
        <v>7</v>
      </c>
      <c r="H44" s="262" t="s">
        <v>313</v>
      </c>
      <c r="I44" s="261" t="n">
        <v>3760.04</v>
      </c>
      <c r="J44" s="261" t="n">
        <f aca="false">666.4+73.5+78.4+14.7+78.4+4.9</f>
        <v>916.3</v>
      </c>
      <c r="K44" s="261" t="n">
        <v>1500</v>
      </c>
      <c r="L44" s="261" t="n">
        <v>0</v>
      </c>
      <c r="M44" s="261" t="n">
        <f aca="false">192+870</f>
        <v>1062</v>
      </c>
      <c r="N44" s="275"/>
      <c r="O44" s="263"/>
      <c r="P44" s="263"/>
      <c r="Q44" s="261" t="n">
        <f aca="false">IF(AND(ISNUMBER(I44),ISNUMBER(S44)),I44*AJ44,IF(OR(I44&lt;&gt;"",S44&lt;&gt;""),"tbd",""))</f>
        <v>0</v>
      </c>
      <c r="R44" s="264" t="s">
        <v>219</v>
      </c>
      <c r="S44" s="265" t="n">
        <v>0.3</v>
      </c>
      <c r="T44" s="259" t="s">
        <v>314</v>
      </c>
      <c r="U44" s="260" t="s">
        <v>283</v>
      </c>
      <c r="V44" s="276" t="s">
        <v>386</v>
      </c>
      <c r="W44" s="258" t="s">
        <v>396</v>
      </c>
      <c r="X44" s="276" t="s">
        <v>386</v>
      </c>
      <c r="Y44" s="261" t="n">
        <f aca="false">IF(ISNUMBER(I44),I44/Netto_Faktor,"")</f>
        <v>3478.29787234043</v>
      </c>
      <c r="Z44" s="261" t="n">
        <f aca="false">IF(B44="","",IF(COUNT(J44:N44)=0,"",SUM(J44:N44)))</f>
        <v>3478.3</v>
      </c>
      <c r="AA44" s="266"/>
      <c r="AB44" s="266"/>
      <c r="AC44" s="266"/>
      <c r="AD44" s="266"/>
      <c r="AE44" s="266"/>
      <c r="AF44" s="266"/>
      <c r="AG44" s="267"/>
      <c r="AH44" s="259" t="str">
        <f aca="false">IF(B44="","",IF(BA44="",IF(R44="WON","✅ belegt &amp; vollständig","✔ vollständig"),LEFT(BA44,LEN(BA44)-3)))</f>
        <v>○ Zeitraum offen</v>
      </c>
      <c r="AI44" s="265" t="n">
        <v>0.5</v>
      </c>
      <c r="AJ44" s="268" t="n">
        <f aca="false">IF(ISNUMBER(S44),IFERROR(LOOKUP(IF(S44&lt;=1,S44,S44/100),'⚖️ Wahrscheinlichkeit'!$B$17:$B$21,'⚖️ Wahrscheinlichkeit'!$D$17:$D$21),0),0)</f>
        <v>0</v>
      </c>
      <c r="AK44" s="1" t="str">
        <f aca="false">IF(AND(R44="WON",ISNUMBER(I44)),AL44+(861-ROW())*0.000001,"")</f>
        <v/>
      </c>
      <c r="AL44" s="1" t="n">
        <f aca="false">IFERROR(I44*1,0)</f>
        <v>3760.04</v>
      </c>
      <c r="AM44" s="1" t="n">
        <f aca="false">N(AM43)+IF(AND(R44="WON",B44&lt;&gt;""),1,0)</f>
        <v>7</v>
      </c>
      <c r="AN44" s="1" t="n">
        <f aca="false">N(AN43)+IF(AND(OR(R44="offered",R44="to be offered",R44="on hold"),B44&lt;&gt;""),1,0)</f>
        <v>19</v>
      </c>
      <c r="AO44" s="1" t="n">
        <f aca="false">N(AO43)+IF(AND(OR(R44="follow-up",R44="Evaluation",R44="tbd",R44="In evaluation"),B44&lt;&gt;""),1,0)</f>
        <v>0</v>
      </c>
      <c r="AP44" s="1" t="n">
        <f aca="false">IF(B44="",0,IF(COUNTIF('⚖️ Wahrscheinlichkeit'!$J$17:$J$24,R44)&gt;0,1,0))</f>
        <v>1</v>
      </c>
      <c r="AQ44" s="1" t="n">
        <f aca="false">IF(B44="",0,IF(AND(ISNUMBER(S44),COUNTIF('⚖️ Wahrscheinlichkeit'!$B$6:$B$11,S44)&gt;0),1,0))</f>
        <v>1</v>
      </c>
      <c r="AR44" s="1" t="n">
        <f aca="false">IF(B44="",0,IF(AND(COUNT(J44:M44)=4,SUM(J44:M44)&gt;0),1,0))</f>
        <v>1</v>
      </c>
      <c r="AS44" s="1" t="n">
        <f aca="false">IF(B44="",0,IF(AND(AF44&lt;&gt;"",AG44&lt;&gt;""),1,0))</f>
        <v>0</v>
      </c>
      <c r="AT44" s="1" t="n">
        <f aca="false">IF(AND(R44="WON",AS44=1,AR44=1),1,0)</f>
        <v>0</v>
      </c>
      <c r="AU44" s="1" t="n">
        <f aca="false">IF(B44="",0,IF(AD44="Alternative – zählt nicht",0,1))</f>
        <v>1</v>
      </c>
      <c r="AV44" s="1" t="n">
        <f aca="false">IF(B44="",0,IF(COUNTIF($B$6:$B$860,B44)&gt;1,1,0))</f>
        <v>0</v>
      </c>
      <c r="AW44" s="1" t="n">
        <v>7</v>
      </c>
      <c r="AX44" s="269" t="str">
        <f aca="false">IF(AY44=1,DATE(YEAR(O44),MONTH(O44),1),"")</f>
        <v/>
      </c>
      <c r="AY44" s="1" t="n">
        <f aca="false">IF(B44="",0,IF(AND(ISNUMBER(O44),ISNUMBER(P44)),IF(P44&gt;=O44,1,0),0))</f>
        <v>0</v>
      </c>
      <c r="AZ44" s="270" t="n">
        <f aca="false">IF(ISNUMBER(Y44),Y44,0)</f>
        <v>3478.29787234043</v>
      </c>
      <c r="BA44" s="1" t="str">
        <f aca="false">IF(B44="","",IF(AND(R44="WON",AS44=0),"⛔ Beleg fehlt · ","")&amp;IF(AND(R44="WON",AR44=0),"⛔ Einstand fehlt · ","")&amp;IF(AND(R44&lt;&gt;"WON",AR44=0),"○ Einstand offen · ","")&amp;IF(AND(R44="WON",AB44=""),"⛔ Vertragsart fehlt · ","")&amp;IF(AND(ISNUMBER(O44),ISNUMBER(P44)),IF(P44&lt;O44,"⚠ Ende vor Start · ",""),"")&amp;IF(AND(R44="WON",AY44=0,NOT(AND(ISNUMBER(O44),ISNUMBER(P44)))),"⛔ Zeitraum fehlt · ","")&amp;IF(AND(R44&lt;&gt;"WON",AY44=0,NOT(AND(ISNUMBER(O44),ISNUMBER(P44)))),"○ Zeitraum offen · ",""))</f>
        <v>○ Zeitraum offen · </v>
      </c>
      <c r="BB44" s="1" t="str">
        <f aca="false">IF(B44="","",IF(AND(R44="WON",AS44=0),"⛔ Nachweis fehlt",IF(AND(ISNUMBER(O44),ISNUMBER(P44),P44&lt;O44),"⚠ Ende vor Start",IF(AND(R44="WON",AY44=0),"⛔ Zeitraum fehlt",IF(AR44=0,"○ Einstand offen",IF(AY44=0,"○ Zeitraum offen",IF(R44="WON","✅ belegt","✔ erfasst")))))))</f>
        <v>○ Zeitraum offen</v>
      </c>
    </row>
    <row r="45" customFormat="false" ht="38.25" hidden="false" customHeight="true" outlineLevel="0" collapsed="false">
      <c r="A45" s="258" t="n">
        <v>35</v>
      </c>
      <c r="B45" s="259" t="s">
        <v>397</v>
      </c>
      <c r="C45" s="258" t="s">
        <v>59</v>
      </c>
      <c r="D45" s="260" t="s">
        <v>333</v>
      </c>
      <c r="E45" s="260" t="s">
        <v>398</v>
      </c>
      <c r="F45" s="261" t="s">
        <v>399</v>
      </c>
      <c r="G45" s="258" t="n">
        <f aca="false">IF(B45="","",IF(AY45=1,P45-O45+1,IF(AW45="","",AW45)))</f>
        <v>6</v>
      </c>
      <c r="H45" s="272" t="s">
        <v>97</v>
      </c>
      <c r="I45" s="261" t="n">
        <v>7205</v>
      </c>
      <c r="J45" s="261" t="n">
        <f aca="false">1132.8+57.6+90</f>
        <v>1280.4</v>
      </c>
      <c r="K45" s="261" t="n">
        <v>3500</v>
      </c>
      <c r="L45" s="261" t="n">
        <v>0</v>
      </c>
      <c r="M45" s="261" t="n">
        <v>1885</v>
      </c>
      <c r="N45" s="275"/>
      <c r="O45" s="263"/>
      <c r="P45" s="263"/>
      <c r="Q45" s="261" t="n">
        <f aca="false">IF(AND(ISNUMBER(I45),ISNUMBER(S45)),I45*AJ45,IF(OR(I45&lt;&gt;"",S45&lt;&gt;""),"tbd",""))</f>
        <v>0</v>
      </c>
      <c r="R45" s="264" t="s">
        <v>329</v>
      </c>
      <c r="S45" s="265" t="n">
        <v>0</v>
      </c>
      <c r="T45" s="259" t="s">
        <v>220</v>
      </c>
      <c r="U45" s="260" t="s">
        <v>283</v>
      </c>
      <c r="V45" s="260" t="s">
        <v>400</v>
      </c>
      <c r="W45" s="258" t="s">
        <v>97</v>
      </c>
      <c r="X45" s="260" t="s">
        <v>400</v>
      </c>
      <c r="Y45" s="261" t="n">
        <f aca="false">IF(ISNUMBER(I45),I45/Netto_Faktor,"")</f>
        <v>6665.12488436633</v>
      </c>
      <c r="Z45" s="261" t="n">
        <f aca="false">IF(B45="","",IF(COUNT(J45:N45)=0,"",SUM(J45:N45)))</f>
        <v>6665.4</v>
      </c>
      <c r="AA45" s="266"/>
      <c r="AB45" s="266"/>
      <c r="AC45" s="266"/>
      <c r="AD45" s="266"/>
      <c r="AE45" s="266"/>
      <c r="AF45" s="266"/>
      <c r="AG45" s="267"/>
      <c r="AH45" s="259" t="str">
        <f aca="false">IF(B45="","",IF(BA45="",IF(R45="WON","✅ belegt &amp; vollständig","✔ vollständig"),LEFT(BA45,LEN(BA45)-3)))</f>
        <v>○ Zeitraum offen</v>
      </c>
      <c r="AI45" s="265" t="n">
        <v>0</v>
      </c>
      <c r="AJ45" s="268" t="n">
        <f aca="false">IF(ISNUMBER(S45),IFERROR(LOOKUP(IF(S45&lt;=1,S45,S45/100),'⚖️ Wahrscheinlichkeit'!$B$17:$B$21,'⚖️ Wahrscheinlichkeit'!$D$17:$D$21),0),0)</f>
        <v>0</v>
      </c>
      <c r="AK45" s="1" t="str">
        <f aca="false">IF(AND(R45="WON",ISNUMBER(I45)),AL45+(861-ROW())*0.000001,"")</f>
        <v/>
      </c>
      <c r="AL45" s="1" t="n">
        <f aca="false">IFERROR(I45*1,0)</f>
        <v>7205</v>
      </c>
      <c r="AM45" s="1" t="n">
        <f aca="false">N(AM44)+IF(AND(R45="WON",B45&lt;&gt;""),1,0)</f>
        <v>7</v>
      </c>
      <c r="AN45" s="1" t="n">
        <f aca="false">N(AN44)+IF(AND(OR(R45="offered",R45="to be offered",R45="on hold"),B45&lt;&gt;""),1,0)</f>
        <v>19</v>
      </c>
      <c r="AO45" s="1" t="n">
        <f aca="false">N(AO44)+IF(AND(OR(R45="follow-up",R45="Evaluation",R45="tbd",R45="In evaluation"),B45&lt;&gt;""),1,0)</f>
        <v>0</v>
      </c>
      <c r="AP45" s="1" t="n">
        <f aca="false">IF(B45="",0,IF(COUNTIF('⚖️ Wahrscheinlichkeit'!$J$17:$J$24,R45)&gt;0,1,0))</f>
        <v>0</v>
      </c>
      <c r="AQ45" s="1" t="n">
        <f aca="false">IF(B45="",0,IF(AND(ISNUMBER(S45),COUNTIF('⚖️ Wahrscheinlichkeit'!$B$6:$B$11,S45)&gt;0),1,0))</f>
        <v>1</v>
      </c>
      <c r="AR45" s="1" t="n">
        <f aca="false">IF(B45="",0,IF(AND(COUNT(J45:M45)=4,SUM(J45:M45)&gt;0),1,0))</f>
        <v>1</v>
      </c>
      <c r="AS45" s="1" t="n">
        <f aca="false">IF(B45="",0,IF(AND(AF45&lt;&gt;"",AG45&lt;&gt;""),1,0))</f>
        <v>0</v>
      </c>
      <c r="AT45" s="1" t="n">
        <f aca="false">IF(AND(R45="WON",AS45=1,AR45=1),1,0)</f>
        <v>0</v>
      </c>
      <c r="AU45" s="1" t="n">
        <f aca="false">IF(B45="",0,IF(AD45="Alternative – zählt nicht",0,1))</f>
        <v>1</v>
      </c>
      <c r="AV45" s="1" t="n">
        <f aca="false">IF(B45="",0,IF(COUNTIF($B$6:$B$860,B45)&gt;1,1,0))</f>
        <v>0</v>
      </c>
      <c r="AW45" s="1" t="n">
        <v>6</v>
      </c>
      <c r="AX45" s="269" t="str">
        <f aca="false">IF(AY45=1,DATE(YEAR(O45),MONTH(O45),1),"")</f>
        <v/>
      </c>
      <c r="AY45" s="1" t="n">
        <f aca="false">IF(B45="",0,IF(AND(ISNUMBER(O45),ISNUMBER(P45)),IF(P45&gt;=O45,1,0),0))</f>
        <v>0</v>
      </c>
      <c r="AZ45" s="270" t="n">
        <f aca="false">IF(ISNUMBER(Y45),Y45,0)</f>
        <v>6665.12488436633</v>
      </c>
      <c r="BA45" s="1" t="str">
        <f aca="false">IF(B45="","",IF(AND(R45="WON",AS45=0),"⛔ Beleg fehlt · ","")&amp;IF(AND(R45="WON",AR45=0),"⛔ Einstand fehlt · ","")&amp;IF(AND(R45&lt;&gt;"WON",AR45=0),"○ Einstand offen · ","")&amp;IF(AND(R45="WON",AB45=""),"⛔ Vertragsart fehlt · ","")&amp;IF(AND(ISNUMBER(O45),ISNUMBER(P45)),IF(P45&lt;O45,"⚠ Ende vor Start · ",""),"")&amp;IF(AND(R45="WON",AY45=0,NOT(AND(ISNUMBER(O45),ISNUMBER(P45)))),"⛔ Zeitraum fehlt · ","")&amp;IF(AND(R45&lt;&gt;"WON",AY45=0,NOT(AND(ISNUMBER(O45),ISNUMBER(P45)))),"○ Zeitraum offen · ",""))</f>
        <v>○ Zeitraum offen · </v>
      </c>
      <c r="BB45" s="1" t="str">
        <f aca="false">IF(B45="","",IF(AND(R45="WON",AS45=0),"⛔ Nachweis fehlt",IF(AND(ISNUMBER(O45),ISNUMBER(P45),P45&lt;O45),"⚠ Ende vor Start",IF(AND(R45="WON",AY45=0),"⛔ Zeitraum fehlt",IF(AR45=0,"○ Einstand offen",IF(AY45=0,"○ Zeitraum offen",IF(R45="WON","✅ belegt","✔ erfasst")))))))</f>
        <v>○ Zeitraum offen</v>
      </c>
    </row>
    <row r="46" customFormat="false" ht="38.25" hidden="false" customHeight="true" outlineLevel="0" collapsed="false">
      <c r="A46" s="258" t="n">
        <v>9</v>
      </c>
      <c r="B46" s="259" t="s">
        <v>401</v>
      </c>
      <c r="C46" s="258" t="s">
        <v>82</v>
      </c>
      <c r="D46" s="260" t="s">
        <v>402</v>
      </c>
      <c r="E46" s="260" t="s">
        <v>403</v>
      </c>
      <c r="F46" s="261" t="n">
        <v>600</v>
      </c>
      <c r="G46" s="258" t="str">
        <f aca="false">IF(B46="","",IF(AY46=1,P46-O46+1,IF(AW46="","",AW46)))</f>
        <v>5 Jahre</v>
      </c>
      <c r="H46" s="262" t="s">
        <v>96</v>
      </c>
      <c r="I46" s="261" t="n">
        <v>500000</v>
      </c>
      <c r="J46" s="261" t="n">
        <v>300000</v>
      </c>
      <c r="K46" s="261" t="n">
        <v>5000</v>
      </c>
      <c r="L46" s="261" t="n">
        <v>25000</v>
      </c>
      <c r="M46" s="261" t="n">
        <v>30000</v>
      </c>
      <c r="N46" s="261" t="n">
        <v>10000</v>
      </c>
      <c r="O46" s="263"/>
      <c r="P46" s="263"/>
      <c r="Q46" s="261" t="n">
        <f aca="false">IF(AND(ISNUMBER(I46),ISNUMBER(S46)),I46*AJ46,IF(OR(I46&lt;&gt;"",S46&lt;&gt;""),"tbd",""))</f>
        <v>0</v>
      </c>
      <c r="R46" s="264" t="s">
        <v>235</v>
      </c>
      <c r="S46" s="265" t="n">
        <v>0.3</v>
      </c>
      <c r="T46" s="259" t="s">
        <v>314</v>
      </c>
      <c r="U46" s="260" t="s">
        <v>404</v>
      </c>
      <c r="V46" s="260" t="s">
        <v>405</v>
      </c>
      <c r="W46" s="258" t="s">
        <v>337</v>
      </c>
      <c r="X46" s="260" t="s">
        <v>406</v>
      </c>
      <c r="Y46" s="261" t="n">
        <f aca="false">IF(ISNUMBER(I46),I46/Netto_Faktor,"")</f>
        <v>462534.690101758</v>
      </c>
      <c r="Z46" s="261" t="n">
        <f aca="false">IF(B46="","",IF(COUNT(J46:N46)=0,"",SUM(J46:N46)))</f>
        <v>370000</v>
      </c>
      <c r="AA46" s="266"/>
      <c r="AB46" s="266"/>
      <c r="AC46" s="266"/>
      <c r="AD46" s="266"/>
      <c r="AE46" s="266"/>
      <c r="AF46" s="266"/>
      <c r="AG46" s="267"/>
      <c r="AH46" s="259" t="str">
        <f aca="false">IF(B46="","",IF(BA46="",IF(R46="WON","✅ belegt &amp; vollständig","✔ vollständig"),LEFT(BA46,LEN(BA46)-3)))</f>
        <v>○ Zeitraum offen</v>
      </c>
      <c r="AI46" s="265" t="n">
        <v>0.5</v>
      </c>
      <c r="AJ46" s="268" t="n">
        <f aca="false">IF(ISNUMBER(S46),IFERROR(LOOKUP(IF(S46&lt;=1,S46,S46/100),'⚖️ Wahrscheinlichkeit'!$B$17:$B$21,'⚖️ Wahrscheinlichkeit'!$D$17:$D$21),0),0)</f>
        <v>0</v>
      </c>
      <c r="AK46" s="1" t="str">
        <f aca="false">IF(AND(R46="WON",ISNUMBER(I46)),AL46+(861-ROW())*0.000001,"")</f>
        <v/>
      </c>
      <c r="AL46" s="1" t="n">
        <f aca="false">IFERROR(I46*1,0)</f>
        <v>500000</v>
      </c>
      <c r="AM46" s="1" t="n">
        <f aca="false">N(AM45)+IF(AND(R46="WON",B46&lt;&gt;""),1,0)</f>
        <v>7</v>
      </c>
      <c r="AN46" s="1" t="n">
        <f aca="false">N(AN45)+IF(AND(OR(R46="offered",R46="to be offered",R46="on hold"),B46&lt;&gt;""),1,0)</f>
        <v>20</v>
      </c>
      <c r="AO46" s="1" t="n">
        <f aca="false">N(AO45)+IF(AND(OR(R46="follow-up",R46="Evaluation",R46="tbd",R46="In evaluation"),B46&lt;&gt;""),1,0)</f>
        <v>0</v>
      </c>
      <c r="AP46" s="1" t="n">
        <f aca="false">IF(B46="",0,IF(COUNTIF('⚖️ Wahrscheinlichkeit'!$J$17:$J$24,R46)&gt;0,1,0))</f>
        <v>1</v>
      </c>
      <c r="AQ46" s="1" t="n">
        <f aca="false">IF(B46="",0,IF(AND(ISNUMBER(S46),COUNTIF('⚖️ Wahrscheinlichkeit'!$B$6:$B$11,S46)&gt;0),1,0))</f>
        <v>1</v>
      </c>
      <c r="AR46" s="1" t="n">
        <f aca="false">IF(B46="",0,IF(AND(COUNT(J46:M46)=4,SUM(J46:M46)&gt;0),1,0))</f>
        <v>1</v>
      </c>
      <c r="AS46" s="1" t="n">
        <f aca="false">IF(B46="",0,IF(AND(AF46&lt;&gt;"",AG46&lt;&gt;""),1,0))</f>
        <v>0</v>
      </c>
      <c r="AT46" s="1" t="n">
        <f aca="false">IF(AND(R46="WON",AS46=1,AR46=1),1,0)</f>
        <v>0</v>
      </c>
      <c r="AU46" s="1" t="n">
        <f aca="false">IF(B46="",0,IF(AD46="Alternative – zählt nicht",0,1))</f>
        <v>1</v>
      </c>
      <c r="AV46" s="1" t="n">
        <f aca="false">IF(B46="",0,IF(COUNTIF($B$6:$B$860,B46)&gt;1,1,0))</f>
        <v>0</v>
      </c>
      <c r="AW46" s="1" t="s">
        <v>407</v>
      </c>
      <c r="AX46" s="269" t="str">
        <f aca="false">IF(AY46=1,DATE(YEAR(O46),MONTH(O46),1),"")</f>
        <v/>
      </c>
      <c r="AY46" s="1" t="n">
        <f aca="false">IF(B46="",0,IF(AND(ISNUMBER(O46),ISNUMBER(P46)),IF(P46&gt;=O46,1,0),0))</f>
        <v>0</v>
      </c>
      <c r="AZ46" s="270" t="n">
        <f aca="false">IF(ISNUMBER(Y46),Y46,0)</f>
        <v>462534.690101758</v>
      </c>
      <c r="BA46" s="1" t="str">
        <f aca="false">IF(B46="","",IF(AND(R46="WON",AS46=0),"⛔ Beleg fehlt · ","")&amp;IF(AND(R46="WON",AR46=0),"⛔ Einstand fehlt · ","")&amp;IF(AND(R46&lt;&gt;"WON",AR46=0),"○ Einstand offen · ","")&amp;IF(AND(R46="WON",AB46=""),"⛔ Vertragsart fehlt · ","")&amp;IF(AND(ISNUMBER(O46),ISNUMBER(P46)),IF(P46&lt;O46,"⚠ Ende vor Start · ",""),"")&amp;IF(AND(R46="WON",AY46=0,NOT(AND(ISNUMBER(O46),ISNUMBER(P46)))),"⛔ Zeitraum fehlt · ","")&amp;IF(AND(R46&lt;&gt;"WON",AY46=0,NOT(AND(ISNUMBER(O46),ISNUMBER(P46)))),"○ Zeitraum offen · ",""))</f>
        <v>○ Zeitraum offen · </v>
      </c>
      <c r="BB46" s="1" t="str">
        <f aca="false">IF(B46="","",IF(AND(R46="WON",AS46=0),"⛔ Nachweis fehlt",IF(AND(ISNUMBER(O46),ISNUMBER(P46),P46&lt;O46),"⚠ Ende vor Start",IF(AND(R46="WON",AY46=0),"⛔ Zeitraum fehlt",IF(AR46=0,"○ Einstand offen",IF(AY46=0,"○ Zeitraum offen",IF(R46="WON","✅ belegt","✔ erfasst")))))))</f>
        <v>○ Zeitraum offen</v>
      </c>
    </row>
    <row r="47" customFormat="false" ht="38.25" hidden="false" customHeight="true" outlineLevel="0" collapsed="false">
      <c r="A47" s="258" t="n">
        <v>37</v>
      </c>
      <c r="B47" s="279" t="s">
        <v>408</v>
      </c>
      <c r="C47" s="277" t="s">
        <v>82</v>
      </c>
      <c r="D47" s="260" t="s">
        <v>293</v>
      </c>
      <c r="E47" s="276" t="s">
        <v>346</v>
      </c>
      <c r="F47" s="280" t="s">
        <v>409</v>
      </c>
      <c r="G47" s="258" t="n">
        <f aca="false">IF(B47="","",IF(AY47=1,P47-O47+1,IF(AW47="","",AW47)))</f>
        <v>4</v>
      </c>
      <c r="H47" s="272" t="s">
        <v>98</v>
      </c>
      <c r="I47" s="261" t="n">
        <v>6365.35</v>
      </c>
      <c r="J47" s="261" t="n">
        <f aca="false">320.4+10.8+25.2+115.2</f>
        <v>471.6</v>
      </c>
      <c r="K47" s="261" t="n">
        <v>2400</v>
      </c>
      <c r="L47" s="261" t="n">
        <v>0</v>
      </c>
      <c r="M47" s="261" t="n">
        <f aca="false">1740+1276.8</f>
        <v>3016.8</v>
      </c>
      <c r="N47" s="275"/>
      <c r="O47" s="263"/>
      <c r="P47" s="263"/>
      <c r="Q47" s="261" t="n">
        <f aca="false">IF(AND(ISNUMBER(I47),ISNUMBER(S47)),I47*AJ47,IF(OR(I47&lt;&gt;"",S47&lt;&gt;""),"tbd",""))</f>
        <v>0</v>
      </c>
      <c r="R47" s="264" t="s">
        <v>329</v>
      </c>
      <c r="S47" s="265" t="n">
        <v>0</v>
      </c>
      <c r="T47" s="279" t="s">
        <v>220</v>
      </c>
      <c r="U47" s="260" t="s">
        <v>283</v>
      </c>
      <c r="V47" s="260" t="s">
        <v>400</v>
      </c>
      <c r="W47" s="277" t="s">
        <v>97</v>
      </c>
      <c r="X47" s="260" t="s">
        <v>400</v>
      </c>
      <c r="Y47" s="261" t="n">
        <f aca="false">IF(ISNUMBER(I47),I47/Netto_Faktor,"")</f>
        <v>5888.39037927845</v>
      </c>
      <c r="Z47" s="261" t="n">
        <f aca="false">IF(B47="","",IF(COUNT(J47:N47)=0,"",SUM(J47:N47)))</f>
        <v>5888.4</v>
      </c>
      <c r="AA47" s="266"/>
      <c r="AB47" s="266"/>
      <c r="AC47" s="266"/>
      <c r="AD47" s="266"/>
      <c r="AE47" s="266"/>
      <c r="AF47" s="266"/>
      <c r="AG47" s="267"/>
      <c r="AH47" s="259" t="str">
        <f aca="false">IF(B47="","",IF(BA47="",IF(R47="WON","✅ belegt &amp; vollständig","✔ vollständig"),LEFT(BA47,LEN(BA47)-3)))</f>
        <v>○ Zeitraum offen</v>
      </c>
      <c r="AI47" s="265" t="n">
        <v>0</v>
      </c>
      <c r="AJ47" s="268" t="n">
        <f aca="false">IF(ISNUMBER(S47),IFERROR(LOOKUP(IF(S47&lt;=1,S47,S47/100),'⚖️ Wahrscheinlichkeit'!$B$17:$B$21,'⚖️ Wahrscheinlichkeit'!$D$17:$D$21),0),0)</f>
        <v>0</v>
      </c>
      <c r="AK47" s="1" t="str">
        <f aca="false">IF(AND(R47="WON",ISNUMBER(I47)),AL47+(861-ROW())*0.000001,"")</f>
        <v/>
      </c>
      <c r="AL47" s="1" t="n">
        <f aca="false">IFERROR(I47*1,0)</f>
        <v>6365.35</v>
      </c>
      <c r="AM47" s="1" t="n">
        <f aca="false">N(AM46)+IF(AND(R47="WON",B47&lt;&gt;""),1,0)</f>
        <v>7</v>
      </c>
      <c r="AN47" s="1" t="n">
        <f aca="false">N(AN46)+IF(AND(OR(R47="offered",R47="to be offered",R47="on hold"),B47&lt;&gt;""),1,0)</f>
        <v>20</v>
      </c>
      <c r="AO47" s="1" t="n">
        <f aca="false">N(AO46)+IF(AND(OR(R47="follow-up",R47="Evaluation",R47="tbd",R47="In evaluation"),B47&lt;&gt;""),1,0)</f>
        <v>0</v>
      </c>
      <c r="AP47" s="1" t="n">
        <f aca="false">IF(B47="",0,IF(COUNTIF('⚖️ Wahrscheinlichkeit'!$J$17:$J$24,R47)&gt;0,1,0))</f>
        <v>0</v>
      </c>
      <c r="AQ47" s="1" t="n">
        <f aca="false">IF(B47="",0,IF(AND(ISNUMBER(S47),COUNTIF('⚖️ Wahrscheinlichkeit'!$B$6:$B$11,S47)&gt;0),1,0))</f>
        <v>1</v>
      </c>
      <c r="AR47" s="1" t="n">
        <f aca="false">IF(B47="",0,IF(AND(COUNT(J47:M47)=4,SUM(J47:M47)&gt;0),1,0))</f>
        <v>1</v>
      </c>
      <c r="AS47" s="1" t="n">
        <f aca="false">IF(B47="",0,IF(AND(AF47&lt;&gt;"",AG47&lt;&gt;""),1,0))</f>
        <v>0</v>
      </c>
      <c r="AT47" s="1" t="n">
        <f aca="false">IF(AND(R47="WON",AS47=1,AR47=1),1,0)</f>
        <v>0</v>
      </c>
      <c r="AU47" s="1" t="n">
        <f aca="false">IF(B47="",0,IF(AD47="Alternative – zählt nicht",0,1))</f>
        <v>1</v>
      </c>
      <c r="AV47" s="1" t="n">
        <f aca="false">IF(B47="",0,IF(COUNTIF($B$6:$B$860,B47)&gt;1,1,0))</f>
        <v>0</v>
      </c>
      <c r="AW47" s="1" t="n">
        <v>4</v>
      </c>
      <c r="AX47" s="269" t="str">
        <f aca="false">IF(AY47=1,DATE(YEAR(O47),MONTH(O47),1),"")</f>
        <v/>
      </c>
      <c r="AY47" s="1" t="n">
        <f aca="false">IF(B47="",0,IF(AND(ISNUMBER(O47),ISNUMBER(P47)),IF(P47&gt;=O47,1,0),0))</f>
        <v>0</v>
      </c>
      <c r="AZ47" s="270" t="n">
        <f aca="false">IF(ISNUMBER(Y47),Y47,0)</f>
        <v>5888.39037927845</v>
      </c>
      <c r="BA47" s="1" t="str">
        <f aca="false">IF(B47="","",IF(AND(R47="WON",AS47=0),"⛔ Beleg fehlt · ","")&amp;IF(AND(R47="WON",AR47=0),"⛔ Einstand fehlt · ","")&amp;IF(AND(R47&lt;&gt;"WON",AR47=0),"○ Einstand offen · ","")&amp;IF(AND(R47="WON",AB47=""),"⛔ Vertragsart fehlt · ","")&amp;IF(AND(ISNUMBER(O47),ISNUMBER(P47)),IF(P47&lt;O47,"⚠ Ende vor Start · ",""),"")&amp;IF(AND(R47="WON",AY47=0,NOT(AND(ISNUMBER(O47),ISNUMBER(P47)))),"⛔ Zeitraum fehlt · ","")&amp;IF(AND(R47&lt;&gt;"WON",AY47=0,NOT(AND(ISNUMBER(O47),ISNUMBER(P47)))),"○ Zeitraum offen · ",""))</f>
        <v>○ Zeitraum offen · </v>
      </c>
      <c r="BB47" s="1" t="str">
        <f aca="false">IF(B47="","",IF(AND(R47="WON",AS47=0),"⛔ Nachweis fehlt",IF(AND(ISNUMBER(O47),ISNUMBER(P47),P47&lt;O47),"⚠ Ende vor Start",IF(AND(R47="WON",AY47=0),"⛔ Zeitraum fehlt",IF(AR47=0,"○ Einstand offen",IF(AY47=0,"○ Zeitraum offen",IF(R47="WON","✅ belegt","✔ erfasst")))))))</f>
        <v>○ Zeitraum offen</v>
      </c>
    </row>
    <row r="48" customFormat="false" ht="30" hidden="false" customHeight="true" outlineLevel="0" collapsed="false">
      <c r="A48" s="258" t="n">
        <v>30</v>
      </c>
      <c r="B48" s="259" t="s">
        <v>410</v>
      </c>
      <c r="C48" s="258" t="s">
        <v>59</v>
      </c>
      <c r="D48" s="260" t="s">
        <v>281</v>
      </c>
      <c r="E48" s="260" t="s">
        <v>227</v>
      </c>
      <c r="F48" s="274" t="s">
        <v>227</v>
      </c>
      <c r="G48" s="258" t="str">
        <f aca="false">IF(B48="","",IF(AY48=1,P48-O48+1,IF(AW48="","",AW48)))</f>
        <v>tbd</v>
      </c>
      <c r="H48" s="258" t="s">
        <v>227</v>
      </c>
      <c r="I48" s="261" t="s">
        <v>227</v>
      </c>
      <c r="J48" s="261" t="s">
        <v>227</v>
      </c>
      <c r="K48" s="261" t="s">
        <v>227</v>
      </c>
      <c r="L48" s="261" t="n">
        <v>0</v>
      </c>
      <c r="M48" s="261" t="s">
        <v>227</v>
      </c>
      <c r="N48" s="275"/>
      <c r="O48" s="263"/>
      <c r="P48" s="263"/>
      <c r="Q48" s="261" t="str">
        <f aca="false">IF(AND(ISNUMBER(I48),ISNUMBER(S48)),I48*AJ48,IF(OR(I48&lt;&gt;"",S48&lt;&gt;""),"tbd",""))</f>
        <v>tbd</v>
      </c>
      <c r="R48" s="264" t="s">
        <v>228</v>
      </c>
      <c r="S48" s="265" t="n">
        <v>0</v>
      </c>
      <c r="T48" s="259" t="s">
        <v>236</v>
      </c>
      <c r="U48" s="260" t="s">
        <v>283</v>
      </c>
      <c r="V48" s="283" t="s">
        <v>411</v>
      </c>
      <c r="W48" s="258" t="s">
        <v>97</v>
      </c>
      <c r="X48" s="260" t="s">
        <v>411</v>
      </c>
      <c r="Y48" s="261" t="str">
        <f aca="false">IF(ISNUMBER(I48),I48/Netto_Faktor,"")</f>
        <v/>
      </c>
      <c r="Z48" s="261" t="n">
        <f aca="false">IF(B48="","",IF(COUNT(J48:N48)=0,"",SUM(J48:N48)))</f>
        <v>0</v>
      </c>
      <c r="AA48" s="266"/>
      <c r="AB48" s="266"/>
      <c r="AC48" s="266"/>
      <c r="AD48" s="266"/>
      <c r="AE48" s="266"/>
      <c r="AF48" s="266"/>
      <c r="AG48" s="267"/>
      <c r="AH48" s="259" t="str">
        <f aca="false">IF(B48="","",IF(BA48="",IF(R48="WON","✅ belegt &amp; vollständig","✔ vollständig"),LEFT(BA48,LEN(BA48)-3)))</f>
        <v>○ Einstand offen · ○ Zeitraum offen</v>
      </c>
      <c r="AI48" s="265" t="n">
        <v>0</v>
      </c>
      <c r="AJ48" s="268" t="n">
        <f aca="false">IF(ISNUMBER(S48),IFERROR(LOOKUP(IF(S48&lt;=1,S48,S48/100),'⚖️ Wahrscheinlichkeit'!$B$17:$B$21,'⚖️ Wahrscheinlichkeit'!$D$17:$D$21),0),0)</f>
        <v>0</v>
      </c>
      <c r="AK48" s="1" t="str">
        <f aca="false">IF(AND(R48="WON",ISNUMBER(I48)),AL48+(861-ROW())*0.000001,"")</f>
        <v/>
      </c>
      <c r="AL48" s="1" t="n">
        <f aca="false">IFERROR(I48*1,0)</f>
        <v>0</v>
      </c>
      <c r="AM48" s="1" t="n">
        <f aca="false">N(AM47)+IF(AND(R48="WON",B48&lt;&gt;""),1,0)</f>
        <v>7</v>
      </c>
      <c r="AN48" s="1" t="n">
        <f aca="false">N(AN47)+IF(AND(OR(R48="offered",R48="to be offered",R48="on hold"),B48&lt;&gt;""),1,0)</f>
        <v>20</v>
      </c>
      <c r="AO48" s="1" t="n">
        <f aca="false">N(AO47)+IF(AND(OR(R48="follow-up",R48="Evaluation",R48="tbd",R48="In evaluation"),B48&lt;&gt;""),1,0)</f>
        <v>0</v>
      </c>
      <c r="AP48" s="1" t="n">
        <f aca="false">IF(B48="",0,IF(COUNTIF('⚖️ Wahrscheinlichkeit'!$J$17:$J$24,R48)&gt;0,1,0))</f>
        <v>0</v>
      </c>
      <c r="AQ48" s="1" t="n">
        <f aca="false">IF(B48="",0,IF(AND(ISNUMBER(S48),COUNTIF('⚖️ Wahrscheinlichkeit'!$B$6:$B$11,S48)&gt;0),1,0))</f>
        <v>1</v>
      </c>
      <c r="AR48" s="1" t="n">
        <f aca="false">IF(B48="",0,IF(AND(COUNT(J48:M48)=4,SUM(J48:M48)&gt;0),1,0))</f>
        <v>0</v>
      </c>
      <c r="AS48" s="1" t="n">
        <f aca="false">IF(B48="",0,IF(AND(AF48&lt;&gt;"",AG48&lt;&gt;""),1,0))</f>
        <v>0</v>
      </c>
      <c r="AT48" s="1" t="n">
        <f aca="false">IF(AND(R48="WON",AS48=1,AR48=1),1,0)</f>
        <v>0</v>
      </c>
      <c r="AU48" s="1" t="n">
        <f aca="false">IF(B48="",0,IF(AD48="Alternative – zählt nicht",0,1))</f>
        <v>1</v>
      </c>
      <c r="AV48" s="1" t="n">
        <f aca="false">IF(B48="",0,IF(COUNTIF($B$6:$B$860,B48)&gt;1,1,0))</f>
        <v>0</v>
      </c>
      <c r="AW48" s="1" t="s">
        <v>227</v>
      </c>
      <c r="AX48" s="269" t="str">
        <f aca="false">IF(AY48=1,DATE(YEAR(O48),MONTH(O48),1),"")</f>
        <v/>
      </c>
      <c r="AY48" s="1" t="n">
        <f aca="false">IF(B48="",0,IF(AND(ISNUMBER(O48),ISNUMBER(P48)),IF(P48&gt;=O48,1,0),0))</f>
        <v>0</v>
      </c>
      <c r="AZ48" s="1" t="n">
        <f aca="false">IF(ISNUMBER(Y48),Y48,0)</f>
        <v>0</v>
      </c>
      <c r="BA48" s="1" t="str">
        <f aca="false">IF(B48="","",IF(AND(R48="WON",AS48=0),"⛔ Beleg fehlt · ","")&amp;IF(AND(R48="WON",AR48=0),"⛔ Einstand fehlt · ","")&amp;IF(AND(R48&lt;&gt;"WON",AR48=0),"○ Einstand offen · ","")&amp;IF(AND(R48="WON",AB48=""),"⛔ Vertragsart fehlt · ","")&amp;IF(AND(ISNUMBER(O48),ISNUMBER(P48)),IF(P48&lt;O48,"⚠ Ende vor Start · ",""),"")&amp;IF(AND(R48="WON",AY48=0,NOT(AND(ISNUMBER(O48),ISNUMBER(P48)))),"⛔ Zeitraum fehlt · ","")&amp;IF(AND(R48&lt;&gt;"WON",AY48=0,NOT(AND(ISNUMBER(O48),ISNUMBER(P48)))),"○ Zeitraum offen · ",""))</f>
        <v>○ Einstand offen · ○ Zeitraum offen · </v>
      </c>
      <c r="BB48" s="1" t="str">
        <f aca="false">IF(B48="","",IF(AND(R48="WON",AS48=0),"⛔ Nachweis fehlt",IF(AND(ISNUMBER(O48),ISNUMBER(P48),P48&lt;O48),"⚠ Ende vor Start",IF(AND(R48="WON",AY48=0),"⛔ Zeitraum fehlt",IF(AR48=0,"○ Einstand offen",IF(AY48=0,"○ Zeitraum offen",IF(R48="WON","✅ belegt","✔ erfasst")))))))</f>
        <v>○ Einstand offen</v>
      </c>
    </row>
    <row r="49" customFormat="false" ht="25.5" hidden="false" customHeight="true" outlineLevel="0" collapsed="false">
      <c r="A49" s="258" t="n">
        <v>31</v>
      </c>
      <c r="B49" s="259" t="s">
        <v>79</v>
      </c>
      <c r="C49" s="258" t="s">
        <v>79</v>
      </c>
      <c r="D49" s="260" t="s">
        <v>281</v>
      </c>
      <c r="E49" s="260" t="s">
        <v>227</v>
      </c>
      <c r="F49" s="274" t="s">
        <v>227</v>
      </c>
      <c r="G49" s="258" t="str">
        <f aca="false">IF(B49="","",IF(AY49=1,P49-O49+1,IF(AW49="","",AW49)))</f>
        <v>tbd</v>
      </c>
      <c r="H49" s="262" t="s">
        <v>227</v>
      </c>
      <c r="I49" s="261" t="s">
        <v>227</v>
      </c>
      <c r="J49" s="261" t="s">
        <v>227</v>
      </c>
      <c r="K49" s="261" t="s">
        <v>227</v>
      </c>
      <c r="L49" s="261" t="n">
        <v>0</v>
      </c>
      <c r="M49" s="261" t="s">
        <v>227</v>
      </c>
      <c r="N49" s="275"/>
      <c r="O49" s="263"/>
      <c r="P49" s="263"/>
      <c r="Q49" s="261" t="str">
        <f aca="false">IF(AND(ISNUMBER(I49),ISNUMBER(S49)),I49*AJ49,IF(OR(I49&lt;&gt;"",S49&lt;&gt;""),"tbd",""))</f>
        <v>tbd</v>
      </c>
      <c r="R49" s="264" t="s">
        <v>228</v>
      </c>
      <c r="S49" s="265" t="n">
        <v>0</v>
      </c>
      <c r="T49" s="259" t="s">
        <v>236</v>
      </c>
      <c r="U49" s="260" t="s">
        <v>283</v>
      </c>
      <c r="V49" s="260" t="s">
        <v>411</v>
      </c>
      <c r="W49" s="258" t="s">
        <v>97</v>
      </c>
      <c r="X49" s="260" t="s">
        <v>411</v>
      </c>
      <c r="Y49" s="261" t="str">
        <f aca="false">IF(ISNUMBER(I49),I49/Netto_Faktor,"")</f>
        <v/>
      </c>
      <c r="Z49" s="261" t="n">
        <f aca="false">IF(B49="","",IF(COUNT(J49:N49)=0,"",SUM(J49:N49)))</f>
        <v>0</v>
      </c>
      <c r="AA49" s="266"/>
      <c r="AB49" s="266"/>
      <c r="AC49" s="266"/>
      <c r="AD49" s="266"/>
      <c r="AE49" s="266"/>
      <c r="AF49" s="266"/>
      <c r="AG49" s="267"/>
      <c r="AH49" s="259" t="str">
        <f aca="false">IF(B49="","",IF(BA49="",IF(R49="WON","✅ belegt &amp; vollständig","✔ vollständig"),LEFT(BA49,LEN(BA49)-3)))</f>
        <v>○ Einstand offen · ○ Zeitraum offen</v>
      </c>
      <c r="AI49" s="265" t="n">
        <v>0</v>
      </c>
      <c r="AJ49" s="268" t="n">
        <f aca="false">IF(ISNUMBER(S49),IFERROR(LOOKUP(IF(S49&lt;=1,S49,S49/100),'⚖️ Wahrscheinlichkeit'!$B$17:$B$21,'⚖️ Wahrscheinlichkeit'!$D$17:$D$21),0),0)</f>
        <v>0</v>
      </c>
      <c r="AK49" s="1" t="str">
        <f aca="false">IF(AND(R49="WON",ISNUMBER(I49)),AL49+(861-ROW())*0.000001,"")</f>
        <v/>
      </c>
      <c r="AL49" s="1" t="n">
        <f aca="false">IFERROR(I49*1,0)</f>
        <v>0</v>
      </c>
      <c r="AM49" s="1" t="n">
        <f aca="false">N(AM48)+IF(AND(R49="WON",B49&lt;&gt;""),1,0)</f>
        <v>7</v>
      </c>
      <c r="AN49" s="1" t="n">
        <f aca="false">N(AN48)+IF(AND(OR(R49="offered",R49="to be offered",R49="on hold"),B49&lt;&gt;""),1,0)</f>
        <v>20</v>
      </c>
      <c r="AO49" s="1" t="n">
        <f aca="false">N(AO48)+IF(AND(OR(R49="follow-up",R49="Evaluation",R49="tbd",R49="In evaluation"),B49&lt;&gt;""),1,0)</f>
        <v>0</v>
      </c>
      <c r="AP49" s="1" t="n">
        <f aca="false">IF(B49="",0,IF(COUNTIF('⚖️ Wahrscheinlichkeit'!$J$17:$J$24,R49)&gt;0,1,0))</f>
        <v>0</v>
      </c>
      <c r="AQ49" s="1" t="n">
        <f aca="false">IF(B49="",0,IF(AND(ISNUMBER(S49),COUNTIF('⚖️ Wahrscheinlichkeit'!$B$6:$B$11,S49)&gt;0),1,0))</f>
        <v>1</v>
      </c>
      <c r="AR49" s="1" t="n">
        <f aca="false">IF(B49="",0,IF(AND(COUNT(J49:M49)=4,SUM(J49:M49)&gt;0),1,0))</f>
        <v>0</v>
      </c>
      <c r="AS49" s="1" t="n">
        <f aca="false">IF(B49="",0,IF(AND(AF49&lt;&gt;"",AG49&lt;&gt;""),1,0))</f>
        <v>0</v>
      </c>
      <c r="AT49" s="1" t="n">
        <f aca="false">IF(AND(R49="WON",AS49=1,AR49=1),1,0)</f>
        <v>0</v>
      </c>
      <c r="AU49" s="1" t="n">
        <f aca="false">IF(B49="",0,IF(AD49="Alternative – zählt nicht",0,1))</f>
        <v>1</v>
      </c>
      <c r="AV49" s="1" t="n">
        <f aca="false">IF(B49="",0,IF(COUNTIF($B$6:$B$860,B49)&gt;1,1,0))</f>
        <v>0</v>
      </c>
      <c r="AW49" s="1" t="s">
        <v>227</v>
      </c>
      <c r="AX49" s="269" t="str">
        <f aca="false">IF(AY49=1,DATE(YEAR(O49),MONTH(O49),1),"")</f>
        <v/>
      </c>
      <c r="AY49" s="1" t="n">
        <f aca="false">IF(B49="",0,IF(AND(ISNUMBER(O49),ISNUMBER(P49)),IF(P49&gt;=O49,1,0),0))</f>
        <v>0</v>
      </c>
      <c r="AZ49" s="1" t="n">
        <f aca="false">IF(ISNUMBER(Y49),Y49,0)</f>
        <v>0</v>
      </c>
      <c r="BA49" s="1" t="str">
        <f aca="false">IF(B49="","",IF(AND(R49="WON",AS49=0),"⛔ Beleg fehlt · ","")&amp;IF(AND(R49="WON",AR49=0),"⛔ Einstand fehlt · ","")&amp;IF(AND(R49&lt;&gt;"WON",AR49=0),"○ Einstand offen · ","")&amp;IF(AND(R49="WON",AB49=""),"⛔ Vertragsart fehlt · ","")&amp;IF(AND(ISNUMBER(O49),ISNUMBER(P49)),IF(P49&lt;O49,"⚠ Ende vor Start · ",""),"")&amp;IF(AND(R49="WON",AY49=0,NOT(AND(ISNUMBER(O49),ISNUMBER(P49)))),"⛔ Zeitraum fehlt · ","")&amp;IF(AND(R49&lt;&gt;"WON",AY49=0,NOT(AND(ISNUMBER(O49),ISNUMBER(P49)))),"○ Zeitraum offen · ",""))</f>
        <v>○ Einstand offen · ○ Zeitraum offen · </v>
      </c>
      <c r="BB49" s="1" t="str">
        <f aca="false">IF(B49="","",IF(AND(R49="WON",AS49=0),"⛔ Nachweis fehlt",IF(AND(ISNUMBER(O49),ISNUMBER(P49),P49&lt;O49),"⚠ Ende vor Start",IF(AND(R49="WON",AY49=0),"⛔ Zeitraum fehlt",IF(AR49=0,"○ Einstand offen",IF(AY49=0,"○ Zeitraum offen",IF(R49="WON","✅ belegt","✔ erfasst")))))))</f>
        <v>○ Einstand offen</v>
      </c>
    </row>
    <row r="50" customFormat="false" ht="38.25" hidden="false" customHeight="true" outlineLevel="0" collapsed="false">
      <c r="A50" s="258" t="n">
        <v>40</v>
      </c>
      <c r="B50" s="259" t="s">
        <v>412</v>
      </c>
      <c r="C50" s="258" t="s">
        <v>72</v>
      </c>
      <c r="D50" s="260" t="s">
        <v>293</v>
      </c>
      <c r="E50" s="260" t="s">
        <v>413</v>
      </c>
      <c r="F50" s="261" t="s">
        <v>413</v>
      </c>
      <c r="G50" s="258" t="n">
        <f aca="false">IF(B50="","",IF(AY50=1,P50-O50+1,IF(AW50="","",AW50)))</f>
        <v>4</v>
      </c>
      <c r="H50" s="272" t="s">
        <v>96</v>
      </c>
      <c r="I50" s="261" t="n">
        <v>4533.93</v>
      </c>
      <c r="J50" s="261" t="n">
        <f aca="false">649.8</f>
        <v>649.8</v>
      </c>
      <c r="K50" s="261" t="n">
        <v>1650</v>
      </c>
      <c r="L50" s="261" t="n">
        <v>0</v>
      </c>
      <c r="M50" s="261" t="n">
        <f aca="false">1160+734.4</f>
        <v>1894.4</v>
      </c>
      <c r="N50" s="275"/>
      <c r="O50" s="263"/>
      <c r="P50" s="263"/>
      <c r="Q50" s="261" t="n">
        <f aca="false">IF(AND(ISNUMBER(I50),ISNUMBER(S50)),I50*AJ50,IF(OR(I50&lt;&gt;"",S50&lt;&gt;""),"tbd",""))</f>
        <v>0</v>
      </c>
      <c r="R50" s="264" t="s">
        <v>329</v>
      </c>
      <c r="S50" s="265" t="n">
        <v>0</v>
      </c>
      <c r="T50" s="259" t="s">
        <v>414</v>
      </c>
      <c r="U50" s="260" t="s">
        <v>283</v>
      </c>
      <c r="V50" s="276" t="s">
        <v>400</v>
      </c>
      <c r="W50" s="258" t="s">
        <v>96</v>
      </c>
      <c r="X50" s="276" t="s">
        <v>400</v>
      </c>
      <c r="Y50" s="261" t="n">
        <f aca="false">IF(ISNUMBER(I50),I50/Netto_Faktor,"")</f>
        <v>4194.19981498613</v>
      </c>
      <c r="Z50" s="261" t="n">
        <f aca="false">IF(B50="","",IF(COUNT(J50:N50)=0,"",SUM(J50:N50)))</f>
        <v>4194.2</v>
      </c>
      <c r="AA50" s="266"/>
      <c r="AB50" s="266"/>
      <c r="AC50" s="266"/>
      <c r="AD50" s="266"/>
      <c r="AE50" s="266"/>
      <c r="AF50" s="266"/>
      <c r="AG50" s="267"/>
      <c r="AH50" s="259" t="str">
        <f aca="false">IF(B50="","",IF(BA50="",IF(R50="WON","✅ belegt &amp; vollständig","✔ vollständig"),LEFT(BA50,LEN(BA50)-3)))</f>
        <v>○ Zeitraum offen</v>
      </c>
      <c r="AI50" s="265" t="n">
        <v>0</v>
      </c>
      <c r="AJ50" s="268" t="n">
        <f aca="false">IF(ISNUMBER(S50),IFERROR(LOOKUP(IF(S50&lt;=1,S50,S50/100),'⚖️ Wahrscheinlichkeit'!$B$17:$B$21,'⚖️ Wahrscheinlichkeit'!$D$17:$D$21),0),0)</f>
        <v>0</v>
      </c>
      <c r="AK50" s="1" t="str">
        <f aca="false">IF(AND(R50="WON",ISNUMBER(I50)),AL50+(861-ROW())*0.000001,"")</f>
        <v/>
      </c>
      <c r="AL50" s="1" t="n">
        <f aca="false">IFERROR(I50*1,0)</f>
        <v>4533.93</v>
      </c>
      <c r="AM50" s="1" t="n">
        <f aca="false">N(AM49)+IF(AND(R50="WON",B50&lt;&gt;""),1,0)</f>
        <v>7</v>
      </c>
      <c r="AN50" s="1" t="n">
        <f aca="false">N(AN49)+IF(AND(OR(R50="offered",R50="to be offered",R50="on hold"),B50&lt;&gt;""),1,0)</f>
        <v>20</v>
      </c>
      <c r="AO50" s="1" t="n">
        <f aca="false">N(AO49)+IF(AND(OR(R50="follow-up",R50="Evaluation",R50="tbd",R50="In evaluation"),B50&lt;&gt;""),1,0)</f>
        <v>0</v>
      </c>
      <c r="AP50" s="1" t="n">
        <f aca="false">IF(B50="",0,IF(COUNTIF('⚖️ Wahrscheinlichkeit'!$J$17:$J$24,R50)&gt;0,1,0))</f>
        <v>0</v>
      </c>
      <c r="AQ50" s="1" t="n">
        <f aca="false">IF(B50="",0,IF(AND(ISNUMBER(S50),COUNTIF('⚖️ Wahrscheinlichkeit'!$B$6:$B$11,S50)&gt;0),1,0))</f>
        <v>1</v>
      </c>
      <c r="AR50" s="1" t="n">
        <f aca="false">IF(B50="",0,IF(AND(COUNT(J50:M50)=4,SUM(J50:M50)&gt;0),1,0))</f>
        <v>1</v>
      </c>
      <c r="AS50" s="1" t="n">
        <f aca="false">IF(B50="",0,IF(AND(AF50&lt;&gt;"",AG50&lt;&gt;""),1,0))</f>
        <v>0</v>
      </c>
      <c r="AT50" s="1" t="n">
        <f aca="false">IF(AND(R50="WON",AS50=1,AR50=1),1,0)</f>
        <v>0</v>
      </c>
      <c r="AU50" s="1" t="n">
        <f aca="false">IF(B50="",0,IF(AD50="Alternative – zählt nicht",0,1))</f>
        <v>1</v>
      </c>
      <c r="AV50" s="1" t="n">
        <f aca="false">IF(B50="",0,IF(COUNTIF($B$6:$B$860,B50)&gt;1,1,0))</f>
        <v>0</v>
      </c>
      <c r="AW50" s="1" t="n">
        <v>4</v>
      </c>
      <c r="AX50" s="269" t="str">
        <f aca="false">IF(AY50=1,DATE(YEAR(O50),MONTH(O50),1),"")</f>
        <v/>
      </c>
      <c r="AY50" s="1" t="n">
        <f aca="false">IF(B50="",0,IF(AND(ISNUMBER(O50),ISNUMBER(P50)),IF(P50&gt;=O50,1,0),0))</f>
        <v>0</v>
      </c>
      <c r="AZ50" s="270" t="n">
        <f aca="false">IF(ISNUMBER(Y50),Y50,0)</f>
        <v>4194.19981498613</v>
      </c>
      <c r="BA50" s="1" t="str">
        <f aca="false">IF(B50="","",IF(AND(R50="WON",AS50=0),"⛔ Beleg fehlt · ","")&amp;IF(AND(R50="WON",AR50=0),"⛔ Einstand fehlt · ","")&amp;IF(AND(R50&lt;&gt;"WON",AR50=0),"○ Einstand offen · ","")&amp;IF(AND(R50="WON",AB50=""),"⛔ Vertragsart fehlt · ","")&amp;IF(AND(ISNUMBER(O50),ISNUMBER(P50)),IF(P50&lt;O50,"⚠ Ende vor Start · ",""),"")&amp;IF(AND(R50="WON",AY50=0,NOT(AND(ISNUMBER(O50),ISNUMBER(P50)))),"⛔ Zeitraum fehlt · ","")&amp;IF(AND(R50&lt;&gt;"WON",AY50=0,NOT(AND(ISNUMBER(O50),ISNUMBER(P50)))),"○ Zeitraum offen · ",""))</f>
        <v>○ Zeitraum offen · </v>
      </c>
      <c r="BB50" s="1" t="str">
        <f aca="false">IF(B50="","",IF(AND(R50="WON",AS50=0),"⛔ Nachweis fehlt",IF(AND(ISNUMBER(O50),ISNUMBER(P50),P50&lt;O50),"⚠ Ende vor Start",IF(AND(R50="WON",AY50=0),"⛔ Zeitraum fehlt",IF(AR50=0,"○ Einstand offen",IF(AY50=0,"○ Zeitraum offen",IF(R50="WON","✅ belegt","✔ erfasst")))))))</f>
        <v>○ Zeitraum offen</v>
      </c>
    </row>
    <row r="51" customFormat="false" ht="25.5" hidden="false" customHeight="true" outlineLevel="0" collapsed="false">
      <c r="A51" s="258" t="n">
        <v>32</v>
      </c>
      <c r="B51" s="259" t="s">
        <v>415</v>
      </c>
      <c r="C51" s="258" t="s">
        <v>79</v>
      </c>
      <c r="D51" s="260" t="s">
        <v>281</v>
      </c>
      <c r="E51" s="260" t="s">
        <v>227</v>
      </c>
      <c r="F51" s="274" t="s">
        <v>227</v>
      </c>
      <c r="G51" s="258" t="str">
        <f aca="false">IF(B51="","",IF(AY51=1,P51-O51+1,IF(AW51="","",AW51)))</f>
        <v>tbd</v>
      </c>
      <c r="H51" s="262" t="s">
        <v>227</v>
      </c>
      <c r="I51" s="261" t="s">
        <v>227</v>
      </c>
      <c r="J51" s="261" t="s">
        <v>227</v>
      </c>
      <c r="K51" s="261" t="s">
        <v>227</v>
      </c>
      <c r="L51" s="261" t="n">
        <v>0</v>
      </c>
      <c r="M51" s="261" t="s">
        <v>227</v>
      </c>
      <c r="N51" s="275"/>
      <c r="O51" s="263"/>
      <c r="P51" s="263"/>
      <c r="Q51" s="261" t="str">
        <f aca="false">IF(AND(ISNUMBER(I51),ISNUMBER(S51)),I51*AJ51,IF(OR(I51&lt;&gt;"",S51&lt;&gt;""),"tbd",""))</f>
        <v>tbd</v>
      </c>
      <c r="R51" s="264" t="s">
        <v>227</v>
      </c>
      <c r="S51" s="265" t="n">
        <v>0</v>
      </c>
      <c r="T51" s="259" t="s">
        <v>236</v>
      </c>
      <c r="U51" s="260" t="s">
        <v>283</v>
      </c>
      <c r="V51" s="260" t="s">
        <v>411</v>
      </c>
      <c r="W51" s="258" t="s">
        <v>97</v>
      </c>
      <c r="X51" s="260" t="s">
        <v>411</v>
      </c>
      <c r="Y51" s="261" t="str">
        <f aca="false">IF(ISNUMBER(I51),I51/Netto_Faktor,"")</f>
        <v/>
      </c>
      <c r="Z51" s="261" t="n">
        <f aca="false">IF(B51="","",IF(COUNT(J51:N51)=0,"",SUM(J51:N51)))</f>
        <v>0</v>
      </c>
      <c r="AA51" s="266"/>
      <c r="AB51" s="266"/>
      <c r="AC51" s="266"/>
      <c r="AD51" s="266"/>
      <c r="AE51" s="266"/>
      <c r="AF51" s="266"/>
      <c r="AG51" s="267"/>
      <c r="AH51" s="259" t="str">
        <f aca="false">IF(B51="","",IF(BA51="",IF(R51="WON","✅ belegt &amp; vollständig","✔ vollständig"),LEFT(BA51,LEN(BA51)-3)))</f>
        <v>○ Einstand offen · ○ Zeitraum offen</v>
      </c>
      <c r="AI51" s="265" t="n">
        <v>0</v>
      </c>
      <c r="AJ51" s="268" t="n">
        <f aca="false">IF(ISNUMBER(S51),IFERROR(LOOKUP(IF(S51&lt;=1,S51,S51/100),'⚖️ Wahrscheinlichkeit'!$B$17:$B$21,'⚖️ Wahrscheinlichkeit'!$D$17:$D$21),0),0)</f>
        <v>0</v>
      </c>
      <c r="AK51" s="1" t="str">
        <f aca="false">IF(AND(R51="WON",ISNUMBER(I51)),AL51+(861-ROW())*0.000001,"")</f>
        <v/>
      </c>
      <c r="AL51" s="1" t="n">
        <f aca="false">IFERROR(I51*1,0)</f>
        <v>0</v>
      </c>
      <c r="AM51" s="1" t="n">
        <f aca="false">N(AM50)+IF(AND(R51="WON",B51&lt;&gt;""),1,0)</f>
        <v>7</v>
      </c>
      <c r="AN51" s="1" t="n">
        <f aca="false">N(AN50)+IF(AND(OR(R51="offered",R51="to be offered",R51="on hold"),B51&lt;&gt;""),1,0)</f>
        <v>20</v>
      </c>
      <c r="AO51" s="1" t="n">
        <f aca="false">N(AO50)+IF(AND(OR(R51="follow-up",R51="Evaluation",R51="tbd",R51="In evaluation"),B51&lt;&gt;""),1,0)</f>
        <v>1</v>
      </c>
      <c r="AP51" s="1" t="n">
        <f aca="false">IF(B51="",0,IF(COUNTIF('⚖️ Wahrscheinlichkeit'!$J$17:$J$24,R51)&gt;0,1,0))</f>
        <v>1</v>
      </c>
      <c r="AQ51" s="1" t="n">
        <f aca="false">IF(B51="",0,IF(AND(ISNUMBER(S51),COUNTIF('⚖️ Wahrscheinlichkeit'!$B$6:$B$11,S51)&gt;0),1,0))</f>
        <v>1</v>
      </c>
      <c r="AR51" s="1" t="n">
        <f aca="false">IF(B51="",0,IF(AND(COUNT(J51:M51)=4,SUM(J51:M51)&gt;0),1,0))</f>
        <v>0</v>
      </c>
      <c r="AS51" s="1" t="n">
        <f aca="false">IF(B51="",0,IF(AND(AF51&lt;&gt;"",AG51&lt;&gt;""),1,0))</f>
        <v>0</v>
      </c>
      <c r="AT51" s="1" t="n">
        <f aca="false">IF(AND(R51="WON",AS51=1,AR51=1),1,0)</f>
        <v>0</v>
      </c>
      <c r="AU51" s="1" t="n">
        <f aca="false">IF(B51="",0,IF(AD51="Alternative – zählt nicht",0,1))</f>
        <v>1</v>
      </c>
      <c r="AV51" s="1" t="n">
        <f aca="false">IF(B51="",0,IF(COUNTIF($B$6:$B$860,B51)&gt;1,1,0))</f>
        <v>0</v>
      </c>
      <c r="AW51" s="1" t="s">
        <v>227</v>
      </c>
      <c r="AX51" s="269" t="str">
        <f aca="false">IF(AY51=1,DATE(YEAR(O51),MONTH(O51),1),"")</f>
        <v/>
      </c>
      <c r="AY51" s="1" t="n">
        <f aca="false">IF(B51="",0,IF(AND(ISNUMBER(O51),ISNUMBER(P51)),IF(P51&gt;=O51,1,0),0))</f>
        <v>0</v>
      </c>
      <c r="AZ51" s="1" t="n">
        <f aca="false">IF(ISNUMBER(Y51),Y51,0)</f>
        <v>0</v>
      </c>
      <c r="BA51" s="1" t="str">
        <f aca="false">IF(B51="","",IF(AND(R51="WON",AS51=0),"⛔ Beleg fehlt · ","")&amp;IF(AND(R51="WON",AR51=0),"⛔ Einstand fehlt · ","")&amp;IF(AND(R51&lt;&gt;"WON",AR51=0),"○ Einstand offen · ","")&amp;IF(AND(R51="WON",AB51=""),"⛔ Vertragsart fehlt · ","")&amp;IF(AND(ISNUMBER(O51),ISNUMBER(P51)),IF(P51&lt;O51,"⚠ Ende vor Start · ",""),"")&amp;IF(AND(R51="WON",AY51=0,NOT(AND(ISNUMBER(O51),ISNUMBER(P51)))),"⛔ Zeitraum fehlt · ","")&amp;IF(AND(R51&lt;&gt;"WON",AY51=0,NOT(AND(ISNUMBER(O51),ISNUMBER(P51)))),"○ Zeitraum offen · ",""))</f>
        <v>○ Einstand offen · ○ Zeitraum offen · </v>
      </c>
      <c r="BB51" s="1" t="str">
        <f aca="false">IF(B51="","",IF(AND(R51="WON",AS51=0),"⛔ Nachweis fehlt",IF(AND(ISNUMBER(O51),ISNUMBER(P51),P51&lt;O51),"⚠ Ende vor Start",IF(AND(R51="WON",AY51=0),"⛔ Zeitraum fehlt",IF(AR51=0,"○ Einstand offen",IF(AY51=0,"○ Zeitraum offen",IF(R51="WON","✅ belegt","✔ erfasst")))))))</f>
        <v>○ Einstand offen</v>
      </c>
    </row>
    <row r="52" customFormat="false" ht="38.25" hidden="false" customHeight="true" outlineLevel="0" collapsed="false">
      <c r="A52" s="258" t="n">
        <v>42</v>
      </c>
      <c r="B52" s="259" t="s">
        <v>416</v>
      </c>
      <c r="C52" s="258" t="s">
        <v>82</v>
      </c>
      <c r="D52" s="259" t="s">
        <v>281</v>
      </c>
      <c r="E52" s="260" t="s">
        <v>417</v>
      </c>
      <c r="F52" s="261" t="s">
        <v>417</v>
      </c>
      <c r="G52" s="258" t="n">
        <f aca="false">IF(B52="","",IF(AY52=1,P52-O52+1,IF(AW52="","",AW52)))</f>
        <v>4</v>
      </c>
      <c r="H52" s="262" t="s">
        <v>313</v>
      </c>
      <c r="I52" s="261" t="n">
        <v>6772.8</v>
      </c>
      <c r="J52" s="261" t="n">
        <v>3834</v>
      </c>
      <c r="K52" s="261" t="n">
        <v>1800</v>
      </c>
      <c r="L52" s="261" t="n">
        <v>0</v>
      </c>
      <c r="M52" s="261" t="n">
        <v>1138.8</v>
      </c>
      <c r="N52" s="261" t="n">
        <v>0</v>
      </c>
      <c r="O52" s="263"/>
      <c r="P52" s="263"/>
      <c r="Q52" s="261" t="n">
        <f aca="false">IF(AND(ISNUMBER(I52),ISNUMBER(S52)),I52*AJ52,IF(OR(I52&lt;&gt;"",S52&lt;&gt;""),"tbd",""))</f>
        <v>0</v>
      </c>
      <c r="R52" s="264" t="s">
        <v>235</v>
      </c>
      <c r="S52" s="265" t="n">
        <v>0.3</v>
      </c>
      <c r="T52" s="259" t="s">
        <v>236</v>
      </c>
      <c r="U52" s="260" t="s">
        <v>283</v>
      </c>
      <c r="V52" s="260" t="s">
        <v>418</v>
      </c>
      <c r="W52" s="258" t="s">
        <v>100</v>
      </c>
      <c r="X52" s="260" t="s">
        <v>348</v>
      </c>
      <c r="Y52" s="261" t="n">
        <f aca="false">IF(ISNUMBER(I52),I52/Netto_Faktor,"")</f>
        <v>6265.30989824237</v>
      </c>
      <c r="Z52" s="261" t="n">
        <f aca="false">IF(B52="","",IF(COUNT(J52:N52)=0,"",SUM(J52:N52)))</f>
        <v>6772.8</v>
      </c>
      <c r="AA52" s="266"/>
      <c r="AB52" s="266"/>
      <c r="AC52" s="266"/>
      <c r="AD52" s="266"/>
      <c r="AE52" s="266"/>
      <c r="AF52" s="266"/>
      <c r="AG52" s="267"/>
      <c r="AH52" s="259" t="str">
        <f aca="false">IF(B52="","",IF(BA52="",IF(R52="WON","✅ belegt &amp; vollständig","✔ vollständig"),LEFT(BA52,LEN(BA52)-3)))</f>
        <v>○ Zeitraum offen</v>
      </c>
      <c r="AI52" s="265" t="n">
        <v>0.5</v>
      </c>
      <c r="AJ52" s="268" t="n">
        <f aca="false">IF(ISNUMBER(S52),IFERROR(LOOKUP(IF(S52&lt;=1,S52,S52/100),'⚖️ Wahrscheinlichkeit'!$B$17:$B$21,'⚖️ Wahrscheinlichkeit'!$D$17:$D$21),0),0)</f>
        <v>0</v>
      </c>
      <c r="AK52" s="1" t="str">
        <f aca="false">IF(AND(R52="WON",ISNUMBER(I52)),AL52+(861-ROW())*0.000001,"")</f>
        <v/>
      </c>
      <c r="AL52" s="1" t="n">
        <f aca="false">IFERROR(I52*1,0)</f>
        <v>6772.8</v>
      </c>
      <c r="AM52" s="1" t="n">
        <f aca="false">N(AM51)+IF(AND(R52="WON",B52&lt;&gt;""),1,0)</f>
        <v>7</v>
      </c>
      <c r="AN52" s="1" t="n">
        <f aca="false">N(AN51)+IF(AND(OR(R52="offered",R52="to be offered",R52="on hold"),B52&lt;&gt;""),1,0)</f>
        <v>21</v>
      </c>
      <c r="AO52" s="1" t="n">
        <f aca="false">N(AO51)+IF(AND(OR(R52="follow-up",R52="Evaluation",R52="tbd",R52="In evaluation"),B52&lt;&gt;""),1,0)</f>
        <v>1</v>
      </c>
      <c r="AP52" s="1" t="n">
        <f aca="false">IF(B52="",0,IF(COUNTIF('⚖️ Wahrscheinlichkeit'!$J$17:$J$24,R52)&gt;0,1,0))</f>
        <v>1</v>
      </c>
      <c r="AQ52" s="1" t="n">
        <f aca="false">IF(B52="",0,IF(AND(ISNUMBER(S52),COUNTIF('⚖️ Wahrscheinlichkeit'!$B$6:$B$11,S52)&gt;0),1,0))</f>
        <v>1</v>
      </c>
      <c r="AR52" s="1" t="n">
        <f aca="false">IF(B52="",0,IF(AND(COUNT(J52:M52)=4,SUM(J52:M52)&gt;0),1,0))</f>
        <v>1</v>
      </c>
      <c r="AS52" s="1" t="n">
        <f aca="false">IF(B52="",0,IF(AND(AF52&lt;&gt;"",AG52&lt;&gt;""),1,0))</f>
        <v>0</v>
      </c>
      <c r="AT52" s="1" t="n">
        <f aca="false">IF(AND(R52="WON",AS52=1,AR52=1),1,0)</f>
        <v>0</v>
      </c>
      <c r="AU52" s="1" t="n">
        <f aca="false">IF(B52="",0,IF(AD52="Alternative – zählt nicht",0,1))</f>
        <v>1</v>
      </c>
      <c r="AV52" s="1" t="n">
        <f aca="false">IF(B52="",0,IF(COUNTIF($B$6:$B$860,B52)&gt;1,1,0))</f>
        <v>0</v>
      </c>
      <c r="AW52" s="1" t="n">
        <v>4</v>
      </c>
      <c r="AX52" s="269" t="str">
        <f aca="false">IF(AY52=1,DATE(YEAR(O52),MONTH(O52),1),"")</f>
        <v/>
      </c>
      <c r="AY52" s="1" t="n">
        <f aca="false">IF(B52="",0,IF(AND(ISNUMBER(O52),ISNUMBER(P52)),IF(P52&gt;=O52,1,0),0))</f>
        <v>0</v>
      </c>
      <c r="AZ52" s="270" t="n">
        <f aca="false">IF(ISNUMBER(Y52),Y52,0)</f>
        <v>6265.30989824237</v>
      </c>
      <c r="BA52" s="1" t="str">
        <f aca="false">IF(B52="","",IF(AND(R52="WON",AS52=0),"⛔ Beleg fehlt · ","")&amp;IF(AND(R52="WON",AR52=0),"⛔ Einstand fehlt · ","")&amp;IF(AND(R52&lt;&gt;"WON",AR52=0),"○ Einstand offen · ","")&amp;IF(AND(R52="WON",AB52=""),"⛔ Vertragsart fehlt · ","")&amp;IF(AND(ISNUMBER(O52),ISNUMBER(P52)),IF(P52&lt;O52,"⚠ Ende vor Start · ",""),"")&amp;IF(AND(R52="WON",AY52=0,NOT(AND(ISNUMBER(O52),ISNUMBER(P52)))),"⛔ Zeitraum fehlt · ","")&amp;IF(AND(R52&lt;&gt;"WON",AY52=0,NOT(AND(ISNUMBER(O52),ISNUMBER(P52)))),"○ Zeitraum offen · ",""))</f>
        <v>○ Zeitraum offen · </v>
      </c>
      <c r="BB52" s="1" t="str">
        <f aca="false">IF(B52="","",IF(AND(R52="WON",AS52=0),"⛔ Nachweis fehlt",IF(AND(ISNUMBER(O52),ISNUMBER(P52),P52&lt;O52),"⚠ Ende vor Start",IF(AND(R52="WON",AY52=0),"⛔ Zeitraum fehlt",IF(AR52=0,"○ Einstand offen",IF(AY52=0,"○ Zeitraum offen",IF(R52="WON","✅ belegt","✔ erfasst")))))))</f>
        <v>○ Zeitraum offen</v>
      </c>
    </row>
    <row r="53" customFormat="false" ht="25.5" hidden="false" customHeight="true" outlineLevel="0" collapsed="false">
      <c r="A53" s="258" t="n">
        <v>43</v>
      </c>
      <c r="B53" s="259" t="s">
        <v>419</v>
      </c>
      <c r="C53" s="258" t="s">
        <v>82</v>
      </c>
      <c r="D53" s="259" t="s">
        <v>281</v>
      </c>
      <c r="E53" s="260" t="s">
        <v>392</v>
      </c>
      <c r="F53" s="261" t="s">
        <v>392</v>
      </c>
      <c r="G53" s="258" t="n">
        <f aca="false">IF(B53="","",IF(AY53=1,P53-O53+1,IF(AW53="","",AW53)))</f>
        <v>480</v>
      </c>
      <c r="H53" s="262" t="s">
        <v>420</v>
      </c>
      <c r="I53" s="261" t="n">
        <v>224236.15</v>
      </c>
      <c r="J53" s="261" t="n">
        <v>204672</v>
      </c>
      <c r="K53" s="261" t="n">
        <v>1700</v>
      </c>
      <c r="L53" s="261" t="n">
        <v>0</v>
      </c>
      <c r="M53" s="261" t="n">
        <f aca="false">870+192</f>
        <v>1062</v>
      </c>
      <c r="N53" s="275"/>
      <c r="O53" s="263"/>
      <c r="P53" s="263"/>
      <c r="Q53" s="261" t="n">
        <f aca="false">IF(AND(ISNUMBER(I53),ISNUMBER(S53)),I53*AJ53,IF(OR(I53&lt;&gt;"",S53&lt;&gt;""),"tbd",""))</f>
        <v>0</v>
      </c>
      <c r="R53" s="264" t="s">
        <v>219</v>
      </c>
      <c r="S53" s="265" t="n">
        <v>0.3</v>
      </c>
      <c r="T53" s="259" t="s">
        <v>314</v>
      </c>
      <c r="U53" s="260" t="s">
        <v>283</v>
      </c>
      <c r="V53" s="260" t="s">
        <v>421</v>
      </c>
      <c r="W53" s="258" t="s">
        <v>102</v>
      </c>
      <c r="X53" s="260" t="s">
        <v>348</v>
      </c>
      <c r="Y53" s="261" t="n">
        <f aca="false">IF(ISNUMBER(I53),I53/Netto_Faktor,"")</f>
        <v>207433.996299723</v>
      </c>
      <c r="Z53" s="261" t="n">
        <f aca="false">IF(B53="","",IF(COUNT(J53:N53)=0,"",SUM(J53:N53)))</f>
        <v>207434</v>
      </c>
      <c r="AA53" s="266"/>
      <c r="AB53" s="266"/>
      <c r="AC53" s="266"/>
      <c r="AD53" s="266"/>
      <c r="AE53" s="266"/>
      <c r="AF53" s="266"/>
      <c r="AG53" s="267"/>
      <c r="AH53" s="259" t="str">
        <f aca="false">IF(B53="","",IF(BA53="",IF(R53="WON","✅ belegt &amp; vollständig","✔ vollständig"),LEFT(BA53,LEN(BA53)-3)))</f>
        <v>○ Zeitraum offen</v>
      </c>
      <c r="AI53" s="265" t="n">
        <v>0.5</v>
      </c>
      <c r="AJ53" s="268" t="n">
        <f aca="false">IF(ISNUMBER(S53),IFERROR(LOOKUP(IF(S53&lt;=1,S53,S53/100),'⚖️ Wahrscheinlichkeit'!$B$17:$B$21,'⚖️ Wahrscheinlichkeit'!$D$17:$D$21),0),0)</f>
        <v>0</v>
      </c>
      <c r="AK53" s="1" t="str">
        <f aca="false">IF(AND(R53="WON",ISNUMBER(I53)),AL53+(861-ROW())*0.000001,"")</f>
        <v/>
      </c>
      <c r="AL53" s="1" t="n">
        <f aca="false">IFERROR(I53*1,0)</f>
        <v>224236.15</v>
      </c>
      <c r="AM53" s="1" t="n">
        <f aca="false">N(AM52)+IF(AND(R53="WON",B53&lt;&gt;""),1,0)</f>
        <v>7</v>
      </c>
      <c r="AN53" s="1" t="n">
        <f aca="false">N(AN52)+IF(AND(OR(R53="offered",R53="to be offered",R53="on hold"),B53&lt;&gt;""),1,0)</f>
        <v>22</v>
      </c>
      <c r="AO53" s="1" t="n">
        <f aca="false">N(AO52)+IF(AND(OR(R53="follow-up",R53="Evaluation",R53="tbd",R53="In evaluation"),B53&lt;&gt;""),1,0)</f>
        <v>1</v>
      </c>
      <c r="AP53" s="1" t="n">
        <f aca="false">IF(B53="",0,IF(COUNTIF('⚖️ Wahrscheinlichkeit'!$J$17:$J$24,R53)&gt;0,1,0))</f>
        <v>1</v>
      </c>
      <c r="AQ53" s="1" t="n">
        <f aca="false">IF(B53="",0,IF(AND(ISNUMBER(S53),COUNTIF('⚖️ Wahrscheinlichkeit'!$B$6:$B$11,S53)&gt;0),1,0))</f>
        <v>1</v>
      </c>
      <c r="AR53" s="1" t="n">
        <f aca="false">IF(B53="",0,IF(AND(COUNT(J53:M53)=4,SUM(J53:M53)&gt;0),1,0))</f>
        <v>1</v>
      </c>
      <c r="AS53" s="1" t="n">
        <f aca="false">IF(B53="",0,IF(AND(AF53&lt;&gt;"",AG53&lt;&gt;""),1,0))</f>
        <v>0</v>
      </c>
      <c r="AT53" s="1" t="n">
        <f aca="false">IF(AND(R53="WON",AS53=1,AR53=1),1,0)</f>
        <v>0</v>
      </c>
      <c r="AU53" s="1" t="n">
        <f aca="false">IF(B53="",0,IF(AD53="Alternative – zählt nicht",0,1))</f>
        <v>1</v>
      </c>
      <c r="AV53" s="1" t="n">
        <f aca="false">IF(B53="",0,IF(COUNTIF($B$6:$B$860,B53)&gt;1,1,0))</f>
        <v>1</v>
      </c>
      <c r="AW53" s="1" t="n">
        <v>480</v>
      </c>
      <c r="AX53" s="269" t="str">
        <f aca="false">IF(AY53=1,DATE(YEAR(O53),MONTH(O53),1),"")</f>
        <v/>
      </c>
      <c r="AY53" s="1" t="n">
        <f aca="false">IF(B53="",0,IF(AND(ISNUMBER(O53),ISNUMBER(P53)),IF(P53&gt;=O53,1,0),0))</f>
        <v>0</v>
      </c>
      <c r="AZ53" s="270" t="n">
        <f aca="false">IF(ISNUMBER(Y53),Y53,0)</f>
        <v>207433.996299723</v>
      </c>
      <c r="BA53" s="1" t="str">
        <f aca="false">IF(B53="","",IF(AND(R53="WON",AS53=0),"⛔ Beleg fehlt · ","")&amp;IF(AND(R53="WON",AR53=0),"⛔ Einstand fehlt · ","")&amp;IF(AND(R53&lt;&gt;"WON",AR53=0),"○ Einstand offen · ","")&amp;IF(AND(R53="WON",AB53=""),"⛔ Vertragsart fehlt · ","")&amp;IF(AND(ISNUMBER(O53),ISNUMBER(P53)),IF(P53&lt;O53,"⚠ Ende vor Start · ",""),"")&amp;IF(AND(R53="WON",AY53=0,NOT(AND(ISNUMBER(O53),ISNUMBER(P53)))),"⛔ Zeitraum fehlt · ","")&amp;IF(AND(R53&lt;&gt;"WON",AY53=0,NOT(AND(ISNUMBER(O53),ISNUMBER(P53)))),"○ Zeitraum offen · ",""))</f>
        <v>○ Zeitraum offen · </v>
      </c>
      <c r="BB53" s="1" t="str">
        <f aca="false">IF(B53="","",IF(AND(R53="WON",AS53=0),"⛔ Nachweis fehlt",IF(AND(ISNUMBER(O53),ISNUMBER(P53),P53&lt;O53),"⚠ Ende vor Start",IF(AND(R53="WON",AY53=0),"⛔ Zeitraum fehlt",IF(AR53=0,"○ Einstand offen",IF(AY53=0,"○ Zeitraum offen",IF(R53="WON","✅ belegt","✔ erfasst")))))))</f>
        <v>○ Zeitraum offen</v>
      </c>
    </row>
    <row r="54" customFormat="false" ht="25.5" hidden="false" customHeight="true" outlineLevel="0" collapsed="false">
      <c r="A54" s="258" t="n">
        <v>44</v>
      </c>
      <c r="B54" s="259" t="s">
        <v>419</v>
      </c>
      <c r="C54" s="258" t="s">
        <v>82</v>
      </c>
      <c r="D54" s="259" t="s">
        <v>281</v>
      </c>
      <c r="E54" s="260" t="s">
        <v>282</v>
      </c>
      <c r="F54" s="261" t="s">
        <v>282</v>
      </c>
      <c r="G54" s="258" t="n">
        <f aca="false">IF(B54="","",IF(AY54=1,P54-O54+1,IF(AW54="","",AW54)))</f>
        <v>66</v>
      </c>
      <c r="H54" s="262" t="s">
        <v>98</v>
      </c>
      <c r="I54" s="261" t="n">
        <v>31077.89</v>
      </c>
      <c r="J54" s="261" t="n">
        <v>26030.4</v>
      </c>
      <c r="K54" s="261" t="n">
        <v>1700</v>
      </c>
      <c r="L54" s="261" t="n">
        <v>0</v>
      </c>
      <c r="M54" s="261" t="n">
        <v>1018.8</v>
      </c>
      <c r="N54" s="275"/>
      <c r="O54" s="263"/>
      <c r="P54" s="263"/>
      <c r="Q54" s="261" t="n">
        <f aca="false">IF(AND(ISNUMBER(I54),ISNUMBER(S54)),I54*AJ54,IF(OR(I54&lt;&gt;"",S54&lt;&gt;""),"tbd",""))</f>
        <v>0</v>
      </c>
      <c r="R54" s="264" t="s">
        <v>219</v>
      </c>
      <c r="S54" s="265" t="n">
        <v>0.3</v>
      </c>
      <c r="T54" s="259" t="s">
        <v>314</v>
      </c>
      <c r="U54" s="260" t="s">
        <v>283</v>
      </c>
      <c r="V54" s="260" t="s">
        <v>421</v>
      </c>
      <c r="W54" s="258" t="s">
        <v>102</v>
      </c>
      <c r="X54" s="260" t="s">
        <v>348</v>
      </c>
      <c r="Y54" s="261" t="n">
        <f aca="false">IF(ISNUMBER(I54),I54/Netto_Faktor,"")</f>
        <v>28749.204440333</v>
      </c>
      <c r="Z54" s="261" t="n">
        <f aca="false">IF(B54="","",IF(COUNT(J54:N54)=0,"",SUM(J54:N54)))</f>
        <v>28749.2</v>
      </c>
      <c r="AA54" s="266"/>
      <c r="AB54" s="266"/>
      <c r="AC54" s="266"/>
      <c r="AD54" s="266"/>
      <c r="AE54" s="266"/>
      <c r="AF54" s="266"/>
      <c r="AG54" s="267"/>
      <c r="AH54" s="259" t="str">
        <f aca="false">IF(B54="","",IF(BA54="",IF(R54="WON","✅ belegt &amp; vollständig","✔ vollständig"),LEFT(BA54,LEN(BA54)-3)))</f>
        <v>○ Zeitraum offen</v>
      </c>
      <c r="AI54" s="265" t="n">
        <v>0.5</v>
      </c>
      <c r="AJ54" s="268" t="n">
        <f aca="false">IF(ISNUMBER(S54),IFERROR(LOOKUP(IF(S54&lt;=1,S54,S54/100),'⚖️ Wahrscheinlichkeit'!$B$17:$B$21,'⚖️ Wahrscheinlichkeit'!$D$17:$D$21),0),0)</f>
        <v>0</v>
      </c>
      <c r="AK54" s="1" t="str">
        <f aca="false">IF(AND(R54="WON",ISNUMBER(I54)),AL54+(861-ROW())*0.000001,"")</f>
        <v/>
      </c>
      <c r="AL54" s="1" t="n">
        <f aca="false">IFERROR(I54*1,0)</f>
        <v>31077.89</v>
      </c>
      <c r="AM54" s="1" t="n">
        <f aca="false">N(AM53)+IF(AND(R54="WON",B54&lt;&gt;""),1,0)</f>
        <v>7</v>
      </c>
      <c r="AN54" s="1" t="n">
        <f aca="false">N(AN53)+IF(AND(OR(R54="offered",R54="to be offered",R54="on hold"),B54&lt;&gt;""),1,0)</f>
        <v>23</v>
      </c>
      <c r="AO54" s="1" t="n">
        <f aca="false">N(AO53)+IF(AND(OR(R54="follow-up",R54="Evaluation",R54="tbd",R54="In evaluation"),B54&lt;&gt;""),1,0)</f>
        <v>1</v>
      </c>
      <c r="AP54" s="1" t="n">
        <f aca="false">IF(B54="",0,IF(COUNTIF('⚖️ Wahrscheinlichkeit'!$J$17:$J$24,R54)&gt;0,1,0))</f>
        <v>1</v>
      </c>
      <c r="AQ54" s="1" t="n">
        <f aca="false">IF(B54="",0,IF(AND(ISNUMBER(S54),COUNTIF('⚖️ Wahrscheinlichkeit'!$B$6:$B$11,S54)&gt;0),1,0))</f>
        <v>1</v>
      </c>
      <c r="AR54" s="1" t="n">
        <f aca="false">IF(B54="",0,IF(AND(COUNT(J54:M54)=4,SUM(J54:M54)&gt;0),1,0))</f>
        <v>1</v>
      </c>
      <c r="AS54" s="1" t="n">
        <f aca="false">IF(B54="",0,IF(AND(AF54&lt;&gt;"",AG54&lt;&gt;""),1,0))</f>
        <v>0</v>
      </c>
      <c r="AT54" s="1" t="n">
        <f aca="false">IF(AND(R54="WON",AS54=1,AR54=1),1,0)</f>
        <v>0</v>
      </c>
      <c r="AU54" s="1" t="n">
        <f aca="false">IF(B54="",0,IF(AD54="Alternative – zählt nicht",0,1))</f>
        <v>1</v>
      </c>
      <c r="AV54" s="1" t="n">
        <f aca="false">IF(B54="",0,IF(COUNTIF($B$6:$B$860,B54)&gt;1,1,0))</f>
        <v>1</v>
      </c>
      <c r="AW54" s="1" t="n">
        <v>66</v>
      </c>
      <c r="AX54" s="269" t="str">
        <f aca="false">IF(AY54=1,DATE(YEAR(O54),MONTH(O54),1),"")</f>
        <v/>
      </c>
      <c r="AY54" s="1" t="n">
        <f aca="false">IF(B54="",0,IF(AND(ISNUMBER(O54),ISNUMBER(P54)),IF(P54&gt;=O54,1,0),0))</f>
        <v>0</v>
      </c>
      <c r="AZ54" s="270" t="n">
        <f aca="false">IF(ISNUMBER(Y54),Y54,0)</f>
        <v>28749.204440333</v>
      </c>
      <c r="BA54" s="1" t="str">
        <f aca="false">IF(B54="","",IF(AND(R54="WON",AS54=0),"⛔ Beleg fehlt · ","")&amp;IF(AND(R54="WON",AR54=0),"⛔ Einstand fehlt · ","")&amp;IF(AND(R54&lt;&gt;"WON",AR54=0),"○ Einstand offen · ","")&amp;IF(AND(R54="WON",AB54=""),"⛔ Vertragsart fehlt · ","")&amp;IF(AND(ISNUMBER(O54),ISNUMBER(P54)),IF(P54&lt;O54,"⚠ Ende vor Start · ",""),"")&amp;IF(AND(R54="WON",AY54=0,NOT(AND(ISNUMBER(O54),ISNUMBER(P54)))),"⛔ Zeitraum fehlt · ","")&amp;IF(AND(R54&lt;&gt;"WON",AY54=0,NOT(AND(ISNUMBER(O54),ISNUMBER(P54)))),"○ Zeitraum offen · ",""))</f>
        <v>○ Zeitraum offen · </v>
      </c>
      <c r="BB54" s="1" t="str">
        <f aca="false">IF(B54="","",IF(AND(R54="WON",AS54=0),"⛔ Nachweis fehlt",IF(AND(ISNUMBER(O54),ISNUMBER(P54),P54&lt;O54),"⚠ Ende vor Start",IF(AND(R54="WON",AY54=0),"⛔ Zeitraum fehlt",IF(AR54=0,"○ Einstand offen",IF(AY54=0,"○ Zeitraum offen",IF(R54="WON","✅ belegt","✔ erfasst")))))))</f>
        <v>○ Zeitraum offen</v>
      </c>
    </row>
    <row r="55" customFormat="false" ht="25.5" hidden="false" customHeight="true" outlineLevel="0" collapsed="false">
      <c r="A55" s="258" t="n">
        <v>45</v>
      </c>
      <c r="B55" s="259" t="s">
        <v>422</v>
      </c>
      <c r="C55" s="258" t="s">
        <v>61</v>
      </c>
      <c r="D55" s="259" t="s">
        <v>293</v>
      </c>
      <c r="E55" s="260" t="s">
        <v>282</v>
      </c>
      <c r="F55" s="261" t="s">
        <v>282</v>
      </c>
      <c r="G55" s="258" t="n">
        <f aca="false">IF(B55="","",IF(AY55=1,P55-O55+1,IF(AW55="","",AW55)))</f>
        <v>14</v>
      </c>
      <c r="H55" s="262" t="s">
        <v>98</v>
      </c>
      <c r="I55" s="261" t="n">
        <v>13866.21</v>
      </c>
      <c r="J55" s="261" t="n">
        <f aca="false">3515.4+2835+336+1512+420</f>
        <v>8618.4</v>
      </c>
      <c r="K55" s="261" t="n">
        <v>2400</v>
      </c>
      <c r="L55" s="261" t="n">
        <v>0</v>
      </c>
      <c r="M55" s="261" t="n">
        <f aca="false">1228.8+580</f>
        <v>1808.8</v>
      </c>
      <c r="N55" s="275"/>
      <c r="O55" s="263"/>
      <c r="P55" s="263"/>
      <c r="Q55" s="261" t="n">
        <f aca="false">IF(AND(ISNUMBER(I55),ISNUMBER(S55)),I55*AJ55,IF(OR(I55&lt;&gt;"",S55&lt;&gt;""),"tbd",""))</f>
        <v>0</v>
      </c>
      <c r="R55" s="264" t="s">
        <v>219</v>
      </c>
      <c r="S55" s="265" t="n">
        <v>0.3</v>
      </c>
      <c r="T55" s="259" t="s">
        <v>314</v>
      </c>
      <c r="U55" s="260" t="s">
        <v>283</v>
      </c>
      <c r="V55" s="260" t="s">
        <v>421</v>
      </c>
      <c r="W55" s="258" t="s">
        <v>98</v>
      </c>
      <c r="X55" s="260" t="s">
        <v>348</v>
      </c>
      <c r="Y55" s="261" t="n">
        <f aca="false">IF(ISNUMBER(I55),I55/Netto_Faktor,"")</f>
        <v>12827.2062904718</v>
      </c>
      <c r="Z55" s="261" t="n">
        <f aca="false">IF(B55="","",IF(COUNT(J55:N55)=0,"",SUM(J55:N55)))</f>
        <v>12827.2</v>
      </c>
      <c r="AA55" s="266"/>
      <c r="AB55" s="266"/>
      <c r="AC55" s="266"/>
      <c r="AD55" s="266"/>
      <c r="AE55" s="266"/>
      <c r="AF55" s="266"/>
      <c r="AG55" s="267"/>
      <c r="AH55" s="259" t="str">
        <f aca="false">IF(B55="","",IF(BA55="",IF(R55="WON","✅ belegt &amp; vollständig","✔ vollständig"),LEFT(BA55,LEN(BA55)-3)))</f>
        <v>○ Zeitraum offen</v>
      </c>
      <c r="AI55" s="265" t="n">
        <v>0.5</v>
      </c>
      <c r="AJ55" s="268" t="n">
        <f aca="false">IF(ISNUMBER(S55),IFERROR(LOOKUP(IF(S55&lt;=1,S55,S55/100),'⚖️ Wahrscheinlichkeit'!$B$17:$B$21,'⚖️ Wahrscheinlichkeit'!$D$17:$D$21),0),0)</f>
        <v>0</v>
      </c>
      <c r="AK55" s="1" t="str">
        <f aca="false">IF(AND(R55="WON",ISNUMBER(I55)),AL55+(861-ROW())*0.000001,"")</f>
        <v/>
      </c>
      <c r="AL55" s="1" t="n">
        <f aca="false">IFERROR(I55*1,0)</f>
        <v>13866.21</v>
      </c>
      <c r="AM55" s="1" t="n">
        <f aca="false">N(AM54)+IF(AND(R55="WON",B55&lt;&gt;""),1,0)</f>
        <v>7</v>
      </c>
      <c r="AN55" s="1" t="n">
        <f aca="false">N(AN54)+IF(AND(OR(R55="offered",R55="to be offered",R55="on hold"),B55&lt;&gt;""),1,0)</f>
        <v>24</v>
      </c>
      <c r="AO55" s="1" t="n">
        <f aca="false">N(AO54)+IF(AND(OR(R55="follow-up",R55="Evaluation",R55="tbd",R55="In evaluation"),B55&lt;&gt;""),1,0)</f>
        <v>1</v>
      </c>
      <c r="AP55" s="1" t="n">
        <f aca="false">IF(B55="",0,IF(COUNTIF('⚖️ Wahrscheinlichkeit'!$J$17:$J$24,R55)&gt;0,1,0))</f>
        <v>1</v>
      </c>
      <c r="AQ55" s="1" t="n">
        <f aca="false">IF(B55="",0,IF(AND(ISNUMBER(S55),COUNTIF('⚖️ Wahrscheinlichkeit'!$B$6:$B$11,S55)&gt;0),1,0))</f>
        <v>1</v>
      </c>
      <c r="AR55" s="1" t="n">
        <f aca="false">IF(B55="",0,IF(AND(COUNT(J55:M55)=4,SUM(J55:M55)&gt;0),1,0))</f>
        <v>1</v>
      </c>
      <c r="AS55" s="1" t="n">
        <f aca="false">IF(B55="",0,IF(AND(AF55&lt;&gt;"",AG55&lt;&gt;""),1,0))</f>
        <v>0</v>
      </c>
      <c r="AT55" s="1" t="n">
        <f aca="false">IF(AND(R55="WON",AS55=1,AR55=1),1,0)</f>
        <v>0</v>
      </c>
      <c r="AU55" s="1" t="n">
        <f aca="false">IF(B55="",0,IF(AD55="Alternative – zählt nicht",0,1))</f>
        <v>1</v>
      </c>
      <c r="AV55" s="1" t="n">
        <f aca="false">IF(B55="",0,IF(COUNTIF($B$6:$B$860,B55)&gt;1,1,0))</f>
        <v>0</v>
      </c>
      <c r="AW55" s="1" t="n">
        <v>14</v>
      </c>
      <c r="AX55" s="269" t="str">
        <f aca="false">IF(AY55=1,DATE(YEAR(O55),MONTH(O55),1),"")</f>
        <v/>
      </c>
      <c r="AY55" s="1" t="n">
        <f aca="false">IF(B55="",0,IF(AND(ISNUMBER(O55),ISNUMBER(P55)),IF(P55&gt;=O55,1,0),0))</f>
        <v>0</v>
      </c>
      <c r="AZ55" s="270" t="n">
        <f aca="false">IF(ISNUMBER(Y55),Y55,0)</f>
        <v>12827.2062904718</v>
      </c>
      <c r="BA55" s="1" t="str">
        <f aca="false">IF(B55="","",IF(AND(R55="WON",AS55=0),"⛔ Beleg fehlt · ","")&amp;IF(AND(R55="WON",AR55=0),"⛔ Einstand fehlt · ","")&amp;IF(AND(R55&lt;&gt;"WON",AR55=0),"○ Einstand offen · ","")&amp;IF(AND(R55="WON",AB55=""),"⛔ Vertragsart fehlt · ","")&amp;IF(AND(ISNUMBER(O55),ISNUMBER(P55)),IF(P55&lt;O55,"⚠ Ende vor Start · ",""),"")&amp;IF(AND(R55="WON",AY55=0,NOT(AND(ISNUMBER(O55),ISNUMBER(P55)))),"⛔ Zeitraum fehlt · ","")&amp;IF(AND(R55&lt;&gt;"WON",AY55=0,NOT(AND(ISNUMBER(O55),ISNUMBER(P55)))),"○ Zeitraum offen · ",""))</f>
        <v>○ Zeitraum offen · </v>
      </c>
      <c r="BB55" s="1" t="str">
        <f aca="false">IF(B55="","",IF(AND(R55="WON",AS55=0),"⛔ Nachweis fehlt",IF(AND(ISNUMBER(O55),ISNUMBER(P55),P55&lt;O55),"⚠ Ende vor Start",IF(AND(R55="WON",AY55=0),"⛔ Zeitraum fehlt",IF(AR55=0,"○ Einstand offen",IF(AY55=0,"○ Zeitraum offen",IF(R55="WON","✅ belegt","✔ erfasst")))))))</f>
        <v>○ Zeitraum offen</v>
      </c>
    </row>
    <row r="56" customFormat="false" ht="38.25" hidden="false" customHeight="true" outlineLevel="0" collapsed="false">
      <c r="A56" s="258" t="n">
        <v>46</v>
      </c>
      <c r="B56" s="259" t="s">
        <v>423</v>
      </c>
      <c r="C56" s="258" t="s">
        <v>74</v>
      </c>
      <c r="D56" s="259" t="s">
        <v>424</v>
      </c>
      <c r="E56" s="260" t="s">
        <v>381</v>
      </c>
      <c r="F56" s="261" t="s">
        <v>381</v>
      </c>
      <c r="G56" s="258" t="n">
        <f aca="false">IF(B56="","",IF(AY56=1,P56-O56+1,IF(AW56="","",AW56)))</f>
        <v>7</v>
      </c>
      <c r="H56" s="262" t="s">
        <v>313</v>
      </c>
      <c r="I56" s="261" t="n">
        <v>750.65</v>
      </c>
      <c r="J56" s="261" t="n">
        <v>695.5</v>
      </c>
      <c r="K56" s="261" t="n">
        <v>0</v>
      </c>
      <c r="L56" s="261" t="n">
        <v>0</v>
      </c>
      <c r="M56" s="261" t="n">
        <v>0</v>
      </c>
      <c r="N56" s="275"/>
      <c r="O56" s="263"/>
      <c r="P56" s="263"/>
      <c r="Q56" s="261" t="n">
        <f aca="false">IF(AND(ISNUMBER(I56),ISNUMBER(S56)),I56*AJ56,IF(OR(I56&lt;&gt;"",S56&lt;&gt;""),"tbd",""))</f>
        <v>0</v>
      </c>
      <c r="R56" s="264" t="s">
        <v>228</v>
      </c>
      <c r="S56" s="265" t="n">
        <v>0</v>
      </c>
      <c r="T56" s="259" t="s">
        <v>220</v>
      </c>
      <c r="U56" s="260" t="s">
        <v>283</v>
      </c>
      <c r="V56" s="260" t="s">
        <v>425</v>
      </c>
      <c r="W56" s="258" t="s">
        <v>98</v>
      </c>
      <c r="X56" s="260" t="s">
        <v>426</v>
      </c>
      <c r="Y56" s="261" t="n">
        <f aca="false">IF(ISNUMBER(I56),I56/Netto_Faktor,"")</f>
        <v>694.403330249769</v>
      </c>
      <c r="Z56" s="261" t="n">
        <f aca="false">IF(B56="","",IF(COUNT(J56:N56)=0,"",SUM(J56:N56)))</f>
        <v>695.5</v>
      </c>
      <c r="AA56" s="266"/>
      <c r="AB56" s="266"/>
      <c r="AC56" s="266"/>
      <c r="AD56" s="266"/>
      <c r="AE56" s="266"/>
      <c r="AF56" s="266"/>
      <c r="AG56" s="267"/>
      <c r="AH56" s="259" t="str">
        <f aca="false">IF(B56="","",IF(BA56="",IF(R56="WON","✅ belegt &amp; vollständig","✔ vollständig"),LEFT(BA56,LEN(BA56)-3)))</f>
        <v>○ Zeitraum offen</v>
      </c>
      <c r="AI56" s="265" t="n">
        <v>0</v>
      </c>
      <c r="AJ56" s="268" t="n">
        <f aca="false">IF(ISNUMBER(S56),IFERROR(LOOKUP(IF(S56&lt;=1,S56,S56/100),'⚖️ Wahrscheinlichkeit'!$B$17:$B$21,'⚖️ Wahrscheinlichkeit'!$D$17:$D$21),0),0)</f>
        <v>0</v>
      </c>
      <c r="AK56" s="1" t="str">
        <f aca="false">IF(AND(R56="WON",ISNUMBER(I56)),AL56+(861-ROW())*0.000001,"")</f>
        <v/>
      </c>
      <c r="AL56" s="1" t="n">
        <f aca="false">IFERROR(I56*1,0)</f>
        <v>750.65</v>
      </c>
      <c r="AM56" s="1" t="n">
        <f aca="false">N(AM55)+IF(AND(R56="WON",B56&lt;&gt;""),1,0)</f>
        <v>7</v>
      </c>
      <c r="AN56" s="1" t="n">
        <f aca="false">N(AN55)+IF(AND(OR(R56="offered",R56="to be offered",R56="on hold"),B56&lt;&gt;""),1,0)</f>
        <v>24</v>
      </c>
      <c r="AO56" s="1" t="n">
        <f aca="false">N(AO55)+IF(AND(OR(R56="follow-up",R56="Evaluation",R56="tbd",R56="In evaluation"),B56&lt;&gt;""),1,0)</f>
        <v>1</v>
      </c>
      <c r="AP56" s="1" t="n">
        <f aca="false">IF(B56="",0,IF(COUNTIF('⚖️ Wahrscheinlichkeit'!$J$17:$J$24,R56)&gt;0,1,0))</f>
        <v>0</v>
      </c>
      <c r="AQ56" s="1" t="n">
        <f aca="false">IF(B56="",0,IF(AND(ISNUMBER(S56),COUNTIF('⚖️ Wahrscheinlichkeit'!$B$6:$B$11,S56)&gt;0),1,0))</f>
        <v>1</v>
      </c>
      <c r="AR56" s="1" t="n">
        <f aca="false">IF(B56="",0,IF(AND(COUNT(J56:M56)=4,SUM(J56:M56)&gt;0),1,0))</f>
        <v>1</v>
      </c>
      <c r="AS56" s="1" t="n">
        <f aca="false">IF(B56="",0,IF(AND(AF56&lt;&gt;"",AG56&lt;&gt;""),1,0))</f>
        <v>0</v>
      </c>
      <c r="AT56" s="1" t="n">
        <f aca="false">IF(AND(R56="WON",AS56=1,AR56=1),1,0)</f>
        <v>0</v>
      </c>
      <c r="AU56" s="1" t="n">
        <f aca="false">IF(B56="",0,IF(AD56="Alternative – zählt nicht",0,1))</f>
        <v>1</v>
      </c>
      <c r="AV56" s="1" t="n">
        <f aca="false">IF(B56="",0,IF(COUNTIF($B$6:$B$860,B56)&gt;1,1,0))</f>
        <v>0</v>
      </c>
      <c r="AW56" s="1" t="n">
        <v>7</v>
      </c>
      <c r="AX56" s="269" t="str">
        <f aca="false">IF(AY56=1,DATE(YEAR(O56),MONTH(O56),1),"")</f>
        <v/>
      </c>
      <c r="AY56" s="1" t="n">
        <f aca="false">IF(B56="",0,IF(AND(ISNUMBER(O56),ISNUMBER(P56)),IF(P56&gt;=O56,1,0),0))</f>
        <v>0</v>
      </c>
      <c r="AZ56" s="270" t="n">
        <f aca="false">IF(ISNUMBER(Y56),Y56,0)</f>
        <v>694.403330249769</v>
      </c>
      <c r="BA56" s="1" t="str">
        <f aca="false">IF(B56="","",IF(AND(R56="WON",AS56=0),"⛔ Beleg fehlt · ","")&amp;IF(AND(R56="WON",AR56=0),"⛔ Einstand fehlt · ","")&amp;IF(AND(R56&lt;&gt;"WON",AR56=0),"○ Einstand offen · ","")&amp;IF(AND(R56="WON",AB56=""),"⛔ Vertragsart fehlt · ","")&amp;IF(AND(ISNUMBER(O56),ISNUMBER(P56)),IF(P56&lt;O56,"⚠ Ende vor Start · ",""),"")&amp;IF(AND(R56="WON",AY56=0,NOT(AND(ISNUMBER(O56),ISNUMBER(P56)))),"⛔ Zeitraum fehlt · ","")&amp;IF(AND(R56&lt;&gt;"WON",AY56=0,NOT(AND(ISNUMBER(O56),ISNUMBER(P56)))),"○ Zeitraum offen · ",""))</f>
        <v>○ Zeitraum offen · </v>
      </c>
      <c r="BB56" s="1" t="str">
        <f aca="false">IF(B56="","",IF(AND(R56="WON",AS56=0),"⛔ Nachweis fehlt",IF(AND(ISNUMBER(O56),ISNUMBER(P56),P56&lt;O56),"⚠ Ende vor Start",IF(AND(R56="WON",AY56=0),"⛔ Zeitraum fehlt",IF(AR56=0,"○ Einstand offen",IF(AY56=0,"○ Zeitraum offen",IF(R56="WON","✅ belegt","✔ erfasst")))))))</f>
        <v>○ Zeitraum offen</v>
      </c>
    </row>
    <row r="57" customFormat="false" ht="38.25" hidden="false" customHeight="true" outlineLevel="0" collapsed="false">
      <c r="A57" s="258" t="n">
        <v>47</v>
      </c>
      <c r="B57" s="259" t="s">
        <v>427</v>
      </c>
      <c r="C57" s="258" t="s">
        <v>76</v>
      </c>
      <c r="D57" s="259" t="s">
        <v>428</v>
      </c>
      <c r="E57" s="260" t="s">
        <v>429</v>
      </c>
      <c r="F57" s="261" t="s">
        <v>409</v>
      </c>
      <c r="G57" s="258" t="n">
        <f aca="false">IF(B57="","",IF(AY57=1,P57-O57+1,IF(AW57="","",AW57)))</f>
        <v>3</v>
      </c>
      <c r="H57" s="262" t="s">
        <v>98</v>
      </c>
      <c r="I57" s="261" t="n">
        <v>5328.36</v>
      </c>
      <c r="J57" s="261" t="n">
        <v>789.9</v>
      </c>
      <c r="K57" s="261" t="n">
        <v>2000</v>
      </c>
      <c r="L57" s="261" t="n">
        <v>0</v>
      </c>
      <c r="M57" s="261" t="n">
        <f aca="false">1160+979.2</f>
        <v>2139.2</v>
      </c>
      <c r="N57" s="275"/>
      <c r="O57" s="263"/>
      <c r="P57" s="263"/>
      <c r="Q57" s="261" t="n">
        <f aca="false">IF(AND(ISNUMBER(I57),ISNUMBER(S57)),I57*AJ57,IF(OR(I57&lt;&gt;"",S57&lt;&gt;""),"tbd",""))</f>
        <v>0</v>
      </c>
      <c r="R57" s="264" t="s">
        <v>228</v>
      </c>
      <c r="S57" s="265" t="n">
        <v>0</v>
      </c>
      <c r="T57" s="259" t="s">
        <v>220</v>
      </c>
      <c r="U57" s="260" t="s">
        <v>283</v>
      </c>
      <c r="V57" s="260" t="s">
        <v>430</v>
      </c>
      <c r="W57" s="258" t="s">
        <v>98</v>
      </c>
      <c r="X57" s="260" t="s">
        <v>426</v>
      </c>
      <c r="Y57" s="261" t="n">
        <f aca="false">IF(ISNUMBER(I57),I57/Netto_Faktor,"")</f>
        <v>4929.1026827012</v>
      </c>
      <c r="Z57" s="261" t="n">
        <f aca="false">IF(B57="","",IF(COUNT(J57:N57)=0,"",SUM(J57:N57)))</f>
        <v>4929.1</v>
      </c>
      <c r="AA57" s="266"/>
      <c r="AB57" s="266"/>
      <c r="AC57" s="266"/>
      <c r="AD57" s="266"/>
      <c r="AE57" s="266"/>
      <c r="AF57" s="266"/>
      <c r="AG57" s="267"/>
      <c r="AH57" s="259" t="str">
        <f aca="false">IF(B57="","",IF(BA57="",IF(R57="WON","✅ belegt &amp; vollständig","✔ vollständig"),LEFT(BA57,LEN(BA57)-3)))</f>
        <v>○ Zeitraum offen</v>
      </c>
      <c r="AI57" s="265" t="n">
        <v>0</v>
      </c>
      <c r="AJ57" s="268" t="n">
        <f aca="false">IF(ISNUMBER(S57),IFERROR(LOOKUP(IF(S57&lt;=1,S57,S57/100),'⚖️ Wahrscheinlichkeit'!$B$17:$B$21,'⚖️ Wahrscheinlichkeit'!$D$17:$D$21),0),0)</f>
        <v>0</v>
      </c>
      <c r="AK57" s="1" t="str">
        <f aca="false">IF(AND(R57="WON",ISNUMBER(I57)),AL57+(861-ROW())*0.000001,"")</f>
        <v/>
      </c>
      <c r="AL57" s="1" t="n">
        <f aca="false">IFERROR(I57*1,0)</f>
        <v>5328.36</v>
      </c>
      <c r="AM57" s="1" t="n">
        <f aca="false">N(AM56)+IF(AND(R57="WON",B57&lt;&gt;""),1,0)</f>
        <v>7</v>
      </c>
      <c r="AN57" s="1" t="n">
        <f aca="false">N(AN56)+IF(AND(OR(R57="offered",R57="to be offered",R57="on hold"),B57&lt;&gt;""),1,0)</f>
        <v>24</v>
      </c>
      <c r="AO57" s="1" t="n">
        <f aca="false">N(AO56)+IF(AND(OR(R57="follow-up",R57="Evaluation",R57="tbd",R57="In evaluation"),B57&lt;&gt;""),1,0)</f>
        <v>1</v>
      </c>
      <c r="AP57" s="1" t="n">
        <f aca="false">IF(B57="",0,IF(COUNTIF('⚖️ Wahrscheinlichkeit'!$J$17:$J$24,R57)&gt;0,1,0))</f>
        <v>0</v>
      </c>
      <c r="AQ57" s="1" t="n">
        <f aca="false">IF(B57="",0,IF(AND(ISNUMBER(S57),COUNTIF('⚖️ Wahrscheinlichkeit'!$B$6:$B$11,S57)&gt;0),1,0))</f>
        <v>1</v>
      </c>
      <c r="AR57" s="1" t="n">
        <f aca="false">IF(B57="",0,IF(AND(COUNT(J57:M57)=4,SUM(J57:M57)&gt;0),1,0))</f>
        <v>1</v>
      </c>
      <c r="AS57" s="1" t="n">
        <f aca="false">IF(B57="",0,IF(AND(AF57&lt;&gt;"",AG57&lt;&gt;""),1,0))</f>
        <v>0</v>
      </c>
      <c r="AT57" s="1" t="n">
        <f aca="false">IF(AND(R57="WON",AS57=1,AR57=1),1,0)</f>
        <v>0</v>
      </c>
      <c r="AU57" s="1" t="n">
        <f aca="false">IF(B57="",0,IF(AD57="Alternative – zählt nicht",0,1))</f>
        <v>1</v>
      </c>
      <c r="AV57" s="1" t="n">
        <f aca="false">IF(B57="",0,IF(COUNTIF($B$6:$B$860,B57)&gt;1,1,0))</f>
        <v>0</v>
      </c>
      <c r="AW57" s="1" t="n">
        <v>3</v>
      </c>
      <c r="AX57" s="269" t="str">
        <f aca="false">IF(AY57=1,DATE(YEAR(O57),MONTH(O57),1),"")</f>
        <v/>
      </c>
      <c r="AY57" s="1" t="n">
        <f aca="false">IF(B57="",0,IF(AND(ISNUMBER(O57),ISNUMBER(P57)),IF(P57&gt;=O57,1,0),0))</f>
        <v>0</v>
      </c>
      <c r="AZ57" s="270" t="n">
        <f aca="false">IF(ISNUMBER(Y57),Y57,0)</f>
        <v>4929.1026827012</v>
      </c>
      <c r="BA57" s="1" t="str">
        <f aca="false">IF(B57="","",IF(AND(R57="WON",AS57=0),"⛔ Beleg fehlt · ","")&amp;IF(AND(R57="WON",AR57=0),"⛔ Einstand fehlt · ","")&amp;IF(AND(R57&lt;&gt;"WON",AR57=0),"○ Einstand offen · ","")&amp;IF(AND(R57="WON",AB57=""),"⛔ Vertragsart fehlt · ","")&amp;IF(AND(ISNUMBER(O57),ISNUMBER(P57)),IF(P57&lt;O57,"⚠ Ende vor Start · ",""),"")&amp;IF(AND(R57="WON",AY57=0,NOT(AND(ISNUMBER(O57),ISNUMBER(P57)))),"⛔ Zeitraum fehlt · ","")&amp;IF(AND(R57&lt;&gt;"WON",AY57=0,NOT(AND(ISNUMBER(O57),ISNUMBER(P57)))),"○ Zeitraum offen · ",""))</f>
        <v>○ Zeitraum offen · </v>
      </c>
      <c r="BB57" s="1" t="str">
        <f aca="false">IF(B57="","",IF(AND(R57="WON",AS57=0),"⛔ Nachweis fehlt",IF(AND(ISNUMBER(O57),ISNUMBER(P57),P57&lt;O57),"⚠ Ende vor Start",IF(AND(R57="WON",AY57=0),"⛔ Zeitraum fehlt",IF(AR57=0,"○ Einstand offen",IF(AY57=0,"○ Zeitraum offen",IF(R57="WON","✅ belegt","✔ erfasst")))))))</f>
        <v>○ Zeitraum offen</v>
      </c>
    </row>
    <row r="58" customFormat="false" ht="25.5" hidden="false" customHeight="true" outlineLevel="0" collapsed="false">
      <c r="A58" s="258" t="n">
        <v>48</v>
      </c>
      <c r="B58" s="259" t="s">
        <v>431</v>
      </c>
      <c r="C58" s="258" t="s">
        <v>80</v>
      </c>
      <c r="D58" s="259" t="s">
        <v>432</v>
      </c>
      <c r="E58" s="260" t="s">
        <v>433</v>
      </c>
      <c r="F58" s="261" t="s">
        <v>434</v>
      </c>
      <c r="G58" s="258" t="n">
        <f aca="false">IF(B58="","",IF(AY58=1,P58-O58+1,IF(AW58="","",AW58)))</f>
        <v>180</v>
      </c>
      <c r="H58" s="262" t="s">
        <v>296</v>
      </c>
      <c r="I58" s="261" t="n">
        <v>190701.37</v>
      </c>
      <c r="J58" s="261" t="n">
        <f aca="false">64152+30618+10854+43416+10368</f>
        <v>159408</v>
      </c>
      <c r="K58" s="261" t="n">
        <v>4700</v>
      </c>
      <c r="L58" s="261" t="n">
        <v>0</v>
      </c>
      <c r="M58" s="261" t="n">
        <v>1450</v>
      </c>
      <c r="N58" s="275"/>
      <c r="O58" s="263"/>
      <c r="P58" s="263"/>
      <c r="Q58" s="261" t="n">
        <f aca="false">IF(AND(ISNUMBER(I58),ISNUMBER(S58)),I58*AJ58,IF(OR(I58&lt;&gt;"",S58&lt;&gt;""),"tbd",""))</f>
        <v>0</v>
      </c>
      <c r="R58" s="264" t="s">
        <v>219</v>
      </c>
      <c r="S58" s="265" t="n">
        <v>0.3</v>
      </c>
      <c r="T58" s="259" t="s">
        <v>236</v>
      </c>
      <c r="U58" s="260" t="s">
        <v>283</v>
      </c>
      <c r="V58" s="260" t="s">
        <v>421</v>
      </c>
      <c r="W58" s="258" t="s">
        <v>98</v>
      </c>
      <c r="X58" s="260" t="s">
        <v>348</v>
      </c>
      <c r="Y58" s="261" t="n">
        <f aca="false">IF(ISNUMBER(I58),I58/Netto_Faktor,"")</f>
        <v>176411.998149861</v>
      </c>
      <c r="Z58" s="261" t="n">
        <f aca="false">IF(B58="","",IF(COUNT(J58:N58)=0,"",SUM(J58:N58)))</f>
        <v>165558</v>
      </c>
      <c r="AA58" s="266"/>
      <c r="AB58" s="266"/>
      <c r="AC58" s="266"/>
      <c r="AD58" s="266"/>
      <c r="AE58" s="266"/>
      <c r="AF58" s="266"/>
      <c r="AG58" s="267"/>
      <c r="AH58" s="259" t="str">
        <f aca="false">IF(B58="","",IF(BA58="",IF(R58="WON","✅ belegt &amp; vollständig","✔ vollständig"),LEFT(BA58,LEN(BA58)-3)))</f>
        <v>○ Zeitraum offen</v>
      </c>
      <c r="AI58" s="265" t="n">
        <v>0.5</v>
      </c>
      <c r="AJ58" s="268" t="n">
        <f aca="false">IF(ISNUMBER(S58),IFERROR(LOOKUP(IF(S58&lt;=1,S58,S58/100),'⚖️ Wahrscheinlichkeit'!$B$17:$B$21,'⚖️ Wahrscheinlichkeit'!$D$17:$D$21),0),0)</f>
        <v>0</v>
      </c>
      <c r="AK58" s="1" t="str">
        <f aca="false">IF(AND(R58="WON",ISNUMBER(I58)),AL58+(861-ROW())*0.000001,"")</f>
        <v/>
      </c>
      <c r="AL58" s="1" t="n">
        <f aca="false">IFERROR(I58*1,0)</f>
        <v>190701.37</v>
      </c>
      <c r="AM58" s="1" t="n">
        <f aca="false">N(AM57)+IF(AND(R58="WON",B58&lt;&gt;""),1,0)</f>
        <v>7</v>
      </c>
      <c r="AN58" s="1" t="n">
        <f aca="false">N(AN57)+IF(AND(OR(R58="offered",R58="to be offered",R58="on hold"),B58&lt;&gt;""),1,0)</f>
        <v>25</v>
      </c>
      <c r="AO58" s="1" t="n">
        <f aca="false">N(AO57)+IF(AND(OR(R58="follow-up",R58="Evaluation",R58="tbd",R58="In evaluation"),B58&lt;&gt;""),1,0)</f>
        <v>1</v>
      </c>
      <c r="AP58" s="1" t="n">
        <f aca="false">IF(B58="",0,IF(COUNTIF('⚖️ Wahrscheinlichkeit'!$J$17:$J$24,R58)&gt;0,1,0))</f>
        <v>1</v>
      </c>
      <c r="AQ58" s="1" t="n">
        <f aca="false">IF(B58="",0,IF(AND(ISNUMBER(S58),COUNTIF('⚖️ Wahrscheinlichkeit'!$B$6:$B$11,S58)&gt;0),1,0))</f>
        <v>1</v>
      </c>
      <c r="AR58" s="1" t="n">
        <f aca="false">IF(B58="",0,IF(AND(COUNT(J58:M58)=4,SUM(J58:M58)&gt;0),1,0))</f>
        <v>1</v>
      </c>
      <c r="AS58" s="1" t="n">
        <f aca="false">IF(B58="",0,IF(AND(AF58&lt;&gt;"",AG58&lt;&gt;""),1,0))</f>
        <v>0</v>
      </c>
      <c r="AT58" s="1" t="n">
        <f aca="false">IF(AND(R58="WON",AS58=1,AR58=1),1,0)</f>
        <v>0</v>
      </c>
      <c r="AU58" s="1" t="n">
        <f aca="false">IF(B58="",0,IF(AD58="Alternative – zählt nicht",0,1))</f>
        <v>1</v>
      </c>
      <c r="AV58" s="1" t="n">
        <f aca="false">IF(B58="",0,IF(COUNTIF($B$6:$B$860,B58)&gt;1,1,0))</f>
        <v>0</v>
      </c>
      <c r="AW58" s="1" t="n">
        <v>180</v>
      </c>
      <c r="AX58" s="269" t="str">
        <f aca="false">IF(AY58=1,DATE(YEAR(O58),MONTH(O58),1),"")</f>
        <v/>
      </c>
      <c r="AY58" s="1" t="n">
        <f aca="false">IF(B58="",0,IF(AND(ISNUMBER(O58),ISNUMBER(P58)),IF(P58&gt;=O58,1,0),0))</f>
        <v>0</v>
      </c>
      <c r="AZ58" s="270" t="n">
        <f aca="false">IF(ISNUMBER(Y58),Y58,0)</f>
        <v>176411.998149861</v>
      </c>
      <c r="BA58" s="1" t="str">
        <f aca="false">IF(B58="","",IF(AND(R58="WON",AS58=0),"⛔ Beleg fehlt · ","")&amp;IF(AND(R58="WON",AR58=0),"⛔ Einstand fehlt · ","")&amp;IF(AND(R58&lt;&gt;"WON",AR58=0),"○ Einstand offen · ","")&amp;IF(AND(R58="WON",AB58=""),"⛔ Vertragsart fehlt · ","")&amp;IF(AND(ISNUMBER(O58),ISNUMBER(P58)),IF(P58&lt;O58,"⚠ Ende vor Start · ",""),"")&amp;IF(AND(R58="WON",AY58=0,NOT(AND(ISNUMBER(O58),ISNUMBER(P58)))),"⛔ Zeitraum fehlt · ","")&amp;IF(AND(R58&lt;&gt;"WON",AY58=0,NOT(AND(ISNUMBER(O58),ISNUMBER(P58)))),"○ Zeitraum offen · ",""))</f>
        <v>○ Zeitraum offen · </v>
      </c>
      <c r="BB58" s="1" t="str">
        <f aca="false">IF(B58="","",IF(AND(R58="WON",AS58=0),"⛔ Nachweis fehlt",IF(AND(ISNUMBER(O58),ISNUMBER(P58),P58&lt;O58),"⚠ Ende vor Start",IF(AND(R58="WON",AY58=0),"⛔ Zeitraum fehlt",IF(AR58=0,"○ Einstand offen",IF(AY58=0,"○ Zeitraum offen",IF(R58="WON","✅ belegt","✔ erfasst")))))))</f>
        <v>○ Zeitraum offen</v>
      </c>
    </row>
    <row r="59" customFormat="false" ht="25.5" hidden="false" customHeight="true" outlineLevel="0" collapsed="false">
      <c r="A59" s="258" t="n">
        <v>49</v>
      </c>
      <c r="B59" s="259" t="s">
        <v>435</v>
      </c>
      <c r="C59" s="258" t="s">
        <v>80</v>
      </c>
      <c r="D59" s="260" t="s">
        <v>432</v>
      </c>
      <c r="E59" s="260" t="s">
        <v>392</v>
      </c>
      <c r="F59" s="261" t="s">
        <v>392</v>
      </c>
      <c r="G59" s="258" t="n">
        <f aca="false">IF(B59="","",IF(AY59=1,P59-O59+1,IF(AW59="","",AW59)))</f>
        <v>12</v>
      </c>
      <c r="H59" s="262" t="s">
        <v>313</v>
      </c>
      <c r="I59" s="261" t="n">
        <v>32467.62</v>
      </c>
      <c r="J59" s="261" t="n">
        <f aca="false">8553.6+691.2+7775+2592+3888</f>
        <v>23499.8</v>
      </c>
      <c r="K59" s="261" t="n">
        <v>2800</v>
      </c>
      <c r="L59" s="261" t="n">
        <v>0</v>
      </c>
      <c r="M59" s="261" t="n">
        <v>2864</v>
      </c>
      <c r="N59" s="275"/>
      <c r="O59" s="263"/>
      <c r="P59" s="263"/>
      <c r="Q59" s="261" t="n">
        <f aca="false">IF(AND(ISNUMBER(I59),ISNUMBER(S59)),I59*AJ59,IF(OR(I59&lt;&gt;"",S59&lt;&gt;""),"tbd",""))</f>
        <v>0</v>
      </c>
      <c r="R59" s="264" t="s">
        <v>219</v>
      </c>
      <c r="S59" s="265" t="n">
        <v>0.3</v>
      </c>
      <c r="T59" s="259" t="s">
        <v>236</v>
      </c>
      <c r="U59" s="260" t="s">
        <v>283</v>
      </c>
      <c r="V59" s="260" t="s">
        <v>421</v>
      </c>
      <c r="W59" s="258" t="s">
        <v>98</v>
      </c>
      <c r="X59" s="260" t="s">
        <v>348</v>
      </c>
      <c r="Y59" s="261" t="n">
        <f aca="false">IF(ISNUMBER(I59),I59/Netto_Faktor,"")</f>
        <v>30034.8011100833</v>
      </c>
      <c r="Z59" s="261" t="n">
        <f aca="false">IF(B59="","",IF(COUNT(J59:N59)=0,"",SUM(J59:N59)))</f>
        <v>29163.8</v>
      </c>
      <c r="AA59" s="266"/>
      <c r="AB59" s="266"/>
      <c r="AC59" s="266"/>
      <c r="AD59" s="266"/>
      <c r="AE59" s="266"/>
      <c r="AF59" s="266"/>
      <c r="AG59" s="267"/>
      <c r="AH59" s="259" t="str">
        <f aca="false">IF(B59="","",IF(BA59="",IF(R59="WON","✅ belegt &amp; vollständig","✔ vollständig"),LEFT(BA59,LEN(BA59)-3)))</f>
        <v>○ Zeitraum offen</v>
      </c>
      <c r="AI59" s="265" t="n">
        <v>0.5</v>
      </c>
      <c r="AJ59" s="268" t="n">
        <f aca="false">IF(ISNUMBER(S59),IFERROR(LOOKUP(IF(S59&lt;=1,S59,S59/100),'⚖️ Wahrscheinlichkeit'!$B$17:$B$21,'⚖️ Wahrscheinlichkeit'!$D$17:$D$21),0),0)</f>
        <v>0</v>
      </c>
      <c r="AK59" s="1" t="str">
        <f aca="false">IF(AND(R59="WON",ISNUMBER(I59)),AL59+(861-ROW())*0.000001,"")</f>
        <v/>
      </c>
      <c r="AL59" s="1" t="n">
        <f aca="false">IFERROR(I59*1,0)</f>
        <v>32467.62</v>
      </c>
      <c r="AM59" s="1" t="n">
        <f aca="false">N(AM58)+IF(AND(R59="WON",B59&lt;&gt;""),1,0)</f>
        <v>7</v>
      </c>
      <c r="AN59" s="1" t="n">
        <f aca="false">N(AN58)+IF(AND(OR(R59="offered",R59="to be offered",R59="on hold"),B59&lt;&gt;""),1,0)</f>
        <v>26</v>
      </c>
      <c r="AO59" s="1" t="n">
        <f aca="false">N(AO58)+IF(AND(OR(R59="follow-up",R59="Evaluation",R59="tbd",R59="In evaluation"),B59&lt;&gt;""),1,0)</f>
        <v>1</v>
      </c>
      <c r="AP59" s="1" t="n">
        <f aca="false">IF(B59="",0,IF(COUNTIF('⚖️ Wahrscheinlichkeit'!$J$17:$J$24,R59)&gt;0,1,0))</f>
        <v>1</v>
      </c>
      <c r="AQ59" s="1" t="n">
        <f aca="false">IF(B59="",0,IF(AND(ISNUMBER(S59),COUNTIF('⚖️ Wahrscheinlichkeit'!$B$6:$B$11,S59)&gt;0),1,0))</f>
        <v>1</v>
      </c>
      <c r="AR59" s="1" t="n">
        <f aca="false">IF(B59="",0,IF(AND(COUNT(J59:M59)=4,SUM(J59:M59)&gt;0),1,0))</f>
        <v>1</v>
      </c>
      <c r="AS59" s="1" t="n">
        <f aca="false">IF(B59="",0,IF(AND(AF59&lt;&gt;"",AG59&lt;&gt;""),1,0))</f>
        <v>0</v>
      </c>
      <c r="AT59" s="1" t="n">
        <f aca="false">IF(AND(R59="WON",AS59=1,AR59=1),1,0)</f>
        <v>0</v>
      </c>
      <c r="AU59" s="1" t="n">
        <f aca="false">IF(B59="",0,IF(AD59="Alternative – zählt nicht",0,1))</f>
        <v>1</v>
      </c>
      <c r="AV59" s="1" t="n">
        <f aca="false">IF(B59="",0,IF(COUNTIF($B$6:$B$860,B59)&gt;1,1,0))</f>
        <v>0</v>
      </c>
      <c r="AW59" s="1" t="n">
        <v>12</v>
      </c>
      <c r="AX59" s="269" t="str">
        <f aca="false">IF(AY59=1,DATE(YEAR(O59),MONTH(O59),1),"")</f>
        <v/>
      </c>
      <c r="AY59" s="1" t="n">
        <f aca="false">IF(B59="",0,IF(AND(ISNUMBER(O59),ISNUMBER(P59)),IF(P59&gt;=O59,1,0),0))</f>
        <v>0</v>
      </c>
      <c r="AZ59" s="270" t="n">
        <f aca="false">IF(ISNUMBER(Y59),Y59,0)</f>
        <v>30034.8011100833</v>
      </c>
      <c r="BA59" s="1" t="str">
        <f aca="false">IF(B59="","",IF(AND(R59="WON",AS59=0),"⛔ Beleg fehlt · ","")&amp;IF(AND(R59="WON",AR59=0),"⛔ Einstand fehlt · ","")&amp;IF(AND(R59&lt;&gt;"WON",AR59=0),"○ Einstand offen · ","")&amp;IF(AND(R59="WON",AB59=""),"⛔ Vertragsart fehlt · ","")&amp;IF(AND(ISNUMBER(O59),ISNUMBER(P59)),IF(P59&lt;O59,"⚠ Ende vor Start · ",""),"")&amp;IF(AND(R59="WON",AY59=0,NOT(AND(ISNUMBER(O59),ISNUMBER(P59)))),"⛔ Zeitraum fehlt · ","")&amp;IF(AND(R59&lt;&gt;"WON",AY59=0,NOT(AND(ISNUMBER(O59),ISNUMBER(P59)))),"○ Zeitraum offen · ",""))</f>
        <v>○ Zeitraum offen · </v>
      </c>
      <c r="BB59" s="1" t="str">
        <f aca="false">IF(B59="","",IF(AND(R59="WON",AS59=0),"⛔ Nachweis fehlt",IF(AND(ISNUMBER(O59),ISNUMBER(P59),P59&lt;O59),"⚠ Ende vor Start",IF(AND(R59="WON",AY59=0),"⛔ Zeitraum fehlt",IF(AR59=0,"○ Einstand offen",IF(AY59=0,"○ Zeitraum offen",IF(R59="WON","✅ belegt","✔ erfasst")))))))</f>
        <v>○ Zeitraum offen</v>
      </c>
    </row>
    <row r="60" customFormat="false" ht="38.25" hidden="false" customHeight="true" outlineLevel="0" collapsed="false">
      <c r="A60" s="258" t="n">
        <v>50</v>
      </c>
      <c r="B60" s="259" t="s">
        <v>436</v>
      </c>
      <c r="C60" s="258" t="s">
        <v>82</v>
      </c>
      <c r="D60" s="260" t="s">
        <v>437</v>
      </c>
      <c r="E60" s="260" t="s">
        <v>438</v>
      </c>
      <c r="F60" s="261" t="s">
        <v>438</v>
      </c>
      <c r="G60" s="258" t="n">
        <f aca="false">IF(B60="","",IF(AY60=1,P60-O60+1,IF(AW60="","",AW60)))</f>
        <v>7</v>
      </c>
      <c r="H60" s="262" t="s">
        <v>313</v>
      </c>
      <c r="I60" s="261" t="n">
        <v>13533</v>
      </c>
      <c r="J60" s="261" t="n">
        <f aca="false">2135.7+189</f>
        <v>2324.7</v>
      </c>
      <c r="K60" s="261" t="n">
        <v>1400</v>
      </c>
      <c r="L60" s="261" t="n">
        <v>7500</v>
      </c>
      <c r="M60" s="261" t="n">
        <f aca="false">870+268.8</f>
        <v>1138.8</v>
      </c>
      <c r="N60" s="275"/>
      <c r="O60" s="263"/>
      <c r="P60" s="263"/>
      <c r="Q60" s="261" t="n">
        <f aca="false">IF(AND(ISNUMBER(I60),ISNUMBER(S60)),I60*AJ60,IF(OR(I60&lt;&gt;"",S60&lt;&gt;""),"tbd",""))</f>
        <v>13533</v>
      </c>
      <c r="R60" s="264" t="s">
        <v>244</v>
      </c>
      <c r="S60" s="265" t="n">
        <v>1</v>
      </c>
      <c r="T60" s="259" t="s">
        <v>314</v>
      </c>
      <c r="U60" s="260" t="s">
        <v>283</v>
      </c>
      <c r="V60" s="260" t="s">
        <v>246</v>
      </c>
      <c r="W60" s="258" t="s">
        <v>247</v>
      </c>
      <c r="X60" s="260" t="s">
        <v>439</v>
      </c>
      <c r="Y60" s="261" t="n">
        <f aca="false">IF(ISNUMBER(I60),I60/Netto_Faktor,"")</f>
        <v>12518.9639222942</v>
      </c>
      <c r="Z60" s="261" t="n">
        <f aca="false">IF(B60="","",IF(COUNT(J60:N60)=0,"",SUM(J60:N60)))</f>
        <v>12363.5</v>
      </c>
      <c r="AA60" s="266"/>
      <c r="AB60" s="266"/>
      <c r="AC60" s="266"/>
      <c r="AD60" s="266"/>
      <c r="AE60" s="266"/>
      <c r="AF60" s="266"/>
      <c r="AG60" s="267"/>
      <c r="AH60" s="260" t="str">
        <f aca="false">IF(B60="","",IF(BA60="",IF(R60="WON","✅ belegt &amp; vollständig","✔ vollständig"),LEFT(BA60,LEN(BA60)-3)))</f>
        <v>⛔ Beleg fehlt · ⛔ Vertragsart fehlt · ⛔ Zeitraum fehlt</v>
      </c>
      <c r="AI60" s="265" t="n">
        <v>1</v>
      </c>
      <c r="AJ60" s="268" t="n">
        <f aca="false">IF(ISNUMBER(S60),IFERROR(LOOKUP(IF(S60&lt;=1,S60,S60/100),'⚖️ Wahrscheinlichkeit'!$B$17:$B$21,'⚖️ Wahrscheinlichkeit'!$D$17:$D$21),0),0)</f>
        <v>1</v>
      </c>
      <c r="AK60" s="1" t="n">
        <f aca="false">IF(AND(R60="WON",ISNUMBER(I60)),AL60+(861-ROW())*0.000001,"")</f>
        <v>13533.000801</v>
      </c>
      <c r="AL60" s="1" t="n">
        <f aca="false">IFERROR(I60*1,0)</f>
        <v>13533</v>
      </c>
      <c r="AM60" s="1" t="n">
        <f aca="false">N(AM59)+IF(AND(R60="WON",B60&lt;&gt;""),1,0)</f>
        <v>8</v>
      </c>
      <c r="AN60" s="1" t="n">
        <f aca="false">N(AN59)+IF(AND(OR(R60="offered",R60="to be offered",R60="on hold"),B60&lt;&gt;""),1,0)</f>
        <v>26</v>
      </c>
      <c r="AO60" s="1" t="n">
        <f aca="false">N(AO59)+IF(AND(OR(R60="follow-up",R60="Evaluation",R60="tbd",R60="In evaluation"),B60&lt;&gt;""),1,0)</f>
        <v>1</v>
      </c>
      <c r="AP60" s="1" t="n">
        <f aca="false">IF(B60="",0,IF(COUNTIF('⚖️ Wahrscheinlichkeit'!$J$17:$J$24,R60)&gt;0,1,0))</f>
        <v>1</v>
      </c>
      <c r="AQ60" s="1" t="n">
        <f aca="false">IF(B60="",0,IF(AND(ISNUMBER(S60),COUNTIF('⚖️ Wahrscheinlichkeit'!$B$6:$B$11,S60)&gt;0),1,0))</f>
        <v>1</v>
      </c>
      <c r="AR60" s="1" t="n">
        <f aca="false">IF(B60="",0,IF(AND(COUNT(J60:M60)=4,SUM(J60:M60)&gt;0),1,0))</f>
        <v>1</v>
      </c>
      <c r="AS60" s="1" t="n">
        <f aca="false">IF(B60="",0,IF(AND(AF60&lt;&gt;"",AG60&lt;&gt;""),1,0))</f>
        <v>0</v>
      </c>
      <c r="AT60" s="1" t="n">
        <f aca="false">IF(AND(R60="WON",AS60=1,AR60=1),1,0)</f>
        <v>0</v>
      </c>
      <c r="AU60" s="1" t="n">
        <f aca="false">IF(B60="",0,IF(AD60="Alternative – zählt nicht",0,1))</f>
        <v>1</v>
      </c>
      <c r="AV60" s="1" t="n">
        <f aca="false">IF(B60="",0,IF(COUNTIF($B$6:$B$860,B60)&gt;1,1,0))</f>
        <v>0</v>
      </c>
      <c r="AW60" s="1" t="n">
        <v>7</v>
      </c>
      <c r="AX60" s="269" t="str">
        <f aca="false">IF(AY60=1,DATE(YEAR(O60),MONTH(O60),1),"")</f>
        <v/>
      </c>
      <c r="AY60" s="1" t="n">
        <f aca="false">IF(B60="",0,IF(AND(ISNUMBER(O60),ISNUMBER(P60)),IF(P60&gt;=O60,1,0),0))</f>
        <v>0</v>
      </c>
      <c r="AZ60" s="270" t="n">
        <f aca="false">IF(ISNUMBER(Y60),Y60,0)</f>
        <v>12518.9639222942</v>
      </c>
      <c r="BA60" s="1" t="str">
        <f aca="false">IF(B60="","",IF(AND(R60="WON",AS60=0),"⛔ Beleg fehlt · ","")&amp;IF(AND(R60="WON",AR60=0),"⛔ Einstand fehlt · ","")&amp;IF(AND(R60&lt;&gt;"WON",AR60=0),"○ Einstand offen · ","")&amp;IF(AND(R60="WON",AB60=""),"⛔ Vertragsart fehlt · ","")&amp;IF(AND(ISNUMBER(O60),ISNUMBER(P60)),IF(P60&lt;O60,"⚠ Ende vor Start · ",""),"")&amp;IF(AND(R60="WON",AY60=0,NOT(AND(ISNUMBER(O60),ISNUMBER(P60)))),"⛔ Zeitraum fehlt · ","")&amp;IF(AND(R60&lt;&gt;"WON",AY60=0,NOT(AND(ISNUMBER(O60),ISNUMBER(P60)))),"○ Zeitraum offen · ",""))</f>
        <v>⛔ Beleg fehlt · ⛔ Vertragsart fehlt · ⛔ Zeitraum fehlt · </v>
      </c>
      <c r="BB60" s="1" t="str">
        <f aca="false">IF(B60="","",IF(AND(R60="WON",AS60=0),"⛔ Nachweis fehlt",IF(AND(ISNUMBER(O60),ISNUMBER(P60),P60&lt;O60),"⚠ Ende vor Start",IF(AND(R60="WON",AY60=0),"⛔ Zeitraum fehlt",IF(AR60=0,"○ Einstand offen",IF(AY60=0,"○ Zeitraum offen",IF(R60="WON","✅ belegt","✔ erfasst")))))))</f>
        <v>⛔ Nachweis fehlt</v>
      </c>
    </row>
    <row r="61" customFormat="false" ht="25.5" hidden="false" customHeight="true" outlineLevel="0" collapsed="false">
      <c r="A61" s="258" t="n">
        <v>51</v>
      </c>
      <c r="B61" s="259" t="s">
        <v>440</v>
      </c>
      <c r="C61" s="258" t="s">
        <v>76</v>
      </c>
      <c r="D61" s="260" t="s">
        <v>432</v>
      </c>
      <c r="E61" s="260" t="s">
        <v>392</v>
      </c>
      <c r="F61" s="261" t="s">
        <v>392</v>
      </c>
      <c r="G61" s="258" t="n">
        <f aca="false">IF(B61="","",IF(AY61=1,P61-O61+1,IF(AW61="","",AW61)))</f>
        <v>7</v>
      </c>
      <c r="H61" s="262" t="s">
        <v>98</v>
      </c>
      <c r="I61" s="261" t="n">
        <v>5488.9</v>
      </c>
      <c r="J61" s="261" t="n">
        <f aca="false">2494.8+201.6+189+144.9</f>
        <v>3030.3</v>
      </c>
      <c r="K61" s="261" t="n">
        <v>1400</v>
      </c>
      <c r="L61" s="261" t="n">
        <v>0</v>
      </c>
      <c r="M61" s="261" t="n">
        <f aca="false">333.6+725</f>
        <v>1058.6</v>
      </c>
      <c r="N61" s="275"/>
      <c r="O61" s="263"/>
      <c r="P61" s="263"/>
      <c r="Q61" s="261" t="n">
        <f aca="false">IF(AND(ISNUMBER(I61),ISNUMBER(S61)),I61*AJ61,IF(OR(I61&lt;&gt;"",S61&lt;&gt;""),"tbd",""))</f>
        <v>5488.9</v>
      </c>
      <c r="R61" s="264" t="s">
        <v>244</v>
      </c>
      <c r="S61" s="265" t="n">
        <v>1</v>
      </c>
      <c r="T61" s="259" t="s">
        <v>236</v>
      </c>
      <c r="U61" s="260" t="s">
        <v>283</v>
      </c>
      <c r="V61" s="260" t="s">
        <v>246</v>
      </c>
      <c r="W61" s="258" t="s">
        <v>247</v>
      </c>
      <c r="X61" s="260" t="s">
        <v>246</v>
      </c>
      <c r="Y61" s="261" t="n">
        <f aca="false">IF(ISNUMBER(I61),I61/Netto_Faktor,"")</f>
        <v>5077.61332099908</v>
      </c>
      <c r="Z61" s="261" t="n">
        <f aca="false">IF(B61="","",IF(COUNT(J61:N61)=0,"",SUM(J61:N61)))</f>
        <v>5488.9</v>
      </c>
      <c r="AA61" s="266"/>
      <c r="AB61" s="266"/>
      <c r="AC61" s="266"/>
      <c r="AD61" s="266"/>
      <c r="AE61" s="266"/>
      <c r="AF61" s="266"/>
      <c r="AG61" s="267"/>
      <c r="AH61" s="260" t="str">
        <f aca="false">IF(B61="","",IF(BA61="",IF(R61="WON","✅ belegt &amp; vollständig","✔ vollständig"),LEFT(BA61,LEN(BA61)-3)))</f>
        <v>⛔ Beleg fehlt · ⛔ Vertragsart fehlt · ⛔ Zeitraum fehlt</v>
      </c>
      <c r="AI61" s="265" t="n">
        <v>1</v>
      </c>
      <c r="AJ61" s="268" t="n">
        <f aca="false">IF(ISNUMBER(S61),IFERROR(LOOKUP(IF(S61&lt;=1,S61,S61/100),'⚖️ Wahrscheinlichkeit'!$B$17:$B$21,'⚖️ Wahrscheinlichkeit'!$D$17:$D$21),0),0)</f>
        <v>1</v>
      </c>
      <c r="AK61" s="1" t="n">
        <f aca="false">IF(AND(R61="WON",ISNUMBER(I61)),AL61+(861-ROW())*0.000001,"")</f>
        <v>5488.9008</v>
      </c>
      <c r="AL61" s="1" t="n">
        <f aca="false">IFERROR(I61*1,0)</f>
        <v>5488.9</v>
      </c>
      <c r="AM61" s="1" t="n">
        <f aca="false">N(AM60)+IF(AND(R61="WON",B61&lt;&gt;""),1,0)</f>
        <v>9</v>
      </c>
      <c r="AN61" s="1" t="n">
        <f aca="false">N(AN60)+IF(AND(OR(R61="offered",R61="to be offered",R61="on hold"),B61&lt;&gt;""),1,0)</f>
        <v>26</v>
      </c>
      <c r="AO61" s="1" t="n">
        <f aca="false">N(AO60)+IF(AND(OR(R61="follow-up",R61="Evaluation",R61="tbd",R61="In evaluation"),B61&lt;&gt;""),1,0)</f>
        <v>1</v>
      </c>
      <c r="AP61" s="1" t="n">
        <f aca="false">IF(B61="",0,IF(COUNTIF('⚖️ Wahrscheinlichkeit'!$J$17:$J$24,R61)&gt;0,1,0))</f>
        <v>1</v>
      </c>
      <c r="AQ61" s="1" t="n">
        <f aca="false">IF(B61="",0,IF(AND(ISNUMBER(S61),COUNTIF('⚖️ Wahrscheinlichkeit'!$B$6:$B$11,S61)&gt;0),1,0))</f>
        <v>1</v>
      </c>
      <c r="AR61" s="1" t="n">
        <f aca="false">IF(B61="",0,IF(AND(COUNT(J61:M61)=4,SUM(J61:M61)&gt;0),1,0))</f>
        <v>1</v>
      </c>
      <c r="AS61" s="1" t="n">
        <f aca="false">IF(B61="",0,IF(AND(AF61&lt;&gt;"",AG61&lt;&gt;""),1,0))</f>
        <v>0</v>
      </c>
      <c r="AT61" s="1" t="n">
        <f aca="false">IF(AND(R61="WON",AS61=1,AR61=1),1,0)</f>
        <v>0</v>
      </c>
      <c r="AU61" s="1" t="n">
        <f aca="false">IF(B61="",0,IF(AD61="Alternative – zählt nicht",0,1))</f>
        <v>1</v>
      </c>
      <c r="AV61" s="1" t="n">
        <f aca="false">IF(B61="",0,IF(COUNTIF($B$6:$B$860,B61)&gt;1,1,0))</f>
        <v>1</v>
      </c>
      <c r="AW61" s="1" t="n">
        <v>7</v>
      </c>
      <c r="AX61" s="269" t="str">
        <f aca="false">IF(AY61=1,DATE(YEAR(O61),MONTH(O61),1),"")</f>
        <v/>
      </c>
      <c r="AY61" s="1" t="n">
        <f aca="false">IF(B61="",0,IF(AND(ISNUMBER(O61),ISNUMBER(P61)),IF(P61&gt;=O61,1,0),0))</f>
        <v>0</v>
      </c>
      <c r="AZ61" s="270" t="n">
        <f aca="false">IF(ISNUMBER(Y61),Y61,0)</f>
        <v>5077.61332099908</v>
      </c>
      <c r="BA61" s="1" t="str">
        <f aca="false">IF(B61="","",IF(AND(R61="WON",AS61=0),"⛔ Beleg fehlt · ","")&amp;IF(AND(R61="WON",AR61=0),"⛔ Einstand fehlt · ","")&amp;IF(AND(R61&lt;&gt;"WON",AR61=0),"○ Einstand offen · ","")&amp;IF(AND(R61="WON",AB61=""),"⛔ Vertragsart fehlt · ","")&amp;IF(AND(ISNUMBER(O61),ISNUMBER(P61)),IF(P61&lt;O61,"⚠ Ende vor Start · ",""),"")&amp;IF(AND(R61="WON",AY61=0,NOT(AND(ISNUMBER(O61),ISNUMBER(P61)))),"⛔ Zeitraum fehlt · ","")&amp;IF(AND(R61&lt;&gt;"WON",AY61=0,NOT(AND(ISNUMBER(O61),ISNUMBER(P61)))),"○ Zeitraum offen · ",""))</f>
        <v>⛔ Beleg fehlt · ⛔ Vertragsart fehlt · ⛔ Zeitraum fehlt · </v>
      </c>
      <c r="BB61" s="1" t="str">
        <f aca="false">IF(B61="","",IF(AND(R61="WON",AS61=0),"⛔ Nachweis fehlt",IF(AND(ISNUMBER(O61),ISNUMBER(P61),P61&lt;O61),"⚠ Ende vor Start",IF(AND(R61="WON",AY61=0),"⛔ Zeitraum fehlt",IF(AR61=0,"○ Einstand offen",IF(AY61=0,"○ Zeitraum offen",IF(R61="WON","✅ belegt","✔ erfasst")))))))</f>
        <v>⛔ Nachweis fehlt</v>
      </c>
    </row>
    <row r="62" customFormat="false" ht="25.5" hidden="false" customHeight="true" outlineLevel="0" collapsed="false">
      <c r="A62" s="258" t="n">
        <v>52</v>
      </c>
      <c r="B62" s="259" t="s">
        <v>441</v>
      </c>
      <c r="C62" s="258" t="s">
        <v>82</v>
      </c>
      <c r="D62" s="260" t="s">
        <v>442</v>
      </c>
      <c r="E62" s="284" t="s">
        <v>443</v>
      </c>
      <c r="F62" s="261" t="s">
        <v>443</v>
      </c>
      <c r="G62" s="258" t="n">
        <f aca="false">IF(B62="","",IF(AY62=1,P62-O62+1,IF(AW62="","",AW62)))</f>
        <v>110</v>
      </c>
      <c r="H62" s="262" t="s">
        <v>313</v>
      </c>
      <c r="I62" s="261" t="n">
        <v>333790</v>
      </c>
      <c r="J62" s="261" t="n">
        <v>333790</v>
      </c>
      <c r="K62" s="261" t="n">
        <v>0</v>
      </c>
      <c r="L62" s="261" t="n">
        <v>0</v>
      </c>
      <c r="M62" s="261" t="n">
        <v>0</v>
      </c>
      <c r="N62" s="275"/>
      <c r="O62" s="263"/>
      <c r="P62" s="263"/>
      <c r="Q62" s="261" t="n">
        <f aca="false">IF(AND(ISNUMBER(I62),ISNUMBER(S62)),I62*AJ62,IF(OR(I62&lt;&gt;"",S62&lt;&gt;""),"tbd",""))</f>
        <v>333790</v>
      </c>
      <c r="R62" s="264" t="s">
        <v>244</v>
      </c>
      <c r="S62" s="265" t="n">
        <v>1</v>
      </c>
      <c r="T62" s="259" t="s">
        <v>236</v>
      </c>
      <c r="U62" s="260" t="s">
        <v>444</v>
      </c>
      <c r="V62" s="260" t="s">
        <v>445</v>
      </c>
      <c r="W62" s="258" t="s">
        <v>98</v>
      </c>
      <c r="X62" s="260" t="s">
        <v>446</v>
      </c>
      <c r="Y62" s="261" t="n">
        <f aca="false">IF(ISNUMBER(I62),I62/Netto_Faktor,"")</f>
        <v>308778.908418131</v>
      </c>
      <c r="Z62" s="261" t="n">
        <f aca="false">IF(B62="","",IF(COUNT(J62:N62)=0,"",SUM(J62:N62)))</f>
        <v>333790</v>
      </c>
      <c r="AA62" s="266"/>
      <c r="AB62" s="266"/>
      <c r="AC62" s="266"/>
      <c r="AD62" s="266"/>
      <c r="AE62" s="266"/>
      <c r="AF62" s="266"/>
      <c r="AG62" s="267"/>
      <c r="AH62" s="260" t="str">
        <f aca="false">IF(B62="","",IF(BA62="",IF(R62="WON","✅ belegt &amp; vollständig","✔ vollständig"),LEFT(BA62,LEN(BA62)-3)))</f>
        <v>⛔ Beleg fehlt · ⛔ Vertragsart fehlt · ⛔ Zeitraum fehlt</v>
      </c>
      <c r="AI62" s="265" t="n">
        <v>1</v>
      </c>
      <c r="AJ62" s="268" t="n">
        <f aca="false">IF(ISNUMBER(S62),IFERROR(LOOKUP(IF(S62&lt;=1,S62,S62/100),'⚖️ Wahrscheinlichkeit'!$B$17:$B$21,'⚖️ Wahrscheinlichkeit'!$D$17:$D$21),0),0)</f>
        <v>1</v>
      </c>
      <c r="AK62" s="1" t="n">
        <f aca="false">IF(AND(R62="WON",ISNUMBER(I62)),AL62+(861-ROW())*0.000001,"")</f>
        <v>333790.000799</v>
      </c>
      <c r="AL62" s="1" t="n">
        <f aca="false">IFERROR(I62*1,0)</f>
        <v>333790</v>
      </c>
      <c r="AM62" s="1" t="n">
        <f aca="false">N(AM61)+IF(AND(R62="WON",B62&lt;&gt;""),1,0)</f>
        <v>10</v>
      </c>
      <c r="AN62" s="1" t="n">
        <f aca="false">N(AN61)+IF(AND(OR(R62="offered",R62="to be offered",R62="on hold"),B62&lt;&gt;""),1,0)</f>
        <v>26</v>
      </c>
      <c r="AO62" s="1" t="n">
        <f aca="false">N(AO61)+IF(AND(OR(R62="follow-up",R62="Evaluation",R62="tbd",R62="In evaluation"),B62&lt;&gt;""),1,0)</f>
        <v>1</v>
      </c>
      <c r="AP62" s="1" t="n">
        <f aca="false">IF(B62="",0,IF(COUNTIF('⚖️ Wahrscheinlichkeit'!$J$17:$J$24,R62)&gt;0,1,0))</f>
        <v>1</v>
      </c>
      <c r="AQ62" s="1" t="n">
        <f aca="false">IF(B62="",0,IF(AND(ISNUMBER(S62),COUNTIF('⚖️ Wahrscheinlichkeit'!$B$6:$B$11,S62)&gt;0),1,0))</f>
        <v>1</v>
      </c>
      <c r="AR62" s="1" t="n">
        <f aca="false">IF(B62="",0,IF(AND(COUNT(J62:M62)=4,SUM(J62:M62)&gt;0),1,0))</f>
        <v>1</v>
      </c>
      <c r="AS62" s="1" t="n">
        <f aca="false">IF(B62="",0,IF(AND(AF62&lt;&gt;"",AG62&lt;&gt;""),1,0))</f>
        <v>0</v>
      </c>
      <c r="AT62" s="1" t="n">
        <f aca="false">IF(AND(R62="WON",AS62=1,AR62=1),1,0)</f>
        <v>0</v>
      </c>
      <c r="AU62" s="1" t="n">
        <f aca="false">IF(B62="",0,IF(AD62="Alternative – zählt nicht",0,1))</f>
        <v>1</v>
      </c>
      <c r="AV62" s="1" t="n">
        <f aca="false">IF(B62="",0,IF(COUNTIF($B$6:$B$860,B62)&gt;1,1,0))</f>
        <v>0</v>
      </c>
      <c r="AW62" s="1" t="n">
        <v>110</v>
      </c>
      <c r="AX62" s="269" t="str">
        <f aca="false">IF(AY62=1,DATE(YEAR(O62),MONTH(O62),1),"")</f>
        <v/>
      </c>
      <c r="AY62" s="1" t="n">
        <f aca="false">IF(B62="",0,IF(AND(ISNUMBER(O62),ISNUMBER(P62)),IF(P62&gt;=O62,1,0),0))</f>
        <v>0</v>
      </c>
      <c r="AZ62" s="270" t="n">
        <f aca="false">IF(ISNUMBER(Y62),Y62,0)</f>
        <v>308778.908418131</v>
      </c>
      <c r="BA62" s="1" t="str">
        <f aca="false">IF(B62="","",IF(AND(R62="WON",AS62=0),"⛔ Beleg fehlt · ","")&amp;IF(AND(R62="WON",AR62=0),"⛔ Einstand fehlt · ","")&amp;IF(AND(R62&lt;&gt;"WON",AR62=0),"○ Einstand offen · ","")&amp;IF(AND(R62="WON",AB62=""),"⛔ Vertragsart fehlt · ","")&amp;IF(AND(ISNUMBER(O62),ISNUMBER(P62)),IF(P62&lt;O62,"⚠ Ende vor Start · ",""),"")&amp;IF(AND(R62="WON",AY62=0,NOT(AND(ISNUMBER(O62),ISNUMBER(P62)))),"⛔ Zeitraum fehlt · ","")&amp;IF(AND(R62&lt;&gt;"WON",AY62=0,NOT(AND(ISNUMBER(O62),ISNUMBER(P62)))),"○ Zeitraum offen · ",""))</f>
        <v>⛔ Beleg fehlt · ⛔ Vertragsart fehlt · ⛔ Zeitraum fehlt · </v>
      </c>
      <c r="BB62" s="1" t="str">
        <f aca="false">IF(B62="","",IF(AND(R62="WON",AS62=0),"⛔ Nachweis fehlt",IF(AND(ISNUMBER(O62),ISNUMBER(P62),P62&lt;O62),"⚠ Ende vor Start",IF(AND(R62="WON",AY62=0),"⛔ Zeitraum fehlt",IF(AR62=0,"○ Einstand offen",IF(AY62=0,"○ Zeitraum offen",IF(R62="WON","✅ belegt","✔ erfasst")))))))</f>
        <v>⛔ Nachweis fehlt</v>
      </c>
    </row>
    <row r="63" customFormat="false" ht="25.5" hidden="false" customHeight="true" outlineLevel="0" collapsed="false">
      <c r="A63" s="258" t="n">
        <v>53</v>
      </c>
      <c r="B63" s="259" t="s">
        <v>447</v>
      </c>
      <c r="C63" s="258" t="s">
        <v>82</v>
      </c>
      <c r="D63" s="260" t="s">
        <v>442</v>
      </c>
      <c r="E63" s="260" t="s">
        <v>448</v>
      </c>
      <c r="F63" s="261" t="s">
        <v>448</v>
      </c>
      <c r="G63" s="258" t="n">
        <f aca="false">IF(B63="","",IF(AY63=1,P63-O63+1,IF(AW63="","",AW63)))</f>
        <v>110</v>
      </c>
      <c r="H63" s="262" t="s">
        <v>313</v>
      </c>
      <c r="I63" s="261" t="n">
        <v>331889.15</v>
      </c>
      <c r="J63" s="261" t="n">
        <v>331889.15</v>
      </c>
      <c r="K63" s="261" t="n">
        <v>0</v>
      </c>
      <c r="L63" s="261" t="n">
        <v>0</v>
      </c>
      <c r="M63" s="261" t="n">
        <v>0</v>
      </c>
      <c r="N63" s="275"/>
      <c r="O63" s="263"/>
      <c r="P63" s="263"/>
      <c r="Q63" s="261" t="n">
        <f aca="false">IF(AND(ISNUMBER(I63),ISNUMBER(S63)),I63*AJ63,IF(OR(I63&lt;&gt;"",S63&lt;&gt;""),"tbd",""))</f>
        <v>331889.15</v>
      </c>
      <c r="R63" s="264" t="s">
        <v>244</v>
      </c>
      <c r="S63" s="265" t="n">
        <v>1</v>
      </c>
      <c r="T63" s="259" t="s">
        <v>236</v>
      </c>
      <c r="U63" s="260" t="s">
        <v>444</v>
      </c>
      <c r="V63" s="260" t="s">
        <v>445</v>
      </c>
      <c r="W63" s="258" t="s">
        <v>98</v>
      </c>
      <c r="X63" s="260" t="s">
        <v>446</v>
      </c>
      <c r="Y63" s="261" t="n">
        <f aca="false">IF(ISNUMBER(I63),I63/Netto_Faktor,"")</f>
        <v>307020.490286772</v>
      </c>
      <c r="Z63" s="261" t="n">
        <f aca="false">IF(B63="","",IF(COUNT(J63:N63)=0,"",SUM(J63:N63)))</f>
        <v>331889.15</v>
      </c>
      <c r="AA63" s="266"/>
      <c r="AB63" s="266"/>
      <c r="AC63" s="266"/>
      <c r="AD63" s="266"/>
      <c r="AE63" s="266"/>
      <c r="AF63" s="266"/>
      <c r="AG63" s="267"/>
      <c r="AH63" s="260" t="str">
        <f aca="false">IF(B63="","",IF(BA63="",IF(R63="WON","✅ belegt &amp; vollständig","✔ vollständig"),LEFT(BA63,LEN(BA63)-3)))</f>
        <v>⛔ Beleg fehlt · ⛔ Vertragsart fehlt · ⛔ Zeitraum fehlt</v>
      </c>
      <c r="AI63" s="265" t="n">
        <v>1</v>
      </c>
      <c r="AJ63" s="268" t="n">
        <f aca="false">IF(ISNUMBER(S63),IFERROR(LOOKUP(IF(S63&lt;=1,S63,S63/100),'⚖️ Wahrscheinlichkeit'!$B$17:$B$21,'⚖️ Wahrscheinlichkeit'!$D$17:$D$21),0),0)</f>
        <v>1</v>
      </c>
      <c r="AK63" s="1" t="n">
        <f aca="false">IF(AND(R63="WON",ISNUMBER(I63)),AL63+(861-ROW())*0.000001,"")</f>
        <v>331889.150798</v>
      </c>
      <c r="AL63" s="1" t="n">
        <f aca="false">IFERROR(I63*1,0)</f>
        <v>331889.15</v>
      </c>
      <c r="AM63" s="1" t="n">
        <f aca="false">N(AM62)+IF(AND(R63="WON",B63&lt;&gt;""),1,0)</f>
        <v>11</v>
      </c>
      <c r="AN63" s="1" t="n">
        <f aca="false">N(AN62)+IF(AND(OR(R63="offered",R63="to be offered",R63="on hold"),B63&lt;&gt;""),1,0)</f>
        <v>26</v>
      </c>
      <c r="AO63" s="1" t="n">
        <f aca="false">N(AO62)+IF(AND(OR(R63="follow-up",R63="Evaluation",R63="tbd",R63="In evaluation"),B63&lt;&gt;""),1,0)</f>
        <v>1</v>
      </c>
      <c r="AP63" s="1" t="n">
        <f aca="false">IF(B63="",0,IF(COUNTIF('⚖️ Wahrscheinlichkeit'!$J$17:$J$24,R63)&gt;0,1,0))</f>
        <v>1</v>
      </c>
      <c r="AQ63" s="1" t="n">
        <f aca="false">IF(B63="",0,IF(AND(ISNUMBER(S63),COUNTIF('⚖️ Wahrscheinlichkeit'!$B$6:$B$11,S63)&gt;0),1,0))</f>
        <v>1</v>
      </c>
      <c r="AR63" s="1" t="n">
        <f aca="false">IF(B63="",0,IF(AND(COUNT(J63:M63)=4,SUM(J63:M63)&gt;0),1,0))</f>
        <v>1</v>
      </c>
      <c r="AS63" s="1" t="n">
        <f aca="false">IF(B63="",0,IF(AND(AF63&lt;&gt;"",AG63&lt;&gt;""),1,0))</f>
        <v>0</v>
      </c>
      <c r="AT63" s="1" t="n">
        <f aca="false">IF(AND(R63="WON",AS63=1,AR63=1),1,0)</f>
        <v>0</v>
      </c>
      <c r="AU63" s="1" t="n">
        <f aca="false">IF(B63="",0,IF(AD63="Alternative – zählt nicht",0,1))</f>
        <v>1</v>
      </c>
      <c r="AV63" s="1" t="n">
        <f aca="false">IF(B63="",0,IF(COUNTIF($B$6:$B$860,B63)&gt;1,1,0))</f>
        <v>0</v>
      </c>
      <c r="AW63" s="1" t="n">
        <v>110</v>
      </c>
      <c r="AX63" s="269" t="str">
        <f aca="false">IF(AY63=1,DATE(YEAR(O63),MONTH(O63),1),"")</f>
        <v/>
      </c>
      <c r="AY63" s="1" t="n">
        <f aca="false">IF(B63="",0,IF(AND(ISNUMBER(O63),ISNUMBER(P63)),IF(P63&gt;=O63,1,0),0))</f>
        <v>0</v>
      </c>
      <c r="AZ63" s="270" t="n">
        <f aca="false">IF(ISNUMBER(Y63),Y63,0)</f>
        <v>307020.490286772</v>
      </c>
      <c r="BA63" s="1" t="str">
        <f aca="false">IF(B63="","",IF(AND(R63="WON",AS63=0),"⛔ Beleg fehlt · ","")&amp;IF(AND(R63="WON",AR63=0),"⛔ Einstand fehlt · ","")&amp;IF(AND(R63&lt;&gt;"WON",AR63=0),"○ Einstand offen · ","")&amp;IF(AND(R63="WON",AB63=""),"⛔ Vertragsart fehlt · ","")&amp;IF(AND(ISNUMBER(O63),ISNUMBER(P63)),IF(P63&lt;O63,"⚠ Ende vor Start · ",""),"")&amp;IF(AND(R63="WON",AY63=0,NOT(AND(ISNUMBER(O63),ISNUMBER(P63)))),"⛔ Zeitraum fehlt · ","")&amp;IF(AND(R63&lt;&gt;"WON",AY63=0,NOT(AND(ISNUMBER(O63),ISNUMBER(P63)))),"○ Zeitraum offen · ",""))</f>
        <v>⛔ Beleg fehlt · ⛔ Vertragsart fehlt · ⛔ Zeitraum fehlt · </v>
      </c>
      <c r="BB63" s="1" t="str">
        <f aca="false">IF(B63="","",IF(AND(R63="WON",AS63=0),"⛔ Nachweis fehlt",IF(AND(ISNUMBER(O63),ISNUMBER(P63),P63&lt;O63),"⚠ Ende vor Start",IF(AND(R63="WON",AY63=0),"⛔ Zeitraum fehlt",IF(AR63=0,"○ Einstand offen",IF(AY63=0,"○ Zeitraum offen",IF(R63="WON","✅ belegt","✔ erfasst")))))))</f>
        <v>⛔ Nachweis fehlt</v>
      </c>
    </row>
    <row r="64" customFormat="false" ht="25.5" hidden="false" customHeight="true" outlineLevel="0" collapsed="false">
      <c r="A64" s="258" t="n">
        <v>54</v>
      </c>
      <c r="B64" s="259" t="s">
        <v>449</v>
      </c>
      <c r="C64" s="258" t="s">
        <v>67</v>
      </c>
      <c r="D64" s="260" t="s">
        <v>302</v>
      </c>
      <c r="E64" s="260" t="s">
        <v>282</v>
      </c>
      <c r="F64" s="261" t="s">
        <v>282</v>
      </c>
      <c r="G64" s="258" t="n">
        <f aca="false">IF(B64="","",IF(AY64=1,P64-O64+1,IF(AW64="","",AW64)))</f>
        <v>5</v>
      </c>
      <c r="H64" s="262" t="s">
        <v>98</v>
      </c>
      <c r="I64" s="261" t="n">
        <v>8381.21</v>
      </c>
      <c r="J64" s="261" t="n">
        <v>2511</v>
      </c>
      <c r="K64" s="261" t="n">
        <v>3200</v>
      </c>
      <c r="L64" s="261" t="n">
        <v>0</v>
      </c>
      <c r="M64" s="261" t="n">
        <f aca="false">1015+1027.2</f>
        <v>2042.2</v>
      </c>
      <c r="N64" s="275"/>
      <c r="O64" s="263"/>
      <c r="P64" s="263"/>
      <c r="Q64" s="261" t="n">
        <f aca="false">IF(AND(ISNUMBER(I64),ISNUMBER(S64)),I64*AJ64,IF(OR(I64&lt;&gt;"",S64&lt;&gt;""),"tbd",""))</f>
        <v>0</v>
      </c>
      <c r="R64" s="264" t="s">
        <v>219</v>
      </c>
      <c r="S64" s="265" t="n">
        <v>0.3</v>
      </c>
      <c r="T64" s="259" t="s">
        <v>220</v>
      </c>
      <c r="U64" s="260" t="s">
        <v>283</v>
      </c>
      <c r="V64" s="260" t="s">
        <v>421</v>
      </c>
      <c r="W64" s="258" t="s">
        <v>100</v>
      </c>
      <c r="X64" s="260" t="s">
        <v>348</v>
      </c>
      <c r="Y64" s="261" t="n">
        <f aca="false">IF(ISNUMBER(I64),I64/Netto_Faktor,"")</f>
        <v>7753.2007400555</v>
      </c>
      <c r="Z64" s="261" t="n">
        <f aca="false">IF(B64="","",IF(COUNT(J64:N64)=0,"",SUM(J64:N64)))</f>
        <v>7753.2</v>
      </c>
      <c r="AA64" s="266"/>
      <c r="AB64" s="266"/>
      <c r="AC64" s="266"/>
      <c r="AD64" s="266"/>
      <c r="AE64" s="266"/>
      <c r="AF64" s="266"/>
      <c r="AG64" s="267"/>
      <c r="AH64" s="259" t="str">
        <f aca="false">IF(B64="","",IF(BA64="",IF(R64="WON","✅ belegt &amp; vollständig","✔ vollständig"),LEFT(BA64,LEN(BA64)-3)))</f>
        <v>○ Zeitraum offen</v>
      </c>
      <c r="AI64" s="265" t="n">
        <v>0.5</v>
      </c>
      <c r="AJ64" s="268" t="n">
        <f aca="false">IF(ISNUMBER(S64),IFERROR(LOOKUP(IF(S64&lt;=1,S64,S64/100),'⚖️ Wahrscheinlichkeit'!$B$17:$B$21,'⚖️ Wahrscheinlichkeit'!$D$17:$D$21),0),0)</f>
        <v>0</v>
      </c>
      <c r="AK64" s="1" t="str">
        <f aca="false">IF(AND(R64="WON",ISNUMBER(I64)),AL64+(861-ROW())*0.000001,"")</f>
        <v/>
      </c>
      <c r="AL64" s="1" t="n">
        <f aca="false">IFERROR(I64*1,0)</f>
        <v>8381.21</v>
      </c>
      <c r="AM64" s="1" t="n">
        <f aca="false">N(AM63)+IF(AND(R64="WON",B64&lt;&gt;""),1,0)</f>
        <v>11</v>
      </c>
      <c r="AN64" s="1" t="n">
        <f aca="false">N(AN63)+IF(AND(OR(R64="offered",R64="to be offered",R64="on hold"),B64&lt;&gt;""),1,0)</f>
        <v>27</v>
      </c>
      <c r="AO64" s="1" t="n">
        <f aca="false">N(AO63)+IF(AND(OR(R64="follow-up",R64="Evaluation",R64="tbd",R64="In evaluation"),B64&lt;&gt;""),1,0)</f>
        <v>1</v>
      </c>
      <c r="AP64" s="1" t="n">
        <f aca="false">IF(B64="",0,IF(COUNTIF('⚖️ Wahrscheinlichkeit'!$J$17:$J$24,R64)&gt;0,1,0))</f>
        <v>1</v>
      </c>
      <c r="AQ64" s="1" t="n">
        <f aca="false">IF(B64="",0,IF(AND(ISNUMBER(S64),COUNTIF('⚖️ Wahrscheinlichkeit'!$B$6:$B$11,S64)&gt;0),1,0))</f>
        <v>1</v>
      </c>
      <c r="AR64" s="1" t="n">
        <f aca="false">IF(B64="",0,IF(AND(COUNT(J64:M64)=4,SUM(J64:M64)&gt;0),1,0))</f>
        <v>1</v>
      </c>
      <c r="AS64" s="1" t="n">
        <f aca="false">IF(B64="",0,IF(AND(AF64&lt;&gt;"",AG64&lt;&gt;""),1,0))</f>
        <v>0</v>
      </c>
      <c r="AT64" s="1" t="n">
        <f aca="false">IF(AND(R64="WON",AS64=1,AR64=1),1,0)</f>
        <v>0</v>
      </c>
      <c r="AU64" s="1" t="n">
        <f aca="false">IF(B64="",0,IF(AD64="Alternative – zählt nicht",0,1))</f>
        <v>1</v>
      </c>
      <c r="AV64" s="1" t="n">
        <f aca="false">IF(B64="",0,IF(COUNTIF($B$6:$B$860,B64)&gt;1,1,0))</f>
        <v>0</v>
      </c>
      <c r="AW64" s="1" t="n">
        <v>5</v>
      </c>
      <c r="AX64" s="269" t="str">
        <f aca="false">IF(AY64=1,DATE(YEAR(O64),MONTH(O64),1),"")</f>
        <v/>
      </c>
      <c r="AY64" s="1" t="n">
        <f aca="false">IF(B64="",0,IF(AND(ISNUMBER(O64),ISNUMBER(P64)),IF(P64&gt;=O64,1,0),0))</f>
        <v>0</v>
      </c>
      <c r="AZ64" s="270" t="n">
        <f aca="false">IF(ISNUMBER(Y64),Y64,0)</f>
        <v>7753.2007400555</v>
      </c>
      <c r="BA64" s="1" t="str">
        <f aca="false">IF(B64="","",IF(AND(R64="WON",AS64=0),"⛔ Beleg fehlt · ","")&amp;IF(AND(R64="WON",AR64=0),"⛔ Einstand fehlt · ","")&amp;IF(AND(R64&lt;&gt;"WON",AR64=0),"○ Einstand offen · ","")&amp;IF(AND(R64="WON",AB64=""),"⛔ Vertragsart fehlt · ","")&amp;IF(AND(ISNUMBER(O64),ISNUMBER(P64)),IF(P64&lt;O64,"⚠ Ende vor Start · ",""),"")&amp;IF(AND(R64="WON",AY64=0,NOT(AND(ISNUMBER(O64),ISNUMBER(P64)))),"⛔ Zeitraum fehlt · ","")&amp;IF(AND(R64&lt;&gt;"WON",AY64=0,NOT(AND(ISNUMBER(O64),ISNUMBER(P64)))),"○ Zeitraum offen · ",""))</f>
        <v>○ Zeitraum offen · </v>
      </c>
      <c r="BB64" s="1" t="str">
        <f aca="false">IF(B64="","",IF(AND(R64="WON",AS64=0),"⛔ Nachweis fehlt",IF(AND(ISNUMBER(O64),ISNUMBER(P64),P64&lt;O64),"⚠ Ende vor Start",IF(AND(R64="WON",AY64=0),"⛔ Zeitraum fehlt",IF(AR64=0,"○ Einstand offen",IF(AY64=0,"○ Zeitraum offen",IF(R64="WON","✅ belegt","✔ erfasst")))))))</f>
        <v>○ Zeitraum offen</v>
      </c>
    </row>
    <row r="65" customFormat="false" ht="25.5" hidden="false" customHeight="true" outlineLevel="0" collapsed="false">
      <c r="A65" s="258" t="n">
        <v>55</v>
      </c>
      <c r="B65" s="259" t="s">
        <v>450</v>
      </c>
      <c r="C65" s="258" t="s">
        <v>82</v>
      </c>
      <c r="D65" s="260" t="s">
        <v>451</v>
      </c>
      <c r="E65" s="260" t="s">
        <v>452</v>
      </c>
      <c r="F65" s="261" t="s">
        <v>452</v>
      </c>
      <c r="G65" s="258" t="n">
        <f aca="false">IF(B65="","",IF(AY65=1,P65-O65+1,IF(AW65="","",AW65)))</f>
        <v>14</v>
      </c>
      <c r="H65" s="262" t="s">
        <v>98</v>
      </c>
      <c r="I65" s="261" t="n">
        <v>6227.21</v>
      </c>
      <c r="J65" s="261" t="n">
        <f aca="false">2381.4+126+403.2</f>
        <v>2910.6</v>
      </c>
      <c r="K65" s="261" t="n">
        <v>1500</v>
      </c>
      <c r="L65" s="261" t="n">
        <v>0</v>
      </c>
      <c r="M65" s="261" t="n">
        <f aca="false">870+480</f>
        <v>1350</v>
      </c>
      <c r="N65" s="275"/>
      <c r="O65" s="263"/>
      <c r="P65" s="263"/>
      <c r="Q65" s="261" t="n">
        <f aca="false">IF(AND(ISNUMBER(I65),ISNUMBER(S65)),I65*AJ65,IF(OR(I65&lt;&gt;"",S65&lt;&gt;""),"tbd",""))</f>
        <v>0</v>
      </c>
      <c r="R65" s="264" t="s">
        <v>219</v>
      </c>
      <c r="S65" s="265" t="n">
        <v>0.3</v>
      </c>
      <c r="T65" s="259" t="s">
        <v>220</v>
      </c>
      <c r="U65" s="260" t="s">
        <v>283</v>
      </c>
      <c r="V65" s="260" t="s">
        <v>421</v>
      </c>
      <c r="W65" s="258" t="s">
        <v>100</v>
      </c>
      <c r="X65" s="260" t="s">
        <v>348</v>
      </c>
      <c r="Y65" s="261" t="n">
        <f aca="false">IF(ISNUMBER(I65),I65/Netto_Faktor,"")</f>
        <v>5760.60129509713</v>
      </c>
      <c r="Z65" s="261" t="n">
        <f aca="false">IF(B65="","",IF(COUNT(J65:N65)=0,"",SUM(J65:N65)))</f>
        <v>5760.6</v>
      </c>
      <c r="AA65" s="266"/>
      <c r="AB65" s="266"/>
      <c r="AC65" s="266"/>
      <c r="AD65" s="266"/>
      <c r="AE65" s="266"/>
      <c r="AF65" s="266"/>
      <c r="AG65" s="267"/>
      <c r="AH65" s="259" t="str">
        <f aca="false">IF(B65="","",IF(BA65="",IF(R65="WON","✅ belegt &amp; vollständig","✔ vollständig"),LEFT(BA65,LEN(BA65)-3)))</f>
        <v>○ Zeitraum offen</v>
      </c>
      <c r="AI65" s="265" t="n">
        <v>0.5</v>
      </c>
      <c r="AJ65" s="268" t="n">
        <f aca="false">IF(ISNUMBER(S65),IFERROR(LOOKUP(IF(S65&lt;=1,S65,S65/100),'⚖️ Wahrscheinlichkeit'!$B$17:$B$21,'⚖️ Wahrscheinlichkeit'!$D$17:$D$21),0),0)</f>
        <v>0</v>
      </c>
      <c r="AK65" s="1" t="str">
        <f aca="false">IF(AND(R65="WON",ISNUMBER(I65)),AL65+(861-ROW())*0.000001,"")</f>
        <v/>
      </c>
      <c r="AL65" s="1" t="n">
        <f aca="false">IFERROR(I65*1,0)</f>
        <v>6227.21</v>
      </c>
      <c r="AM65" s="1" t="n">
        <f aca="false">N(AM64)+IF(AND(R65="WON",B65&lt;&gt;""),1,0)</f>
        <v>11</v>
      </c>
      <c r="AN65" s="1" t="n">
        <f aca="false">N(AN64)+IF(AND(OR(R65="offered",R65="to be offered",R65="on hold"),B65&lt;&gt;""),1,0)</f>
        <v>28</v>
      </c>
      <c r="AO65" s="1" t="n">
        <f aca="false">N(AO64)+IF(AND(OR(R65="follow-up",R65="Evaluation",R65="tbd",R65="In evaluation"),B65&lt;&gt;""),1,0)</f>
        <v>1</v>
      </c>
      <c r="AP65" s="1" t="n">
        <f aca="false">IF(B65="",0,IF(COUNTIF('⚖️ Wahrscheinlichkeit'!$J$17:$J$24,R65)&gt;0,1,0))</f>
        <v>1</v>
      </c>
      <c r="AQ65" s="1" t="n">
        <f aca="false">IF(B65="",0,IF(AND(ISNUMBER(S65),COUNTIF('⚖️ Wahrscheinlichkeit'!$B$6:$B$11,S65)&gt;0),1,0))</f>
        <v>1</v>
      </c>
      <c r="AR65" s="1" t="n">
        <f aca="false">IF(B65="",0,IF(AND(COUNT(J65:M65)=4,SUM(J65:M65)&gt;0),1,0))</f>
        <v>1</v>
      </c>
      <c r="AS65" s="1" t="n">
        <f aca="false">IF(B65="",0,IF(AND(AF65&lt;&gt;"",AG65&lt;&gt;""),1,0))</f>
        <v>0</v>
      </c>
      <c r="AT65" s="1" t="n">
        <f aca="false">IF(AND(R65="WON",AS65=1,AR65=1),1,0)</f>
        <v>0</v>
      </c>
      <c r="AU65" s="1" t="n">
        <f aca="false">IF(B65="",0,IF(AD65="Alternative – zählt nicht",0,1))</f>
        <v>1</v>
      </c>
      <c r="AV65" s="1" t="n">
        <f aca="false">IF(B65="",0,IF(COUNTIF($B$6:$B$860,B65)&gt;1,1,0))</f>
        <v>0</v>
      </c>
      <c r="AW65" s="1" t="n">
        <v>14</v>
      </c>
      <c r="AX65" s="269" t="str">
        <f aca="false">IF(AY65=1,DATE(YEAR(O65),MONTH(O65),1),"")</f>
        <v/>
      </c>
      <c r="AY65" s="1" t="n">
        <f aca="false">IF(B65="",0,IF(AND(ISNUMBER(O65),ISNUMBER(P65)),IF(P65&gt;=O65,1,0),0))</f>
        <v>0</v>
      </c>
      <c r="AZ65" s="270" t="n">
        <f aca="false">IF(ISNUMBER(Y65),Y65,0)</f>
        <v>5760.60129509713</v>
      </c>
      <c r="BA65" s="1" t="str">
        <f aca="false">IF(B65="","",IF(AND(R65="WON",AS65=0),"⛔ Beleg fehlt · ","")&amp;IF(AND(R65="WON",AR65=0),"⛔ Einstand fehlt · ","")&amp;IF(AND(R65&lt;&gt;"WON",AR65=0),"○ Einstand offen · ","")&amp;IF(AND(R65="WON",AB65=""),"⛔ Vertragsart fehlt · ","")&amp;IF(AND(ISNUMBER(O65),ISNUMBER(P65)),IF(P65&lt;O65,"⚠ Ende vor Start · ",""),"")&amp;IF(AND(R65="WON",AY65=0,NOT(AND(ISNUMBER(O65),ISNUMBER(P65)))),"⛔ Zeitraum fehlt · ","")&amp;IF(AND(R65&lt;&gt;"WON",AY65=0,NOT(AND(ISNUMBER(O65),ISNUMBER(P65)))),"○ Zeitraum offen · ",""))</f>
        <v>○ Zeitraum offen · </v>
      </c>
      <c r="BB65" s="1" t="str">
        <f aca="false">IF(B65="","",IF(AND(R65="WON",AS65=0),"⛔ Nachweis fehlt",IF(AND(ISNUMBER(O65),ISNUMBER(P65),P65&lt;O65),"⚠ Ende vor Start",IF(AND(R65="WON",AY65=0),"⛔ Zeitraum fehlt",IF(AR65=0,"○ Einstand offen",IF(AY65=0,"○ Zeitraum offen",IF(R65="WON","✅ belegt","✔ erfasst")))))))</f>
        <v>○ Zeitraum offen</v>
      </c>
    </row>
    <row r="66" customFormat="false" ht="25.5" hidden="false" customHeight="true" outlineLevel="0" collapsed="false">
      <c r="A66" s="258" t="n">
        <v>56</v>
      </c>
      <c r="B66" s="259" t="s">
        <v>453</v>
      </c>
      <c r="C66" s="258" t="s">
        <v>56</v>
      </c>
      <c r="D66" s="260" t="s">
        <v>302</v>
      </c>
      <c r="E66" s="260" t="s">
        <v>454</v>
      </c>
      <c r="F66" s="260" t="s">
        <v>454</v>
      </c>
      <c r="G66" s="258" t="n">
        <f aca="false">IF(B66="","",IF(AY66=1,P66-O66+1,IF(AW66="","",AW66)))</f>
        <v>12</v>
      </c>
      <c r="H66" s="262" t="s">
        <v>455</v>
      </c>
      <c r="I66" s="261" t="n">
        <v>41209</v>
      </c>
      <c r="J66" s="261" t="n">
        <f aca="false">10713.6+15436.8+460.8+288+230.4+307.2+67.2</f>
        <v>27504</v>
      </c>
      <c r="K66" s="261" t="n">
        <v>8190</v>
      </c>
      <c r="L66" s="261" t="n">
        <v>0</v>
      </c>
      <c r="M66" s="261" t="n">
        <v>66</v>
      </c>
      <c r="N66" s="275"/>
      <c r="O66" s="263"/>
      <c r="P66" s="263"/>
      <c r="Q66" s="261" t="n">
        <f aca="false">IF(AND(ISNUMBER(I66),ISNUMBER(S66)),I66*AJ66,IF(OR(I66&lt;&gt;"",S66&lt;&gt;""),"tbd",""))</f>
        <v>0</v>
      </c>
      <c r="R66" s="264" t="s">
        <v>219</v>
      </c>
      <c r="S66" s="265" t="n">
        <v>0.3</v>
      </c>
      <c r="T66" s="259" t="s">
        <v>220</v>
      </c>
      <c r="U66" s="260" t="s">
        <v>283</v>
      </c>
      <c r="V66" s="260" t="s">
        <v>421</v>
      </c>
      <c r="W66" s="258" t="s">
        <v>100</v>
      </c>
      <c r="X66" s="260" t="s">
        <v>348</v>
      </c>
      <c r="Y66" s="261" t="n">
        <f aca="false">IF(ISNUMBER(I66),I66/Netto_Faktor,"")</f>
        <v>38121.1840888067</v>
      </c>
      <c r="Z66" s="261" t="n">
        <f aca="false">IF(B66="","",IF(COUNT(J66:N66)=0,"",SUM(J66:N66)))</f>
        <v>35760</v>
      </c>
      <c r="AA66" s="266"/>
      <c r="AB66" s="266"/>
      <c r="AC66" s="266"/>
      <c r="AD66" s="266"/>
      <c r="AE66" s="266"/>
      <c r="AF66" s="266"/>
      <c r="AG66" s="267"/>
      <c r="AH66" s="259" t="str">
        <f aca="false">IF(B66="","",IF(BA66="",IF(R66="WON","✅ belegt &amp; vollständig","✔ vollständig"),LEFT(BA66,LEN(BA66)-3)))</f>
        <v>○ Zeitraum offen</v>
      </c>
      <c r="AI66" s="265" t="n">
        <v>0.5</v>
      </c>
      <c r="AJ66" s="268" t="n">
        <f aca="false">IF(ISNUMBER(S66),IFERROR(LOOKUP(IF(S66&lt;=1,S66,S66/100),'⚖️ Wahrscheinlichkeit'!$B$17:$B$21,'⚖️ Wahrscheinlichkeit'!$D$17:$D$21),0),0)</f>
        <v>0</v>
      </c>
      <c r="AK66" s="1" t="str">
        <f aca="false">IF(AND(R66="WON",ISNUMBER(I66)),AL66+(861-ROW())*0.000001,"")</f>
        <v/>
      </c>
      <c r="AL66" s="1" t="n">
        <f aca="false">IFERROR(I66*1,0)</f>
        <v>41209</v>
      </c>
      <c r="AM66" s="1" t="n">
        <f aca="false">N(AM65)+IF(AND(R66="WON",B66&lt;&gt;""),1,0)</f>
        <v>11</v>
      </c>
      <c r="AN66" s="1" t="n">
        <f aca="false">N(AN65)+IF(AND(OR(R66="offered",R66="to be offered",R66="on hold"),B66&lt;&gt;""),1,0)</f>
        <v>29</v>
      </c>
      <c r="AO66" s="1" t="n">
        <f aca="false">N(AO65)+IF(AND(OR(R66="follow-up",R66="Evaluation",R66="tbd",R66="In evaluation"),B66&lt;&gt;""),1,0)</f>
        <v>1</v>
      </c>
      <c r="AP66" s="1" t="n">
        <f aca="false">IF(B66="",0,IF(COUNTIF('⚖️ Wahrscheinlichkeit'!$J$17:$J$24,R66)&gt;0,1,0))</f>
        <v>1</v>
      </c>
      <c r="AQ66" s="1" t="n">
        <f aca="false">IF(B66="",0,IF(AND(ISNUMBER(S66),COUNTIF('⚖️ Wahrscheinlichkeit'!$B$6:$B$11,S66)&gt;0),1,0))</f>
        <v>1</v>
      </c>
      <c r="AR66" s="1" t="n">
        <f aca="false">IF(B66="",0,IF(AND(COUNT(J66:M66)=4,SUM(J66:M66)&gt;0),1,0))</f>
        <v>1</v>
      </c>
      <c r="AS66" s="1" t="n">
        <f aca="false">IF(B66="",0,IF(AND(AF66&lt;&gt;"",AG66&lt;&gt;""),1,0))</f>
        <v>0</v>
      </c>
      <c r="AT66" s="1" t="n">
        <f aca="false">IF(AND(R66="WON",AS66=1,AR66=1),1,0)</f>
        <v>0</v>
      </c>
      <c r="AU66" s="1" t="n">
        <f aca="false">IF(B66="",0,IF(AD66="Alternative – zählt nicht",0,1))</f>
        <v>1</v>
      </c>
      <c r="AV66" s="1" t="n">
        <f aca="false">IF(B66="",0,IF(COUNTIF($B$6:$B$860,B66)&gt;1,1,0))</f>
        <v>0</v>
      </c>
      <c r="AW66" s="1" t="n">
        <v>12</v>
      </c>
      <c r="AX66" s="269" t="str">
        <f aca="false">IF(AY66=1,DATE(YEAR(O66),MONTH(O66),1),"")</f>
        <v/>
      </c>
      <c r="AY66" s="1" t="n">
        <f aca="false">IF(B66="",0,IF(AND(ISNUMBER(O66),ISNUMBER(P66)),IF(P66&gt;=O66,1,0),0))</f>
        <v>0</v>
      </c>
      <c r="AZ66" s="270" t="n">
        <f aca="false">IF(ISNUMBER(Y66),Y66,0)</f>
        <v>38121.1840888067</v>
      </c>
      <c r="BA66" s="1" t="str">
        <f aca="false">IF(B66="","",IF(AND(R66="WON",AS66=0),"⛔ Beleg fehlt · ","")&amp;IF(AND(R66="WON",AR66=0),"⛔ Einstand fehlt · ","")&amp;IF(AND(R66&lt;&gt;"WON",AR66=0),"○ Einstand offen · ","")&amp;IF(AND(R66="WON",AB66=""),"⛔ Vertragsart fehlt · ","")&amp;IF(AND(ISNUMBER(O66),ISNUMBER(P66)),IF(P66&lt;O66,"⚠ Ende vor Start · ",""),"")&amp;IF(AND(R66="WON",AY66=0,NOT(AND(ISNUMBER(O66),ISNUMBER(P66)))),"⛔ Zeitraum fehlt · ","")&amp;IF(AND(R66&lt;&gt;"WON",AY66=0,NOT(AND(ISNUMBER(O66),ISNUMBER(P66)))),"○ Zeitraum offen · ",""))</f>
        <v>○ Zeitraum offen · </v>
      </c>
      <c r="BB66" s="1" t="str">
        <f aca="false">IF(B66="","",IF(AND(R66="WON",AS66=0),"⛔ Nachweis fehlt",IF(AND(ISNUMBER(O66),ISNUMBER(P66),P66&lt;O66),"⚠ Ende vor Start",IF(AND(R66="WON",AY66=0),"⛔ Zeitraum fehlt",IF(AR66=0,"○ Einstand offen",IF(AY66=0,"○ Zeitraum offen",IF(R66="WON","✅ belegt","✔ erfasst")))))))</f>
        <v>○ Zeitraum offen</v>
      </c>
    </row>
    <row r="67" customFormat="false" ht="25.5" hidden="false" customHeight="true" outlineLevel="0" collapsed="false">
      <c r="A67" s="258" t="n">
        <v>57</v>
      </c>
      <c r="B67" s="259" t="s">
        <v>260</v>
      </c>
      <c r="C67" s="258" t="s">
        <v>81</v>
      </c>
      <c r="D67" s="260" t="s">
        <v>281</v>
      </c>
      <c r="E67" s="260" t="s">
        <v>392</v>
      </c>
      <c r="F67" s="261" t="s">
        <v>392</v>
      </c>
      <c r="G67" s="258" t="n">
        <f aca="false">IF(B67="","",IF(AY67=1,P67-O67+1,IF(AW67="","",AW67)))</f>
        <v>22</v>
      </c>
      <c r="H67" s="262" t="s">
        <v>337</v>
      </c>
      <c r="I67" s="261" t="n">
        <v>40491.67</v>
      </c>
      <c r="J67" s="261" t="n">
        <f aca="false">15681.6+1320+1408+528</f>
        <v>18937.6</v>
      </c>
      <c r="K67" s="261" t="n">
        <v>864</v>
      </c>
      <c r="L67" s="261" t="n">
        <v>0</v>
      </c>
      <c r="M67" s="261" t="n">
        <v>11600</v>
      </c>
      <c r="N67" s="275"/>
      <c r="O67" s="263"/>
      <c r="P67" s="263"/>
      <c r="Q67" s="261" t="n">
        <f aca="false">IF(AND(ISNUMBER(I67),ISNUMBER(S67)),I67*AJ67,IF(OR(I67&lt;&gt;"",S67&lt;&gt;""),"tbd",""))</f>
        <v>0</v>
      </c>
      <c r="R67" s="264" t="s">
        <v>219</v>
      </c>
      <c r="S67" s="265" t="n">
        <v>0.3</v>
      </c>
      <c r="T67" s="259" t="s">
        <v>220</v>
      </c>
      <c r="U67" s="260" t="s">
        <v>283</v>
      </c>
      <c r="V67" s="260" t="s">
        <v>421</v>
      </c>
      <c r="W67" s="258" t="s">
        <v>100</v>
      </c>
      <c r="X67" s="260" t="s">
        <v>456</v>
      </c>
      <c r="Y67" s="261" t="n">
        <f aca="false">IF(ISNUMBER(I67),I67/Netto_Faktor,"")</f>
        <v>37457.6040703053</v>
      </c>
      <c r="Z67" s="261" t="n">
        <f aca="false">IF(B67="","",IF(COUNT(J67:N67)=0,"",SUM(J67:N67)))</f>
        <v>31401.6</v>
      </c>
      <c r="AA67" s="266"/>
      <c r="AB67" s="266"/>
      <c r="AC67" s="266"/>
      <c r="AD67" s="266"/>
      <c r="AE67" s="266"/>
      <c r="AF67" s="266"/>
      <c r="AG67" s="267"/>
      <c r="AH67" s="259" t="str">
        <f aca="false">IF(B67="","",IF(BA67="",IF(R67="WON","✅ belegt &amp; vollständig","✔ vollständig"),LEFT(BA67,LEN(BA67)-3)))</f>
        <v>○ Zeitraum offen</v>
      </c>
      <c r="AI67" s="265" t="n">
        <v>0.5</v>
      </c>
      <c r="AJ67" s="268" t="n">
        <f aca="false">IF(ISNUMBER(S67),IFERROR(LOOKUP(IF(S67&lt;=1,S67,S67/100),'⚖️ Wahrscheinlichkeit'!$B$17:$B$21,'⚖️ Wahrscheinlichkeit'!$D$17:$D$21),0),0)</f>
        <v>0</v>
      </c>
      <c r="AK67" s="1" t="str">
        <f aca="false">IF(AND(R67="WON",ISNUMBER(I67)),AL67+(861-ROW())*0.000001,"")</f>
        <v/>
      </c>
      <c r="AL67" s="1" t="n">
        <f aca="false">IFERROR(I67*1,0)</f>
        <v>40491.67</v>
      </c>
      <c r="AM67" s="1" t="n">
        <f aca="false">N(AM66)+IF(AND(R67="WON",B67&lt;&gt;""),1,0)</f>
        <v>11</v>
      </c>
      <c r="AN67" s="1" t="n">
        <f aca="false">N(AN66)+IF(AND(OR(R67="offered",R67="to be offered",R67="on hold"),B67&lt;&gt;""),1,0)</f>
        <v>30</v>
      </c>
      <c r="AO67" s="1" t="n">
        <f aca="false">N(AO66)+IF(AND(OR(R67="follow-up",R67="Evaluation",R67="tbd",R67="In evaluation"),B67&lt;&gt;""),1,0)</f>
        <v>1</v>
      </c>
      <c r="AP67" s="1" t="n">
        <f aca="false">IF(B67="",0,IF(COUNTIF('⚖️ Wahrscheinlichkeit'!$J$17:$J$24,R67)&gt;0,1,0))</f>
        <v>1</v>
      </c>
      <c r="AQ67" s="1" t="n">
        <f aca="false">IF(B67="",0,IF(AND(ISNUMBER(S67),COUNTIF('⚖️ Wahrscheinlichkeit'!$B$6:$B$11,S67)&gt;0),1,0))</f>
        <v>1</v>
      </c>
      <c r="AR67" s="1" t="n">
        <f aca="false">IF(B67="",0,IF(AND(COUNT(J67:M67)=4,SUM(J67:M67)&gt;0),1,0))</f>
        <v>1</v>
      </c>
      <c r="AS67" s="1" t="n">
        <f aca="false">IF(B67="",0,IF(AND(AF67&lt;&gt;"",AG67&lt;&gt;""),1,0))</f>
        <v>0</v>
      </c>
      <c r="AT67" s="1" t="n">
        <f aca="false">IF(AND(R67="WON",AS67=1,AR67=1),1,0)</f>
        <v>0</v>
      </c>
      <c r="AU67" s="1" t="n">
        <f aca="false">IF(B67="",0,IF(AD67="Alternative – zählt nicht",0,1))</f>
        <v>1</v>
      </c>
      <c r="AV67" s="1" t="n">
        <f aca="false">IF(B67="",0,IF(COUNTIF($B$6:$B$860,B67)&gt;1,1,0))</f>
        <v>1</v>
      </c>
      <c r="AW67" s="1" t="n">
        <v>22</v>
      </c>
      <c r="AX67" s="269" t="str">
        <f aca="false">IF(AY67=1,DATE(YEAR(O67),MONTH(O67),1),"")</f>
        <v/>
      </c>
      <c r="AY67" s="1" t="n">
        <f aca="false">IF(B67="",0,IF(AND(ISNUMBER(O67),ISNUMBER(P67)),IF(P67&gt;=O67,1,0),0))</f>
        <v>0</v>
      </c>
      <c r="AZ67" s="270" t="n">
        <f aca="false">IF(ISNUMBER(Y67),Y67,0)</f>
        <v>37457.6040703053</v>
      </c>
      <c r="BA67" s="1" t="str">
        <f aca="false">IF(B67="","",IF(AND(R67="WON",AS67=0),"⛔ Beleg fehlt · ","")&amp;IF(AND(R67="WON",AR67=0),"⛔ Einstand fehlt · ","")&amp;IF(AND(R67&lt;&gt;"WON",AR67=0),"○ Einstand offen · ","")&amp;IF(AND(R67="WON",AB67=""),"⛔ Vertragsart fehlt · ","")&amp;IF(AND(ISNUMBER(O67),ISNUMBER(P67)),IF(P67&lt;O67,"⚠ Ende vor Start · ",""),"")&amp;IF(AND(R67="WON",AY67=0,NOT(AND(ISNUMBER(O67),ISNUMBER(P67)))),"⛔ Zeitraum fehlt · ","")&amp;IF(AND(R67&lt;&gt;"WON",AY67=0,NOT(AND(ISNUMBER(O67),ISNUMBER(P67)))),"○ Zeitraum offen · ",""))</f>
        <v>○ Zeitraum offen · </v>
      </c>
      <c r="BB67" s="1" t="str">
        <f aca="false">IF(B67="","",IF(AND(R67="WON",AS67=0),"⛔ Nachweis fehlt",IF(AND(ISNUMBER(O67),ISNUMBER(P67),P67&lt;O67),"⚠ Ende vor Start",IF(AND(R67="WON",AY67=0),"⛔ Zeitraum fehlt",IF(AR67=0,"○ Einstand offen",IF(AY67=0,"○ Zeitraum offen",IF(R67="WON","✅ belegt","✔ erfasst")))))))</f>
        <v>○ Zeitraum offen</v>
      </c>
    </row>
    <row r="68" customFormat="false" ht="25.5" hidden="false" customHeight="true" outlineLevel="0" collapsed="false">
      <c r="A68" s="258" t="n">
        <v>58</v>
      </c>
      <c r="B68" s="259" t="s">
        <v>457</v>
      </c>
      <c r="C68" s="258" t="s">
        <v>82</v>
      </c>
      <c r="D68" s="260" t="s">
        <v>451</v>
      </c>
      <c r="E68" s="260" t="s">
        <v>354</v>
      </c>
      <c r="F68" s="261" t="s">
        <v>413</v>
      </c>
      <c r="G68" s="258" t="n">
        <f aca="false">IF(B68="","",IF(AY68=1,P68-O68+1,IF(AW68="","",AW68)))</f>
        <v>540</v>
      </c>
      <c r="H68" s="262" t="s">
        <v>100</v>
      </c>
      <c r="I68" s="261" t="n">
        <f aca="false">79300+34082.4</f>
        <v>113382.4</v>
      </c>
      <c r="J68" s="261" t="n">
        <f aca="false">92340+17280</f>
        <v>109620</v>
      </c>
      <c r="K68" s="261" t="n">
        <v>1160</v>
      </c>
      <c r="L68" s="261" t="n">
        <v>0</v>
      </c>
      <c r="M68" s="261" t="n">
        <v>602.4</v>
      </c>
      <c r="N68" s="275"/>
      <c r="O68" s="263"/>
      <c r="P68" s="263"/>
      <c r="Q68" s="261" t="n">
        <f aca="false">IF(AND(ISNUMBER(I68),ISNUMBER(S68)),I68*AJ68,IF(OR(I68&lt;&gt;"",S68&lt;&gt;""),"tbd",""))</f>
        <v>0</v>
      </c>
      <c r="R68" s="264" t="s">
        <v>219</v>
      </c>
      <c r="S68" s="265" t="n">
        <v>0.3</v>
      </c>
      <c r="T68" s="259" t="s">
        <v>220</v>
      </c>
      <c r="U68" s="260" t="s">
        <v>283</v>
      </c>
      <c r="V68" s="260" t="s">
        <v>421</v>
      </c>
      <c r="W68" s="258" t="s">
        <v>100</v>
      </c>
      <c r="X68" s="260" t="s">
        <v>456</v>
      </c>
      <c r="Y68" s="261" t="n">
        <f aca="false">IF(ISNUMBER(I68),I68/Netto_Faktor,"")</f>
        <v>104886.586493987</v>
      </c>
      <c r="Z68" s="261" t="n">
        <f aca="false">IF(B68="","",IF(COUNT(J68:N68)=0,"",SUM(J68:N68)))</f>
        <v>111382.4</v>
      </c>
      <c r="AA68" s="266"/>
      <c r="AB68" s="266"/>
      <c r="AC68" s="266"/>
      <c r="AD68" s="266"/>
      <c r="AE68" s="266"/>
      <c r="AF68" s="266"/>
      <c r="AG68" s="267"/>
      <c r="AH68" s="259" t="str">
        <f aca="false">IF(B68="","",IF(BA68="",IF(R68="WON","✅ belegt &amp; vollständig","✔ vollständig"),LEFT(BA68,LEN(BA68)-3)))</f>
        <v>○ Zeitraum offen</v>
      </c>
      <c r="AI68" s="265" t="n">
        <v>0.5</v>
      </c>
      <c r="AJ68" s="268" t="n">
        <f aca="false">IF(ISNUMBER(S68),IFERROR(LOOKUP(IF(S68&lt;=1,S68,S68/100),'⚖️ Wahrscheinlichkeit'!$B$17:$B$21,'⚖️ Wahrscheinlichkeit'!$D$17:$D$21),0),0)</f>
        <v>0</v>
      </c>
      <c r="AK68" s="1" t="str">
        <f aca="false">IF(AND(R68="WON",ISNUMBER(I68)),AL68+(861-ROW())*0.000001,"")</f>
        <v/>
      </c>
      <c r="AL68" s="1" t="n">
        <f aca="false">IFERROR(I68*1,0)</f>
        <v>113382.4</v>
      </c>
      <c r="AM68" s="1" t="n">
        <f aca="false">N(AM67)+IF(AND(R68="WON",B68&lt;&gt;""),1,0)</f>
        <v>11</v>
      </c>
      <c r="AN68" s="1" t="n">
        <f aca="false">N(AN67)+IF(AND(OR(R68="offered",R68="to be offered",R68="on hold"),B68&lt;&gt;""),1,0)</f>
        <v>31</v>
      </c>
      <c r="AO68" s="1" t="n">
        <f aca="false">N(AO67)+IF(AND(OR(R68="follow-up",R68="Evaluation",R68="tbd",R68="In evaluation"),B68&lt;&gt;""),1,0)</f>
        <v>1</v>
      </c>
      <c r="AP68" s="1" t="n">
        <f aca="false">IF(B68="",0,IF(COUNTIF('⚖️ Wahrscheinlichkeit'!$J$17:$J$24,R68)&gt;0,1,0))</f>
        <v>1</v>
      </c>
      <c r="AQ68" s="1" t="n">
        <f aca="false">IF(B68="",0,IF(AND(ISNUMBER(S68),COUNTIF('⚖️ Wahrscheinlichkeit'!$B$6:$B$11,S68)&gt;0),1,0))</f>
        <v>1</v>
      </c>
      <c r="AR68" s="1" t="n">
        <f aca="false">IF(B68="",0,IF(AND(COUNT(J68:M68)=4,SUM(J68:M68)&gt;0),1,0))</f>
        <v>1</v>
      </c>
      <c r="AS68" s="1" t="n">
        <f aca="false">IF(B68="",0,IF(AND(AF68&lt;&gt;"",AG68&lt;&gt;""),1,0))</f>
        <v>0</v>
      </c>
      <c r="AT68" s="1" t="n">
        <f aca="false">IF(AND(R68="WON",AS68=1,AR68=1),1,0)</f>
        <v>0</v>
      </c>
      <c r="AU68" s="1" t="n">
        <f aca="false">IF(B68="",0,IF(AD68="Alternative – zählt nicht",0,1))</f>
        <v>1</v>
      </c>
      <c r="AV68" s="1" t="n">
        <f aca="false">IF(B68="",0,IF(COUNTIF($B$6:$B$860,B68)&gt;1,1,0))</f>
        <v>0</v>
      </c>
      <c r="AW68" s="1" t="n">
        <v>540</v>
      </c>
      <c r="AX68" s="269" t="str">
        <f aca="false">IF(AY68=1,DATE(YEAR(O68),MONTH(O68),1),"")</f>
        <v/>
      </c>
      <c r="AY68" s="1" t="n">
        <f aca="false">IF(B68="",0,IF(AND(ISNUMBER(O68),ISNUMBER(P68)),IF(P68&gt;=O68,1,0),0))</f>
        <v>0</v>
      </c>
      <c r="AZ68" s="270" t="n">
        <f aca="false">IF(ISNUMBER(Y68),Y68,0)</f>
        <v>104886.586493987</v>
      </c>
      <c r="BA68" s="1" t="str">
        <f aca="false">IF(B68="","",IF(AND(R68="WON",AS68=0),"⛔ Beleg fehlt · ","")&amp;IF(AND(R68="WON",AR68=0),"⛔ Einstand fehlt · ","")&amp;IF(AND(R68&lt;&gt;"WON",AR68=0),"○ Einstand offen · ","")&amp;IF(AND(R68="WON",AB68=""),"⛔ Vertragsart fehlt · ","")&amp;IF(AND(ISNUMBER(O68),ISNUMBER(P68)),IF(P68&lt;O68,"⚠ Ende vor Start · ",""),"")&amp;IF(AND(R68="WON",AY68=0,NOT(AND(ISNUMBER(O68),ISNUMBER(P68)))),"⛔ Zeitraum fehlt · ","")&amp;IF(AND(R68&lt;&gt;"WON",AY68=0,NOT(AND(ISNUMBER(O68),ISNUMBER(P68)))),"○ Zeitraum offen · ",""))</f>
        <v>○ Zeitraum offen · </v>
      </c>
      <c r="BB68" s="1" t="str">
        <f aca="false">IF(B68="","",IF(AND(R68="WON",AS68=0),"⛔ Nachweis fehlt",IF(AND(ISNUMBER(O68),ISNUMBER(P68),P68&lt;O68),"⚠ Ende vor Start",IF(AND(R68="WON",AY68=0),"⛔ Zeitraum fehlt",IF(AR68=0,"○ Einstand offen",IF(AY68=0,"○ Zeitraum offen",IF(R68="WON","✅ belegt","✔ erfasst")))))))</f>
        <v>○ Zeitraum offen</v>
      </c>
    </row>
    <row r="69" customFormat="false" ht="25.5" hidden="false" customHeight="true" outlineLevel="0" collapsed="false">
      <c r="A69" s="258" t="n">
        <v>59</v>
      </c>
      <c r="B69" s="259" t="s">
        <v>440</v>
      </c>
      <c r="C69" s="258" t="s">
        <v>82</v>
      </c>
      <c r="D69" s="260" t="s">
        <v>432</v>
      </c>
      <c r="E69" s="260" t="s">
        <v>413</v>
      </c>
      <c r="F69" s="261" t="s">
        <v>413</v>
      </c>
      <c r="G69" s="258" t="n">
        <f aca="false">IF(B69="","",IF(AY69=1,P69-O69+1,IF(AW69="","",AW69)))</f>
        <v>7</v>
      </c>
      <c r="H69" s="262" t="s">
        <v>100</v>
      </c>
      <c r="I69" s="261" t="n">
        <v>2435.75</v>
      </c>
      <c r="J69" s="261" t="n">
        <f aca="false">897.75+168+70</f>
        <v>1135.75</v>
      </c>
      <c r="K69" s="261" t="n">
        <v>1300</v>
      </c>
      <c r="L69" s="261" t="n">
        <v>0</v>
      </c>
      <c r="M69" s="261" t="n">
        <v>0</v>
      </c>
      <c r="N69" s="261" t="n">
        <v>0</v>
      </c>
      <c r="O69" s="263"/>
      <c r="P69" s="263"/>
      <c r="Q69" s="261" t="n">
        <f aca="false">IF(AND(ISNUMBER(I69),ISNUMBER(S69)),I69*AJ69,IF(OR(I69&lt;&gt;"",S69&lt;&gt;""),"tbd",""))</f>
        <v>0</v>
      </c>
      <c r="R69" s="264" t="s">
        <v>219</v>
      </c>
      <c r="S69" s="265" t="n">
        <v>0.3</v>
      </c>
      <c r="T69" s="259" t="s">
        <v>220</v>
      </c>
      <c r="U69" s="260" t="s">
        <v>283</v>
      </c>
      <c r="V69" s="260" t="s">
        <v>421</v>
      </c>
      <c r="W69" s="258" t="s">
        <v>100</v>
      </c>
      <c r="X69" s="260" t="s">
        <v>456</v>
      </c>
      <c r="Y69" s="261" t="n">
        <f aca="false">IF(ISNUMBER(I69),I69/Netto_Faktor,"")</f>
        <v>2253.23774283071</v>
      </c>
      <c r="Z69" s="261" t="n">
        <f aca="false">IF(B69="","",IF(COUNT(J69:N69)=0,"",SUM(J69:N69)))</f>
        <v>2435.75</v>
      </c>
      <c r="AA69" s="266"/>
      <c r="AB69" s="266"/>
      <c r="AC69" s="266"/>
      <c r="AD69" s="266"/>
      <c r="AE69" s="266"/>
      <c r="AF69" s="266"/>
      <c r="AG69" s="267"/>
      <c r="AH69" s="259" t="str">
        <f aca="false">IF(B69="","",IF(BA69="",IF(R69="WON","✅ belegt &amp; vollständig","✔ vollständig"),LEFT(BA69,LEN(BA69)-3)))</f>
        <v>○ Zeitraum offen</v>
      </c>
      <c r="AI69" s="265" t="n">
        <v>0.5</v>
      </c>
      <c r="AJ69" s="268" t="n">
        <f aca="false">IF(ISNUMBER(S69),IFERROR(LOOKUP(IF(S69&lt;=1,S69,S69/100),'⚖️ Wahrscheinlichkeit'!$B$17:$B$21,'⚖️ Wahrscheinlichkeit'!$D$17:$D$21),0),0)</f>
        <v>0</v>
      </c>
      <c r="AK69" s="1" t="str">
        <f aca="false">IF(AND(R69="WON",ISNUMBER(I69)),AL69+(861-ROW())*0.000001,"")</f>
        <v/>
      </c>
      <c r="AL69" s="1" t="n">
        <f aca="false">IFERROR(I69*1,0)</f>
        <v>2435.75</v>
      </c>
      <c r="AM69" s="1" t="n">
        <f aca="false">N(AM68)+IF(AND(R69="WON",B69&lt;&gt;""),1,0)</f>
        <v>11</v>
      </c>
      <c r="AN69" s="1" t="n">
        <f aca="false">N(AN68)+IF(AND(OR(R69="offered",R69="to be offered",R69="on hold"),B69&lt;&gt;""),1,0)</f>
        <v>32</v>
      </c>
      <c r="AO69" s="1" t="n">
        <f aca="false">N(AO68)+IF(AND(OR(R69="follow-up",R69="Evaluation",R69="tbd",R69="In evaluation"),B69&lt;&gt;""),1,0)</f>
        <v>1</v>
      </c>
      <c r="AP69" s="1" t="n">
        <f aca="false">IF(B69="",0,IF(COUNTIF('⚖️ Wahrscheinlichkeit'!$J$17:$J$24,R69)&gt;0,1,0))</f>
        <v>1</v>
      </c>
      <c r="AQ69" s="1" t="n">
        <f aca="false">IF(B69="",0,IF(AND(ISNUMBER(S69),COUNTIF('⚖️ Wahrscheinlichkeit'!$B$6:$B$11,S69)&gt;0),1,0))</f>
        <v>1</v>
      </c>
      <c r="AR69" s="1" t="n">
        <f aca="false">IF(B69="",0,IF(AND(COUNT(J69:M69)=4,SUM(J69:M69)&gt;0),1,0))</f>
        <v>1</v>
      </c>
      <c r="AS69" s="1" t="n">
        <f aca="false">IF(B69="",0,IF(AND(AF69&lt;&gt;"",AG69&lt;&gt;""),1,0))</f>
        <v>0</v>
      </c>
      <c r="AT69" s="1" t="n">
        <f aca="false">IF(AND(R69="WON",AS69=1,AR69=1),1,0)</f>
        <v>0</v>
      </c>
      <c r="AU69" s="1" t="n">
        <f aca="false">IF(B69="",0,IF(AD69="Alternative – zählt nicht",0,1))</f>
        <v>1</v>
      </c>
      <c r="AV69" s="1" t="n">
        <f aca="false">IF(B69="",0,IF(COUNTIF($B$6:$B$860,B69)&gt;1,1,0))</f>
        <v>1</v>
      </c>
      <c r="AW69" s="1" t="n">
        <v>7</v>
      </c>
      <c r="AX69" s="269" t="str">
        <f aca="false">IF(AY69=1,DATE(YEAR(O69),MONTH(O69),1),"")</f>
        <v/>
      </c>
      <c r="AY69" s="1" t="n">
        <f aca="false">IF(B69="",0,IF(AND(ISNUMBER(O69),ISNUMBER(P69)),IF(P69&gt;=O69,1,0),0))</f>
        <v>0</v>
      </c>
      <c r="AZ69" s="270" t="n">
        <f aca="false">IF(ISNUMBER(Y69),Y69,0)</f>
        <v>2253.23774283071</v>
      </c>
      <c r="BA69" s="1" t="str">
        <f aca="false">IF(B69="","",IF(AND(R69="WON",AS69=0),"⛔ Beleg fehlt · ","")&amp;IF(AND(R69="WON",AR69=0),"⛔ Einstand fehlt · ","")&amp;IF(AND(R69&lt;&gt;"WON",AR69=0),"○ Einstand offen · ","")&amp;IF(AND(R69="WON",AB69=""),"⛔ Vertragsart fehlt · ","")&amp;IF(AND(ISNUMBER(O69),ISNUMBER(P69)),IF(P69&lt;O69,"⚠ Ende vor Start · ",""),"")&amp;IF(AND(R69="WON",AY69=0,NOT(AND(ISNUMBER(O69),ISNUMBER(P69)))),"⛔ Zeitraum fehlt · ","")&amp;IF(AND(R69&lt;&gt;"WON",AY69=0,NOT(AND(ISNUMBER(O69),ISNUMBER(P69)))),"○ Zeitraum offen · ",""))</f>
        <v>○ Zeitraum offen · </v>
      </c>
      <c r="BB69" s="1" t="str">
        <f aca="false">IF(B69="","",IF(AND(R69="WON",AS69=0),"⛔ Nachweis fehlt",IF(AND(ISNUMBER(O69),ISNUMBER(P69),P69&lt;O69),"⚠ Ende vor Start",IF(AND(R69="WON",AY69=0),"⛔ Zeitraum fehlt",IF(AR69=0,"○ Einstand offen",IF(AY69=0,"○ Zeitraum offen",IF(R69="WON","✅ belegt","✔ erfasst")))))))</f>
        <v>○ Zeitraum offen</v>
      </c>
    </row>
    <row r="70" customFormat="false" ht="25.5" hidden="false" customHeight="true" outlineLevel="0" collapsed="false">
      <c r="A70" s="258" t="n">
        <v>60</v>
      </c>
      <c r="B70" s="259" t="s">
        <v>458</v>
      </c>
      <c r="C70" s="258" t="s">
        <v>82</v>
      </c>
      <c r="D70" s="260" t="s">
        <v>451</v>
      </c>
      <c r="E70" s="260" t="s">
        <v>438</v>
      </c>
      <c r="F70" s="261" t="s">
        <v>438</v>
      </c>
      <c r="G70" s="258" t="n">
        <f aca="false">IF(B70="","",IF(AY70=1,P70-O70+1,IF(AW70="","",AW70)))</f>
        <v>670</v>
      </c>
      <c r="H70" s="262" t="s">
        <v>305</v>
      </c>
      <c r="I70" s="261" t="n">
        <f aca="false">227130+21440+20100+2000+1015+957.6+14354.64</f>
        <v>286997.24</v>
      </c>
      <c r="J70" s="261" t="n">
        <f aca="false">227130+21440+20100</f>
        <v>268670</v>
      </c>
      <c r="K70" s="261" t="n">
        <v>2000</v>
      </c>
      <c r="L70" s="261" t="n">
        <v>0</v>
      </c>
      <c r="M70" s="261" t="n">
        <f aca="false">1015+957.6</f>
        <v>1972.6</v>
      </c>
      <c r="N70" s="275"/>
      <c r="O70" s="263"/>
      <c r="P70" s="263"/>
      <c r="Q70" s="261" t="n">
        <f aca="false">IF(AND(ISNUMBER(I70),ISNUMBER(S70)),I70*AJ70,IF(OR(I70&lt;&gt;"",S70&lt;&gt;""),"tbd",""))</f>
        <v>0</v>
      </c>
      <c r="R70" s="264" t="s">
        <v>219</v>
      </c>
      <c r="S70" s="265" t="n">
        <v>0.3</v>
      </c>
      <c r="T70" s="259" t="s">
        <v>459</v>
      </c>
      <c r="U70" s="260" t="s">
        <v>283</v>
      </c>
      <c r="V70" s="260" t="s">
        <v>421</v>
      </c>
      <c r="W70" s="258" t="s">
        <v>101</v>
      </c>
      <c r="X70" s="260" t="s">
        <v>456</v>
      </c>
      <c r="Y70" s="261" t="n">
        <f aca="false">IF(ISNUMBER(I70),I70/Netto_Faktor,"")</f>
        <v>265492.35892692</v>
      </c>
      <c r="Z70" s="261" t="n">
        <f aca="false">IF(B70="","",IF(COUNT(J70:N70)=0,"",SUM(J70:N70)))</f>
        <v>272642.6</v>
      </c>
      <c r="AA70" s="266"/>
      <c r="AB70" s="266"/>
      <c r="AC70" s="266"/>
      <c r="AD70" s="266"/>
      <c r="AE70" s="266"/>
      <c r="AF70" s="266"/>
      <c r="AG70" s="267"/>
      <c r="AH70" s="259" t="str">
        <f aca="false">IF(B70="","",IF(BA70="",IF(R70="WON","✅ belegt &amp; vollständig","✔ vollständig"),LEFT(BA70,LEN(BA70)-3)))</f>
        <v>○ Zeitraum offen</v>
      </c>
      <c r="AI70" s="265" t="n">
        <v>0.5</v>
      </c>
      <c r="AJ70" s="268" t="n">
        <f aca="false">IF(ISNUMBER(S70),IFERROR(LOOKUP(IF(S70&lt;=1,S70,S70/100),'⚖️ Wahrscheinlichkeit'!$B$17:$B$21,'⚖️ Wahrscheinlichkeit'!$D$17:$D$21),0),0)</f>
        <v>0</v>
      </c>
      <c r="AK70" s="1" t="str">
        <f aca="false">IF(AND(R70="WON",ISNUMBER(I70)),AL70+(861-ROW())*0.000001,"")</f>
        <v/>
      </c>
      <c r="AL70" s="1" t="n">
        <f aca="false">IFERROR(I70*1,0)</f>
        <v>286997.24</v>
      </c>
      <c r="AM70" s="1" t="n">
        <f aca="false">N(AM69)+IF(AND(R70="WON",B70&lt;&gt;""),1,0)</f>
        <v>11</v>
      </c>
      <c r="AN70" s="1" t="n">
        <f aca="false">N(AN69)+IF(AND(OR(R70="offered",R70="to be offered",R70="on hold"),B70&lt;&gt;""),1,0)</f>
        <v>33</v>
      </c>
      <c r="AO70" s="1" t="n">
        <f aca="false">N(AO69)+IF(AND(OR(R70="follow-up",R70="Evaluation",R70="tbd",R70="In evaluation"),B70&lt;&gt;""),1,0)</f>
        <v>1</v>
      </c>
      <c r="AP70" s="1" t="n">
        <f aca="false">IF(B70="",0,IF(COUNTIF('⚖️ Wahrscheinlichkeit'!$J$17:$J$24,R70)&gt;0,1,0))</f>
        <v>1</v>
      </c>
      <c r="AQ70" s="1" t="n">
        <f aca="false">IF(B70="",0,IF(AND(ISNUMBER(S70),COUNTIF('⚖️ Wahrscheinlichkeit'!$B$6:$B$11,S70)&gt;0),1,0))</f>
        <v>1</v>
      </c>
      <c r="AR70" s="1" t="n">
        <f aca="false">IF(B70="",0,IF(AND(COUNT(J70:M70)=4,SUM(J70:M70)&gt;0),1,0))</f>
        <v>1</v>
      </c>
      <c r="AS70" s="1" t="n">
        <f aca="false">IF(B70="",0,IF(AND(AF70&lt;&gt;"",AG70&lt;&gt;""),1,0))</f>
        <v>0</v>
      </c>
      <c r="AT70" s="1" t="n">
        <f aca="false">IF(AND(R70="WON",AS70=1,AR70=1),1,0)</f>
        <v>0</v>
      </c>
      <c r="AU70" s="1" t="n">
        <f aca="false">IF(B70="",0,IF(AD70="Alternative – zählt nicht",0,1))</f>
        <v>1</v>
      </c>
      <c r="AV70" s="1" t="n">
        <f aca="false">IF(B70="",0,IF(COUNTIF($B$6:$B$860,B70)&gt;1,1,0))</f>
        <v>0</v>
      </c>
      <c r="AW70" s="1" t="n">
        <v>670</v>
      </c>
      <c r="AX70" s="269" t="str">
        <f aca="false">IF(AY70=1,DATE(YEAR(O70),MONTH(O70),1),"")</f>
        <v/>
      </c>
      <c r="AY70" s="1" t="n">
        <f aca="false">IF(B70="",0,IF(AND(ISNUMBER(O70),ISNUMBER(P70)),IF(P70&gt;=O70,1,0),0))</f>
        <v>0</v>
      </c>
      <c r="AZ70" s="270" t="n">
        <f aca="false">IF(ISNUMBER(Y70),Y70,0)</f>
        <v>265492.35892692</v>
      </c>
      <c r="BA70" s="1" t="str">
        <f aca="false">IF(B70="","",IF(AND(R70="WON",AS70=0),"⛔ Beleg fehlt · ","")&amp;IF(AND(R70="WON",AR70=0),"⛔ Einstand fehlt · ","")&amp;IF(AND(R70&lt;&gt;"WON",AR70=0),"○ Einstand offen · ","")&amp;IF(AND(R70="WON",AB70=""),"⛔ Vertragsart fehlt · ","")&amp;IF(AND(ISNUMBER(O70),ISNUMBER(P70)),IF(P70&lt;O70,"⚠ Ende vor Start · ",""),"")&amp;IF(AND(R70="WON",AY70=0,NOT(AND(ISNUMBER(O70),ISNUMBER(P70)))),"⛔ Zeitraum fehlt · ","")&amp;IF(AND(R70&lt;&gt;"WON",AY70=0,NOT(AND(ISNUMBER(O70),ISNUMBER(P70)))),"○ Zeitraum offen · ",""))</f>
        <v>○ Zeitraum offen · </v>
      </c>
      <c r="BB70" s="1" t="str">
        <f aca="false">IF(B70="","",IF(AND(R70="WON",AS70=0),"⛔ Nachweis fehlt",IF(AND(ISNUMBER(O70),ISNUMBER(P70),P70&lt;O70),"⚠ Ende vor Start",IF(AND(R70="WON",AY70=0),"⛔ Zeitraum fehlt",IF(AR70=0,"○ Einstand offen",IF(AY70=0,"○ Zeitraum offen",IF(R70="WON","✅ belegt","✔ erfasst")))))))</f>
        <v>○ Zeitraum offen</v>
      </c>
    </row>
    <row r="71" customFormat="false" ht="25.5" hidden="false" customHeight="true" outlineLevel="0" collapsed="false">
      <c r="A71" s="258" t="n">
        <v>61</v>
      </c>
      <c r="B71" s="259" t="s">
        <v>460</v>
      </c>
      <c r="C71" s="258" t="s">
        <v>60</v>
      </c>
      <c r="D71" s="260" t="s">
        <v>281</v>
      </c>
      <c r="E71" s="260" t="s">
        <v>392</v>
      </c>
      <c r="F71" s="261" t="s">
        <v>392</v>
      </c>
      <c r="G71" s="258" t="n">
        <f aca="false">IF(B71="","",IF(AY71=1,P71-O71+1,IF(AW71="","",AW71)))</f>
        <v>21</v>
      </c>
      <c r="H71" s="262" t="s">
        <v>100</v>
      </c>
      <c r="I71" s="261" t="n">
        <v>13472.18</v>
      </c>
      <c r="J71" s="261" t="n">
        <f aca="false">7484.4+672+189</f>
        <v>8345.4</v>
      </c>
      <c r="K71" s="261" t="n">
        <v>2400</v>
      </c>
      <c r="L71" s="261" t="n">
        <v>0</v>
      </c>
      <c r="M71" s="261" t="n">
        <f aca="false">484.8+1232.5</f>
        <v>1717.3</v>
      </c>
      <c r="N71" s="275"/>
      <c r="O71" s="263"/>
      <c r="P71" s="263"/>
      <c r="Q71" s="261" t="n">
        <f aca="false">IF(AND(ISNUMBER(I71),ISNUMBER(S71)),I71*AJ71,IF(OR(I71&lt;&gt;"",S71&lt;&gt;""),"tbd",""))</f>
        <v>13472.18</v>
      </c>
      <c r="R71" s="264" t="s">
        <v>244</v>
      </c>
      <c r="S71" s="265" t="n">
        <v>1</v>
      </c>
      <c r="T71" s="259" t="s">
        <v>220</v>
      </c>
      <c r="U71" s="260" t="s">
        <v>283</v>
      </c>
      <c r="V71" s="260" t="s">
        <v>421</v>
      </c>
      <c r="W71" s="258" t="s">
        <v>461</v>
      </c>
      <c r="X71" s="278"/>
      <c r="Y71" s="261" t="n">
        <f aca="false">IF(ISNUMBER(I71),I71/Netto_Faktor,"")</f>
        <v>12462.7012025902</v>
      </c>
      <c r="Z71" s="261" t="n">
        <f aca="false">IF(B71="","",IF(COUNT(J71:N71)=0,"",SUM(J71:N71)))</f>
        <v>12462.7</v>
      </c>
      <c r="AA71" s="266"/>
      <c r="AB71" s="266"/>
      <c r="AC71" s="266"/>
      <c r="AD71" s="266"/>
      <c r="AE71" s="266"/>
      <c r="AF71" s="266"/>
      <c r="AG71" s="267"/>
      <c r="AH71" s="260" t="str">
        <f aca="false">IF(B71="","",IF(BA71="",IF(R71="WON","✅ belegt &amp; vollständig","✔ vollständig"),LEFT(BA71,LEN(BA71)-3)))</f>
        <v>⛔ Beleg fehlt · ⛔ Vertragsart fehlt · ⛔ Zeitraum fehlt</v>
      </c>
      <c r="AI71" s="265" t="n">
        <v>1</v>
      </c>
      <c r="AJ71" s="268" t="n">
        <f aca="false">IF(ISNUMBER(S71),IFERROR(LOOKUP(IF(S71&lt;=1,S71,S71/100),'⚖️ Wahrscheinlichkeit'!$B$17:$B$21,'⚖️ Wahrscheinlichkeit'!$D$17:$D$21),0),0)</f>
        <v>1</v>
      </c>
      <c r="AK71" s="1" t="n">
        <f aca="false">IF(AND(R71="WON",ISNUMBER(I71)),AL71+(861-ROW())*0.000001,"")</f>
        <v>13472.18079</v>
      </c>
      <c r="AL71" s="1" t="n">
        <f aca="false">IFERROR(I71*1,0)</f>
        <v>13472.18</v>
      </c>
      <c r="AM71" s="1" t="n">
        <f aca="false">N(AM70)+IF(AND(R71="WON",B71&lt;&gt;""),1,0)</f>
        <v>12</v>
      </c>
      <c r="AN71" s="1" t="n">
        <f aca="false">N(AN70)+IF(AND(OR(R71="offered",R71="to be offered",R71="on hold"),B71&lt;&gt;""),1,0)</f>
        <v>33</v>
      </c>
      <c r="AO71" s="1" t="n">
        <f aca="false">N(AO70)+IF(AND(OR(R71="follow-up",R71="Evaluation",R71="tbd",R71="In evaluation"),B71&lt;&gt;""),1,0)</f>
        <v>1</v>
      </c>
      <c r="AP71" s="1" t="n">
        <f aca="false">IF(B71="",0,IF(COUNTIF('⚖️ Wahrscheinlichkeit'!$J$17:$J$24,R71)&gt;0,1,0))</f>
        <v>1</v>
      </c>
      <c r="AQ71" s="1" t="n">
        <f aca="false">IF(B71="",0,IF(AND(ISNUMBER(S71),COUNTIF('⚖️ Wahrscheinlichkeit'!$B$6:$B$11,S71)&gt;0),1,0))</f>
        <v>1</v>
      </c>
      <c r="AR71" s="1" t="n">
        <f aca="false">IF(B71="",0,IF(AND(COUNT(J71:M71)=4,SUM(J71:M71)&gt;0),1,0))</f>
        <v>1</v>
      </c>
      <c r="AS71" s="1" t="n">
        <f aca="false">IF(B71="",0,IF(AND(AF71&lt;&gt;"",AG71&lt;&gt;""),1,0))</f>
        <v>0</v>
      </c>
      <c r="AT71" s="1" t="n">
        <f aca="false">IF(AND(R71="WON",AS71=1,AR71=1),1,0)</f>
        <v>0</v>
      </c>
      <c r="AU71" s="1" t="n">
        <f aca="false">IF(B71="",0,IF(AD71="Alternative – zählt nicht",0,1))</f>
        <v>1</v>
      </c>
      <c r="AV71" s="1" t="n">
        <f aca="false">IF(B71="",0,IF(COUNTIF($B$6:$B$860,B71)&gt;1,1,0))</f>
        <v>0</v>
      </c>
      <c r="AW71" s="1" t="n">
        <v>21</v>
      </c>
      <c r="AX71" s="269" t="str">
        <f aca="false">IF(AY71=1,DATE(YEAR(O71),MONTH(O71),1),"")</f>
        <v/>
      </c>
      <c r="AY71" s="1" t="n">
        <f aca="false">IF(B71="",0,IF(AND(ISNUMBER(O71),ISNUMBER(P71)),IF(P71&gt;=O71,1,0),0))</f>
        <v>0</v>
      </c>
      <c r="AZ71" s="270" t="n">
        <f aca="false">IF(ISNUMBER(Y71),Y71,0)</f>
        <v>12462.7012025902</v>
      </c>
      <c r="BA71" s="1" t="str">
        <f aca="false">IF(B71="","",IF(AND(R71="WON",AS71=0),"⛔ Beleg fehlt · ","")&amp;IF(AND(R71="WON",AR71=0),"⛔ Einstand fehlt · ","")&amp;IF(AND(R71&lt;&gt;"WON",AR71=0),"○ Einstand offen · ","")&amp;IF(AND(R71="WON",AB71=""),"⛔ Vertragsart fehlt · ","")&amp;IF(AND(ISNUMBER(O71),ISNUMBER(P71)),IF(P71&lt;O71,"⚠ Ende vor Start · ",""),"")&amp;IF(AND(R71="WON",AY71=0,NOT(AND(ISNUMBER(O71),ISNUMBER(P71)))),"⛔ Zeitraum fehlt · ","")&amp;IF(AND(R71&lt;&gt;"WON",AY71=0,NOT(AND(ISNUMBER(O71),ISNUMBER(P71)))),"○ Zeitraum offen · ",""))</f>
        <v>⛔ Beleg fehlt · ⛔ Vertragsart fehlt · ⛔ Zeitraum fehlt · </v>
      </c>
      <c r="BB71" s="1" t="str">
        <f aca="false">IF(B71="","",IF(AND(R71="WON",AS71=0),"⛔ Nachweis fehlt",IF(AND(ISNUMBER(O71),ISNUMBER(P71),P71&lt;O71),"⚠ Ende vor Start",IF(AND(R71="WON",AY71=0),"⛔ Zeitraum fehlt",IF(AR71=0,"○ Einstand offen",IF(AY71=0,"○ Zeitraum offen",IF(R71="WON","✅ belegt","✔ erfasst")))))))</f>
        <v>⛔ Nachweis fehlt</v>
      </c>
    </row>
    <row r="72" customFormat="false" ht="15" hidden="false" customHeight="true" outlineLevel="0" collapsed="false">
      <c r="A72" s="258"/>
      <c r="B72" s="266"/>
      <c r="C72" s="258"/>
      <c r="D72" s="278"/>
      <c r="E72" s="278"/>
      <c r="F72" s="275"/>
      <c r="G72" s="258" t="str">
        <f aca="false">IF(B72="","",IF(AY72=1,P72-O72+1,IF(AW72="","",AW72)))</f>
        <v/>
      </c>
      <c r="H72" s="262"/>
      <c r="I72" s="275"/>
      <c r="J72" s="275"/>
      <c r="K72" s="275"/>
      <c r="L72" s="275"/>
      <c r="M72" s="275"/>
      <c r="N72" s="275"/>
      <c r="O72" s="263"/>
      <c r="P72" s="263"/>
      <c r="Q72" s="261" t="str">
        <f aca="false">IF(AND(ISNUMBER(I72),ISNUMBER(S72)),I72*AJ72,IF(OR(I72&lt;&gt;"",S72&lt;&gt;""),"tbd",""))</f>
        <v/>
      </c>
      <c r="R72" s="264"/>
      <c r="S72" s="265"/>
      <c r="T72" s="266"/>
      <c r="U72" s="278"/>
      <c r="V72" s="278"/>
      <c r="W72" s="258"/>
      <c r="X72" s="278"/>
      <c r="Y72" s="261" t="str">
        <f aca="false">IF(ISNUMBER(I72),I72/Netto_Faktor,"")</f>
        <v/>
      </c>
      <c r="Z72" s="261" t="str">
        <f aca="false">IF(B72="","",IF(COUNT(J72:N72)=0,"",SUM(J72:N72)))</f>
        <v/>
      </c>
      <c r="AA72" s="266"/>
      <c r="AB72" s="266"/>
      <c r="AC72" s="266"/>
      <c r="AD72" s="266"/>
      <c r="AE72" s="266"/>
      <c r="AF72" s="266"/>
      <c r="AG72" s="267"/>
      <c r="AH72" s="259" t="str">
        <f aca="false">IF(B72="","",IF(BA72="",IF(R72="WON","✅ belegt &amp; vollständig","✔ vollständig"),LEFT(BA72,LEN(BA72)-3)))</f>
        <v/>
      </c>
      <c r="AJ72" s="268" t="n">
        <f aca="false">IF(ISNUMBER(S72),IFERROR(LOOKUP(IF(S72&lt;=1,S72,S72/100),'⚖️ Wahrscheinlichkeit'!$B$17:$B$21,'⚖️ Wahrscheinlichkeit'!$D$17:$D$21),0),0)</f>
        <v>0</v>
      </c>
      <c r="AK72" s="1" t="str">
        <f aca="false">IF(AND(R72="WON",ISNUMBER(I72)),AL72+(861-ROW())*0.000001,"")</f>
        <v/>
      </c>
      <c r="AL72" s="1" t="n">
        <f aca="false">IFERROR(I72*1,0)</f>
        <v>0</v>
      </c>
      <c r="AM72" s="1" t="n">
        <f aca="false">N(AM71)+IF(AND(R72="WON",B72&lt;&gt;""),1,0)</f>
        <v>12</v>
      </c>
      <c r="AN72" s="1" t="n">
        <f aca="false">N(AN71)+IF(AND(OR(R72="offered",R72="to be offered",R72="on hold"),B72&lt;&gt;""),1,0)</f>
        <v>33</v>
      </c>
      <c r="AO72" s="1" t="n">
        <f aca="false">N(AO71)+IF(AND(OR(R72="follow-up",R72="Evaluation",R72="tbd",R72="In evaluation"),B72&lt;&gt;""),1,0)</f>
        <v>1</v>
      </c>
      <c r="AP72" s="1" t="n">
        <f aca="false">IF(B72="",0,IF(COUNTIF('⚖️ Wahrscheinlichkeit'!$J$17:$J$24,R72)&gt;0,1,0))</f>
        <v>0</v>
      </c>
      <c r="AQ72" s="1" t="n">
        <f aca="false">IF(B72="",0,IF(AND(ISNUMBER(S72),COUNTIF('⚖️ Wahrscheinlichkeit'!$B$6:$B$11,S72)&gt;0),1,0))</f>
        <v>0</v>
      </c>
      <c r="AR72" s="1" t="n">
        <f aca="false">IF(B72="",0,IF(AND(COUNT(J72:M72)=4,SUM(J72:M72)&gt;0),1,0))</f>
        <v>0</v>
      </c>
      <c r="AS72" s="1" t="n">
        <f aca="false">IF(B72="",0,IF(AND(AF72&lt;&gt;"",AG72&lt;&gt;""),1,0))</f>
        <v>0</v>
      </c>
      <c r="AT72" s="1" t="n">
        <f aca="false">IF(AND(R72="WON",AS72=1,AR72=1),1,0)</f>
        <v>0</v>
      </c>
      <c r="AU72" s="1" t="n">
        <f aca="false">IF(B72="",0,IF(AD72="Alternative – zählt nicht",0,1))</f>
        <v>0</v>
      </c>
      <c r="AV72" s="1" t="n">
        <f aca="false">IF(B72="",0,IF(COUNTIF($B$6:$B$860,B72)&gt;1,1,0))</f>
        <v>0</v>
      </c>
      <c r="AX72" s="269" t="str">
        <f aca="false">IF(AY72=1,DATE(YEAR(O72),MONTH(O72),1),"")</f>
        <v/>
      </c>
      <c r="AY72" s="1" t="n">
        <f aca="false">IF(B72="",0,IF(AND(ISNUMBER(O72),ISNUMBER(P72)),IF(P72&gt;=O72,1,0),0))</f>
        <v>0</v>
      </c>
      <c r="AZ72" s="1" t="n">
        <f aca="false">IF(ISNUMBER(Y72),Y72,0)</f>
        <v>0</v>
      </c>
      <c r="BA72" s="1" t="str">
        <f aca="false">IF(B72="","",IF(AND(R72="WON",AS72=0),"⛔ Beleg fehlt · ","")&amp;IF(AND(R72="WON",AR72=0),"⛔ Einstand fehlt · ","")&amp;IF(AND(R72&lt;&gt;"WON",AR72=0),"○ Einstand offen · ","")&amp;IF(AND(R72="WON",AB72=""),"⛔ Vertragsart fehlt · ","")&amp;IF(AND(ISNUMBER(O72),ISNUMBER(P72)),IF(P72&lt;O72,"⚠ Ende vor Start · ",""),"")&amp;IF(AND(R72="WON",AY72=0,NOT(AND(ISNUMBER(O72),ISNUMBER(P72)))),"⛔ Zeitraum fehlt · ","")&amp;IF(AND(R72&lt;&gt;"WON",AY72=0,NOT(AND(ISNUMBER(O72),ISNUMBER(P72)))),"○ Zeitraum offen · ",""))</f>
        <v/>
      </c>
      <c r="BB72" s="1" t="str">
        <f aca="false">IF(B72="","",IF(AND(R72="WON",AS72=0),"⛔ Nachweis fehlt",IF(AND(ISNUMBER(O72),ISNUMBER(P72),P72&lt;O72),"⚠ Ende vor Start",IF(AND(R72="WON",AY72=0),"⛔ Zeitraum fehlt",IF(AR72=0,"○ Einstand offen",IF(AY72=0,"○ Zeitraum offen",IF(R72="WON","✅ belegt","✔ erfasst")))))))</f>
        <v/>
      </c>
    </row>
    <row r="73" customFormat="false" ht="15" hidden="false" customHeight="true" outlineLevel="0" collapsed="false">
      <c r="A73" s="258"/>
      <c r="B73" s="266"/>
      <c r="C73" s="258"/>
      <c r="D73" s="278"/>
      <c r="E73" s="278"/>
      <c r="F73" s="275"/>
      <c r="G73" s="258" t="str">
        <f aca="false">IF(B73="","",IF(AY73=1,P73-O73+1,IF(AW73="","",AW73)))</f>
        <v/>
      </c>
      <c r="H73" s="262"/>
      <c r="I73" s="275"/>
      <c r="J73" s="275"/>
      <c r="K73" s="275"/>
      <c r="L73" s="275"/>
      <c r="M73" s="275"/>
      <c r="N73" s="275"/>
      <c r="O73" s="263"/>
      <c r="P73" s="263"/>
      <c r="Q73" s="261" t="str">
        <f aca="false">IF(AND(ISNUMBER(I73),ISNUMBER(S73)),I73*AJ73,IF(OR(I73&lt;&gt;"",S73&lt;&gt;""),"tbd",""))</f>
        <v/>
      </c>
      <c r="R73" s="264"/>
      <c r="S73" s="265"/>
      <c r="T73" s="266"/>
      <c r="U73" s="278"/>
      <c r="V73" s="278"/>
      <c r="W73" s="258"/>
      <c r="X73" s="278"/>
      <c r="Y73" s="261" t="str">
        <f aca="false">IF(ISNUMBER(I73),I73/Netto_Faktor,"")</f>
        <v/>
      </c>
      <c r="Z73" s="261" t="str">
        <f aca="false">IF(B73="","",IF(COUNT(J73:N73)=0,"",SUM(J73:N73)))</f>
        <v/>
      </c>
      <c r="AA73" s="266"/>
      <c r="AB73" s="266"/>
      <c r="AC73" s="266"/>
      <c r="AD73" s="266"/>
      <c r="AE73" s="266"/>
      <c r="AF73" s="266"/>
      <c r="AG73" s="267"/>
      <c r="AH73" s="259" t="str">
        <f aca="false">IF(B73="","",IF(BA73="",IF(R73="WON","✅ belegt &amp; vollständig","✔ vollständig"),LEFT(BA73,LEN(BA73)-3)))</f>
        <v/>
      </c>
      <c r="AJ73" s="268" t="n">
        <f aca="false">IF(ISNUMBER(S73),IFERROR(LOOKUP(IF(S73&lt;=1,S73,S73/100),'⚖️ Wahrscheinlichkeit'!$B$17:$B$21,'⚖️ Wahrscheinlichkeit'!$D$17:$D$21),0),0)</f>
        <v>0</v>
      </c>
      <c r="AK73" s="1" t="str">
        <f aca="false">IF(AND(R73="WON",ISNUMBER(I73)),AL73+(861-ROW())*0.000001,"")</f>
        <v/>
      </c>
      <c r="AL73" s="1" t="n">
        <f aca="false">IFERROR(I73*1,0)</f>
        <v>0</v>
      </c>
      <c r="AM73" s="1" t="n">
        <f aca="false">N(AM72)+IF(AND(R73="WON",B73&lt;&gt;""),1,0)</f>
        <v>12</v>
      </c>
      <c r="AN73" s="1" t="n">
        <f aca="false">N(AN72)+IF(AND(OR(R73="offered",R73="to be offered",R73="on hold"),B73&lt;&gt;""),1,0)</f>
        <v>33</v>
      </c>
      <c r="AO73" s="1" t="n">
        <f aca="false">N(AO72)+IF(AND(OR(R73="follow-up",R73="Evaluation",R73="tbd",R73="In evaluation"),B73&lt;&gt;""),1,0)</f>
        <v>1</v>
      </c>
      <c r="AP73" s="1" t="n">
        <f aca="false">IF(B73="",0,IF(COUNTIF('⚖️ Wahrscheinlichkeit'!$J$17:$J$24,R73)&gt;0,1,0))</f>
        <v>0</v>
      </c>
      <c r="AQ73" s="1" t="n">
        <f aca="false">IF(B73="",0,IF(AND(ISNUMBER(S73),COUNTIF('⚖️ Wahrscheinlichkeit'!$B$6:$B$11,S73)&gt;0),1,0))</f>
        <v>0</v>
      </c>
      <c r="AR73" s="1" t="n">
        <f aca="false">IF(B73="",0,IF(AND(COUNT(J73:M73)=4,SUM(J73:M73)&gt;0),1,0))</f>
        <v>0</v>
      </c>
      <c r="AS73" s="1" t="n">
        <f aca="false">IF(B73="",0,IF(AND(AF73&lt;&gt;"",AG73&lt;&gt;""),1,0))</f>
        <v>0</v>
      </c>
      <c r="AT73" s="1" t="n">
        <f aca="false">IF(AND(R73="WON",AS73=1,AR73=1),1,0)</f>
        <v>0</v>
      </c>
      <c r="AU73" s="1" t="n">
        <f aca="false">IF(B73="",0,IF(AD73="Alternative – zählt nicht",0,1))</f>
        <v>0</v>
      </c>
      <c r="AV73" s="1" t="n">
        <f aca="false">IF(B73="",0,IF(COUNTIF($B$6:$B$860,B73)&gt;1,1,0))</f>
        <v>0</v>
      </c>
      <c r="AX73" s="269" t="str">
        <f aca="false">IF(AY73=1,DATE(YEAR(O73),MONTH(O73),1),"")</f>
        <v/>
      </c>
      <c r="AY73" s="1" t="n">
        <f aca="false">IF(B73="",0,IF(AND(ISNUMBER(O73),ISNUMBER(P73)),IF(P73&gt;=O73,1,0),0))</f>
        <v>0</v>
      </c>
      <c r="AZ73" s="1" t="n">
        <f aca="false">IF(ISNUMBER(Y73),Y73,0)</f>
        <v>0</v>
      </c>
      <c r="BA73" s="1" t="str">
        <f aca="false">IF(B73="","",IF(AND(R73="WON",AS73=0),"⛔ Beleg fehlt · ","")&amp;IF(AND(R73="WON",AR73=0),"⛔ Einstand fehlt · ","")&amp;IF(AND(R73&lt;&gt;"WON",AR73=0),"○ Einstand offen · ","")&amp;IF(AND(R73="WON",AB73=""),"⛔ Vertragsart fehlt · ","")&amp;IF(AND(ISNUMBER(O73),ISNUMBER(P73)),IF(P73&lt;O73,"⚠ Ende vor Start · ",""),"")&amp;IF(AND(R73="WON",AY73=0,NOT(AND(ISNUMBER(O73),ISNUMBER(P73)))),"⛔ Zeitraum fehlt · ","")&amp;IF(AND(R73&lt;&gt;"WON",AY73=0,NOT(AND(ISNUMBER(O73),ISNUMBER(P73)))),"○ Zeitraum offen · ",""))</f>
        <v/>
      </c>
      <c r="BB73" s="1" t="str">
        <f aca="false">IF(B73="","",IF(AND(R73="WON",AS73=0),"⛔ Nachweis fehlt",IF(AND(ISNUMBER(O73),ISNUMBER(P73),P73&lt;O73),"⚠ Ende vor Start",IF(AND(R73="WON",AY73=0),"⛔ Zeitraum fehlt",IF(AR73=0,"○ Einstand offen",IF(AY73=0,"○ Zeitraum offen",IF(R73="WON","✅ belegt","✔ erfasst")))))))</f>
        <v/>
      </c>
    </row>
    <row r="74" customFormat="false" ht="15" hidden="false" customHeight="true" outlineLevel="0" collapsed="false">
      <c r="A74" s="258"/>
      <c r="B74" s="266"/>
      <c r="C74" s="258"/>
      <c r="D74" s="278"/>
      <c r="E74" s="278"/>
      <c r="F74" s="275"/>
      <c r="G74" s="258" t="str">
        <f aca="false">IF(B74="","",IF(AY74=1,P74-O74+1,IF(AW74="","",AW74)))</f>
        <v/>
      </c>
      <c r="H74" s="262"/>
      <c r="I74" s="275"/>
      <c r="J74" s="275"/>
      <c r="K74" s="275"/>
      <c r="L74" s="275"/>
      <c r="M74" s="275"/>
      <c r="N74" s="275"/>
      <c r="O74" s="263"/>
      <c r="P74" s="263"/>
      <c r="Q74" s="261" t="str">
        <f aca="false">IF(AND(ISNUMBER(I74),ISNUMBER(S74)),I74*AJ74,IF(OR(I74&lt;&gt;"",S74&lt;&gt;""),"tbd",""))</f>
        <v/>
      </c>
      <c r="R74" s="264"/>
      <c r="S74" s="265"/>
      <c r="T74" s="266"/>
      <c r="U74" s="278"/>
      <c r="V74" s="278"/>
      <c r="W74" s="258"/>
      <c r="X74" s="278"/>
      <c r="Y74" s="261" t="str">
        <f aca="false">IF(ISNUMBER(I74),I74/Netto_Faktor,"")</f>
        <v/>
      </c>
      <c r="Z74" s="261" t="str">
        <f aca="false">IF(B74="","",IF(COUNT(J74:N74)=0,"",SUM(J74:N74)))</f>
        <v/>
      </c>
      <c r="AA74" s="266"/>
      <c r="AB74" s="266"/>
      <c r="AC74" s="266"/>
      <c r="AD74" s="266"/>
      <c r="AE74" s="266"/>
      <c r="AF74" s="266"/>
      <c r="AG74" s="267"/>
      <c r="AH74" s="259" t="str">
        <f aca="false">IF(B74="","",IF(BA74="",IF(R74="WON","✅ belegt &amp; vollständig","✔ vollständig"),LEFT(BA74,LEN(BA74)-3)))</f>
        <v/>
      </c>
      <c r="AJ74" s="268" t="n">
        <f aca="false">IF(ISNUMBER(S74),IFERROR(LOOKUP(IF(S74&lt;=1,S74,S74/100),'⚖️ Wahrscheinlichkeit'!$B$17:$B$21,'⚖️ Wahrscheinlichkeit'!$D$17:$D$21),0),0)</f>
        <v>0</v>
      </c>
      <c r="AK74" s="1" t="str">
        <f aca="false">IF(AND(R74="WON",ISNUMBER(I74)),AL74+(861-ROW())*0.000001,"")</f>
        <v/>
      </c>
      <c r="AL74" s="1" t="n">
        <f aca="false">IFERROR(I74*1,0)</f>
        <v>0</v>
      </c>
      <c r="AM74" s="1" t="n">
        <f aca="false">N(AM73)+IF(AND(R74="WON",B74&lt;&gt;""),1,0)</f>
        <v>12</v>
      </c>
      <c r="AN74" s="1" t="n">
        <f aca="false">N(AN73)+IF(AND(OR(R74="offered",R74="to be offered",R74="on hold"),B74&lt;&gt;""),1,0)</f>
        <v>33</v>
      </c>
      <c r="AO74" s="1" t="n">
        <f aca="false">N(AO73)+IF(AND(OR(R74="follow-up",R74="Evaluation",R74="tbd",R74="In evaluation"),B74&lt;&gt;""),1,0)</f>
        <v>1</v>
      </c>
      <c r="AP74" s="1" t="n">
        <f aca="false">IF(B74="",0,IF(COUNTIF('⚖️ Wahrscheinlichkeit'!$J$17:$J$24,R74)&gt;0,1,0))</f>
        <v>0</v>
      </c>
      <c r="AQ74" s="1" t="n">
        <f aca="false">IF(B74="",0,IF(AND(ISNUMBER(S74),COUNTIF('⚖️ Wahrscheinlichkeit'!$B$6:$B$11,S74)&gt;0),1,0))</f>
        <v>0</v>
      </c>
      <c r="AR74" s="1" t="n">
        <f aca="false">IF(B74="",0,IF(AND(COUNT(J74:M74)=4,SUM(J74:M74)&gt;0),1,0))</f>
        <v>0</v>
      </c>
      <c r="AS74" s="1" t="n">
        <f aca="false">IF(B74="",0,IF(AND(AF74&lt;&gt;"",AG74&lt;&gt;""),1,0))</f>
        <v>0</v>
      </c>
      <c r="AT74" s="1" t="n">
        <f aca="false">IF(AND(R74="WON",AS74=1,AR74=1),1,0)</f>
        <v>0</v>
      </c>
      <c r="AU74" s="1" t="n">
        <f aca="false">IF(B74="",0,IF(AD74="Alternative – zählt nicht",0,1))</f>
        <v>0</v>
      </c>
      <c r="AV74" s="1" t="n">
        <f aca="false">IF(B74="",0,IF(COUNTIF($B$6:$B$860,B74)&gt;1,1,0))</f>
        <v>0</v>
      </c>
      <c r="AX74" s="269" t="str">
        <f aca="false">IF(AY74=1,DATE(YEAR(O74),MONTH(O74),1),"")</f>
        <v/>
      </c>
      <c r="AY74" s="1" t="n">
        <f aca="false">IF(B74="",0,IF(AND(ISNUMBER(O74),ISNUMBER(P74)),IF(P74&gt;=O74,1,0),0))</f>
        <v>0</v>
      </c>
      <c r="AZ74" s="1" t="n">
        <f aca="false">IF(ISNUMBER(Y74),Y74,0)</f>
        <v>0</v>
      </c>
      <c r="BA74" s="1" t="str">
        <f aca="false">IF(B74="","",IF(AND(R74="WON",AS74=0),"⛔ Beleg fehlt · ","")&amp;IF(AND(R74="WON",AR74=0),"⛔ Einstand fehlt · ","")&amp;IF(AND(R74&lt;&gt;"WON",AR74=0),"○ Einstand offen · ","")&amp;IF(AND(R74="WON",AB74=""),"⛔ Vertragsart fehlt · ","")&amp;IF(AND(ISNUMBER(O74),ISNUMBER(P74)),IF(P74&lt;O74,"⚠ Ende vor Start · ",""),"")&amp;IF(AND(R74="WON",AY74=0,NOT(AND(ISNUMBER(O74),ISNUMBER(P74)))),"⛔ Zeitraum fehlt · ","")&amp;IF(AND(R74&lt;&gt;"WON",AY74=0,NOT(AND(ISNUMBER(O74),ISNUMBER(P74)))),"○ Zeitraum offen · ",""))</f>
        <v/>
      </c>
      <c r="BB74" s="1" t="str">
        <f aca="false">IF(B74="","",IF(AND(R74="WON",AS74=0),"⛔ Nachweis fehlt",IF(AND(ISNUMBER(O74),ISNUMBER(P74),P74&lt;O74),"⚠ Ende vor Start",IF(AND(R74="WON",AY74=0),"⛔ Zeitraum fehlt",IF(AR74=0,"○ Einstand offen",IF(AY74=0,"○ Zeitraum offen",IF(R74="WON","✅ belegt","✔ erfasst")))))))</f>
        <v/>
      </c>
    </row>
    <row r="75" customFormat="false" ht="15" hidden="false" customHeight="true" outlineLevel="0" collapsed="false">
      <c r="A75" s="258"/>
      <c r="B75" s="266"/>
      <c r="C75" s="258"/>
      <c r="D75" s="278"/>
      <c r="E75" s="278"/>
      <c r="F75" s="275"/>
      <c r="G75" s="258" t="str">
        <f aca="false">IF(B75="","",IF(AY75=1,P75-O75+1,IF(AW75="","",AW75)))</f>
        <v/>
      </c>
      <c r="H75" s="262"/>
      <c r="I75" s="275"/>
      <c r="J75" s="275"/>
      <c r="K75" s="275"/>
      <c r="L75" s="275"/>
      <c r="M75" s="275"/>
      <c r="N75" s="275"/>
      <c r="O75" s="263"/>
      <c r="P75" s="263"/>
      <c r="Q75" s="261" t="str">
        <f aca="false">IF(AND(ISNUMBER(I75),ISNUMBER(S75)),I75*AJ75,IF(OR(I75&lt;&gt;"",S75&lt;&gt;""),"tbd",""))</f>
        <v/>
      </c>
      <c r="R75" s="264"/>
      <c r="S75" s="265"/>
      <c r="T75" s="266"/>
      <c r="U75" s="278"/>
      <c r="V75" s="278"/>
      <c r="W75" s="258"/>
      <c r="X75" s="278"/>
      <c r="Y75" s="261" t="str">
        <f aca="false">IF(ISNUMBER(I75),I75/Netto_Faktor,"")</f>
        <v/>
      </c>
      <c r="Z75" s="261" t="str">
        <f aca="false">IF(B75="","",IF(COUNT(J75:N75)=0,"",SUM(J75:N75)))</f>
        <v/>
      </c>
      <c r="AA75" s="266"/>
      <c r="AB75" s="266"/>
      <c r="AC75" s="266"/>
      <c r="AD75" s="266"/>
      <c r="AE75" s="266"/>
      <c r="AF75" s="266"/>
      <c r="AG75" s="267"/>
      <c r="AH75" s="259" t="str">
        <f aca="false">IF(B75="","",IF(BA75="",IF(R75="WON","✅ belegt &amp; vollständig","✔ vollständig"),LEFT(BA75,LEN(BA75)-3)))</f>
        <v/>
      </c>
      <c r="AJ75" s="268" t="n">
        <f aca="false">IF(ISNUMBER(S75),IFERROR(LOOKUP(IF(S75&lt;=1,S75,S75/100),'⚖️ Wahrscheinlichkeit'!$B$17:$B$21,'⚖️ Wahrscheinlichkeit'!$D$17:$D$21),0),0)</f>
        <v>0</v>
      </c>
      <c r="AK75" s="1" t="str">
        <f aca="false">IF(AND(R75="WON",ISNUMBER(I75)),AL75+(861-ROW())*0.000001,"")</f>
        <v/>
      </c>
      <c r="AL75" s="1" t="n">
        <f aca="false">IFERROR(I75*1,0)</f>
        <v>0</v>
      </c>
      <c r="AM75" s="1" t="n">
        <f aca="false">N(AM74)+IF(AND(R75="WON",B75&lt;&gt;""),1,0)</f>
        <v>12</v>
      </c>
      <c r="AN75" s="1" t="n">
        <f aca="false">N(AN74)+IF(AND(OR(R75="offered",R75="to be offered",R75="on hold"),B75&lt;&gt;""),1,0)</f>
        <v>33</v>
      </c>
      <c r="AO75" s="1" t="n">
        <f aca="false">N(AO74)+IF(AND(OR(R75="follow-up",R75="Evaluation",R75="tbd",R75="In evaluation"),B75&lt;&gt;""),1,0)</f>
        <v>1</v>
      </c>
      <c r="AP75" s="1" t="n">
        <f aca="false">IF(B75="",0,IF(COUNTIF('⚖️ Wahrscheinlichkeit'!$J$17:$J$24,R75)&gt;0,1,0))</f>
        <v>0</v>
      </c>
      <c r="AQ75" s="1" t="n">
        <f aca="false">IF(B75="",0,IF(AND(ISNUMBER(S75),COUNTIF('⚖️ Wahrscheinlichkeit'!$B$6:$B$11,S75)&gt;0),1,0))</f>
        <v>0</v>
      </c>
      <c r="AR75" s="1" t="n">
        <f aca="false">IF(B75="",0,IF(AND(COUNT(J75:M75)=4,SUM(J75:M75)&gt;0),1,0))</f>
        <v>0</v>
      </c>
      <c r="AS75" s="1" t="n">
        <f aca="false">IF(B75="",0,IF(AND(AF75&lt;&gt;"",AG75&lt;&gt;""),1,0))</f>
        <v>0</v>
      </c>
      <c r="AT75" s="1" t="n">
        <f aca="false">IF(AND(R75="WON",AS75=1,AR75=1),1,0)</f>
        <v>0</v>
      </c>
      <c r="AU75" s="1" t="n">
        <f aca="false">IF(B75="",0,IF(AD75="Alternative – zählt nicht",0,1))</f>
        <v>0</v>
      </c>
      <c r="AV75" s="1" t="n">
        <f aca="false">IF(B75="",0,IF(COUNTIF($B$6:$B$860,B75)&gt;1,1,0))</f>
        <v>0</v>
      </c>
      <c r="AX75" s="269" t="str">
        <f aca="false">IF(AY75=1,DATE(YEAR(O75),MONTH(O75),1),"")</f>
        <v/>
      </c>
      <c r="AY75" s="1" t="n">
        <f aca="false">IF(B75="",0,IF(AND(ISNUMBER(O75),ISNUMBER(P75)),IF(P75&gt;=O75,1,0),0))</f>
        <v>0</v>
      </c>
      <c r="AZ75" s="1" t="n">
        <f aca="false">IF(ISNUMBER(Y75),Y75,0)</f>
        <v>0</v>
      </c>
      <c r="BA75" s="1" t="str">
        <f aca="false">IF(B75="","",IF(AND(R75="WON",AS75=0),"⛔ Beleg fehlt · ","")&amp;IF(AND(R75="WON",AR75=0),"⛔ Einstand fehlt · ","")&amp;IF(AND(R75&lt;&gt;"WON",AR75=0),"○ Einstand offen · ","")&amp;IF(AND(R75="WON",AB75=""),"⛔ Vertragsart fehlt · ","")&amp;IF(AND(ISNUMBER(O75),ISNUMBER(P75)),IF(P75&lt;O75,"⚠ Ende vor Start · ",""),"")&amp;IF(AND(R75="WON",AY75=0,NOT(AND(ISNUMBER(O75),ISNUMBER(P75)))),"⛔ Zeitraum fehlt · ","")&amp;IF(AND(R75&lt;&gt;"WON",AY75=0,NOT(AND(ISNUMBER(O75),ISNUMBER(P75)))),"○ Zeitraum offen · ",""))</f>
        <v/>
      </c>
      <c r="BB75" s="1" t="str">
        <f aca="false">IF(B75="","",IF(AND(R75="WON",AS75=0),"⛔ Nachweis fehlt",IF(AND(ISNUMBER(O75),ISNUMBER(P75),P75&lt;O75),"⚠ Ende vor Start",IF(AND(R75="WON",AY75=0),"⛔ Zeitraum fehlt",IF(AR75=0,"○ Einstand offen",IF(AY75=0,"○ Zeitraum offen",IF(R75="WON","✅ belegt","✔ erfasst")))))))</f>
        <v/>
      </c>
    </row>
    <row r="76" customFormat="false" ht="15" hidden="false" customHeight="true" outlineLevel="0" collapsed="false">
      <c r="A76" s="258"/>
      <c r="B76" s="266"/>
      <c r="C76" s="258"/>
      <c r="D76" s="278"/>
      <c r="E76" s="278"/>
      <c r="F76" s="275"/>
      <c r="G76" s="258" t="str">
        <f aca="false">IF(B76="","",IF(AY76=1,P76-O76+1,IF(AW76="","",AW76)))</f>
        <v/>
      </c>
      <c r="H76" s="262"/>
      <c r="I76" s="275"/>
      <c r="J76" s="275"/>
      <c r="K76" s="275"/>
      <c r="L76" s="275"/>
      <c r="M76" s="275"/>
      <c r="N76" s="275"/>
      <c r="O76" s="263"/>
      <c r="P76" s="263"/>
      <c r="Q76" s="261" t="str">
        <f aca="false">IF(AND(ISNUMBER(I76),ISNUMBER(S76)),I76*AJ76,IF(OR(I76&lt;&gt;"",S76&lt;&gt;""),"tbd",""))</f>
        <v/>
      </c>
      <c r="R76" s="264"/>
      <c r="S76" s="265"/>
      <c r="T76" s="266"/>
      <c r="U76" s="278"/>
      <c r="V76" s="278"/>
      <c r="W76" s="258"/>
      <c r="X76" s="278"/>
      <c r="Y76" s="261" t="str">
        <f aca="false">IF(ISNUMBER(I76),I76/Netto_Faktor,"")</f>
        <v/>
      </c>
      <c r="Z76" s="261" t="str">
        <f aca="false">IF(B76="","",IF(COUNT(J76:N76)=0,"",SUM(J76:N76)))</f>
        <v/>
      </c>
      <c r="AA76" s="266"/>
      <c r="AB76" s="266"/>
      <c r="AC76" s="266"/>
      <c r="AD76" s="266"/>
      <c r="AE76" s="266"/>
      <c r="AF76" s="266"/>
      <c r="AG76" s="267"/>
      <c r="AH76" s="259" t="str">
        <f aca="false">IF(B76="","",IF(BA76="",IF(R76="WON","✅ belegt &amp; vollständig","✔ vollständig"),LEFT(BA76,LEN(BA76)-3)))</f>
        <v/>
      </c>
      <c r="AJ76" s="268" t="n">
        <f aca="false">IF(ISNUMBER(S76),IFERROR(LOOKUP(IF(S76&lt;=1,S76,S76/100),'⚖️ Wahrscheinlichkeit'!$B$17:$B$21,'⚖️ Wahrscheinlichkeit'!$D$17:$D$21),0),0)</f>
        <v>0</v>
      </c>
      <c r="AK76" s="1" t="str">
        <f aca="false">IF(AND(R76="WON",ISNUMBER(I76)),AL76+(861-ROW())*0.000001,"")</f>
        <v/>
      </c>
      <c r="AL76" s="1" t="n">
        <f aca="false">IFERROR(I76*1,0)</f>
        <v>0</v>
      </c>
      <c r="AM76" s="1" t="n">
        <f aca="false">N(AM75)+IF(AND(R76="WON",B76&lt;&gt;""),1,0)</f>
        <v>12</v>
      </c>
      <c r="AN76" s="1" t="n">
        <f aca="false">N(AN75)+IF(AND(OR(R76="offered",R76="to be offered",R76="on hold"),B76&lt;&gt;""),1,0)</f>
        <v>33</v>
      </c>
      <c r="AO76" s="1" t="n">
        <f aca="false">N(AO75)+IF(AND(OR(R76="follow-up",R76="Evaluation",R76="tbd",R76="In evaluation"),B76&lt;&gt;""),1,0)</f>
        <v>1</v>
      </c>
      <c r="AP76" s="1" t="n">
        <f aca="false">IF(B76="",0,IF(COUNTIF('⚖️ Wahrscheinlichkeit'!$J$17:$J$24,R76)&gt;0,1,0))</f>
        <v>0</v>
      </c>
      <c r="AQ76" s="1" t="n">
        <f aca="false">IF(B76="",0,IF(AND(ISNUMBER(S76),COUNTIF('⚖️ Wahrscheinlichkeit'!$B$6:$B$11,S76)&gt;0),1,0))</f>
        <v>0</v>
      </c>
      <c r="AR76" s="1" t="n">
        <f aca="false">IF(B76="",0,IF(AND(COUNT(J76:M76)=4,SUM(J76:M76)&gt;0),1,0))</f>
        <v>0</v>
      </c>
      <c r="AS76" s="1" t="n">
        <f aca="false">IF(B76="",0,IF(AND(AF76&lt;&gt;"",AG76&lt;&gt;""),1,0))</f>
        <v>0</v>
      </c>
      <c r="AT76" s="1" t="n">
        <f aca="false">IF(AND(R76="WON",AS76=1,AR76=1),1,0)</f>
        <v>0</v>
      </c>
      <c r="AU76" s="1" t="n">
        <f aca="false">IF(B76="",0,IF(AD76="Alternative – zählt nicht",0,1))</f>
        <v>0</v>
      </c>
      <c r="AV76" s="1" t="n">
        <f aca="false">IF(B76="",0,IF(COUNTIF($B$6:$B$860,B76)&gt;1,1,0))</f>
        <v>0</v>
      </c>
      <c r="AX76" s="269" t="str">
        <f aca="false">IF(AY76=1,DATE(YEAR(O76),MONTH(O76),1),"")</f>
        <v/>
      </c>
      <c r="AY76" s="1" t="n">
        <f aca="false">IF(B76="",0,IF(AND(ISNUMBER(O76),ISNUMBER(P76)),IF(P76&gt;=O76,1,0),0))</f>
        <v>0</v>
      </c>
      <c r="AZ76" s="1" t="n">
        <f aca="false">IF(ISNUMBER(Y76),Y76,0)</f>
        <v>0</v>
      </c>
      <c r="BA76" s="1" t="str">
        <f aca="false">IF(B76="","",IF(AND(R76="WON",AS76=0),"⛔ Beleg fehlt · ","")&amp;IF(AND(R76="WON",AR76=0),"⛔ Einstand fehlt · ","")&amp;IF(AND(R76&lt;&gt;"WON",AR76=0),"○ Einstand offen · ","")&amp;IF(AND(R76="WON",AB76=""),"⛔ Vertragsart fehlt · ","")&amp;IF(AND(ISNUMBER(O76),ISNUMBER(P76)),IF(P76&lt;O76,"⚠ Ende vor Start · ",""),"")&amp;IF(AND(R76="WON",AY76=0,NOT(AND(ISNUMBER(O76),ISNUMBER(P76)))),"⛔ Zeitraum fehlt · ","")&amp;IF(AND(R76&lt;&gt;"WON",AY76=0,NOT(AND(ISNUMBER(O76),ISNUMBER(P76)))),"○ Zeitraum offen · ",""))</f>
        <v/>
      </c>
      <c r="BB76" s="1" t="str">
        <f aca="false">IF(B76="","",IF(AND(R76="WON",AS76=0),"⛔ Nachweis fehlt",IF(AND(ISNUMBER(O76),ISNUMBER(P76),P76&lt;O76),"⚠ Ende vor Start",IF(AND(R76="WON",AY76=0),"⛔ Zeitraum fehlt",IF(AR76=0,"○ Einstand offen",IF(AY76=0,"○ Zeitraum offen",IF(R76="WON","✅ belegt","✔ erfasst")))))))</f>
        <v/>
      </c>
    </row>
    <row r="77" customFormat="false" ht="15" hidden="false" customHeight="true" outlineLevel="0" collapsed="false">
      <c r="A77" s="258"/>
      <c r="B77" s="266"/>
      <c r="C77" s="258"/>
      <c r="D77" s="278"/>
      <c r="E77" s="278"/>
      <c r="F77" s="275"/>
      <c r="G77" s="258" t="str">
        <f aca="false">IF(B77="","",IF(AY77=1,P77-O77+1,IF(AW77="","",AW77)))</f>
        <v/>
      </c>
      <c r="H77" s="262"/>
      <c r="I77" s="275"/>
      <c r="J77" s="275"/>
      <c r="K77" s="275"/>
      <c r="L77" s="275"/>
      <c r="M77" s="275"/>
      <c r="N77" s="275"/>
      <c r="O77" s="263"/>
      <c r="P77" s="263"/>
      <c r="Q77" s="261" t="str">
        <f aca="false">IF(AND(ISNUMBER(I77),ISNUMBER(S77)),I77*AJ77,IF(OR(I77&lt;&gt;"",S77&lt;&gt;""),"tbd",""))</f>
        <v/>
      </c>
      <c r="R77" s="264"/>
      <c r="S77" s="265"/>
      <c r="T77" s="266"/>
      <c r="U77" s="278"/>
      <c r="V77" s="278"/>
      <c r="W77" s="258"/>
      <c r="X77" s="278"/>
      <c r="Y77" s="261" t="str">
        <f aca="false">IF(ISNUMBER(I77),I77/Netto_Faktor,"")</f>
        <v/>
      </c>
      <c r="Z77" s="261" t="str">
        <f aca="false">IF(B77="","",IF(COUNT(J77:N77)=0,"",SUM(J77:N77)))</f>
        <v/>
      </c>
      <c r="AA77" s="266"/>
      <c r="AB77" s="266"/>
      <c r="AC77" s="266"/>
      <c r="AD77" s="266"/>
      <c r="AE77" s="266"/>
      <c r="AF77" s="266"/>
      <c r="AG77" s="267"/>
      <c r="AH77" s="259" t="str">
        <f aca="false">IF(B77="","",IF(BA77="",IF(R77="WON","✅ belegt &amp; vollständig","✔ vollständig"),LEFT(BA77,LEN(BA77)-3)))</f>
        <v/>
      </c>
      <c r="AJ77" s="268" t="n">
        <f aca="false">IF(ISNUMBER(S77),IFERROR(LOOKUP(IF(S77&lt;=1,S77,S77/100),'⚖️ Wahrscheinlichkeit'!$B$17:$B$21,'⚖️ Wahrscheinlichkeit'!$D$17:$D$21),0),0)</f>
        <v>0</v>
      </c>
      <c r="AK77" s="1" t="str">
        <f aca="false">IF(AND(R77="WON",ISNUMBER(I77)),AL77+(861-ROW())*0.000001,"")</f>
        <v/>
      </c>
      <c r="AL77" s="1" t="n">
        <f aca="false">IFERROR(I77*1,0)</f>
        <v>0</v>
      </c>
      <c r="AM77" s="1" t="n">
        <f aca="false">N(AM76)+IF(AND(R77="WON",B77&lt;&gt;""),1,0)</f>
        <v>12</v>
      </c>
      <c r="AN77" s="1" t="n">
        <f aca="false">N(AN76)+IF(AND(OR(R77="offered",R77="to be offered",R77="on hold"),B77&lt;&gt;""),1,0)</f>
        <v>33</v>
      </c>
      <c r="AO77" s="1" t="n">
        <f aca="false">N(AO76)+IF(AND(OR(R77="follow-up",R77="Evaluation",R77="tbd",R77="In evaluation"),B77&lt;&gt;""),1,0)</f>
        <v>1</v>
      </c>
      <c r="AP77" s="1" t="n">
        <f aca="false">IF(B77="",0,IF(COUNTIF('⚖️ Wahrscheinlichkeit'!$J$17:$J$24,R77)&gt;0,1,0))</f>
        <v>0</v>
      </c>
      <c r="AQ77" s="1" t="n">
        <f aca="false">IF(B77="",0,IF(AND(ISNUMBER(S77),COUNTIF('⚖️ Wahrscheinlichkeit'!$B$6:$B$11,S77)&gt;0),1,0))</f>
        <v>0</v>
      </c>
      <c r="AR77" s="1" t="n">
        <f aca="false">IF(B77="",0,IF(AND(COUNT(J77:M77)=4,SUM(J77:M77)&gt;0),1,0))</f>
        <v>0</v>
      </c>
      <c r="AS77" s="1" t="n">
        <f aca="false">IF(B77="",0,IF(AND(AF77&lt;&gt;"",AG77&lt;&gt;""),1,0))</f>
        <v>0</v>
      </c>
      <c r="AT77" s="1" t="n">
        <f aca="false">IF(AND(R77="WON",AS77=1,AR77=1),1,0)</f>
        <v>0</v>
      </c>
      <c r="AU77" s="1" t="n">
        <f aca="false">IF(B77="",0,IF(AD77="Alternative – zählt nicht",0,1))</f>
        <v>0</v>
      </c>
      <c r="AV77" s="1" t="n">
        <f aca="false">IF(B77="",0,IF(COUNTIF($B$6:$B$860,B77)&gt;1,1,0))</f>
        <v>0</v>
      </c>
      <c r="AX77" s="269" t="str">
        <f aca="false">IF(AY77=1,DATE(YEAR(O77),MONTH(O77),1),"")</f>
        <v/>
      </c>
      <c r="AY77" s="1" t="n">
        <f aca="false">IF(B77="",0,IF(AND(ISNUMBER(O77),ISNUMBER(P77)),IF(P77&gt;=O77,1,0),0))</f>
        <v>0</v>
      </c>
      <c r="AZ77" s="1" t="n">
        <f aca="false">IF(ISNUMBER(Y77),Y77,0)</f>
        <v>0</v>
      </c>
      <c r="BA77" s="1" t="str">
        <f aca="false">IF(B77="","",IF(AND(R77="WON",AS77=0),"⛔ Beleg fehlt · ","")&amp;IF(AND(R77="WON",AR77=0),"⛔ Einstand fehlt · ","")&amp;IF(AND(R77&lt;&gt;"WON",AR77=0),"○ Einstand offen · ","")&amp;IF(AND(R77="WON",AB77=""),"⛔ Vertragsart fehlt · ","")&amp;IF(AND(ISNUMBER(O77),ISNUMBER(P77)),IF(P77&lt;O77,"⚠ Ende vor Start · ",""),"")&amp;IF(AND(R77="WON",AY77=0,NOT(AND(ISNUMBER(O77),ISNUMBER(P77)))),"⛔ Zeitraum fehlt · ","")&amp;IF(AND(R77&lt;&gt;"WON",AY77=0,NOT(AND(ISNUMBER(O77),ISNUMBER(P77)))),"○ Zeitraum offen · ",""))</f>
        <v/>
      </c>
      <c r="BB77" s="1" t="str">
        <f aca="false">IF(B77="","",IF(AND(R77="WON",AS77=0),"⛔ Nachweis fehlt",IF(AND(ISNUMBER(O77),ISNUMBER(P77),P77&lt;O77),"⚠ Ende vor Start",IF(AND(R77="WON",AY77=0),"⛔ Zeitraum fehlt",IF(AR77=0,"○ Einstand offen",IF(AY77=0,"○ Zeitraum offen",IF(R77="WON","✅ belegt","✔ erfasst")))))))</f>
        <v/>
      </c>
    </row>
    <row r="78" customFormat="false" ht="15" hidden="false" customHeight="true" outlineLevel="0" collapsed="false">
      <c r="A78" s="258"/>
      <c r="B78" s="266"/>
      <c r="C78" s="258"/>
      <c r="D78" s="278"/>
      <c r="E78" s="278"/>
      <c r="F78" s="275"/>
      <c r="G78" s="258" t="str">
        <f aca="false">IF(B78="","",IF(AY78=1,P78-O78+1,IF(AW78="","",AW78)))</f>
        <v/>
      </c>
      <c r="H78" s="262"/>
      <c r="I78" s="275"/>
      <c r="J78" s="275"/>
      <c r="K78" s="275"/>
      <c r="L78" s="275"/>
      <c r="M78" s="275"/>
      <c r="N78" s="275"/>
      <c r="O78" s="263"/>
      <c r="P78" s="263"/>
      <c r="Q78" s="261" t="str">
        <f aca="false">IF(AND(ISNUMBER(I78),ISNUMBER(S78)),I78*AJ78,IF(OR(I78&lt;&gt;"",S78&lt;&gt;""),"tbd",""))</f>
        <v/>
      </c>
      <c r="R78" s="264"/>
      <c r="S78" s="265"/>
      <c r="T78" s="266"/>
      <c r="U78" s="278"/>
      <c r="V78" s="278"/>
      <c r="W78" s="258"/>
      <c r="X78" s="278"/>
      <c r="Y78" s="261" t="str">
        <f aca="false">IF(ISNUMBER(I78),I78/Netto_Faktor,"")</f>
        <v/>
      </c>
      <c r="Z78" s="261" t="str">
        <f aca="false">IF(B78="","",IF(COUNT(J78:N78)=0,"",SUM(J78:N78)))</f>
        <v/>
      </c>
      <c r="AA78" s="266"/>
      <c r="AB78" s="266"/>
      <c r="AC78" s="266"/>
      <c r="AD78" s="266"/>
      <c r="AE78" s="266"/>
      <c r="AF78" s="266"/>
      <c r="AG78" s="267"/>
      <c r="AH78" s="259" t="str">
        <f aca="false">IF(B78="","",IF(BA78="",IF(R78="WON","✅ belegt &amp; vollständig","✔ vollständig"),LEFT(BA78,LEN(BA78)-3)))</f>
        <v/>
      </c>
      <c r="AJ78" s="268" t="n">
        <f aca="false">IF(ISNUMBER(S78),IFERROR(LOOKUP(IF(S78&lt;=1,S78,S78/100),'⚖️ Wahrscheinlichkeit'!$B$17:$B$21,'⚖️ Wahrscheinlichkeit'!$D$17:$D$21),0),0)</f>
        <v>0</v>
      </c>
      <c r="AK78" s="1" t="str">
        <f aca="false">IF(AND(R78="WON",ISNUMBER(I78)),AL78+(861-ROW())*0.000001,"")</f>
        <v/>
      </c>
      <c r="AL78" s="1" t="n">
        <f aca="false">IFERROR(I78*1,0)</f>
        <v>0</v>
      </c>
      <c r="AM78" s="1" t="n">
        <f aca="false">N(AM77)+IF(AND(R78="WON",B78&lt;&gt;""),1,0)</f>
        <v>12</v>
      </c>
      <c r="AN78" s="1" t="n">
        <f aca="false">N(AN77)+IF(AND(OR(R78="offered",R78="to be offered",R78="on hold"),B78&lt;&gt;""),1,0)</f>
        <v>33</v>
      </c>
      <c r="AO78" s="1" t="n">
        <f aca="false">N(AO77)+IF(AND(OR(R78="follow-up",R78="Evaluation",R78="tbd",R78="In evaluation"),B78&lt;&gt;""),1,0)</f>
        <v>1</v>
      </c>
      <c r="AP78" s="1" t="n">
        <f aca="false">IF(B78="",0,IF(COUNTIF('⚖️ Wahrscheinlichkeit'!$J$17:$J$24,R78)&gt;0,1,0))</f>
        <v>0</v>
      </c>
      <c r="AQ78" s="1" t="n">
        <f aca="false">IF(B78="",0,IF(AND(ISNUMBER(S78),COUNTIF('⚖️ Wahrscheinlichkeit'!$B$6:$B$11,S78)&gt;0),1,0))</f>
        <v>0</v>
      </c>
      <c r="AR78" s="1" t="n">
        <f aca="false">IF(B78="",0,IF(AND(COUNT(J78:M78)=4,SUM(J78:M78)&gt;0),1,0))</f>
        <v>0</v>
      </c>
      <c r="AS78" s="1" t="n">
        <f aca="false">IF(B78="",0,IF(AND(AF78&lt;&gt;"",AG78&lt;&gt;""),1,0))</f>
        <v>0</v>
      </c>
      <c r="AT78" s="1" t="n">
        <f aca="false">IF(AND(R78="WON",AS78=1,AR78=1),1,0)</f>
        <v>0</v>
      </c>
      <c r="AU78" s="1" t="n">
        <f aca="false">IF(B78="",0,IF(AD78="Alternative – zählt nicht",0,1))</f>
        <v>0</v>
      </c>
      <c r="AV78" s="1" t="n">
        <f aca="false">IF(B78="",0,IF(COUNTIF($B$6:$B$860,B78)&gt;1,1,0))</f>
        <v>0</v>
      </c>
      <c r="AX78" s="269" t="str">
        <f aca="false">IF(AY78=1,DATE(YEAR(O78),MONTH(O78),1),"")</f>
        <v/>
      </c>
      <c r="AY78" s="1" t="n">
        <f aca="false">IF(B78="",0,IF(AND(ISNUMBER(O78),ISNUMBER(P78)),IF(P78&gt;=O78,1,0),0))</f>
        <v>0</v>
      </c>
      <c r="AZ78" s="1" t="n">
        <f aca="false">IF(ISNUMBER(Y78),Y78,0)</f>
        <v>0</v>
      </c>
      <c r="BA78" s="1" t="str">
        <f aca="false">IF(B78="","",IF(AND(R78="WON",AS78=0),"⛔ Beleg fehlt · ","")&amp;IF(AND(R78="WON",AR78=0),"⛔ Einstand fehlt · ","")&amp;IF(AND(R78&lt;&gt;"WON",AR78=0),"○ Einstand offen · ","")&amp;IF(AND(R78="WON",AB78=""),"⛔ Vertragsart fehlt · ","")&amp;IF(AND(ISNUMBER(O78),ISNUMBER(P78)),IF(P78&lt;O78,"⚠ Ende vor Start · ",""),"")&amp;IF(AND(R78="WON",AY78=0,NOT(AND(ISNUMBER(O78),ISNUMBER(P78)))),"⛔ Zeitraum fehlt · ","")&amp;IF(AND(R78&lt;&gt;"WON",AY78=0,NOT(AND(ISNUMBER(O78),ISNUMBER(P78)))),"○ Zeitraum offen · ",""))</f>
        <v/>
      </c>
      <c r="BB78" s="1" t="str">
        <f aca="false">IF(B78="","",IF(AND(R78="WON",AS78=0),"⛔ Nachweis fehlt",IF(AND(ISNUMBER(O78),ISNUMBER(P78),P78&lt;O78),"⚠ Ende vor Start",IF(AND(R78="WON",AY78=0),"⛔ Zeitraum fehlt",IF(AR78=0,"○ Einstand offen",IF(AY78=0,"○ Zeitraum offen",IF(R78="WON","✅ belegt","✔ erfasst")))))))</f>
        <v/>
      </c>
    </row>
    <row r="79" customFormat="false" ht="15" hidden="false" customHeight="true" outlineLevel="0" collapsed="false">
      <c r="A79" s="258"/>
      <c r="B79" s="266"/>
      <c r="C79" s="258"/>
      <c r="D79" s="278"/>
      <c r="E79" s="278"/>
      <c r="F79" s="275"/>
      <c r="G79" s="258" t="str">
        <f aca="false">IF(B79="","",IF(AY79=1,P79-O79+1,IF(AW79="","",AW79)))</f>
        <v/>
      </c>
      <c r="H79" s="262"/>
      <c r="I79" s="275"/>
      <c r="J79" s="275"/>
      <c r="K79" s="275"/>
      <c r="L79" s="275"/>
      <c r="M79" s="275"/>
      <c r="N79" s="275"/>
      <c r="O79" s="263"/>
      <c r="P79" s="263"/>
      <c r="Q79" s="261" t="str">
        <f aca="false">IF(AND(ISNUMBER(I79),ISNUMBER(S79)),I79*AJ79,IF(OR(I79&lt;&gt;"",S79&lt;&gt;""),"tbd",""))</f>
        <v/>
      </c>
      <c r="R79" s="264"/>
      <c r="S79" s="265"/>
      <c r="T79" s="266"/>
      <c r="U79" s="278"/>
      <c r="V79" s="278"/>
      <c r="W79" s="258"/>
      <c r="X79" s="278"/>
      <c r="Y79" s="261" t="str">
        <f aca="false">IF(ISNUMBER(I79),I79/Netto_Faktor,"")</f>
        <v/>
      </c>
      <c r="Z79" s="261" t="str">
        <f aca="false">IF(B79="","",IF(COUNT(J79:N79)=0,"",SUM(J79:N79)))</f>
        <v/>
      </c>
      <c r="AA79" s="266"/>
      <c r="AB79" s="266"/>
      <c r="AC79" s="266"/>
      <c r="AD79" s="266"/>
      <c r="AE79" s="266"/>
      <c r="AF79" s="266"/>
      <c r="AG79" s="267"/>
      <c r="AH79" s="259" t="str">
        <f aca="false">IF(B79="","",IF(BA79="",IF(R79="WON","✅ belegt &amp; vollständig","✔ vollständig"),LEFT(BA79,LEN(BA79)-3)))</f>
        <v/>
      </c>
      <c r="AJ79" s="268" t="n">
        <f aca="false">IF(ISNUMBER(S79),IFERROR(LOOKUP(IF(S79&lt;=1,S79,S79/100),'⚖️ Wahrscheinlichkeit'!$B$17:$B$21,'⚖️ Wahrscheinlichkeit'!$D$17:$D$21),0),0)</f>
        <v>0</v>
      </c>
      <c r="AK79" s="1" t="str">
        <f aca="false">IF(AND(R79="WON",ISNUMBER(I79)),AL79+(861-ROW())*0.000001,"")</f>
        <v/>
      </c>
      <c r="AL79" s="1" t="n">
        <f aca="false">IFERROR(I79*1,0)</f>
        <v>0</v>
      </c>
      <c r="AM79" s="1" t="n">
        <f aca="false">N(AM78)+IF(AND(R79="WON",B79&lt;&gt;""),1,0)</f>
        <v>12</v>
      </c>
      <c r="AN79" s="1" t="n">
        <f aca="false">N(AN78)+IF(AND(OR(R79="offered",R79="to be offered",R79="on hold"),B79&lt;&gt;""),1,0)</f>
        <v>33</v>
      </c>
      <c r="AO79" s="1" t="n">
        <f aca="false">N(AO78)+IF(AND(OR(R79="follow-up",R79="Evaluation",R79="tbd",R79="In evaluation"),B79&lt;&gt;""),1,0)</f>
        <v>1</v>
      </c>
      <c r="AP79" s="1" t="n">
        <f aca="false">IF(B79="",0,IF(COUNTIF('⚖️ Wahrscheinlichkeit'!$J$17:$J$24,R79)&gt;0,1,0))</f>
        <v>0</v>
      </c>
      <c r="AQ79" s="1" t="n">
        <f aca="false">IF(B79="",0,IF(AND(ISNUMBER(S79),COUNTIF('⚖️ Wahrscheinlichkeit'!$B$6:$B$11,S79)&gt;0),1,0))</f>
        <v>0</v>
      </c>
      <c r="AR79" s="1" t="n">
        <f aca="false">IF(B79="",0,IF(AND(COUNT(J79:M79)=4,SUM(J79:M79)&gt;0),1,0))</f>
        <v>0</v>
      </c>
      <c r="AS79" s="1" t="n">
        <f aca="false">IF(B79="",0,IF(AND(AF79&lt;&gt;"",AG79&lt;&gt;""),1,0))</f>
        <v>0</v>
      </c>
      <c r="AT79" s="1" t="n">
        <f aca="false">IF(AND(R79="WON",AS79=1,AR79=1),1,0)</f>
        <v>0</v>
      </c>
      <c r="AU79" s="1" t="n">
        <f aca="false">IF(B79="",0,IF(AD79="Alternative – zählt nicht",0,1))</f>
        <v>0</v>
      </c>
      <c r="AV79" s="1" t="n">
        <f aca="false">IF(B79="",0,IF(COUNTIF($B$6:$B$860,B79)&gt;1,1,0))</f>
        <v>0</v>
      </c>
      <c r="AX79" s="269" t="str">
        <f aca="false">IF(AY79=1,DATE(YEAR(O79),MONTH(O79),1),"")</f>
        <v/>
      </c>
      <c r="AY79" s="1" t="n">
        <f aca="false">IF(B79="",0,IF(AND(ISNUMBER(O79),ISNUMBER(P79)),IF(P79&gt;=O79,1,0),0))</f>
        <v>0</v>
      </c>
      <c r="AZ79" s="1" t="n">
        <f aca="false">IF(ISNUMBER(Y79),Y79,0)</f>
        <v>0</v>
      </c>
      <c r="BA79" s="1" t="str">
        <f aca="false">IF(B79="","",IF(AND(R79="WON",AS79=0),"⛔ Beleg fehlt · ","")&amp;IF(AND(R79="WON",AR79=0),"⛔ Einstand fehlt · ","")&amp;IF(AND(R79&lt;&gt;"WON",AR79=0),"○ Einstand offen · ","")&amp;IF(AND(R79="WON",AB79=""),"⛔ Vertragsart fehlt · ","")&amp;IF(AND(ISNUMBER(O79),ISNUMBER(P79)),IF(P79&lt;O79,"⚠ Ende vor Start · ",""),"")&amp;IF(AND(R79="WON",AY79=0,NOT(AND(ISNUMBER(O79),ISNUMBER(P79)))),"⛔ Zeitraum fehlt · ","")&amp;IF(AND(R79&lt;&gt;"WON",AY79=0,NOT(AND(ISNUMBER(O79),ISNUMBER(P79)))),"○ Zeitraum offen · ",""))</f>
        <v/>
      </c>
      <c r="BB79" s="1" t="str">
        <f aca="false">IF(B79="","",IF(AND(R79="WON",AS79=0),"⛔ Nachweis fehlt",IF(AND(ISNUMBER(O79),ISNUMBER(P79),P79&lt;O79),"⚠ Ende vor Start",IF(AND(R79="WON",AY79=0),"⛔ Zeitraum fehlt",IF(AR79=0,"○ Einstand offen",IF(AY79=0,"○ Zeitraum offen",IF(R79="WON","✅ belegt","✔ erfasst")))))))</f>
        <v/>
      </c>
    </row>
    <row r="80" customFormat="false" ht="15" hidden="false" customHeight="true" outlineLevel="0" collapsed="false">
      <c r="A80" s="258"/>
      <c r="B80" s="266"/>
      <c r="C80" s="258"/>
      <c r="D80" s="278"/>
      <c r="E80" s="278"/>
      <c r="F80" s="275"/>
      <c r="G80" s="258" t="str">
        <f aca="false">IF(B80="","",IF(AY80=1,P80-O80+1,IF(AW80="","",AW80)))</f>
        <v/>
      </c>
      <c r="H80" s="262"/>
      <c r="I80" s="275"/>
      <c r="J80" s="275"/>
      <c r="K80" s="275"/>
      <c r="L80" s="275"/>
      <c r="M80" s="275"/>
      <c r="N80" s="275"/>
      <c r="O80" s="263"/>
      <c r="P80" s="263"/>
      <c r="Q80" s="261" t="str">
        <f aca="false">IF(AND(ISNUMBER(I80),ISNUMBER(S80)),I80*AJ80,IF(OR(I80&lt;&gt;"",S80&lt;&gt;""),"tbd",""))</f>
        <v/>
      </c>
      <c r="R80" s="264"/>
      <c r="S80" s="265"/>
      <c r="T80" s="266"/>
      <c r="U80" s="278"/>
      <c r="V80" s="278"/>
      <c r="W80" s="258"/>
      <c r="X80" s="278"/>
      <c r="Y80" s="261" t="str">
        <f aca="false">IF(ISNUMBER(I80),I80/Netto_Faktor,"")</f>
        <v/>
      </c>
      <c r="Z80" s="261" t="str">
        <f aca="false">IF(B80="","",IF(COUNT(J80:N80)=0,"",SUM(J80:N80)))</f>
        <v/>
      </c>
      <c r="AA80" s="266"/>
      <c r="AB80" s="266"/>
      <c r="AC80" s="266"/>
      <c r="AD80" s="266"/>
      <c r="AE80" s="266"/>
      <c r="AF80" s="266"/>
      <c r="AG80" s="267"/>
      <c r="AH80" s="259" t="str">
        <f aca="false">IF(B80="","",IF(BA80="",IF(R80="WON","✅ belegt &amp; vollständig","✔ vollständig"),LEFT(BA80,LEN(BA80)-3)))</f>
        <v/>
      </c>
      <c r="AJ80" s="268" t="n">
        <f aca="false">IF(ISNUMBER(S80),IFERROR(LOOKUP(IF(S80&lt;=1,S80,S80/100),'⚖️ Wahrscheinlichkeit'!$B$17:$B$21,'⚖️ Wahrscheinlichkeit'!$D$17:$D$21),0),0)</f>
        <v>0</v>
      </c>
      <c r="AK80" s="1" t="str">
        <f aca="false">IF(AND(R80="WON",ISNUMBER(I80)),AL80+(861-ROW())*0.000001,"")</f>
        <v/>
      </c>
      <c r="AL80" s="1" t="n">
        <f aca="false">IFERROR(I80*1,0)</f>
        <v>0</v>
      </c>
      <c r="AM80" s="1" t="n">
        <f aca="false">N(AM79)+IF(AND(R80="WON",B80&lt;&gt;""),1,0)</f>
        <v>12</v>
      </c>
      <c r="AN80" s="1" t="n">
        <f aca="false">N(AN79)+IF(AND(OR(R80="offered",R80="to be offered",R80="on hold"),B80&lt;&gt;""),1,0)</f>
        <v>33</v>
      </c>
      <c r="AO80" s="1" t="n">
        <f aca="false">N(AO79)+IF(AND(OR(R80="follow-up",R80="Evaluation",R80="tbd",R80="In evaluation"),B80&lt;&gt;""),1,0)</f>
        <v>1</v>
      </c>
      <c r="AP80" s="1" t="n">
        <f aca="false">IF(B80="",0,IF(COUNTIF('⚖️ Wahrscheinlichkeit'!$J$17:$J$24,R80)&gt;0,1,0))</f>
        <v>0</v>
      </c>
      <c r="AQ80" s="1" t="n">
        <f aca="false">IF(B80="",0,IF(AND(ISNUMBER(S80),COUNTIF('⚖️ Wahrscheinlichkeit'!$B$6:$B$11,S80)&gt;0),1,0))</f>
        <v>0</v>
      </c>
      <c r="AR80" s="1" t="n">
        <f aca="false">IF(B80="",0,IF(AND(COUNT(J80:M80)=4,SUM(J80:M80)&gt;0),1,0))</f>
        <v>0</v>
      </c>
      <c r="AS80" s="1" t="n">
        <f aca="false">IF(B80="",0,IF(AND(AF80&lt;&gt;"",AG80&lt;&gt;""),1,0))</f>
        <v>0</v>
      </c>
      <c r="AT80" s="1" t="n">
        <f aca="false">IF(AND(R80="WON",AS80=1,AR80=1),1,0)</f>
        <v>0</v>
      </c>
      <c r="AU80" s="1" t="n">
        <f aca="false">IF(B80="",0,IF(AD80="Alternative – zählt nicht",0,1))</f>
        <v>0</v>
      </c>
      <c r="AV80" s="1" t="n">
        <f aca="false">IF(B80="",0,IF(COUNTIF($B$6:$B$860,B80)&gt;1,1,0))</f>
        <v>0</v>
      </c>
      <c r="AX80" s="269" t="str">
        <f aca="false">IF(AY80=1,DATE(YEAR(O80),MONTH(O80),1),"")</f>
        <v/>
      </c>
      <c r="AY80" s="1" t="n">
        <f aca="false">IF(B80="",0,IF(AND(ISNUMBER(O80),ISNUMBER(P80)),IF(P80&gt;=O80,1,0),0))</f>
        <v>0</v>
      </c>
      <c r="AZ80" s="1" t="n">
        <f aca="false">IF(ISNUMBER(Y80),Y80,0)</f>
        <v>0</v>
      </c>
      <c r="BA80" s="1" t="str">
        <f aca="false">IF(B80="","",IF(AND(R80="WON",AS80=0),"⛔ Beleg fehlt · ","")&amp;IF(AND(R80="WON",AR80=0),"⛔ Einstand fehlt · ","")&amp;IF(AND(R80&lt;&gt;"WON",AR80=0),"○ Einstand offen · ","")&amp;IF(AND(R80="WON",AB80=""),"⛔ Vertragsart fehlt · ","")&amp;IF(AND(ISNUMBER(O80),ISNUMBER(P80)),IF(P80&lt;O80,"⚠ Ende vor Start · ",""),"")&amp;IF(AND(R80="WON",AY80=0,NOT(AND(ISNUMBER(O80),ISNUMBER(P80)))),"⛔ Zeitraum fehlt · ","")&amp;IF(AND(R80&lt;&gt;"WON",AY80=0,NOT(AND(ISNUMBER(O80),ISNUMBER(P80)))),"○ Zeitraum offen · ",""))</f>
        <v/>
      </c>
      <c r="BB80" s="1" t="str">
        <f aca="false">IF(B80="","",IF(AND(R80="WON",AS80=0),"⛔ Nachweis fehlt",IF(AND(ISNUMBER(O80),ISNUMBER(P80),P80&lt;O80),"⚠ Ende vor Start",IF(AND(R80="WON",AY80=0),"⛔ Zeitraum fehlt",IF(AR80=0,"○ Einstand offen",IF(AY80=0,"○ Zeitraum offen",IF(R80="WON","✅ belegt","✔ erfasst")))))))</f>
        <v/>
      </c>
    </row>
    <row r="81" customFormat="false" ht="15" hidden="false" customHeight="true" outlineLevel="0" collapsed="false">
      <c r="A81" s="258"/>
      <c r="B81" s="266"/>
      <c r="C81" s="258"/>
      <c r="D81" s="278"/>
      <c r="E81" s="278"/>
      <c r="F81" s="275"/>
      <c r="G81" s="258" t="str">
        <f aca="false">IF(B81="","",IF(AY81=1,P81-O81+1,IF(AW81="","",AW81)))</f>
        <v/>
      </c>
      <c r="H81" s="262"/>
      <c r="I81" s="275"/>
      <c r="J81" s="275"/>
      <c r="K81" s="275"/>
      <c r="L81" s="275"/>
      <c r="M81" s="275"/>
      <c r="N81" s="275"/>
      <c r="O81" s="263"/>
      <c r="P81" s="263"/>
      <c r="Q81" s="261" t="str">
        <f aca="false">IF(AND(ISNUMBER(I81),ISNUMBER(S81)),I81*AJ81,IF(OR(I81&lt;&gt;"",S81&lt;&gt;""),"tbd",""))</f>
        <v/>
      </c>
      <c r="R81" s="264"/>
      <c r="S81" s="265"/>
      <c r="T81" s="266"/>
      <c r="U81" s="278"/>
      <c r="V81" s="278"/>
      <c r="W81" s="258"/>
      <c r="X81" s="278"/>
      <c r="Y81" s="261" t="str">
        <f aca="false">IF(ISNUMBER(I81),I81/Netto_Faktor,"")</f>
        <v/>
      </c>
      <c r="Z81" s="261" t="str">
        <f aca="false">IF(B81="","",IF(COUNT(J81:N81)=0,"",SUM(J81:N81)))</f>
        <v/>
      </c>
      <c r="AA81" s="266"/>
      <c r="AB81" s="266"/>
      <c r="AC81" s="266"/>
      <c r="AD81" s="266"/>
      <c r="AE81" s="266"/>
      <c r="AF81" s="266"/>
      <c r="AG81" s="267"/>
      <c r="AH81" s="259" t="str">
        <f aca="false">IF(B81="","",IF(BA81="",IF(R81="WON","✅ belegt &amp; vollständig","✔ vollständig"),LEFT(BA81,LEN(BA81)-3)))</f>
        <v/>
      </c>
      <c r="AJ81" s="268" t="n">
        <f aca="false">IF(ISNUMBER(S81),IFERROR(LOOKUP(IF(S81&lt;=1,S81,S81/100),'⚖️ Wahrscheinlichkeit'!$B$17:$B$21,'⚖️ Wahrscheinlichkeit'!$D$17:$D$21),0),0)</f>
        <v>0</v>
      </c>
      <c r="AK81" s="1" t="str">
        <f aca="false">IF(AND(R81="WON",ISNUMBER(I81)),AL81+(861-ROW())*0.000001,"")</f>
        <v/>
      </c>
      <c r="AL81" s="1" t="n">
        <f aca="false">IFERROR(I81*1,0)</f>
        <v>0</v>
      </c>
      <c r="AM81" s="1" t="n">
        <f aca="false">N(AM80)+IF(AND(R81="WON",B81&lt;&gt;""),1,0)</f>
        <v>12</v>
      </c>
      <c r="AN81" s="1" t="n">
        <f aca="false">N(AN80)+IF(AND(OR(R81="offered",R81="to be offered",R81="on hold"),B81&lt;&gt;""),1,0)</f>
        <v>33</v>
      </c>
      <c r="AO81" s="1" t="n">
        <f aca="false">N(AO80)+IF(AND(OR(R81="follow-up",R81="Evaluation",R81="tbd",R81="In evaluation"),B81&lt;&gt;""),1,0)</f>
        <v>1</v>
      </c>
      <c r="AP81" s="1" t="n">
        <f aca="false">IF(B81="",0,IF(COUNTIF('⚖️ Wahrscheinlichkeit'!$J$17:$J$24,R81)&gt;0,1,0))</f>
        <v>0</v>
      </c>
      <c r="AQ81" s="1" t="n">
        <f aca="false">IF(B81="",0,IF(AND(ISNUMBER(S81),COUNTIF('⚖️ Wahrscheinlichkeit'!$B$6:$B$11,S81)&gt;0),1,0))</f>
        <v>0</v>
      </c>
      <c r="AR81" s="1" t="n">
        <f aca="false">IF(B81="",0,IF(AND(COUNT(J81:M81)=4,SUM(J81:M81)&gt;0),1,0))</f>
        <v>0</v>
      </c>
      <c r="AS81" s="1" t="n">
        <f aca="false">IF(B81="",0,IF(AND(AF81&lt;&gt;"",AG81&lt;&gt;""),1,0))</f>
        <v>0</v>
      </c>
      <c r="AT81" s="1" t="n">
        <f aca="false">IF(AND(R81="WON",AS81=1,AR81=1),1,0)</f>
        <v>0</v>
      </c>
      <c r="AU81" s="1" t="n">
        <f aca="false">IF(B81="",0,IF(AD81="Alternative – zählt nicht",0,1))</f>
        <v>0</v>
      </c>
      <c r="AV81" s="1" t="n">
        <f aca="false">IF(B81="",0,IF(COUNTIF($B$6:$B$860,B81)&gt;1,1,0))</f>
        <v>0</v>
      </c>
      <c r="AX81" s="269" t="str">
        <f aca="false">IF(AY81=1,DATE(YEAR(O81),MONTH(O81),1),"")</f>
        <v/>
      </c>
      <c r="AY81" s="1" t="n">
        <f aca="false">IF(B81="",0,IF(AND(ISNUMBER(O81),ISNUMBER(P81)),IF(P81&gt;=O81,1,0),0))</f>
        <v>0</v>
      </c>
      <c r="AZ81" s="1" t="n">
        <f aca="false">IF(ISNUMBER(Y81),Y81,0)</f>
        <v>0</v>
      </c>
      <c r="BA81" s="1" t="str">
        <f aca="false">IF(B81="","",IF(AND(R81="WON",AS81=0),"⛔ Beleg fehlt · ","")&amp;IF(AND(R81="WON",AR81=0),"⛔ Einstand fehlt · ","")&amp;IF(AND(R81&lt;&gt;"WON",AR81=0),"○ Einstand offen · ","")&amp;IF(AND(R81="WON",AB81=""),"⛔ Vertragsart fehlt · ","")&amp;IF(AND(ISNUMBER(O81),ISNUMBER(P81)),IF(P81&lt;O81,"⚠ Ende vor Start · ",""),"")&amp;IF(AND(R81="WON",AY81=0,NOT(AND(ISNUMBER(O81),ISNUMBER(P81)))),"⛔ Zeitraum fehlt · ","")&amp;IF(AND(R81&lt;&gt;"WON",AY81=0,NOT(AND(ISNUMBER(O81),ISNUMBER(P81)))),"○ Zeitraum offen · ",""))</f>
        <v/>
      </c>
      <c r="BB81" s="1" t="str">
        <f aca="false">IF(B81="","",IF(AND(R81="WON",AS81=0),"⛔ Nachweis fehlt",IF(AND(ISNUMBER(O81),ISNUMBER(P81),P81&lt;O81),"⚠ Ende vor Start",IF(AND(R81="WON",AY81=0),"⛔ Zeitraum fehlt",IF(AR81=0,"○ Einstand offen",IF(AY81=0,"○ Zeitraum offen",IF(R81="WON","✅ belegt","✔ erfasst")))))))</f>
        <v/>
      </c>
    </row>
    <row r="82" customFormat="false" ht="15" hidden="false" customHeight="true" outlineLevel="0" collapsed="false">
      <c r="A82" s="258"/>
      <c r="B82" s="266"/>
      <c r="C82" s="258"/>
      <c r="D82" s="278"/>
      <c r="E82" s="278"/>
      <c r="F82" s="275"/>
      <c r="G82" s="258" t="str">
        <f aca="false">IF(B82="","",IF(AY82=1,P82-O82+1,IF(AW82="","",AW82)))</f>
        <v/>
      </c>
      <c r="H82" s="262"/>
      <c r="I82" s="275"/>
      <c r="J82" s="275"/>
      <c r="K82" s="275"/>
      <c r="L82" s="275"/>
      <c r="M82" s="275"/>
      <c r="N82" s="275"/>
      <c r="O82" s="263"/>
      <c r="P82" s="263"/>
      <c r="Q82" s="261" t="str">
        <f aca="false">IF(AND(ISNUMBER(I82),ISNUMBER(S82)),I82*AJ82,IF(OR(I82&lt;&gt;"",S82&lt;&gt;""),"tbd",""))</f>
        <v/>
      </c>
      <c r="R82" s="264"/>
      <c r="S82" s="265"/>
      <c r="T82" s="266"/>
      <c r="U82" s="278"/>
      <c r="V82" s="278"/>
      <c r="W82" s="258"/>
      <c r="X82" s="278"/>
      <c r="Y82" s="261" t="str">
        <f aca="false">IF(ISNUMBER(I82),I82/Netto_Faktor,"")</f>
        <v/>
      </c>
      <c r="Z82" s="261" t="str">
        <f aca="false">IF(B82="","",IF(COUNT(J82:N82)=0,"",SUM(J82:N82)))</f>
        <v/>
      </c>
      <c r="AA82" s="266"/>
      <c r="AB82" s="266"/>
      <c r="AC82" s="266"/>
      <c r="AD82" s="266"/>
      <c r="AE82" s="266"/>
      <c r="AF82" s="266"/>
      <c r="AG82" s="267"/>
      <c r="AH82" s="259" t="str">
        <f aca="false">IF(B82="","",IF(BA82="",IF(R82="WON","✅ belegt &amp; vollständig","✔ vollständig"),LEFT(BA82,LEN(BA82)-3)))</f>
        <v/>
      </c>
      <c r="AJ82" s="268" t="n">
        <f aca="false">IF(ISNUMBER(S82),IFERROR(LOOKUP(IF(S82&lt;=1,S82,S82/100),'⚖️ Wahrscheinlichkeit'!$B$17:$B$21,'⚖️ Wahrscheinlichkeit'!$D$17:$D$21),0),0)</f>
        <v>0</v>
      </c>
      <c r="AK82" s="1" t="str">
        <f aca="false">IF(AND(R82="WON",ISNUMBER(I82)),AL82+(861-ROW())*0.000001,"")</f>
        <v/>
      </c>
      <c r="AL82" s="1" t="n">
        <f aca="false">IFERROR(I82*1,0)</f>
        <v>0</v>
      </c>
      <c r="AM82" s="1" t="n">
        <f aca="false">N(AM81)+IF(AND(R82="WON",B82&lt;&gt;""),1,0)</f>
        <v>12</v>
      </c>
      <c r="AN82" s="1" t="n">
        <f aca="false">N(AN81)+IF(AND(OR(R82="offered",R82="to be offered",R82="on hold"),B82&lt;&gt;""),1,0)</f>
        <v>33</v>
      </c>
      <c r="AO82" s="1" t="n">
        <f aca="false">N(AO81)+IF(AND(OR(R82="follow-up",R82="Evaluation",R82="tbd",R82="In evaluation"),B82&lt;&gt;""),1,0)</f>
        <v>1</v>
      </c>
      <c r="AP82" s="1" t="n">
        <f aca="false">IF(B82="",0,IF(COUNTIF('⚖️ Wahrscheinlichkeit'!$J$17:$J$24,R82)&gt;0,1,0))</f>
        <v>0</v>
      </c>
      <c r="AQ82" s="1" t="n">
        <f aca="false">IF(B82="",0,IF(AND(ISNUMBER(S82),COUNTIF('⚖️ Wahrscheinlichkeit'!$B$6:$B$11,S82)&gt;0),1,0))</f>
        <v>0</v>
      </c>
      <c r="AR82" s="1" t="n">
        <f aca="false">IF(B82="",0,IF(AND(COUNT(J82:M82)=4,SUM(J82:M82)&gt;0),1,0))</f>
        <v>0</v>
      </c>
      <c r="AS82" s="1" t="n">
        <f aca="false">IF(B82="",0,IF(AND(AF82&lt;&gt;"",AG82&lt;&gt;""),1,0))</f>
        <v>0</v>
      </c>
      <c r="AT82" s="1" t="n">
        <f aca="false">IF(AND(R82="WON",AS82=1,AR82=1),1,0)</f>
        <v>0</v>
      </c>
      <c r="AU82" s="1" t="n">
        <f aca="false">IF(B82="",0,IF(AD82="Alternative – zählt nicht",0,1))</f>
        <v>0</v>
      </c>
      <c r="AV82" s="1" t="n">
        <f aca="false">IF(B82="",0,IF(COUNTIF($B$6:$B$860,B82)&gt;1,1,0))</f>
        <v>0</v>
      </c>
      <c r="AX82" s="269" t="str">
        <f aca="false">IF(AY82=1,DATE(YEAR(O82),MONTH(O82),1),"")</f>
        <v/>
      </c>
      <c r="AY82" s="1" t="n">
        <f aca="false">IF(B82="",0,IF(AND(ISNUMBER(O82),ISNUMBER(P82)),IF(P82&gt;=O82,1,0),0))</f>
        <v>0</v>
      </c>
      <c r="AZ82" s="1" t="n">
        <f aca="false">IF(ISNUMBER(Y82),Y82,0)</f>
        <v>0</v>
      </c>
      <c r="BA82" s="1" t="str">
        <f aca="false">IF(B82="","",IF(AND(R82="WON",AS82=0),"⛔ Beleg fehlt · ","")&amp;IF(AND(R82="WON",AR82=0),"⛔ Einstand fehlt · ","")&amp;IF(AND(R82&lt;&gt;"WON",AR82=0),"○ Einstand offen · ","")&amp;IF(AND(R82="WON",AB82=""),"⛔ Vertragsart fehlt · ","")&amp;IF(AND(ISNUMBER(O82),ISNUMBER(P82)),IF(P82&lt;O82,"⚠ Ende vor Start · ",""),"")&amp;IF(AND(R82="WON",AY82=0,NOT(AND(ISNUMBER(O82),ISNUMBER(P82)))),"⛔ Zeitraum fehlt · ","")&amp;IF(AND(R82&lt;&gt;"WON",AY82=0,NOT(AND(ISNUMBER(O82),ISNUMBER(P82)))),"○ Zeitraum offen · ",""))</f>
        <v/>
      </c>
      <c r="BB82" s="1" t="str">
        <f aca="false">IF(B82="","",IF(AND(R82="WON",AS82=0),"⛔ Nachweis fehlt",IF(AND(ISNUMBER(O82),ISNUMBER(P82),P82&lt;O82),"⚠ Ende vor Start",IF(AND(R82="WON",AY82=0),"⛔ Zeitraum fehlt",IF(AR82=0,"○ Einstand offen",IF(AY82=0,"○ Zeitraum offen",IF(R82="WON","✅ belegt","✔ erfasst")))))))</f>
        <v/>
      </c>
    </row>
    <row r="83" customFormat="false" ht="15" hidden="false" customHeight="true" outlineLevel="0" collapsed="false">
      <c r="A83" s="258"/>
      <c r="B83" s="266"/>
      <c r="C83" s="258"/>
      <c r="D83" s="278"/>
      <c r="E83" s="278"/>
      <c r="F83" s="275"/>
      <c r="G83" s="258" t="str">
        <f aca="false">IF(B83="","",IF(AY83=1,P83-O83+1,IF(AW83="","",AW83)))</f>
        <v/>
      </c>
      <c r="H83" s="262"/>
      <c r="I83" s="275"/>
      <c r="J83" s="275"/>
      <c r="K83" s="275"/>
      <c r="L83" s="275"/>
      <c r="M83" s="275"/>
      <c r="N83" s="275"/>
      <c r="O83" s="263"/>
      <c r="P83" s="263"/>
      <c r="Q83" s="261" t="str">
        <f aca="false">IF(AND(ISNUMBER(I83),ISNUMBER(S83)),I83*AJ83,IF(OR(I83&lt;&gt;"",S83&lt;&gt;""),"tbd",""))</f>
        <v/>
      </c>
      <c r="R83" s="264"/>
      <c r="S83" s="265"/>
      <c r="T83" s="266"/>
      <c r="U83" s="278"/>
      <c r="V83" s="278"/>
      <c r="W83" s="258"/>
      <c r="X83" s="278"/>
      <c r="Y83" s="261" t="str">
        <f aca="false">IF(ISNUMBER(I83),I83/Netto_Faktor,"")</f>
        <v/>
      </c>
      <c r="Z83" s="261" t="str">
        <f aca="false">IF(B83="","",IF(COUNT(J83:N83)=0,"",SUM(J83:N83)))</f>
        <v/>
      </c>
      <c r="AA83" s="266"/>
      <c r="AB83" s="266"/>
      <c r="AC83" s="266"/>
      <c r="AD83" s="266"/>
      <c r="AE83" s="266"/>
      <c r="AF83" s="266"/>
      <c r="AG83" s="267"/>
      <c r="AH83" s="259" t="str">
        <f aca="false">IF(B83="","",IF(BA83="",IF(R83="WON","✅ belegt &amp; vollständig","✔ vollständig"),LEFT(BA83,LEN(BA83)-3)))</f>
        <v/>
      </c>
      <c r="AJ83" s="268" t="n">
        <f aca="false">IF(ISNUMBER(S83),IFERROR(LOOKUP(IF(S83&lt;=1,S83,S83/100),'⚖️ Wahrscheinlichkeit'!$B$17:$B$21,'⚖️ Wahrscheinlichkeit'!$D$17:$D$21),0),0)</f>
        <v>0</v>
      </c>
      <c r="AK83" s="1" t="str">
        <f aca="false">IF(AND(R83="WON",ISNUMBER(I83)),AL83+(861-ROW())*0.000001,"")</f>
        <v/>
      </c>
      <c r="AL83" s="1" t="n">
        <f aca="false">IFERROR(I83*1,0)</f>
        <v>0</v>
      </c>
      <c r="AM83" s="1" t="n">
        <f aca="false">N(AM82)+IF(AND(R83="WON",B83&lt;&gt;""),1,0)</f>
        <v>12</v>
      </c>
      <c r="AN83" s="1" t="n">
        <f aca="false">N(AN82)+IF(AND(OR(R83="offered",R83="to be offered",R83="on hold"),B83&lt;&gt;""),1,0)</f>
        <v>33</v>
      </c>
      <c r="AO83" s="1" t="n">
        <f aca="false">N(AO82)+IF(AND(OR(R83="follow-up",R83="Evaluation",R83="tbd",R83="In evaluation"),B83&lt;&gt;""),1,0)</f>
        <v>1</v>
      </c>
      <c r="AP83" s="1" t="n">
        <f aca="false">IF(B83="",0,IF(COUNTIF('⚖️ Wahrscheinlichkeit'!$J$17:$J$24,R83)&gt;0,1,0))</f>
        <v>0</v>
      </c>
      <c r="AQ83" s="1" t="n">
        <f aca="false">IF(B83="",0,IF(AND(ISNUMBER(S83),COUNTIF('⚖️ Wahrscheinlichkeit'!$B$6:$B$11,S83)&gt;0),1,0))</f>
        <v>0</v>
      </c>
      <c r="AR83" s="1" t="n">
        <f aca="false">IF(B83="",0,IF(AND(COUNT(J83:M83)=4,SUM(J83:M83)&gt;0),1,0))</f>
        <v>0</v>
      </c>
      <c r="AS83" s="1" t="n">
        <f aca="false">IF(B83="",0,IF(AND(AF83&lt;&gt;"",AG83&lt;&gt;""),1,0))</f>
        <v>0</v>
      </c>
      <c r="AT83" s="1" t="n">
        <f aca="false">IF(AND(R83="WON",AS83=1,AR83=1),1,0)</f>
        <v>0</v>
      </c>
      <c r="AU83" s="1" t="n">
        <f aca="false">IF(B83="",0,IF(AD83="Alternative – zählt nicht",0,1))</f>
        <v>0</v>
      </c>
      <c r="AV83" s="1" t="n">
        <f aca="false">IF(B83="",0,IF(COUNTIF($B$6:$B$860,B83)&gt;1,1,0))</f>
        <v>0</v>
      </c>
      <c r="AX83" s="269" t="str">
        <f aca="false">IF(AY83=1,DATE(YEAR(O83),MONTH(O83),1),"")</f>
        <v/>
      </c>
      <c r="AY83" s="1" t="n">
        <f aca="false">IF(B83="",0,IF(AND(ISNUMBER(O83),ISNUMBER(P83)),IF(P83&gt;=O83,1,0),0))</f>
        <v>0</v>
      </c>
      <c r="AZ83" s="1" t="n">
        <f aca="false">IF(ISNUMBER(Y83),Y83,0)</f>
        <v>0</v>
      </c>
      <c r="BA83" s="1" t="str">
        <f aca="false">IF(B83="","",IF(AND(R83="WON",AS83=0),"⛔ Beleg fehlt · ","")&amp;IF(AND(R83="WON",AR83=0),"⛔ Einstand fehlt · ","")&amp;IF(AND(R83&lt;&gt;"WON",AR83=0),"○ Einstand offen · ","")&amp;IF(AND(R83="WON",AB83=""),"⛔ Vertragsart fehlt · ","")&amp;IF(AND(ISNUMBER(O83),ISNUMBER(P83)),IF(P83&lt;O83,"⚠ Ende vor Start · ",""),"")&amp;IF(AND(R83="WON",AY83=0,NOT(AND(ISNUMBER(O83),ISNUMBER(P83)))),"⛔ Zeitraum fehlt · ","")&amp;IF(AND(R83&lt;&gt;"WON",AY83=0,NOT(AND(ISNUMBER(O83),ISNUMBER(P83)))),"○ Zeitraum offen · ",""))</f>
        <v/>
      </c>
      <c r="BB83" s="1" t="str">
        <f aca="false">IF(B83="","",IF(AND(R83="WON",AS83=0),"⛔ Nachweis fehlt",IF(AND(ISNUMBER(O83),ISNUMBER(P83),P83&lt;O83),"⚠ Ende vor Start",IF(AND(R83="WON",AY83=0),"⛔ Zeitraum fehlt",IF(AR83=0,"○ Einstand offen",IF(AY83=0,"○ Zeitraum offen",IF(R83="WON","✅ belegt","✔ erfasst")))))))</f>
        <v/>
      </c>
    </row>
    <row r="84" customFormat="false" ht="15" hidden="false" customHeight="true" outlineLevel="0" collapsed="false">
      <c r="A84" s="258"/>
      <c r="B84" s="266"/>
      <c r="C84" s="258"/>
      <c r="D84" s="278"/>
      <c r="E84" s="278"/>
      <c r="F84" s="275"/>
      <c r="G84" s="258" t="str">
        <f aca="false">IF(B84="","",IF(AY84=1,P84-O84+1,IF(AW84="","",AW84)))</f>
        <v/>
      </c>
      <c r="H84" s="262"/>
      <c r="I84" s="275"/>
      <c r="J84" s="275"/>
      <c r="K84" s="275"/>
      <c r="L84" s="275"/>
      <c r="M84" s="275"/>
      <c r="N84" s="275"/>
      <c r="O84" s="263"/>
      <c r="P84" s="263"/>
      <c r="Q84" s="261" t="str">
        <f aca="false">IF(AND(ISNUMBER(I84),ISNUMBER(S84)),I84*AJ84,IF(OR(I84&lt;&gt;"",S84&lt;&gt;""),"tbd",""))</f>
        <v/>
      </c>
      <c r="R84" s="264"/>
      <c r="S84" s="265"/>
      <c r="T84" s="266"/>
      <c r="U84" s="278"/>
      <c r="V84" s="278"/>
      <c r="W84" s="258"/>
      <c r="X84" s="278"/>
      <c r="Y84" s="261" t="str">
        <f aca="false">IF(ISNUMBER(I84),I84/Netto_Faktor,"")</f>
        <v/>
      </c>
      <c r="Z84" s="261" t="str">
        <f aca="false">IF(B84="","",IF(COUNT(J84:N84)=0,"",SUM(J84:N84)))</f>
        <v/>
      </c>
      <c r="AA84" s="266"/>
      <c r="AB84" s="266"/>
      <c r="AC84" s="266"/>
      <c r="AD84" s="266"/>
      <c r="AE84" s="266"/>
      <c r="AF84" s="266"/>
      <c r="AG84" s="267"/>
      <c r="AH84" s="259" t="str">
        <f aca="false">IF(B84="","",IF(BA84="",IF(R84="WON","✅ belegt &amp; vollständig","✔ vollständig"),LEFT(BA84,LEN(BA84)-3)))</f>
        <v/>
      </c>
      <c r="AJ84" s="268" t="n">
        <f aca="false">IF(ISNUMBER(S84),IFERROR(LOOKUP(IF(S84&lt;=1,S84,S84/100),'⚖️ Wahrscheinlichkeit'!$B$17:$B$21,'⚖️ Wahrscheinlichkeit'!$D$17:$D$21),0),0)</f>
        <v>0</v>
      </c>
      <c r="AK84" s="1" t="str">
        <f aca="false">IF(AND(R84="WON",ISNUMBER(I84)),AL84+(861-ROW())*0.000001,"")</f>
        <v/>
      </c>
      <c r="AL84" s="1" t="n">
        <f aca="false">IFERROR(I84*1,0)</f>
        <v>0</v>
      </c>
      <c r="AM84" s="1" t="n">
        <f aca="false">N(AM83)+IF(AND(R84="WON",B84&lt;&gt;""),1,0)</f>
        <v>12</v>
      </c>
      <c r="AN84" s="1" t="n">
        <f aca="false">N(AN83)+IF(AND(OR(R84="offered",R84="to be offered",R84="on hold"),B84&lt;&gt;""),1,0)</f>
        <v>33</v>
      </c>
      <c r="AO84" s="1" t="n">
        <f aca="false">N(AO83)+IF(AND(OR(R84="follow-up",R84="Evaluation",R84="tbd",R84="In evaluation"),B84&lt;&gt;""),1,0)</f>
        <v>1</v>
      </c>
      <c r="AP84" s="1" t="n">
        <f aca="false">IF(B84="",0,IF(COUNTIF('⚖️ Wahrscheinlichkeit'!$J$17:$J$24,R84)&gt;0,1,0))</f>
        <v>0</v>
      </c>
      <c r="AQ84" s="1" t="n">
        <f aca="false">IF(B84="",0,IF(AND(ISNUMBER(S84),COUNTIF('⚖️ Wahrscheinlichkeit'!$B$6:$B$11,S84)&gt;0),1,0))</f>
        <v>0</v>
      </c>
      <c r="AR84" s="1" t="n">
        <f aca="false">IF(B84="",0,IF(AND(COUNT(J84:M84)=4,SUM(J84:M84)&gt;0),1,0))</f>
        <v>0</v>
      </c>
      <c r="AS84" s="1" t="n">
        <f aca="false">IF(B84="",0,IF(AND(AF84&lt;&gt;"",AG84&lt;&gt;""),1,0))</f>
        <v>0</v>
      </c>
      <c r="AT84" s="1" t="n">
        <f aca="false">IF(AND(R84="WON",AS84=1,AR84=1),1,0)</f>
        <v>0</v>
      </c>
      <c r="AU84" s="1" t="n">
        <f aca="false">IF(B84="",0,IF(AD84="Alternative – zählt nicht",0,1))</f>
        <v>0</v>
      </c>
      <c r="AV84" s="1" t="n">
        <f aca="false">IF(B84="",0,IF(COUNTIF($B$6:$B$860,B84)&gt;1,1,0))</f>
        <v>0</v>
      </c>
      <c r="AX84" s="269" t="str">
        <f aca="false">IF(AY84=1,DATE(YEAR(O84),MONTH(O84),1),"")</f>
        <v/>
      </c>
      <c r="AY84" s="1" t="n">
        <f aca="false">IF(B84="",0,IF(AND(ISNUMBER(O84),ISNUMBER(P84)),IF(P84&gt;=O84,1,0),0))</f>
        <v>0</v>
      </c>
      <c r="AZ84" s="1" t="n">
        <f aca="false">IF(ISNUMBER(Y84),Y84,0)</f>
        <v>0</v>
      </c>
      <c r="BA84" s="1" t="str">
        <f aca="false">IF(B84="","",IF(AND(R84="WON",AS84=0),"⛔ Beleg fehlt · ","")&amp;IF(AND(R84="WON",AR84=0),"⛔ Einstand fehlt · ","")&amp;IF(AND(R84&lt;&gt;"WON",AR84=0),"○ Einstand offen · ","")&amp;IF(AND(R84="WON",AB84=""),"⛔ Vertragsart fehlt · ","")&amp;IF(AND(ISNUMBER(O84),ISNUMBER(P84)),IF(P84&lt;O84,"⚠ Ende vor Start · ",""),"")&amp;IF(AND(R84="WON",AY84=0,NOT(AND(ISNUMBER(O84),ISNUMBER(P84)))),"⛔ Zeitraum fehlt · ","")&amp;IF(AND(R84&lt;&gt;"WON",AY84=0,NOT(AND(ISNUMBER(O84),ISNUMBER(P84)))),"○ Zeitraum offen · ",""))</f>
        <v/>
      </c>
      <c r="BB84" s="1" t="str">
        <f aca="false">IF(B84="","",IF(AND(R84="WON",AS84=0),"⛔ Nachweis fehlt",IF(AND(ISNUMBER(O84),ISNUMBER(P84),P84&lt;O84),"⚠ Ende vor Start",IF(AND(R84="WON",AY84=0),"⛔ Zeitraum fehlt",IF(AR84=0,"○ Einstand offen",IF(AY84=0,"○ Zeitraum offen",IF(R84="WON","✅ belegt","✔ erfasst")))))))</f>
        <v/>
      </c>
    </row>
    <row r="85" customFormat="false" ht="15" hidden="false" customHeight="true" outlineLevel="0" collapsed="false">
      <c r="A85" s="258"/>
      <c r="B85" s="266"/>
      <c r="C85" s="258"/>
      <c r="D85" s="278"/>
      <c r="E85" s="278"/>
      <c r="F85" s="275"/>
      <c r="G85" s="258" t="str">
        <f aca="false">IF(B85="","",IF(AY85=1,P85-O85+1,IF(AW85="","",AW85)))</f>
        <v/>
      </c>
      <c r="H85" s="262"/>
      <c r="I85" s="275"/>
      <c r="J85" s="275"/>
      <c r="K85" s="275"/>
      <c r="L85" s="275"/>
      <c r="M85" s="275"/>
      <c r="N85" s="275"/>
      <c r="O85" s="263"/>
      <c r="P85" s="263"/>
      <c r="Q85" s="261" t="str">
        <f aca="false">IF(AND(ISNUMBER(I85),ISNUMBER(S85)),I85*AJ85,IF(OR(I85&lt;&gt;"",S85&lt;&gt;""),"tbd",""))</f>
        <v/>
      </c>
      <c r="R85" s="264"/>
      <c r="S85" s="265"/>
      <c r="T85" s="266"/>
      <c r="U85" s="278"/>
      <c r="V85" s="278"/>
      <c r="W85" s="258"/>
      <c r="X85" s="278"/>
      <c r="Y85" s="261" t="str">
        <f aca="false">IF(ISNUMBER(I85),I85/Netto_Faktor,"")</f>
        <v/>
      </c>
      <c r="Z85" s="261" t="str">
        <f aca="false">IF(B85="","",IF(COUNT(J85:N85)=0,"",SUM(J85:N85)))</f>
        <v/>
      </c>
      <c r="AA85" s="266"/>
      <c r="AB85" s="266"/>
      <c r="AC85" s="266"/>
      <c r="AD85" s="266"/>
      <c r="AE85" s="266"/>
      <c r="AF85" s="266"/>
      <c r="AG85" s="267"/>
      <c r="AH85" s="259" t="str">
        <f aca="false">IF(B85="","",IF(BA85="",IF(R85="WON","✅ belegt &amp; vollständig","✔ vollständig"),LEFT(BA85,LEN(BA85)-3)))</f>
        <v/>
      </c>
      <c r="AJ85" s="268" t="n">
        <f aca="false">IF(ISNUMBER(S85),IFERROR(LOOKUP(IF(S85&lt;=1,S85,S85/100),'⚖️ Wahrscheinlichkeit'!$B$17:$B$21,'⚖️ Wahrscheinlichkeit'!$D$17:$D$21),0),0)</f>
        <v>0</v>
      </c>
      <c r="AK85" s="1" t="str">
        <f aca="false">IF(AND(R85="WON",ISNUMBER(I85)),AL85+(861-ROW())*0.000001,"")</f>
        <v/>
      </c>
      <c r="AL85" s="1" t="n">
        <f aca="false">IFERROR(I85*1,0)</f>
        <v>0</v>
      </c>
      <c r="AM85" s="1" t="n">
        <f aca="false">N(AM84)+IF(AND(R85="WON",B85&lt;&gt;""),1,0)</f>
        <v>12</v>
      </c>
      <c r="AN85" s="1" t="n">
        <f aca="false">N(AN84)+IF(AND(OR(R85="offered",R85="to be offered",R85="on hold"),B85&lt;&gt;""),1,0)</f>
        <v>33</v>
      </c>
      <c r="AO85" s="1" t="n">
        <f aca="false">N(AO84)+IF(AND(OR(R85="follow-up",R85="Evaluation",R85="tbd",R85="In evaluation"),B85&lt;&gt;""),1,0)</f>
        <v>1</v>
      </c>
      <c r="AP85" s="1" t="n">
        <f aca="false">IF(B85="",0,IF(COUNTIF('⚖️ Wahrscheinlichkeit'!$J$17:$J$24,R85)&gt;0,1,0))</f>
        <v>0</v>
      </c>
      <c r="AQ85" s="1" t="n">
        <f aca="false">IF(B85="",0,IF(AND(ISNUMBER(S85),COUNTIF('⚖️ Wahrscheinlichkeit'!$B$6:$B$11,S85)&gt;0),1,0))</f>
        <v>0</v>
      </c>
      <c r="AR85" s="1" t="n">
        <f aca="false">IF(B85="",0,IF(AND(COUNT(J85:M85)=4,SUM(J85:M85)&gt;0),1,0))</f>
        <v>0</v>
      </c>
      <c r="AS85" s="1" t="n">
        <f aca="false">IF(B85="",0,IF(AND(AF85&lt;&gt;"",AG85&lt;&gt;""),1,0))</f>
        <v>0</v>
      </c>
      <c r="AT85" s="1" t="n">
        <f aca="false">IF(AND(R85="WON",AS85=1,AR85=1),1,0)</f>
        <v>0</v>
      </c>
      <c r="AU85" s="1" t="n">
        <f aca="false">IF(B85="",0,IF(AD85="Alternative – zählt nicht",0,1))</f>
        <v>0</v>
      </c>
      <c r="AV85" s="1" t="n">
        <f aca="false">IF(B85="",0,IF(COUNTIF($B$6:$B$860,B85)&gt;1,1,0))</f>
        <v>0</v>
      </c>
      <c r="AX85" s="269" t="str">
        <f aca="false">IF(AY85=1,DATE(YEAR(O85),MONTH(O85),1),"")</f>
        <v/>
      </c>
      <c r="AY85" s="1" t="n">
        <f aca="false">IF(B85="",0,IF(AND(ISNUMBER(O85),ISNUMBER(P85)),IF(P85&gt;=O85,1,0),0))</f>
        <v>0</v>
      </c>
      <c r="AZ85" s="1" t="n">
        <f aca="false">IF(ISNUMBER(Y85),Y85,0)</f>
        <v>0</v>
      </c>
      <c r="BA85" s="1" t="str">
        <f aca="false">IF(B85="","",IF(AND(R85="WON",AS85=0),"⛔ Beleg fehlt · ","")&amp;IF(AND(R85="WON",AR85=0),"⛔ Einstand fehlt · ","")&amp;IF(AND(R85&lt;&gt;"WON",AR85=0),"○ Einstand offen · ","")&amp;IF(AND(R85="WON",AB85=""),"⛔ Vertragsart fehlt · ","")&amp;IF(AND(ISNUMBER(O85),ISNUMBER(P85)),IF(P85&lt;O85,"⚠ Ende vor Start · ",""),"")&amp;IF(AND(R85="WON",AY85=0,NOT(AND(ISNUMBER(O85),ISNUMBER(P85)))),"⛔ Zeitraum fehlt · ","")&amp;IF(AND(R85&lt;&gt;"WON",AY85=0,NOT(AND(ISNUMBER(O85),ISNUMBER(P85)))),"○ Zeitraum offen · ",""))</f>
        <v/>
      </c>
      <c r="BB85" s="1" t="str">
        <f aca="false">IF(B85="","",IF(AND(R85="WON",AS85=0),"⛔ Nachweis fehlt",IF(AND(ISNUMBER(O85),ISNUMBER(P85),P85&lt;O85),"⚠ Ende vor Start",IF(AND(R85="WON",AY85=0),"⛔ Zeitraum fehlt",IF(AR85=0,"○ Einstand offen",IF(AY85=0,"○ Zeitraum offen",IF(R85="WON","✅ belegt","✔ erfasst")))))))</f>
        <v/>
      </c>
    </row>
    <row r="86" customFormat="false" ht="15" hidden="false" customHeight="true" outlineLevel="0" collapsed="false">
      <c r="A86" s="258"/>
      <c r="B86" s="266"/>
      <c r="C86" s="258"/>
      <c r="D86" s="278"/>
      <c r="E86" s="278"/>
      <c r="F86" s="275"/>
      <c r="G86" s="258" t="str">
        <f aca="false">IF(B86="","",IF(AY86=1,P86-O86+1,IF(AW86="","",AW86)))</f>
        <v/>
      </c>
      <c r="H86" s="262"/>
      <c r="I86" s="275"/>
      <c r="J86" s="275"/>
      <c r="K86" s="275"/>
      <c r="L86" s="275"/>
      <c r="M86" s="275"/>
      <c r="N86" s="275"/>
      <c r="O86" s="263"/>
      <c r="P86" s="263"/>
      <c r="Q86" s="261" t="str">
        <f aca="false">IF(AND(ISNUMBER(I86),ISNUMBER(S86)),I86*AJ86,IF(OR(I86&lt;&gt;"",S86&lt;&gt;""),"tbd",""))</f>
        <v/>
      </c>
      <c r="R86" s="264"/>
      <c r="S86" s="265"/>
      <c r="T86" s="266"/>
      <c r="U86" s="278"/>
      <c r="V86" s="278"/>
      <c r="W86" s="258"/>
      <c r="X86" s="278"/>
      <c r="Y86" s="261" t="str">
        <f aca="false">IF(ISNUMBER(I86),I86/Netto_Faktor,"")</f>
        <v/>
      </c>
      <c r="Z86" s="261" t="str">
        <f aca="false">IF(B86="","",IF(COUNT(J86:N86)=0,"",SUM(J86:N86)))</f>
        <v/>
      </c>
      <c r="AA86" s="266"/>
      <c r="AB86" s="266"/>
      <c r="AC86" s="266"/>
      <c r="AD86" s="266"/>
      <c r="AE86" s="266"/>
      <c r="AF86" s="266"/>
      <c r="AG86" s="267"/>
      <c r="AH86" s="259" t="str">
        <f aca="false">IF(B86="","",IF(BA86="",IF(R86="WON","✅ belegt &amp; vollständig","✔ vollständig"),LEFT(BA86,LEN(BA86)-3)))</f>
        <v/>
      </c>
      <c r="AJ86" s="268" t="n">
        <f aca="false">IF(ISNUMBER(S86),IFERROR(LOOKUP(IF(S86&lt;=1,S86,S86/100),'⚖️ Wahrscheinlichkeit'!$B$17:$B$21,'⚖️ Wahrscheinlichkeit'!$D$17:$D$21),0),0)</f>
        <v>0</v>
      </c>
      <c r="AK86" s="1" t="str">
        <f aca="false">IF(AND(R86="WON",ISNUMBER(I86)),AL86+(861-ROW())*0.000001,"")</f>
        <v/>
      </c>
      <c r="AL86" s="1" t="n">
        <f aca="false">IFERROR(I86*1,0)</f>
        <v>0</v>
      </c>
      <c r="AM86" s="1" t="n">
        <f aca="false">N(AM85)+IF(AND(R86="WON",B86&lt;&gt;""),1,0)</f>
        <v>12</v>
      </c>
      <c r="AN86" s="1" t="n">
        <f aca="false">N(AN85)+IF(AND(OR(R86="offered",R86="to be offered",R86="on hold"),B86&lt;&gt;""),1,0)</f>
        <v>33</v>
      </c>
      <c r="AO86" s="1" t="n">
        <f aca="false">N(AO85)+IF(AND(OR(R86="follow-up",R86="Evaluation",R86="tbd",R86="In evaluation"),B86&lt;&gt;""),1,0)</f>
        <v>1</v>
      </c>
      <c r="AP86" s="1" t="n">
        <f aca="false">IF(B86="",0,IF(COUNTIF('⚖️ Wahrscheinlichkeit'!$J$17:$J$24,R86)&gt;0,1,0))</f>
        <v>0</v>
      </c>
      <c r="AQ86" s="1" t="n">
        <f aca="false">IF(B86="",0,IF(AND(ISNUMBER(S86),COUNTIF('⚖️ Wahrscheinlichkeit'!$B$6:$B$11,S86)&gt;0),1,0))</f>
        <v>0</v>
      </c>
      <c r="AR86" s="1" t="n">
        <f aca="false">IF(B86="",0,IF(AND(COUNT(J86:M86)=4,SUM(J86:M86)&gt;0),1,0))</f>
        <v>0</v>
      </c>
      <c r="AS86" s="1" t="n">
        <f aca="false">IF(B86="",0,IF(AND(AF86&lt;&gt;"",AG86&lt;&gt;""),1,0))</f>
        <v>0</v>
      </c>
      <c r="AT86" s="1" t="n">
        <f aca="false">IF(AND(R86="WON",AS86=1,AR86=1),1,0)</f>
        <v>0</v>
      </c>
      <c r="AU86" s="1" t="n">
        <f aca="false">IF(B86="",0,IF(AD86="Alternative – zählt nicht",0,1))</f>
        <v>0</v>
      </c>
      <c r="AV86" s="1" t="n">
        <f aca="false">IF(B86="",0,IF(COUNTIF($B$6:$B$860,B86)&gt;1,1,0))</f>
        <v>0</v>
      </c>
      <c r="AX86" s="269" t="str">
        <f aca="false">IF(AY86=1,DATE(YEAR(O86),MONTH(O86),1),"")</f>
        <v/>
      </c>
      <c r="AY86" s="1" t="n">
        <f aca="false">IF(B86="",0,IF(AND(ISNUMBER(O86),ISNUMBER(P86)),IF(P86&gt;=O86,1,0),0))</f>
        <v>0</v>
      </c>
      <c r="AZ86" s="1" t="n">
        <f aca="false">IF(ISNUMBER(Y86),Y86,0)</f>
        <v>0</v>
      </c>
      <c r="BA86" s="1" t="str">
        <f aca="false">IF(B86="","",IF(AND(R86="WON",AS86=0),"⛔ Beleg fehlt · ","")&amp;IF(AND(R86="WON",AR86=0),"⛔ Einstand fehlt · ","")&amp;IF(AND(R86&lt;&gt;"WON",AR86=0),"○ Einstand offen · ","")&amp;IF(AND(R86="WON",AB86=""),"⛔ Vertragsart fehlt · ","")&amp;IF(AND(ISNUMBER(O86),ISNUMBER(P86)),IF(P86&lt;O86,"⚠ Ende vor Start · ",""),"")&amp;IF(AND(R86="WON",AY86=0,NOT(AND(ISNUMBER(O86),ISNUMBER(P86)))),"⛔ Zeitraum fehlt · ","")&amp;IF(AND(R86&lt;&gt;"WON",AY86=0,NOT(AND(ISNUMBER(O86),ISNUMBER(P86)))),"○ Zeitraum offen · ",""))</f>
        <v/>
      </c>
      <c r="BB86" s="1" t="str">
        <f aca="false">IF(B86="","",IF(AND(R86="WON",AS86=0),"⛔ Nachweis fehlt",IF(AND(ISNUMBER(O86),ISNUMBER(P86),P86&lt;O86),"⚠ Ende vor Start",IF(AND(R86="WON",AY86=0),"⛔ Zeitraum fehlt",IF(AR86=0,"○ Einstand offen",IF(AY86=0,"○ Zeitraum offen",IF(R86="WON","✅ belegt","✔ erfasst")))))))</f>
        <v/>
      </c>
    </row>
    <row r="87" customFormat="false" ht="15" hidden="false" customHeight="true" outlineLevel="0" collapsed="false">
      <c r="A87" s="258"/>
      <c r="B87" s="266"/>
      <c r="C87" s="258"/>
      <c r="D87" s="278"/>
      <c r="E87" s="278"/>
      <c r="F87" s="275"/>
      <c r="G87" s="258" t="str">
        <f aca="false">IF(B87="","",IF(AY87=1,P87-O87+1,IF(AW87="","",AW87)))</f>
        <v/>
      </c>
      <c r="H87" s="262"/>
      <c r="I87" s="275"/>
      <c r="J87" s="275"/>
      <c r="K87" s="275"/>
      <c r="L87" s="275"/>
      <c r="M87" s="275"/>
      <c r="N87" s="275"/>
      <c r="O87" s="263"/>
      <c r="P87" s="263"/>
      <c r="Q87" s="261" t="str">
        <f aca="false">IF(AND(ISNUMBER(I87),ISNUMBER(S87)),I87*AJ87,IF(OR(I87&lt;&gt;"",S87&lt;&gt;""),"tbd",""))</f>
        <v/>
      </c>
      <c r="R87" s="264"/>
      <c r="S87" s="265"/>
      <c r="T87" s="266"/>
      <c r="U87" s="278"/>
      <c r="V87" s="278"/>
      <c r="W87" s="258"/>
      <c r="X87" s="278"/>
      <c r="Y87" s="261" t="str">
        <f aca="false">IF(ISNUMBER(I87),I87/Netto_Faktor,"")</f>
        <v/>
      </c>
      <c r="Z87" s="261" t="str">
        <f aca="false">IF(B87="","",IF(COUNT(J87:N87)=0,"",SUM(J87:N87)))</f>
        <v/>
      </c>
      <c r="AA87" s="266"/>
      <c r="AB87" s="266"/>
      <c r="AC87" s="266"/>
      <c r="AD87" s="266"/>
      <c r="AE87" s="266"/>
      <c r="AF87" s="266"/>
      <c r="AG87" s="267"/>
      <c r="AH87" s="259" t="str">
        <f aca="false">IF(B87="","",IF(BA87="",IF(R87="WON","✅ belegt &amp; vollständig","✔ vollständig"),LEFT(BA87,LEN(BA87)-3)))</f>
        <v/>
      </c>
      <c r="AJ87" s="268" t="n">
        <f aca="false">IF(ISNUMBER(S87),IFERROR(LOOKUP(IF(S87&lt;=1,S87,S87/100),'⚖️ Wahrscheinlichkeit'!$B$17:$B$21,'⚖️ Wahrscheinlichkeit'!$D$17:$D$21),0),0)</f>
        <v>0</v>
      </c>
      <c r="AK87" s="1" t="str">
        <f aca="false">IF(AND(R87="WON",ISNUMBER(I87)),AL87+(861-ROW())*0.000001,"")</f>
        <v/>
      </c>
      <c r="AL87" s="1" t="n">
        <f aca="false">IFERROR(I87*1,0)</f>
        <v>0</v>
      </c>
      <c r="AM87" s="1" t="n">
        <f aca="false">N(AM86)+IF(AND(R87="WON",B87&lt;&gt;""),1,0)</f>
        <v>12</v>
      </c>
      <c r="AN87" s="1" t="n">
        <f aca="false">N(AN86)+IF(AND(OR(R87="offered",R87="to be offered",R87="on hold"),B87&lt;&gt;""),1,0)</f>
        <v>33</v>
      </c>
      <c r="AO87" s="1" t="n">
        <f aca="false">N(AO86)+IF(AND(OR(R87="follow-up",R87="Evaluation",R87="tbd",R87="In evaluation"),B87&lt;&gt;""),1,0)</f>
        <v>1</v>
      </c>
      <c r="AP87" s="1" t="n">
        <f aca="false">IF(B87="",0,IF(COUNTIF('⚖️ Wahrscheinlichkeit'!$J$17:$J$24,R87)&gt;0,1,0))</f>
        <v>0</v>
      </c>
      <c r="AQ87" s="1" t="n">
        <f aca="false">IF(B87="",0,IF(AND(ISNUMBER(S87),COUNTIF('⚖️ Wahrscheinlichkeit'!$B$6:$B$11,S87)&gt;0),1,0))</f>
        <v>0</v>
      </c>
      <c r="AR87" s="1" t="n">
        <f aca="false">IF(B87="",0,IF(AND(COUNT(J87:M87)=4,SUM(J87:M87)&gt;0),1,0))</f>
        <v>0</v>
      </c>
      <c r="AS87" s="1" t="n">
        <f aca="false">IF(B87="",0,IF(AND(AF87&lt;&gt;"",AG87&lt;&gt;""),1,0))</f>
        <v>0</v>
      </c>
      <c r="AT87" s="1" t="n">
        <f aca="false">IF(AND(R87="WON",AS87=1,AR87=1),1,0)</f>
        <v>0</v>
      </c>
      <c r="AU87" s="1" t="n">
        <f aca="false">IF(B87="",0,IF(AD87="Alternative – zählt nicht",0,1))</f>
        <v>0</v>
      </c>
      <c r="AV87" s="1" t="n">
        <f aca="false">IF(B87="",0,IF(COUNTIF($B$6:$B$860,B87)&gt;1,1,0))</f>
        <v>0</v>
      </c>
      <c r="AX87" s="269" t="str">
        <f aca="false">IF(AY87=1,DATE(YEAR(O87),MONTH(O87),1),"")</f>
        <v/>
      </c>
      <c r="AY87" s="1" t="n">
        <f aca="false">IF(B87="",0,IF(AND(ISNUMBER(O87),ISNUMBER(P87)),IF(P87&gt;=O87,1,0),0))</f>
        <v>0</v>
      </c>
      <c r="AZ87" s="1" t="n">
        <f aca="false">IF(ISNUMBER(Y87),Y87,0)</f>
        <v>0</v>
      </c>
      <c r="BA87" s="1" t="str">
        <f aca="false">IF(B87="","",IF(AND(R87="WON",AS87=0),"⛔ Beleg fehlt · ","")&amp;IF(AND(R87="WON",AR87=0),"⛔ Einstand fehlt · ","")&amp;IF(AND(R87&lt;&gt;"WON",AR87=0),"○ Einstand offen · ","")&amp;IF(AND(R87="WON",AB87=""),"⛔ Vertragsart fehlt · ","")&amp;IF(AND(ISNUMBER(O87),ISNUMBER(P87)),IF(P87&lt;O87,"⚠ Ende vor Start · ",""),"")&amp;IF(AND(R87="WON",AY87=0,NOT(AND(ISNUMBER(O87),ISNUMBER(P87)))),"⛔ Zeitraum fehlt · ","")&amp;IF(AND(R87&lt;&gt;"WON",AY87=0,NOT(AND(ISNUMBER(O87),ISNUMBER(P87)))),"○ Zeitraum offen · ",""))</f>
        <v/>
      </c>
      <c r="BB87" s="1" t="str">
        <f aca="false">IF(B87="","",IF(AND(R87="WON",AS87=0),"⛔ Nachweis fehlt",IF(AND(ISNUMBER(O87),ISNUMBER(P87),P87&lt;O87),"⚠ Ende vor Start",IF(AND(R87="WON",AY87=0),"⛔ Zeitraum fehlt",IF(AR87=0,"○ Einstand offen",IF(AY87=0,"○ Zeitraum offen",IF(R87="WON","✅ belegt","✔ erfasst")))))))</f>
        <v/>
      </c>
    </row>
    <row r="88" customFormat="false" ht="15" hidden="false" customHeight="true" outlineLevel="0" collapsed="false">
      <c r="A88" s="258"/>
      <c r="B88" s="266"/>
      <c r="C88" s="258"/>
      <c r="D88" s="278"/>
      <c r="E88" s="278"/>
      <c r="F88" s="275"/>
      <c r="G88" s="258" t="str">
        <f aca="false">IF(B88="","",IF(AY88=1,P88-O88+1,IF(AW88="","",AW88)))</f>
        <v/>
      </c>
      <c r="H88" s="262"/>
      <c r="I88" s="275"/>
      <c r="J88" s="275"/>
      <c r="K88" s="275"/>
      <c r="L88" s="275"/>
      <c r="M88" s="275"/>
      <c r="N88" s="275"/>
      <c r="O88" s="263"/>
      <c r="P88" s="263"/>
      <c r="Q88" s="261" t="str">
        <f aca="false">IF(AND(ISNUMBER(I88),ISNUMBER(S88)),I88*AJ88,IF(OR(I88&lt;&gt;"",S88&lt;&gt;""),"tbd",""))</f>
        <v/>
      </c>
      <c r="R88" s="264"/>
      <c r="S88" s="265"/>
      <c r="T88" s="266"/>
      <c r="U88" s="278"/>
      <c r="V88" s="278"/>
      <c r="W88" s="258"/>
      <c r="X88" s="278"/>
      <c r="Y88" s="261" t="str">
        <f aca="false">IF(ISNUMBER(I88),I88/Netto_Faktor,"")</f>
        <v/>
      </c>
      <c r="Z88" s="261" t="str">
        <f aca="false">IF(B88="","",IF(COUNT(J88:N88)=0,"",SUM(J88:N88)))</f>
        <v/>
      </c>
      <c r="AA88" s="266"/>
      <c r="AB88" s="266"/>
      <c r="AC88" s="266"/>
      <c r="AD88" s="266"/>
      <c r="AE88" s="266"/>
      <c r="AF88" s="266"/>
      <c r="AG88" s="267"/>
      <c r="AH88" s="259" t="str">
        <f aca="false">IF(B88="","",IF(BA88="",IF(R88="WON","✅ belegt &amp; vollständig","✔ vollständig"),LEFT(BA88,LEN(BA88)-3)))</f>
        <v/>
      </c>
      <c r="AJ88" s="268" t="n">
        <f aca="false">IF(ISNUMBER(S88),IFERROR(LOOKUP(IF(S88&lt;=1,S88,S88/100),'⚖️ Wahrscheinlichkeit'!$B$17:$B$21,'⚖️ Wahrscheinlichkeit'!$D$17:$D$21),0),0)</f>
        <v>0</v>
      </c>
      <c r="AK88" s="1" t="str">
        <f aca="false">IF(AND(R88="WON",ISNUMBER(I88)),AL88+(861-ROW())*0.000001,"")</f>
        <v/>
      </c>
      <c r="AL88" s="1" t="n">
        <f aca="false">IFERROR(I88*1,0)</f>
        <v>0</v>
      </c>
      <c r="AM88" s="1" t="n">
        <f aca="false">N(AM87)+IF(AND(R88="WON",B88&lt;&gt;""),1,0)</f>
        <v>12</v>
      </c>
      <c r="AN88" s="1" t="n">
        <f aca="false">N(AN87)+IF(AND(OR(R88="offered",R88="to be offered",R88="on hold"),B88&lt;&gt;""),1,0)</f>
        <v>33</v>
      </c>
      <c r="AO88" s="1" t="n">
        <f aca="false">N(AO87)+IF(AND(OR(R88="follow-up",R88="Evaluation",R88="tbd",R88="In evaluation"),B88&lt;&gt;""),1,0)</f>
        <v>1</v>
      </c>
      <c r="AP88" s="1" t="n">
        <f aca="false">IF(B88="",0,IF(COUNTIF('⚖️ Wahrscheinlichkeit'!$J$17:$J$24,R88)&gt;0,1,0))</f>
        <v>0</v>
      </c>
      <c r="AQ88" s="1" t="n">
        <f aca="false">IF(B88="",0,IF(AND(ISNUMBER(S88),COUNTIF('⚖️ Wahrscheinlichkeit'!$B$6:$B$11,S88)&gt;0),1,0))</f>
        <v>0</v>
      </c>
      <c r="AR88" s="1" t="n">
        <f aca="false">IF(B88="",0,IF(AND(COUNT(J88:M88)=4,SUM(J88:M88)&gt;0),1,0))</f>
        <v>0</v>
      </c>
      <c r="AS88" s="1" t="n">
        <f aca="false">IF(B88="",0,IF(AND(AF88&lt;&gt;"",AG88&lt;&gt;""),1,0))</f>
        <v>0</v>
      </c>
      <c r="AT88" s="1" t="n">
        <f aca="false">IF(AND(R88="WON",AS88=1,AR88=1),1,0)</f>
        <v>0</v>
      </c>
      <c r="AU88" s="1" t="n">
        <f aca="false">IF(B88="",0,IF(AD88="Alternative – zählt nicht",0,1))</f>
        <v>0</v>
      </c>
      <c r="AV88" s="1" t="n">
        <f aca="false">IF(B88="",0,IF(COUNTIF($B$6:$B$860,B88)&gt;1,1,0))</f>
        <v>0</v>
      </c>
      <c r="AX88" s="269" t="str">
        <f aca="false">IF(AY88=1,DATE(YEAR(O88),MONTH(O88),1),"")</f>
        <v/>
      </c>
      <c r="AY88" s="1" t="n">
        <f aca="false">IF(B88="",0,IF(AND(ISNUMBER(O88),ISNUMBER(P88)),IF(P88&gt;=O88,1,0),0))</f>
        <v>0</v>
      </c>
      <c r="AZ88" s="1" t="n">
        <f aca="false">IF(ISNUMBER(Y88),Y88,0)</f>
        <v>0</v>
      </c>
      <c r="BA88" s="1" t="str">
        <f aca="false">IF(B88="","",IF(AND(R88="WON",AS88=0),"⛔ Beleg fehlt · ","")&amp;IF(AND(R88="WON",AR88=0),"⛔ Einstand fehlt · ","")&amp;IF(AND(R88&lt;&gt;"WON",AR88=0),"○ Einstand offen · ","")&amp;IF(AND(R88="WON",AB88=""),"⛔ Vertragsart fehlt · ","")&amp;IF(AND(ISNUMBER(O88),ISNUMBER(P88)),IF(P88&lt;O88,"⚠ Ende vor Start · ",""),"")&amp;IF(AND(R88="WON",AY88=0,NOT(AND(ISNUMBER(O88),ISNUMBER(P88)))),"⛔ Zeitraum fehlt · ","")&amp;IF(AND(R88&lt;&gt;"WON",AY88=0,NOT(AND(ISNUMBER(O88),ISNUMBER(P88)))),"○ Zeitraum offen · ",""))</f>
        <v/>
      </c>
      <c r="BB88" s="1" t="str">
        <f aca="false">IF(B88="","",IF(AND(R88="WON",AS88=0),"⛔ Nachweis fehlt",IF(AND(ISNUMBER(O88),ISNUMBER(P88),P88&lt;O88),"⚠ Ende vor Start",IF(AND(R88="WON",AY88=0),"⛔ Zeitraum fehlt",IF(AR88=0,"○ Einstand offen",IF(AY88=0,"○ Zeitraum offen",IF(R88="WON","✅ belegt","✔ erfasst")))))))</f>
        <v/>
      </c>
    </row>
    <row r="89" customFormat="false" ht="15" hidden="false" customHeight="true" outlineLevel="0" collapsed="false">
      <c r="A89" s="258"/>
      <c r="B89" s="266"/>
      <c r="C89" s="258"/>
      <c r="D89" s="278"/>
      <c r="E89" s="278"/>
      <c r="F89" s="275"/>
      <c r="G89" s="258" t="str">
        <f aca="false">IF(B89="","",IF(AY89=1,P89-O89+1,IF(AW89="","",AW89)))</f>
        <v/>
      </c>
      <c r="H89" s="262"/>
      <c r="I89" s="275"/>
      <c r="J89" s="275"/>
      <c r="K89" s="275"/>
      <c r="L89" s="275"/>
      <c r="M89" s="275"/>
      <c r="N89" s="275"/>
      <c r="O89" s="263"/>
      <c r="P89" s="263"/>
      <c r="Q89" s="261" t="str">
        <f aca="false">IF(AND(ISNUMBER(I89),ISNUMBER(S89)),I89*AJ89,IF(OR(I89&lt;&gt;"",S89&lt;&gt;""),"tbd",""))</f>
        <v/>
      </c>
      <c r="R89" s="264"/>
      <c r="S89" s="265"/>
      <c r="T89" s="266"/>
      <c r="U89" s="278"/>
      <c r="V89" s="278"/>
      <c r="W89" s="258"/>
      <c r="X89" s="278"/>
      <c r="Y89" s="261" t="str">
        <f aca="false">IF(ISNUMBER(I89),I89/Netto_Faktor,"")</f>
        <v/>
      </c>
      <c r="Z89" s="261" t="str">
        <f aca="false">IF(B89="","",IF(COUNT(J89:N89)=0,"",SUM(J89:N89)))</f>
        <v/>
      </c>
      <c r="AA89" s="266"/>
      <c r="AB89" s="266"/>
      <c r="AC89" s="266"/>
      <c r="AD89" s="266"/>
      <c r="AE89" s="266"/>
      <c r="AF89" s="266"/>
      <c r="AG89" s="267"/>
      <c r="AH89" s="259" t="str">
        <f aca="false">IF(B89="","",IF(BA89="",IF(R89="WON","✅ belegt &amp; vollständig","✔ vollständig"),LEFT(BA89,LEN(BA89)-3)))</f>
        <v/>
      </c>
      <c r="AJ89" s="268" t="n">
        <f aca="false">IF(ISNUMBER(S89),IFERROR(LOOKUP(IF(S89&lt;=1,S89,S89/100),'⚖️ Wahrscheinlichkeit'!$B$17:$B$21,'⚖️ Wahrscheinlichkeit'!$D$17:$D$21),0),0)</f>
        <v>0</v>
      </c>
      <c r="AK89" s="1" t="str">
        <f aca="false">IF(AND(R89="WON",ISNUMBER(I89)),AL89+(861-ROW())*0.000001,"")</f>
        <v/>
      </c>
      <c r="AL89" s="1" t="n">
        <f aca="false">IFERROR(I89*1,0)</f>
        <v>0</v>
      </c>
      <c r="AM89" s="1" t="n">
        <f aca="false">N(AM88)+IF(AND(R89="WON",B89&lt;&gt;""),1,0)</f>
        <v>12</v>
      </c>
      <c r="AN89" s="1" t="n">
        <f aca="false">N(AN88)+IF(AND(OR(R89="offered",R89="to be offered",R89="on hold"),B89&lt;&gt;""),1,0)</f>
        <v>33</v>
      </c>
      <c r="AO89" s="1" t="n">
        <f aca="false">N(AO88)+IF(AND(OR(R89="follow-up",R89="Evaluation",R89="tbd",R89="In evaluation"),B89&lt;&gt;""),1,0)</f>
        <v>1</v>
      </c>
      <c r="AP89" s="1" t="n">
        <f aca="false">IF(B89="",0,IF(COUNTIF('⚖️ Wahrscheinlichkeit'!$J$17:$J$24,R89)&gt;0,1,0))</f>
        <v>0</v>
      </c>
      <c r="AQ89" s="1" t="n">
        <f aca="false">IF(B89="",0,IF(AND(ISNUMBER(S89),COUNTIF('⚖️ Wahrscheinlichkeit'!$B$6:$B$11,S89)&gt;0),1,0))</f>
        <v>0</v>
      </c>
      <c r="AR89" s="1" t="n">
        <f aca="false">IF(B89="",0,IF(AND(COUNT(J89:M89)=4,SUM(J89:M89)&gt;0),1,0))</f>
        <v>0</v>
      </c>
      <c r="AS89" s="1" t="n">
        <f aca="false">IF(B89="",0,IF(AND(AF89&lt;&gt;"",AG89&lt;&gt;""),1,0))</f>
        <v>0</v>
      </c>
      <c r="AT89" s="1" t="n">
        <f aca="false">IF(AND(R89="WON",AS89=1,AR89=1),1,0)</f>
        <v>0</v>
      </c>
      <c r="AU89" s="1" t="n">
        <f aca="false">IF(B89="",0,IF(AD89="Alternative – zählt nicht",0,1))</f>
        <v>0</v>
      </c>
      <c r="AV89" s="1" t="n">
        <f aca="false">IF(B89="",0,IF(COUNTIF($B$6:$B$860,B89)&gt;1,1,0))</f>
        <v>0</v>
      </c>
      <c r="AX89" s="269" t="str">
        <f aca="false">IF(AY89=1,DATE(YEAR(O89),MONTH(O89),1),"")</f>
        <v/>
      </c>
      <c r="AY89" s="1" t="n">
        <f aca="false">IF(B89="",0,IF(AND(ISNUMBER(O89),ISNUMBER(P89)),IF(P89&gt;=O89,1,0),0))</f>
        <v>0</v>
      </c>
      <c r="AZ89" s="1" t="n">
        <f aca="false">IF(ISNUMBER(Y89),Y89,0)</f>
        <v>0</v>
      </c>
      <c r="BA89" s="1" t="str">
        <f aca="false">IF(B89="","",IF(AND(R89="WON",AS89=0),"⛔ Beleg fehlt · ","")&amp;IF(AND(R89="WON",AR89=0),"⛔ Einstand fehlt · ","")&amp;IF(AND(R89&lt;&gt;"WON",AR89=0),"○ Einstand offen · ","")&amp;IF(AND(R89="WON",AB89=""),"⛔ Vertragsart fehlt · ","")&amp;IF(AND(ISNUMBER(O89),ISNUMBER(P89)),IF(P89&lt;O89,"⚠ Ende vor Start · ",""),"")&amp;IF(AND(R89="WON",AY89=0,NOT(AND(ISNUMBER(O89),ISNUMBER(P89)))),"⛔ Zeitraum fehlt · ","")&amp;IF(AND(R89&lt;&gt;"WON",AY89=0,NOT(AND(ISNUMBER(O89),ISNUMBER(P89)))),"○ Zeitraum offen · ",""))</f>
        <v/>
      </c>
      <c r="BB89" s="1" t="str">
        <f aca="false">IF(B89="","",IF(AND(R89="WON",AS89=0),"⛔ Nachweis fehlt",IF(AND(ISNUMBER(O89),ISNUMBER(P89),P89&lt;O89),"⚠ Ende vor Start",IF(AND(R89="WON",AY89=0),"⛔ Zeitraum fehlt",IF(AR89=0,"○ Einstand offen",IF(AY89=0,"○ Zeitraum offen",IF(R89="WON","✅ belegt","✔ erfasst")))))))</f>
        <v/>
      </c>
    </row>
    <row r="90" customFormat="false" ht="15" hidden="false" customHeight="true" outlineLevel="0" collapsed="false">
      <c r="A90" s="258"/>
      <c r="B90" s="266"/>
      <c r="C90" s="258"/>
      <c r="D90" s="278"/>
      <c r="E90" s="278"/>
      <c r="F90" s="275"/>
      <c r="G90" s="258" t="str">
        <f aca="false">IF(B90="","",IF(AY90=1,P90-O90+1,IF(AW90="","",AW90)))</f>
        <v/>
      </c>
      <c r="H90" s="262"/>
      <c r="I90" s="275"/>
      <c r="J90" s="275"/>
      <c r="K90" s="275"/>
      <c r="L90" s="275"/>
      <c r="M90" s="275"/>
      <c r="N90" s="275"/>
      <c r="O90" s="263"/>
      <c r="P90" s="263"/>
      <c r="Q90" s="261" t="str">
        <f aca="false">IF(AND(ISNUMBER(I90),ISNUMBER(S90)),I90*AJ90,IF(OR(I90&lt;&gt;"",S90&lt;&gt;""),"tbd",""))</f>
        <v/>
      </c>
      <c r="R90" s="264"/>
      <c r="S90" s="265"/>
      <c r="T90" s="266"/>
      <c r="U90" s="278"/>
      <c r="V90" s="278"/>
      <c r="W90" s="258"/>
      <c r="X90" s="278"/>
      <c r="Y90" s="261" t="str">
        <f aca="false">IF(ISNUMBER(I90),I90/Netto_Faktor,"")</f>
        <v/>
      </c>
      <c r="Z90" s="261" t="str">
        <f aca="false">IF(B90="","",IF(COUNT(J90:N90)=0,"",SUM(J90:N90)))</f>
        <v/>
      </c>
      <c r="AA90" s="266"/>
      <c r="AB90" s="266"/>
      <c r="AC90" s="266"/>
      <c r="AD90" s="266"/>
      <c r="AE90" s="266"/>
      <c r="AF90" s="266"/>
      <c r="AG90" s="267"/>
      <c r="AH90" s="259" t="str">
        <f aca="false">IF(B90="","",IF(BA90="",IF(R90="WON","✅ belegt &amp; vollständig","✔ vollständig"),LEFT(BA90,LEN(BA90)-3)))</f>
        <v/>
      </c>
      <c r="AJ90" s="268" t="n">
        <f aca="false">IF(ISNUMBER(S90),IFERROR(LOOKUP(IF(S90&lt;=1,S90,S90/100),'⚖️ Wahrscheinlichkeit'!$B$17:$B$21,'⚖️ Wahrscheinlichkeit'!$D$17:$D$21),0),0)</f>
        <v>0</v>
      </c>
      <c r="AK90" s="1" t="str">
        <f aca="false">IF(AND(R90="WON",ISNUMBER(I90)),AL90+(861-ROW())*0.000001,"")</f>
        <v/>
      </c>
      <c r="AL90" s="1" t="n">
        <f aca="false">IFERROR(I90*1,0)</f>
        <v>0</v>
      </c>
      <c r="AM90" s="1" t="n">
        <f aca="false">N(AM89)+IF(AND(R90="WON",B90&lt;&gt;""),1,0)</f>
        <v>12</v>
      </c>
      <c r="AN90" s="1" t="n">
        <f aca="false">N(AN89)+IF(AND(OR(R90="offered",R90="to be offered",R90="on hold"),B90&lt;&gt;""),1,0)</f>
        <v>33</v>
      </c>
      <c r="AO90" s="1" t="n">
        <f aca="false">N(AO89)+IF(AND(OR(R90="follow-up",R90="Evaluation",R90="tbd",R90="In evaluation"),B90&lt;&gt;""),1,0)</f>
        <v>1</v>
      </c>
      <c r="AP90" s="1" t="n">
        <f aca="false">IF(B90="",0,IF(COUNTIF('⚖️ Wahrscheinlichkeit'!$J$17:$J$24,R90)&gt;0,1,0))</f>
        <v>0</v>
      </c>
      <c r="AQ90" s="1" t="n">
        <f aca="false">IF(B90="",0,IF(AND(ISNUMBER(S90),COUNTIF('⚖️ Wahrscheinlichkeit'!$B$6:$B$11,S90)&gt;0),1,0))</f>
        <v>0</v>
      </c>
      <c r="AR90" s="1" t="n">
        <f aca="false">IF(B90="",0,IF(AND(COUNT(J90:M90)=4,SUM(J90:M90)&gt;0),1,0))</f>
        <v>0</v>
      </c>
      <c r="AS90" s="1" t="n">
        <f aca="false">IF(B90="",0,IF(AND(AF90&lt;&gt;"",AG90&lt;&gt;""),1,0))</f>
        <v>0</v>
      </c>
      <c r="AT90" s="1" t="n">
        <f aca="false">IF(AND(R90="WON",AS90=1,AR90=1),1,0)</f>
        <v>0</v>
      </c>
      <c r="AU90" s="1" t="n">
        <f aca="false">IF(B90="",0,IF(AD90="Alternative – zählt nicht",0,1))</f>
        <v>0</v>
      </c>
      <c r="AV90" s="1" t="n">
        <f aca="false">IF(B90="",0,IF(COUNTIF($B$6:$B$860,B90)&gt;1,1,0))</f>
        <v>0</v>
      </c>
      <c r="AX90" s="269" t="str">
        <f aca="false">IF(AY90=1,DATE(YEAR(O90),MONTH(O90),1),"")</f>
        <v/>
      </c>
      <c r="AY90" s="1" t="n">
        <f aca="false">IF(B90="",0,IF(AND(ISNUMBER(O90),ISNUMBER(P90)),IF(P90&gt;=O90,1,0),0))</f>
        <v>0</v>
      </c>
      <c r="AZ90" s="1" t="n">
        <f aca="false">IF(ISNUMBER(Y90),Y90,0)</f>
        <v>0</v>
      </c>
      <c r="BA90" s="1" t="str">
        <f aca="false">IF(B90="","",IF(AND(R90="WON",AS90=0),"⛔ Beleg fehlt · ","")&amp;IF(AND(R90="WON",AR90=0),"⛔ Einstand fehlt · ","")&amp;IF(AND(R90&lt;&gt;"WON",AR90=0),"○ Einstand offen · ","")&amp;IF(AND(R90="WON",AB90=""),"⛔ Vertragsart fehlt · ","")&amp;IF(AND(ISNUMBER(O90),ISNUMBER(P90)),IF(P90&lt;O90,"⚠ Ende vor Start · ",""),"")&amp;IF(AND(R90="WON",AY90=0,NOT(AND(ISNUMBER(O90),ISNUMBER(P90)))),"⛔ Zeitraum fehlt · ","")&amp;IF(AND(R90&lt;&gt;"WON",AY90=0,NOT(AND(ISNUMBER(O90),ISNUMBER(P90)))),"○ Zeitraum offen · ",""))</f>
        <v/>
      </c>
      <c r="BB90" s="1" t="str">
        <f aca="false">IF(B90="","",IF(AND(R90="WON",AS90=0),"⛔ Nachweis fehlt",IF(AND(ISNUMBER(O90),ISNUMBER(P90),P90&lt;O90),"⚠ Ende vor Start",IF(AND(R90="WON",AY90=0),"⛔ Zeitraum fehlt",IF(AR90=0,"○ Einstand offen",IF(AY90=0,"○ Zeitraum offen",IF(R90="WON","✅ belegt","✔ erfasst")))))))</f>
        <v/>
      </c>
    </row>
    <row r="91" customFormat="false" ht="15" hidden="false" customHeight="true" outlineLevel="0" collapsed="false">
      <c r="A91" s="258"/>
      <c r="B91" s="266"/>
      <c r="C91" s="258"/>
      <c r="D91" s="278"/>
      <c r="E91" s="278"/>
      <c r="F91" s="275"/>
      <c r="G91" s="258" t="str">
        <f aca="false">IF(B91="","",IF(AY91=1,P91-O91+1,IF(AW91="","",AW91)))</f>
        <v/>
      </c>
      <c r="H91" s="262"/>
      <c r="I91" s="275"/>
      <c r="J91" s="275"/>
      <c r="K91" s="275"/>
      <c r="L91" s="275"/>
      <c r="M91" s="275"/>
      <c r="N91" s="275"/>
      <c r="O91" s="263"/>
      <c r="P91" s="263"/>
      <c r="Q91" s="275" t="str">
        <f aca="false">IF(AND(ISNUMBER(I91),ISNUMBER(S91)),I91*AJ91,IF(OR(I91&lt;&gt;"",S91&lt;&gt;""),"tbd",""))</f>
        <v/>
      </c>
      <c r="R91" s="264"/>
      <c r="S91" s="265"/>
      <c r="T91" s="266"/>
      <c r="U91" s="278"/>
      <c r="V91" s="278"/>
      <c r="W91" s="258"/>
      <c r="X91" s="278"/>
      <c r="Y91" s="275" t="str">
        <f aca="false">IF(ISNUMBER(I91),I91/Netto_Faktor,"")</f>
        <v/>
      </c>
      <c r="Z91" s="275" t="str">
        <f aca="false">IF(B91="","",IF(COUNT(J91:N91)=0,"",SUM(J91:N91)))</f>
        <v/>
      </c>
      <c r="AA91" s="266"/>
      <c r="AB91" s="266"/>
      <c r="AC91" s="266"/>
      <c r="AD91" s="266"/>
      <c r="AE91" s="266"/>
      <c r="AF91" s="266"/>
      <c r="AG91" s="267"/>
      <c r="AH91" s="266" t="str">
        <f aca="false">IF(B91="","",IF(BA91="",IF(R91="WON","✅ belegt &amp; vollständig","✔ vollständig"),LEFT(BA91,LEN(BA91)-3)))</f>
        <v/>
      </c>
      <c r="AJ91" s="268" t="n">
        <f aca="false">IF(ISNUMBER(S91),IFERROR(LOOKUP(IF(S91&lt;=1,S91,S91/100),'⚖️ Wahrscheinlichkeit'!$B$17:$B$21,'⚖️ Wahrscheinlichkeit'!$D$17:$D$21),0),0)</f>
        <v>0</v>
      </c>
      <c r="AK91" s="1" t="str">
        <f aca="false">IF(AND(R91="WON",ISNUMBER(I91)),AL91+(861-ROW())*0.000001,"")</f>
        <v/>
      </c>
      <c r="AL91" s="1" t="n">
        <f aca="false">IFERROR(I91*1,0)</f>
        <v>0</v>
      </c>
      <c r="AM91" s="1" t="n">
        <f aca="false">N(AM90)+IF(AND(R91="WON",B91&lt;&gt;""),1,0)</f>
        <v>12</v>
      </c>
      <c r="AN91" s="1" t="n">
        <f aca="false">N(AN90)+IF(AND(OR(R91="offered",R91="to be offered",R91="on hold"),B91&lt;&gt;""),1,0)</f>
        <v>33</v>
      </c>
      <c r="AO91" s="1" t="n">
        <f aca="false">N(AO90)+IF(AND(OR(R91="follow-up",R91="Evaluation",R91="tbd",R91="In evaluation"),B91&lt;&gt;""),1,0)</f>
        <v>1</v>
      </c>
      <c r="AP91" s="1" t="n">
        <f aca="false">IF(B91="",0,IF(COUNTIF('⚖️ Wahrscheinlichkeit'!$J$17:$J$24,R91)&gt;0,1,0))</f>
        <v>0</v>
      </c>
      <c r="AQ91" s="1" t="n">
        <f aca="false">IF(B91="",0,IF(AND(ISNUMBER(S91),COUNTIF('⚖️ Wahrscheinlichkeit'!$B$6:$B$11,S91)&gt;0),1,0))</f>
        <v>0</v>
      </c>
      <c r="AR91" s="1" t="n">
        <f aca="false">IF(B91="",0,IF(AND(COUNT(J91:M91)=4,SUM(J91:M91)&gt;0),1,0))</f>
        <v>0</v>
      </c>
      <c r="AS91" s="1" t="n">
        <f aca="false">IF(B91="",0,IF(AND(AF91&lt;&gt;"",AG91&lt;&gt;""),1,0))</f>
        <v>0</v>
      </c>
      <c r="AT91" s="1" t="n">
        <f aca="false">IF(AND(R91="WON",AS91=1,AR91=1),1,0)</f>
        <v>0</v>
      </c>
      <c r="AU91" s="1" t="n">
        <f aca="false">IF(B91="",0,IF(AD91="Alternative – zählt nicht",0,1))</f>
        <v>0</v>
      </c>
      <c r="AV91" s="1" t="n">
        <f aca="false">IF(B91="",0,IF(COUNTIF($B$6:$B$860,B91)&gt;1,1,0))</f>
        <v>0</v>
      </c>
      <c r="AX91" s="269" t="str">
        <f aca="false">IF(AY91=1,DATE(YEAR(O91),MONTH(O91),1),"")</f>
        <v/>
      </c>
      <c r="AY91" s="1" t="n">
        <f aca="false">IF(B91="",0,IF(AND(ISNUMBER(O91),ISNUMBER(P91)),IF(P91&gt;=O91,1,0),0))</f>
        <v>0</v>
      </c>
      <c r="AZ91" s="1" t="n">
        <f aca="false">IF(ISNUMBER(Y91),Y91,0)</f>
        <v>0</v>
      </c>
      <c r="BA91" s="1" t="str">
        <f aca="false">IF(B91="","",IF(AND(R91="WON",AS91=0),"⛔ Beleg fehlt · ","")&amp;IF(AND(R91="WON",AR91=0),"⛔ Einstand fehlt · ","")&amp;IF(AND(R91&lt;&gt;"WON",AR91=0),"○ Einstand offen · ","")&amp;IF(AND(R91="WON",AB91=""),"⛔ Vertragsart fehlt · ","")&amp;IF(AND(ISNUMBER(O91),ISNUMBER(P91)),IF(P91&lt;O91,"⚠ Ende vor Start · ",""),"")&amp;IF(AND(R91="WON",AY91=0,NOT(AND(ISNUMBER(O91),ISNUMBER(P91)))),"⛔ Zeitraum fehlt · ","")&amp;IF(AND(R91&lt;&gt;"WON",AY91=0,NOT(AND(ISNUMBER(O91),ISNUMBER(P91)))),"○ Zeitraum offen · ",""))</f>
        <v/>
      </c>
      <c r="BB91" s="1" t="str">
        <f aca="false">IF(B91="","",IF(AND(R91="WON",AS91=0),"⛔ Nachweis fehlt",IF(AND(ISNUMBER(O91),ISNUMBER(P91),P91&lt;O91),"⚠ Ende vor Start",IF(AND(R91="WON",AY91=0),"⛔ Zeitraum fehlt",IF(AR91=0,"○ Einstand offen",IF(AY91=0,"○ Zeitraum offen",IF(R91="WON","✅ belegt","✔ erfasst")))))))</f>
        <v/>
      </c>
    </row>
    <row r="92" customFormat="false" ht="15" hidden="false" customHeight="true" outlineLevel="0" collapsed="false">
      <c r="A92" s="258"/>
      <c r="B92" s="266"/>
      <c r="C92" s="258"/>
      <c r="D92" s="278"/>
      <c r="E92" s="278"/>
      <c r="F92" s="275"/>
      <c r="G92" s="258" t="str">
        <f aca="false">IF(B92="","",IF(AY92=1,P92-O92+1,IF(AW92="","",AW92)))</f>
        <v/>
      </c>
      <c r="H92" s="262"/>
      <c r="I92" s="275"/>
      <c r="J92" s="275"/>
      <c r="K92" s="275"/>
      <c r="L92" s="275"/>
      <c r="M92" s="275"/>
      <c r="N92" s="275"/>
      <c r="O92" s="263"/>
      <c r="P92" s="263"/>
      <c r="Q92" s="275" t="str">
        <f aca="false">IF(AND(ISNUMBER(I92),ISNUMBER(S92)),I92*AJ92,IF(OR(I92&lt;&gt;"",S92&lt;&gt;""),"tbd",""))</f>
        <v/>
      </c>
      <c r="R92" s="264"/>
      <c r="S92" s="265"/>
      <c r="T92" s="266"/>
      <c r="U92" s="278"/>
      <c r="V92" s="278"/>
      <c r="W92" s="258"/>
      <c r="X92" s="278"/>
      <c r="Y92" s="275" t="str">
        <f aca="false">IF(ISNUMBER(I92),I92/Netto_Faktor,"")</f>
        <v/>
      </c>
      <c r="Z92" s="275" t="str">
        <f aca="false">IF(B92="","",IF(COUNT(J92:N92)=0,"",SUM(J92:N92)))</f>
        <v/>
      </c>
      <c r="AA92" s="266"/>
      <c r="AB92" s="266"/>
      <c r="AC92" s="266"/>
      <c r="AD92" s="266"/>
      <c r="AE92" s="266"/>
      <c r="AF92" s="266"/>
      <c r="AG92" s="267"/>
      <c r="AH92" s="266" t="str">
        <f aca="false">IF(B92="","",IF(BA92="",IF(R92="WON","✅ belegt &amp; vollständig","✔ vollständig"),LEFT(BA92,LEN(BA92)-3)))</f>
        <v/>
      </c>
      <c r="AJ92" s="268" t="n">
        <f aca="false">IF(ISNUMBER(S92),IFERROR(LOOKUP(IF(S92&lt;=1,S92,S92/100),'⚖️ Wahrscheinlichkeit'!$B$17:$B$21,'⚖️ Wahrscheinlichkeit'!$D$17:$D$21),0),0)</f>
        <v>0</v>
      </c>
      <c r="AK92" s="1" t="str">
        <f aca="false">IF(AND(R92="WON",ISNUMBER(I92)),AL92+(861-ROW())*0.000001,"")</f>
        <v/>
      </c>
      <c r="AL92" s="1" t="n">
        <f aca="false">IFERROR(I92*1,0)</f>
        <v>0</v>
      </c>
      <c r="AM92" s="1" t="n">
        <f aca="false">N(AM91)+IF(AND(R92="WON",B92&lt;&gt;""),1,0)</f>
        <v>12</v>
      </c>
      <c r="AN92" s="1" t="n">
        <f aca="false">N(AN91)+IF(AND(OR(R92="offered",R92="to be offered",R92="on hold"),B92&lt;&gt;""),1,0)</f>
        <v>33</v>
      </c>
      <c r="AO92" s="1" t="n">
        <f aca="false">N(AO91)+IF(AND(OR(R92="follow-up",R92="Evaluation",R92="tbd",R92="In evaluation"),B92&lt;&gt;""),1,0)</f>
        <v>1</v>
      </c>
      <c r="AP92" s="1" t="n">
        <f aca="false">IF(B92="",0,IF(COUNTIF('⚖️ Wahrscheinlichkeit'!$J$17:$J$24,R92)&gt;0,1,0))</f>
        <v>0</v>
      </c>
      <c r="AQ92" s="1" t="n">
        <f aca="false">IF(B92="",0,IF(AND(ISNUMBER(S92),COUNTIF('⚖️ Wahrscheinlichkeit'!$B$6:$B$11,S92)&gt;0),1,0))</f>
        <v>0</v>
      </c>
      <c r="AR92" s="1" t="n">
        <f aca="false">IF(B92="",0,IF(AND(COUNT(J92:M92)=4,SUM(J92:M92)&gt;0),1,0))</f>
        <v>0</v>
      </c>
      <c r="AS92" s="1" t="n">
        <f aca="false">IF(B92="",0,IF(AND(AF92&lt;&gt;"",AG92&lt;&gt;""),1,0))</f>
        <v>0</v>
      </c>
      <c r="AT92" s="1" t="n">
        <f aca="false">IF(AND(R92="WON",AS92=1,AR92=1),1,0)</f>
        <v>0</v>
      </c>
      <c r="AU92" s="1" t="n">
        <f aca="false">IF(B92="",0,IF(AD92="Alternative – zählt nicht",0,1))</f>
        <v>0</v>
      </c>
      <c r="AV92" s="1" t="n">
        <f aca="false">IF(B92="",0,IF(COUNTIF($B$6:$B$860,B92)&gt;1,1,0))</f>
        <v>0</v>
      </c>
      <c r="AX92" s="269" t="str">
        <f aca="false">IF(AY92=1,DATE(YEAR(O92),MONTH(O92),1),"")</f>
        <v/>
      </c>
      <c r="AY92" s="1" t="n">
        <f aca="false">IF(B92="",0,IF(AND(ISNUMBER(O92),ISNUMBER(P92)),IF(P92&gt;=O92,1,0),0))</f>
        <v>0</v>
      </c>
      <c r="AZ92" s="1" t="n">
        <f aca="false">IF(ISNUMBER(Y92),Y92,0)</f>
        <v>0</v>
      </c>
      <c r="BA92" s="1" t="str">
        <f aca="false">IF(B92="","",IF(AND(R92="WON",AS92=0),"⛔ Beleg fehlt · ","")&amp;IF(AND(R92="WON",AR92=0),"⛔ Einstand fehlt · ","")&amp;IF(AND(R92&lt;&gt;"WON",AR92=0),"○ Einstand offen · ","")&amp;IF(AND(R92="WON",AB92=""),"⛔ Vertragsart fehlt · ","")&amp;IF(AND(ISNUMBER(O92),ISNUMBER(P92)),IF(P92&lt;O92,"⚠ Ende vor Start · ",""),"")&amp;IF(AND(R92="WON",AY92=0,NOT(AND(ISNUMBER(O92),ISNUMBER(P92)))),"⛔ Zeitraum fehlt · ","")&amp;IF(AND(R92&lt;&gt;"WON",AY92=0,NOT(AND(ISNUMBER(O92),ISNUMBER(P92)))),"○ Zeitraum offen · ",""))</f>
        <v/>
      </c>
      <c r="BB92" s="1" t="str">
        <f aca="false">IF(B92="","",IF(AND(R92="WON",AS92=0),"⛔ Nachweis fehlt",IF(AND(ISNUMBER(O92),ISNUMBER(P92),P92&lt;O92),"⚠ Ende vor Start",IF(AND(R92="WON",AY92=0),"⛔ Zeitraum fehlt",IF(AR92=0,"○ Einstand offen",IF(AY92=0,"○ Zeitraum offen",IF(R92="WON","✅ belegt","✔ erfasst")))))))</f>
        <v/>
      </c>
    </row>
    <row r="93" customFormat="false" ht="15" hidden="false" customHeight="true" outlineLevel="0" collapsed="false">
      <c r="A93" s="258"/>
      <c r="B93" s="266"/>
      <c r="C93" s="258"/>
      <c r="D93" s="278"/>
      <c r="E93" s="278"/>
      <c r="F93" s="275"/>
      <c r="G93" s="258" t="str">
        <f aca="false">IF(B93="","",IF(AY93=1,P93-O93+1,IF(AW93="","",AW93)))</f>
        <v/>
      </c>
      <c r="H93" s="262"/>
      <c r="I93" s="275"/>
      <c r="J93" s="275"/>
      <c r="K93" s="275"/>
      <c r="L93" s="275"/>
      <c r="M93" s="275"/>
      <c r="N93" s="275"/>
      <c r="O93" s="263"/>
      <c r="P93" s="263"/>
      <c r="Q93" s="275" t="str">
        <f aca="false">IF(AND(ISNUMBER(I93),ISNUMBER(S93)),I93*AJ93,IF(OR(I93&lt;&gt;"",S93&lt;&gt;""),"tbd",""))</f>
        <v/>
      </c>
      <c r="R93" s="264"/>
      <c r="S93" s="265"/>
      <c r="T93" s="266"/>
      <c r="U93" s="278"/>
      <c r="V93" s="278"/>
      <c r="W93" s="258"/>
      <c r="X93" s="278"/>
      <c r="Y93" s="275" t="str">
        <f aca="false">IF(ISNUMBER(I93),I93/Netto_Faktor,"")</f>
        <v/>
      </c>
      <c r="Z93" s="275" t="str">
        <f aca="false">IF(B93="","",IF(COUNT(J93:N93)=0,"",SUM(J93:N93)))</f>
        <v/>
      </c>
      <c r="AA93" s="266"/>
      <c r="AB93" s="266"/>
      <c r="AC93" s="266"/>
      <c r="AD93" s="266"/>
      <c r="AE93" s="266"/>
      <c r="AF93" s="266"/>
      <c r="AG93" s="267"/>
      <c r="AH93" s="266" t="str">
        <f aca="false">IF(B93="","",IF(BA93="",IF(R93="WON","✅ belegt &amp; vollständig","✔ vollständig"),LEFT(BA93,LEN(BA93)-3)))</f>
        <v/>
      </c>
      <c r="AJ93" s="268" t="n">
        <f aca="false">IF(ISNUMBER(S93),IFERROR(LOOKUP(IF(S93&lt;=1,S93,S93/100),'⚖️ Wahrscheinlichkeit'!$B$17:$B$21,'⚖️ Wahrscheinlichkeit'!$D$17:$D$21),0),0)</f>
        <v>0</v>
      </c>
      <c r="AK93" s="1" t="str">
        <f aca="false">IF(AND(R93="WON",ISNUMBER(I93)),AL93+(861-ROW())*0.000001,"")</f>
        <v/>
      </c>
      <c r="AL93" s="1" t="n">
        <f aca="false">IFERROR(I93*1,0)</f>
        <v>0</v>
      </c>
      <c r="AM93" s="1" t="n">
        <f aca="false">N(AM92)+IF(AND(R93="WON",B93&lt;&gt;""),1,0)</f>
        <v>12</v>
      </c>
      <c r="AN93" s="1" t="n">
        <f aca="false">N(AN92)+IF(AND(OR(R93="offered",R93="to be offered",R93="on hold"),B93&lt;&gt;""),1,0)</f>
        <v>33</v>
      </c>
      <c r="AO93" s="1" t="n">
        <f aca="false">N(AO92)+IF(AND(OR(R93="follow-up",R93="Evaluation",R93="tbd",R93="In evaluation"),B93&lt;&gt;""),1,0)</f>
        <v>1</v>
      </c>
      <c r="AP93" s="1" t="n">
        <f aca="false">IF(B93="",0,IF(COUNTIF('⚖️ Wahrscheinlichkeit'!$J$17:$J$24,R93)&gt;0,1,0))</f>
        <v>0</v>
      </c>
      <c r="AQ93" s="1" t="n">
        <f aca="false">IF(B93="",0,IF(AND(ISNUMBER(S93),COUNTIF('⚖️ Wahrscheinlichkeit'!$B$6:$B$11,S93)&gt;0),1,0))</f>
        <v>0</v>
      </c>
      <c r="AR93" s="1" t="n">
        <f aca="false">IF(B93="",0,IF(AND(COUNT(J93:M93)=4,SUM(J93:M93)&gt;0),1,0))</f>
        <v>0</v>
      </c>
      <c r="AS93" s="1" t="n">
        <f aca="false">IF(B93="",0,IF(AND(AF93&lt;&gt;"",AG93&lt;&gt;""),1,0))</f>
        <v>0</v>
      </c>
      <c r="AT93" s="1" t="n">
        <f aca="false">IF(AND(R93="WON",AS93=1,AR93=1),1,0)</f>
        <v>0</v>
      </c>
      <c r="AU93" s="1" t="n">
        <f aca="false">IF(B93="",0,IF(AD93="Alternative – zählt nicht",0,1))</f>
        <v>0</v>
      </c>
      <c r="AV93" s="1" t="n">
        <f aca="false">IF(B93="",0,IF(COUNTIF($B$6:$B$860,B93)&gt;1,1,0))</f>
        <v>0</v>
      </c>
      <c r="AX93" s="269" t="str">
        <f aca="false">IF(AY93=1,DATE(YEAR(O93),MONTH(O93),1),"")</f>
        <v/>
      </c>
      <c r="AY93" s="1" t="n">
        <f aca="false">IF(B93="",0,IF(AND(ISNUMBER(O93),ISNUMBER(P93)),IF(P93&gt;=O93,1,0),0))</f>
        <v>0</v>
      </c>
      <c r="AZ93" s="1" t="n">
        <f aca="false">IF(ISNUMBER(Y93),Y93,0)</f>
        <v>0</v>
      </c>
      <c r="BA93" s="1" t="str">
        <f aca="false">IF(B93="","",IF(AND(R93="WON",AS93=0),"⛔ Beleg fehlt · ","")&amp;IF(AND(R93="WON",AR93=0),"⛔ Einstand fehlt · ","")&amp;IF(AND(R93&lt;&gt;"WON",AR93=0),"○ Einstand offen · ","")&amp;IF(AND(R93="WON",AB93=""),"⛔ Vertragsart fehlt · ","")&amp;IF(AND(ISNUMBER(O93),ISNUMBER(P93)),IF(P93&lt;O93,"⚠ Ende vor Start · ",""),"")&amp;IF(AND(R93="WON",AY93=0,NOT(AND(ISNUMBER(O93),ISNUMBER(P93)))),"⛔ Zeitraum fehlt · ","")&amp;IF(AND(R93&lt;&gt;"WON",AY93=0,NOT(AND(ISNUMBER(O93),ISNUMBER(P93)))),"○ Zeitraum offen · ",""))</f>
        <v/>
      </c>
      <c r="BB93" s="1" t="str">
        <f aca="false">IF(B93="","",IF(AND(R93="WON",AS93=0),"⛔ Nachweis fehlt",IF(AND(ISNUMBER(O93),ISNUMBER(P93),P93&lt;O93),"⚠ Ende vor Start",IF(AND(R93="WON",AY93=0),"⛔ Zeitraum fehlt",IF(AR93=0,"○ Einstand offen",IF(AY93=0,"○ Zeitraum offen",IF(R93="WON","✅ belegt","✔ erfasst")))))))</f>
        <v/>
      </c>
    </row>
    <row r="94" customFormat="false" ht="15" hidden="false" customHeight="true" outlineLevel="0" collapsed="false">
      <c r="A94" s="258"/>
      <c r="B94" s="266"/>
      <c r="C94" s="258"/>
      <c r="D94" s="278"/>
      <c r="E94" s="278"/>
      <c r="F94" s="275"/>
      <c r="G94" s="258" t="str">
        <f aca="false">IF(B94="","",IF(AY94=1,P94-O94+1,IF(AW94="","",AW94)))</f>
        <v/>
      </c>
      <c r="H94" s="262"/>
      <c r="I94" s="275"/>
      <c r="J94" s="275"/>
      <c r="K94" s="275"/>
      <c r="L94" s="275"/>
      <c r="M94" s="275"/>
      <c r="N94" s="275"/>
      <c r="O94" s="263"/>
      <c r="P94" s="263"/>
      <c r="Q94" s="275" t="str">
        <f aca="false">IF(AND(ISNUMBER(I94),ISNUMBER(S94)),I94*AJ94,IF(OR(I94&lt;&gt;"",S94&lt;&gt;""),"tbd",""))</f>
        <v/>
      </c>
      <c r="R94" s="264"/>
      <c r="S94" s="265"/>
      <c r="T94" s="266"/>
      <c r="U94" s="278"/>
      <c r="V94" s="278"/>
      <c r="W94" s="258"/>
      <c r="X94" s="278"/>
      <c r="Y94" s="275" t="str">
        <f aca="false">IF(ISNUMBER(I94),I94/Netto_Faktor,"")</f>
        <v/>
      </c>
      <c r="Z94" s="275" t="str">
        <f aca="false">IF(B94="","",IF(COUNT(J94:N94)=0,"",SUM(J94:N94)))</f>
        <v/>
      </c>
      <c r="AA94" s="266"/>
      <c r="AB94" s="266"/>
      <c r="AC94" s="266"/>
      <c r="AD94" s="266"/>
      <c r="AE94" s="266"/>
      <c r="AF94" s="266"/>
      <c r="AG94" s="267"/>
      <c r="AH94" s="266" t="str">
        <f aca="false">IF(B94="","",IF(BA94="",IF(R94="WON","✅ belegt &amp; vollständig","✔ vollständig"),LEFT(BA94,LEN(BA94)-3)))</f>
        <v/>
      </c>
      <c r="AJ94" s="268" t="n">
        <f aca="false">IF(ISNUMBER(S94),IFERROR(LOOKUP(IF(S94&lt;=1,S94,S94/100),'⚖️ Wahrscheinlichkeit'!$B$17:$B$21,'⚖️ Wahrscheinlichkeit'!$D$17:$D$21),0),0)</f>
        <v>0</v>
      </c>
      <c r="AK94" s="1" t="str">
        <f aca="false">IF(AND(R94="WON",ISNUMBER(I94)),AL94+(861-ROW())*0.000001,"")</f>
        <v/>
      </c>
      <c r="AL94" s="1" t="n">
        <f aca="false">IFERROR(I94*1,0)</f>
        <v>0</v>
      </c>
      <c r="AM94" s="1" t="n">
        <f aca="false">N(AM93)+IF(AND(R94="WON",B94&lt;&gt;""),1,0)</f>
        <v>12</v>
      </c>
      <c r="AN94" s="1" t="n">
        <f aca="false">N(AN93)+IF(AND(OR(R94="offered",R94="to be offered",R94="on hold"),B94&lt;&gt;""),1,0)</f>
        <v>33</v>
      </c>
      <c r="AO94" s="1" t="n">
        <f aca="false">N(AO93)+IF(AND(OR(R94="follow-up",R94="Evaluation",R94="tbd",R94="In evaluation"),B94&lt;&gt;""),1,0)</f>
        <v>1</v>
      </c>
      <c r="AP94" s="1" t="n">
        <f aca="false">IF(B94="",0,IF(COUNTIF('⚖️ Wahrscheinlichkeit'!$J$17:$J$24,R94)&gt;0,1,0))</f>
        <v>0</v>
      </c>
      <c r="AQ94" s="1" t="n">
        <f aca="false">IF(B94="",0,IF(AND(ISNUMBER(S94),COUNTIF('⚖️ Wahrscheinlichkeit'!$B$6:$B$11,S94)&gt;0),1,0))</f>
        <v>0</v>
      </c>
      <c r="AR94" s="1" t="n">
        <f aca="false">IF(B94="",0,IF(AND(COUNT(J94:M94)=4,SUM(J94:M94)&gt;0),1,0))</f>
        <v>0</v>
      </c>
      <c r="AS94" s="1" t="n">
        <f aca="false">IF(B94="",0,IF(AND(AF94&lt;&gt;"",AG94&lt;&gt;""),1,0))</f>
        <v>0</v>
      </c>
      <c r="AT94" s="1" t="n">
        <f aca="false">IF(AND(R94="WON",AS94=1,AR94=1),1,0)</f>
        <v>0</v>
      </c>
      <c r="AU94" s="1" t="n">
        <f aca="false">IF(B94="",0,IF(AD94="Alternative – zählt nicht",0,1))</f>
        <v>0</v>
      </c>
      <c r="AV94" s="1" t="n">
        <f aca="false">IF(B94="",0,IF(COUNTIF($B$6:$B$860,B94)&gt;1,1,0))</f>
        <v>0</v>
      </c>
      <c r="AX94" s="269" t="str">
        <f aca="false">IF(AY94=1,DATE(YEAR(O94),MONTH(O94),1),"")</f>
        <v/>
      </c>
      <c r="AY94" s="1" t="n">
        <f aca="false">IF(B94="",0,IF(AND(ISNUMBER(O94),ISNUMBER(P94)),IF(P94&gt;=O94,1,0),0))</f>
        <v>0</v>
      </c>
      <c r="AZ94" s="1" t="n">
        <f aca="false">IF(ISNUMBER(Y94),Y94,0)</f>
        <v>0</v>
      </c>
      <c r="BA94" s="1" t="str">
        <f aca="false">IF(B94="","",IF(AND(R94="WON",AS94=0),"⛔ Beleg fehlt · ","")&amp;IF(AND(R94="WON",AR94=0),"⛔ Einstand fehlt · ","")&amp;IF(AND(R94&lt;&gt;"WON",AR94=0),"○ Einstand offen · ","")&amp;IF(AND(R94="WON",AB94=""),"⛔ Vertragsart fehlt · ","")&amp;IF(AND(ISNUMBER(O94),ISNUMBER(P94)),IF(P94&lt;O94,"⚠ Ende vor Start · ",""),"")&amp;IF(AND(R94="WON",AY94=0,NOT(AND(ISNUMBER(O94),ISNUMBER(P94)))),"⛔ Zeitraum fehlt · ","")&amp;IF(AND(R94&lt;&gt;"WON",AY94=0,NOT(AND(ISNUMBER(O94),ISNUMBER(P94)))),"○ Zeitraum offen · ",""))</f>
        <v/>
      </c>
      <c r="BB94" s="1" t="str">
        <f aca="false">IF(B94="","",IF(AND(R94="WON",AS94=0),"⛔ Nachweis fehlt",IF(AND(ISNUMBER(O94),ISNUMBER(P94),P94&lt;O94),"⚠ Ende vor Start",IF(AND(R94="WON",AY94=0),"⛔ Zeitraum fehlt",IF(AR94=0,"○ Einstand offen",IF(AY94=0,"○ Zeitraum offen",IF(R94="WON","✅ belegt","✔ erfasst")))))))</f>
        <v/>
      </c>
    </row>
    <row r="95" customFormat="false" ht="15" hidden="false" customHeight="true" outlineLevel="0" collapsed="false">
      <c r="A95" s="258"/>
      <c r="B95" s="266"/>
      <c r="C95" s="258"/>
      <c r="D95" s="278"/>
      <c r="E95" s="278"/>
      <c r="F95" s="275"/>
      <c r="G95" s="258" t="str">
        <f aca="false">IF(B95="","",IF(AY95=1,P95-O95+1,IF(AW95="","",AW95)))</f>
        <v/>
      </c>
      <c r="H95" s="262"/>
      <c r="I95" s="275"/>
      <c r="J95" s="275"/>
      <c r="K95" s="275"/>
      <c r="L95" s="275"/>
      <c r="M95" s="275"/>
      <c r="N95" s="275"/>
      <c r="O95" s="263"/>
      <c r="P95" s="263"/>
      <c r="Q95" s="275" t="str">
        <f aca="false">IF(AND(ISNUMBER(I95),ISNUMBER(S95)),I95*AJ95,IF(OR(I95&lt;&gt;"",S95&lt;&gt;""),"tbd",""))</f>
        <v/>
      </c>
      <c r="R95" s="264"/>
      <c r="S95" s="265"/>
      <c r="T95" s="266"/>
      <c r="U95" s="278"/>
      <c r="V95" s="278"/>
      <c r="W95" s="258"/>
      <c r="X95" s="278"/>
      <c r="Y95" s="275" t="str">
        <f aca="false">IF(ISNUMBER(I95),I95/Netto_Faktor,"")</f>
        <v/>
      </c>
      <c r="Z95" s="275" t="str">
        <f aca="false">IF(B95="","",IF(COUNT(J95:N95)=0,"",SUM(J95:N95)))</f>
        <v/>
      </c>
      <c r="AA95" s="266"/>
      <c r="AB95" s="266"/>
      <c r="AC95" s="266"/>
      <c r="AD95" s="266"/>
      <c r="AE95" s="266"/>
      <c r="AF95" s="266"/>
      <c r="AG95" s="267"/>
      <c r="AH95" s="266" t="str">
        <f aca="false">IF(B95="","",IF(BA95="",IF(R95="WON","✅ belegt &amp; vollständig","✔ vollständig"),LEFT(BA95,LEN(BA95)-3)))</f>
        <v/>
      </c>
      <c r="AJ95" s="268" t="n">
        <f aca="false">IF(ISNUMBER(S95),IFERROR(LOOKUP(IF(S95&lt;=1,S95,S95/100),'⚖️ Wahrscheinlichkeit'!$B$17:$B$21,'⚖️ Wahrscheinlichkeit'!$D$17:$D$21),0),0)</f>
        <v>0</v>
      </c>
      <c r="AK95" s="1" t="str">
        <f aca="false">IF(AND(R95="WON",ISNUMBER(I95)),AL95+(861-ROW())*0.000001,"")</f>
        <v/>
      </c>
      <c r="AL95" s="1" t="n">
        <f aca="false">IFERROR(I95*1,0)</f>
        <v>0</v>
      </c>
      <c r="AM95" s="1" t="n">
        <f aca="false">N(AM94)+IF(AND(R95="WON",B95&lt;&gt;""),1,0)</f>
        <v>12</v>
      </c>
      <c r="AN95" s="1" t="n">
        <f aca="false">N(AN94)+IF(AND(OR(R95="offered",R95="to be offered",R95="on hold"),B95&lt;&gt;""),1,0)</f>
        <v>33</v>
      </c>
      <c r="AO95" s="1" t="n">
        <f aca="false">N(AO94)+IF(AND(OR(R95="follow-up",R95="Evaluation",R95="tbd",R95="In evaluation"),B95&lt;&gt;""),1,0)</f>
        <v>1</v>
      </c>
      <c r="AP95" s="1" t="n">
        <f aca="false">IF(B95="",0,IF(COUNTIF('⚖️ Wahrscheinlichkeit'!$J$17:$J$24,R95)&gt;0,1,0))</f>
        <v>0</v>
      </c>
      <c r="AQ95" s="1" t="n">
        <f aca="false">IF(B95="",0,IF(AND(ISNUMBER(S95),COUNTIF('⚖️ Wahrscheinlichkeit'!$B$6:$B$11,S95)&gt;0),1,0))</f>
        <v>0</v>
      </c>
      <c r="AR95" s="1" t="n">
        <f aca="false">IF(B95="",0,IF(AND(COUNT(J95:M95)=4,SUM(J95:M95)&gt;0),1,0))</f>
        <v>0</v>
      </c>
      <c r="AS95" s="1" t="n">
        <f aca="false">IF(B95="",0,IF(AND(AF95&lt;&gt;"",AG95&lt;&gt;""),1,0))</f>
        <v>0</v>
      </c>
      <c r="AT95" s="1" t="n">
        <f aca="false">IF(AND(R95="WON",AS95=1,AR95=1),1,0)</f>
        <v>0</v>
      </c>
      <c r="AU95" s="1" t="n">
        <f aca="false">IF(B95="",0,IF(AD95="Alternative – zählt nicht",0,1))</f>
        <v>0</v>
      </c>
      <c r="AV95" s="1" t="n">
        <f aca="false">IF(B95="",0,IF(COUNTIF($B$6:$B$860,B95)&gt;1,1,0))</f>
        <v>0</v>
      </c>
      <c r="AX95" s="269" t="str">
        <f aca="false">IF(AY95=1,DATE(YEAR(O95),MONTH(O95),1),"")</f>
        <v/>
      </c>
      <c r="AY95" s="1" t="n">
        <f aca="false">IF(B95="",0,IF(AND(ISNUMBER(O95),ISNUMBER(P95)),IF(P95&gt;=O95,1,0),0))</f>
        <v>0</v>
      </c>
      <c r="AZ95" s="1" t="n">
        <f aca="false">IF(ISNUMBER(Y95),Y95,0)</f>
        <v>0</v>
      </c>
      <c r="BA95" s="1" t="str">
        <f aca="false">IF(B95="","",IF(AND(R95="WON",AS95=0),"⛔ Beleg fehlt · ","")&amp;IF(AND(R95="WON",AR95=0),"⛔ Einstand fehlt · ","")&amp;IF(AND(R95&lt;&gt;"WON",AR95=0),"○ Einstand offen · ","")&amp;IF(AND(R95="WON",AB95=""),"⛔ Vertragsart fehlt · ","")&amp;IF(AND(ISNUMBER(O95),ISNUMBER(P95)),IF(P95&lt;O95,"⚠ Ende vor Start · ",""),"")&amp;IF(AND(R95="WON",AY95=0,NOT(AND(ISNUMBER(O95),ISNUMBER(P95)))),"⛔ Zeitraum fehlt · ","")&amp;IF(AND(R95&lt;&gt;"WON",AY95=0,NOT(AND(ISNUMBER(O95),ISNUMBER(P95)))),"○ Zeitraum offen · ",""))</f>
        <v/>
      </c>
      <c r="BB95" s="1" t="str">
        <f aca="false">IF(B95="","",IF(AND(R95="WON",AS95=0),"⛔ Nachweis fehlt",IF(AND(ISNUMBER(O95),ISNUMBER(P95),P95&lt;O95),"⚠ Ende vor Start",IF(AND(R95="WON",AY95=0),"⛔ Zeitraum fehlt",IF(AR95=0,"○ Einstand offen",IF(AY95=0,"○ Zeitraum offen",IF(R95="WON","✅ belegt","✔ erfasst")))))))</f>
        <v/>
      </c>
    </row>
    <row r="96" customFormat="false" ht="15" hidden="false" customHeight="true" outlineLevel="0" collapsed="false">
      <c r="A96" s="258"/>
      <c r="B96" s="266"/>
      <c r="C96" s="258"/>
      <c r="D96" s="278"/>
      <c r="E96" s="278"/>
      <c r="F96" s="275"/>
      <c r="G96" s="258" t="str">
        <f aca="false">IF(B96="","",IF(AY96=1,P96-O96+1,IF(AW96="","",AW96)))</f>
        <v/>
      </c>
      <c r="H96" s="262"/>
      <c r="I96" s="275"/>
      <c r="J96" s="275"/>
      <c r="K96" s="275"/>
      <c r="L96" s="275"/>
      <c r="M96" s="275"/>
      <c r="N96" s="275"/>
      <c r="O96" s="263"/>
      <c r="P96" s="263"/>
      <c r="Q96" s="275" t="str">
        <f aca="false">IF(AND(ISNUMBER(I96),ISNUMBER(S96)),I96*AJ96,IF(OR(I96&lt;&gt;"",S96&lt;&gt;""),"tbd",""))</f>
        <v/>
      </c>
      <c r="R96" s="264"/>
      <c r="S96" s="265"/>
      <c r="T96" s="266"/>
      <c r="U96" s="278"/>
      <c r="V96" s="278"/>
      <c r="W96" s="258"/>
      <c r="X96" s="278"/>
      <c r="Y96" s="275" t="str">
        <f aca="false">IF(ISNUMBER(I96),I96/Netto_Faktor,"")</f>
        <v/>
      </c>
      <c r="Z96" s="275" t="str">
        <f aca="false">IF(B96="","",IF(COUNT(J96:N96)=0,"",SUM(J96:N96)))</f>
        <v/>
      </c>
      <c r="AA96" s="266"/>
      <c r="AB96" s="266"/>
      <c r="AC96" s="266"/>
      <c r="AD96" s="266"/>
      <c r="AE96" s="266"/>
      <c r="AF96" s="266"/>
      <c r="AG96" s="267"/>
      <c r="AH96" s="266" t="str">
        <f aca="false">IF(B96="","",IF(BA96="",IF(R96="WON","✅ belegt &amp; vollständig","✔ vollständig"),LEFT(BA96,LEN(BA96)-3)))</f>
        <v/>
      </c>
      <c r="AJ96" s="268" t="n">
        <f aca="false">IF(ISNUMBER(S96),IFERROR(LOOKUP(IF(S96&lt;=1,S96,S96/100),'⚖️ Wahrscheinlichkeit'!$B$17:$B$21,'⚖️ Wahrscheinlichkeit'!$D$17:$D$21),0),0)</f>
        <v>0</v>
      </c>
      <c r="AK96" s="1" t="str">
        <f aca="false">IF(AND(R96="WON",ISNUMBER(I96)),AL96+(861-ROW())*0.000001,"")</f>
        <v/>
      </c>
      <c r="AL96" s="1" t="n">
        <f aca="false">IFERROR(I96*1,0)</f>
        <v>0</v>
      </c>
      <c r="AM96" s="1" t="n">
        <f aca="false">N(AM95)+IF(AND(R96="WON",B96&lt;&gt;""),1,0)</f>
        <v>12</v>
      </c>
      <c r="AN96" s="1" t="n">
        <f aca="false">N(AN95)+IF(AND(OR(R96="offered",R96="to be offered",R96="on hold"),B96&lt;&gt;""),1,0)</f>
        <v>33</v>
      </c>
      <c r="AO96" s="1" t="n">
        <f aca="false">N(AO95)+IF(AND(OR(R96="follow-up",R96="Evaluation",R96="tbd",R96="In evaluation"),B96&lt;&gt;""),1,0)</f>
        <v>1</v>
      </c>
      <c r="AP96" s="1" t="n">
        <f aca="false">IF(B96="",0,IF(COUNTIF('⚖️ Wahrscheinlichkeit'!$J$17:$J$24,R96)&gt;0,1,0))</f>
        <v>0</v>
      </c>
      <c r="AQ96" s="1" t="n">
        <f aca="false">IF(B96="",0,IF(AND(ISNUMBER(S96),COUNTIF('⚖️ Wahrscheinlichkeit'!$B$6:$B$11,S96)&gt;0),1,0))</f>
        <v>0</v>
      </c>
      <c r="AR96" s="1" t="n">
        <f aca="false">IF(B96="",0,IF(AND(COUNT(J96:M96)=4,SUM(J96:M96)&gt;0),1,0))</f>
        <v>0</v>
      </c>
      <c r="AS96" s="1" t="n">
        <f aca="false">IF(B96="",0,IF(AND(AF96&lt;&gt;"",AG96&lt;&gt;""),1,0))</f>
        <v>0</v>
      </c>
      <c r="AT96" s="1" t="n">
        <f aca="false">IF(AND(R96="WON",AS96=1,AR96=1),1,0)</f>
        <v>0</v>
      </c>
      <c r="AU96" s="1" t="n">
        <f aca="false">IF(B96="",0,IF(AD96="Alternative – zählt nicht",0,1))</f>
        <v>0</v>
      </c>
      <c r="AV96" s="1" t="n">
        <f aca="false">IF(B96="",0,IF(COUNTIF($B$6:$B$860,B96)&gt;1,1,0))</f>
        <v>0</v>
      </c>
      <c r="AX96" s="269" t="str">
        <f aca="false">IF(AY96=1,DATE(YEAR(O96),MONTH(O96),1),"")</f>
        <v/>
      </c>
      <c r="AY96" s="1" t="n">
        <f aca="false">IF(B96="",0,IF(AND(ISNUMBER(O96),ISNUMBER(P96)),IF(P96&gt;=O96,1,0),0))</f>
        <v>0</v>
      </c>
      <c r="AZ96" s="1" t="n">
        <f aca="false">IF(ISNUMBER(Y96),Y96,0)</f>
        <v>0</v>
      </c>
      <c r="BA96" s="1" t="str">
        <f aca="false">IF(B96="","",IF(AND(R96="WON",AS96=0),"⛔ Beleg fehlt · ","")&amp;IF(AND(R96="WON",AR96=0),"⛔ Einstand fehlt · ","")&amp;IF(AND(R96&lt;&gt;"WON",AR96=0),"○ Einstand offen · ","")&amp;IF(AND(R96="WON",AB96=""),"⛔ Vertragsart fehlt · ","")&amp;IF(AND(ISNUMBER(O96),ISNUMBER(P96)),IF(P96&lt;O96,"⚠ Ende vor Start · ",""),"")&amp;IF(AND(R96="WON",AY96=0,NOT(AND(ISNUMBER(O96),ISNUMBER(P96)))),"⛔ Zeitraum fehlt · ","")&amp;IF(AND(R96&lt;&gt;"WON",AY96=0,NOT(AND(ISNUMBER(O96),ISNUMBER(P96)))),"○ Zeitraum offen · ",""))</f>
        <v/>
      </c>
      <c r="BB96" s="1" t="str">
        <f aca="false">IF(B96="","",IF(AND(R96="WON",AS96=0),"⛔ Nachweis fehlt",IF(AND(ISNUMBER(O96),ISNUMBER(P96),P96&lt;O96),"⚠ Ende vor Start",IF(AND(R96="WON",AY96=0),"⛔ Zeitraum fehlt",IF(AR96=0,"○ Einstand offen",IF(AY96=0,"○ Zeitraum offen",IF(R96="WON","✅ belegt","✔ erfasst")))))))</f>
        <v/>
      </c>
    </row>
    <row r="97" customFormat="false" ht="15" hidden="false" customHeight="true" outlineLevel="0" collapsed="false">
      <c r="A97" s="258"/>
      <c r="B97" s="266"/>
      <c r="C97" s="258"/>
      <c r="D97" s="278"/>
      <c r="E97" s="278"/>
      <c r="F97" s="275"/>
      <c r="G97" s="258" t="str">
        <f aca="false">IF(B97="","",IF(AY97=1,P97-O97+1,IF(AW97="","",AW97)))</f>
        <v/>
      </c>
      <c r="H97" s="262"/>
      <c r="I97" s="275"/>
      <c r="J97" s="275"/>
      <c r="K97" s="275"/>
      <c r="L97" s="275"/>
      <c r="M97" s="275"/>
      <c r="N97" s="275"/>
      <c r="O97" s="263"/>
      <c r="P97" s="263"/>
      <c r="Q97" s="275" t="str">
        <f aca="false">IF(AND(ISNUMBER(I97),ISNUMBER(S97)),I97*AJ97,IF(OR(I97&lt;&gt;"",S97&lt;&gt;""),"tbd",""))</f>
        <v/>
      </c>
      <c r="R97" s="264"/>
      <c r="S97" s="265"/>
      <c r="T97" s="266"/>
      <c r="U97" s="278"/>
      <c r="V97" s="278"/>
      <c r="W97" s="258"/>
      <c r="X97" s="278"/>
      <c r="Y97" s="275" t="str">
        <f aca="false">IF(ISNUMBER(I97),I97/Netto_Faktor,"")</f>
        <v/>
      </c>
      <c r="Z97" s="275" t="str">
        <f aca="false">IF(B97="","",IF(COUNT(J97:N97)=0,"",SUM(J97:N97)))</f>
        <v/>
      </c>
      <c r="AA97" s="266"/>
      <c r="AB97" s="266"/>
      <c r="AC97" s="266"/>
      <c r="AD97" s="266"/>
      <c r="AE97" s="266"/>
      <c r="AF97" s="266"/>
      <c r="AG97" s="267"/>
      <c r="AH97" s="266" t="str">
        <f aca="false">IF(B97="","",IF(BA97="",IF(R97="WON","✅ belegt &amp; vollständig","✔ vollständig"),LEFT(BA97,LEN(BA97)-3)))</f>
        <v/>
      </c>
      <c r="AJ97" s="268" t="n">
        <f aca="false">IF(ISNUMBER(S97),IFERROR(LOOKUP(IF(S97&lt;=1,S97,S97/100),'⚖️ Wahrscheinlichkeit'!$B$17:$B$21,'⚖️ Wahrscheinlichkeit'!$D$17:$D$21),0),0)</f>
        <v>0</v>
      </c>
      <c r="AK97" s="1" t="str">
        <f aca="false">IF(AND(R97="WON",ISNUMBER(I97)),AL97+(861-ROW())*0.000001,"")</f>
        <v/>
      </c>
      <c r="AL97" s="1" t="n">
        <f aca="false">IFERROR(I97*1,0)</f>
        <v>0</v>
      </c>
      <c r="AM97" s="1" t="n">
        <f aca="false">N(AM96)+IF(AND(R97="WON",B97&lt;&gt;""),1,0)</f>
        <v>12</v>
      </c>
      <c r="AN97" s="1" t="n">
        <f aca="false">N(AN96)+IF(AND(OR(R97="offered",R97="to be offered",R97="on hold"),B97&lt;&gt;""),1,0)</f>
        <v>33</v>
      </c>
      <c r="AO97" s="1" t="n">
        <f aca="false">N(AO96)+IF(AND(OR(R97="follow-up",R97="Evaluation",R97="tbd",R97="In evaluation"),B97&lt;&gt;""),1,0)</f>
        <v>1</v>
      </c>
      <c r="AP97" s="1" t="n">
        <f aca="false">IF(B97="",0,IF(COUNTIF('⚖️ Wahrscheinlichkeit'!$J$17:$J$24,R97)&gt;0,1,0))</f>
        <v>0</v>
      </c>
      <c r="AQ97" s="1" t="n">
        <f aca="false">IF(B97="",0,IF(AND(ISNUMBER(S97),COUNTIF('⚖️ Wahrscheinlichkeit'!$B$6:$B$11,S97)&gt;0),1,0))</f>
        <v>0</v>
      </c>
      <c r="AR97" s="1" t="n">
        <f aca="false">IF(B97="",0,IF(AND(COUNT(J97:M97)=4,SUM(J97:M97)&gt;0),1,0))</f>
        <v>0</v>
      </c>
      <c r="AS97" s="1" t="n">
        <f aca="false">IF(B97="",0,IF(AND(AF97&lt;&gt;"",AG97&lt;&gt;""),1,0))</f>
        <v>0</v>
      </c>
      <c r="AT97" s="1" t="n">
        <f aca="false">IF(AND(R97="WON",AS97=1,AR97=1),1,0)</f>
        <v>0</v>
      </c>
      <c r="AU97" s="1" t="n">
        <f aca="false">IF(B97="",0,IF(AD97="Alternative – zählt nicht",0,1))</f>
        <v>0</v>
      </c>
      <c r="AV97" s="1" t="n">
        <f aca="false">IF(B97="",0,IF(COUNTIF($B$6:$B$860,B97)&gt;1,1,0))</f>
        <v>0</v>
      </c>
      <c r="AX97" s="269" t="str">
        <f aca="false">IF(AY97=1,DATE(YEAR(O97),MONTH(O97),1),"")</f>
        <v/>
      </c>
      <c r="AY97" s="1" t="n">
        <f aca="false">IF(B97="",0,IF(AND(ISNUMBER(O97),ISNUMBER(P97)),IF(P97&gt;=O97,1,0),0))</f>
        <v>0</v>
      </c>
      <c r="AZ97" s="1" t="n">
        <f aca="false">IF(ISNUMBER(Y97),Y97,0)</f>
        <v>0</v>
      </c>
      <c r="BA97" s="1" t="str">
        <f aca="false">IF(B97="","",IF(AND(R97="WON",AS97=0),"⛔ Beleg fehlt · ","")&amp;IF(AND(R97="WON",AR97=0),"⛔ Einstand fehlt · ","")&amp;IF(AND(R97&lt;&gt;"WON",AR97=0),"○ Einstand offen · ","")&amp;IF(AND(R97="WON",AB97=""),"⛔ Vertragsart fehlt · ","")&amp;IF(AND(ISNUMBER(O97),ISNUMBER(P97)),IF(P97&lt;O97,"⚠ Ende vor Start · ",""),"")&amp;IF(AND(R97="WON",AY97=0,NOT(AND(ISNUMBER(O97),ISNUMBER(P97)))),"⛔ Zeitraum fehlt · ","")&amp;IF(AND(R97&lt;&gt;"WON",AY97=0,NOT(AND(ISNUMBER(O97),ISNUMBER(P97)))),"○ Zeitraum offen · ",""))</f>
        <v/>
      </c>
      <c r="BB97" s="1" t="str">
        <f aca="false">IF(B97="","",IF(AND(R97="WON",AS97=0),"⛔ Nachweis fehlt",IF(AND(ISNUMBER(O97),ISNUMBER(P97),P97&lt;O97),"⚠ Ende vor Start",IF(AND(R97="WON",AY97=0),"⛔ Zeitraum fehlt",IF(AR97=0,"○ Einstand offen",IF(AY97=0,"○ Zeitraum offen",IF(R97="WON","✅ belegt","✔ erfasst")))))))</f>
        <v/>
      </c>
    </row>
    <row r="98" customFormat="false" ht="15" hidden="false" customHeight="true" outlineLevel="0" collapsed="false">
      <c r="A98" s="258"/>
      <c r="B98" s="266"/>
      <c r="C98" s="258"/>
      <c r="D98" s="278"/>
      <c r="E98" s="278"/>
      <c r="F98" s="275"/>
      <c r="G98" s="258" t="str">
        <f aca="false">IF(B98="","",IF(AY98=1,P98-O98+1,IF(AW98="","",AW98)))</f>
        <v/>
      </c>
      <c r="H98" s="262"/>
      <c r="I98" s="275"/>
      <c r="J98" s="275"/>
      <c r="K98" s="275"/>
      <c r="L98" s="275"/>
      <c r="M98" s="275"/>
      <c r="N98" s="275"/>
      <c r="O98" s="263"/>
      <c r="P98" s="263"/>
      <c r="Q98" s="275" t="str">
        <f aca="false">IF(AND(ISNUMBER(I98),ISNUMBER(S98)),I98*AJ98,IF(OR(I98&lt;&gt;"",S98&lt;&gt;""),"tbd",""))</f>
        <v/>
      </c>
      <c r="R98" s="264"/>
      <c r="S98" s="265"/>
      <c r="T98" s="266"/>
      <c r="U98" s="278"/>
      <c r="V98" s="278"/>
      <c r="W98" s="258"/>
      <c r="X98" s="278"/>
      <c r="Y98" s="275" t="str">
        <f aca="false">IF(ISNUMBER(I98),I98/Netto_Faktor,"")</f>
        <v/>
      </c>
      <c r="Z98" s="275" t="str">
        <f aca="false">IF(B98="","",IF(COUNT(J98:N98)=0,"",SUM(J98:N98)))</f>
        <v/>
      </c>
      <c r="AA98" s="266"/>
      <c r="AB98" s="266"/>
      <c r="AC98" s="266"/>
      <c r="AD98" s="266"/>
      <c r="AE98" s="266"/>
      <c r="AF98" s="266"/>
      <c r="AG98" s="267"/>
      <c r="AH98" s="266" t="str">
        <f aca="false">IF(B98="","",IF(BA98="",IF(R98="WON","✅ belegt &amp; vollständig","✔ vollständig"),LEFT(BA98,LEN(BA98)-3)))</f>
        <v/>
      </c>
      <c r="AJ98" s="268" t="n">
        <f aca="false">IF(ISNUMBER(S98),IFERROR(LOOKUP(IF(S98&lt;=1,S98,S98/100),'⚖️ Wahrscheinlichkeit'!$B$17:$B$21,'⚖️ Wahrscheinlichkeit'!$D$17:$D$21),0),0)</f>
        <v>0</v>
      </c>
      <c r="AK98" s="1" t="str">
        <f aca="false">IF(AND(R98="WON",ISNUMBER(I98)),AL98+(861-ROW())*0.000001,"")</f>
        <v/>
      </c>
      <c r="AL98" s="1" t="n">
        <f aca="false">IFERROR(I98*1,0)</f>
        <v>0</v>
      </c>
      <c r="AM98" s="1" t="n">
        <f aca="false">N(AM97)+IF(AND(R98="WON",B98&lt;&gt;""),1,0)</f>
        <v>12</v>
      </c>
      <c r="AN98" s="1" t="n">
        <f aca="false">N(AN97)+IF(AND(OR(R98="offered",R98="to be offered",R98="on hold"),B98&lt;&gt;""),1,0)</f>
        <v>33</v>
      </c>
      <c r="AO98" s="1" t="n">
        <f aca="false">N(AO97)+IF(AND(OR(R98="follow-up",R98="Evaluation",R98="tbd",R98="In evaluation"),B98&lt;&gt;""),1,0)</f>
        <v>1</v>
      </c>
      <c r="AP98" s="1" t="n">
        <f aca="false">IF(B98="",0,IF(COUNTIF('⚖️ Wahrscheinlichkeit'!$J$17:$J$24,R98)&gt;0,1,0))</f>
        <v>0</v>
      </c>
      <c r="AQ98" s="1" t="n">
        <f aca="false">IF(B98="",0,IF(AND(ISNUMBER(S98),COUNTIF('⚖️ Wahrscheinlichkeit'!$B$6:$B$11,S98)&gt;0),1,0))</f>
        <v>0</v>
      </c>
      <c r="AR98" s="1" t="n">
        <f aca="false">IF(B98="",0,IF(AND(COUNT(J98:M98)=4,SUM(J98:M98)&gt;0),1,0))</f>
        <v>0</v>
      </c>
      <c r="AS98" s="1" t="n">
        <f aca="false">IF(B98="",0,IF(AND(AF98&lt;&gt;"",AG98&lt;&gt;""),1,0))</f>
        <v>0</v>
      </c>
      <c r="AT98" s="1" t="n">
        <f aca="false">IF(AND(R98="WON",AS98=1,AR98=1),1,0)</f>
        <v>0</v>
      </c>
      <c r="AU98" s="1" t="n">
        <f aca="false">IF(B98="",0,IF(AD98="Alternative – zählt nicht",0,1))</f>
        <v>0</v>
      </c>
      <c r="AV98" s="1" t="n">
        <f aca="false">IF(B98="",0,IF(COUNTIF($B$6:$B$860,B98)&gt;1,1,0))</f>
        <v>0</v>
      </c>
      <c r="AX98" s="269" t="str">
        <f aca="false">IF(AY98=1,DATE(YEAR(O98),MONTH(O98),1),"")</f>
        <v/>
      </c>
      <c r="AY98" s="1" t="n">
        <f aca="false">IF(B98="",0,IF(AND(ISNUMBER(O98),ISNUMBER(P98)),IF(P98&gt;=O98,1,0),0))</f>
        <v>0</v>
      </c>
      <c r="AZ98" s="1" t="n">
        <f aca="false">IF(ISNUMBER(Y98),Y98,0)</f>
        <v>0</v>
      </c>
      <c r="BA98" s="1" t="str">
        <f aca="false">IF(B98="","",IF(AND(R98="WON",AS98=0),"⛔ Beleg fehlt · ","")&amp;IF(AND(R98="WON",AR98=0),"⛔ Einstand fehlt · ","")&amp;IF(AND(R98&lt;&gt;"WON",AR98=0),"○ Einstand offen · ","")&amp;IF(AND(R98="WON",AB98=""),"⛔ Vertragsart fehlt · ","")&amp;IF(AND(ISNUMBER(O98),ISNUMBER(P98)),IF(P98&lt;O98,"⚠ Ende vor Start · ",""),"")&amp;IF(AND(R98="WON",AY98=0,NOT(AND(ISNUMBER(O98),ISNUMBER(P98)))),"⛔ Zeitraum fehlt · ","")&amp;IF(AND(R98&lt;&gt;"WON",AY98=0,NOT(AND(ISNUMBER(O98),ISNUMBER(P98)))),"○ Zeitraum offen · ",""))</f>
        <v/>
      </c>
      <c r="BB98" s="1" t="str">
        <f aca="false">IF(B98="","",IF(AND(R98="WON",AS98=0),"⛔ Nachweis fehlt",IF(AND(ISNUMBER(O98),ISNUMBER(P98),P98&lt;O98),"⚠ Ende vor Start",IF(AND(R98="WON",AY98=0),"⛔ Zeitraum fehlt",IF(AR98=0,"○ Einstand offen",IF(AY98=0,"○ Zeitraum offen",IF(R98="WON","✅ belegt","✔ erfasst")))))))</f>
        <v/>
      </c>
    </row>
    <row r="99" customFormat="false" ht="15" hidden="false" customHeight="true" outlineLevel="0" collapsed="false">
      <c r="A99" s="258"/>
      <c r="B99" s="266"/>
      <c r="C99" s="258"/>
      <c r="D99" s="278"/>
      <c r="E99" s="278"/>
      <c r="F99" s="275"/>
      <c r="G99" s="258" t="str">
        <f aca="false">IF(B99="","",IF(AY99=1,P99-O99+1,IF(AW99="","",AW99)))</f>
        <v/>
      </c>
      <c r="H99" s="262"/>
      <c r="I99" s="275"/>
      <c r="J99" s="275"/>
      <c r="K99" s="275"/>
      <c r="L99" s="275"/>
      <c r="M99" s="275"/>
      <c r="N99" s="275"/>
      <c r="O99" s="263"/>
      <c r="P99" s="263"/>
      <c r="Q99" s="275" t="str">
        <f aca="false">IF(AND(ISNUMBER(I99),ISNUMBER(S99)),I99*AJ99,IF(OR(I99&lt;&gt;"",S99&lt;&gt;""),"tbd",""))</f>
        <v/>
      </c>
      <c r="R99" s="264"/>
      <c r="S99" s="265"/>
      <c r="T99" s="266"/>
      <c r="U99" s="278"/>
      <c r="V99" s="278"/>
      <c r="W99" s="258"/>
      <c r="X99" s="278"/>
      <c r="Y99" s="275" t="str">
        <f aca="false">IF(ISNUMBER(I99),I99/Netto_Faktor,"")</f>
        <v/>
      </c>
      <c r="Z99" s="275" t="str">
        <f aca="false">IF(B99="","",IF(COUNT(J99:N99)=0,"",SUM(J99:N99)))</f>
        <v/>
      </c>
      <c r="AA99" s="266"/>
      <c r="AB99" s="266"/>
      <c r="AC99" s="266"/>
      <c r="AD99" s="266"/>
      <c r="AE99" s="266"/>
      <c r="AF99" s="266"/>
      <c r="AG99" s="267"/>
      <c r="AH99" s="266" t="str">
        <f aca="false">IF(B99="","",IF(BA99="",IF(R99="WON","✅ belegt &amp; vollständig","✔ vollständig"),LEFT(BA99,LEN(BA99)-3)))</f>
        <v/>
      </c>
      <c r="AJ99" s="268" t="n">
        <f aca="false">IF(ISNUMBER(S99),IFERROR(LOOKUP(IF(S99&lt;=1,S99,S99/100),'⚖️ Wahrscheinlichkeit'!$B$17:$B$21,'⚖️ Wahrscheinlichkeit'!$D$17:$D$21),0),0)</f>
        <v>0</v>
      </c>
      <c r="AK99" s="1" t="str">
        <f aca="false">IF(AND(R99="WON",ISNUMBER(I99)),AL99+(861-ROW())*0.000001,"")</f>
        <v/>
      </c>
      <c r="AL99" s="1" t="n">
        <f aca="false">IFERROR(I99*1,0)</f>
        <v>0</v>
      </c>
      <c r="AM99" s="1" t="n">
        <f aca="false">N(AM98)+IF(AND(R99="WON",B99&lt;&gt;""),1,0)</f>
        <v>12</v>
      </c>
      <c r="AN99" s="1" t="n">
        <f aca="false">N(AN98)+IF(AND(OR(R99="offered",R99="to be offered",R99="on hold"),B99&lt;&gt;""),1,0)</f>
        <v>33</v>
      </c>
      <c r="AO99" s="1" t="n">
        <f aca="false">N(AO98)+IF(AND(OR(R99="follow-up",R99="Evaluation",R99="tbd",R99="In evaluation"),B99&lt;&gt;""),1,0)</f>
        <v>1</v>
      </c>
      <c r="AP99" s="1" t="n">
        <f aca="false">IF(B99="",0,IF(COUNTIF('⚖️ Wahrscheinlichkeit'!$J$17:$J$24,R99)&gt;0,1,0))</f>
        <v>0</v>
      </c>
      <c r="AQ99" s="1" t="n">
        <f aca="false">IF(B99="",0,IF(AND(ISNUMBER(S99),COUNTIF('⚖️ Wahrscheinlichkeit'!$B$6:$B$11,S99)&gt;0),1,0))</f>
        <v>0</v>
      </c>
      <c r="AR99" s="1" t="n">
        <f aca="false">IF(B99="",0,IF(AND(COUNT(J99:M99)=4,SUM(J99:M99)&gt;0),1,0))</f>
        <v>0</v>
      </c>
      <c r="AS99" s="1" t="n">
        <f aca="false">IF(B99="",0,IF(AND(AF99&lt;&gt;"",AG99&lt;&gt;""),1,0))</f>
        <v>0</v>
      </c>
      <c r="AT99" s="1" t="n">
        <f aca="false">IF(AND(R99="WON",AS99=1,AR99=1),1,0)</f>
        <v>0</v>
      </c>
      <c r="AU99" s="1" t="n">
        <f aca="false">IF(B99="",0,IF(AD99="Alternative – zählt nicht",0,1))</f>
        <v>0</v>
      </c>
      <c r="AV99" s="1" t="n">
        <f aca="false">IF(B99="",0,IF(COUNTIF($B$6:$B$860,B99)&gt;1,1,0))</f>
        <v>0</v>
      </c>
      <c r="AX99" s="269" t="str">
        <f aca="false">IF(AY99=1,DATE(YEAR(O99),MONTH(O99),1),"")</f>
        <v/>
      </c>
      <c r="AY99" s="1" t="n">
        <f aca="false">IF(B99="",0,IF(AND(ISNUMBER(O99),ISNUMBER(P99)),IF(P99&gt;=O99,1,0),0))</f>
        <v>0</v>
      </c>
      <c r="AZ99" s="1" t="n">
        <f aca="false">IF(ISNUMBER(Y99),Y99,0)</f>
        <v>0</v>
      </c>
      <c r="BA99" s="1" t="str">
        <f aca="false">IF(B99="","",IF(AND(R99="WON",AS99=0),"⛔ Beleg fehlt · ","")&amp;IF(AND(R99="WON",AR99=0),"⛔ Einstand fehlt · ","")&amp;IF(AND(R99&lt;&gt;"WON",AR99=0),"○ Einstand offen · ","")&amp;IF(AND(R99="WON",AB99=""),"⛔ Vertragsart fehlt · ","")&amp;IF(AND(ISNUMBER(O99),ISNUMBER(P99)),IF(P99&lt;O99,"⚠ Ende vor Start · ",""),"")&amp;IF(AND(R99="WON",AY99=0,NOT(AND(ISNUMBER(O99),ISNUMBER(P99)))),"⛔ Zeitraum fehlt · ","")&amp;IF(AND(R99&lt;&gt;"WON",AY99=0,NOT(AND(ISNUMBER(O99),ISNUMBER(P99)))),"○ Zeitraum offen · ",""))</f>
        <v/>
      </c>
      <c r="BB99" s="1" t="str">
        <f aca="false">IF(B99="","",IF(AND(R99="WON",AS99=0),"⛔ Nachweis fehlt",IF(AND(ISNUMBER(O99),ISNUMBER(P99),P99&lt;O99),"⚠ Ende vor Start",IF(AND(R99="WON",AY99=0),"⛔ Zeitraum fehlt",IF(AR99=0,"○ Einstand offen",IF(AY99=0,"○ Zeitraum offen",IF(R99="WON","✅ belegt","✔ erfasst")))))))</f>
        <v/>
      </c>
    </row>
    <row r="100" customFormat="false" ht="15" hidden="false" customHeight="true" outlineLevel="0" collapsed="false">
      <c r="A100" s="258"/>
      <c r="B100" s="266"/>
      <c r="C100" s="258"/>
      <c r="D100" s="278"/>
      <c r="E100" s="278"/>
      <c r="F100" s="275"/>
      <c r="G100" s="258" t="str">
        <f aca="false">IF(B100="","",IF(AY100=1,P100-O100+1,IF(AW100="","",AW100)))</f>
        <v/>
      </c>
      <c r="H100" s="262"/>
      <c r="I100" s="275"/>
      <c r="J100" s="275"/>
      <c r="K100" s="275"/>
      <c r="L100" s="275"/>
      <c r="M100" s="275"/>
      <c r="N100" s="275"/>
      <c r="O100" s="263"/>
      <c r="P100" s="263"/>
      <c r="Q100" s="275" t="str">
        <f aca="false">IF(AND(ISNUMBER(I100),ISNUMBER(S100)),I100*AJ100,IF(OR(I100&lt;&gt;"",S100&lt;&gt;""),"tbd",""))</f>
        <v/>
      </c>
      <c r="R100" s="264"/>
      <c r="S100" s="265"/>
      <c r="T100" s="266"/>
      <c r="U100" s="278"/>
      <c r="V100" s="278"/>
      <c r="W100" s="258"/>
      <c r="X100" s="278"/>
      <c r="Y100" s="275" t="str">
        <f aca="false">IF(ISNUMBER(I100),I100/Netto_Faktor,"")</f>
        <v/>
      </c>
      <c r="Z100" s="275" t="str">
        <f aca="false">IF(B100="","",IF(COUNT(J100:N100)=0,"",SUM(J100:N100)))</f>
        <v/>
      </c>
      <c r="AA100" s="266"/>
      <c r="AB100" s="266"/>
      <c r="AC100" s="266"/>
      <c r="AD100" s="266"/>
      <c r="AE100" s="266"/>
      <c r="AF100" s="266"/>
      <c r="AG100" s="267"/>
      <c r="AH100" s="266" t="str">
        <f aca="false">IF(B100="","",IF(BA100="",IF(R100="WON","✅ belegt &amp; vollständig","✔ vollständig"),LEFT(BA100,LEN(BA100)-3)))</f>
        <v/>
      </c>
      <c r="AJ100" s="268" t="n">
        <f aca="false">IF(ISNUMBER(S100),IFERROR(LOOKUP(IF(S100&lt;=1,S100,S100/100),'⚖️ Wahrscheinlichkeit'!$B$17:$B$21,'⚖️ Wahrscheinlichkeit'!$D$17:$D$21),0),0)</f>
        <v>0</v>
      </c>
      <c r="AK100" s="1" t="str">
        <f aca="false">IF(AND(R100="WON",ISNUMBER(I100)),AL100+(861-ROW())*0.000001,"")</f>
        <v/>
      </c>
      <c r="AL100" s="1" t="n">
        <f aca="false">IFERROR(I100*1,0)</f>
        <v>0</v>
      </c>
      <c r="AM100" s="1" t="n">
        <f aca="false">N(AM99)+IF(AND(R100="WON",B100&lt;&gt;""),1,0)</f>
        <v>12</v>
      </c>
      <c r="AN100" s="1" t="n">
        <f aca="false">N(AN99)+IF(AND(OR(R100="offered",R100="to be offered",R100="on hold"),B100&lt;&gt;""),1,0)</f>
        <v>33</v>
      </c>
      <c r="AO100" s="1" t="n">
        <f aca="false">N(AO99)+IF(AND(OR(R100="follow-up",R100="Evaluation",R100="tbd",R100="In evaluation"),B100&lt;&gt;""),1,0)</f>
        <v>1</v>
      </c>
      <c r="AP100" s="1" t="n">
        <f aca="false">IF(B100="",0,IF(COUNTIF('⚖️ Wahrscheinlichkeit'!$J$17:$J$24,R100)&gt;0,1,0))</f>
        <v>0</v>
      </c>
      <c r="AQ100" s="1" t="n">
        <f aca="false">IF(B100="",0,IF(AND(ISNUMBER(S100),COUNTIF('⚖️ Wahrscheinlichkeit'!$B$6:$B$11,S100)&gt;0),1,0))</f>
        <v>0</v>
      </c>
      <c r="AR100" s="1" t="n">
        <f aca="false">IF(B100="",0,IF(AND(COUNT(J100:M100)=4,SUM(J100:M100)&gt;0),1,0))</f>
        <v>0</v>
      </c>
      <c r="AS100" s="1" t="n">
        <f aca="false">IF(B100="",0,IF(AND(AF100&lt;&gt;"",AG100&lt;&gt;""),1,0))</f>
        <v>0</v>
      </c>
      <c r="AT100" s="1" t="n">
        <f aca="false">IF(AND(R100="WON",AS100=1,AR100=1),1,0)</f>
        <v>0</v>
      </c>
      <c r="AU100" s="1" t="n">
        <f aca="false">IF(B100="",0,IF(AD100="Alternative – zählt nicht",0,1))</f>
        <v>0</v>
      </c>
      <c r="AV100" s="1" t="n">
        <f aca="false">IF(B100="",0,IF(COUNTIF($B$6:$B$860,B100)&gt;1,1,0))</f>
        <v>0</v>
      </c>
      <c r="AX100" s="269" t="str">
        <f aca="false">IF(AY100=1,DATE(YEAR(O100),MONTH(O100),1),"")</f>
        <v/>
      </c>
      <c r="AY100" s="1" t="n">
        <f aca="false">IF(B100="",0,IF(AND(ISNUMBER(O100),ISNUMBER(P100)),IF(P100&gt;=O100,1,0),0))</f>
        <v>0</v>
      </c>
      <c r="AZ100" s="1" t="n">
        <f aca="false">IF(ISNUMBER(Y100),Y100,0)</f>
        <v>0</v>
      </c>
      <c r="BA100" s="1" t="str">
        <f aca="false">IF(B100="","",IF(AND(R100="WON",AS100=0),"⛔ Beleg fehlt · ","")&amp;IF(AND(R100="WON",AR100=0),"⛔ Einstand fehlt · ","")&amp;IF(AND(R100&lt;&gt;"WON",AR100=0),"○ Einstand offen · ","")&amp;IF(AND(R100="WON",AB100=""),"⛔ Vertragsart fehlt · ","")&amp;IF(AND(ISNUMBER(O100),ISNUMBER(P100)),IF(P100&lt;O100,"⚠ Ende vor Start · ",""),"")&amp;IF(AND(R100="WON",AY100=0,NOT(AND(ISNUMBER(O100),ISNUMBER(P100)))),"⛔ Zeitraum fehlt · ","")&amp;IF(AND(R100&lt;&gt;"WON",AY100=0,NOT(AND(ISNUMBER(O100),ISNUMBER(P100)))),"○ Zeitraum offen · ",""))</f>
        <v/>
      </c>
      <c r="BB100" s="1" t="str">
        <f aca="false">IF(B100="","",IF(AND(R100="WON",AS100=0),"⛔ Nachweis fehlt",IF(AND(ISNUMBER(O100),ISNUMBER(P100),P100&lt;O100),"⚠ Ende vor Start",IF(AND(R100="WON",AY100=0),"⛔ Zeitraum fehlt",IF(AR100=0,"○ Einstand offen",IF(AY100=0,"○ Zeitraum offen",IF(R100="WON","✅ belegt","✔ erfasst")))))))</f>
        <v/>
      </c>
    </row>
    <row r="101" customFormat="false" ht="15" hidden="false" customHeight="true" outlineLevel="0" collapsed="false">
      <c r="A101" s="258"/>
      <c r="B101" s="266"/>
      <c r="C101" s="258"/>
      <c r="D101" s="278"/>
      <c r="E101" s="278"/>
      <c r="F101" s="275"/>
      <c r="G101" s="258" t="str">
        <f aca="false">IF(B101="","",IF(AY101=1,P101-O101+1,IF(AW101="","",AW101)))</f>
        <v/>
      </c>
      <c r="H101" s="262"/>
      <c r="I101" s="275"/>
      <c r="J101" s="275"/>
      <c r="K101" s="275"/>
      <c r="L101" s="275"/>
      <c r="M101" s="275"/>
      <c r="N101" s="275"/>
      <c r="O101" s="263"/>
      <c r="P101" s="263"/>
      <c r="Q101" s="275" t="str">
        <f aca="false">IF(AND(ISNUMBER(I101),ISNUMBER(S101)),I101*AJ101,IF(OR(I101&lt;&gt;"",S101&lt;&gt;""),"tbd",""))</f>
        <v/>
      </c>
      <c r="R101" s="264"/>
      <c r="S101" s="265"/>
      <c r="T101" s="266"/>
      <c r="U101" s="278"/>
      <c r="V101" s="278"/>
      <c r="W101" s="258"/>
      <c r="X101" s="278"/>
      <c r="Y101" s="275" t="str">
        <f aca="false">IF(ISNUMBER(I101),I101/Netto_Faktor,"")</f>
        <v/>
      </c>
      <c r="Z101" s="275" t="str">
        <f aca="false">IF(B101="","",IF(COUNT(J101:N101)=0,"",SUM(J101:N101)))</f>
        <v/>
      </c>
      <c r="AA101" s="266"/>
      <c r="AB101" s="266"/>
      <c r="AC101" s="266"/>
      <c r="AD101" s="266"/>
      <c r="AE101" s="266"/>
      <c r="AF101" s="266"/>
      <c r="AG101" s="267"/>
      <c r="AH101" s="266" t="str">
        <f aca="false">IF(B101="","",IF(BA101="",IF(R101="WON","✅ belegt &amp; vollständig","✔ vollständig"),LEFT(BA101,LEN(BA101)-3)))</f>
        <v/>
      </c>
      <c r="AJ101" s="268" t="n">
        <f aca="false">IF(ISNUMBER(S101),IFERROR(LOOKUP(IF(S101&lt;=1,S101,S101/100),'⚖️ Wahrscheinlichkeit'!$B$17:$B$21,'⚖️ Wahrscheinlichkeit'!$D$17:$D$21),0),0)</f>
        <v>0</v>
      </c>
      <c r="AK101" s="1" t="str">
        <f aca="false">IF(AND(R101="WON",ISNUMBER(I101)),AL101+(861-ROW())*0.000001,"")</f>
        <v/>
      </c>
      <c r="AL101" s="1" t="n">
        <f aca="false">IFERROR(I101*1,0)</f>
        <v>0</v>
      </c>
      <c r="AM101" s="1" t="n">
        <f aca="false">N(AM100)+IF(AND(R101="WON",B101&lt;&gt;""),1,0)</f>
        <v>12</v>
      </c>
      <c r="AN101" s="1" t="n">
        <f aca="false">N(AN100)+IF(AND(OR(R101="offered",R101="to be offered",R101="on hold"),B101&lt;&gt;""),1,0)</f>
        <v>33</v>
      </c>
      <c r="AO101" s="1" t="n">
        <f aca="false">N(AO100)+IF(AND(OR(R101="follow-up",R101="Evaluation",R101="tbd",R101="In evaluation"),B101&lt;&gt;""),1,0)</f>
        <v>1</v>
      </c>
      <c r="AP101" s="1" t="n">
        <f aca="false">IF(B101="",0,IF(COUNTIF('⚖️ Wahrscheinlichkeit'!$J$17:$J$24,R101)&gt;0,1,0))</f>
        <v>0</v>
      </c>
      <c r="AQ101" s="1" t="n">
        <f aca="false">IF(B101="",0,IF(AND(ISNUMBER(S101),COUNTIF('⚖️ Wahrscheinlichkeit'!$B$6:$B$11,S101)&gt;0),1,0))</f>
        <v>0</v>
      </c>
      <c r="AR101" s="1" t="n">
        <f aca="false">IF(B101="",0,IF(AND(COUNT(J101:M101)=4,SUM(J101:M101)&gt;0),1,0))</f>
        <v>0</v>
      </c>
      <c r="AS101" s="1" t="n">
        <f aca="false">IF(B101="",0,IF(AND(AF101&lt;&gt;"",AG101&lt;&gt;""),1,0))</f>
        <v>0</v>
      </c>
      <c r="AT101" s="1" t="n">
        <f aca="false">IF(AND(R101="WON",AS101=1,AR101=1),1,0)</f>
        <v>0</v>
      </c>
      <c r="AU101" s="1" t="n">
        <f aca="false">IF(B101="",0,IF(AD101="Alternative – zählt nicht",0,1))</f>
        <v>0</v>
      </c>
      <c r="AV101" s="1" t="n">
        <f aca="false">IF(B101="",0,IF(COUNTIF($B$6:$B$860,B101)&gt;1,1,0))</f>
        <v>0</v>
      </c>
      <c r="AX101" s="269" t="str">
        <f aca="false">IF(AY101=1,DATE(YEAR(O101),MONTH(O101),1),"")</f>
        <v/>
      </c>
      <c r="AY101" s="1" t="n">
        <f aca="false">IF(B101="",0,IF(AND(ISNUMBER(O101),ISNUMBER(P101)),IF(P101&gt;=O101,1,0),0))</f>
        <v>0</v>
      </c>
      <c r="AZ101" s="1" t="n">
        <f aca="false">IF(ISNUMBER(Y101),Y101,0)</f>
        <v>0</v>
      </c>
      <c r="BA101" s="1" t="str">
        <f aca="false">IF(B101="","",IF(AND(R101="WON",AS101=0),"⛔ Beleg fehlt · ","")&amp;IF(AND(R101="WON",AR101=0),"⛔ Einstand fehlt · ","")&amp;IF(AND(R101&lt;&gt;"WON",AR101=0),"○ Einstand offen · ","")&amp;IF(AND(R101="WON",AB101=""),"⛔ Vertragsart fehlt · ","")&amp;IF(AND(ISNUMBER(O101),ISNUMBER(P101)),IF(P101&lt;O101,"⚠ Ende vor Start · ",""),"")&amp;IF(AND(R101="WON",AY101=0,NOT(AND(ISNUMBER(O101),ISNUMBER(P101)))),"⛔ Zeitraum fehlt · ","")&amp;IF(AND(R101&lt;&gt;"WON",AY101=0,NOT(AND(ISNUMBER(O101),ISNUMBER(P101)))),"○ Zeitraum offen · ",""))</f>
        <v/>
      </c>
      <c r="BB101" s="1" t="str">
        <f aca="false">IF(B101="","",IF(AND(R101="WON",AS101=0),"⛔ Nachweis fehlt",IF(AND(ISNUMBER(O101),ISNUMBER(P101),P101&lt;O101),"⚠ Ende vor Start",IF(AND(R101="WON",AY101=0),"⛔ Zeitraum fehlt",IF(AR101=0,"○ Einstand offen",IF(AY101=0,"○ Zeitraum offen",IF(R101="WON","✅ belegt","✔ erfasst")))))))</f>
        <v/>
      </c>
    </row>
    <row r="102" customFormat="false" ht="15" hidden="false" customHeight="true" outlineLevel="0" collapsed="false">
      <c r="A102" s="258"/>
      <c r="B102" s="266"/>
      <c r="C102" s="258"/>
      <c r="D102" s="278"/>
      <c r="E102" s="278"/>
      <c r="F102" s="275"/>
      <c r="G102" s="258" t="str">
        <f aca="false">IF(B102="","",IF(AY102=1,P102-O102+1,IF(AW102="","",AW102)))</f>
        <v/>
      </c>
      <c r="H102" s="262"/>
      <c r="I102" s="275"/>
      <c r="J102" s="275"/>
      <c r="K102" s="275"/>
      <c r="L102" s="275"/>
      <c r="M102" s="275"/>
      <c r="N102" s="275"/>
      <c r="O102" s="263"/>
      <c r="P102" s="263"/>
      <c r="Q102" s="275" t="str">
        <f aca="false">IF(AND(ISNUMBER(I102),ISNUMBER(S102)),I102*AJ102,IF(OR(I102&lt;&gt;"",S102&lt;&gt;""),"tbd",""))</f>
        <v/>
      </c>
      <c r="R102" s="264"/>
      <c r="S102" s="265"/>
      <c r="T102" s="266"/>
      <c r="U102" s="278"/>
      <c r="V102" s="278"/>
      <c r="W102" s="258"/>
      <c r="X102" s="278"/>
      <c r="Y102" s="275" t="str">
        <f aca="false">IF(ISNUMBER(I102),I102/Netto_Faktor,"")</f>
        <v/>
      </c>
      <c r="Z102" s="275" t="str">
        <f aca="false">IF(B102="","",IF(COUNT(J102:N102)=0,"",SUM(J102:N102)))</f>
        <v/>
      </c>
      <c r="AA102" s="266"/>
      <c r="AB102" s="266"/>
      <c r="AC102" s="266"/>
      <c r="AD102" s="266"/>
      <c r="AE102" s="266"/>
      <c r="AF102" s="266"/>
      <c r="AG102" s="267"/>
      <c r="AH102" s="266" t="str">
        <f aca="false">IF(B102="","",IF(BA102="",IF(R102="WON","✅ belegt &amp; vollständig","✔ vollständig"),LEFT(BA102,LEN(BA102)-3)))</f>
        <v/>
      </c>
      <c r="AJ102" s="268" t="n">
        <f aca="false">IF(ISNUMBER(S102),IFERROR(LOOKUP(IF(S102&lt;=1,S102,S102/100),'⚖️ Wahrscheinlichkeit'!$B$17:$B$21,'⚖️ Wahrscheinlichkeit'!$D$17:$D$21),0),0)</f>
        <v>0</v>
      </c>
      <c r="AK102" s="1" t="str">
        <f aca="false">IF(AND(R102="WON",ISNUMBER(I102)),AL102+(861-ROW())*0.000001,"")</f>
        <v/>
      </c>
      <c r="AL102" s="1" t="n">
        <f aca="false">IFERROR(I102*1,0)</f>
        <v>0</v>
      </c>
      <c r="AM102" s="1" t="n">
        <f aca="false">N(AM101)+IF(AND(R102="WON",B102&lt;&gt;""),1,0)</f>
        <v>12</v>
      </c>
      <c r="AN102" s="1" t="n">
        <f aca="false">N(AN101)+IF(AND(OR(R102="offered",R102="to be offered",R102="on hold"),B102&lt;&gt;""),1,0)</f>
        <v>33</v>
      </c>
      <c r="AO102" s="1" t="n">
        <f aca="false">N(AO101)+IF(AND(OR(R102="follow-up",R102="Evaluation",R102="tbd",R102="In evaluation"),B102&lt;&gt;""),1,0)</f>
        <v>1</v>
      </c>
      <c r="AP102" s="1" t="n">
        <f aca="false">IF(B102="",0,IF(COUNTIF('⚖️ Wahrscheinlichkeit'!$J$17:$J$24,R102)&gt;0,1,0))</f>
        <v>0</v>
      </c>
      <c r="AQ102" s="1" t="n">
        <f aca="false">IF(B102="",0,IF(AND(ISNUMBER(S102),COUNTIF('⚖️ Wahrscheinlichkeit'!$B$6:$B$11,S102)&gt;0),1,0))</f>
        <v>0</v>
      </c>
      <c r="AR102" s="1" t="n">
        <f aca="false">IF(B102="",0,IF(AND(COUNT(J102:M102)=4,SUM(J102:M102)&gt;0),1,0))</f>
        <v>0</v>
      </c>
      <c r="AS102" s="1" t="n">
        <f aca="false">IF(B102="",0,IF(AND(AF102&lt;&gt;"",AG102&lt;&gt;""),1,0))</f>
        <v>0</v>
      </c>
      <c r="AT102" s="1" t="n">
        <f aca="false">IF(AND(R102="WON",AS102=1,AR102=1),1,0)</f>
        <v>0</v>
      </c>
      <c r="AU102" s="1" t="n">
        <f aca="false">IF(B102="",0,IF(AD102="Alternative – zählt nicht",0,1))</f>
        <v>0</v>
      </c>
      <c r="AV102" s="1" t="n">
        <f aca="false">IF(B102="",0,IF(COUNTIF($B$6:$B$860,B102)&gt;1,1,0))</f>
        <v>0</v>
      </c>
      <c r="AX102" s="269" t="str">
        <f aca="false">IF(AY102=1,DATE(YEAR(O102),MONTH(O102),1),"")</f>
        <v/>
      </c>
      <c r="AY102" s="1" t="n">
        <f aca="false">IF(B102="",0,IF(AND(ISNUMBER(O102),ISNUMBER(P102)),IF(P102&gt;=O102,1,0),0))</f>
        <v>0</v>
      </c>
      <c r="AZ102" s="1" t="n">
        <f aca="false">IF(ISNUMBER(Y102),Y102,0)</f>
        <v>0</v>
      </c>
      <c r="BA102" s="1" t="str">
        <f aca="false">IF(B102="","",IF(AND(R102="WON",AS102=0),"⛔ Beleg fehlt · ","")&amp;IF(AND(R102="WON",AR102=0),"⛔ Einstand fehlt · ","")&amp;IF(AND(R102&lt;&gt;"WON",AR102=0),"○ Einstand offen · ","")&amp;IF(AND(R102="WON",AB102=""),"⛔ Vertragsart fehlt · ","")&amp;IF(AND(ISNUMBER(O102),ISNUMBER(P102)),IF(P102&lt;O102,"⚠ Ende vor Start · ",""),"")&amp;IF(AND(R102="WON",AY102=0,NOT(AND(ISNUMBER(O102),ISNUMBER(P102)))),"⛔ Zeitraum fehlt · ","")&amp;IF(AND(R102&lt;&gt;"WON",AY102=0,NOT(AND(ISNUMBER(O102),ISNUMBER(P102)))),"○ Zeitraum offen · ",""))</f>
        <v/>
      </c>
      <c r="BB102" s="1" t="str">
        <f aca="false">IF(B102="","",IF(AND(R102="WON",AS102=0),"⛔ Nachweis fehlt",IF(AND(ISNUMBER(O102),ISNUMBER(P102),P102&lt;O102),"⚠ Ende vor Start",IF(AND(R102="WON",AY102=0),"⛔ Zeitraum fehlt",IF(AR102=0,"○ Einstand offen",IF(AY102=0,"○ Zeitraum offen",IF(R102="WON","✅ belegt","✔ erfasst")))))))</f>
        <v/>
      </c>
    </row>
    <row r="103" customFormat="false" ht="15" hidden="false" customHeight="true" outlineLevel="0" collapsed="false">
      <c r="A103" s="258"/>
      <c r="B103" s="266"/>
      <c r="C103" s="258"/>
      <c r="D103" s="278"/>
      <c r="E103" s="278"/>
      <c r="F103" s="275"/>
      <c r="G103" s="258" t="str">
        <f aca="false">IF(B103="","",IF(AY103=1,P103-O103+1,IF(AW103="","",AW103)))</f>
        <v/>
      </c>
      <c r="H103" s="262"/>
      <c r="I103" s="275"/>
      <c r="J103" s="275"/>
      <c r="K103" s="275"/>
      <c r="L103" s="275"/>
      <c r="M103" s="275"/>
      <c r="N103" s="275"/>
      <c r="O103" s="263"/>
      <c r="P103" s="263"/>
      <c r="Q103" s="275" t="str">
        <f aca="false">IF(AND(ISNUMBER(I103),ISNUMBER(S103)),I103*AJ103,IF(OR(I103&lt;&gt;"",S103&lt;&gt;""),"tbd",""))</f>
        <v/>
      </c>
      <c r="R103" s="264"/>
      <c r="S103" s="265"/>
      <c r="T103" s="266"/>
      <c r="U103" s="278"/>
      <c r="V103" s="278"/>
      <c r="W103" s="258"/>
      <c r="X103" s="278"/>
      <c r="Y103" s="275" t="str">
        <f aca="false">IF(ISNUMBER(I103),I103/Netto_Faktor,"")</f>
        <v/>
      </c>
      <c r="Z103" s="275" t="str">
        <f aca="false">IF(B103="","",IF(COUNT(J103:N103)=0,"",SUM(J103:N103)))</f>
        <v/>
      </c>
      <c r="AA103" s="266"/>
      <c r="AB103" s="266"/>
      <c r="AC103" s="266"/>
      <c r="AD103" s="266"/>
      <c r="AE103" s="266"/>
      <c r="AF103" s="266"/>
      <c r="AG103" s="267"/>
      <c r="AH103" s="266" t="str">
        <f aca="false">IF(B103="","",IF(BA103="",IF(R103="WON","✅ belegt &amp; vollständig","✔ vollständig"),LEFT(BA103,LEN(BA103)-3)))</f>
        <v/>
      </c>
      <c r="AJ103" s="268" t="n">
        <f aca="false">IF(ISNUMBER(S103),IFERROR(LOOKUP(IF(S103&lt;=1,S103,S103/100),'⚖️ Wahrscheinlichkeit'!$B$17:$B$21,'⚖️ Wahrscheinlichkeit'!$D$17:$D$21),0),0)</f>
        <v>0</v>
      </c>
      <c r="AK103" s="1" t="str">
        <f aca="false">IF(AND(R103="WON",ISNUMBER(I103)),AL103+(861-ROW())*0.000001,"")</f>
        <v/>
      </c>
      <c r="AL103" s="1" t="n">
        <f aca="false">IFERROR(I103*1,0)</f>
        <v>0</v>
      </c>
      <c r="AM103" s="1" t="n">
        <f aca="false">N(AM102)+IF(AND(R103="WON",B103&lt;&gt;""),1,0)</f>
        <v>12</v>
      </c>
      <c r="AN103" s="1" t="n">
        <f aca="false">N(AN102)+IF(AND(OR(R103="offered",R103="to be offered",R103="on hold"),B103&lt;&gt;""),1,0)</f>
        <v>33</v>
      </c>
      <c r="AO103" s="1" t="n">
        <f aca="false">N(AO102)+IF(AND(OR(R103="follow-up",R103="Evaluation",R103="tbd",R103="In evaluation"),B103&lt;&gt;""),1,0)</f>
        <v>1</v>
      </c>
      <c r="AP103" s="1" t="n">
        <f aca="false">IF(B103="",0,IF(COUNTIF('⚖️ Wahrscheinlichkeit'!$J$17:$J$24,R103)&gt;0,1,0))</f>
        <v>0</v>
      </c>
      <c r="AQ103" s="1" t="n">
        <f aca="false">IF(B103="",0,IF(AND(ISNUMBER(S103),COUNTIF('⚖️ Wahrscheinlichkeit'!$B$6:$B$11,S103)&gt;0),1,0))</f>
        <v>0</v>
      </c>
      <c r="AR103" s="1" t="n">
        <f aca="false">IF(B103="",0,IF(AND(COUNT(J103:M103)=4,SUM(J103:M103)&gt;0),1,0))</f>
        <v>0</v>
      </c>
      <c r="AS103" s="1" t="n">
        <f aca="false">IF(B103="",0,IF(AND(AF103&lt;&gt;"",AG103&lt;&gt;""),1,0))</f>
        <v>0</v>
      </c>
      <c r="AT103" s="1" t="n">
        <f aca="false">IF(AND(R103="WON",AS103=1,AR103=1),1,0)</f>
        <v>0</v>
      </c>
      <c r="AU103" s="1" t="n">
        <f aca="false">IF(B103="",0,IF(AD103="Alternative – zählt nicht",0,1))</f>
        <v>0</v>
      </c>
      <c r="AV103" s="1" t="n">
        <f aca="false">IF(B103="",0,IF(COUNTIF($B$6:$B$860,B103)&gt;1,1,0))</f>
        <v>0</v>
      </c>
      <c r="AX103" s="269" t="str">
        <f aca="false">IF(AY103=1,DATE(YEAR(O103),MONTH(O103),1),"")</f>
        <v/>
      </c>
      <c r="AY103" s="1" t="n">
        <f aca="false">IF(B103="",0,IF(AND(ISNUMBER(O103),ISNUMBER(P103)),IF(P103&gt;=O103,1,0),0))</f>
        <v>0</v>
      </c>
      <c r="AZ103" s="1" t="n">
        <f aca="false">IF(ISNUMBER(Y103),Y103,0)</f>
        <v>0</v>
      </c>
      <c r="BA103" s="1" t="str">
        <f aca="false">IF(B103="","",IF(AND(R103="WON",AS103=0),"⛔ Beleg fehlt · ","")&amp;IF(AND(R103="WON",AR103=0),"⛔ Einstand fehlt · ","")&amp;IF(AND(R103&lt;&gt;"WON",AR103=0),"○ Einstand offen · ","")&amp;IF(AND(R103="WON",AB103=""),"⛔ Vertragsart fehlt · ","")&amp;IF(AND(ISNUMBER(O103),ISNUMBER(P103)),IF(P103&lt;O103,"⚠ Ende vor Start · ",""),"")&amp;IF(AND(R103="WON",AY103=0,NOT(AND(ISNUMBER(O103),ISNUMBER(P103)))),"⛔ Zeitraum fehlt · ","")&amp;IF(AND(R103&lt;&gt;"WON",AY103=0,NOT(AND(ISNUMBER(O103),ISNUMBER(P103)))),"○ Zeitraum offen · ",""))</f>
        <v/>
      </c>
      <c r="BB103" s="1" t="str">
        <f aca="false">IF(B103="","",IF(AND(R103="WON",AS103=0),"⛔ Nachweis fehlt",IF(AND(ISNUMBER(O103),ISNUMBER(P103),P103&lt;O103),"⚠ Ende vor Start",IF(AND(R103="WON",AY103=0),"⛔ Zeitraum fehlt",IF(AR103=0,"○ Einstand offen",IF(AY103=0,"○ Zeitraum offen",IF(R103="WON","✅ belegt","✔ erfasst")))))))</f>
        <v/>
      </c>
    </row>
    <row r="104" customFormat="false" ht="15" hidden="false" customHeight="true" outlineLevel="0" collapsed="false">
      <c r="A104" s="258"/>
      <c r="B104" s="266"/>
      <c r="C104" s="258"/>
      <c r="D104" s="278"/>
      <c r="E104" s="278"/>
      <c r="F104" s="275"/>
      <c r="G104" s="258" t="str">
        <f aca="false">IF(B104="","",IF(AY104=1,P104-O104+1,IF(AW104="","",AW104)))</f>
        <v/>
      </c>
      <c r="H104" s="262"/>
      <c r="I104" s="275"/>
      <c r="J104" s="275"/>
      <c r="K104" s="275"/>
      <c r="L104" s="275"/>
      <c r="M104" s="275"/>
      <c r="N104" s="275"/>
      <c r="O104" s="263"/>
      <c r="P104" s="263"/>
      <c r="Q104" s="275" t="str">
        <f aca="false">IF(AND(ISNUMBER(I104),ISNUMBER(S104)),I104*AJ104,IF(OR(I104&lt;&gt;"",S104&lt;&gt;""),"tbd",""))</f>
        <v/>
      </c>
      <c r="R104" s="264"/>
      <c r="S104" s="265"/>
      <c r="T104" s="266"/>
      <c r="U104" s="278"/>
      <c r="V104" s="278"/>
      <c r="W104" s="258"/>
      <c r="X104" s="278"/>
      <c r="Y104" s="275" t="str">
        <f aca="false">IF(ISNUMBER(I104),I104/Netto_Faktor,"")</f>
        <v/>
      </c>
      <c r="Z104" s="275" t="str">
        <f aca="false">IF(B104="","",IF(COUNT(J104:N104)=0,"",SUM(J104:N104)))</f>
        <v/>
      </c>
      <c r="AA104" s="266"/>
      <c r="AB104" s="266"/>
      <c r="AC104" s="266"/>
      <c r="AD104" s="266"/>
      <c r="AE104" s="266"/>
      <c r="AF104" s="266"/>
      <c r="AG104" s="267"/>
      <c r="AH104" s="266" t="str">
        <f aca="false">IF(B104="","",IF(BA104="",IF(R104="WON","✅ belegt &amp; vollständig","✔ vollständig"),LEFT(BA104,LEN(BA104)-3)))</f>
        <v/>
      </c>
      <c r="AJ104" s="268" t="n">
        <f aca="false">IF(ISNUMBER(S104),IFERROR(LOOKUP(IF(S104&lt;=1,S104,S104/100),'⚖️ Wahrscheinlichkeit'!$B$17:$B$21,'⚖️ Wahrscheinlichkeit'!$D$17:$D$21),0),0)</f>
        <v>0</v>
      </c>
      <c r="AK104" s="1" t="str">
        <f aca="false">IF(AND(R104="WON",ISNUMBER(I104)),AL104+(861-ROW())*0.000001,"")</f>
        <v/>
      </c>
      <c r="AL104" s="1" t="n">
        <f aca="false">IFERROR(I104*1,0)</f>
        <v>0</v>
      </c>
      <c r="AM104" s="1" t="n">
        <f aca="false">N(AM103)+IF(AND(R104="WON",B104&lt;&gt;""),1,0)</f>
        <v>12</v>
      </c>
      <c r="AN104" s="1" t="n">
        <f aca="false">N(AN103)+IF(AND(OR(R104="offered",R104="to be offered",R104="on hold"),B104&lt;&gt;""),1,0)</f>
        <v>33</v>
      </c>
      <c r="AO104" s="1" t="n">
        <f aca="false">N(AO103)+IF(AND(OR(R104="follow-up",R104="Evaluation",R104="tbd",R104="In evaluation"),B104&lt;&gt;""),1,0)</f>
        <v>1</v>
      </c>
      <c r="AP104" s="1" t="n">
        <f aca="false">IF(B104="",0,IF(COUNTIF('⚖️ Wahrscheinlichkeit'!$J$17:$J$24,R104)&gt;0,1,0))</f>
        <v>0</v>
      </c>
      <c r="AQ104" s="1" t="n">
        <f aca="false">IF(B104="",0,IF(AND(ISNUMBER(S104),COUNTIF('⚖️ Wahrscheinlichkeit'!$B$6:$B$11,S104)&gt;0),1,0))</f>
        <v>0</v>
      </c>
      <c r="AR104" s="1" t="n">
        <f aca="false">IF(B104="",0,IF(AND(COUNT(J104:M104)=4,SUM(J104:M104)&gt;0),1,0))</f>
        <v>0</v>
      </c>
      <c r="AS104" s="1" t="n">
        <f aca="false">IF(B104="",0,IF(AND(AF104&lt;&gt;"",AG104&lt;&gt;""),1,0))</f>
        <v>0</v>
      </c>
      <c r="AT104" s="1" t="n">
        <f aca="false">IF(AND(R104="WON",AS104=1,AR104=1),1,0)</f>
        <v>0</v>
      </c>
      <c r="AU104" s="1" t="n">
        <f aca="false">IF(B104="",0,IF(AD104="Alternative – zählt nicht",0,1))</f>
        <v>0</v>
      </c>
      <c r="AV104" s="1" t="n">
        <f aca="false">IF(B104="",0,IF(COUNTIF($B$6:$B$860,B104)&gt;1,1,0))</f>
        <v>0</v>
      </c>
      <c r="AX104" s="269" t="str">
        <f aca="false">IF(AY104=1,DATE(YEAR(O104),MONTH(O104),1),"")</f>
        <v/>
      </c>
      <c r="AY104" s="1" t="n">
        <f aca="false">IF(B104="",0,IF(AND(ISNUMBER(O104),ISNUMBER(P104)),IF(P104&gt;=O104,1,0),0))</f>
        <v>0</v>
      </c>
      <c r="AZ104" s="1" t="n">
        <f aca="false">IF(ISNUMBER(Y104),Y104,0)</f>
        <v>0</v>
      </c>
      <c r="BA104" s="1" t="str">
        <f aca="false">IF(B104="","",IF(AND(R104="WON",AS104=0),"⛔ Beleg fehlt · ","")&amp;IF(AND(R104="WON",AR104=0),"⛔ Einstand fehlt · ","")&amp;IF(AND(R104&lt;&gt;"WON",AR104=0),"○ Einstand offen · ","")&amp;IF(AND(R104="WON",AB104=""),"⛔ Vertragsart fehlt · ","")&amp;IF(AND(ISNUMBER(O104),ISNUMBER(P104)),IF(P104&lt;O104,"⚠ Ende vor Start · ",""),"")&amp;IF(AND(R104="WON",AY104=0,NOT(AND(ISNUMBER(O104),ISNUMBER(P104)))),"⛔ Zeitraum fehlt · ","")&amp;IF(AND(R104&lt;&gt;"WON",AY104=0,NOT(AND(ISNUMBER(O104),ISNUMBER(P104)))),"○ Zeitraum offen · ",""))</f>
        <v/>
      </c>
      <c r="BB104" s="1" t="str">
        <f aca="false">IF(B104="","",IF(AND(R104="WON",AS104=0),"⛔ Nachweis fehlt",IF(AND(ISNUMBER(O104),ISNUMBER(P104),P104&lt;O104),"⚠ Ende vor Start",IF(AND(R104="WON",AY104=0),"⛔ Zeitraum fehlt",IF(AR104=0,"○ Einstand offen",IF(AY104=0,"○ Zeitraum offen",IF(R104="WON","✅ belegt","✔ erfasst")))))))</f>
        <v/>
      </c>
    </row>
    <row r="105" customFormat="false" ht="15" hidden="false" customHeight="true" outlineLevel="0" collapsed="false">
      <c r="A105" s="258"/>
      <c r="B105" s="266"/>
      <c r="C105" s="258"/>
      <c r="D105" s="278"/>
      <c r="E105" s="278"/>
      <c r="F105" s="275"/>
      <c r="G105" s="258" t="str">
        <f aca="false">IF(B105="","",IF(AY105=1,P105-O105+1,IF(AW105="","",AW105)))</f>
        <v/>
      </c>
      <c r="H105" s="262"/>
      <c r="I105" s="275"/>
      <c r="J105" s="275"/>
      <c r="K105" s="275"/>
      <c r="L105" s="275"/>
      <c r="M105" s="275"/>
      <c r="N105" s="275"/>
      <c r="O105" s="263"/>
      <c r="P105" s="263"/>
      <c r="Q105" s="275" t="str">
        <f aca="false">IF(AND(ISNUMBER(I105),ISNUMBER(S105)),I105*AJ105,IF(OR(I105&lt;&gt;"",S105&lt;&gt;""),"tbd",""))</f>
        <v/>
      </c>
      <c r="R105" s="264"/>
      <c r="S105" s="265"/>
      <c r="T105" s="266"/>
      <c r="U105" s="278"/>
      <c r="V105" s="278"/>
      <c r="W105" s="258"/>
      <c r="X105" s="278"/>
      <c r="Y105" s="275" t="str">
        <f aca="false">IF(ISNUMBER(I105),I105/Netto_Faktor,"")</f>
        <v/>
      </c>
      <c r="Z105" s="275" t="str">
        <f aca="false">IF(B105="","",IF(COUNT(J105:N105)=0,"",SUM(J105:N105)))</f>
        <v/>
      </c>
      <c r="AA105" s="266"/>
      <c r="AB105" s="266"/>
      <c r="AC105" s="266"/>
      <c r="AD105" s="266"/>
      <c r="AE105" s="266"/>
      <c r="AF105" s="266"/>
      <c r="AG105" s="267"/>
      <c r="AH105" s="266" t="str">
        <f aca="false">IF(B105="","",IF(BA105="",IF(R105="WON","✅ belegt &amp; vollständig","✔ vollständig"),LEFT(BA105,LEN(BA105)-3)))</f>
        <v/>
      </c>
      <c r="AJ105" s="268" t="n">
        <f aca="false">IF(ISNUMBER(S105),IFERROR(LOOKUP(IF(S105&lt;=1,S105,S105/100),'⚖️ Wahrscheinlichkeit'!$B$17:$B$21,'⚖️ Wahrscheinlichkeit'!$D$17:$D$21),0),0)</f>
        <v>0</v>
      </c>
      <c r="AK105" s="1" t="str">
        <f aca="false">IF(AND(R105="WON",ISNUMBER(I105)),AL105+(861-ROW())*0.000001,"")</f>
        <v/>
      </c>
      <c r="AL105" s="1" t="n">
        <f aca="false">IFERROR(I105*1,0)</f>
        <v>0</v>
      </c>
      <c r="AM105" s="1" t="n">
        <f aca="false">N(AM104)+IF(AND(R105="WON",B105&lt;&gt;""),1,0)</f>
        <v>12</v>
      </c>
      <c r="AN105" s="1" t="n">
        <f aca="false">N(AN104)+IF(AND(OR(R105="offered",R105="to be offered",R105="on hold"),B105&lt;&gt;""),1,0)</f>
        <v>33</v>
      </c>
      <c r="AO105" s="1" t="n">
        <f aca="false">N(AO104)+IF(AND(OR(R105="follow-up",R105="Evaluation",R105="tbd",R105="In evaluation"),B105&lt;&gt;""),1,0)</f>
        <v>1</v>
      </c>
      <c r="AP105" s="1" t="n">
        <f aca="false">IF(B105="",0,IF(COUNTIF('⚖️ Wahrscheinlichkeit'!$J$17:$J$24,R105)&gt;0,1,0))</f>
        <v>0</v>
      </c>
      <c r="AQ105" s="1" t="n">
        <f aca="false">IF(B105="",0,IF(AND(ISNUMBER(S105),COUNTIF('⚖️ Wahrscheinlichkeit'!$B$6:$B$11,S105)&gt;0),1,0))</f>
        <v>0</v>
      </c>
      <c r="AR105" s="1" t="n">
        <f aca="false">IF(B105="",0,IF(AND(COUNT(J105:M105)=4,SUM(J105:M105)&gt;0),1,0))</f>
        <v>0</v>
      </c>
      <c r="AS105" s="1" t="n">
        <f aca="false">IF(B105="",0,IF(AND(AF105&lt;&gt;"",AG105&lt;&gt;""),1,0))</f>
        <v>0</v>
      </c>
      <c r="AT105" s="1" t="n">
        <f aca="false">IF(AND(R105="WON",AS105=1,AR105=1),1,0)</f>
        <v>0</v>
      </c>
      <c r="AU105" s="1" t="n">
        <f aca="false">IF(B105="",0,IF(AD105="Alternative – zählt nicht",0,1))</f>
        <v>0</v>
      </c>
      <c r="AV105" s="1" t="n">
        <f aca="false">IF(B105="",0,IF(COUNTIF($B$6:$B$860,B105)&gt;1,1,0))</f>
        <v>0</v>
      </c>
      <c r="AX105" s="269" t="str">
        <f aca="false">IF(AY105=1,DATE(YEAR(O105),MONTH(O105),1),"")</f>
        <v/>
      </c>
      <c r="AY105" s="1" t="n">
        <f aca="false">IF(B105="",0,IF(AND(ISNUMBER(O105),ISNUMBER(P105)),IF(P105&gt;=O105,1,0),0))</f>
        <v>0</v>
      </c>
      <c r="AZ105" s="1" t="n">
        <f aca="false">IF(ISNUMBER(Y105),Y105,0)</f>
        <v>0</v>
      </c>
      <c r="BA105" s="1" t="str">
        <f aca="false">IF(B105="","",IF(AND(R105="WON",AS105=0),"⛔ Beleg fehlt · ","")&amp;IF(AND(R105="WON",AR105=0),"⛔ Einstand fehlt · ","")&amp;IF(AND(R105&lt;&gt;"WON",AR105=0),"○ Einstand offen · ","")&amp;IF(AND(R105="WON",AB105=""),"⛔ Vertragsart fehlt · ","")&amp;IF(AND(ISNUMBER(O105),ISNUMBER(P105)),IF(P105&lt;O105,"⚠ Ende vor Start · ",""),"")&amp;IF(AND(R105="WON",AY105=0,NOT(AND(ISNUMBER(O105),ISNUMBER(P105)))),"⛔ Zeitraum fehlt · ","")&amp;IF(AND(R105&lt;&gt;"WON",AY105=0,NOT(AND(ISNUMBER(O105),ISNUMBER(P105)))),"○ Zeitraum offen · ",""))</f>
        <v/>
      </c>
      <c r="BB105" s="1" t="str">
        <f aca="false">IF(B105="","",IF(AND(R105="WON",AS105=0),"⛔ Nachweis fehlt",IF(AND(ISNUMBER(O105),ISNUMBER(P105),P105&lt;O105),"⚠ Ende vor Start",IF(AND(R105="WON",AY105=0),"⛔ Zeitraum fehlt",IF(AR105=0,"○ Einstand offen",IF(AY105=0,"○ Zeitraum offen",IF(R105="WON","✅ belegt","✔ erfasst")))))))</f>
        <v/>
      </c>
    </row>
    <row r="106" customFormat="false" ht="15" hidden="false" customHeight="true" outlineLevel="0" collapsed="false">
      <c r="A106" s="258"/>
      <c r="B106" s="266"/>
      <c r="C106" s="258"/>
      <c r="D106" s="278"/>
      <c r="E106" s="278"/>
      <c r="F106" s="275"/>
      <c r="G106" s="258" t="str">
        <f aca="false">IF(B106="","",IF(AY106=1,P106-O106+1,IF(AW106="","",AW106)))</f>
        <v/>
      </c>
      <c r="H106" s="262"/>
      <c r="I106" s="275"/>
      <c r="J106" s="275"/>
      <c r="K106" s="275"/>
      <c r="L106" s="275"/>
      <c r="M106" s="275"/>
      <c r="N106" s="275"/>
      <c r="O106" s="263"/>
      <c r="P106" s="263"/>
      <c r="Q106" s="275" t="str">
        <f aca="false">IF(AND(ISNUMBER(I106),ISNUMBER(S106)),I106*AJ106,IF(OR(I106&lt;&gt;"",S106&lt;&gt;""),"tbd",""))</f>
        <v/>
      </c>
      <c r="R106" s="264"/>
      <c r="S106" s="265"/>
      <c r="T106" s="266"/>
      <c r="U106" s="278"/>
      <c r="V106" s="278"/>
      <c r="W106" s="258"/>
      <c r="X106" s="278"/>
      <c r="Y106" s="275" t="str">
        <f aca="false">IF(ISNUMBER(I106),I106/Netto_Faktor,"")</f>
        <v/>
      </c>
      <c r="Z106" s="275" t="str">
        <f aca="false">IF(B106="","",IF(COUNT(J106:N106)=0,"",SUM(J106:N106)))</f>
        <v/>
      </c>
      <c r="AA106" s="266"/>
      <c r="AB106" s="266"/>
      <c r="AC106" s="266"/>
      <c r="AD106" s="266"/>
      <c r="AE106" s="266"/>
      <c r="AF106" s="266"/>
      <c r="AG106" s="267"/>
      <c r="AH106" s="266" t="str">
        <f aca="false">IF(B106="","",IF(BA106="",IF(R106="WON","✅ belegt &amp; vollständig","✔ vollständig"),LEFT(BA106,LEN(BA106)-3)))</f>
        <v/>
      </c>
      <c r="AJ106" s="268" t="n">
        <f aca="false">IF(ISNUMBER(S106),IFERROR(LOOKUP(IF(S106&lt;=1,S106,S106/100),'⚖️ Wahrscheinlichkeit'!$B$17:$B$21,'⚖️ Wahrscheinlichkeit'!$D$17:$D$21),0),0)</f>
        <v>0</v>
      </c>
      <c r="AK106" s="1" t="str">
        <f aca="false">IF(AND(R106="WON",ISNUMBER(I106)),AL106+(861-ROW())*0.000001,"")</f>
        <v/>
      </c>
      <c r="AL106" s="1" t="n">
        <f aca="false">IFERROR(I106*1,0)</f>
        <v>0</v>
      </c>
      <c r="AM106" s="1" t="n">
        <f aca="false">N(AM105)+IF(AND(R106="WON",B106&lt;&gt;""),1,0)</f>
        <v>12</v>
      </c>
      <c r="AN106" s="1" t="n">
        <f aca="false">N(AN105)+IF(AND(OR(R106="offered",R106="to be offered",R106="on hold"),B106&lt;&gt;""),1,0)</f>
        <v>33</v>
      </c>
      <c r="AO106" s="1" t="n">
        <f aca="false">N(AO105)+IF(AND(OR(R106="follow-up",R106="Evaluation",R106="tbd",R106="In evaluation"),B106&lt;&gt;""),1,0)</f>
        <v>1</v>
      </c>
      <c r="AP106" s="1" t="n">
        <f aca="false">IF(B106="",0,IF(COUNTIF('⚖️ Wahrscheinlichkeit'!$J$17:$J$24,R106)&gt;0,1,0))</f>
        <v>0</v>
      </c>
      <c r="AQ106" s="1" t="n">
        <f aca="false">IF(B106="",0,IF(AND(ISNUMBER(S106),COUNTIF('⚖️ Wahrscheinlichkeit'!$B$6:$B$11,S106)&gt;0),1,0))</f>
        <v>0</v>
      </c>
      <c r="AR106" s="1" t="n">
        <f aca="false">IF(B106="",0,IF(AND(COUNT(J106:M106)=4,SUM(J106:M106)&gt;0),1,0))</f>
        <v>0</v>
      </c>
      <c r="AS106" s="1" t="n">
        <f aca="false">IF(B106="",0,IF(AND(AF106&lt;&gt;"",AG106&lt;&gt;""),1,0))</f>
        <v>0</v>
      </c>
      <c r="AT106" s="1" t="n">
        <f aca="false">IF(AND(R106="WON",AS106=1,AR106=1),1,0)</f>
        <v>0</v>
      </c>
      <c r="AU106" s="1" t="n">
        <f aca="false">IF(B106="",0,IF(AD106="Alternative – zählt nicht",0,1))</f>
        <v>0</v>
      </c>
      <c r="AV106" s="1" t="n">
        <f aca="false">IF(B106="",0,IF(COUNTIF($B$6:$B$860,B106)&gt;1,1,0))</f>
        <v>0</v>
      </c>
      <c r="AX106" s="269" t="str">
        <f aca="false">IF(AY106=1,DATE(YEAR(O106),MONTH(O106),1),"")</f>
        <v/>
      </c>
      <c r="AY106" s="1" t="n">
        <f aca="false">IF(B106="",0,IF(AND(ISNUMBER(O106),ISNUMBER(P106)),IF(P106&gt;=O106,1,0),0))</f>
        <v>0</v>
      </c>
      <c r="AZ106" s="1" t="n">
        <f aca="false">IF(ISNUMBER(Y106),Y106,0)</f>
        <v>0</v>
      </c>
      <c r="BA106" s="1" t="str">
        <f aca="false">IF(B106="","",IF(AND(R106="WON",AS106=0),"⛔ Beleg fehlt · ","")&amp;IF(AND(R106="WON",AR106=0),"⛔ Einstand fehlt · ","")&amp;IF(AND(R106&lt;&gt;"WON",AR106=0),"○ Einstand offen · ","")&amp;IF(AND(R106="WON",AB106=""),"⛔ Vertragsart fehlt · ","")&amp;IF(AND(ISNUMBER(O106),ISNUMBER(P106)),IF(P106&lt;O106,"⚠ Ende vor Start · ",""),"")&amp;IF(AND(R106="WON",AY106=0,NOT(AND(ISNUMBER(O106),ISNUMBER(P106)))),"⛔ Zeitraum fehlt · ","")&amp;IF(AND(R106&lt;&gt;"WON",AY106=0,NOT(AND(ISNUMBER(O106),ISNUMBER(P106)))),"○ Zeitraum offen · ",""))</f>
        <v/>
      </c>
      <c r="BB106" s="1" t="str">
        <f aca="false">IF(B106="","",IF(AND(R106="WON",AS106=0),"⛔ Nachweis fehlt",IF(AND(ISNUMBER(O106),ISNUMBER(P106),P106&lt;O106),"⚠ Ende vor Start",IF(AND(R106="WON",AY106=0),"⛔ Zeitraum fehlt",IF(AR106=0,"○ Einstand offen",IF(AY106=0,"○ Zeitraum offen",IF(R106="WON","✅ belegt","✔ erfasst")))))))</f>
        <v/>
      </c>
    </row>
    <row r="107" customFormat="false" ht="15" hidden="false" customHeight="true" outlineLevel="0" collapsed="false">
      <c r="A107" s="258"/>
      <c r="B107" s="266"/>
      <c r="C107" s="258"/>
      <c r="D107" s="278"/>
      <c r="E107" s="278"/>
      <c r="F107" s="275"/>
      <c r="G107" s="258" t="str">
        <f aca="false">IF(B107="","",IF(AY107=1,P107-O107+1,IF(AW107="","",AW107)))</f>
        <v/>
      </c>
      <c r="H107" s="262"/>
      <c r="I107" s="275"/>
      <c r="J107" s="275"/>
      <c r="K107" s="275"/>
      <c r="L107" s="275"/>
      <c r="M107" s="275"/>
      <c r="N107" s="275"/>
      <c r="O107" s="263"/>
      <c r="P107" s="263"/>
      <c r="Q107" s="275" t="str">
        <f aca="false">IF(AND(ISNUMBER(I107),ISNUMBER(S107)),I107*AJ107,IF(OR(I107&lt;&gt;"",S107&lt;&gt;""),"tbd",""))</f>
        <v/>
      </c>
      <c r="R107" s="264"/>
      <c r="S107" s="265"/>
      <c r="T107" s="266"/>
      <c r="U107" s="278"/>
      <c r="V107" s="278"/>
      <c r="W107" s="258"/>
      <c r="X107" s="278"/>
      <c r="Y107" s="275" t="str">
        <f aca="false">IF(ISNUMBER(I107),I107/Netto_Faktor,"")</f>
        <v/>
      </c>
      <c r="Z107" s="275" t="str">
        <f aca="false">IF(B107="","",IF(COUNT(J107:N107)=0,"",SUM(J107:N107)))</f>
        <v/>
      </c>
      <c r="AA107" s="266"/>
      <c r="AB107" s="266"/>
      <c r="AC107" s="266"/>
      <c r="AD107" s="266"/>
      <c r="AE107" s="266"/>
      <c r="AF107" s="266"/>
      <c r="AG107" s="267"/>
      <c r="AH107" s="266" t="str">
        <f aca="false">IF(B107="","",IF(BA107="",IF(R107="WON","✅ belegt &amp; vollständig","✔ vollständig"),LEFT(BA107,LEN(BA107)-3)))</f>
        <v/>
      </c>
      <c r="AJ107" s="268" t="n">
        <f aca="false">IF(ISNUMBER(S107),IFERROR(LOOKUP(IF(S107&lt;=1,S107,S107/100),'⚖️ Wahrscheinlichkeit'!$B$17:$B$21,'⚖️ Wahrscheinlichkeit'!$D$17:$D$21),0),0)</f>
        <v>0</v>
      </c>
      <c r="AK107" s="1" t="str">
        <f aca="false">IF(AND(R107="WON",ISNUMBER(I107)),AL107+(861-ROW())*0.000001,"")</f>
        <v/>
      </c>
      <c r="AL107" s="1" t="n">
        <f aca="false">IFERROR(I107*1,0)</f>
        <v>0</v>
      </c>
      <c r="AM107" s="1" t="n">
        <f aca="false">N(AM106)+IF(AND(R107="WON",B107&lt;&gt;""),1,0)</f>
        <v>12</v>
      </c>
      <c r="AN107" s="1" t="n">
        <f aca="false">N(AN106)+IF(AND(OR(R107="offered",R107="to be offered",R107="on hold"),B107&lt;&gt;""),1,0)</f>
        <v>33</v>
      </c>
      <c r="AO107" s="1" t="n">
        <f aca="false">N(AO106)+IF(AND(OR(R107="follow-up",R107="Evaluation",R107="tbd",R107="In evaluation"),B107&lt;&gt;""),1,0)</f>
        <v>1</v>
      </c>
      <c r="AP107" s="1" t="n">
        <f aca="false">IF(B107="",0,IF(COUNTIF('⚖️ Wahrscheinlichkeit'!$J$17:$J$24,R107)&gt;0,1,0))</f>
        <v>0</v>
      </c>
      <c r="AQ107" s="1" t="n">
        <f aca="false">IF(B107="",0,IF(AND(ISNUMBER(S107),COUNTIF('⚖️ Wahrscheinlichkeit'!$B$6:$B$11,S107)&gt;0),1,0))</f>
        <v>0</v>
      </c>
      <c r="AR107" s="1" t="n">
        <f aca="false">IF(B107="",0,IF(AND(COUNT(J107:M107)=4,SUM(J107:M107)&gt;0),1,0))</f>
        <v>0</v>
      </c>
      <c r="AS107" s="1" t="n">
        <f aca="false">IF(B107="",0,IF(AND(AF107&lt;&gt;"",AG107&lt;&gt;""),1,0))</f>
        <v>0</v>
      </c>
      <c r="AT107" s="1" t="n">
        <f aca="false">IF(AND(R107="WON",AS107=1,AR107=1),1,0)</f>
        <v>0</v>
      </c>
      <c r="AU107" s="1" t="n">
        <f aca="false">IF(B107="",0,IF(AD107="Alternative – zählt nicht",0,1))</f>
        <v>0</v>
      </c>
      <c r="AV107" s="1" t="n">
        <f aca="false">IF(B107="",0,IF(COUNTIF($B$6:$B$860,B107)&gt;1,1,0))</f>
        <v>0</v>
      </c>
      <c r="AX107" s="269" t="str">
        <f aca="false">IF(AY107=1,DATE(YEAR(O107),MONTH(O107),1),"")</f>
        <v/>
      </c>
      <c r="AY107" s="1" t="n">
        <f aca="false">IF(B107="",0,IF(AND(ISNUMBER(O107),ISNUMBER(P107)),IF(P107&gt;=O107,1,0),0))</f>
        <v>0</v>
      </c>
      <c r="AZ107" s="1" t="n">
        <f aca="false">IF(ISNUMBER(Y107),Y107,0)</f>
        <v>0</v>
      </c>
      <c r="BA107" s="1" t="str">
        <f aca="false">IF(B107="","",IF(AND(R107="WON",AS107=0),"⛔ Beleg fehlt · ","")&amp;IF(AND(R107="WON",AR107=0),"⛔ Einstand fehlt · ","")&amp;IF(AND(R107&lt;&gt;"WON",AR107=0),"○ Einstand offen · ","")&amp;IF(AND(R107="WON",AB107=""),"⛔ Vertragsart fehlt · ","")&amp;IF(AND(ISNUMBER(O107),ISNUMBER(P107)),IF(P107&lt;O107,"⚠ Ende vor Start · ",""),"")&amp;IF(AND(R107="WON",AY107=0,NOT(AND(ISNUMBER(O107),ISNUMBER(P107)))),"⛔ Zeitraum fehlt · ","")&amp;IF(AND(R107&lt;&gt;"WON",AY107=0,NOT(AND(ISNUMBER(O107),ISNUMBER(P107)))),"○ Zeitraum offen · ",""))</f>
        <v/>
      </c>
      <c r="BB107" s="1" t="str">
        <f aca="false">IF(B107="","",IF(AND(R107="WON",AS107=0),"⛔ Nachweis fehlt",IF(AND(ISNUMBER(O107),ISNUMBER(P107),P107&lt;O107),"⚠ Ende vor Start",IF(AND(R107="WON",AY107=0),"⛔ Zeitraum fehlt",IF(AR107=0,"○ Einstand offen",IF(AY107=0,"○ Zeitraum offen",IF(R107="WON","✅ belegt","✔ erfasst")))))))</f>
        <v/>
      </c>
    </row>
    <row r="108" customFormat="false" ht="15" hidden="false" customHeight="true" outlineLevel="0" collapsed="false">
      <c r="A108" s="258"/>
      <c r="B108" s="266"/>
      <c r="C108" s="258"/>
      <c r="D108" s="278"/>
      <c r="E108" s="278"/>
      <c r="F108" s="275"/>
      <c r="G108" s="258" t="str">
        <f aca="false">IF(B108="","",IF(AY108=1,P108-O108+1,IF(AW108="","",AW108)))</f>
        <v/>
      </c>
      <c r="H108" s="262"/>
      <c r="I108" s="275"/>
      <c r="J108" s="275"/>
      <c r="K108" s="275"/>
      <c r="L108" s="275"/>
      <c r="M108" s="275"/>
      <c r="N108" s="275"/>
      <c r="O108" s="263"/>
      <c r="P108" s="263"/>
      <c r="Q108" s="275" t="str">
        <f aca="false">IF(AND(ISNUMBER(I108),ISNUMBER(S108)),I108*AJ108,IF(OR(I108&lt;&gt;"",S108&lt;&gt;""),"tbd",""))</f>
        <v/>
      </c>
      <c r="R108" s="264"/>
      <c r="S108" s="265"/>
      <c r="T108" s="266"/>
      <c r="U108" s="278"/>
      <c r="V108" s="278"/>
      <c r="W108" s="258"/>
      <c r="X108" s="278"/>
      <c r="Y108" s="275" t="str">
        <f aca="false">IF(ISNUMBER(I108),I108/Netto_Faktor,"")</f>
        <v/>
      </c>
      <c r="Z108" s="275" t="str">
        <f aca="false">IF(B108="","",IF(COUNT(J108:N108)=0,"",SUM(J108:N108)))</f>
        <v/>
      </c>
      <c r="AA108" s="266"/>
      <c r="AB108" s="266"/>
      <c r="AC108" s="266"/>
      <c r="AD108" s="266"/>
      <c r="AE108" s="266"/>
      <c r="AF108" s="266"/>
      <c r="AG108" s="267"/>
      <c r="AH108" s="266" t="str">
        <f aca="false">IF(B108="","",IF(BA108="",IF(R108="WON","✅ belegt &amp; vollständig","✔ vollständig"),LEFT(BA108,LEN(BA108)-3)))</f>
        <v/>
      </c>
      <c r="AJ108" s="268" t="n">
        <f aca="false">IF(ISNUMBER(S108),IFERROR(LOOKUP(IF(S108&lt;=1,S108,S108/100),'⚖️ Wahrscheinlichkeit'!$B$17:$B$21,'⚖️ Wahrscheinlichkeit'!$D$17:$D$21),0),0)</f>
        <v>0</v>
      </c>
      <c r="AK108" s="1" t="str">
        <f aca="false">IF(AND(R108="WON",ISNUMBER(I108)),AL108+(861-ROW())*0.000001,"")</f>
        <v/>
      </c>
      <c r="AL108" s="1" t="n">
        <f aca="false">IFERROR(I108*1,0)</f>
        <v>0</v>
      </c>
      <c r="AM108" s="1" t="n">
        <f aca="false">N(AM107)+IF(AND(R108="WON",B108&lt;&gt;""),1,0)</f>
        <v>12</v>
      </c>
      <c r="AN108" s="1" t="n">
        <f aca="false">N(AN107)+IF(AND(OR(R108="offered",R108="to be offered",R108="on hold"),B108&lt;&gt;""),1,0)</f>
        <v>33</v>
      </c>
      <c r="AO108" s="1" t="n">
        <f aca="false">N(AO107)+IF(AND(OR(R108="follow-up",R108="Evaluation",R108="tbd",R108="In evaluation"),B108&lt;&gt;""),1,0)</f>
        <v>1</v>
      </c>
      <c r="AP108" s="1" t="n">
        <f aca="false">IF(B108="",0,IF(COUNTIF('⚖️ Wahrscheinlichkeit'!$J$17:$J$24,R108)&gt;0,1,0))</f>
        <v>0</v>
      </c>
      <c r="AQ108" s="1" t="n">
        <f aca="false">IF(B108="",0,IF(AND(ISNUMBER(S108),COUNTIF('⚖️ Wahrscheinlichkeit'!$B$6:$B$11,S108)&gt;0),1,0))</f>
        <v>0</v>
      </c>
      <c r="AR108" s="1" t="n">
        <f aca="false">IF(B108="",0,IF(AND(COUNT(J108:M108)=4,SUM(J108:M108)&gt;0),1,0))</f>
        <v>0</v>
      </c>
      <c r="AS108" s="1" t="n">
        <f aca="false">IF(B108="",0,IF(AND(AF108&lt;&gt;"",AG108&lt;&gt;""),1,0))</f>
        <v>0</v>
      </c>
      <c r="AT108" s="1" t="n">
        <f aca="false">IF(AND(R108="WON",AS108=1,AR108=1),1,0)</f>
        <v>0</v>
      </c>
      <c r="AU108" s="1" t="n">
        <f aca="false">IF(B108="",0,IF(AD108="Alternative – zählt nicht",0,1))</f>
        <v>0</v>
      </c>
      <c r="AV108" s="1" t="n">
        <f aca="false">IF(B108="",0,IF(COUNTIF($B$6:$B$860,B108)&gt;1,1,0))</f>
        <v>0</v>
      </c>
      <c r="AX108" s="269" t="str">
        <f aca="false">IF(AY108=1,DATE(YEAR(O108),MONTH(O108),1),"")</f>
        <v/>
      </c>
      <c r="AY108" s="1" t="n">
        <f aca="false">IF(B108="",0,IF(AND(ISNUMBER(O108),ISNUMBER(P108)),IF(P108&gt;=O108,1,0),0))</f>
        <v>0</v>
      </c>
      <c r="AZ108" s="1" t="n">
        <f aca="false">IF(ISNUMBER(Y108),Y108,0)</f>
        <v>0</v>
      </c>
      <c r="BA108" s="1" t="str">
        <f aca="false">IF(B108="","",IF(AND(R108="WON",AS108=0),"⛔ Beleg fehlt · ","")&amp;IF(AND(R108="WON",AR108=0),"⛔ Einstand fehlt · ","")&amp;IF(AND(R108&lt;&gt;"WON",AR108=0),"○ Einstand offen · ","")&amp;IF(AND(R108="WON",AB108=""),"⛔ Vertragsart fehlt · ","")&amp;IF(AND(ISNUMBER(O108),ISNUMBER(P108)),IF(P108&lt;O108,"⚠ Ende vor Start · ",""),"")&amp;IF(AND(R108="WON",AY108=0,NOT(AND(ISNUMBER(O108),ISNUMBER(P108)))),"⛔ Zeitraum fehlt · ","")&amp;IF(AND(R108&lt;&gt;"WON",AY108=0,NOT(AND(ISNUMBER(O108),ISNUMBER(P108)))),"○ Zeitraum offen · ",""))</f>
        <v/>
      </c>
      <c r="BB108" s="1" t="str">
        <f aca="false">IF(B108="","",IF(AND(R108="WON",AS108=0),"⛔ Nachweis fehlt",IF(AND(ISNUMBER(O108),ISNUMBER(P108),P108&lt;O108),"⚠ Ende vor Start",IF(AND(R108="WON",AY108=0),"⛔ Zeitraum fehlt",IF(AR108=0,"○ Einstand offen",IF(AY108=0,"○ Zeitraum offen",IF(R108="WON","✅ belegt","✔ erfasst")))))))</f>
        <v/>
      </c>
    </row>
    <row r="109" customFormat="false" ht="15" hidden="false" customHeight="true" outlineLevel="0" collapsed="false">
      <c r="A109" s="258"/>
      <c r="B109" s="266"/>
      <c r="C109" s="258"/>
      <c r="D109" s="278"/>
      <c r="E109" s="278"/>
      <c r="F109" s="275"/>
      <c r="G109" s="258" t="str">
        <f aca="false">IF(B109="","",IF(AY109=1,P109-O109+1,IF(AW109="","",AW109)))</f>
        <v/>
      </c>
      <c r="H109" s="262"/>
      <c r="I109" s="275"/>
      <c r="J109" s="275"/>
      <c r="K109" s="275"/>
      <c r="L109" s="275"/>
      <c r="M109" s="275"/>
      <c r="N109" s="275"/>
      <c r="O109" s="263"/>
      <c r="P109" s="263"/>
      <c r="Q109" s="275" t="str">
        <f aca="false">IF(AND(ISNUMBER(I109),ISNUMBER(S109)),I109*AJ109,IF(OR(I109&lt;&gt;"",S109&lt;&gt;""),"tbd",""))</f>
        <v/>
      </c>
      <c r="R109" s="264"/>
      <c r="S109" s="265"/>
      <c r="T109" s="266"/>
      <c r="U109" s="278"/>
      <c r="V109" s="278"/>
      <c r="W109" s="258"/>
      <c r="X109" s="278"/>
      <c r="Y109" s="275" t="str">
        <f aca="false">IF(ISNUMBER(I109),I109/Netto_Faktor,"")</f>
        <v/>
      </c>
      <c r="Z109" s="275" t="str">
        <f aca="false">IF(B109="","",IF(COUNT(J109:N109)=0,"",SUM(J109:N109)))</f>
        <v/>
      </c>
      <c r="AA109" s="266"/>
      <c r="AB109" s="266"/>
      <c r="AC109" s="266"/>
      <c r="AD109" s="266"/>
      <c r="AE109" s="266"/>
      <c r="AF109" s="266"/>
      <c r="AG109" s="267"/>
      <c r="AH109" s="266" t="str">
        <f aca="false">IF(B109="","",IF(BA109="",IF(R109="WON","✅ belegt &amp; vollständig","✔ vollständig"),LEFT(BA109,LEN(BA109)-3)))</f>
        <v/>
      </c>
      <c r="AJ109" s="268" t="n">
        <f aca="false">IF(ISNUMBER(S109),IFERROR(LOOKUP(IF(S109&lt;=1,S109,S109/100),'⚖️ Wahrscheinlichkeit'!$B$17:$B$21,'⚖️ Wahrscheinlichkeit'!$D$17:$D$21),0),0)</f>
        <v>0</v>
      </c>
      <c r="AK109" s="1" t="str">
        <f aca="false">IF(AND(R109="WON",ISNUMBER(I109)),AL109+(861-ROW())*0.000001,"")</f>
        <v/>
      </c>
      <c r="AL109" s="1" t="n">
        <f aca="false">IFERROR(I109*1,0)</f>
        <v>0</v>
      </c>
      <c r="AM109" s="1" t="n">
        <f aca="false">N(AM108)+IF(AND(R109="WON",B109&lt;&gt;""),1,0)</f>
        <v>12</v>
      </c>
      <c r="AN109" s="1" t="n">
        <f aca="false">N(AN108)+IF(AND(OR(R109="offered",R109="to be offered",R109="on hold"),B109&lt;&gt;""),1,0)</f>
        <v>33</v>
      </c>
      <c r="AO109" s="1" t="n">
        <f aca="false">N(AO108)+IF(AND(OR(R109="follow-up",R109="Evaluation",R109="tbd",R109="In evaluation"),B109&lt;&gt;""),1,0)</f>
        <v>1</v>
      </c>
      <c r="AP109" s="1" t="n">
        <f aca="false">IF(B109="",0,IF(COUNTIF('⚖️ Wahrscheinlichkeit'!$J$17:$J$24,R109)&gt;0,1,0))</f>
        <v>0</v>
      </c>
      <c r="AQ109" s="1" t="n">
        <f aca="false">IF(B109="",0,IF(AND(ISNUMBER(S109),COUNTIF('⚖️ Wahrscheinlichkeit'!$B$6:$B$11,S109)&gt;0),1,0))</f>
        <v>0</v>
      </c>
      <c r="AR109" s="1" t="n">
        <f aca="false">IF(B109="",0,IF(AND(COUNT(J109:M109)=4,SUM(J109:M109)&gt;0),1,0))</f>
        <v>0</v>
      </c>
      <c r="AS109" s="1" t="n">
        <f aca="false">IF(B109="",0,IF(AND(AF109&lt;&gt;"",AG109&lt;&gt;""),1,0))</f>
        <v>0</v>
      </c>
      <c r="AT109" s="1" t="n">
        <f aca="false">IF(AND(R109="WON",AS109=1,AR109=1),1,0)</f>
        <v>0</v>
      </c>
      <c r="AU109" s="1" t="n">
        <f aca="false">IF(B109="",0,IF(AD109="Alternative – zählt nicht",0,1))</f>
        <v>0</v>
      </c>
      <c r="AV109" s="1" t="n">
        <f aca="false">IF(B109="",0,IF(COUNTIF($B$6:$B$860,B109)&gt;1,1,0))</f>
        <v>0</v>
      </c>
      <c r="AX109" s="269" t="str">
        <f aca="false">IF(AY109=1,DATE(YEAR(O109),MONTH(O109),1),"")</f>
        <v/>
      </c>
      <c r="AY109" s="1" t="n">
        <f aca="false">IF(B109="",0,IF(AND(ISNUMBER(O109),ISNUMBER(P109)),IF(P109&gt;=O109,1,0),0))</f>
        <v>0</v>
      </c>
      <c r="AZ109" s="1" t="n">
        <f aca="false">IF(ISNUMBER(Y109),Y109,0)</f>
        <v>0</v>
      </c>
      <c r="BA109" s="1" t="str">
        <f aca="false">IF(B109="","",IF(AND(R109="WON",AS109=0),"⛔ Beleg fehlt · ","")&amp;IF(AND(R109="WON",AR109=0),"⛔ Einstand fehlt · ","")&amp;IF(AND(R109&lt;&gt;"WON",AR109=0),"○ Einstand offen · ","")&amp;IF(AND(R109="WON",AB109=""),"⛔ Vertragsart fehlt · ","")&amp;IF(AND(ISNUMBER(O109),ISNUMBER(P109)),IF(P109&lt;O109,"⚠ Ende vor Start · ",""),"")&amp;IF(AND(R109="WON",AY109=0,NOT(AND(ISNUMBER(O109),ISNUMBER(P109)))),"⛔ Zeitraum fehlt · ","")&amp;IF(AND(R109&lt;&gt;"WON",AY109=0,NOT(AND(ISNUMBER(O109),ISNUMBER(P109)))),"○ Zeitraum offen · ",""))</f>
        <v/>
      </c>
      <c r="BB109" s="1" t="str">
        <f aca="false">IF(B109="","",IF(AND(R109="WON",AS109=0),"⛔ Nachweis fehlt",IF(AND(ISNUMBER(O109),ISNUMBER(P109),P109&lt;O109),"⚠ Ende vor Start",IF(AND(R109="WON",AY109=0),"⛔ Zeitraum fehlt",IF(AR109=0,"○ Einstand offen",IF(AY109=0,"○ Zeitraum offen",IF(R109="WON","✅ belegt","✔ erfasst")))))))</f>
        <v/>
      </c>
    </row>
    <row r="110" customFormat="false" ht="15" hidden="false" customHeight="true" outlineLevel="0" collapsed="false">
      <c r="A110" s="258"/>
      <c r="B110" s="266"/>
      <c r="C110" s="258"/>
      <c r="D110" s="278"/>
      <c r="E110" s="278"/>
      <c r="F110" s="275"/>
      <c r="G110" s="258" t="str">
        <f aca="false">IF(B110="","",IF(AY110=1,P110-O110+1,IF(AW110="","",AW110)))</f>
        <v/>
      </c>
      <c r="H110" s="262"/>
      <c r="I110" s="275"/>
      <c r="J110" s="275"/>
      <c r="K110" s="275"/>
      <c r="L110" s="275"/>
      <c r="M110" s="275"/>
      <c r="N110" s="275"/>
      <c r="O110" s="263"/>
      <c r="P110" s="263"/>
      <c r="Q110" s="275" t="str">
        <f aca="false">IF(AND(ISNUMBER(I110),ISNUMBER(S110)),I110*AJ110,IF(OR(I110&lt;&gt;"",S110&lt;&gt;""),"tbd",""))</f>
        <v/>
      </c>
      <c r="R110" s="264"/>
      <c r="S110" s="265"/>
      <c r="T110" s="266"/>
      <c r="U110" s="278"/>
      <c r="V110" s="278"/>
      <c r="W110" s="258"/>
      <c r="X110" s="278"/>
      <c r="Y110" s="275" t="str">
        <f aca="false">IF(ISNUMBER(I110),I110/Netto_Faktor,"")</f>
        <v/>
      </c>
      <c r="Z110" s="275" t="str">
        <f aca="false">IF(B110="","",IF(COUNT(J110:N110)=0,"",SUM(J110:N110)))</f>
        <v/>
      </c>
      <c r="AA110" s="266"/>
      <c r="AB110" s="266"/>
      <c r="AC110" s="266"/>
      <c r="AD110" s="266"/>
      <c r="AE110" s="266"/>
      <c r="AF110" s="266"/>
      <c r="AG110" s="267"/>
      <c r="AH110" s="266" t="str">
        <f aca="false">IF(B110="","",IF(BA110="",IF(R110="WON","✅ belegt &amp; vollständig","✔ vollständig"),LEFT(BA110,LEN(BA110)-3)))</f>
        <v/>
      </c>
      <c r="AJ110" s="268" t="n">
        <f aca="false">IF(ISNUMBER(S110),IFERROR(LOOKUP(IF(S110&lt;=1,S110,S110/100),'⚖️ Wahrscheinlichkeit'!$B$17:$B$21,'⚖️ Wahrscheinlichkeit'!$D$17:$D$21),0),0)</f>
        <v>0</v>
      </c>
      <c r="AK110" s="1" t="str">
        <f aca="false">IF(AND(R110="WON",ISNUMBER(I110)),AL110+(861-ROW())*0.000001,"")</f>
        <v/>
      </c>
      <c r="AL110" s="1" t="n">
        <f aca="false">IFERROR(I110*1,0)</f>
        <v>0</v>
      </c>
      <c r="AM110" s="1" t="n">
        <f aca="false">N(AM109)+IF(AND(R110="WON",B110&lt;&gt;""),1,0)</f>
        <v>12</v>
      </c>
      <c r="AN110" s="1" t="n">
        <f aca="false">N(AN109)+IF(AND(OR(R110="offered",R110="to be offered",R110="on hold"),B110&lt;&gt;""),1,0)</f>
        <v>33</v>
      </c>
      <c r="AO110" s="1" t="n">
        <f aca="false">N(AO109)+IF(AND(OR(R110="follow-up",R110="Evaluation",R110="tbd",R110="In evaluation"),B110&lt;&gt;""),1,0)</f>
        <v>1</v>
      </c>
      <c r="AP110" s="1" t="n">
        <f aca="false">IF(B110="",0,IF(COUNTIF('⚖️ Wahrscheinlichkeit'!$J$17:$J$24,R110)&gt;0,1,0))</f>
        <v>0</v>
      </c>
      <c r="AQ110" s="1" t="n">
        <f aca="false">IF(B110="",0,IF(AND(ISNUMBER(S110),COUNTIF('⚖️ Wahrscheinlichkeit'!$B$6:$B$11,S110)&gt;0),1,0))</f>
        <v>0</v>
      </c>
      <c r="AR110" s="1" t="n">
        <f aca="false">IF(B110="",0,IF(AND(COUNT(J110:M110)=4,SUM(J110:M110)&gt;0),1,0))</f>
        <v>0</v>
      </c>
      <c r="AS110" s="1" t="n">
        <f aca="false">IF(B110="",0,IF(AND(AF110&lt;&gt;"",AG110&lt;&gt;""),1,0))</f>
        <v>0</v>
      </c>
      <c r="AT110" s="1" t="n">
        <f aca="false">IF(AND(R110="WON",AS110=1,AR110=1),1,0)</f>
        <v>0</v>
      </c>
      <c r="AU110" s="1" t="n">
        <f aca="false">IF(B110="",0,IF(AD110="Alternative – zählt nicht",0,1))</f>
        <v>0</v>
      </c>
      <c r="AV110" s="1" t="n">
        <f aca="false">IF(B110="",0,IF(COUNTIF($B$6:$B$860,B110)&gt;1,1,0))</f>
        <v>0</v>
      </c>
      <c r="AX110" s="269" t="str">
        <f aca="false">IF(AY110=1,DATE(YEAR(O110),MONTH(O110),1),"")</f>
        <v/>
      </c>
      <c r="AY110" s="1" t="n">
        <f aca="false">IF(B110="",0,IF(AND(ISNUMBER(O110),ISNUMBER(P110)),IF(P110&gt;=O110,1,0),0))</f>
        <v>0</v>
      </c>
      <c r="AZ110" s="1" t="n">
        <f aca="false">IF(ISNUMBER(Y110),Y110,0)</f>
        <v>0</v>
      </c>
      <c r="BA110" s="1" t="str">
        <f aca="false">IF(B110="","",IF(AND(R110="WON",AS110=0),"⛔ Beleg fehlt · ","")&amp;IF(AND(R110="WON",AR110=0),"⛔ Einstand fehlt · ","")&amp;IF(AND(R110&lt;&gt;"WON",AR110=0),"○ Einstand offen · ","")&amp;IF(AND(R110="WON",AB110=""),"⛔ Vertragsart fehlt · ","")&amp;IF(AND(ISNUMBER(O110),ISNUMBER(P110)),IF(P110&lt;O110,"⚠ Ende vor Start · ",""),"")&amp;IF(AND(R110="WON",AY110=0,NOT(AND(ISNUMBER(O110),ISNUMBER(P110)))),"⛔ Zeitraum fehlt · ","")&amp;IF(AND(R110&lt;&gt;"WON",AY110=0,NOT(AND(ISNUMBER(O110),ISNUMBER(P110)))),"○ Zeitraum offen · ",""))</f>
        <v/>
      </c>
      <c r="BB110" s="1" t="str">
        <f aca="false">IF(B110="","",IF(AND(R110="WON",AS110=0),"⛔ Nachweis fehlt",IF(AND(ISNUMBER(O110),ISNUMBER(P110),P110&lt;O110),"⚠ Ende vor Start",IF(AND(R110="WON",AY110=0),"⛔ Zeitraum fehlt",IF(AR110=0,"○ Einstand offen",IF(AY110=0,"○ Zeitraum offen",IF(R110="WON","✅ belegt","✔ erfasst")))))))</f>
        <v/>
      </c>
    </row>
    <row r="111" customFormat="false" ht="15" hidden="false" customHeight="true" outlineLevel="0" collapsed="false">
      <c r="A111" s="258"/>
      <c r="B111" s="266"/>
      <c r="C111" s="258"/>
      <c r="D111" s="278"/>
      <c r="E111" s="278"/>
      <c r="F111" s="275"/>
      <c r="G111" s="258" t="str">
        <f aca="false">IF(B111="","",IF(AY111=1,P111-O111+1,IF(AW111="","",AW111)))</f>
        <v/>
      </c>
      <c r="H111" s="262"/>
      <c r="I111" s="275"/>
      <c r="J111" s="275"/>
      <c r="K111" s="275"/>
      <c r="L111" s="275"/>
      <c r="M111" s="275"/>
      <c r="N111" s="275"/>
      <c r="O111" s="263"/>
      <c r="P111" s="263"/>
      <c r="Q111" s="275" t="str">
        <f aca="false">IF(AND(ISNUMBER(I111),ISNUMBER(S111)),I111*AJ111,IF(OR(I111&lt;&gt;"",S111&lt;&gt;""),"tbd",""))</f>
        <v/>
      </c>
      <c r="R111" s="264"/>
      <c r="S111" s="265"/>
      <c r="T111" s="266"/>
      <c r="U111" s="278"/>
      <c r="V111" s="278"/>
      <c r="W111" s="258"/>
      <c r="X111" s="278"/>
      <c r="Y111" s="275" t="str">
        <f aca="false">IF(ISNUMBER(I111),I111/Netto_Faktor,"")</f>
        <v/>
      </c>
      <c r="Z111" s="275" t="str">
        <f aca="false">IF(B111="","",IF(COUNT(J111:N111)=0,"",SUM(J111:N111)))</f>
        <v/>
      </c>
      <c r="AA111" s="266"/>
      <c r="AB111" s="266"/>
      <c r="AC111" s="266"/>
      <c r="AD111" s="266"/>
      <c r="AE111" s="266"/>
      <c r="AF111" s="266"/>
      <c r="AG111" s="267"/>
      <c r="AH111" s="266" t="str">
        <f aca="false">IF(B111="","",IF(BA111="",IF(R111="WON","✅ belegt &amp; vollständig","✔ vollständig"),LEFT(BA111,LEN(BA111)-3)))</f>
        <v/>
      </c>
      <c r="AJ111" s="268" t="n">
        <f aca="false">IF(ISNUMBER(S111),IFERROR(LOOKUP(IF(S111&lt;=1,S111,S111/100),'⚖️ Wahrscheinlichkeit'!$B$17:$B$21,'⚖️ Wahrscheinlichkeit'!$D$17:$D$21),0),0)</f>
        <v>0</v>
      </c>
      <c r="AK111" s="1" t="str">
        <f aca="false">IF(AND(R111="WON",ISNUMBER(I111)),AL111+(861-ROW())*0.000001,"")</f>
        <v/>
      </c>
      <c r="AL111" s="1" t="n">
        <f aca="false">IFERROR(I111*1,0)</f>
        <v>0</v>
      </c>
      <c r="AM111" s="1" t="n">
        <f aca="false">N(AM110)+IF(AND(R111="WON",B111&lt;&gt;""),1,0)</f>
        <v>12</v>
      </c>
      <c r="AN111" s="1" t="n">
        <f aca="false">N(AN110)+IF(AND(OR(R111="offered",R111="to be offered",R111="on hold"),B111&lt;&gt;""),1,0)</f>
        <v>33</v>
      </c>
      <c r="AO111" s="1" t="n">
        <f aca="false">N(AO110)+IF(AND(OR(R111="follow-up",R111="Evaluation",R111="tbd",R111="In evaluation"),B111&lt;&gt;""),1,0)</f>
        <v>1</v>
      </c>
      <c r="AP111" s="1" t="n">
        <f aca="false">IF(B111="",0,IF(COUNTIF('⚖️ Wahrscheinlichkeit'!$J$17:$J$24,R111)&gt;0,1,0))</f>
        <v>0</v>
      </c>
      <c r="AQ111" s="1" t="n">
        <f aca="false">IF(B111="",0,IF(AND(ISNUMBER(S111),COUNTIF('⚖️ Wahrscheinlichkeit'!$B$6:$B$11,S111)&gt;0),1,0))</f>
        <v>0</v>
      </c>
      <c r="AR111" s="1" t="n">
        <f aca="false">IF(B111="",0,IF(AND(COUNT(J111:M111)=4,SUM(J111:M111)&gt;0),1,0))</f>
        <v>0</v>
      </c>
      <c r="AS111" s="1" t="n">
        <f aca="false">IF(B111="",0,IF(AND(AF111&lt;&gt;"",AG111&lt;&gt;""),1,0))</f>
        <v>0</v>
      </c>
      <c r="AT111" s="1" t="n">
        <f aca="false">IF(AND(R111="WON",AS111=1,AR111=1),1,0)</f>
        <v>0</v>
      </c>
      <c r="AU111" s="1" t="n">
        <f aca="false">IF(B111="",0,IF(AD111="Alternative – zählt nicht",0,1))</f>
        <v>0</v>
      </c>
      <c r="AV111" s="1" t="n">
        <f aca="false">IF(B111="",0,IF(COUNTIF($B$6:$B$860,B111)&gt;1,1,0))</f>
        <v>0</v>
      </c>
      <c r="AX111" s="269" t="str">
        <f aca="false">IF(AY111=1,DATE(YEAR(O111),MONTH(O111),1),"")</f>
        <v/>
      </c>
      <c r="AY111" s="1" t="n">
        <f aca="false">IF(B111="",0,IF(AND(ISNUMBER(O111),ISNUMBER(P111)),IF(P111&gt;=O111,1,0),0))</f>
        <v>0</v>
      </c>
      <c r="AZ111" s="1" t="n">
        <f aca="false">IF(ISNUMBER(Y111),Y111,0)</f>
        <v>0</v>
      </c>
      <c r="BA111" s="1" t="str">
        <f aca="false">IF(B111="","",IF(AND(R111="WON",AS111=0),"⛔ Beleg fehlt · ","")&amp;IF(AND(R111="WON",AR111=0),"⛔ Einstand fehlt · ","")&amp;IF(AND(R111&lt;&gt;"WON",AR111=0),"○ Einstand offen · ","")&amp;IF(AND(R111="WON",AB111=""),"⛔ Vertragsart fehlt · ","")&amp;IF(AND(ISNUMBER(O111),ISNUMBER(P111)),IF(P111&lt;O111,"⚠ Ende vor Start · ",""),"")&amp;IF(AND(R111="WON",AY111=0,NOT(AND(ISNUMBER(O111),ISNUMBER(P111)))),"⛔ Zeitraum fehlt · ","")&amp;IF(AND(R111&lt;&gt;"WON",AY111=0,NOT(AND(ISNUMBER(O111),ISNUMBER(P111)))),"○ Zeitraum offen · ",""))</f>
        <v/>
      </c>
      <c r="BB111" s="1" t="str">
        <f aca="false">IF(B111="","",IF(AND(R111="WON",AS111=0),"⛔ Nachweis fehlt",IF(AND(ISNUMBER(O111),ISNUMBER(P111),P111&lt;O111),"⚠ Ende vor Start",IF(AND(R111="WON",AY111=0),"⛔ Zeitraum fehlt",IF(AR111=0,"○ Einstand offen",IF(AY111=0,"○ Zeitraum offen",IF(R111="WON","✅ belegt","✔ erfasst")))))))</f>
        <v/>
      </c>
    </row>
    <row r="112" customFormat="false" ht="15" hidden="false" customHeight="true" outlineLevel="0" collapsed="false">
      <c r="A112" s="258"/>
      <c r="B112" s="266"/>
      <c r="C112" s="258"/>
      <c r="D112" s="278"/>
      <c r="E112" s="278"/>
      <c r="F112" s="275"/>
      <c r="G112" s="258" t="str">
        <f aca="false">IF(B112="","",IF(AY112=1,P112-O112+1,IF(AW112="","",AW112)))</f>
        <v/>
      </c>
      <c r="H112" s="262"/>
      <c r="I112" s="275"/>
      <c r="J112" s="275"/>
      <c r="K112" s="275"/>
      <c r="L112" s="275"/>
      <c r="M112" s="275"/>
      <c r="N112" s="275"/>
      <c r="O112" s="263"/>
      <c r="P112" s="263"/>
      <c r="Q112" s="275" t="str">
        <f aca="false">IF(AND(ISNUMBER(I112),ISNUMBER(S112)),I112*AJ112,IF(OR(I112&lt;&gt;"",S112&lt;&gt;""),"tbd",""))</f>
        <v/>
      </c>
      <c r="R112" s="264"/>
      <c r="S112" s="265"/>
      <c r="T112" s="266"/>
      <c r="U112" s="278"/>
      <c r="V112" s="278"/>
      <c r="W112" s="258"/>
      <c r="X112" s="278"/>
      <c r="Y112" s="275" t="str">
        <f aca="false">IF(ISNUMBER(I112),I112/Netto_Faktor,"")</f>
        <v/>
      </c>
      <c r="Z112" s="275" t="str">
        <f aca="false">IF(B112="","",IF(COUNT(J112:N112)=0,"",SUM(J112:N112)))</f>
        <v/>
      </c>
      <c r="AA112" s="266"/>
      <c r="AB112" s="266"/>
      <c r="AC112" s="266"/>
      <c r="AD112" s="266"/>
      <c r="AE112" s="266"/>
      <c r="AF112" s="266"/>
      <c r="AG112" s="267"/>
      <c r="AH112" s="266" t="str">
        <f aca="false">IF(B112="","",IF(BA112="",IF(R112="WON","✅ belegt &amp; vollständig","✔ vollständig"),LEFT(BA112,LEN(BA112)-3)))</f>
        <v/>
      </c>
      <c r="AJ112" s="268" t="n">
        <f aca="false">IF(ISNUMBER(S112),IFERROR(LOOKUP(IF(S112&lt;=1,S112,S112/100),'⚖️ Wahrscheinlichkeit'!$B$17:$B$21,'⚖️ Wahrscheinlichkeit'!$D$17:$D$21),0),0)</f>
        <v>0</v>
      </c>
      <c r="AK112" s="1" t="str">
        <f aca="false">IF(AND(R112="WON",ISNUMBER(I112)),AL112+(861-ROW())*0.000001,"")</f>
        <v/>
      </c>
      <c r="AL112" s="1" t="n">
        <f aca="false">IFERROR(I112*1,0)</f>
        <v>0</v>
      </c>
      <c r="AM112" s="1" t="n">
        <f aca="false">N(AM111)+IF(AND(R112="WON",B112&lt;&gt;""),1,0)</f>
        <v>12</v>
      </c>
      <c r="AN112" s="1" t="n">
        <f aca="false">N(AN111)+IF(AND(OR(R112="offered",R112="to be offered",R112="on hold"),B112&lt;&gt;""),1,0)</f>
        <v>33</v>
      </c>
      <c r="AO112" s="1" t="n">
        <f aca="false">N(AO111)+IF(AND(OR(R112="follow-up",R112="Evaluation",R112="tbd",R112="In evaluation"),B112&lt;&gt;""),1,0)</f>
        <v>1</v>
      </c>
      <c r="AP112" s="1" t="n">
        <f aca="false">IF(B112="",0,IF(COUNTIF('⚖️ Wahrscheinlichkeit'!$J$17:$J$24,R112)&gt;0,1,0))</f>
        <v>0</v>
      </c>
      <c r="AQ112" s="1" t="n">
        <f aca="false">IF(B112="",0,IF(AND(ISNUMBER(S112),COUNTIF('⚖️ Wahrscheinlichkeit'!$B$6:$B$11,S112)&gt;0),1,0))</f>
        <v>0</v>
      </c>
      <c r="AR112" s="1" t="n">
        <f aca="false">IF(B112="",0,IF(AND(COUNT(J112:M112)=4,SUM(J112:M112)&gt;0),1,0))</f>
        <v>0</v>
      </c>
      <c r="AS112" s="1" t="n">
        <f aca="false">IF(B112="",0,IF(AND(AF112&lt;&gt;"",AG112&lt;&gt;""),1,0))</f>
        <v>0</v>
      </c>
      <c r="AT112" s="1" t="n">
        <f aca="false">IF(AND(R112="WON",AS112=1,AR112=1),1,0)</f>
        <v>0</v>
      </c>
      <c r="AU112" s="1" t="n">
        <f aca="false">IF(B112="",0,IF(AD112="Alternative – zählt nicht",0,1))</f>
        <v>0</v>
      </c>
      <c r="AV112" s="1" t="n">
        <f aca="false">IF(B112="",0,IF(COUNTIF($B$6:$B$860,B112)&gt;1,1,0))</f>
        <v>0</v>
      </c>
      <c r="AX112" s="269" t="str">
        <f aca="false">IF(AY112=1,DATE(YEAR(O112),MONTH(O112),1),"")</f>
        <v/>
      </c>
      <c r="AY112" s="1" t="n">
        <f aca="false">IF(B112="",0,IF(AND(ISNUMBER(O112),ISNUMBER(P112)),IF(P112&gt;=O112,1,0),0))</f>
        <v>0</v>
      </c>
      <c r="AZ112" s="1" t="n">
        <f aca="false">IF(ISNUMBER(Y112),Y112,0)</f>
        <v>0</v>
      </c>
      <c r="BA112" s="1" t="str">
        <f aca="false">IF(B112="","",IF(AND(R112="WON",AS112=0),"⛔ Beleg fehlt · ","")&amp;IF(AND(R112="WON",AR112=0),"⛔ Einstand fehlt · ","")&amp;IF(AND(R112&lt;&gt;"WON",AR112=0),"○ Einstand offen · ","")&amp;IF(AND(R112="WON",AB112=""),"⛔ Vertragsart fehlt · ","")&amp;IF(AND(ISNUMBER(O112),ISNUMBER(P112)),IF(P112&lt;O112,"⚠ Ende vor Start · ",""),"")&amp;IF(AND(R112="WON",AY112=0,NOT(AND(ISNUMBER(O112),ISNUMBER(P112)))),"⛔ Zeitraum fehlt · ","")&amp;IF(AND(R112&lt;&gt;"WON",AY112=0,NOT(AND(ISNUMBER(O112),ISNUMBER(P112)))),"○ Zeitraum offen · ",""))</f>
        <v/>
      </c>
      <c r="BB112" s="1" t="str">
        <f aca="false">IF(B112="","",IF(AND(R112="WON",AS112=0),"⛔ Nachweis fehlt",IF(AND(ISNUMBER(O112),ISNUMBER(P112),P112&lt;O112),"⚠ Ende vor Start",IF(AND(R112="WON",AY112=0),"⛔ Zeitraum fehlt",IF(AR112=0,"○ Einstand offen",IF(AY112=0,"○ Zeitraum offen",IF(R112="WON","✅ belegt","✔ erfasst")))))))</f>
        <v/>
      </c>
    </row>
    <row r="113" customFormat="false" ht="15" hidden="false" customHeight="true" outlineLevel="0" collapsed="false">
      <c r="A113" s="258"/>
      <c r="B113" s="266"/>
      <c r="C113" s="258"/>
      <c r="D113" s="278"/>
      <c r="E113" s="278"/>
      <c r="F113" s="275"/>
      <c r="G113" s="258" t="str">
        <f aca="false">IF(B113="","",IF(AY113=1,P113-O113+1,IF(AW113="","",AW113)))</f>
        <v/>
      </c>
      <c r="H113" s="262"/>
      <c r="I113" s="275"/>
      <c r="J113" s="275"/>
      <c r="K113" s="275"/>
      <c r="L113" s="275"/>
      <c r="M113" s="275"/>
      <c r="N113" s="275"/>
      <c r="O113" s="263"/>
      <c r="P113" s="263"/>
      <c r="Q113" s="275" t="str">
        <f aca="false">IF(AND(ISNUMBER(I113),ISNUMBER(S113)),I113*AJ113,IF(OR(I113&lt;&gt;"",S113&lt;&gt;""),"tbd",""))</f>
        <v/>
      </c>
      <c r="R113" s="264"/>
      <c r="S113" s="265"/>
      <c r="T113" s="266"/>
      <c r="U113" s="278"/>
      <c r="V113" s="278"/>
      <c r="W113" s="258"/>
      <c r="X113" s="278"/>
      <c r="Y113" s="275" t="str">
        <f aca="false">IF(ISNUMBER(I113),I113/Netto_Faktor,"")</f>
        <v/>
      </c>
      <c r="Z113" s="275" t="str">
        <f aca="false">IF(B113="","",IF(COUNT(J113:N113)=0,"",SUM(J113:N113)))</f>
        <v/>
      </c>
      <c r="AA113" s="266"/>
      <c r="AB113" s="266"/>
      <c r="AC113" s="266"/>
      <c r="AD113" s="266"/>
      <c r="AE113" s="266"/>
      <c r="AF113" s="266"/>
      <c r="AG113" s="267"/>
      <c r="AH113" s="266" t="str">
        <f aca="false">IF(B113="","",IF(BA113="",IF(R113="WON","✅ belegt &amp; vollständig","✔ vollständig"),LEFT(BA113,LEN(BA113)-3)))</f>
        <v/>
      </c>
      <c r="AJ113" s="268" t="n">
        <f aca="false">IF(ISNUMBER(S113),IFERROR(LOOKUP(IF(S113&lt;=1,S113,S113/100),'⚖️ Wahrscheinlichkeit'!$B$17:$B$21,'⚖️ Wahrscheinlichkeit'!$D$17:$D$21),0),0)</f>
        <v>0</v>
      </c>
      <c r="AK113" s="1" t="str">
        <f aca="false">IF(AND(R113="WON",ISNUMBER(I113)),AL113+(861-ROW())*0.000001,"")</f>
        <v/>
      </c>
      <c r="AL113" s="1" t="n">
        <f aca="false">IFERROR(I113*1,0)</f>
        <v>0</v>
      </c>
      <c r="AM113" s="1" t="n">
        <f aca="false">N(AM112)+IF(AND(R113="WON",B113&lt;&gt;""),1,0)</f>
        <v>12</v>
      </c>
      <c r="AN113" s="1" t="n">
        <f aca="false">N(AN112)+IF(AND(OR(R113="offered",R113="to be offered",R113="on hold"),B113&lt;&gt;""),1,0)</f>
        <v>33</v>
      </c>
      <c r="AO113" s="1" t="n">
        <f aca="false">N(AO112)+IF(AND(OR(R113="follow-up",R113="Evaluation",R113="tbd",R113="In evaluation"),B113&lt;&gt;""),1,0)</f>
        <v>1</v>
      </c>
      <c r="AP113" s="1" t="n">
        <f aca="false">IF(B113="",0,IF(COUNTIF('⚖️ Wahrscheinlichkeit'!$J$17:$J$24,R113)&gt;0,1,0))</f>
        <v>0</v>
      </c>
      <c r="AQ113" s="1" t="n">
        <f aca="false">IF(B113="",0,IF(AND(ISNUMBER(S113),COUNTIF('⚖️ Wahrscheinlichkeit'!$B$6:$B$11,S113)&gt;0),1,0))</f>
        <v>0</v>
      </c>
      <c r="AR113" s="1" t="n">
        <f aca="false">IF(B113="",0,IF(AND(COUNT(J113:M113)=4,SUM(J113:M113)&gt;0),1,0))</f>
        <v>0</v>
      </c>
      <c r="AS113" s="1" t="n">
        <f aca="false">IF(B113="",0,IF(AND(AF113&lt;&gt;"",AG113&lt;&gt;""),1,0))</f>
        <v>0</v>
      </c>
      <c r="AT113" s="1" t="n">
        <f aca="false">IF(AND(R113="WON",AS113=1,AR113=1),1,0)</f>
        <v>0</v>
      </c>
      <c r="AU113" s="1" t="n">
        <f aca="false">IF(B113="",0,IF(AD113="Alternative – zählt nicht",0,1))</f>
        <v>0</v>
      </c>
      <c r="AV113" s="1" t="n">
        <f aca="false">IF(B113="",0,IF(COUNTIF($B$6:$B$860,B113)&gt;1,1,0))</f>
        <v>0</v>
      </c>
      <c r="AX113" s="269" t="str">
        <f aca="false">IF(AY113=1,DATE(YEAR(O113),MONTH(O113),1),"")</f>
        <v/>
      </c>
      <c r="AY113" s="1" t="n">
        <f aca="false">IF(B113="",0,IF(AND(ISNUMBER(O113),ISNUMBER(P113)),IF(P113&gt;=O113,1,0),0))</f>
        <v>0</v>
      </c>
      <c r="AZ113" s="1" t="n">
        <f aca="false">IF(ISNUMBER(Y113),Y113,0)</f>
        <v>0</v>
      </c>
      <c r="BA113" s="1" t="str">
        <f aca="false">IF(B113="","",IF(AND(R113="WON",AS113=0),"⛔ Beleg fehlt · ","")&amp;IF(AND(R113="WON",AR113=0),"⛔ Einstand fehlt · ","")&amp;IF(AND(R113&lt;&gt;"WON",AR113=0),"○ Einstand offen · ","")&amp;IF(AND(R113="WON",AB113=""),"⛔ Vertragsart fehlt · ","")&amp;IF(AND(ISNUMBER(O113),ISNUMBER(P113)),IF(P113&lt;O113,"⚠ Ende vor Start · ",""),"")&amp;IF(AND(R113="WON",AY113=0,NOT(AND(ISNUMBER(O113),ISNUMBER(P113)))),"⛔ Zeitraum fehlt · ","")&amp;IF(AND(R113&lt;&gt;"WON",AY113=0,NOT(AND(ISNUMBER(O113),ISNUMBER(P113)))),"○ Zeitraum offen · ",""))</f>
        <v/>
      </c>
      <c r="BB113" s="1" t="str">
        <f aca="false">IF(B113="","",IF(AND(R113="WON",AS113=0),"⛔ Nachweis fehlt",IF(AND(ISNUMBER(O113),ISNUMBER(P113),P113&lt;O113),"⚠ Ende vor Start",IF(AND(R113="WON",AY113=0),"⛔ Zeitraum fehlt",IF(AR113=0,"○ Einstand offen",IF(AY113=0,"○ Zeitraum offen",IF(R113="WON","✅ belegt","✔ erfasst")))))))</f>
        <v/>
      </c>
    </row>
    <row r="114" customFormat="false" ht="15" hidden="false" customHeight="true" outlineLevel="0" collapsed="false">
      <c r="A114" s="258"/>
      <c r="B114" s="266"/>
      <c r="C114" s="258"/>
      <c r="D114" s="278"/>
      <c r="E114" s="278"/>
      <c r="F114" s="275"/>
      <c r="G114" s="258" t="str">
        <f aca="false">IF(B114="","",IF(AY114=1,P114-O114+1,IF(AW114="","",AW114)))</f>
        <v/>
      </c>
      <c r="H114" s="262"/>
      <c r="I114" s="275"/>
      <c r="J114" s="275"/>
      <c r="K114" s="275"/>
      <c r="L114" s="275"/>
      <c r="M114" s="275"/>
      <c r="N114" s="275"/>
      <c r="O114" s="263"/>
      <c r="P114" s="263"/>
      <c r="Q114" s="275" t="str">
        <f aca="false">IF(AND(ISNUMBER(I114),ISNUMBER(S114)),I114*AJ114,IF(OR(I114&lt;&gt;"",S114&lt;&gt;""),"tbd",""))</f>
        <v/>
      </c>
      <c r="R114" s="264"/>
      <c r="S114" s="265"/>
      <c r="T114" s="266"/>
      <c r="U114" s="278"/>
      <c r="V114" s="278"/>
      <c r="W114" s="258"/>
      <c r="X114" s="278"/>
      <c r="Y114" s="275" t="str">
        <f aca="false">IF(ISNUMBER(I114),I114/Netto_Faktor,"")</f>
        <v/>
      </c>
      <c r="Z114" s="275" t="str">
        <f aca="false">IF(B114="","",IF(COUNT(J114:N114)=0,"",SUM(J114:N114)))</f>
        <v/>
      </c>
      <c r="AA114" s="266"/>
      <c r="AB114" s="266"/>
      <c r="AC114" s="266"/>
      <c r="AD114" s="266"/>
      <c r="AE114" s="266"/>
      <c r="AF114" s="266"/>
      <c r="AG114" s="267"/>
      <c r="AH114" s="266" t="str">
        <f aca="false">IF(B114="","",IF(BA114="",IF(R114="WON","✅ belegt &amp; vollständig","✔ vollständig"),LEFT(BA114,LEN(BA114)-3)))</f>
        <v/>
      </c>
      <c r="AJ114" s="268" t="n">
        <f aca="false">IF(ISNUMBER(S114),IFERROR(LOOKUP(IF(S114&lt;=1,S114,S114/100),'⚖️ Wahrscheinlichkeit'!$B$17:$B$21,'⚖️ Wahrscheinlichkeit'!$D$17:$D$21),0),0)</f>
        <v>0</v>
      </c>
      <c r="AK114" s="1" t="str">
        <f aca="false">IF(AND(R114="WON",ISNUMBER(I114)),AL114+(861-ROW())*0.000001,"")</f>
        <v/>
      </c>
      <c r="AL114" s="1" t="n">
        <f aca="false">IFERROR(I114*1,0)</f>
        <v>0</v>
      </c>
      <c r="AM114" s="1" t="n">
        <f aca="false">N(AM113)+IF(AND(R114="WON",B114&lt;&gt;""),1,0)</f>
        <v>12</v>
      </c>
      <c r="AN114" s="1" t="n">
        <f aca="false">N(AN113)+IF(AND(OR(R114="offered",R114="to be offered",R114="on hold"),B114&lt;&gt;""),1,0)</f>
        <v>33</v>
      </c>
      <c r="AO114" s="1" t="n">
        <f aca="false">N(AO113)+IF(AND(OR(R114="follow-up",R114="Evaluation",R114="tbd",R114="In evaluation"),B114&lt;&gt;""),1,0)</f>
        <v>1</v>
      </c>
      <c r="AP114" s="1" t="n">
        <f aca="false">IF(B114="",0,IF(COUNTIF('⚖️ Wahrscheinlichkeit'!$J$17:$J$24,R114)&gt;0,1,0))</f>
        <v>0</v>
      </c>
      <c r="AQ114" s="1" t="n">
        <f aca="false">IF(B114="",0,IF(AND(ISNUMBER(S114),COUNTIF('⚖️ Wahrscheinlichkeit'!$B$6:$B$11,S114)&gt;0),1,0))</f>
        <v>0</v>
      </c>
      <c r="AR114" s="1" t="n">
        <f aca="false">IF(B114="",0,IF(AND(COUNT(J114:M114)=4,SUM(J114:M114)&gt;0),1,0))</f>
        <v>0</v>
      </c>
      <c r="AS114" s="1" t="n">
        <f aca="false">IF(B114="",0,IF(AND(AF114&lt;&gt;"",AG114&lt;&gt;""),1,0))</f>
        <v>0</v>
      </c>
      <c r="AT114" s="1" t="n">
        <f aca="false">IF(AND(R114="WON",AS114=1,AR114=1),1,0)</f>
        <v>0</v>
      </c>
      <c r="AU114" s="1" t="n">
        <f aca="false">IF(B114="",0,IF(AD114="Alternative – zählt nicht",0,1))</f>
        <v>0</v>
      </c>
      <c r="AV114" s="1" t="n">
        <f aca="false">IF(B114="",0,IF(COUNTIF($B$6:$B$860,B114)&gt;1,1,0))</f>
        <v>0</v>
      </c>
      <c r="AX114" s="269" t="str">
        <f aca="false">IF(AY114=1,DATE(YEAR(O114),MONTH(O114),1),"")</f>
        <v/>
      </c>
      <c r="AY114" s="1" t="n">
        <f aca="false">IF(B114="",0,IF(AND(ISNUMBER(O114),ISNUMBER(P114)),IF(P114&gt;=O114,1,0),0))</f>
        <v>0</v>
      </c>
      <c r="AZ114" s="1" t="n">
        <f aca="false">IF(ISNUMBER(Y114),Y114,0)</f>
        <v>0</v>
      </c>
      <c r="BA114" s="1" t="str">
        <f aca="false">IF(B114="","",IF(AND(R114="WON",AS114=0),"⛔ Beleg fehlt · ","")&amp;IF(AND(R114="WON",AR114=0),"⛔ Einstand fehlt · ","")&amp;IF(AND(R114&lt;&gt;"WON",AR114=0),"○ Einstand offen · ","")&amp;IF(AND(R114="WON",AB114=""),"⛔ Vertragsart fehlt · ","")&amp;IF(AND(ISNUMBER(O114),ISNUMBER(P114)),IF(P114&lt;O114,"⚠ Ende vor Start · ",""),"")&amp;IF(AND(R114="WON",AY114=0,NOT(AND(ISNUMBER(O114),ISNUMBER(P114)))),"⛔ Zeitraum fehlt · ","")&amp;IF(AND(R114&lt;&gt;"WON",AY114=0,NOT(AND(ISNUMBER(O114),ISNUMBER(P114)))),"○ Zeitraum offen · ",""))</f>
        <v/>
      </c>
      <c r="BB114" s="1" t="str">
        <f aca="false">IF(B114="","",IF(AND(R114="WON",AS114=0),"⛔ Nachweis fehlt",IF(AND(ISNUMBER(O114),ISNUMBER(P114),P114&lt;O114),"⚠ Ende vor Start",IF(AND(R114="WON",AY114=0),"⛔ Zeitraum fehlt",IF(AR114=0,"○ Einstand offen",IF(AY114=0,"○ Zeitraum offen",IF(R114="WON","✅ belegt","✔ erfasst")))))))</f>
        <v/>
      </c>
    </row>
    <row r="115" customFormat="false" ht="15" hidden="false" customHeight="true" outlineLevel="0" collapsed="false">
      <c r="A115" s="258"/>
      <c r="B115" s="266"/>
      <c r="C115" s="258"/>
      <c r="D115" s="278"/>
      <c r="E115" s="278"/>
      <c r="F115" s="275"/>
      <c r="G115" s="258" t="str">
        <f aca="false">IF(B115="","",IF(AY115=1,P115-O115+1,IF(AW115="","",AW115)))</f>
        <v/>
      </c>
      <c r="H115" s="262"/>
      <c r="I115" s="275"/>
      <c r="J115" s="275"/>
      <c r="K115" s="275"/>
      <c r="L115" s="275"/>
      <c r="M115" s="275"/>
      <c r="N115" s="275"/>
      <c r="O115" s="263"/>
      <c r="P115" s="263"/>
      <c r="Q115" s="275" t="str">
        <f aca="false">IF(AND(ISNUMBER(I115),ISNUMBER(S115)),I115*AJ115,IF(OR(I115&lt;&gt;"",S115&lt;&gt;""),"tbd",""))</f>
        <v/>
      </c>
      <c r="R115" s="264"/>
      <c r="S115" s="265"/>
      <c r="T115" s="266"/>
      <c r="U115" s="278"/>
      <c r="V115" s="278"/>
      <c r="W115" s="258"/>
      <c r="X115" s="278"/>
      <c r="Y115" s="275" t="str">
        <f aca="false">IF(ISNUMBER(I115),I115/Netto_Faktor,"")</f>
        <v/>
      </c>
      <c r="Z115" s="275" t="str">
        <f aca="false">IF(B115="","",IF(COUNT(J115:N115)=0,"",SUM(J115:N115)))</f>
        <v/>
      </c>
      <c r="AA115" s="266"/>
      <c r="AB115" s="266"/>
      <c r="AC115" s="266"/>
      <c r="AD115" s="266"/>
      <c r="AE115" s="266"/>
      <c r="AF115" s="266"/>
      <c r="AG115" s="267"/>
      <c r="AH115" s="266" t="str">
        <f aca="false">IF(B115="","",IF(BA115="",IF(R115="WON","✅ belegt &amp; vollständig","✔ vollständig"),LEFT(BA115,LEN(BA115)-3)))</f>
        <v/>
      </c>
      <c r="AJ115" s="268" t="n">
        <f aca="false">IF(ISNUMBER(S115),IFERROR(LOOKUP(IF(S115&lt;=1,S115,S115/100),'⚖️ Wahrscheinlichkeit'!$B$17:$B$21,'⚖️ Wahrscheinlichkeit'!$D$17:$D$21),0),0)</f>
        <v>0</v>
      </c>
      <c r="AK115" s="1" t="str">
        <f aca="false">IF(AND(R115="WON",ISNUMBER(I115)),AL115+(861-ROW())*0.000001,"")</f>
        <v/>
      </c>
      <c r="AL115" s="1" t="n">
        <f aca="false">IFERROR(I115*1,0)</f>
        <v>0</v>
      </c>
      <c r="AM115" s="1" t="n">
        <f aca="false">N(AM114)+IF(AND(R115="WON",B115&lt;&gt;""),1,0)</f>
        <v>12</v>
      </c>
      <c r="AN115" s="1" t="n">
        <f aca="false">N(AN114)+IF(AND(OR(R115="offered",R115="to be offered",R115="on hold"),B115&lt;&gt;""),1,0)</f>
        <v>33</v>
      </c>
      <c r="AO115" s="1" t="n">
        <f aca="false">N(AO114)+IF(AND(OR(R115="follow-up",R115="Evaluation",R115="tbd",R115="In evaluation"),B115&lt;&gt;""),1,0)</f>
        <v>1</v>
      </c>
      <c r="AP115" s="1" t="n">
        <f aca="false">IF(B115="",0,IF(COUNTIF('⚖️ Wahrscheinlichkeit'!$J$17:$J$24,R115)&gt;0,1,0))</f>
        <v>0</v>
      </c>
      <c r="AQ115" s="1" t="n">
        <f aca="false">IF(B115="",0,IF(AND(ISNUMBER(S115),COUNTIF('⚖️ Wahrscheinlichkeit'!$B$6:$B$11,S115)&gt;0),1,0))</f>
        <v>0</v>
      </c>
      <c r="AR115" s="1" t="n">
        <f aca="false">IF(B115="",0,IF(AND(COUNT(J115:M115)=4,SUM(J115:M115)&gt;0),1,0))</f>
        <v>0</v>
      </c>
      <c r="AS115" s="1" t="n">
        <f aca="false">IF(B115="",0,IF(AND(AF115&lt;&gt;"",AG115&lt;&gt;""),1,0))</f>
        <v>0</v>
      </c>
      <c r="AT115" s="1" t="n">
        <f aca="false">IF(AND(R115="WON",AS115=1,AR115=1),1,0)</f>
        <v>0</v>
      </c>
      <c r="AU115" s="1" t="n">
        <f aca="false">IF(B115="",0,IF(AD115="Alternative – zählt nicht",0,1))</f>
        <v>0</v>
      </c>
      <c r="AV115" s="1" t="n">
        <f aca="false">IF(B115="",0,IF(COUNTIF($B$6:$B$860,B115)&gt;1,1,0))</f>
        <v>0</v>
      </c>
      <c r="AX115" s="269" t="str">
        <f aca="false">IF(AY115=1,DATE(YEAR(O115),MONTH(O115),1),"")</f>
        <v/>
      </c>
      <c r="AY115" s="1" t="n">
        <f aca="false">IF(B115="",0,IF(AND(ISNUMBER(O115),ISNUMBER(P115)),IF(P115&gt;=O115,1,0),0))</f>
        <v>0</v>
      </c>
      <c r="AZ115" s="1" t="n">
        <f aca="false">IF(ISNUMBER(Y115),Y115,0)</f>
        <v>0</v>
      </c>
      <c r="BA115" s="1" t="str">
        <f aca="false">IF(B115="","",IF(AND(R115="WON",AS115=0),"⛔ Beleg fehlt · ","")&amp;IF(AND(R115="WON",AR115=0),"⛔ Einstand fehlt · ","")&amp;IF(AND(R115&lt;&gt;"WON",AR115=0),"○ Einstand offen · ","")&amp;IF(AND(R115="WON",AB115=""),"⛔ Vertragsart fehlt · ","")&amp;IF(AND(ISNUMBER(O115),ISNUMBER(P115)),IF(P115&lt;O115,"⚠ Ende vor Start · ",""),"")&amp;IF(AND(R115="WON",AY115=0,NOT(AND(ISNUMBER(O115),ISNUMBER(P115)))),"⛔ Zeitraum fehlt · ","")&amp;IF(AND(R115&lt;&gt;"WON",AY115=0,NOT(AND(ISNUMBER(O115),ISNUMBER(P115)))),"○ Zeitraum offen · ",""))</f>
        <v/>
      </c>
      <c r="BB115" s="1" t="str">
        <f aca="false">IF(B115="","",IF(AND(R115="WON",AS115=0),"⛔ Nachweis fehlt",IF(AND(ISNUMBER(O115),ISNUMBER(P115),P115&lt;O115),"⚠ Ende vor Start",IF(AND(R115="WON",AY115=0),"⛔ Zeitraum fehlt",IF(AR115=0,"○ Einstand offen",IF(AY115=0,"○ Zeitraum offen",IF(R115="WON","✅ belegt","✔ erfasst")))))))</f>
        <v/>
      </c>
    </row>
    <row r="116" customFormat="false" ht="15" hidden="false" customHeight="true" outlineLevel="0" collapsed="false">
      <c r="A116" s="258"/>
      <c r="B116" s="266"/>
      <c r="C116" s="258"/>
      <c r="D116" s="278"/>
      <c r="E116" s="278"/>
      <c r="F116" s="275"/>
      <c r="G116" s="258" t="str">
        <f aca="false">IF(B116="","",IF(AY116=1,P116-O116+1,IF(AW116="","",AW116)))</f>
        <v/>
      </c>
      <c r="H116" s="262"/>
      <c r="I116" s="275"/>
      <c r="J116" s="275"/>
      <c r="K116" s="275"/>
      <c r="L116" s="275"/>
      <c r="M116" s="275"/>
      <c r="N116" s="275"/>
      <c r="O116" s="263"/>
      <c r="P116" s="263"/>
      <c r="Q116" s="275" t="str">
        <f aca="false">IF(AND(ISNUMBER(I116),ISNUMBER(S116)),I116*AJ116,IF(OR(I116&lt;&gt;"",S116&lt;&gt;""),"tbd",""))</f>
        <v/>
      </c>
      <c r="R116" s="264"/>
      <c r="S116" s="265"/>
      <c r="T116" s="266"/>
      <c r="U116" s="278"/>
      <c r="V116" s="278"/>
      <c r="W116" s="258"/>
      <c r="X116" s="278"/>
      <c r="Y116" s="275" t="str">
        <f aca="false">IF(ISNUMBER(I116),I116/Netto_Faktor,"")</f>
        <v/>
      </c>
      <c r="Z116" s="275" t="str">
        <f aca="false">IF(B116="","",IF(COUNT(J116:N116)=0,"",SUM(J116:N116)))</f>
        <v/>
      </c>
      <c r="AA116" s="266"/>
      <c r="AB116" s="266"/>
      <c r="AC116" s="266"/>
      <c r="AD116" s="266"/>
      <c r="AE116" s="266"/>
      <c r="AF116" s="266"/>
      <c r="AG116" s="267"/>
      <c r="AH116" s="266" t="str">
        <f aca="false">IF(B116="","",IF(BA116="",IF(R116="WON","✅ belegt &amp; vollständig","✔ vollständig"),LEFT(BA116,LEN(BA116)-3)))</f>
        <v/>
      </c>
      <c r="AJ116" s="268" t="n">
        <f aca="false">IF(ISNUMBER(S116),IFERROR(LOOKUP(IF(S116&lt;=1,S116,S116/100),'⚖️ Wahrscheinlichkeit'!$B$17:$B$21,'⚖️ Wahrscheinlichkeit'!$D$17:$D$21),0),0)</f>
        <v>0</v>
      </c>
      <c r="AK116" s="1" t="str">
        <f aca="false">IF(AND(R116="WON",ISNUMBER(I116)),AL116+(861-ROW())*0.000001,"")</f>
        <v/>
      </c>
      <c r="AL116" s="1" t="n">
        <f aca="false">IFERROR(I116*1,0)</f>
        <v>0</v>
      </c>
      <c r="AM116" s="1" t="n">
        <f aca="false">N(AM115)+IF(AND(R116="WON",B116&lt;&gt;""),1,0)</f>
        <v>12</v>
      </c>
      <c r="AN116" s="1" t="n">
        <f aca="false">N(AN115)+IF(AND(OR(R116="offered",R116="to be offered",R116="on hold"),B116&lt;&gt;""),1,0)</f>
        <v>33</v>
      </c>
      <c r="AO116" s="1" t="n">
        <f aca="false">N(AO115)+IF(AND(OR(R116="follow-up",R116="Evaluation",R116="tbd",R116="In evaluation"),B116&lt;&gt;""),1,0)</f>
        <v>1</v>
      </c>
      <c r="AP116" s="1" t="n">
        <f aca="false">IF(B116="",0,IF(COUNTIF('⚖️ Wahrscheinlichkeit'!$J$17:$J$24,R116)&gt;0,1,0))</f>
        <v>0</v>
      </c>
      <c r="AQ116" s="1" t="n">
        <f aca="false">IF(B116="",0,IF(AND(ISNUMBER(S116),COUNTIF('⚖️ Wahrscheinlichkeit'!$B$6:$B$11,S116)&gt;0),1,0))</f>
        <v>0</v>
      </c>
      <c r="AR116" s="1" t="n">
        <f aca="false">IF(B116="",0,IF(AND(COUNT(J116:M116)=4,SUM(J116:M116)&gt;0),1,0))</f>
        <v>0</v>
      </c>
      <c r="AS116" s="1" t="n">
        <f aca="false">IF(B116="",0,IF(AND(AF116&lt;&gt;"",AG116&lt;&gt;""),1,0))</f>
        <v>0</v>
      </c>
      <c r="AT116" s="1" t="n">
        <f aca="false">IF(AND(R116="WON",AS116=1,AR116=1),1,0)</f>
        <v>0</v>
      </c>
      <c r="AU116" s="1" t="n">
        <f aca="false">IF(B116="",0,IF(AD116="Alternative – zählt nicht",0,1))</f>
        <v>0</v>
      </c>
      <c r="AV116" s="1" t="n">
        <f aca="false">IF(B116="",0,IF(COUNTIF($B$6:$B$860,B116)&gt;1,1,0))</f>
        <v>0</v>
      </c>
      <c r="AX116" s="269" t="str">
        <f aca="false">IF(AY116=1,DATE(YEAR(O116),MONTH(O116),1),"")</f>
        <v/>
      </c>
      <c r="AY116" s="1" t="n">
        <f aca="false">IF(B116="",0,IF(AND(ISNUMBER(O116),ISNUMBER(P116)),IF(P116&gt;=O116,1,0),0))</f>
        <v>0</v>
      </c>
      <c r="AZ116" s="1" t="n">
        <f aca="false">IF(ISNUMBER(Y116),Y116,0)</f>
        <v>0</v>
      </c>
      <c r="BA116" s="1" t="str">
        <f aca="false">IF(B116="","",IF(AND(R116="WON",AS116=0),"⛔ Beleg fehlt · ","")&amp;IF(AND(R116="WON",AR116=0),"⛔ Einstand fehlt · ","")&amp;IF(AND(R116&lt;&gt;"WON",AR116=0),"○ Einstand offen · ","")&amp;IF(AND(R116="WON",AB116=""),"⛔ Vertragsart fehlt · ","")&amp;IF(AND(ISNUMBER(O116),ISNUMBER(P116)),IF(P116&lt;O116,"⚠ Ende vor Start · ",""),"")&amp;IF(AND(R116="WON",AY116=0,NOT(AND(ISNUMBER(O116),ISNUMBER(P116)))),"⛔ Zeitraum fehlt · ","")&amp;IF(AND(R116&lt;&gt;"WON",AY116=0,NOT(AND(ISNUMBER(O116),ISNUMBER(P116)))),"○ Zeitraum offen · ",""))</f>
        <v/>
      </c>
      <c r="BB116" s="1" t="str">
        <f aca="false">IF(B116="","",IF(AND(R116="WON",AS116=0),"⛔ Nachweis fehlt",IF(AND(ISNUMBER(O116),ISNUMBER(P116),P116&lt;O116),"⚠ Ende vor Start",IF(AND(R116="WON",AY116=0),"⛔ Zeitraum fehlt",IF(AR116=0,"○ Einstand offen",IF(AY116=0,"○ Zeitraum offen",IF(R116="WON","✅ belegt","✔ erfasst")))))))</f>
        <v/>
      </c>
    </row>
    <row r="117" customFormat="false" ht="15" hidden="false" customHeight="true" outlineLevel="0" collapsed="false">
      <c r="A117" s="258"/>
      <c r="B117" s="266"/>
      <c r="C117" s="258"/>
      <c r="D117" s="278"/>
      <c r="E117" s="278"/>
      <c r="F117" s="275"/>
      <c r="G117" s="258" t="str">
        <f aca="false">IF(B117="","",IF(AY117=1,P117-O117+1,IF(AW117="","",AW117)))</f>
        <v/>
      </c>
      <c r="H117" s="262"/>
      <c r="I117" s="275"/>
      <c r="J117" s="275"/>
      <c r="K117" s="275"/>
      <c r="L117" s="275"/>
      <c r="M117" s="275"/>
      <c r="N117" s="275"/>
      <c r="O117" s="263"/>
      <c r="P117" s="263"/>
      <c r="Q117" s="275" t="str">
        <f aca="false">IF(AND(ISNUMBER(I117),ISNUMBER(S117)),I117*AJ117,IF(OR(I117&lt;&gt;"",S117&lt;&gt;""),"tbd",""))</f>
        <v/>
      </c>
      <c r="R117" s="264"/>
      <c r="S117" s="265"/>
      <c r="T117" s="266"/>
      <c r="U117" s="278"/>
      <c r="V117" s="278"/>
      <c r="W117" s="258"/>
      <c r="X117" s="278"/>
      <c r="Y117" s="275" t="str">
        <f aca="false">IF(ISNUMBER(I117),I117/Netto_Faktor,"")</f>
        <v/>
      </c>
      <c r="Z117" s="275" t="str">
        <f aca="false">IF(B117="","",IF(COUNT(J117:N117)=0,"",SUM(J117:N117)))</f>
        <v/>
      </c>
      <c r="AA117" s="266"/>
      <c r="AB117" s="266"/>
      <c r="AC117" s="266"/>
      <c r="AD117" s="266"/>
      <c r="AE117" s="266"/>
      <c r="AF117" s="266"/>
      <c r="AG117" s="267"/>
      <c r="AH117" s="266" t="str">
        <f aca="false">IF(B117="","",IF(BA117="",IF(R117="WON","✅ belegt &amp; vollständig","✔ vollständig"),LEFT(BA117,LEN(BA117)-3)))</f>
        <v/>
      </c>
      <c r="AJ117" s="268" t="n">
        <f aca="false">IF(ISNUMBER(S117),IFERROR(LOOKUP(IF(S117&lt;=1,S117,S117/100),'⚖️ Wahrscheinlichkeit'!$B$17:$B$21,'⚖️ Wahrscheinlichkeit'!$D$17:$D$21),0),0)</f>
        <v>0</v>
      </c>
      <c r="AK117" s="1" t="str">
        <f aca="false">IF(AND(R117="WON",ISNUMBER(I117)),AL117+(861-ROW())*0.000001,"")</f>
        <v/>
      </c>
      <c r="AL117" s="1" t="n">
        <f aca="false">IFERROR(I117*1,0)</f>
        <v>0</v>
      </c>
      <c r="AM117" s="1" t="n">
        <f aca="false">N(AM116)+IF(AND(R117="WON",B117&lt;&gt;""),1,0)</f>
        <v>12</v>
      </c>
      <c r="AN117" s="1" t="n">
        <f aca="false">N(AN116)+IF(AND(OR(R117="offered",R117="to be offered",R117="on hold"),B117&lt;&gt;""),1,0)</f>
        <v>33</v>
      </c>
      <c r="AO117" s="1" t="n">
        <f aca="false">N(AO116)+IF(AND(OR(R117="follow-up",R117="Evaluation",R117="tbd",R117="In evaluation"),B117&lt;&gt;""),1,0)</f>
        <v>1</v>
      </c>
      <c r="AP117" s="1" t="n">
        <f aca="false">IF(B117="",0,IF(COUNTIF('⚖️ Wahrscheinlichkeit'!$J$17:$J$24,R117)&gt;0,1,0))</f>
        <v>0</v>
      </c>
      <c r="AQ117" s="1" t="n">
        <f aca="false">IF(B117="",0,IF(AND(ISNUMBER(S117),COUNTIF('⚖️ Wahrscheinlichkeit'!$B$6:$B$11,S117)&gt;0),1,0))</f>
        <v>0</v>
      </c>
      <c r="AR117" s="1" t="n">
        <f aca="false">IF(B117="",0,IF(AND(COUNT(J117:M117)=4,SUM(J117:M117)&gt;0),1,0))</f>
        <v>0</v>
      </c>
      <c r="AS117" s="1" t="n">
        <f aca="false">IF(B117="",0,IF(AND(AF117&lt;&gt;"",AG117&lt;&gt;""),1,0))</f>
        <v>0</v>
      </c>
      <c r="AT117" s="1" t="n">
        <f aca="false">IF(AND(R117="WON",AS117=1,AR117=1),1,0)</f>
        <v>0</v>
      </c>
      <c r="AU117" s="1" t="n">
        <f aca="false">IF(B117="",0,IF(AD117="Alternative – zählt nicht",0,1))</f>
        <v>0</v>
      </c>
      <c r="AV117" s="1" t="n">
        <f aca="false">IF(B117="",0,IF(COUNTIF($B$6:$B$860,B117)&gt;1,1,0))</f>
        <v>0</v>
      </c>
      <c r="AX117" s="269" t="str">
        <f aca="false">IF(AY117=1,DATE(YEAR(O117),MONTH(O117),1),"")</f>
        <v/>
      </c>
      <c r="AY117" s="1" t="n">
        <f aca="false">IF(B117="",0,IF(AND(ISNUMBER(O117),ISNUMBER(P117)),IF(P117&gt;=O117,1,0),0))</f>
        <v>0</v>
      </c>
      <c r="AZ117" s="1" t="n">
        <f aca="false">IF(ISNUMBER(Y117),Y117,0)</f>
        <v>0</v>
      </c>
      <c r="BA117" s="1" t="str">
        <f aca="false">IF(B117="","",IF(AND(R117="WON",AS117=0),"⛔ Beleg fehlt · ","")&amp;IF(AND(R117="WON",AR117=0),"⛔ Einstand fehlt · ","")&amp;IF(AND(R117&lt;&gt;"WON",AR117=0),"○ Einstand offen · ","")&amp;IF(AND(R117="WON",AB117=""),"⛔ Vertragsart fehlt · ","")&amp;IF(AND(ISNUMBER(O117),ISNUMBER(P117)),IF(P117&lt;O117,"⚠ Ende vor Start · ",""),"")&amp;IF(AND(R117="WON",AY117=0,NOT(AND(ISNUMBER(O117),ISNUMBER(P117)))),"⛔ Zeitraum fehlt · ","")&amp;IF(AND(R117&lt;&gt;"WON",AY117=0,NOT(AND(ISNUMBER(O117),ISNUMBER(P117)))),"○ Zeitraum offen · ",""))</f>
        <v/>
      </c>
      <c r="BB117" s="1" t="str">
        <f aca="false">IF(B117="","",IF(AND(R117="WON",AS117=0),"⛔ Nachweis fehlt",IF(AND(ISNUMBER(O117),ISNUMBER(P117),P117&lt;O117),"⚠ Ende vor Start",IF(AND(R117="WON",AY117=0),"⛔ Zeitraum fehlt",IF(AR117=0,"○ Einstand offen",IF(AY117=0,"○ Zeitraum offen",IF(R117="WON","✅ belegt","✔ erfasst")))))))</f>
        <v/>
      </c>
    </row>
    <row r="118" customFormat="false" ht="15" hidden="false" customHeight="true" outlineLevel="0" collapsed="false">
      <c r="A118" s="258"/>
      <c r="B118" s="266"/>
      <c r="C118" s="258"/>
      <c r="D118" s="278"/>
      <c r="E118" s="278"/>
      <c r="F118" s="275"/>
      <c r="G118" s="258" t="str">
        <f aca="false">IF(B118="","",IF(AY118=1,P118-O118+1,IF(AW118="","",AW118)))</f>
        <v/>
      </c>
      <c r="H118" s="262"/>
      <c r="I118" s="275"/>
      <c r="J118" s="275"/>
      <c r="K118" s="275"/>
      <c r="L118" s="275"/>
      <c r="M118" s="275"/>
      <c r="N118" s="275"/>
      <c r="O118" s="263"/>
      <c r="P118" s="263"/>
      <c r="Q118" s="275" t="str">
        <f aca="false">IF(AND(ISNUMBER(I118),ISNUMBER(S118)),I118*AJ118,IF(OR(I118&lt;&gt;"",S118&lt;&gt;""),"tbd",""))</f>
        <v/>
      </c>
      <c r="R118" s="264"/>
      <c r="S118" s="265"/>
      <c r="T118" s="266"/>
      <c r="U118" s="278"/>
      <c r="V118" s="278"/>
      <c r="W118" s="258"/>
      <c r="X118" s="278"/>
      <c r="Y118" s="275" t="str">
        <f aca="false">IF(ISNUMBER(I118),I118/Netto_Faktor,"")</f>
        <v/>
      </c>
      <c r="Z118" s="275" t="str">
        <f aca="false">IF(B118="","",IF(COUNT(J118:N118)=0,"",SUM(J118:N118)))</f>
        <v/>
      </c>
      <c r="AA118" s="266"/>
      <c r="AB118" s="266"/>
      <c r="AC118" s="266"/>
      <c r="AD118" s="266"/>
      <c r="AE118" s="266"/>
      <c r="AF118" s="266"/>
      <c r="AG118" s="267"/>
      <c r="AH118" s="266" t="str">
        <f aca="false">IF(B118="","",IF(BA118="",IF(R118="WON","✅ belegt &amp; vollständig","✔ vollständig"),LEFT(BA118,LEN(BA118)-3)))</f>
        <v/>
      </c>
      <c r="AJ118" s="268" t="n">
        <f aca="false">IF(ISNUMBER(S118),IFERROR(LOOKUP(IF(S118&lt;=1,S118,S118/100),'⚖️ Wahrscheinlichkeit'!$B$17:$B$21,'⚖️ Wahrscheinlichkeit'!$D$17:$D$21),0),0)</f>
        <v>0</v>
      </c>
      <c r="AK118" s="1" t="str">
        <f aca="false">IF(AND(R118="WON",ISNUMBER(I118)),AL118+(861-ROW())*0.000001,"")</f>
        <v/>
      </c>
      <c r="AL118" s="1" t="n">
        <f aca="false">IFERROR(I118*1,0)</f>
        <v>0</v>
      </c>
      <c r="AM118" s="1" t="n">
        <f aca="false">N(AM117)+IF(AND(R118="WON",B118&lt;&gt;""),1,0)</f>
        <v>12</v>
      </c>
      <c r="AN118" s="1" t="n">
        <f aca="false">N(AN117)+IF(AND(OR(R118="offered",R118="to be offered",R118="on hold"),B118&lt;&gt;""),1,0)</f>
        <v>33</v>
      </c>
      <c r="AO118" s="1" t="n">
        <f aca="false">N(AO117)+IF(AND(OR(R118="follow-up",R118="Evaluation",R118="tbd",R118="In evaluation"),B118&lt;&gt;""),1,0)</f>
        <v>1</v>
      </c>
      <c r="AP118" s="1" t="n">
        <f aca="false">IF(B118="",0,IF(COUNTIF('⚖️ Wahrscheinlichkeit'!$J$17:$J$24,R118)&gt;0,1,0))</f>
        <v>0</v>
      </c>
      <c r="AQ118" s="1" t="n">
        <f aca="false">IF(B118="",0,IF(AND(ISNUMBER(S118),COUNTIF('⚖️ Wahrscheinlichkeit'!$B$6:$B$11,S118)&gt;0),1,0))</f>
        <v>0</v>
      </c>
      <c r="AR118" s="1" t="n">
        <f aca="false">IF(B118="",0,IF(AND(COUNT(J118:M118)=4,SUM(J118:M118)&gt;0),1,0))</f>
        <v>0</v>
      </c>
      <c r="AS118" s="1" t="n">
        <f aca="false">IF(B118="",0,IF(AND(AF118&lt;&gt;"",AG118&lt;&gt;""),1,0))</f>
        <v>0</v>
      </c>
      <c r="AT118" s="1" t="n">
        <f aca="false">IF(AND(R118="WON",AS118=1,AR118=1),1,0)</f>
        <v>0</v>
      </c>
      <c r="AU118" s="1" t="n">
        <f aca="false">IF(B118="",0,IF(AD118="Alternative – zählt nicht",0,1))</f>
        <v>0</v>
      </c>
      <c r="AV118" s="1" t="n">
        <f aca="false">IF(B118="",0,IF(COUNTIF($B$6:$B$860,B118)&gt;1,1,0))</f>
        <v>0</v>
      </c>
      <c r="AX118" s="269" t="str">
        <f aca="false">IF(AY118=1,DATE(YEAR(O118),MONTH(O118),1),"")</f>
        <v/>
      </c>
      <c r="AY118" s="1" t="n">
        <f aca="false">IF(B118="",0,IF(AND(ISNUMBER(O118),ISNUMBER(P118)),IF(P118&gt;=O118,1,0),0))</f>
        <v>0</v>
      </c>
      <c r="AZ118" s="1" t="n">
        <f aca="false">IF(ISNUMBER(Y118),Y118,0)</f>
        <v>0</v>
      </c>
      <c r="BA118" s="1" t="str">
        <f aca="false">IF(B118="","",IF(AND(R118="WON",AS118=0),"⛔ Beleg fehlt · ","")&amp;IF(AND(R118="WON",AR118=0),"⛔ Einstand fehlt · ","")&amp;IF(AND(R118&lt;&gt;"WON",AR118=0),"○ Einstand offen · ","")&amp;IF(AND(R118="WON",AB118=""),"⛔ Vertragsart fehlt · ","")&amp;IF(AND(ISNUMBER(O118),ISNUMBER(P118)),IF(P118&lt;O118,"⚠ Ende vor Start · ",""),"")&amp;IF(AND(R118="WON",AY118=0,NOT(AND(ISNUMBER(O118),ISNUMBER(P118)))),"⛔ Zeitraum fehlt · ","")&amp;IF(AND(R118&lt;&gt;"WON",AY118=0,NOT(AND(ISNUMBER(O118),ISNUMBER(P118)))),"○ Zeitraum offen · ",""))</f>
        <v/>
      </c>
      <c r="BB118" s="1" t="str">
        <f aca="false">IF(B118="","",IF(AND(R118="WON",AS118=0),"⛔ Nachweis fehlt",IF(AND(ISNUMBER(O118),ISNUMBER(P118),P118&lt;O118),"⚠ Ende vor Start",IF(AND(R118="WON",AY118=0),"⛔ Zeitraum fehlt",IF(AR118=0,"○ Einstand offen",IF(AY118=0,"○ Zeitraum offen",IF(R118="WON","✅ belegt","✔ erfasst")))))))</f>
        <v/>
      </c>
    </row>
    <row r="119" customFormat="false" ht="15" hidden="false" customHeight="true" outlineLevel="0" collapsed="false">
      <c r="A119" s="258"/>
      <c r="B119" s="266"/>
      <c r="C119" s="258"/>
      <c r="D119" s="278"/>
      <c r="E119" s="278"/>
      <c r="F119" s="275"/>
      <c r="G119" s="258" t="str">
        <f aca="false">IF(B119="","",IF(AY119=1,P119-O119+1,IF(AW119="","",AW119)))</f>
        <v/>
      </c>
      <c r="H119" s="262"/>
      <c r="I119" s="275"/>
      <c r="J119" s="275"/>
      <c r="K119" s="275"/>
      <c r="L119" s="275"/>
      <c r="M119" s="275"/>
      <c r="N119" s="275"/>
      <c r="O119" s="263"/>
      <c r="P119" s="263"/>
      <c r="Q119" s="275" t="str">
        <f aca="false">IF(AND(ISNUMBER(I119),ISNUMBER(S119)),I119*AJ119,IF(OR(I119&lt;&gt;"",S119&lt;&gt;""),"tbd",""))</f>
        <v/>
      </c>
      <c r="R119" s="264"/>
      <c r="S119" s="265"/>
      <c r="T119" s="266"/>
      <c r="U119" s="278"/>
      <c r="V119" s="278"/>
      <c r="W119" s="258"/>
      <c r="X119" s="278"/>
      <c r="Y119" s="275" t="str">
        <f aca="false">IF(ISNUMBER(I119),I119/Netto_Faktor,"")</f>
        <v/>
      </c>
      <c r="Z119" s="275" t="str">
        <f aca="false">IF(B119="","",IF(COUNT(J119:N119)=0,"",SUM(J119:N119)))</f>
        <v/>
      </c>
      <c r="AA119" s="266"/>
      <c r="AB119" s="266"/>
      <c r="AC119" s="266"/>
      <c r="AD119" s="266"/>
      <c r="AE119" s="266"/>
      <c r="AF119" s="266"/>
      <c r="AG119" s="267"/>
      <c r="AH119" s="266" t="str">
        <f aca="false">IF(B119="","",IF(BA119="",IF(R119="WON","✅ belegt &amp; vollständig","✔ vollständig"),LEFT(BA119,LEN(BA119)-3)))</f>
        <v/>
      </c>
      <c r="AJ119" s="268" t="n">
        <f aca="false">IF(ISNUMBER(S119),IFERROR(LOOKUP(IF(S119&lt;=1,S119,S119/100),'⚖️ Wahrscheinlichkeit'!$B$17:$B$21,'⚖️ Wahrscheinlichkeit'!$D$17:$D$21),0),0)</f>
        <v>0</v>
      </c>
      <c r="AK119" s="1" t="str">
        <f aca="false">IF(AND(R119="WON",ISNUMBER(I119)),AL119+(861-ROW())*0.000001,"")</f>
        <v/>
      </c>
      <c r="AL119" s="1" t="n">
        <f aca="false">IFERROR(I119*1,0)</f>
        <v>0</v>
      </c>
      <c r="AM119" s="1" t="n">
        <f aca="false">N(AM118)+IF(AND(R119="WON",B119&lt;&gt;""),1,0)</f>
        <v>12</v>
      </c>
      <c r="AN119" s="1" t="n">
        <f aca="false">N(AN118)+IF(AND(OR(R119="offered",R119="to be offered",R119="on hold"),B119&lt;&gt;""),1,0)</f>
        <v>33</v>
      </c>
      <c r="AO119" s="1" t="n">
        <f aca="false">N(AO118)+IF(AND(OR(R119="follow-up",R119="Evaluation",R119="tbd",R119="In evaluation"),B119&lt;&gt;""),1,0)</f>
        <v>1</v>
      </c>
      <c r="AP119" s="1" t="n">
        <f aca="false">IF(B119="",0,IF(COUNTIF('⚖️ Wahrscheinlichkeit'!$J$17:$J$24,R119)&gt;0,1,0))</f>
        <v>0</v>
      </c>
      <c r="AQ119" s="1" t="n">
        <f aca="false">IF(B119="",0,IF(AND(ISNUMBER(S119),COUNTIF('⚖️ Wahrscheinlichkeit'!$B$6:$B$11,S119)&gt;0),1,0))</f>
        <v>0</v>
      </c>
      <c r="AR119" s="1" t="n">
        <f aca="false">IF(B119="",0,IF(AND(COUNT(J119:M119)=4,SUM(J119:M119)&gt;0),1,0))</f>
        <v>0</v>
      </c>
      <c r="AS119" s="1" t="n">
        <f aca="false">IF(B119="",0,IF(AND(AF119&lt;&gt;"",AG119&lt;&gt;""),1,0))</f>
        <v>0</v>
      </c>
      <c r="AT119" s="1" t="n">
        <f aca="false">IF(AND(R119="WON",AS119=1,AR119=1),1,0)</f>
        <v>0</v>
      </c>
      <c r="AU119" s="1" t="n">
        <f aca="false">IF(B119="",0,IF(AD119="Alternative – zählt nicht",0,1))</f>
        <v>0</v>
      </c>
      <c r="AV119" s="1" t="n">
        <f aca="false">IF(B119="",0,IF(COUNTIF($B$6:$B$860,B119)&gt;1,1,0))</f>
        <v>0</v>
      </c>
      <c r="AX119" s="269" t="str">
        <f aca="false">IF(AY119=1,DATE(YEAR(O119),MONTH(O119),1),"")</f>
        <v/>
      </c>
      <c r="AY119" s="1" t="n">
        <f aca="false">IF(B119="",0,IF(AND(ISNUMBER(O119),ISNUMBER(P119)),IF(P119&gt;=O119,1,0),0))</f>
        <v>0</v>
      </c>
      <c r="AZ119" s="1" t="n">
        <f aca="false">IF(ISNUMBER(Y119),Y119,0)</f>
        <v>0</v>
      </c>
      <c r="BA119" s="1" t="str">
        <f aca="false">IF(B119="","",IF(AND(R119="WON",AS119=0),"⛔ Beleg fehlt · ","")&amp;IF(AND(R119="WON",AR119=0),"⛔ Einstand fehlt · ","")&amp;IF(AND(R119&lt;&gt;"WON",AR119=0),"○ Einstand offen · ","")&amp;IF(AND(R119="WON",AB119=""),"⛔ Vertragsart fehlt · ","")&amp;IF(AND(ISNUMBER(O119),ISNUMBER(P119)),IF(P119&lt;O119,"⚠ Ende vor Start · ",""),"")&amp;IF(AND(R119="WON",AY119=0,NOT(AND(ISNUMBER(O119),ISNUMBER(P119)))),"⛔ Zeitraum fehlt · ","")&amp;IF(AND(R119&lt;&gt;"WON",AY119=0,NOT(AND(ISNUMBER(O119),ISNUMBER(P119)))),"○ Zeitraum offen · ",""))</f>
        <v/>
      </c>
      <c r="BB119" s="1" t="str">
        <f aca="false">IF(B119="","",IF(AND(R119="WON",AS119=0),"⛔ Nachweis fehlt",IF(AND(ISNUMBER(O119),ISNUMBER(P119),P119&lt;O119),"⚠ Ende vor Start",IF(AND(R119="WON",AY119=0),"⛔ Zeitraum fehlt",IF(AR119=0,"○ Einstand offen",IF(AY119=0,"○ Zeitraum offen",IF(R119="WON","✅ belegt","✔ erfasst")))))))</f>
        <v/>
      </c>
    </row>
    <row r="120" customFormat="false" ht="15" hidden="false" customHeight="true" outlineLevel="0" collapsed="false">
      <c r="A120" s="258"/>
      <c r="B120" s="266"/>
      <c r="C120" s="258"/>
      <c r="D120" s="278"/>
      <c r="E120" s="278"/>
      <c r="F120" s="275"/>
      <c r="G120" s="258" t="str">
        <f aca="false">IF(B120="","",IF(AY120=1,P120-O120+1,IF(AW120="","",AW120)))</f>
        <v/>
      </c>
      <c r="H120" s="262"/>
      <c r="I120" s="275"/>
      <c r="J120" s="275"/>
      <c r="K120" s="275"/>
      <c r="L120" s="275"/>
      <c r="M120" s="275"/>
      <c r="N120" s="275"/>
      <c r="O120" s="263"/>
      <c r="P120" s="263"/>
      <c r="Q120" s="275" t="str">
        <f aca="false">IF(AND(ISNUMBER(I120),ISNUMBER(S120)),I120*AJ120,IF(OR(I120&lt;&gt;"",S120&lt;&gt;""),"tbd",""))</f>
        <v/>
      </c>
      <c r="R120" s="264"/>
      <c r="S120" s="265"/>
      <c r="T120" s="266"/>
      <c r="U120" s="278"/>
      <c r="V120" s="278"/>
      <c r="W120" s="258"/>
      <c r="X120" s="278"/>
      <c r="Y120" s="275" t="str">
        <f aca="false">IF(ISNUMBER(I120),I120/Netto_Faktor,"")</f>
        <v/>
      </c>
      <c r="Z120" s="275" t="str">
        <f aca="false">IF(B120="","",IF(COUNT(J120:N120)=0,"",SUM(J120:N120)))</f>
        <v/>
      </c>
      <c r="AA120" s="266"/>
      <c r="AB120" s="266"/>
      <c r="AC120" s="266"/>
      <c r="AD120" s="266"/>
      <c r="AE120" s="266"/>
      <c r="AF120" s="266"/>
      <c r="AG120" s="267"/>
      <c r="AH120" s="266" t="str">
        <f aca="false">IF(B120="","",IF(BA120="",IF(R120="WON","✅ belegt &amp; vollständig","✔ vollständig"),LEFT(BA120,LEN(BA120)-3)))</f>
        <v/>
      </c>
      <c r="AJ120" s="268" t="n">
        <f aca="false">IF(ISNUMBER(S120),IFERROR(LOOKUP(IF(S120&lt;=1,S120,S120/100),'⚖️ Wahrscheinlichkeit'!$B$17:$B$21,'⚖️ Wahrscheinlichkeit'!$D$17:$D$21),0),0)</f>
        <v>0</v>
      </c>
      <c r="AK120" s="1" t="str">
        <f aca="false">IF(AND(R120="WON",ISNUMBER(I120)),AL120+(861-ROW())*0.000001,"")</f>
        <v/>
      </c>
      <c r="AL120" s="1" t="n">
        <f aca="false">IFERROR(I120*1,0)</f>
        <v>0</v>
      </c>
      <c r="AM120" s="1" t="n">
        <f aca="false">N(AM119)+IF(AND(R120="WON",B120&lt;&gt;""),1,0)</f>
        <v>12</v>
      </c>
      <c r="AN120" s="1" t="n">
        <f aca="false">N(AN119)+IF(AND(OR(R120="offered",R120="to be offered",R120="on hold"),B120&lt;&gt;""),1,0)</f>
        <v>33</v>
      </c>
      <c r="AO120" s="1" t="n">
        <f aca="false">N(AO119)+IF(AND(OR(R120="follow-up",R120="Evaluation",R120="tbd",R120="In evaluation"),B120&lt;&gt;""),1,0)</f>
        <v>1</v>
      </c>
      <c r="AP120" s="1" t="n">
        <f aca="false">IF(B120="",0,IF(COUNTIF('⚖️ Wahrscheinlichkeit'!$J$17:$J$24,R120)&gt;0,1,0))</f>
        <v>0</v>
      </c>
      <c r="AQ120" s="1" t="n">
        <f aca="false">IF(B120="",0,IF(AND(ISNUMBER(S120),COUNTIF('⚖️ Wahrscheinlichkeit'!$B$6:$B$11,S120)&gt;0),1,0))</f>
        <v>0</v>
      </c>
      <c r="AR120" s="1" t="n">
        <f aca="false">IF(B120="",0,IF(AND(COUNT(J120:M120)=4,SUM(J120:M120)&gt;0),1,0))</f>
        <v>0</v>
      </c>
      <c r="AS120" s="1" t="n">
        <f aca="false">IF(B120="",0,IF(AND(AF120&lt;&gt;"",AG120&lt;&gt;""),1,0))</f>
        <v>0</v>
      </c>
      <c r="AT120" s="1" t="n">
        <f aca="false">IF(AND(R120="WON",AS120=1,AR120=1),1,0)</f>
        <v>0</v>
      </c>
      <c r="AU120" s="1" t="n">
        <f aca="false">IF(B120="",0,IF(AD120="Alternative – zählt nicht",0,1))</f>
        <v>0</v>
      </c>
      <c r="AV120" s="1" t="n">
        <f aca="false">IF(B120="",0,IF(COUNTIF($B$6:$B$860,B120)&gt;1,1,0))</f>
        <v>0</v>
      </c>
      <c r="AX120" s="269" t="str">
        <f aca="false">IF(AY120=1,DATE(YEAR(O120),MONTH(O120),1),"")</f>
        <v/>
      </c>
      <c r="AY120" s="1" t="n">
        <f aca="false">IF(B120="",0,IF(AND(ISNUMBER(O120),ISNUMBER(P120)),IF(P120&gt;=O120,1,0),0))</f>
        <v>0</v>
      </c>
      <c r="AZ120" s="1" t="n">
        <f aca="false">IF(ISNUMBER(Y120),Y120,0)</f>
        <v>0</v>
      </c>
      <c r="BA120" s="1" t="str">
        <f aca="false">IF(B120="","",IF(AND(R120="WON",AS120=0),"⛔ Beleg fehlt · ","")&amp;IF(AND(R120="WON",AR120=0),"⛔ Einstand fehlt · ","")&amp;IF(AND(R120&lt;&gt;"WON",AR120=0),"○ Einstand offen · ","")&amp;IF(AND(R120="WON",AB120=""),"⛔ Vertragsart fehlt · ","")&amp;IF(AND(ISNUMBER(O120),ISNUMBER(P120)),IF(P120&lt;O120,"⚠ Ende vor Start · ",""),"")&amp;IF(AND(R120="WON",AY120=0,NOT(AND(ISNUMBER(O120),ISNUMBER(P120)))),"⛔ Zeitraum fehlt · ","")&amp;IF(AND(R120&lt;&gt;"WON",AY120=0,NOT(AND(ISNUMBER(O120),ISNUMBER(P120)))),"○ Zeitraum offen · ",""))</f>
        <v/>
      </c>
      <c r="BB120" s="1" t="str">
        <f aca="false">IF(B120="","",IF(AND(R120="WON",AS120=0),"⛔ Nachweis fehlt",IF(AND(ISNUMBER(O120),ISNUMBER(P120),P120&lt;O120),"⚠ Ende vor Start",IF(AND(R120="WON",AY120=0),"⛔ Zeitraum fehlt",IF(AR120=0,"○ Einstand offen",IF(AY120=0,"○ Zeitraum offen",IF(R120="WON","✅ belegt","✔ erfasst")))))))</f>
        <v/>
      </c>
    </row>
    <row r="121" customFormat="false" ht="15" hidden="false" customHeight="true" outlineLevel="0" collapsed="false">
      <c r="G121" s="1" t="str">
        <f aca="false">IF(B121="","",IF(AY121=1,P121-O121+1,IF(AW121="","",AW121)))</f>
        <v/>
      </c>
      <c r="I121" s="270"/>
      <c r="J121" s="270"/>
      <c r="K121" s="270"/>
      <c r="L121" s="270"/>
      <c r="M121" s="270"/>
      <c r="N121" s="270"/>
      <c r="O121" s="263"/>
      <c r="P121" s="263"/>
      <c r="Q121" s="270" t="str">
        <f aca="false">IF(AND(ISNUMBER(I121),ISNUMBER(S121)),I121*AJ121,IF(OR(I121&lt;&gt;"",S121&lt;&gt;""),"tbd",""))</f>
        <v/>
      </c>
      <c r="S121" s="268"/>
      <c r="Y121" s="275" t="str">
        <f aca="false">IF(ISNUMBER(I121),I121/Netto_Faktor,"")</f>
        <v/>
      </c>
      <c r="Z121" s="275" t="str">
        <f aca="false">IF(B121="","",IF(COUNT(J121:N121)=0,"",SUM(J121:N121)))</f>
        <v/>
      </c>
      <c r="AA121" s="266"/>
      <c r="AB121" s="266"/>
      <c r="AC121" s="266"/>
      <c r="AD121" s="266"/>
      <c r="AE121" s="266"/>
      <c r="AF121" s="266"/>
      <c r="AG121" s="267"/>
      <c r="AH121" s="266" t="str">
        <f aca="false">IF(B121="","",IF(BA121="",IF(R121="WON","✅ belegt &amp; vollständig","✔ vollständig"),LEFT(BA121,LEN(BA121)-3)))</f>
        <v/>
      </c>
      <c r="AJ121" s="268" t="n">
        <f aca="false">IF(ISNUMBER(S121),IFERROR(LOOKUP(IF(S121&lt;=1,S121,S121/100),'⚖️ Wahrscheinlichkeit'!$B$17:$B$21,'⚖️ Wahrscheinlichkeit'!$D$17:$D$21),0),0)</f>
        <v>0</v>
      </c>
      <c r="AK121" s="1" t="str">
        <f aca="false">IF(AND(R121="WON",ISNUMBER(I121)),AL121+(861-ROW())*0.000001,"")</f>
        <v/>
      </c>
      <c r="AL121" s="1" t="n">
        <f aca="false">IFERROR(I121*1,0)</f>
        <v>0</v>
      </c>
      <c r="AM121" s="1" t="n">
        <f aca="false">N(AM120)+IF(AND(R121="WON",B121&lt;&gt;""),1,0)</f>
        <v>12</v>
      </c>
      <c r="AN121" s="1" t="n">
        <f aca="false">N(AN120)+IF(AND(OR(R121="offered",R121="to be offered",R121="on hold"),B121&lt;&gt;""),1,0)</f>
        <v>33</v>
      </c>
      <c r="AO121" s="1" t="n">
        <f aca="false">N(AO120)+IF(AND(OR(R121="follow-up",R121="Evaluation",R121="tbd",R121="In evaluation"),B121&lt;&gt;""),1,0)</f>
        <v>1</v>
      </c>
      <c r="AP121" s="1" t="n">
        <f aca="false">IF(B121="",0,IF(COUNTIF('⚖️ Wahrscheinlichkeit'!$J$17:$J$24,R121)&gt;0,1,0))</f>
        <v>0</v>
      </c>
      <c r="AQ121" s="1" t="n">
        <f aca="false">IF(B121="",0,IF(AND(ISNUMBER(S121),COUNTIF('⚖️ Wahrscheinlichkeit'!$B$6:$B$11,S121)&gt;0),1,0))</f>
        <v>0</v>
      </c>
      <c r="AR121" s="1" t="n">
        <f aca="false">IF(B121="",0,IF(AND(COUNT(J121:M121)=4,SUM(J121:M121)&gt;0),1,0))</f>
        <v>0</v>
      </c>
      <c r="AS121" s="1" t="n">
        <f aca="false">IF(B121="",0,IF(AND(AF121&lt;&gt;"",AG121&lt;&gt;""),1,0))</f>
        <v>0</v>
      </c>
      <c r="AT121" s="1" t="n">
        <f aca="false">IF(AND(R121="WON",AS121=1,AR121=1),1,0)</f>
        <v>0</v>
      </c>
      <c r="AU121" s="1" t="n">
        <f aca="false">IF(B121="",0,IF(AD121="Alternative – zählt nicht",0,1))</f>
        <v>0</v>
      </c>
      <c r="AV121" s="1" t="n">
        <f aca="false">IF(B121="",0,IF(COUNTIF($B$6:$B$860,B121)&gt;1,1,0))</f>
        <v>0</v>
      </c>
      <c r="AX121" s="269" t="str">
        <f aca="false">IF(AY121=1,DATE(YEAR(O121),MONTH(O121),1),"")</f>
        <v/>
      </c>
      <c r="AY121" s="1" t="n">
        <f aca="false">IF(B121="",0,IF(AND(ISNUMBER(O121),ISNUMBER(P121)),IF(P121&gt;=O121,1,0),0))</f>
        <v>0</v>
      </c>
      <c r="AZ121" s="1" t="n">
        <f aca="false">IF(ISNUMBER(Y121),Y121,0)</f>
        <v>0</v>
      </c>
      <c r="BA121" s="1" t="str">
        <f aca="false">IF(B121="","",IF(AND(R121="WON",AS121=0),"⛔ Beleg fehlt · ","")&amp;IF(AND(R121="WON",AR121=0),"⛔ Einstand fehlt · ","")&amp;IF(AND(R121&lt;&gt;"WON",AR121=0),"○ Einstand offen · ","")&amp;IF(AND(R121="WON",AB121=""),"⛔ Vertragsart fehlt · ","")&amp;IF(AND(ISNUMBER(O121),ISNUMBER(P121)),IF(P121&lt;O121,"⚠ Ende vor Start · ",""),"")&amp;IF(AND(R121="WON",AY121=0,NOT(AND(ISNUMBER(O121),ISNUMBER(P121)))),"⛔ Zeitraum fehlt · ","")&amp;IF(AND(R121&lt;&gt;"WON",AY121=0,NOT(AND(ISNUMBER(O121),ISNUMBER(P121)))),"○ Zeitraum offen · ",""))</f>
        <v/>
      </c>
      <c r="BB121" s="1" t="str">
        <f aca="false">IF(B121="","",IF(AND(R121="WON",AS121=0),"⛔ Nachweis fehlt",IF(AND(ISNUMBER(O121),ISNUMBER(P121),P121&lt;O121),"⚠ Ende vor Start",IF(AND(R121="WON",AY121=0),"⛔ Zeitraum fehlt",IF(AR121=0,"○ Einstand offen",IF(AY121=0,"○ Zeitraum offen",IF(R121="WON","✅ belegt","✔ erfasst")))))))</f>
        <v/>
      </c>
    </row>
    <row r="122" customFormat="false" ht="15" hidden="false" customHeight="true" outlineLevel="0" collapsed="false">
      <c r="G122" s="1" t="str">
        <f aca="false">IF(B122="","",IF(AY122=1,P122-O122+1,IF(AW122="","",AW122)))</f>
        <v/>
      </c>
      <c r="I122" s="270"/>
      <c r="J122" s="270"/>
      <c r="K122" s="270"/>
      <c r="L122" s="270"/>
      <c r="M122" s="270"/>
      <c r="N122" s="270"/>
      <c r="O122" s="263"/>
      <c r="P122" s="263"/>
      <c r="Q122" s="270" t="str">
        <f aca="false">IF(AND(ISNUMBER(I122),ISNUMBER(S122)),I122*AJ122,IF(OR(I122&lt;&gt;"",S122&lt;&gt;""),"tbd",""))</f>
        <v/>
      </c>
      <c r="S122" s="268"/>
      <c r="Y122" s="275" t="str">
        <f aca="false">IF(ISNUMBER(I122),I122/Netto_Faktor,"")</f>
        <v/>
      </c>
      <c r="Z122" s="275" t="str">
        <f aca="false">IF(B122="","",IF(COUNT(J122:N122)=0,"",SUM(J122:N122)))</f>
        <v/>
      </c>
      <c r="AA122" s="266"/>
      <c r="AB122" s="266"/>
      <c r="AC122" s="266"/>
      <c r="AD122" s="266"/>
      <c r="AE122" s="266"/>
      <c r="AF122" s="266"/>
      <c r="AG122" s="267"/>
      <c r="AH122" s="266" t="str">
        <f aca="false">IF(B122="","",IF(BA122="",IF(R122="WON","✅ belegt &amp; vollständig","✔ vollständig"),LEFT(BA122,LEN(BA122)-3)))</f>
        <v/>
      </c>
      <c r="AJ122" s="268" t="n">
        <f aca="false">IF(ISNUMBER(S122),IFERROR(LOOKUP(IF(S122&lt;=1,S122,S122/100),'⚖️ Wahrscheinlichkeit'!$B$17:$B$21,'⚖️ Wahrscheinlichkeit'!$D$17:$D$21),0),0)</f>
        <v>0</v>
      </c>
      <c r="AK122" s="1" t="str">
        <f aca="false">IF(AND(R122="WON",ISNUMBER(I122)),AL122+(861-ROW())*0.000001,"")</f>
        <v/>
      </c>
      <c r="AL122" s="1" t="n">
        <f aca="false">IFERROR(I122*1,0)</f>
        <v>0</v>
      </c>
      <c r="AM122" s="1" t="n">
        <f aca="false">N(AM121)+IF(AND(R122="WON",B122&lt;&gt;""),1,0)</f>
        <v>12</v>
      </c>
      <c r="AN122" s="1" t="n">
        <f aca="false">N(AN121)+IF(AND(OR(R122="offered",R122="to be offered",R122="on hold"),B122&lt;&gt;""),1,0)</f>
        <v>33</v>
      </c>
      <c r="AO122" s="1" t="n">
        <f aca="false">N(AO121)+IF(AND(OR(R122="follow-up",R122="Evaluation",R122="tbd",R122="In evaluation"),B122&lt;&gt;""),1,0)</f>
        <v>1</v>
      </c>
      <c r="AP122" s="1" t="n">
        <f aca="false">IF(B122="",0,IF(COUNTIF('⚖️ Wahrscheinlichkeit'!$J$17:$J$24,R122)&gt;0,1,0))</f>
        <v>0</v>
      </c>
      <c r="AQ122" s="1" t="n">
        <f aca="false">IF(B122="",0,IF(AND(ISNUMBER(S122),COUNTIF('⚖️ Wahrscheinlichkeit'!$B$6:$B$11,S122)&gt;0),1,0))</f>
        <v>0</v>
      </c>
      <c r="AR122" s="1" t="n">
        <f aca="false">IF(B122="",0,IF(AND(COUNT(J122:M122)=4,SUM(J122:M122)&gt;0),1,0))</f>
        <v>0</v>
      </c>
      <c r="AS122" s="1" t="n">
        <f aca="false">IF(B122="",0,IF(AND(AF122&lt;&gt;"",AG122&lt;&gt;""),1,0))</f>
        <v>0</v>
      </c>
      <c r="AT122" s="1" t="n">
        <f aca="false">IF(AND(R122="WON",AS122=1,AR122=1),1,0)</f>
        <v>0</v>
      </c>
      <c r="AU122" s="1" t="n">
        <f aca="false">IF(B122="",0,IF(AD122="Alternative – zählt nicht",0,1))</f>
        <v>0</v>
      </c>
      <c r="AV122" s="1" t="n">
        <f aca="false">IF(B122="",0,IF(COUNTIF($B$6:$B$860,B122)&gt;1,1,0))</f>
        <v>0</v>
      </c>
      <c r="AX122" s="269" t="str">
        <f aca="false">IF(AY122=1,DATE(YEAR(O122),MONTH(O122),1),"")</f>
        <v/>
      </c>
      <c r="AY122" s="1" t="n">
        <f aca="false">IF(B122="",0,IF(AND(ISNUMBER(O122),ISNUMBER(P122)),IF(P122&gt;=O122,1,0),0))</f>
        <v>0</v>
      </c>
      <c r="AZ122" s="1" t="n">
        <f aca="false">IF(ISNUMBER(Y122),Y122,0)</f>
        <v>0</v>
      </c>
      <c r="BA122" s="1" t="str">
        <f aca="false">IF(B122="","",IF(AND(R122="WON",AS122=0),"⛔ Beleg fehlt · ","")&amp;IF(AND(R122="WON",AR122=0),"⛔ Einstand fehlt · ","")&amp;IF(AND(R122&lt;&gt;"WON",AR122=0),"○ Einstand offen · ","")&amp;IF(AND(R122="WON",AB122=""),"⛔ Vertragsart fehlt · ","")&amp;IF(AND(ISNUMBER(O122),ISNUMBER(P122)),IF(P122&lt;O122,"⚠ Ende vor Start · ",""),"")&amp;IF(AND(R122="WON",AY122=0,NOT(AND(ISNUMBER(O122),ISNUMBER(P122)))),"⛔ Zeitraum fehlt · ","")&amp;IF(AND(R122&lt;&gt;"WON",AY122=0,NOT(AND(ISNUMBER(O122),ISNUMBER(P122)))),"○ Zeitraum offen · ",""))</f>
        <v/>
      </c>
      <c r="BB122" s="1" t="str">
        <f aca="false">IF(B122="","",IF(AND(R122="WON",AS122=0),"⛔ Nachweis fehlt",IF(AND(ISNUMBER(O122),ISNUMBER(P122),P122&lt;O122),"⚠ Ende vor Start",IF(AND(R122="WON",AY122=0),"⛔ Zeitraum fehlt",IF(AR122=0,"○ Einstand offen",IF(AY122=0,"○ Zeitraum offen",IF(R122="WON","✅ belegt","✔ erfasst")))))))</f>
        <v/>
      </c>
    </row>
    <row r="123" customFormat="false" ht="15" hidden="false" customHeight="true" outlineLevel="0" collapsed="false">
      <c r="G123" s="1" t="str">
        <f aca="false">IF(B123="","",IF(AY123=1,P123-O123+1,IF(AW123="","",AW123)))</f>
        <v/>
      </c>
      <c r="I123" s="270"/>
      <c r="J123" s="270"/>
      <c r="K123" s="270"/>
      <c r="L123" s="270"/>
      <c r="M123" s="270"/>
      <c r="N123" s="270"/>
      <c r="O123" s="263"/>
      <c r="P123" s="263"/>
      <c r="Q123" s="270" t="str">
        <f aca="false">IF(AND(ISNUMBER(I123),ISNUMBER(S123)),I123*AJ123,IF(OR(I123&lt;&gt;"",S123&lt;&gt;""),"tbd",""))</f>
        <v/>
      </c>
      <c r="S123" s="268"/>
      <c r="Y123" s="275" t="str">
        <f aca="false">IF(ISNUMBER(I123),I123/Netto_Faktor,"")</f>
        <v/>
      </c>
      <c r="Z123" s="275" t="str">
        <f aca="false">IF(B123="","",IF(COUNT(J123:N123)=0,"",SUM(J123:N123)))</f>
        <v/>
      </c>
      <c r="AA123" s="266"/>
      <c r="AB123" s="266"/>
      <c r="AC123" s="266"/>
      <c r="AD123" s="266"/>
      <c r="AE123" s="266"/>
      <c r="AF123" s="266"/>
      <c r="AG123" s="267"/>
      <c r="AH123" s="266" t="str">
        <f aca="false">IF(B123="","",IF(BA123="",IF(R123="WON","✅ belegt &amp; vollständig","✔ vollständig"),LEFT(BA123,LEN(BA123)-3)))</f>
        <v/>
      </c>
      <c r="AJ123" s="268" t="n">
        <f aca="false">IF(ISNUMBER(S123),IFERROR(LOOKUP(IF(S123&lt;=1,S123,S123/100),'⚖️ Wahrscheinlichkeit'!$B$17:$B$21,'⚖️ Wahrscheinlichkeit'!$D$17:$D$21),0),0)</f>
        <v>0</v>
      </c>
      <c r="AK123" s="1" t="str">
        <f aca="false">IF(AND(R123="WON",ISNUMBER(I123)),AL123+(861-ROW())*0.000001,"")</f>
        <v/>
      </c>
      <c r="AL123" s="1" t="n">
        <f aca="false">IFERROR(I123*1,0)</f>
        <v>0</v>
      </c>
      <c r="AM123" s="1" t="n">
        <f aca="false">N(AM122)+IF(AND(R123="WON",B123&lt;&gt;""),1,0)</f>
        <v>12</v>
      </c>
      <c r="AN123" s="1" t="n">
        <f aca="false">N(AN122)+IF(AND(OR(R123="offered",R123="to be offered",R123="on hold"),B123&lt;&gt;""),1,0)</f>
        <v>33</v>
      </c>
      <c r="AO123" s="1" t="n">
        <f aca="false">N(AO122)+IF(AND(OR(R123="follow-up",R123="Evaluation",R123="tbd",R123="In evaluation"),B123&lt;&gt;""),1,0)</f>
        <v>1</v>
      </c>
      <c r="AP123" s="1" t="n">
        <f aca="false">IF(B123="",0,IF(COUNTIF('⚖️ Wahrscheinlichkeit'!$J$17:$J$24,R123)&gt;0,1,0))</f>
        <v>0</v>
      </c>
      <c r="AQ123" s="1" t="n">
        <f aca="false">IF(B123="",0,IF(AND(ISNUMBER(S123),COUNTIF('⚖️ Wahrscheinlichkeit'!$B$6:$B$11,S123)&gt;0),1,0))</f>
        <v>0</v>
      </c>
      <c r="AR123" s="1" t="n">
        <f aca="false">IF(B123="",0,IF(AND(COUNT(J123:M123)=4,SUM(J123:M123)&gt;0),1,0))</f>
        <v>0</v>
      </c>
      <c r="AS123" s="1" t="n">
        <f aca="false">IF(B123="",0,IF(AND(AF123&lt;&gt;"",AG123&lt;&gt;""),1,0))</f>
        <v>0</v>
      </c>
      <c r="AT123" s="1" t="n">
        <f aca="false">IF(AND(R123="WON",AS123=1,AR123=1),1,0)</f>
        <v>0</v>
      </c>
      <c r="AU123" s="1" t="n">
        <f aca="false">IF(B123="",0,IF(AD123="Alternative – zählt nicht",0,1))</f>
        <v>0</v>
      </c>
      <c r="AV123" s="1" t="n">
        <f aca="false">IF(B123="",0,IF(COUNTIF($B$6:$B$860,B123)&gt;1,1,0))</f>
        <v>0</v>
      </c>
      <c r="AX123" s="269" t="str">
        <f aca="false">IF(AY123=1,DATE(YEAR(O123),MONTH(O123),1),"")</f>
        <v/>
      </c>
      <c r="AY123" s="1" t="n">
        <f aca="false">IF(B123="",0,IF(AND(ISNUMBER(O123),ISNUMBER(P123)),IF(P123&gt;=O123,1,0),0))</f>
        <v>0</v>
      </c>
      <c r="AZ123" s="1" t="n">
        <f aca="false">IF(ISNUMBER(Y123),Y123,0)</f>
        <v>0</v>
      </c>
      <c r="BA123" s="1" t="str">
        <f aca="false">IF(B123="","",IF(AND(R123="WON",AS123=0),"⛔ Beleg fehlt · ","")&amp;IF(AND(R123="WON",AR123=0),"⛔ Einstand fehlt · ","")&amp;IF(AND(R123&lt;&gt;"WON",AR123=0),"○ Einstand offen · ","")&amp;IF(AND(R123="WON",AB123=""),"⛔ Vertragsart fehlt · ","")&amp;IF(AND(ISNUMBER(O123),ISNUMBER(P123)),IF(P123&lt;O123,"⚠ Ende vor Start · ",""),"")&amp;IF(AND(R123="WON",AY123=0,NOT(AND(ISNUMBER(O123),ISNUMBER(P123)))),"⛔ Zeitraum fehlt · ","")&amp;IF(AND(R123&lt;&gt;"WON",AY123=0,NOT(AND(ISNUMBER(O123),ISNUMBER(P123)))),"○ Zeitraum offen · ",""))</f>
        <v/>
      </c>
      <c r="BB123" s="1" t="str">
        <f aca="false">IF(B123="","",IF(AND(R123="WON",AS123=0),"⛔ Nachweis fehlt",IF(AND(ISNUMBER(O123),ISNUMBER(P123),P123&lt;O123),"⚠ Ende vor Start",IF(AND(R123="WON",AY123=0),"⛔ Zeitraum fehlt",IF(AR123=0,"○ Einstand offen",IF(AY123=0,"○ Zeitraum offen",IF(R123="WON","✅ belegt","✔ erfasst")))))))</f>
        <v/>
      </c>
    </row>
    <row r="124" customFormat="false" ht="15" hidden="false" customHeight="true" outlineLevel="0" collapsed="false">
      <c r="G124" s="1" t="str">
        <f aca="false">IF(B124="","",IF(AY124=1,P124-O124+1,IF(AW124="","",AW124)))</f>
        <v/>
      </c>
      <c r="I124" s="270"/>
      <c r="J124" s="270"/>
      <c r="K124" s="270"/>
      <c r="L124" s="270"/>
      <c r="M124" s="270"/>
      <c r="N124" s="270"/>
      <c r="O124" s="263"/>
      <c r="P124" s="263"/>
      <c r="Q124" s="270" t="str">
        <f aca="false">IF(AND(ISNUMBER(I124),ISNUMBER(S124)),I124*AJ124,IF(OR(I124&lt;&gt;"",S124&lt;&gt;""),"tbd",""))</f>
        <v/>
      </c>
      <c r="S124" s="268"/>
      <c r="Y124" s="275" t="str">
        <f aca="false">IF(ISNUMBER(I124),I124/Netto_Faktor,"")</f>
        <v/>
      </c>
      <c r="Z124" s="275" t="str">
        <f aca="false">IF(B124="","",IF(COUNT(J124:N124)=0,"",SUM(J124:N124)))</f>
        <v/>
      </c>
      <c r="AA124" s="266"/>
      <c r="AB124" s="266"/>
      <c r="AC124" s="266"/>
      <c r="AD124" s="266"/>
      <c r="AE124" s="266"/>
      <c r="AF124" s="266"/>
      <c r="AG124" s="267"/>
      <c r="AH124" s="266" t="str">
        <f aca="false">IF(B124="","",IF(BA124="",IF(R124="WON","✅ belegt &amp; vollständig","✔ vollständig"),LEFT(BA124,LEN(BA124)-3)))</f>
        <v/>
      </c>
      <c r="AJ124" s="268" t="n">
        <f aca="false">IF(ISNUMBER(S124),IFERROR(LOOKUP(IF(S124&lt;=1,S124,S124/100),'⚖️ Wahrscheinlichkeit'!$B$17:$B$21,'⚖️ Wahrscheinlichkeit'!$D$17:$D$21),0),0)</f>
        <v>0</v>
      </c>
      <c r="AK124" s="1" t="str">
        <f aca="false">IF(AND(R124="WON",ISNUMBER(I124)),AL124+(861-ROW())*0.000001,"")</f>
        <v/>
      </c>
      <c r="AL124" s="1" t="n">
        <f aca="false">IFERROR(I124*1,0)</f>
        <v>0</v>
      </c>
      <c r="AM124" s="1" t="n">
        <f aca="false">N(AM123)+IF(AND(R124="WON",B124&lt;&gt;""),1,0)</f>
        <v>12</v>
      </c>
      <c r="AN124" s="1" t="n">
        <f aca="false">N(AN123)+IF(AND(OR(R124="offered",R124="to be offered",R124="on hold"),B124&lt;&gt;""),1,0)</f>
        <v>33</v>
      </c>
      <c r="AO124" s="1" t="n">
        <f aca="false">N(AO123)+IF(AND(OR(R124="follow-up",R124="Evaluation",R124="tbd",R124="In evaluation"),B124&lt;&gt;""),1,0)</f>
        <v>1</v>
      </c>
      <c r="AP124" s="1" t="n">
        <f aca="false">IF(B124="",0,IF(COUNTIF('⚖️ Wahrscheinlichkeit'!$J$17:$J$24,R124)&gt;0,1,0))</f>
        <v>0</v>
      </c>
      <c r="AQ124" s="1" t="n">
        <f aca="false">IF(B124="",0,IF(AND(ISNUMBER(S124),COUNTIF('⚖️ Wahrscheinlichkeit'!$B$6:$B$11,S124)&gt;0),1,0))</f>
        <v>0</v>
      </c>
      <c r="AR124" s="1" t="n">
        <f aca="false">IF(B124="",0,IF(AND(COUNT(J124:M124)=4,SUM(J124:M124)&gt;0),1,0))</f>
        <v>0</v>
      </c>
      <c r="AS124" s="1" t="n">
        <f aca="false">IF(B124="",0,IF(AND(AF124&lt;&gt;"",AG124&lt;&gt;""),1,0))</f>
        <v>0</v>
      </c>
      <c r="AT124" s="1" t="n">
        <f aca="false">IF(AND(R124="WON",AS124=1,AR124=1),1,0)</f>
        <v>0</v>
      </c>
      <c r="AU124" s="1" t="n">
        <f aca="false">IF(B124="",0,IF(AD124="Alternative – zählt nicht",0,1))</f>
        <v>0</v>
      </c>
      <c r="AV124" s="1" t="n">
        <f aca="false">IF(B124="",0,IF(COUNTIF($B$6:$B$860,B124)&gt;1,1,0))</f>
        <v>0</v>
      </c>
      <c r="AX124" s="269" t="str">
        <f aca="false">IF(AY124=1,DATE(YEAR(O124),MONTH(O124),1),"")</f>
        <v/>
      </c>
      <c r="AY124" s="1" t="n">
        <f aca="false">IF(B124="",0,IF(AND(ISNUMBER(O124),ISNUMBER(P124)),IF(P124&gt;=O124,1,0),0))</f>
        <v>0</v>
      </c>
      <c r="AZ124" s="1" t="n">
        <f aca="false">IF(ISNUMBER(Y124),Y124,0)</f>
        <v>0</v>
      </c>
      <c r="BA124" s="1" t="str">
        <f aca="false">IF(B124="","",IF(AND(R124="WON",AS124=0),"⛔ Beleg fehlt · ","")&amp;IF(AND(R124="WON",AR124=0),"⛔ Einstand fehlt · ","")&amp;IF(AND(R124&lt;&gt;"WON",AR124=0),"○ Einstand offen · ","")&amp;IF(AND(R124="WON",AB124=""),"⛔ Vertragsart fehlt · ","")&amp;IF(AND(ISNUMBER(O124),ISNUMBER(P124)),IF(P124&lt;O124,"⚠ Ende vor Start · ",""),"")&amp;IF(AND(R124="WON",AY124=0,NOT(AND(ISNUMBER(O124),ISNUMBER(P124)))),"⛔ Zeitraum fehlt · ","")&amp;IF(AND(R124&lt;&gt;"WON",AY124=0,NOT(AND(ISNUMBER(O124),ISNUMBER(P124)))),"○ Zeitraum offen · ",""))</f>
        <v/>
      </c>
      <c r="BB124" s="1" t="str">
        <f aca="false">IF(B124="","",IF(AND(R124="WON",AS124=0),"⛔ Nachweis fehlt",IF(AND(ISNUMBER(O124),ISNUMBER(P124),P124&lt;O124),"⚠ Ende vor Start",IF(AND(R124="WON",AY124=0),"⛔ Zeitraum fehlt",IF(AR124=0,"○ Einstand offen",IF(AY124=0,"○ Zeitraum offen",IF(R124="WON","✅ belegt","✔ erfasst")))))))</f>
        <v/>
      </c>
    </row>
    <row r="125" customFormat="false" ht="15" hidden="false" customHeight="true" outlineLevel="0" collapsed="false">
      <c r="G125" s="1" t="str">
        <f aca="false">IF(B125="","",IF(AY125=1,P125-O125+1,IF(AW125="","",AW125)))</f>
        <v/>
      </c>
      <c r="I125" s="270"/>
      <c r="J125" s="270"/>
      <c r="K125" s="270"/>
      <c r="L125" s="270"/>
      <c r="M125" s="270"/>
      <c r="N125" s="270"/>
      <c r="O125" s="263"/>
      <c r="P125" s="263"/>
      <c r="Q125" s="270" t="str">
        <f aca="false">IF(AND(ISNUMBER(I125),ISNUMBER(S125)),I125*AJ125,IF(OR(I125&lt;&gt;"",S125&lt;&gt;""),"tbd",""))</f>
        <v/>
      </c>
      <c r="S125" s="268"/>
      <c r="Y125" s="275" t="str">
        <f aca="false">IF(ISNUMBER(I125),I125/Netto_Faktor,"")</f>
        <v/>
      </c>
      <c r="Z125" s="275" t="str">
        <f aca="false">IF(B125="","",IF(COUNT(J125:N125)=0,"",SUM(J125:N125)))</f>
        <v/>
      </c>
      <c r="AA125" s="266"/>
      <c r="AB125" s="266"/>
      <c r="AC125" s="266"/>
      <c r="AD125" s="266"/>
      <c r="AE125" s="266"/>
      <c r="AF125" s="266"/>
      <c r="AG125" s="267"/>
      <c r="AH125" s="266" t="str">
        <f aca="false">IF(B125="","",IF(BA125="",IF(R125="WON","✅ belegt &amp; vollständig","✔ vollständig"),LEFT(BA125,LEN(BA125)-3)))</f>
        <v/>
      </c>
      <c r="AJ125" s="268" t="n">
        <f aca="false">IF(ISNUMBER(S125),IFERROR(LOOKUP(IF(S125&lt;=1,S125,S125/100),'⚖️ Wahrscheinlichkeit'!$B$17:$B$21,'⚖️ Wahrscheinlichkeit'!$D$17:$D$21),0),0)</f>
        <v>0</v>
      </c>
      <c r="AK125" s="1" t="str">
        <f aca="false">IF(AND(R125="WON",ISNUMBER(I125)),AL125+(861-ROW())*0.000001,"")</f>
        <v/>
      </c>
      <c r="AL125" s="1" t="n">
        <f aca="false">IFERROR(I125*1,0)</f>
        <v>0</v>
      </c>
      <c r="AM125" s="1" t="n">
        <f aca="false">N(AM124)+IF(AND(R125="WON",B125&lt;&gt;""),1,0)</f>
        <v>12</v>
      </c>
      <c r="AN125" s="1" t="n">
        <f aca="false">N(AN124)+IF(AND(OR(R125="offered",R125="to be offered",R125="on hold"),B125&lt;&gt;""),1,0)</f>
        <v>33</v>
      </c>
      <c r="AO125" s="1" t="n">
        <f aca="false">N(AO124)+IF(AND(OR(R125="follow-up",R125="Evaluation",R125="tbd",R125="In evaluation"),B125&lt;&gt;""),1,0)</f>
        <v>1</v>
      </c>
      <c r="AP125" s="1" t="n">
        <f aca="false">IF(B125="",0,IF(COUNTIF('⚖️ Wahrscheinlichkeit'!$J$17:$J$24,R125)&gt;0,1,0))</f>
        <v>0</v>
      </c>
      <c r="AQ125" s="1" t="n">
        <f aca="false">IF(B125="",0,IF(AND(ISNUMBER(S125),COUNTIF('⚖️ Wahrscheinlichkeit'!$B$6:$B$11,S125)&gt;0),1,0))</f>
        <v>0</v>
      </c>
      <c r="AR125" s="1" t="n">
        <f aca="false">IF(B125="",0,IF(AND(COUNT(J125:M125)=4,SUM(J125:M125)&gt;0),1,0))</f>
        <v>0</v>
      </c>
      <c r="AS125" s="1" t="n">
        <f aca="false">IF(B125="",0,IF(AND(AF125&lt;&gt;"",AG125&lt;&gt;""),1,0))</f>
        <v>0</v>
      </c>
      <c r="AT125" s="1" t="n">
        <f aca="false">IF(AND(R125="WON",AS125=1,AR125=1),1,0)</f>
        <v>0</v>
      </c>
      <c r="AU125" s="1" t="n">
        <f aca="false">IF(B125="",0,IF(AD125="Alternative – zählt nicht",0,1))</f>
        <v>0</v>
      </c>
      <c r="AV125" s="1" t="n">
        <f aca="false">IF(B125="",0,IF(COUNTIF($B$6:$B$860,B125)&gt;1,1,0))</f>
        <v>0</v>
      </c>
      <c r="AX125" s="269" t="str">
        <f aca="false">IF(AY125=1,DATE(YEAR(O125),MONTH(O125),1),"")</f>
        <v/>
      </c>
      <c r="AY125" s="1" t="n">
        <f aca="false">IF(B125="",0,IF(AND(ISNUMBER(O125),ISNUMBER(P125)),IF(P125&gt;=O125,1,0),0))</f>
        <v>0</v>
      </c>
      <c r="AZ125" s="1" t="n">
        <f aca="false">IF(ISNUMBER(Y125),Y125,0)</f>
        <v>0</v>
      </c>
      <c r="BA125" s="1" t="str">
        <f aca="false">IF(B125="","",IF(AND(R125="WON",AS125=0),"⛔ Beleg fehlt · ","")&amp;IF(AND(R125="WON",AR125=0),"⛔ Einstand fehlt · ","")&amp;IF(AND(R125&lt;&gt;"WON",AR125=0),"○ Einstand offen · ","")&amp;IF(AND(R125="WON",AB125=""),"⛔ Vertragsart fehlt · ","")&amp;IF(AND(ISNUMBER(O125),ISNUMBER(P125)),IF(P125&lt;O125,"⚠ Ende vor Start · ",""),"")&amp;IF(AND(R125="WON",AY125=0,NOT(AND(ISNUMBER(O125),ISNUMBER(P125)))),"⛔ Zeitraum fehlt · ","")&amp;IF(AND(R125&lt;&gt;"WON",AY125=0,NOT(AND(ISNUMBER(O125),ISNUMBER(P125)))),"○ Zeitraum offen · ",""))</f>
        <v/>
      </c>
      <c r="BB125" s="1" t="str">
        <f aca="false">IF(B125="","",IF(AND(R125="WON",AS125=0),"⛔ Nachweis fehlt",IF(AND(ISNUMBER(O125),ISNUMBER(P125),P125&lt;O125),"⚠ Ende vor Start",IF(AND(R125="WON",AY125=0),"⛔ Zeitraum fehlt",IF(AR125=0,"○ Einstand offen",IF(AY125=0,"○ Zeitraum offen",IF(R125="WON","✅ belegt","✔ erfasst")))))))</f>
        <v/>
      </c>
    </row>
    <row r="126" customFormat="false" ht="15" hidden="false" customHeight="true" outlineLevel="0" collapsed="false">
      <c r="G126" s="1" t="str">
        <f aca="false">IF(B126="","",IF(AY126=1,P126-O126+1,IF(AW126="","",AW126)))</f>
        <v/>
      </c>
      <c r="I126" s="270"/>
      <c r="J126" s="270"/>
      <c r="K126" s="270"/>
      <c r="L126" s="270"/>
      <c r="M126" s="270"/>
      <c r="N126" s="270"/>
      <c r="O126" s="263"/>
      <c r="P126" s="263"/>
      <c r="Q126" s="270" t="str">
        <f aca="false">IF(AND(ISNUMBER(I126),ISNUMBER(S126)),I126*AJ126,IF(OR(I126&lt;&gt;"",S126&lt;&gt;""),"tbd",""))</f>
        <v/>
      </c>
      <c r="S126" s="268"/>
      <c r="Y126" s="275" t="str">
        <f aca="false">IF(ISNUMBER(I126),I126/Netto_Faktor,"")</f>
        <v/>
      </c>
      <c r="Z126" s="275" t="str">
        <f aca="false">IF(B126="","",IF(COUNT(J126:N126)=0,"",SUM(J126:N126)))</f>
        <v/>
      </c>
      <c r="AA126" s="266"/>
      <c r="AB126" s="266"/>
      <c r="AC126" s="266"/>
      <c r="AD126" s="266"/>
      <c r="AE126" s="266"/>
      <c r="AF126" s="266"/>
      <c r="AG126" s="267"/>
      <c r="AH126" s="266" t="str">
        <f aca="false">IF(B126="","",IF(BA126="",IF(R126="WON","✅ belegt &amp; vollständig","✔ vollständig"),LEFT(BA126,LEN(BA126)-3)))</f>
        <v/>
      </c>
      <c r="AJ126" s="268" t="n">
        <f aca="false">IF(ISNUMBER(S126),IFERROR(LOOKUP(IF(S126&lt;=1,S126,S126/100),'⚖️ Wahrscheinlichkeit'!$B$17:$B$21,'⚖️ Wahrscheinlichkeit'!$D$17:$D$21),0),0)</f>
        <v>0</v>
      </c>
      <c r="AK126" s="1" t="str">
        <f aca="false">IF(AND(R126="WON",ISNUMBER(I126)),AL126+(861-ROW())*0.000001,"")</f>
        <v/>
      </c>
      <c r="AL126" s="1" t="n">
        <f aca="false">IFERROR(I126*1,0)</f>
        <v>0</v>
      </c>
      <c r="AM126" s="1" t="n">
        <f aca="false">N(AM125)+IF(AND(R126="WON",B126&lt;&gt;""),1,0)</f>
        <v>12</v>
      </c>
      <c r="AN126" s="1" t="n">
        <f aca="false">N(AN125)+IF(AND(OR(R126="offered",R126="to be offered",R126="on hold"),B126&lt;&gt;""),1,0)</f>
        <v>33</v>
      </c>
      <c r="AO126" s="1" t="n">
        <f aca="false">N(AO125)+IF(AND(OR(R126="follow-up",R126="Evaluation",R126="tbd",R126="In evaluation"),B126&lt;&gt;""),1,0)</f>
        <v>1</v>
      </c>
      <c r="AP126" s="1" t="n">
        <f aca="false">IF(B126="",0,IF(COUNTIF('⚖️ Wahrscheinlichkeit'!$J$17:$J$24,R126)&gt;0,1,0))</f>
        <v>0</v>
      </c>
      <c r="AQ126" s="1" t="n">
        <f aca="false">IF(B126="",0,IF(AND(ISNUMBER(S126),COUNTIF('⚖️ Wahrscheinlichkeit'!$B$6:$B$11,S126)&gt;0),1,0))</f>
        <v>0</v>
      </c>
      <c r="AR126" s="1" t="n">
        <f aca="false">IF(B126="",0,IF(AND(COUNT(J126:M126)=4,SUM(J126:M126)&gt;0),1,0))</f>
        <v>0</v>
      </c>
      <c r="AS126" s="1" t="n">
        <f aca="false">IF(B126="",0,IF(AND(AF126&lt;&gt;"",AG126&lt;&gt;""),1,0))</f>
        <v>0</v>
      </c>
      <c r="AT126" s="1" t="n">
        <f aca="false">IF(AND(R126="WON",AS126=1,AR126=1),1,0)</f>
        <v>0</v>
      </c>
      <c r="AU126" s="1" t="n">
        <f aca="false">IF(B126="",0,IF(AD126="Alternative – zählt nicht",0,1))</f>
        <v>0</v>
      </c>
      <c r="AV126" s="1" t="n">
        <f aca="false">IF(B126="",0,IF(COUNTIF($B$6:$B$860,B126)&gt;1,1,0))</f>
        <v>0</v>
      </c>
      <c r="AX126" s="269" t="str">
        <f aca="false">IF(AY126=1,DATE(YEAR(O126),MONTH(O126),1),"")</f>
        <v/>
      </c>
      <c r="AY126" s="1" t="n">
        <f aca="false">IF(B126="",0,IF(AND(ISNUMBER(O126),ISNUMBER(P126)),IF(P126&gt;=O126,1,0),0))</f>
        <v>0</v>
      </c>
      <c r="AZ126" s="1" t="n">
        <f aca="false">IF(ISNUMBER(Y126),Y126,0)</f>
        <v>0</v>
      </c>
      <c r="BA126" s="1" t="str">
        <f aca="false">IF(B126="","",IF(AND(R126="WON",AS126=0),"⛔ Beleg fehlt · ","")&amp;IF(AND(R126="WON",AR126=0),"⛔ Einstand fehlt · ","")&amp;IF(AND(R126&lt;&gt;"WON",AR126=0),"○ Einstand offen · ","")&amp;IF(AND(R126="WON",AB126=""),"⛔ Vertragsart fehlt · ","")&amp;IF(AND(ISNUMBER(O126),ISNUMBER(P126)),IF(P126&lt;O126,"⚠ Ende vor Start · ",""),"")&amp;IF(AND(R126="WON",AY126=0,NOT(AND(ISNUMBER(O126),ISNUMBER(P126)))),"⛔ Zeitraum fehlt · ","")&amp;IF(AND(R126&lt;&gt;"WON",AY126=0,NOT(AND(ISNUMBER(O126),ISNUMBER(P126)))),"○ Zeitraum offen · ",""))</f>
        <v/>
      </c>
      <c r="BB126" s="1" t="str">
        <f aca="false">IF(B126="","",IF(AND(R126="WON",AS126=0),"⛔ Nachweis fehlt",IF(AND(ISNUMBER(O126),ISNUMBER(P126),P126&lt;O126),"⚠ Ende vor Start",IF(AND(R126="WON",AY126=0),"⛔ Zeitraum fehlt",IF(AR126=0,"○ Einstand offen",IF(AY126=0,"○ Zeitraum offen",IF(R126="WON","✅ belegt","✔ erfasst")))))))</f>
        <v/>
      </c>
    </row>
    <row r="127" customFormat="false" ht="15" hidden="false" customHeight="true" outlineLevel="0" collapsed="false">
      <c r="G127" s="1" t="str">
        <f aca="false">IF(B127="","",IF(AY127=1,P127-O127+1,IF(AW127="","",AW127)))</f>
        <v/>
      </c>
      <c r="I127" s="270"/>
      <c r="J127" s="270"/>
      <c r="K127" s="270"/>
      <c r="L127" s="270"/>
      <c r="M127" s="270"/>
      <c r="N127" s="270"/>
      <c r="O127" s="263"/>
      <c r="P127" s="263"/>
      <c r="Q127" s="270" t="str">
        <f aca="false">IF(AND(ISNUMBER(I127),ISNUMBER(S127)),I127*AJ127,IF(OR(I127&lt;&gt;"",S127&lt;&gt;""),"tbd",""))</f>
        <v/>
      </c>
      <c r="S127" s="268"/>
      <c r="Y127" s="275" t="str">
        <f aca="false">IF(ISNUMBER(I127),I127/Netto_Faktor,"")</f>
        <v/>
      </c>
      <c r="Z127" s="275" t="str">
        <f aca="false">IF(B127="","",IF(COUNT(J127:N127)=0,"",SUM(J127:N127)))</f>
        <v/>
      </c>
      <c r="AA127" s="266"/>
      <c r="AB127" s="266"/>
      <c r="AC127" s="266"/>
      <c r="AD127" s="266"/>
      <c r="AE127" s="266"/>
      <c r="AF127" s="266"/>
      <c r="AG127" s="267"/>
      <c r="AH127" s="266" t="str">
        <f aca="false">IF(B127="","",IF(BA127="",IF(R127="WON","✅ belegt &amp; vollständig","✔ vollständig"),LEFT(BA127,LEN(BA127)-3)))</f>
        <v/>
      </c>
      <c r="AJ127" s="268" t="n">
        <f aca="false">IF(ISNUMBER(S127),IFERROR(LOOKUP(IF(S127&lt;=1,S127,S127/100),'⚖️ Wahrscheinlichkeit'!$B$17:$B$21,'⚖️ Wahrscheinlichkeit'!$D$17:$D$21),0),0)</f>
        <v>0</v>
      </c>
      <c r="AK127" s="1" t="str">
        <f aca="false">IF(AND(R127="WON",ISNUMBER(I127)),AL127+(861-ROW())*0.000001,"")</f>
        <v/>
      </c>
      <c r="AL127" s="1" t="n">
        <f aca="false">IFERROR(I127*1,0)</f>
        <v>0</v>
      </c>
      <c r="AM127" s="1" t="n">
        <f aca="false">N(AM126)+IF(AND(R127="WON",B127&lt;&gt;""),1,0)</f>
        <v>12</v>
      </c>
      <c r="AN127" s="1" t="n">
        <f aca="false">N(AN126)+IF(AND(OR(R127="offered",R127="to be offered",R127="on hold"),B127&lt;&gt;""),1,0)</f>
        <v>33</v>
      </c>
      <c r="AO127" s="1" t="n">
        <f aca="false">N(AO126)+IF(AND(OR(R127="follow-up",R127="Evaluation",R127="tbd",R127="In evaluation"),B127&lt;&gt;""),1,0)</f>
        <v>1</v>
      </c>
      <c r="AP127" s="1" t="n">
        <f aca="false">IF(B127="",0,IF(COUNTIF('⚖️ Wahrscheinlichkeit'!$J$17:$J$24,R127)&gt;0,1,0))</f>
        <v>0</v>
      </c>
      <c r="AQ127" s="1" t="n">
        <f aca="false">IF(B127="",0,IF(AND(ISNUMBER(S127),COUNTIF('⚖️ Wahrscheinlichkeit'!$B$6:$B$11,S127)&gt;0),1,0))</f>
        <v>0</v>
      </c>
      <c r="AR127" s="1" t="n">
        <f aca="false">IF(B127="",0,IF(AND(COUNT(J127:M127)=4,SUM(J127:M127)&gt;0),1,0))</f>
        <v>0</v>
      </c>
      <c r="AS127" s="1" t="n">
        <f aca="false">IF(B127="",0,IF(AND(AF127&lt;&gt;"",AG127&lt;&gt;""),1,0))</f>
        <v>0</v>
      </c>
      <c r="AT127" s="1" t="n">
        <f aca="false">IF(AND(R127="WON",AS127=1,AR127=1),1,0)</f>
        <v>0</v>
      </c>
      <c r="AU127" s="1" t="n">
        <f aca="false">IF(B127="",0,IF(AD127="Alternative – zählt nicht",0,1))</f>
        <v>0</v>
      </c>
      <c r="AV127" s="1" t="n">
        <f aca="false">IF(B127="",0,IF(COUNTIF($B$6:$B$860,B127)&gt;1,1,0))</f>
        <v>0</v>
      </c>
      <c r="AX127" s="269" t="str">
        <f aca="false">IF(AY127=1,DATE(YEAR(O127),MONTH(O127),1),"")</f>
        <v/>
      </c>
      <c r="AY127" s="1" t="n">
        <f aca="false">IF(B127="",0,IF(AND(ISNUMBER(O127),ISNUMBER(P127)),IF(P127&gt;=O127,1,0),0))</f>
        <v>0</v>
      </c>
      <c r="AZ127" s="1" t="n">
        <f aca="false">IF(ISNUMBER(Y127),Y127,0)</f>
        <v>0</v>
      </c>
      <c r="BA127" s="1" t="str">
        <f aca="false">IF(B127="","",IF(AND(R127="WON",AS127=0),"⛔ Beleg fehlt · ","")&amp;IF(AND(R127="WON",AR127=0),"⛔ Einstand fehlt · ","")&amp;IF(AND(R127&lt;&gt;"WON",AR127=0),"○ Einstand offen · ","")&amp;IF(AND(R127="WON",AB127=""),"⛔ Vertragsart fehlt · ","")&amp;IF(AND(ISNUMBER(O127),ISNUMBER(P127)),IF(P127&lt;O127,"⚠ Ende vor Start · ",""),"")&amp;IF(AND(R127="WON",AY127=0,NOT(AND(ISNUMBER(O127),ISNUMBER(P127)))),"⛔ Zeitraum fehlt · ","")&amp;IF(AND(R127&lt;&gt;"WON",AY127=0,NOT(AND(ISNUMBER(O127),ISNUMBER(P127)))),"○ Zeitraum offen · ",""))</f>
        <v/>
      </c>
      <c r="BB127" s="1" t="str">
        <f aca="false">IF(B127="","",IF(AND(R127="WON",AS127=0),"⛔ Nachweis fehlt",IF(AND(ISNUMBER(O127),ISNUMBER(P127),P127&lt;O127),"⚠ Ende vor Start",IF(AND(R127="WON",AY127=0),"⛔ Zeitraum fehlt",IF(AR127=0,"○ Einstand offen",IF(AY127=0,"○ Zeitraum offen",IF(R127="WON","✅ belegt","✔ erfasst")))))))</f>
        <v/>
      </c>
    </row>
    <row r="128" customFormat="false" ht="15" hidden="false" customHeight="true" outlineLevel="0" collapsed="false">
      <c r="G128" s="1" t="str">
        <f aca="false">IF(B128="","",IF(AY128=1,P128-O128+1,IF(AW128="","",AW128)))</f>
        <v/>
      </c>
      <c r="I128" s="270"/>
      <c r="J128" s="270"/>
      <c r="K128" s="270"/>
      <c r="L128" s="270"/>
      <c r="M128" s="270"/>
      <c r="N128" s="270"/>
      <c r="O128" s="263"/>
      <c r="P128" s="263"/>
      <c r="Q128" s="270" t="str">
        <f aca="false">IF(AND(ISNUMBER(I128),ISNUMBER(S128)),I128*AJ128,IF(OR(I128&lt;&gt;"",S128&lt;&gt;""),"tbd",""))</f>
        <v/>
      </c>
      <c r="S128" s="268"/>
      <c r="Y128" s="275" t="str">
        <f aca="false">IF(ISNUMBER(I128),I128/Netto_Faktor,"")</f>
        <v/>
      </c>
      <c r="Z128" s="275" t="str">
        <f aca="false">IF(B128="","",IF(COUNT(J128:N128)=0,"",SUM(J128:N128)))</f>
        <v/>
      </c>
      <c r="AA128" s="266"/>
      <c r="AB128" s="266"/>
      <c r="AC128" s="266"/>
      <c r="AD128" s="266"/>
      <c r="AE128" s="266"/>
      <c r="AF128" s="266"/>
      <c r="AG128" s="267"/>
      <c r="AH128" s="266" t="str">
        <f aca="false">IF(B128="","",IF(BA128="",IF(R128="WON","✅ belegt &amp; vollständig","✔ vollständig"),LEFT(BA128,LEN(BA128)-3)))</f>
        <v/>
      </c>
      <c r="AJ128" s="268" t="n">
        <f aca="false">IF(ISNUMBER(S128),IFERROR(LOOKUP(IF(S128&lt;=1,S128,S128/100),'⚖️ Wahrscheinlichkeit'!$B$17:$B$21,'⚖️ Wahrscheinlichkeit'!$D$17:$D$21),0),0)</f>
        <v>0</v>
      </c>
      <c r="AK128" s="1" t="str">
        <f aca="false">IF(AND(R128="WON",ISNUMBER(I128)),AL128+(861-ROW())*0.000001,"")</f>
        <v/>
      </c>
      <c r="AL128" s="1" t="n">
        <f aca="false">IFERROR(I128*1,0)</f>
        <v>0</v>
      </c>
      <c r="AM128" s="1" t="n">
        <f aca="false">N(AM127)+IF(AND(R128="WON",B128&lt;&gt;""),1,0)</f>
        <v>12</v>
      </c>
      <c r="AN128" s="1" t="n">
        <f aca="false">N(AN127)+IF(AND(OR(R128="offered",R128="to be offered",R128="on hold"),B128&lt;&gt;""),1,0)</f>
        <v>33</v>
      </c>
      <c r="AO128" s="1" t="n">
        <f aca="false">N(AO127)+IF(AND(OR(R128="follow-up",R128="Evaluation",R128="tbd",R128="In evaluation"),B128&lt;&gt;""),1,0)</f>
        <v>1</v>
      </c>
      <c r="AP128" s="1" t="n">
        <f aca="false">IF(B128="",0,IF(COUNTIF('⚖️ Wahrscheinlichkeit'!$J$17:$J$24,R128)&gt;0,1,0))</f>
        <v>0</v>
      </c>
      <c r="AQ128" s="1" t="n">
        <f aca="false">IF(B128="",0,IF(AND(ISNUMBER(S128),COUNTIF('⚖️ Wahrscheinlichkeit'!$B$6:$B$11,S128)&gt;0),1,0))</f>
        <v>0</v>
      </c>
      <c r="AR128" s="1" t="n">
        <f aca="false">IF(B128="",0,IF(AND(COUNT(J128:M128)=4,SUM(J128:M128)&gt;0),1,0))</f>
        <v>0</v>
      </c>
      <c r="AS128" s="1" t="n">
        <f aca="false">IF(B128="",0,IF(AND(AF128&lt;&gt;"",AG128&lt;&gt;""),1,0))</f>
        <v>0</v>
      </c>
      <c r="AT128" s="1" t="n">
        <f aca="false">IF(AND(R128="WON",AS128=1,AR128=1),1,0)</f>
        <v>0</v>
      </c>
      <c r="AU128" s="1" t="n">
        <f aca="false">IF(B128="",0,IF(AD128="Alternative – zählt nicht",0,1))</f>
        <v>0</v>
      </c>
      <c r="AV128" s="1" t="n">
        <f aca="false">IF(B128="",0,IF(COUNTIF($B$6:$B$860,B128)&gt;1,1,0))</f>
        <v>0</v>
      </c>
      <c r="AX128" s="269" t="str">
        <f aca="false">IF(AY128=1,DATE(YEAR(O128),MONTH(O128),1),"")</f>
        <v/>
      </c>
      <c r="AY128" s="1" t="n">
        <f aca="false">IF(B128="",0,IF(AND(ISNUMBER(O128),ISNUMBER(P128)),IF(P128&gt;=O128,1,0),0))</f>
        <v>0</v>
      </c>
      <c r="AZ128" s="1" t="n">
        <f aca="false">IF(ISNUMBER(Y128),Y128,0)</f>
        <v>0</v>
      </c>
      <c r="BA128" s="1" t="str">
        <f aca="false">IF(B128="","",IF(AND(R128="WON",AS128=0),"⛔ Beleg fehlt · ","")&amp;IF(AND(R128="WON",AR128=0),"⛔ Einstand fehlt · ","")&amp;IF(AND(R128&lt;&gt;"WON",AR128=0),"○ Einstand offen · ","")&amp;IF(AND(R128="WON",AB128=""),"⛔ Vertragsart fehlt · ","")&amp;IF(AND(ISNUMBER(O128),ISNUMBER(P128)),IF(P128&lt;O128,"⚠ Ende vor Start · ",""),"")&amp;IF(AND(R128="WON",AY128=0,NOT(AND(ISNUMBER(O128),ISNUMBER(P128)))),"⛔ Zeitraum fehlt · ","")&amp;IF(AND(R128&lt;&gt;"WON",AY128=0,NOT(AND(ISNUMBER(O128),ISNUMBER(P128)))),"○ Zeitraum offen · ",""))</f>
        <v/>
      </c>
      <c r="BB128" s="1" t="str">
        <f aca="false">IF(B128="","",IF(AND(R128="WON",AS128=0),"⛔ Nachweis fehlt",IF(AND(ISNUMBER(O128),ISNUMBER(P128),P128&lt;O128),"⚠ Ende vor Start",IF(AND(R128="WON",AY128=0),"⛔ Zeitraum fehlt",IF(AR128=0,"○ Einstand offen",IF(AY128=0,"○ Zeitraum offen",IF(R128="WON","✅ belegt","✔ erfasst")))))))</f>
        <v/>
      </c>
    </row>
    <row r="129" customFormat="false" ht="15" hidden="false" customHeight="true" outlineLevel="0" collapsed="false">
      <c r="G129" s="1" t="str">
        <f aca="false">IF(B129="","",IF(AY129=1,P129-O129+1,IF(AW129="","",AW129)))</f>
        <v/>
      </c>
      <c r="I129" s="270"/>
      <c r="J129" s="270"/>
      <c r="K129" s="270"/>
      <c r="L129" s="270"/>
      <c r="M129" s="270"/>
      <c r="N129" s="270"/>
      <c r="O129" s="263"/>
      <c r="P129" s="263"/>
      <c r="Q129" s="270" t="str">
        <f aca="false">IF(AND(ISNUMBER(I129),ISNUMBER(S129)),I129*AJ129,IF(OR(I129&lt;&gt;"",S129&lt;&gt;""),"tbd",""))</f>
        <v/>
      </c>
      <c r="S129" s="268"/>
      <c r="Y129" s="275" t="str">
        <f aca="false">IF(ISNUMBER(I129),I129/Netto_Faktor,"")</f>
        <v/>
      </c>
      <c r="Z129" s="275" t="str">
        <f aca="false">IF(B129="","",IF(COUNT(J129:N129)=0,"",SUM(J129:N129)))</f>
        <v/>
      </c>
      <c r="AA129" s="266"/>
      <c r="AB129" s="266"/>
      <c r="AC129" s="266"/>
      <c r="AD129" s="266"/>
      <c r="AE129" s="266"/>
      <c r="AF129" s="266"/>
      <c r="AG129" s="267"/>
      <c r="AH129" s="266" t="str">
        <f aca="false">IF(B129="","",IF(BA129="",IF(R129="WON","✅ belegt &amp; vollständig","✔ vollständig"),LEFT(BA129,LEN(BA129)-3)))</f>
        <v/>
      </c>
      <c r="AJ129" s="268" t="n">
        <f aca="false">IF(ISNUMBER(S129),IFERROR(LOOKUP(IF(S129&lt;=1,S129,S129/100),'⚖️ Wahrscheinlichkeit'!$B$17:$B$21,'⚖️ Wahrscheinlichkeit'!$D$17:$D$21),0),0)</f>
        <v>0</v>
      </c>
      <c r="AK129" s="1" t="str">
        <f aca="false">IF(AND(R129="WON",ISNUMBER(I129)),AL129+(861-ROW())*0.000001,"")</f>
        <v/>
      </c>
      <c r="AL129" s="1" t="n">
        <f aca="false">IFERROR(I129*1,0)</f>
        <v>0</v>
      </c>
      <c r="AM129" s="1" t="n">
        <f aca="false">N(AM128)+IF(AND(R129="WON",B129&lt;&gt;""),1,0)</f>
        <v>12</v>
      </c>
      <c r="AN129" s="1" t="n">
        <f aca="false">N(AN128)+IF(AND(OR(R129="offered",R129="to be offered",R129="on hold"),B129&lt;&gt;""),1,0)</f>
        <v>33</v>
      </c>
      <c r="AO129" s="1" t="n">
        <f aca="false">N(AO128)+IF(AND(OR(R129="follow-up",R129="Evaluation",R129="tbd",R129="In evaluation"),B129&lt;&gt;""),1,0)</f>
        <v>1</v>
      </c>
      <c r="AP129" s="1" t="n">
        <f aca="false">IF(B129="",0,IF(COUNTIF('⚖️ Wahrscheinlichkeit'!$J$17:$J$24,R129)&gt;0,1,0))</f>
        <v>0</v>
      </c>
      <c r="AQ129" s="1" t="n">
        <f aca="false">IF(B129="",0,IF(AND(ISNUMBER(S129),COUNTIF('⚖️ Wahrscheinlichkeit'!$B$6:$B$11,S129)&gt;0),1,0))</f>
        <v>0</v>
      </c>
      <c r="AR129" s="1" t="n">
        <f aca="false">IF(B129="",0,IF(AND(COUNT(J129:M129)=4,SUM(J129:M129)&gt;0),1,0))</f>
        <v>0</v>
      </c>
      <c r="AS129" s="1" t="n">
        <f aca="false">IF(B129="",0,IF(AND(AF129&lt;&gt;"",AG129&lt;&gt;""),1,0))</f>
        <v>0</v>
      </c>
      <c r="AT129" s="1" t="n">
        <f aca="false">IF(AND(R129="WON",AS129=1,AR129=1),1,0)</f>
        <v>0</v>
      </c>
      <c r="AU129" s="1" t="n">
        <f aca="false">IF(B129="",0,IF(AD129="Alternative – zählt nicht",0,1))</f>
        <v>0</v>
      </c>
      <c r="AV129" s="1" t="n">
        <f aca="false">IF(B129="",0,IF(COUNTIF($B$6:$B$860,B129)&gt;1,1,0))</f>
        <v>0</v>
      </c>
      <c r="AX129" s="269" t="str">
        <f aca="false">IF(AY129=1,DATE(YEAR(O129),MONTH(O129),1),"")</f>
        <v/>
      </c>
      <c r="AY129" s="1" t="n">
        <f aca="false">IF(B129="",0,IF(AND(ISNUMBER(O129),ISNUMBER(P129)),IF(P129&gt;=O129,1,0),0))</f>
        <v>0</v>
      </c>
      <c r="AZ129" s="1" t="n">
        <f aca="false">IF(ISNUMBER(Y129),Y129,0)</f>
        <v>0</v>
      </c>
      <c r="BA129" s="1" t="str">
        <f aca="false">IF(B129="","",IF(AND(R129="WON",AS129=0),"⛔ Beleg fehlt · ","")&amp;IF(AND(R129="WON",AR129=0),"⛔ Einstand fehlt · ","")&amp;IF(AND(R129&lt;&gt;"WON",AR129=0),"○ Einstand offen · ","")&amp;IF(AND(R129="WON",AB129=""),"⛔ Vertragsart fehlt · ","")&amp;IF(AND(ISNUMBER(O129),ISNUMBER(P129)),IF(P129&lt;O129,"⚠ Ende vor Start · ",""),"")&amp;IF(AND(R129="WON",AY129=0,NOT(AND(ISNUMBER(O129),ISNUMBER(P129)))),"⛔ Zeitraum fehlt · ","")&amp;IF(AND(R129&lt;&gt;"WON",AY129=0,NOT(AND(ISNUMBER(O129),ISNUMBER(P129)))),"○ Zeitraum offen · ",""))</f>
        <v/>
      </c>
      <c r="BB129" s="1" t="str">
        <f aca="false">IF(B129="","",IF(AND(R129="WON",AS129=0),"⛔ Nachweis fehlt",IF(AND(ISNUMBER(O129),ISNUMBER(P129),P129&lt;O129),"⚠ Ende vor Start",IF(AND(R129="WON",AY129=0),"⛔ Zeitraum fehlt",IF(AR129=0,"○ Einstand offen",IF(AY129=0,"○ Zeitraum offen",IF(R129="WON","✅ belegt","✔ erfasst")))))))</f>
        <v/>
      </c>
    </row>
    <row r="130" customFormat="false" ht="15" hidden="false" customHeight="true" outlineLevel="0" collapsed="false">
      <c r="G130" s="1" t="str">
        <f aca="false">IF(B130="","",IF(AY130=1,P130-O130+1,IF(AW130="","",AW130)))</f>
        <v/>
      </c>
      <c r="I130" s="270"/>
      <c r="J130" s="270"/>
      <c r="K130" s="270"/>
      <c r="L130" s="270"/>
      <c r="M130" s="270"/>
      <c r="N130" s="270"/>
      <c r="O130" s="263"/>
      <c r="P130" s="263"/>
      <c r="Q130" s="270" t="str">
        <f aca="false">IF(AND(ISNUMBER(I130),ISNUMBER(S130)),I130*AJ130,IF(OR(I130&lt;&gt;"",S130&lt;&gt;""),"tbd",""))</f>
        <v/>
      </c>
      <c r="S130" s="268"/>
      <c r="Y130" s="275" t="str">
        <f aca="false">IF(ISNUMBER(I130),I130/Netto_Faktor,"")</f>
        <v/>
      </c>
      <c r="Z130" s="275" t="str">
        <f aca="false">IF(B130="","",IF(COUNT(J130:N130)=0,"",SUM(J130:N130)))</f>
        <v/>
      </c>
      <c r="AA130" s="266"/>
      <c r="AB130" s="266"/>
      <c r="AC130" s="266"/>
      <c r="AD130" s="266"/>
      <c r="AE130" s="266"/>
      <c r="AF130" s="266"/>
      <c r="AG130" s="267"/>
      <c r="AH130" s="266" t="str">
        <f aca="false">IF(B130="","",IF(BA130="",IF(R130="WON","✅ belegt &amp; vollständig","✔ vollständig"),LEFT(BA130,LEN(BA130)-3)))</f>
        <v/>
      </c>
      <c r="AJ130" s="268" t="n">
        <f aca="false">IF(ISNUMBER(S130),IFERROR(LOOKUP(IF(S130&lt;=1,S130,S130/100),'⚖️ Wahrscheinlichkeit'!$B$17:$B$21,'⚖️ Wahrscheinlichkeit'!$D$17:$D$21),0),0)</f>
        <v>0</v>
      </c>
      <c r="AK130" s="1" t="str">
        <f aca="false">IF(AND(R130="WON",ISNUMBER(I130)),AL130+(861-ROW())*0.000001,"")</f>
        <v/>
      </c>
      <c r="AL130" s="1" t="n">
        <f aca="false">IFERROR(I130*1,0)</f>
        <v>0</v>
      </c>
      <c r="AM130" s="1" t="n">
        <f aca="false">N(AM129)+IF(AND(R130="WON",B130&lt;&gt;""),1,0)</f>
        <v>12</v>
      </c>
      <c r="AN130" s="1" t="n">
        <f aca="false">N(AN129)+IF(AND(OR(R130="offered",R130="to be offered",R130="on hold"),B130&lt;&gt;""),1,0)</f>
        <v>33</v>
      </c>
      <c r="AO130" s="1" t="n">
        <f aca="false">N(AO129)+IF(AND(OR(R130="follow-up",R130="Evaluation",R130="tbd",R130="In evaluation"),B130&lt;&gt;""),1,0)</f>
        <v>1</v>
      </c>
      <c r="AP130" s="1" t="n">
        <f aca="false">IF(B130="",0,IF(COUNTIF('⚖️ Wahrscheinlichkeit'!$J$17:$J$24,R130)&gt;0,1,0))</f>
        <v>0</v>
      </c>
      <c r="AQ130" s="1" t="n">
        <f aca="false">IF(B130="",0,IF(AND(ISNUMBER(S130),COUNTIF('⚖️ Wahrscheinlichkeit'!$B$6:$B$11,S130)&gt;0),1,0))</f>
        <v>0</v>
      </c>
      <c r="AR130" s="1" t="n">
        <f aca="false">IF(B130="",0,IF(AND(COUNT(J130:M130)=4,SUM(J130:M130)&gt;0),1,0))</f>
        <v>0</v>
      </c>
      <c r="AS130" s="1" t="n">
        <f aca="false">IF(B130="",0,IF(AND(AF130&lt;&gt;"",AG130&lt;&gt;""),1,0))</f>
        <v>0</v>
      </c>
      <c r="AT130" s="1" t="n">
        <f aca="false">IF(AND(R130="WON",AS130=1,AR130=1),1,0)</f>
        <v>0</v>
      </c>
      <c r="AU130" s="1" t="n">
        <f aca="false">IF(B130="",0,IF(AD130="Alternative – zählt nicht",0,1))</f>
        <v>0</v>
      </c>
      <c r="AV130" s="1" t="n">
        <f aca="false">IF(B130="",0,IF(COUNTIF($B$6:$B$860,B130)&gt;1,1,0))</f>
        <v>0</v>
      </c>
      <c r="AX130" s="269" t="str">
        <f aca="false">IF(AY130=1,DATE(YEAR(O130),MONTH(O130),1),"")</f>
        <v/>
      </c>
      <c r="AY130" s="1" t="n">
        <f aca="false">IF(B130="",0,IF(AND(ISNUMBER(O130),ISNUMBER(P130)),IF(P130&gt;=O130,1,0),0))</f>
        <v>0</v>
      </c>
      <c r="AZ130" s="1" t="n">
        <f aca="false">IF(ISNUMBER(Y130),Y130,0)</f>
        <v>0</v>
      </c>
      <c r="BA130" s="1" t="str">
        <f aca="false">IF(B130="","",IF(AND(R130="WON",AS130=0),"⛔ Beleg fehlt · ","")&amp;IF(AND(R130="WON",AR130=0),"⛔ Einstand fehlt · ","")&amp;IF(AND(R130&lt;&gt;"WON",AR130=0),"○ Einstand offen · ","")&amp;IF(AND(R130="WON",AB130=""),"⛔ Vertragsart fehlt · ","")&amp;IF(AND(ISNUMBER(O130),ISNUMBER(P130)),IF(P130&lt;O130,"⚠ Ende vor Start · ",""),"")&amp;IF(AND(R130="WON",AY130=0,NOT(AND(ISNUMBER(O130),ISNUMBER(P130)))),"⛔ Zeitraum fehlt · ","")&amp;IF(AND(R130&lt;&gt;"WON",AY130=0,NOT(AND(ISNUMBER(O130),ISNUMBER(P130)))),"○ Zeitraum offen · ",""))</f>
        <v/>
      </c>
      <c r="BB130" s="1" t="str">
        <f aca="false">IF(B130="","",IF(AND(R130="WON",AS130=0),"⛔ Nachweis fehlt",IF(AND(ISNUMBER(O130),ISNUMBER(P130),P130&lt;O130),"⚠ Ende vor Start",IF(AND(R130="WON",AY130=0),"⛔ Zeitraum fehlt",IF(AR130=0,"○ Einstand offen",IF(AY130=0,"○ Zeitraum offen",IF(R130="WON","✅ belegt","✔ erfasst")))))))</f>
        <v/>
      </c>
    </row>
    <row r="131" customFormat="false" ht="15" hidden="false" customHeight="true" outlineLevel="0" collapsed="false">
      <c r="G131" s="1" t="str">
        <f aca="false">IF(B131="","",IF(AY131=1,P131-O131+1,IF(AW131="","",AW131)))</f>
        <v/>
      </c>
      <c r="I131" s="270"/>
      <c r="J131" s="270"/>
      <c r="K131" s="270"/>
      <c r="L131" s="270"/>
      <c r="M131" s="270"/>
      <c r="N131" s="270"/>
      <c r="O131" s="263"/>
      <c r="P131" s="263"/>
      <c r="Q131" s="270" t="str">
        <f aca="false">IF(AND(ISNUMBER(I131),ISNUMBER(S131)),I131*AJ131,IF(OR(I131&lt;&gt;"",S131&lt;&gt;""),"tbd",""))</f>
        <v/>
      </c>
      <c r="S131" s="268"/>
      <c r="Y131" s="275" t="str">
        <f aca="false">IF(ISNUMBER(I131),I131/Netto_Faktor,"")</f>
        <v/>
      </c>
      <c r="Z131" s="275" t="str">
        <f aca="false">IF(B131="","",IF(COUNT(J131:N131)=0,"",SUM(J131:N131)))</f>
        <v/>
      </c>
      <c r="AA131" s="266"/>
      <c r="AB131" s="266"/>
      <c r="AC131" s="266"/>
      <c r="AD131" s="266"/>
      <c r="AE131" s="266"/>
      <c r="AF131" s="266"/>
      <c r="AG131" s="267"/>
      <c r="AH131" s="266" t="str">
        <f aca="false">IF(B131="","",IF(BA131="",IF(R131="WON","✅ belegt &amp; vollständig","✔ vollständig"),LEFT(BA131,LEN(BA131)-3)))</f>
        <v/>
      </c>
      <c r="AJ131" s="268" t="n">
        <f aca="false">IF(ISNUMBER(S131),IFERROR(LOOKUP(IF(S131&lt;=1,S131,S131/100),'⚖️ Wahrscheinlichkeit'!$B$17:$B$21,'⚖️ Wahrscheinlichkeit'!$D$17:$D$21),0),0)</f>
        <v>0</v>
      </c>
      <c r="AK131" s="1" t="str">
        <f aca="false">IF(AND(R131="WON",ISNUMBER(I131)),AL131+(861-ROW())*0.000001,"")</f>
        <v/>
      </c>
      <c r="AL131" s="1" t="n">
        <f aca="false">IFERROR(I131*1,0)</f>
        <v>0</v>
      </c>
      <c r="AM131" s="1" t="n">
        <f aca="false">N(AM130)+IF(AND(R131="WON",B131&lt;&gt;""),1,0)</f>
        <v>12</v>
      </c>
      <c r="AN131" s="1" t="n">
        <f aca="false">N(AN130)+IF(AND(OR(R131="offered",R131="to be offered",R131="on hold"),B131&lt;&gt;""),1,0)</f>
        <v>33</v>
      </c>
      <c r="AO131" s="1" t="n">
        <f aca="false">N(AO130)+IF(AND(OR(R131="follow-up",R131="Evaluation",R131="tbd",R131="In evaluation"),B131&lt;&gt;""),1,0)</f>
        <v>1</v>
      </c>
      <c r="AP131" s="1" t="n">
        <f aca="false">IF(B131="",0,IF(COUNTIF('⚖️ Wahrscheinlichkeit'!$J$17:$J$24,R131)&gt;0,1,0))</f>
        <v>0</v>
      </c>
      <c r="AQ131" s="1" t="n">
        <f aca="false">IF(B131="",0,IF(AND(ISNUMBER(S131),COUNTIF('⚖️ Wahrscheinlichkeit'!$B$6:$B$11,S131)&gt;0),1,0))</f>
        <v>0</v>
      </c>
      <c r="AR131" s="1" t="n">
        <f aca="false">IF(B131="",0,IF(AND(COUNT(J131:M131)=4,SUM(J131:M131)&gt;0),1,0))</f>
        <v>0</v>
      </c>
      <c r="AS131" s="1" t="n">
        <f aca="false">IF(B131="",0,IF(AND(AF131&lt;&gt;"",AG131&lt;&gt;""),1,0))</f>
        <v>0</v>
      </c>
      <c r="AT131" s="1" t="n">
        <f aca="false">IF(AND(R131="WON",AS131=1,AR131=1),1,0)</f>
        <v>0</v>
      </c>
      <c r="AU131" s="1" t="n">
        <f aca="false">IF(B131="",0,IF(AD131="Alternative – zählt nicht",0,1))</f>
        <v>0</v>
      </c>
      <c r="AV131" s="1" t="n">
        <f aca="false">IF(B131="",0,IF(COUNTIF($B$6:$B$860,B131)&gt;1,1,0))</f>
        <v>0</v>
      </c>
      <c r="AX131" s="269" t="str">
        <f aca="false">IF(AY131=1,DATE(YEAR(O131),MONTH(O131),1),"")</f>
        <v/>
      </c>
      <c r="AY131" s="1" t="n">
        <f aca="false">IF(B131="",0,IF(AND(ISNUMBER(O131),ISNUMBER(P131)),IF(P131&gt;=O131,1,0),0))</f>
        <v>0</v>
      </c>
      <c r="AZ131" s="1" t="n">
        <f aca="false">IF(ISNUMBER(Y131),Y131,0)</f>
        <v>0</v>
      </c>
      <c r="BA131" s="1" t="str">
        <f aca="false">IF(B131="","",IF(AND(R131="WON",AS131=0),"⛔ Beleg fehlt · ","")&amp;IF(AND(R131="WON",AR131=0),"⛔ Einstand fehlt · ","")&amp;IF(AND(R131&lt;&gt;"WON",AR131=0),"○ Einstand offen · ","")&amp;IF(AND(R131="WON",AB131=""),"⛔ Vertragsart fehlt · ","")&amp;IF(AND(ISNUMBER(O131),ISNUMBER(P131)),IF(P131&lt;O131,"⚠ Ende vor Start · ",""),"")&amp;IF(AND(R131="WON",AY131=0,NOT(AND(ISNUMBER(O131),ISNUMBER(P131)))),"⛔ Zeitraum fehlt · ","")&amp;IF(AND(R131&lt;&gt;"WON",AY131=0,NOT(AND(ISNUMBER(O131),ISNUMBER(P131)))),"○ Zeitraum offen · ",""))</f>
        <v/>
      </c>
      <c r="BB131" s="1" t="str">
        <f aca="false">IF(B131="","",IF(AND(R131="WON",AS131=0),"⛔ Nachweis fehlt",IF(AND(ISNUMBER(O131),ISNUMBER(P131),P131&lt;O131),"⚠ Ende vor Start",IF(AND(R131="WON",AY131=0),"⛔ Zeitraum fehlt",IF(AR131=0,"○ Einstand offen",IF(AY131=0,"○ Zeitraum offen",IF(R131="WON","✅ belegt","✔ erfasst")))))))</f>
        <v/>
      </c>
    </row>
    <row r="132" customFormat="false" ht="15" hidden="false" customHeight="true" outlineLevel="0" collapsed="false">
      <c r="G132" s="1" t="str">
        <f aca="false">IF(B132="","",IF(AY132=1,P132-O132+1,IF(AW132="","",AW132)))</f>
        <v/>
      </c>
      <c r="I132" s="270"/>
      <c r="J132" s="270"/>
      <c r="K132" s="270"/>
      <c r="L132" s="270"/>
      <c r="M132" s="270"/>
      <c r="N132" s="270"/>
      <c r="O132" s="263"/>
      <c r="P132" s="263"/>
      <c r="Q132" s="270" t="str">
        <f aca="false">IF(AND(ISNUMBER(I132),ISNUMBER(S132)),I132*AJ132,IF(OR(I132&lt;&gt;"",S132&lt;&gt;""),"tbd",""))</f>
        <v/>
      </c>
      <c r="S132" s="268"/>
      <c r="Y132" s="275" t="str">
        <f aca="false">IF(ISNUMBER(I132),I132/Netto_Faktor,"")</f>
        <v/>
      </c>
      <c r="Z132" s="275" t="str">
        <f aca="false">IF(B132="","",IF(COUNT(J132:N132)=0,"",SUM(J132:N132)))</f>
        <v/>
      </c>
      <c r="AA132" s="266"/>
      <c r="AB132" s="266"/>
      <c r="AC132" s="266"/>
      <c r="AD132" s="266"/>
      <c r="AE132" s="266"/>
      <c r="AF132" s="266"/>
      <c r="AG132" s="267"/>
      <c r="AH132" s="266" t="str">
        <f aca="false">IF(B132="","",IF(BA132="",IF(R132="WON","✅ belegt &amp; vollständig","✔ vollständig"),LEFT(BA132,LEN(BA132)-3)))</f>
        <v/>
      </c>
      <c r="AJ132" s="268" t="n">
        <f aca="false">IF(ISNUMBER(S132),IFERROR(LOOKUP(IF(S132&lt;=1,S132,S132/100),'⚖️ Wahrscheinlichkeit'!$B$17:$B$21,'⚖️ Wahrscheinlichkeit'!$D$17:$D$21),0),0)</f>
        <v>0</v>
      </c>
      <c r="AK132" s="1" t="str">
        <f aca="false">IF(AND(R132="WON",ISNUMBER(I132)),AL132+(861-ROW())*0.000001,"")</f>
        <v/>
      </c>
      <c r="AL132" s="1" t="n">
        <f aca="false">IFERROR(I132*1,0)</f>
        <v>0</v>
      </c>
      <c r="AM132" s="1" t="n">
        <f aca="false">N(AM131)+IF(AND(R132="WON",B132&lt;&gt;""),1,0)</f>
        <v>12</v>
      </c>
      <c r="AN132" s="1" t="n">
        <f aca="false">N(AN131)+IF(AND(OR(R132="offered",R132="to be offered",R132="on hold"),B132&lt;&gt;""),1,0)</f>
        <v>33</v>
      </c>
      <c r="AO132" s="1" t="n">
        <f aca="false">N(AO131)+IF(AND(OR(R132="follow-up",R132="Evaluation",R132="tbd",R132="In evaluation"),B132&lt;&gt;""),1,0)</f>
        <v>1</v>
      </c>
      <c r="AP132" s="1" t="n">
        <f aca="false">IF(B132="",0,IF(COUNTIF('⚖️ Wahrscheinlichkeit'!$J$17:$J$24,R132)&gt;0,1,0))</f>
        <v>0</v>
      </c>
      <c r="AQ132" s="1" t="n">
        <f aca="false">IF(B132="",0,IF(AND(ISNUMBER(S132),COUNTIF('⚖️ Wahrscheinlichkeit'!$B$6:$B$11,S132)&gt;0),1,0))</f>
        <v>0</v>
      </c>
      <c r="AR132" s="1" t="n">
        <f aca="false">IF(B132="",0,IF(AND(COUNT(J132:M132)=4,SUM(J132:M132)&gt;0),1,0))</f>
        <v>0</v>
      </c>
      <c r="AS132" s="1" t="n">
        <f aca="false">IF(B132="",0,IF(AND(AF132&lt;&gt;"",AG132&lt;&gt;""),1,0))</f>
        <v>0</v>
      </c>
      <c r="AT132" s="1" t="n">
        <f aca="false">IF(AND(R132="WON",AS132=1,AR132=1),1,0)</f>
        <v>0</v>
      </c>
      <c r="AU132" s="1" t="n">
        <f aca="false">IF(B132="",0,IF(AD132="Alternative – zählt nicht",0,1))</f>
        <v>0</v>
      </c>
      <c r="AV132" s="1" t="n">
        <f aca="false">IF(B132="",0,IF(COUNTIF($B$6:$B$860,B132)&gt;1,1,0))</f>
        <v>0</v>
      </c>
      <c r="AX132" s="269" t="str">
        <f aca="false">IF(AY132=1,DATE(YEAR(O132),MONTH(O132),1),"")</f>
        <v/>
      </c>
      <c r="AY132" s="1" t="n">
        <f aca="false">IF(B132="",0,IF(AND(ISNUMBER(O132),ISNUMBER(P132)),IF(P132&gt;=O132,1,0),0))</f>
        <v>0</v>
      </c>
      <c r="AZ132" s="1" t="n">
        <f aca="false">IF(ISNUMBER(Y132),Y132,0)</f>
        <v>0</v>
      </c>
      <c r="BA132" s="1" t="str">
        <f aca="false">IF(B132="","",IF(AND(R132="WON",AS132=0),"⛔ Beleg fehlt · ","")&amp;IF(AND(R132="WON",AR132=0),"⛔ Einstand fehlt · ","")&amp;IF(AND(R132&lt;&gt;"WON",AR132=0),"○ Einstand offen · ","")&amp;IF(AND(R132="WON",AB132=""),"⛔ Vertragsart fehlt · ","")&amp;IF(AND(ISNUMBER(O132),ISNUMBER(P132)),IF(P132&lt;O132,"⚠ Ende vor Start · ",""),"")&amp;IF(AND(R132="WON",AY132=0,NOT(AND(ISNUMBER(O132),ISNUMBER(P132)))),"⛔ Zeitraum fehlt · ","")&amp;IF(AND(R132&lt;&gt;"WON",AY132=0,NOT(AND(ISNUMBER(O132),ISNUMBER(P132)))),"○ Zeitraum offen · ",""))</f>
        <v/>
      </c>
      <c r="BB132" s="1" t="str">
        <f aca="false">IF(B132="","",IF(AND(R132="WON",AS132=0),"⛔ Nachweis fehlt",IF(AND(ISNUMBER(O132),ISNUMBER(P132),P132&lt;O132),"⚠ Ende vor Start",IF(AND(R132="WON",AY132=0),"⛔ Zeitraum fehlt",IF(AR132=0,"○ Einstand offen",IF(AY132=0,"○ Zeitraum offen",IF(R132="WON","✅ belegt","✔ erfasst")))))))</f>
        <v/>
      </c>
    </row>
    <row r="133" customFormat="false" ht="15" hidden="false" customHeight="true" outlineLevel="0" collapsed="false">
      <c r="G133" s="1" t="str">
        <f aca="false">IF(B133="","",IF(AY133=1,P133-O133+1,IF(AW133="","",AW133)))</f>
        <v/>
      </c>
      <c r="I133" s="270"/>
      <c r="J133" s="270"/>
      <c r="K133" s="270"/>
      <c r="L133" s="270"/>
      <c r="M133" s="270"/>
      <c r="N133" s="270"/>
      <c r="O133" s="263"/>
      <c r="P133" s="263"/>
      <c r="Q133" s="270" t="str">
        <f aca="false">IF(AND(ISNUMBER(I133),ISNUMBER(S133)),I133*AJ133,IF(OR(I133&lt;&gt;"",S133&lt;&gt;""),"tbd",""))</f>
        <v/>
      </c>
      <c r="S133" s="268"/>
      <c r="Y133" s="275" t="str">
        <f aca="false">IF(ISNUMBER(I133),I133/Netto_Faktor,"")</f>
        <v/>
      </c>
      <c r="Z133" s="275" t="str">
        <f aca="false">IF(B133="","",IF(COUNT(J133:N133)=0,"",SUM(J133:N133)))</f>
        <v/>
      </c>
      <c r="AA133" s="266"/>
      <c r="AB133" s="266"/>
      <c r="AC133" s="266"/>
      <c r="AD133" s="266"/>
      <c r="AE133" s="266"/>
      <c r="AF133" s="266"/>
      <c r="AG133" s="267"/>
      <c r="AH133" s="266" t="str">
        <f aca="false">IF(B133="","",IF(BA133="",IF(R133="WON","✅ belegt &amp; vollständig","✔ vollständig"),LEFT(BA133,LEN(BA133)-3)))</f>
        <v/>
      </c>
      <c r="AJ133" s="268" t="n">
        <f aca="false">IF(ISNUMBER(S133),IFERROR(LOOKUP(IF(S133&lt;=1,S133,S133/100),'⚖️ Wahrscheinlichkeit'!$B$17:$B$21,'⚖️ Wahrscheinlichkeit'!$D$17:$D$21),0),0)</f>
        <v>0</v>
      </c>
      <c r="AK133" s="1" t="str">
        <f aca="false">IF(AND(R133="WON",ISNUMBER(I133)),AL133+(861-ROW())*0.000001,"")</f>
        <v/>
      </c>
      <c r="AL133" s="1" t="n">
        <f aca="false">IFERROR(I133*1,0)</f>
        <v>0</v>
      </c>
      <c r="AM133" s="1" t="n">
        <f aca="false">N(AM132)+IF(AND(R133="WON",B133&lt;&gt;""),1,0)</f>
        <v>12</v>
      </c>
      <c r="AN133" s="1" t="n">
        <f aca="false">N(AN132)+IF(AND(OR(R133="offered",R133="to be offered",R133="on hold"),B133&lt;&gt;""),1,0)</f>
        <v>33</v>
      </c>
      <c r="AO133" s="1" t="n">
        <f aca="false">N(AO132)+IF(AND(OR(R133="follow-up",R133="Evaluation",R133="tbd",R133="In evaluation"),B133&lt;&gt;""),1,0)</f>
        <v>1</v>
      </c>
      <c r="AP133" s="1" t="n">
        <f aca="false">IF(B133="",0,IF(COUNTIF('⚖️ Wahrscheinlichkeit'!$J$17:$J$24,R133)&gt;0,1,0))</f>
        <v>0</v>
      </c>
      <c r="AQ133" s="1" t="n">
        <f aca="false">IF(B133="",0,IF(AND(ISNUMBER(S133),COUNTIF('⚖️ Wahrscheinlichkeit'!$B$6:$B$11,S133)&gt;0),1,0))</f>
        <v>0</v>
      </c>
      <c r="AR133" s="1" t="n">
        <f aca="false">IF(B133="",0,IF(AND(COUNT(J133:M133)=4,SUM(J133:M133)&gt;0),1,0))</f>
        <v>0</v>
      </c>
      <c r="AS133" s="1" t="n">
        <f aca="false">IF(B133="",0,IF(AND(AF133&lt;&gt;"",AG133&lt;&gt;""),1,0))</f>
        <v>0</v>
      </c>
      <c r="AT133" s="1" t="n">
        <f aca="false">IF(AND(R133="WON",AS133=1,AR133=1),1,0)</f>
        <v>0</v>
      </c>
      <c r="AU133" s="1" t="n">
        <f aca="false">IF(B133="",0,IF(AD133="Alternative – zählt nicht",0,1))</f>
        <v>0</v>
      </c>
      <c r="AV133" s="1" t="n">
        <f aca="false">IF(B133="",0,IF(COUNTIF($B$6:$B$860,B133)&gt;1,1,0))</f>
        <v>0</v>
      </c>
      <c r="AX133" s="269" t="str">
        <f aca="false">IF(AY133=1,DATE(YEAR(O133),MONTH(O133),1),"")</f>
        <v/>
      </c>
      <c r="AY133" s="1" t="n">
        <f aca="false">IF(B133="",0,IF(AND(ISNUMBER(O133),ISNUMBER(P133)),IF(P133&gt;=O133,1,0),0))</f>
        <v>0</v>
      </c>
      <c r="AZ133" s="1" t="n">
        <f aca="false">IF(ISNUMBER(Y133),Y133,0)</f>
        <v>0</v>
      </c>
      <c r="BA133" s="1" t="str">
        <f aca="false">IF(B133="","",IF(AND(R133="WON",AS133=0),"⛔ Beleg fehlt · ","")&amp;IF(AND(R133="WON",AR133=0),"⛔ Einstand fehlt · ","")&amp;IF(AND(R133&lt;&gt;"WON",AR133=0),"○ Einstand offen · ","")&amp;IF(AND(R133="WON",AB133=""),"⛔ Vertragsart fehlt · ","")&amp;IF(AND(ISNUMBER(O133),ISNUMBER(P133)),IF(P133&lt;O133,"⚠ Ende vor Start · ",""),"")&amp;IF(AND(R133="WON",AY133=0,NOT(AND(ISNUMBER(O133),ISNUMBER(P133)))),"⛔ Zeitraum fehlt · ","")&amp;IF(AND(R133&lt;&gt;"WON",AY133=0,NOT(AND(ISNUMBER(O133),ISNUMBER(P133)))),"○ Zeitraum offen · ",""))</f>
        <v/>
      </c>
      <c r="BB133" s="1" t="str">
        <f aca="false">IF(B133="","",IF(AND(R133="WON",AS133=0),"⛔ Nachweis fehlt",IF(AND(ISNUMBER(O133),ISNUMBER(P133),P133&lt;O133),"⚠ Ende vor Start",IF(AND(R133="WON",AY133=0),"⛔ Zeitraum fehlt",IF(AR133=0,"○ Einstand offen",IF(AY133=0,"○ Zeitraum offen",IF(R133="WON","✅ belegt","✔ erfasst")))))))</f>
        <v/>
      </c>
    </row>
    <row r="134" customFormat="false" ht="15" hidden="false" customHeight="true" outlineLevel="0" collapsed="false">
      <c r="G134" s="1" t="str">
        <f aca="false">IF(B134="","",IF(AY134=1,P134-O134+1,IF(AW134="","",AW134)))</f>
        <v/>
      </c>
      <c r="I134" s="270"/>
      <c r="J134" s="270"/>
      <c r="K134" s="270"/>
      <c r="L134" s="270"/>
      <c r="M134" s="270"/>
      <c r="N134" s="270"/>
      <c r="O134" s="263"/>
      <c r="P134" s="263"/>
      <c r="Q134" s="270" t="str">
        <f aca="false">IF(AND(ISNUMBER(I134),ISNUMBER(S134)),I134*AJ134,IF(OR(I134&lt;&gt;"",S134&lt;&gt;""),"tbd",""))</f>
        <v/>
      </c>
      <c r="S134" s="268"/>
      <c r="Y134" s="275" t="str">
        <f aca="false">IF(ISNUMBER(I134),I134/Netto_Faktor,"")</f>
        <v/>
      </c>
      <c r="Z134" s="275" t="str">
        <f aca="false">IF(B134="","",IF(COUNT(J134:N134)=0,"",SUM(J134:N134)))</f>
        <v/>
      </c>
      <c r="AA134" s="266"/>
      <c r="AB134" s="266"/>
      <c r="AC134" s="266"/>
      <c r="AD134" s="266"/>
      <c r="AE134" s="266"/>
      <c r="AF134" s="266"/>
      <c r="AG134" s="267"/>
      <c r="AH134" s="266" t="str">
        <f aca="false">IF(B134="","",IF(BA134="",IF(R134="WON","✅ belegt &amp; vollständig","✔ vollständig"),LEFT(BA134,LEN(BA134)-3)))</f>
        <v/>
      </c>
      <c r="AJ134" s="268" t="n">
        <f aca="false">IF(ISNUMBER(S134),IFERROR(LOOKUP(IF(S134&lt;=1,S134,S134/100),'⚖️ Wahrscheinlichkeit'!$B$17:$B$21,'⚖️ Wahrscheinlichkeit'!$D$17:$D$21),0),0)</f>
        <v>0</v>
      </c>
      <c r="AK134" s="1" t="str">
        <f aca="false">IF(AND(R134="WON",ISNUMBER(I134)),AL134+(861-ROW())*0.000001,"")</f>
        <v/>
      </c>
      <c r="AL134" s="1" t="n">
        <f aca="false">IFERROR(I134*1,0)</f>
        <v>0</v>
      </c>
      <c r="AM134" s="1" t="n">
        <f aca="false">N(AM133)+IF(AND(R134="WON",B134&lt;&gt;""),1,0)</f>
        <v>12</v>
      </c>
      <c r="AN134" s="1" t="n">
        <f aca="false">N(AN133)+IF(AND(OR(R134="offered",R134="to be offered",R134="on hold"),B134&lt;&gt;""),1,0)</f>
        <v>33</v>
      </c>
      <c r="AO134" s="1" t="n">
        <f aca="false">N(AO133)+IF(AND(OR(R134="follow-up",R134="Evaluation",R134="tbd",R134="In evaluation"),B134&lt;&gt;""),1,0)</f>
        <v>1</v>
      </c>
      <c r="AP134" s="1" t="n">
        <f aca="false">IF(B134="",0,IF(COUNTIF('⚖️ Wahrscheinlichkeit'!$J$17:$J$24,R134)&gt;0,1,0))</f>
        <v>0</v>
      </c>
      <c r="AQ134" s="1" t="n">
        <f aca="false">IF(B134="",0,IF(AND(ISNUMBER(S134),COUNTIF('⚖️ Wahrscheinlichkeit'!$B$6:$B$11,S134)&gt;0),1,0))</f>
        <v>0</v>
      </c>
      <c r="AR134" s="1" t="n">
        <f aca="false">IF(B134="",0,IF(AND(COUNT(J134:M134)=4,SUM(J134:M134)&gt;0),1,0))</f>
        <v>0</v>
      </c>
      <c r="AS134" s="1" t="n">
        <f aca="false">IF(B134="",0,IF(AND(AF134&lt;&gt;"",AG134&lt;&gt;""),1,0))</f>
        <v>0</v>
      </c>
      <c r="AT134" s="1" t="n">
        <f aca="false">IF(AND(R134="WON",AS134=1,AR134=1),1,0)</f>
        <v>0</v>
      </c>
      <c r="AU134" s="1" t="n">
        <f aca="false">IF(B134="",0,IF(AD134="Alternative – zählt nicht",0,1))</f>
        <v>0</v>
      </c>
      <c r="AV134" s="1" t="n">
        <f aca="false">IF(B134="",0,IF(COUNTIF($B$6:$B$860,B134)&gt;1,1,0))</f>
        <v>0</v>
      </c>
      <c r="AX134" s="269" t="str">
        <f aca="false">IF(AY134=1,DATE(YEAR(O134),MONTH(O134),1),"")</f>
        <v/>
      </c>
      <c r="AY134" s="1" t="n">
        <f aca="false">IF(B134="",0,IF(AND(ISNUMBER(O134),ISNUMBER(P134)),IF(P134&gt;=O134,1,0),0))</f>
        <v>0</v>
      </c>
      <c r="AZ134" s="1" t="n">
        <f aca="false">IF(ISNUMBER(Y134),Y134,0)</f>
        <v>0</v>
      </c>
      <c r="BA134" s="1" t="str">
        <f aca="false">IF(B134="","",IF(AND(R134="WON",AS134=0),"⛔ Beleg fehlt · ","")&amp;IF(AND(R134="WON",AR134=0),"⛔ Einstand fehlt · ","")&amp;IF(AND(R134&lt;&gt;"WON",AR134=0),"○ Einstand offen · ","")&amp;IF(AND(R134="WON",AB134=""),"⛔ Vertragsart fehlt · ","")&amp;IF(AND(ISNUMBER(O134),ISNUMBER(P134)),IF(P134&lt;O134,"⚠ Ende vor Start · ",""),"")&amp;IF(AND(R134="WON",AY134=0,NOT(AND(ISNUMBER(O134),ISNUMBER(P134)))),"⛔ Zeitraum fehlt · ","")&amp;IF(AND(R134&lt;&gt;"WON",AY134=0,NOT(AND(ISNUMBER(O134),ISNUMBER(P134)))),"○ Zeitraum offen · ",""))</f>
        <v/>
      </c>
      <c r="BB134" s="1" t="str">
        <f aca="false">IF(B134="","",IF(AND(R134="WON",AS134=0),"⛔ Nachweis fehlt",IF(AND(ISNUMBER(O134),ISNUMBER(P134),P134&lt;O134),"⚠ Ende vor Start",IF(AND(R134="WON",AY134=0),"⛔ Zeitraum fehlt",IF(AR134=0,"○ Einstand offen",IF(AY134=0,"○ Zeitraum offen",IF(R134="WON","✅ belegt","✔ erfasst")))))))</f>
        <v/>
      </c>
    </row>
    <row r="135" customFormat="false" ht="15" hidden="false" customHeight="true" outlineLevel="0" collapsed="false">
      <c r="G135" s="1" t="str">
        <f aca="false">IF(B135="","",IF(AY135=1,P135-O135+1,IF(AW135="","",AW135)))</f>
        <v/>
      </c>
      <c r="I135" s="270"/>
      <c r="J135" s="270"/>
      <c r="K135" s="270"/>
      <c r="L135" s="270"/>
      <c r="M135" s="270"/>
      <c r="N135" s="270"/>
      <c r="O135" s="263"/>
      <c r="P135" s="263"/>
      <c r="Q135" s="270" t="str">
        <f aca="false">IF(AND(ISNUMBER(I135),ISNUMBER(S135)),I135*AJ135,IF(OR(I135&lt;&gt;"",S135&lt;&gt;""),"tbd",""))</f>
        <v/>
      </c>
      <c r="S135" s="268"/>
      <c r="Y135" s="275" t="str">
        <f aca="false">IF(ISNUMBER(I135),I135/Netto_Faktor,"")</f>
        <v/>
      </c>
      <c r="Z135" s="275" t="str">
        <f aca="false">IF(B135="","",IF(COUNT(J135:N135)=0,"",SUM(J135:N135)))</f>
        <v/>
      </c>
      <c r="AA135" s="266"/>
      <c r="AB135" s="266"/>
      <c r="AC135" s="266"/>
      <c r="AD135" s="266"/>
      <c r="AE135" s="266"/>
      <c r="AF135" s="266"/>
      <c r="AG135" s="267"/>
      <c r="AH135" s="266" t="str">
        <f aca="false">IF(B135="","",IF(BA135="",IF(R135="WON","✅ belegt &amp; vollständig","✔ vollständig"),LEFT(BA135,LEN(BA135)-3)))</f>
        <v/>
      </c>
      <c r="AJ135" s="268" t="n">
        <f aca="false">IF(ISNUMBER(S135),IFERROR(LOOKUP(IF(S135&lt;=1,S135,S135/100),'⚖️ Wahrscheinlichkeit'!$B$17:$B$21,'⚖️ Wahrscheinlichkeit'!$D$17:$D$21),0),0)</f>
        <v>0</v>
      </c>
      <c r="AK135" s="1" t="str">
        <f aca="false">IF(AND(R135="WON",ISNUMBER(I135)),AL135+(861-ROW())*0.000001,"")</f>
        <v/>
      </c>
      <c r="AL135" s="1" t="n">
        <f aca="false">IFERROR(I135*1,0)</f>
        <v>0</v>
      </c>
      <c r="AM135" s="1" t="n">
        <f aca="false">N(AM134)+IF(AND(R135="WON",B135&lt;&gt;""),1,0)</f>
        <v>12</v>
      </c>
      <c r="AN135" s="1" t="n">
        <f aca="false">N(AN134)+IF(AND(OR(R135="offered",R135="to be offered",R135="on hold"),B135&lt;&gt;""),1,0)</f>
        <v>33</v>
      </c>
      <c r="AO135" s="1" t="n">
        <f aca="false">N(AO134)+IF(AND(OR(R135="follow-up",R135="Evaluation",R135="tbd",R135="In evaluation"),B135&lt;&gt;""),1,0)</f>
        <v>1</v>
      </c>
      <c r="AP135" s="1" t="n">
        <f aca="false">IF(B135="",0,IF(COUNTIF('⚖️ Wahrscheinlichkeit'!$J$17:$J$24,R135)&gt;0,1,0))</f>
        <v>0</v>
      </c>
      <c r="AQ135" s="1" t="n">
        <f aca="false">IF(B135="",0,IF(AND(ISNUMBER(S135),COUNTIF('⚖️ Wahrscheinlichkeit'!$B$6:$B$11,S135)&gt;0),1,0))</f>
        <v>0</v>
      </c>
      <c r="AR135" s="1" t="n">
        <f aca="false">IF(B135="",0,IF(AND(COUNT(J135:M135)=4,SUM(J135:M135)&gt;0),1,0))</f>
        <v>0</v>
      </c>
      <c r="AS135" s="1" t="n">
        <f aca="false">IF(B135="",0,IF(AND(AF135&lt;&gt;"",AG135&lt;&gt;""),1,0))</f>
        <v>0</v>
      </c>
      <c r="AT135" s="1" t="n">
        <f aca="false">IF(AND(R135="WON",AS135=1,AR135=1),1,0)</f>
        <v>0</v>
      </c>
      <c r="AU135" s="1" t="n">
        <f aca="false">IF(B135="",0,IF(AD135="Alternative – zählt nicht",0,1))</f>
        <v>0</v>
      </c>
      <c r="AV135" s="1" t="n">
        <f aca="false">IF(B135="",0,IF(COUNTIF($B$6:$B$860,B135)&gt;1,1,0))</f>
        <v>0</v>
      </c>
      <c r="AX135" s="269" t="str">
        <f aca="false">IF(AY135=1,DATE(YEAR(O135),MONTH(O135),1),"")</f>
        <v/>
      </c>
      <c r="AY135" s="1" t="n">
        <f aca="false">IF(B135="",0,IF(AND(ISNUMBER(O135),ISNUMBER(P135)),IF(P135&gt;=O135,1,0),0))</f>
        <v>0</v>
      </c>
      <c r="AZ135" s="1" t="n">
        <f aca="false">IF(ISNUMBER(Y135),Y135,0)</f>
        <v>0</v>
      </c>
      <c r="BA135" s="1" t="str">
        <f aca="false">IF(B135="","",IF(AND(R135="WON",AS135=0),"⛔ Beleg fehlt · ","")&amp;IF(AND(R135="WON",AR135=0),"⛔ Einstand fehlt · ","")&amp;IF(AND(R135&lt;&gt;"WON",AR135=0),"○ Einstand offen · ","")&amp;IF(AND(R135="WON",AB135=""),"⛔ Vertragsart fehlt · ","")&amp;IF(AND(ISNUMBER(O135),ISNUMBER(P135)),IF(P135&lt;O135,"⚠ Ende vor Start · ",""),"")&amp;IF(AND(R135="WON",AY135=0,NOT(AND(ISNUMBER(O135),ISNUMBER(P135)))),"⛔ Zeitraum fehlt · ","")&amp;IF(AND(R135&lt;&gt;"WON",AY135=0,NOT(AND(ISNUMBER(O135),ISNUMBER(P135)))),"○ Zeitraum offen · ",""))</f>
        <v/>
      </c>
      <c r="BB135" s="1" t="str">
        <f aca="false">IF(B135="","",IF(AND(R135="WON",AS135=0),"⛔ Nachweis fehlt",IF(AND(ISNUMBER(O135),ISNUMBER(P135),P135&lt;O135),"⚠ Ende vor Start",IF(AND(R135="WON",AY135=0),"⛔ Zeitraum fehlt",IF(AR135=0,"○ Einstand offen",IF(AY135=0,"○ Zeitraum offen",IF(R135="WON","✅ belegt","✔ erfasst")))))))</f>
        <v/>
      </c>
    </row>
    <row r="136" customFormat="false" ht="15" hidden="false" customHeight="true" outlineLevel="0" collapsed="false">
      <c r="G136" s="1" t="str">
        <f aca="false">IF(B136="","",IF(AY136=1,P136-O136+1,IF(AW136="","",AW136)))</f>
        <v/>
      </c>
      <c r="I136" s="270"/>
      <c r="J136" s="270"/>
      <c r="K136" s="270"/>
      <c r="L136" s="270"/>
      <c r="M136" s="270"/>
      <c r="N136" s="270"/>
      <c r="O136" s="263"/>
      <c r="P136" s="263"/>
      <c r="Q136" s="270" t="str">
        <f aca="false">IF(AND(ISNUMBER(I136),ISNUMBER(S136)),I136*AJ136,IF(OR(I136&lt;&gt;"",S136&lt;&gt;""),"tbd",""))</f>
        <v/>
      </c>
      <c r="S136" s="268"/>
      <c r="Y136" s="275" t="str">
        <f aca="false">IF(ISNUMBER(I136),I136/Netto_Faktor,"")</f>
        <v/>
      </c>
      <c r="Z136" s="275" t="str">
        <f aca="false">IF(B136="","",IF(COUNT(J136:N136)=0,"",SUM(J136:N136)))</f>
        <v/>
      </c>
      <c r="AA136" s="266"/>
      <c r="AB136" s="266"/>
      <c r="AC136" s="266"/>
      <c r="AD136" s="266"/>
      <c r="AE136" s="266"/>
      <c r="AF136" s="266"/>
      <c r="AG136" s="267"/>
      <c r="AH136" s="266" t="str">
        <f aca="false">IF(B136="","",IF(BA136="",IF(R136="WON","✅ belegt &amp; vollständig","✔ vollständig"),LEFT(BA136,LEN(BA136)-3)))</f>
        <v/>
      </c>
      <c r="AJ136" s="268" t="n">
        <f aca="false">IF(ISNUMBER(S136),IFERROR(LOOKUP(IF(S136&lt;=1,S136,S136/100),'⚖️ Wahrscheinlichkeit'!$B$17:$B$21,'⚖️ Wahrscheinlichkeit'!$D$17:$D$21),0),0)</f>
        <v>0</v>
      </c>
      <c r="AK136" s="1" t="str">
        <f aca="false">IF(AND(R136="WON",ISNUMBER(I136)),AL136+(861-ROW())*0.000001,"")</f>
        <v/>
      </c>
      <c r="AL136" s="1" t="n">
        <f aca="false">IFERROR(I136*1,0)</f>
        <v>0</v>
      </c>
      <c r="AM136" s="1" t="n">
        <f aca="false">N(AM135)+IF(AND(R136="WON",B136&lt;&gt;""),1,0)</f>
        <v>12</v>
      </c>
      <c r="AN136" s="1" t="n">
        <f aca="false">N(AN135)+IF(AND(OR(R136="offered",R136="to be offered",R136="on hold"),B136&lt;&gt;""),1,0)</f>
        <v>33</v>
      </c>
      <c r="AO136" s="1" t="n">
        <f aca="false">N(AO135)+IF(AND(OR(R136="follow-up",R136="Evaluation",R136="tbd",R136="In evaluation"),B136&lt;&gt;""),1,0)</f>
        <v>1</v>
      </c>
      <c r="AP136" s="1" t="n">
        <f aca="false">IF(B136="",0,IF(COUNTIF('⚖️ Wahrscheinlichkeit'!$J$17:$J$24,R136)&gt;0,1,0))</f>
        <v>0</v>
      </c>
      <c r="AQ136" s="1" t="n">
        <f aca="false">IF(B136="",0,IF(AND(ISNUMBER(S136),COUNTIF('⚖️ Wahrscheinlichkeit'!$B$6:$B$11,S136)&gt;0),1,0))</f>
        <v>0</v>
      </c>
      <c r="AR136" s="1" t="n">
        <f aca="false">IF(B136="",0,IF(AND(COUNT(J136:M136)=4,SUM(J136:M136)&gt;0),1,0))</f>
        <v>0</v>
      </c>
      <c r="AS136" s="1" t="n">
        <f aca="false">IF(B136="",0,IF(AND(AF136&lt;&gt;"",AG136&lt;&gt;""),1,0))</f>
        <v>0</v>
      </c>
      <c r="AT136" s="1" t="n">
        <f aca="false">IF(AND(R136="WON",AS136=1,AR136=1),1,0)</f>
        <v>0</v>
      </c>
      <c r="AU136" s="1" t="n">
        <f aca="false">IF(B136="",0,IF(AD136="Alternative – zählt nicht",0,1))</f>
        <v>0</v>
      </c>
      <c r="AV136" s="1" t="n">
        <f aca="false">IF(B136="",0,IF(COUNTIF($B$6:$B$860,B136)&gt;1,1,0))</f>
        <v>0</v>
      </c>
      <c r="AX136" s="269" t="str">
        <f aca="false">IF(AY136=1,DATE(YEAR(O136),MONTH(O136),1),"")</f>
        <v/>
      </c>
      <c r="AY136" s="1" t="n">
        <f aca="false">IF(B136="",0,IF(AND(ISNUMBER(O136),ISNUMBER(P136)),IF(P136&gt;=O136,1,0),0))</f>
        <v>0</v>
      </c>
      <c r="AZ136" s="1" t="n">
        <f aca="false">IF(ISNUMBER(Y136),Y136,0)</f>
        <v>0</v>
      </c>
      <c r="BA136" s="1" t="str">
        <f aca="false">IF(B136="","",IF(AND(R136="WON",AS136=0),"⛔ Beleg fehlt · ","")&amp;IF(AND(R136="WON",AR136=0),"⛔ Einstand fehlt · ","")&amp;IF(AND(R136&lt;&gt;"WON",AR136=0),"○ Einstand offen · ","")&amp;IF(AND(R136="WON",AB136=""),"⛔ Vertragsart fehlt · ","")&amp;IF(AND(ISNUMBER(O136),ISNUMBER(P136)),IF(P136&lt;O136,"⚠ Ende vor Start · ",""),"")&amp;IF(AND(R136="WON",AY136=0,NOT(AND(ISNUMBER(O136),ISNUMBER(P136)))),"⛔ Zeitraum fehlt · ","")&amp;IF(AND(R136&lt;&gt;"WON",AY136=0,NOT(AND(ISNUMBER(O136),ISNUMBER(P136)))),"○ Zeitraum offen · ",""))</f>
        <v/>
      </c>
      <c r="BB136" s="1" t="str">
        <f aca="false">IF(B136="","",IF(AND(R136="WON",AS136=0),"⛔ Nachweis fehlt",IF(AND(ISNUMBER(O136),ISNUMBER(P136),P136&lt;O136),"⚠ Ende vor Start",IF(AND(R136="WON",AY136=0),"⛔ Zeitraum fehlt",IF(AR136=0,"○ Einstand offen",IF(AY136=0,"○ Zeitraum offen",IF(R136="WON","✅ belegt","✔ erfasst")))))))</f>
        <v/>
      </c>
    </row>
    <row r="137" customFormat="false" ht="15" hidden="false" customHeight="true" outlineLevel="0" collapsed="false">
      <c r="G137" s="1" t="str">
        <f aca="false">IF(B137="","",IF(AY137=1,P137-O137+1,IF(AW137="","",AW137)))</f>
        <v/>
      </c>
      <c r="I137" s="270"/>
      <c r="J137" s="270"/>
      <c r="K137" s="270"/>
      <c r="L137" s="270"/>
      <c r="M137" s="270"/>
      <c r="N137" s="270"/>
      <c r="O137" s="263"/>
      <c r="P137" s="263"/>
      <c r="Q137" s="270" t="str">
        <f aca="false">IF(AND(ISNUMBER(I137),ISNUMBER(S137)),I137*AJ137,IF(OR(I137&lt;&gt;"",S137&lt;&gt;""),"tbd",""))</f>
        <v/>
      </c>
      <c r="S137" s="268"/>
      <c r="Y137" s="275" t="str">
        <f aca="false">IF(ISNUMBER(I137),I137/Netto_Faktor,"")</f>
        <v/>
      </c>
      <c r="Z137" s="275" t="str">
        <f aca="false">IF(B137="","",IF(COUNT(J137:N137)=0,"",SUM(J137:N137)))</f>
        <v/>
      </c>
      <c r="AA137" s="266"/>
      <c r="AB137" s="266"/>
      <c r="AC137" s="266"/>
      <c r="AD137" s="266"/>
      <c r="AE137" s="266"/>
      <c r="AF137" s="266"/>
      <c r="AG137" s="267"/>
      <c r="AH137" s="266" t="str">
        <f aca="false">IF(B137="","",IF(BA137="",IF(R137="WON","✅ belegt &amp; vollständig","✔ vollständig"),LEFT(BA137,LEN(BA137)-3)))</f>
        <v/>
      </c>
      <c r="AJ137" s="268" t="n">
        <f aca="false">IF(ISNUMBER(S137),IFERROR(LOOKUP(IF(S137&lt;=1,S137,S137/100),'⚖️ Wahrscheinlichkeit'!$B$17:$B$21,'⚖️ Wahrscheinlichkeit'!$D$17:$D$21),0),0)</f>
        <v>0</v>
      </c>
      <c r="AK137" s="1" t="str">
        <f aca="false">IF(AND(R137="WON",ISNUMBER(I137)),AL137+(861-ROW())*0.000001,"")</f>
        <v/>
      </c>
      <c r="AL137" s="1" t="n">
        <f aca="false">IFERROR(I137*1,0)</f>
        <v>0</v>
      </c>
      <c r="AM137" s="1" t="n">
        <f aca="false">N(AM136)+IF(AND(R137="WON",B137&lt;&gt;""),1,0)</f>
        <v>12</v>
      </c>
      <c r="AN137" s="1" t="n">
        <f aca="false">N(AN136)+IF(AND(OR(R137="offered",R137="to be offered",R137="on hold"),B137&lt;&gt;""),1,0)</f>
        <v>33</v>
      </c>
      <c r="AO137" s="1" t="n">
        <f aca="false">N(AO136)+IF(AND(OR(R137="follow-up",R137="Evaluation",R137="tbd",R137="In evaluation"),B137&lt;&gt;""),1,0)</f>
        <v>1</v>
      </c>
      <c r="AP137" s="1" t="n">
        <f aca="false">IF(B137="",0,IF(COUNTIF('⚖️ Wahrscheinlichkeit'!$J$17:$J$24,R137)&gt;0,1,0))</f>
        <v>0</v>
      </c>
      <c r="AQ137" s="1" t="n">
        <f aca="false">IF(B137="",0,IF(AND(ISNUMBER(S137),COUNTIF('⚖️ Wahrscheinlichkeit'!$B$6:$B$11,S137)&gt;0),1,0))</f>
        <v>0</v>
      </c>
      <c r="AR137" s="1" t="n">
        <f aca="false">IF(B137="",0,IF(AND(COUNT(J137:M137)=4,SUM(J137:M137)&gt;0),1,0))</f>
        <v>0</v>
      </c>
      <c r="AS137" s="1" t="n">
        <f aca="false">IF(B137="",0,IF(AND(AF137&lt;&gt;"",AG137&lt;&gt;""),1,0))</f>
        <v>0</v>
      </c>
      <c r="AT137" s="1" t="n">
        <f aca="false">IF(AND(R137="WON",AS137=1,AR137=1),1,0)</f>
        <v>0</v>
      </c>
      <c r="AU137" s="1" t="n">
        <f aca="false">IF(B137="",0,IF(AD137="Alternative – zählt nicht",0,1))</f>
        <v>0</v>
      </c>
      <c r="AV137" s="1" t="n">
        <f aca="false">IF(B137="",0,IF(COUNTIF($B$6:$B$860,B137)&gt;1,1,0))</f>
        <v>0</v>
      </c>
      <c r="AX137" s="269" t="str">
        <f aca="false">IF(AY137=1,DATE(YEAR(O137),MONTH(O137),1),"")</f>
        <v/>
      </c>
      <c r="AY137" s="1" t="n">
        <f aca="false">IF(B137="",0,IF(AND(ISNUMBER(O137),ISNUMBER(P137)),IF(P137&gt;=O137,1,0),0))</f>
        <v>0</v>
      </c>
      <c r="AZ137" s="1" t="n">
        <f aca="false">IF(ISNUMBER(Y137),Y137,0)</f>
        <v>0</v>
      </c>
      <c r="BA137" s="1" t="str">
        <f aca="false">IF(B137="","",IF(AND(R137="WON",AS137=0),"⛔ Beleg fehlt · ","")&amp;IF(AND(R137="WON",AR137=0),"⛔ Einstand fehlt · ","")&amp;IF(AND(R137&lt;&gt;"WON",AR137=0),"○ Einstand offen · ","")&amp;IF(AND(R137="WON",AB137=""),"⛔ Vertragsart fehlt · ","")&amp;IF(AND(ISNUMBER(O137),ISNUMBER(P137)),IF(P137&lt;O137,"⚠ Ende vor Start · ",""),"")&amp;IF(AND(R137="WON",AY137=0,NOT(AND(ISNUMBER(O137),ISNUMBER(P137)))),"⛔ Zeitraum fehlt · ","")&amp;IF(AND(R137&lt;&gt;"WON",AY137=0,NOT(AND(ISNUMBER(O137),ISNUMBER(P137)))),"○ Zeitraum offen · ",""))</f>
        <v/>
      </c>
      <c r="BB137" s="1" t="str">
        <f aca="false">IF(B137="","",IF(AND(R137="WON",AS137=0),"⛔ Nachweis fehlt",IF(AND(ISNUMBER(O137),ISNUMBER(P137),P137&lt;O137),"⚠ Ende vor Start",IF(AND(R137="WON",AY137=0),"⛔ Zeitraum fehlt",IF(AR137=0,"○ Einstand offen",IF(AY137=0,"○ Zeitraum offen",IF(R137="WON","✅ belegt","✔ erfasst")))))))</f>
        <v/>
      </c>
    </row>
    <row r="138" customFormat="false" ht="15" hidden="false" customHeight="true" outlineLevel="0" collapsed="false">
      <c r="G138" s="1" t="str">
        <f aca="false">IF(B138="","",IF(AY138=1,P138-O138+1,IF(AW138="","",AW138)))</f>
        <v/>
      </c>
      <c r="I138" s="270"/>
      <c r="J138" s="270"/>
      <c r="K138" s="270"/>
      <c r="L138" s="270"/>
      <c r="M138" s="270"/>
      <c r="N138" s="270"/>
      <c r="O138" s="263"/>
      <c r="P138" s="263"/>
      <c r="Q138" s="270" t="str">
        <f aca="false">IF(AND(ISNUMBER(I138),ISNUMBER(S138)),I138*AJ138,IF(OR(I138&lt;&gt;"",S138&lt;&gt;""),"tbd",""))</f>
        <v/>
      </c>
      <c r="S138" s="268"/>
      <c r="Y138" s="275" t="str">
        <f aca="false">IF(ISNUMBER(I138),I138/Netto_Faktor,"")</f>
        <v/>
      </c>
      <c r="Z138" s="275" t="str">
        <f aca="false">IF(B138="","",IF(COUNT(J138:N138)=0,"",SUM(J138:N138)))</f>
        <v/>
      </c>
      <c r="AA138" s="266"/>
      <c r="AB138" s="266"/>
      <c r="AC138" s="266"/>
      <c r="AD138" s="266"/>
      <c r="AE138" s="266"/>
      <c r="AF138" s="266"/>
      <c r="AG138" s="267"/>
      <c r="AH138" s="266" t="str">
        <f aca="false">IF(B138="","",IF(BA138="",IF(R138="WON","✅ belegt &amp; vollständig","✔ vollständig"),LEFT(BA138,LEN(BA138)-3)))</f>
        <v/>
      </c>
      <c r="AJ138" s="268" t="n">
        <f aca="false">IF(ISNUMBER(S138),IFERROR(LOOKUP(IF(S138&lt;=1,S138,S138/100),'⚖️ Wahrscheinlichkeit'!$B$17:$B$21,'⚖️ Wahrscheinlichkeit'!$D$17:$D$21),0),0)</f>
        <v>0</v>
      </c>
      <c r="AK138" s="1" t="str">
        <f aca="false">IF(AND(R138="WON",ISNUMBER(I138)),AL138+(861-ROW())*0.000001,"")</f>
        <v/>
      </c>
      <c r="AL138" s="1" t="n">
        <f aca="false">IFERROR(I138*1,0)</f>
        <v>0</v>
      </c>
      <c r="AM138" s="1" t="n">
        <f aca="false">N(AM137)+IF(AND(R138="WON",B138&lt;&gt;""),1,0)</f>
        <v>12</v>
      </c>
      <c r="AN138" s="1" t="n">
        <f aca="false">N(AN137)+IF(AND(OR(R138="offered",R138="to be offered",R138="on hold"),B138&lt;&gt;""),1,0)</f>
        <v>33</v>
      </c>
      <c r="AO138" s="1" t="n">
        <f aca="false">N(AO137)+IF(AND(OR(R138="follow-up",R138="Evaluation",R138="tbd",R138="In evaluation"),B138&lt;&gt;""),1,0)</f>
        <v>1</v>
      </c>
      <c r="AP138" s="1" t="n">
        <f aca="false">IF(B138="",0,IF(COUNTIF('⚖️ Wahrscheinlichkeit'!$J$17:$J$24,R138)&gt;0,1,0))</f>
        <v>0</v>
      </c>
      <c r="AQ138" s="1" t="n">
        <f aca="false">IF(B138="",0,IF(AND(ISNUMBER(S138),COUNTIF('⚖️ Wahrscheinlichkeit'!$B$6:$B$11,S138)&gt;0),1,0))</f>
        <v>0</v>
      </c>
      <c r="AR138" s="1" t="n">
        <f aca="false">IF(B138="",0,IF(AND(COUNT(J138:M138)=4,SUM(J138:M138)&gt;0),1,0))</f>
        <v>0</v>
      </c>
      <c r="AS138" s="1" t="n">
        <f aca="false">IF(B138="",0,IF(AND(AF138&lt;&gt;"",AG138&lt;&gt;""),1,0))</f>
        <v>0</v>
      </c>
      <c r="AT138" s="1" t="n">
        <f aca="false">IF(AND(R138="WON",AS138=1,AR138=1),1,0)</f>
        <v>0</v>
      </c>
      <c r="AU138" s="1" t="n">
        <f aca="false">IF(B138="",0,IF(AD138="Alternative – zählt nicht",0,1))</f>
        <v>0</v>
      </c>
      <c r="AV138" s="1" t="n">
        <f aca="false">IF(B138="",0,IF(COUNTIF($B$6:$B$860,B138)&gt;1,1,0))</f>
        <v>0</v>
      </c>
      <c r="AX138" s="269" t="str">
        <f aca="false">IF(AY138=1,DATE(YEAR(O138),MONTH(O138),1),"")</f>
        <v/>
      </c>
      <c r="AY138" s="1" t="n">
        <f aca="false">IF(B138="",0,IF(AND(ISNUMBER(O138),ISNUMBER(P138)),IF(P138&gt;=O138,1,0),0))</f>
        <v>0</v>
      </c>
      <c r="AZ138" s="1" t="n">
        <f aca="false">IF(ISNUMBER(Y138),Y138,0)</f>
        <v>0</v>
      </c>
      <c r="BA138" s="1" t="str">
        <f aca="false">IF(B138="","",IF(AND(R138="WON",AS138=0),"⛔ Beleg fehlt · ","")&amp;IF(AND(R138="WON",AR138=0),"⛔ Einstand fehlt · ","")&amp;IF(AND(R138&lt;&gt;"WON",AR138=0),"○ Einstand offen · ","")&amp;IF(AND(R138="WON",AB138=""),"⛔ Vertragsart fehlt · ","")&amp;IF(AND(ISNUMBER(O138),ISNUMBER(P138)),IF(P138&lt;O138,"⚠ Ende vor Start · ",""),"")&amp;IF(AND(R138="WON",AY138=0,NOT(AND(ISNUMBER(O138),ISNUMBER(P138)))),"⛔ Zeitraum fehlt · ","")&amp;IF(AND(R138&lt;&gt;"WON",AY138=0,NOT(AND(ISNUMBER(O138),ISNUMBER(P138)))),"○ Zeitraum offen · ",""))</f>
        <v/>
      </c>
      <c r="BB138" s="1" t="str">
        <f aca="false">IF(B138="","",IF(AND(R138="WON",AS138=0),"⛔ Nachweis fehlt",IF(AND(ISNUMBER(O138),ISNUMBER(P138),P138&lt;O138),"⚠ Ende vor Start",IF(AND(R138="WON",AY138=0),"⛔ Zeitraum fehlt",IF(AR138=0,"○ Einstand offen",IF(AY138=0,"○ Zeitraum offen",IF(R138="WON","✅ belegt","✔ erfasst")))))))</f>
        <v/>
      </c>
    </row>
    <row r="139" customFormat="false" ht="15" hidden="false" customHeight="true" outlineLevel="0" collapsed="false">
      <c r="G139" s="1" t="str">
        <f aca="false">IF(B139="","",IF(AY139=1,P139-O139+1,IF(AW139="","",AW139)))</f>
        <v/>
      </c>
      <c r="I139" s="270"/>
      <c r="J139" s="270"/>
      <c r="K139" s="270"/>
      <c r="L139" s="270"/>
      <c r="M139" s="270"/>
      <c r="N139" s="270"/>
      <c r="O139" s="263"/>
      <c r="P139" s="263"/>
      <c r="Q139" s="270" t="str">
        <f aca="false">IF(AND(ISNUMBER(I139),ISNUMBER(S139)),I139*AJ139,IF(OR(I139&lt;&gt;"",S139&lt;&gt;""),"tbd",""))</f>
        <v/>
      </c>
      <c r="S139" s="268"/>
      <c r="Y139" s="275" t="str">
        <f aca="false">IF(ISNUMBER(I139),I139/Netto_Faktor,"")</f>
        <v/>
      </c>
      <c r="Z139" s="275" t="str">
        <f aca="false">IF(B139="","",IF(COUNT(J139:N139)=0,"",SUM(J139:N139)))</f>
        <v/>
      </c>
      <c r="AA139" s="266"/>
      <c r="AB139" s="266"/>
      <c r="AC139" s="266"/>
      <c r="AD139" s="266"/>
      <c r="AE139" s="266"/>
      <c r="AF139" s="266"/>
      <c r="AG139" s="267"/>
      <c r="AH139" s="266" t="str">
        <f aca="false">IF(B139="","",IF(BA139="",IF(R139="WON","✅ belegt &amp; vollständig","✔ vollständig"),LEFT(BA139,LEN(BA139)-3)))</f>
        <v/>
      </c>
      <c r="AJ139" s="268" t="n">
        <f aca="false">IF(ISNUMBER(S139),IFERROR(LOOKUP(IF(S139&lt;=1,S139,S139/100),'⚖️ Wahrscheinlichkeit'!$B$17:$B$21,'⚖️ Wahrscheinlichkeit'!$D$17:$D$21),0),0)</f>
        <v>0</v>
      </c>
      <c r="AK139" s="1" t="str">
        <f aca="false">IF(AND(R139="WON",ISNUMBER(I139)),AL139+(861-ROW())*0.000001,"")</f>
        <v/>
      </c>
      <c r="AL139" s="1" t="n">
        <f aca="false">IFERROR(I139*1,0)</f>
        <v>0</v>
      </c>
      <c r="AM139" s="1" t="n">
        <f aca="false">N(AM138)+IF(AND(R139="WON",B139&lt;&gt;""),1,0)</f>
        <v>12</v>
      </c>
      <c r="AN139" s="1" t="n">
        <f aca="false">N(AN138)+IF(AND(OR(R139="offered",R139="to be offered",R139="on hold"),B139&lt;&gt;""),1,0)</f>
        <v>33</v>
      </c>
      <c r="AO139" s="1" t="n">
        <f aca="false">N(AO138)+IF(AND(OR(R139="follow-up",R139="Evaluation",R139="tbd",R139="In evaluation"),B139&lt;&gt;""),1,0)</f>
        <v>1</v>
      </c>
      <c r="AP139" s="1" t="n">
        <f aca="false">IF(B139="",0,IF(COUNTIF('⚖️ Wahrscheinlichkeit'!$J$17:$J$24,R139)&gt;0,1,0))</f>
        <v>0</v>
      </c>
      <c r="AQ139" s="1" t="n">
        <f aca="false">IF(B139="",0,IF(AND(ISNUMBER(S139),COUNTIF('⚖️ Wahrscheinlichkeit'!$B$6:$B$11,S139)&gt;0),1,0))</f>
        <v>0</v>
      </c>
      <c r="AR139" s="1" t="n">
        <f aca="false">IF(B139="",0,IF(AND(COUNT(J139:M139)=4,SUM(J139:M139)&gt;0),1,0))</f>
        <v>0</v>
      </c>
      <c r="AS139" s="1" t="n">
        <f aca="false">IF(B139="",0,IF(AND(AF139&lt;&gt;"",AG139&lt;&gt;""),1,0))</f>
        <v>0</v>
      </c>
      <c r="AT139" s="1" t="n">
        <f aca="false">IF(AND(R139="WON",AS139=1,AR139=1),1,0)</f>
        <v>0</v>
      </c>
      <c r="AU139" s="1" t="n">
        <f aca="false">IF(B139="",0,IF(AD139="Alternative – zählt nicht",0,1))</f>
        <v>0</v>
      </c>
      <c r="AV139" s="1" t="n">
        <f aca="false">IF(B139="",0,IF(COUNTIF($B$6:$B$860,B139)&gt;1,1,0))</f>
        <v>0</v>
      </c>
      <c r="AX139" s="269" t="str">
        <f aca="false">IF(AY139=1,DATE(YEAR(O139),MONTH(O139),1),"")</f>
        <v/>
      </c>
      <c r="AY139" s="1" t="n">
        <f aca="false">IF(B139="",0,IF(AND(ISNUMBER(O139),ISNUMBER(P139)),IF(P139&gt;=O139,1,0),0))</f>
        <v>0</v>
      </c>
      <c r="AZ139" s="1" t="n">
        <f aca="false">IF(ISNUMBER(Y139),Y139,0)</f>
        <v>0</v>
      </c>
      <c r="BA139" s="1" t="str">
        <f aca="false">IF(B139="","",IF(AND(R139="WON",AS139=0),"⛔ Beleg fehlt · ","")&amp;IF(AND(R139="WON",AR139=0),"⛔ Einstand fehlt · ","")&amp;IF(AND(R139&lt;&gt;"WON",AR139=0),"○ Einstand offen · ","")&amp;IF(AND(R139="WON",AB139=""),"⛔ Vertragsart fehlt · ","")&amp;IF(AND(ISNUMBER(O139),ISNUMBER(P139)),IF(P139&lt;O139,"⚠ Ende vor Start · ",""),"")&amp;IF(AND(R139="WON",AY139=0,NOT(AND(ISNUMBER(O139),ISNUMBER(P139)))),"⛔ Zeitraum fehlt · ","")&amp;IF(AND(R139&lt;&gt;"WON",AY139=0,NOT(AND(ISNUMBER(O139),ISNUMBER(P139)))),"○ Zeitraum offen · ",""))</f>
        <v/>
      </c>
      <c r="BB139" s="1" t="str">
        <f aca="false">IF(B139="","",IF(AND(R139="WON",AS139=0),"⛔ Nachweis fehlt",IF(AND(ISNUMBER(O139),ISNUMBER(P139),P139&lt;O139),"⚠ Ende vor Start",IF(AND(R139="WON",AY139=0),"⛔ Zeitraum fehlt",IF(AR139=0,"○ Einstand offen",IF(AY139=0,"○ Zeitraum offen",IF(R139="WON","✅ belegt","✔ erfasst")))))))</f>
        <v/>
      </c>
    </row>
    <row r="140" customFormat="false" ht="15" hidden="false" customHeight="true" outlineLevel="0" collapsed="false">
      <c r="G140" s="1" t="str">
        <f aca="false">IF(B140="","",IF(AY140=1,P140-O140+1,IF(AW140="","",AW140)))</f>
        <v/>
      </c>
      <c r="I140" s="270"/>
      <c r="J140" s="270"/>
      <c r="K140" s="270"/>
      <c r="L140" s="270"/>
      <c r="M140" s="270"/>
      <c r="N140" s="270"/>
      <c r="O140" s="263"/>
      <c r="P140" s="263"/>
      <c r="Q140" s="270" t="str">
        <f aca="false">IF(AND(ISNUMBER(I140),ISNUMBER(S140)),I140*AJ140,IF(OR(I140&lt;&gt;"",S140&lt;&gt;""),"tbd",""))</f>
        <v/>
      </c>
      <c r="S140" s="268"/>
      <c r="Y140" s="275" t="str">
        <f aca="false">IF(ISNUMBER(I140),I140/Netto_Faktor,"")</f>
        <v/>
      </c>
      <c r="Z140" s="275" t="str">
        <f aca="false">IF(B140="","",IF(COUNT(J140:N140)=0,"",SUM(J140:N140)))</f>
        <v/>
      </c>
      <c r="AA140" s="266"/>
      <c r="AB140" s="266"/>
      <c r="AC140" s="266"/>
      <c r="AD140" s="266"/>
      <c r="AE140" s="266"/>
      <c r="AF140" s="266"/>
      <c r="AG140" s="267"/>
      <c r="AH140" s="266" t="str">
        <f aca="false">IF(B140="","",IF(BA140="",IF(R140="WON","✅ belegt &amp; vollständig","✔ vollständig"),LEFT(BA140,LEN(BA140)-3)))</f>
        <v/>
      </c>
      <c r="AJ140" s="268" t="n">
        <f aca="false">IF(ISNUMBER(S140),IFERROR(LOOKUP(IF(S140&lt;=1,S140,S140/100),'⚖️ Wahrscheinlichkeit'!$B$17:$B$21,'⚖️ Wahrscheinlichkeit'!$D$17:$D$21),0),0)</f>
        <v>0</v>
      </c>
      <c r="AK140" s="1" t="str">
        <f aca="false">IF(AND(R140="WON",ISNUMBER(I140)),AL140+(861-ROW())*0.000001,"")</f>
        <v/>
      </c>
      <c r="AL140" s="1" t="n">
        <f aca="false">IFERROR(I140*1,0)</f>
        <v>0</v>
      </c>
      <c r="AM140" s="1" t="n">
        <f aca="false">N(AM139)+IF(AND(R140="WON",B140&lt;&gt;""),1,0)</f>
        <v>12</v>
      </c>
      <c r="AN140" s="1" t="n">
        <f aca="false">N(AN139)+IF(AND(OR(R140="offered",R140="to be offered",R140="on hold"),B140&lt;&gt;""),1,0)</f>
        <v>33</v>
      </c>
      <c r="AO140" s="1" t="n">
        <f aca="false">N(AO139)+IF(AND(OR(R140="follow-up",R140="Evaluation",R140="tbd",R140="In evaluation"),B140&lt;&gt;""),1,0)</f>
        <v>1</v>
      </c>
      <c r="AP140" s="1" t="n">
        <f aca="false">IF(B140="",0,IF(COUNTIF('⚖️ Wahrscheinlichkeit'!$J$17:$J$24,R140)&gt;0,1,0))</f>
        <v>0</v>
      </c>
      <c r="AQ140" s="1" t="n">
        <f aca="false">IF(B140="",0,IF(AND(ISNUMBER(S140),COUNTIF('⚖️ Wahrscheinlichkeit'!$B$6:$B$11,S140)&gt;0),1,0))</f>
        <v>0</v>
      </c>
      <c r="AR140" s="1" t="n">
        <f aca="false">IF(B140="",0,IF(AND(COUNT(J140:M140)=4,SUM(J140:M140)&gt;0),1,0))</f>
        <v>0</v>
      </c>
      <c r="AS140" s="1" t="n">
        <f aca="false">IF(B140="",0,IF(AND(AF140&lt;&gt;"",AG140&lt;&gt;""),1,0))</f>
        <v>0</v>
      </c>
      <c r="AT140" s="1" t="n">
        <f aca="false">IF(AND(R140="WON",AS140=1,AR140=1),1,0)</f>
        <v>0</v>
      </c>
      <c r="AU140" s="1" t="n">
        <f aca="false">IF(B140="",0,IF(AD140="Alternative – zählt nicht",0,1))</f>
        <v>0</v>
      </c>
      <c r="AV140" s="1" t="n">
        <f aca="false">IF(B140="",0,IF(COUNTIF($B$6:$B$860,B140)&gt;1,1,0))</f>
        <v>0</v>
      </c>
      <c r="AX140" s="269" t="str">
        <f aca="false">IF(AY140=1,DATE(YEAR(O140),MONTH(O140),1),"")</f>
        <v/>
      </c>
      <c r="AY140" s="1" t="n">
        <f aca="false">IF(B140="",0,IF(AND(ISNUMBER(O140),ISNUMBER(P140)),IF(P140&gt;=O140,1,0),0))</f>
        <v>0</v>
      </c>
      <c r="AZ140" s="1" t="n">
        <f aca="false">IF(ISNUMBER(Y140),Y140,0)</f>
        <v>0</v>
      </c>
      <c r="BA140" s="1" t="str">
        <f aca="false">IF(B140="","",IF(AND(R140="WON",AS140=0),"⛔ Beleg fehlt · ","")&amp;IF(AND(R140="WON",AR140=0),"⛔ Einstand fehlt · ","")&amp;IF(AND(R140&lt;&gt;"WON",AR140=0),"○ Einstand offen · ","")&amp;IF(AND(R140="WON",AB140=""),"⛔ Vertragsart fehlt · ","")&amp;IF(AND(ISNUMBER(O140),ISNUMBER(P140)),IF(P140&lt;O140,"⚠ Ende vor Start · ",""),"")&amp;IF(AND(R140="WON",AY140=0,NOT(AND(ISNUMBER(O140),ISNUMBER(P140)))),"⛔ Zeitraum fehlt · ","")&amp;IF(AND(R140&lt;&gt;"WON",AY140=0,NOT(AND(ISNUMBER(O140),ISNUMBER(P140)))),"○ Zeitraum offen · ",""))</f>
        <v/>
      </c>
      <c r="BB140" s="1" t="str">
        <f aca="false">IF(B140="","",IF(AND(R140="WON",AS140=0),"⛔ Nachweis fehlt",IF(AND(ISNUMBER(O140),ISNUMBER(P140),P140&lt;O140),"⚠ Ende vor Start",IF(AND(R140="WON",AY140=0),"⛔ Zeitraum fehlt",IF(AR140=0,"○ Einstand offen",IF(AY140=0,"○ Zeitraum offen",IF(R140="WON","✅ belegt","✔ erfasst")))))))</f>
        <v/>
      </c>
    </row>
    <row r="141" customFormat="false" ht="15" hidden="false" customHeight="true" outlineLevel="0" collapsed="false">
      <c r="G141" s="1" t="str">
        <f aca="false">IF(B141="","",IF(AY141=1,P141-O141+1,IF(AW141="","",AW141)))</f>
        <v/>
      </c>
      <c r="I141" s="270"/>
      <c r="J141" s="270"/>
      <c r="K141" s="270"/>
      <c r="L141" s="270"/>
      <c r="M141" s="270"/>
      <c r="N141" s="270"/>
      <c r="O141" s="263"/>
      <c r="P141" s="263"/>
      <c r="Q141" s="270" t="str">
        <f aca="false">IF(AND(ISNUMBER(I141),ISNUMBER(S141)),I141*AJ141,IF(OR(I141&lt;&gt;"",S141&lt;&gt;""),"tbd",""))</f>
        <v/>
      </c>
      <c r="S141" s="268"/>
      <c r="Y141" s="275" t="str">
        <f aca="false">IF(ISNUMBER(I141),I141/Netto_Faktor,"")</f>
        <v/>
      </c>
      <c r="Z141" s="275" t="str">
        <f aca="false">IF(B141="","",IF(COUNT(J141:N141)=0,"",SUM(J141:N141)))</f>
        <v/>
      </c>
      <c r="AA141" s="266"/>
      <c r="AB141" s="266"/>
      <c r="AC141" s="266"/>
      <c r="AD141" s="266"/>
      <c r="AE141" s="266"/>
      <c r="AF141" s="266"/>
      <c r="AG141" s="267"/>
      <c r="AH141" s="266" t="str">
        <f aca="false">IF(B141="","",IF(BA141="",IF(R141="WON","✅ belegt &amp; vollständig","✔ vollständig"),LEFT(BA141,LEN(BA141)-3)))</f>
        <v/>
      </c>
      <c r="AJ141" s="268" t="n">
        <f aca="false">IF(ISNUMBER(S141),IFERROR(LOOKUP(IF(S141&lt;=1,S141,S141/100),'⚖️ Wahrscheinlichkeit'!$B$17:$B$21,'⚖️ Wahrscheinlichkeit'!$D$17:$D$21),0),0)</f>
        <v>0</v>
      </c>
      <c r="AK141" s="1" t="str">
        <f aca="false">IF(AND(R141="WON",ISNUMBER(I141)),AL141+(861-ROW())*0.000001,"")</f>
        <v/>
      </c>
      <c r="AL141" s="1" t="n">
        <f aca="false">IFERROR(I141*1,0)</f>
        <v>0</v>
      </c>
      <c r="AM141" s="1" t="n">
        <f aca="false">N(AM140)+IF(AND(R141="WON",B141&lt;&gt;""),1,0)</f>
        <v>12</v>
      </c>
      <c r="AN141" s="1" t="n">
        <f aca="false">N(AN140)+IF(AND(OR(R141="offered",R141="to be offered",R141="on hold"),B141&lt;&gt;""),1,0)</f>
        <v>33</v>
      </c>
      <c r="AO141" s="1" t="n">
        <f aca="false">N(AO140)+IF(AND(OR(R141="follow-up",R141="Evaluation",R141="tbd",R141="In evaluation"),B141&lt;&gt;""),1,0)</f>
        <v>1</v>
      </c>
      <c r="AP141" s="1" t="n">
        <f aca="false">IF(B141="",0,IF(COUNTIF('⚖️ Wahrscheinlichkeit'!$J$17:$J$24,R141)&gt;0,1,0))</f>
        <v>0</v>
      </c>
      <c r="AQ141" s="1" t="n">
        <f aca="false">IF(B141="",0,IF(AND(ISNUMBER(S141),COUNTIF('⚖️ Wahrscheinlichkeit'!$B$6:$B$11,S141)&gt;0),1,0))</f>
        <v>0</v>
      </c>
      <c r="AR141" s="1" t="n">
        <f aca="false">IF(B141="",0,IF(AND(COUNT(J141:M141)=4,SUM(J141:M141)&gt;0),1,0))</f>
        <v>0</v>
      </c>
      <c r="AS141" s="1" t="n">
        <f aca="false">IF(B141="",0,IF(AND(AF141&lt;&gt;"",AG141&lt;&gt;""),1,0))</f>
        <v>0</v>
      </c>
      <c r="AT141" s="1" t="n">
        <f aca="false">IF(AND(R141="WON",AS141=1,AR141=1),1,0)</f>
        <v>0</v>
      </c>
      <c r="AU141" s="1" t="n">
        <f aca="false">IF(B141="",0,IF(AD141="Alternative – zählt nicht",0,1))</f>
        <v>0</v>
      </c>
      <c r="AV141" s="1" t="n">
        <f aca="false">IF(B141="",0,IF(COUNTIF($B$6:$B$860,B141)&gt;1,1,0))</f>
        <v>0</v>
      </c>
      <c r="AX141" s="269" t="str">
        <f aca="false">IF(AY141=1,DATE(YEAR(O141),MONTH(O141),1),"")</f>
        <v/>
      </c>
      <c r="AY141" s="1" t="n">
        <f aca="false">IF(B141="",0,IF(AND(ISNUMBER(O141),ISNUMBER(P141)),IF(P141&gt;=O141,1,0),0))</f>
        <v>0</v>
      </c>
      <c r="AZ141" s="1" t="n">
        <f aca="false">IF(ISNUMBER(Y141),Y141,0)</f>
        <v>0</v>
      </c>
      <c r="BA141" s="1" t="str">
        <f aca="false">IF(B141="","",IF(AND(R141="WON",AS141=0),"⛔ Beleg fehlt · ","")&amp;IF(AND(R141="WON",AR141=0),"⛔ Einstand fehlt · ","")&amp;IF(AND(R141&lt;&gt;"WON",AR141=0),"○ Einstand offen · ","")&amp;IF(AND(R141="WON",AB141=""),"⛔ Vertragsart fehlt · ","")&amp;IF(AND(ISNUMBER(O141),ISNUMBER(P141)),IF(P141&lt;O141,"⚠ Ende vor Start · ",""),"")&amp;IF(AND(R141="WON",AY141=0,NOT(AND(ISNUMBER(O141),ISNUMBER(P141)))),"⛔ Zeitraum fehlt · ","")&amp;IF(AND(R141&lt;&gt;"WON",AY141=0,NOT(AND(ISNUMBER(O141),ISNUMBER(P141)))),"○ Zeitraum offen · ",""))</f>
        <v/>
      </c>
      <c r="BB141" s="1" t="str">
        <f aca="false">IF(B141="","",IF(AND(R141="WON",AS141=0),"⛔ Nachweis fehlt",IF(AND(ISNUMBER(O141),ISNUMBER(P141),P141&lt;O141),"⚠ Ende vor Start",IF(AND(R141="WON",AY141=0),"⛔ Zeitraum fehlt",IF(AR141=0,"○ Einstand offen",IF(AY141=0,"○ Zeitraum offen",IF(R141="WON","✅ belegt","✔ erfasst")))))))</f>
        <v/>
      </c>
    </row>
    <row r="142" customFormat="false" ht="15" hidden="false" customHeight="true" outlineLevel="0" collapsed="false">
      <c r="G142" s="1" t="str">
        <f aca="false">IF(B142="","",IF(AY142=1,P142-O142+1,IF(AW142="","",AW142)))</f>
        <v/>
      </c>
      <c r="I142" s="270"/>
      <c r="J142" s="270"/>
      <c r="K142" s="270"/>
      <c r="L142" s="270"/>
      <c r="M142" s="270"/>
      <c r="N142" s="270"/>
      <c r="O142" s="263"/>
      <c r="P142" s="263"/>
      <c r="Q142" s="270" t="str">
        <f aca="false">IF(AND(ISNUMBER(I142),ISNUMBER(S142)),I142*AJ142,IF(OR(I142&lt;&gt;"",S142&lt;&gt;""),"tbd",""))</f>
        <v/>
      </c>
      <c r="S142" s="268"/>
      <c r="Y142" s="275" t="str">
        <f aca="false">IF(ISNUMBER(I142),I142/Netto_Faktor,"")</f>
        <v/>
      </c>
      <c r="Z142" s="275" t="str">
        <f aca="false">IF(B142="","",IF(COUNT(J142:N142)=0,"",SUM(J142:N142)))</f>
        <v/>
      </c>
      <c r="AA142" s="266"/>
      <c r="AB142" s="266"/>
      <c r="AC142" s="266"/>
      <c r="AD142" s="266"/>
      <c r="AE142" s="266"/>
      <c r="AF142" s="266"/>
      <c r="AG142" s="267"/>
      <c r="AH142" s="266" t="str">
        <f aca="false">IF(B142="","",IF(BA142="",IF(R142="WON","✅ belegt &amp; vollständig","✔ vollständig"),LEFT(BA142,LEN(BA142)-3)))</f>
        <v/>
      </c>
      <c r="AJ142" s="268" t="n">
        <f aca="false">IF(ISNUMBER(S142),IFERROR(LOOKUP(IF(S142&lt;=1,S142,S142/100),'⚖️ Wahrscheinlichkeit'!$B$17:$B$21,'⚖️ Wahrscheinlichkeit'!$D$17:$D$21),0),0)</f>
        <v>0</v>
      </c>
      <c r="AK142" s="1" t="str">
        <f aca="false">IF(AND(R142="WON",ISNUMBER(I142)),AL142+(861-ROW())*0.000001,"")</f>
        <v/>
      </c>
      <c r="AL142" s="1" t="n">
        <f aca="false">IFERROR(I142*1,0)</f>
        <v>0</v>
      </c>
      <c r="AM142" s="1" t="n">
        <f aca="false">N(AM141)+IF(AND(R142="WON",B142&lt;&gt;""),1,0)</f>
        <v>12</v>
      </c>
      <c r="AN142" s="1" t="n">
        <f aca="false">N(AN141)+IF(AND(OR(R142="offered",R142="to be offered",R142="on hold"),B142&lt;&gt;""),1,0)</f>
        <v>33</v>
      </c>
      <c r="AO142" s="1" t="n">
        <f aca="false">N(AO141)+IF(AND(OR(R142="follow-up",R142="Evaluation",R142="tbd",R142="In evaluation"),B142&lt;&gt;""),1,0)</f>
        <v>1</v>
      </c>
      <c r="AP142" s="1" t="n">
        <f aca="false">IF(B142="",0,IF(COUNTIF('⚖️ Wahrscheinlichkeit'!$J$17:$J$24,R142)&gt;0,1,0))</f>
        <v>0</v>
      </c>
      <c r="AQ142" s="1" t="n">
        <f aca="false">IF(B142="",0,IF(AND(ISNUMBER(S142),COUNTIF('⚖️ Wahrscheinlichkeit'!$B$6:$B$11,S142)&gt;0),1,0))</f>
        <v>0</v>
      </c>
      <c r="AR142" s="1" t="n">
        <f aca="false">IF(B142="",0,IF(AND(COUNT(J142:M142)=4,SUM(J142:M142)&gt;0),1,0))</f>
        <v>0</v>
      </c>
      <c r="AS142" s="1" t="n">
        <f aca="false">IF(B142="",0,IF(AND(AF142&lt;&gt;"",AG142&lt;&gt;""),1,0))</f>
        <v>0</v>
      </c>
      <c r="AT142" s="1" t="n">
        <f aca="false">IF(AND(R142="WON",AS142=1,AR142=1),1,0)</f>
        <v>0</v>
      </c>
      <c r="AU142" s="1" t="n">
        <f aca="false">IF(B142="",0,IF(AD142="Alternative – zählt nicht",0,1))</f>
        <v>0</v>
      </c>
      <c r="AV142" s="1" t="n">
        <f aca="false">IF(B142="",0,IF(COUNTIF($B$6:$B$860,B142)&gt;1,1,0))</f>
        <v>0</v>
      </c>
      <c r="AX142" s="269" t="str">
        <f aca="false">IF(AY142=1,DATE(YEAR(O142),MONTH(O142),1),"")</f>
        <v/>
      </c>
      <c r="AY142" s="1" t="n">
        <f aca="false">IF(B142="",0,IF(AND(ISNUMBER(O142),ISNUMBER(P142)),IF(P142&gt;=O142,1,0),0))</f>
        <v>0</v>
      </c>
      <c r="AZ142" s="1" t="n">
        <f aca="false">IF(ISNUMBER(Y142),Y142,0)</f>
        <v>0</v>
      </c>
      <c r="BA142" s="1" t="str">
        <f aca="false">IF(B142="","",IF(AND(R142="WON",AS142=0),"⛔ Beleg fehlt · ","")&amp;IF(AND(R142="WON",AR142=0),"⛔ Einstand fehlt · ","")&amp;IF(AND(R142&lt;&gt;"WON",AR142=0),"○ Einstand offen · ","")&amp;IF(AND(R142="WON",AB142=""),"⛔ Vertragsart fehlt · ","")&amp;IF(AND(ISNUMBER(O142),ISNUMBER(P142)),IF(P142&lt;O142,"⚠ Ende vor Start · ",""),"")&amp;IF(AND(R142="WON",AY142=0,NOT(AND(ISNUMBER(O142),ISNUMBER(P142)))),"⛔ Zeitraum fehlt · ","")&amp;IF(AND(R142&lt;&gt;"WON",AY142=0,NOT(AND(ISNUMBER(O142),ISNUMBER(P142)))),"○ Zeitraum offen · ",""))</f>
        <v/>
      </c>
      <c r="BB142" s="1" t="str">
        <f aca="false">IF(B142="","",IF(AND(R142="WON",AS142=0),"⛔ Nachweis fehlt",IF(AND(ISNUMBER(O142),ISNUMBER(P142),P142&lt;O142),"⚠ Ende vor Start",IF(AND(R142="WON",AY142=0),"⛔ Zeitraum fehlt",IF(AR142=0,"○ Einstand offen",IF(AY142=0,"○ Zeitraum offen",IF(R142="WON","✅ belegt","✔ erfasst")))))))</f>
        <v/>
      </c>
    </row>
    <row r="143" customFormat="false" ht="15" hidden="false" customHeight="true" outlineLevel="0" collapsed="false">
      <c r="G143" s="1" t="str">
        <f aca="false">IF(B143="","",IF(AY143=1,P143-O143+1,IF(AW143="","",AW143)))</f>
        <v/>
      </c>
      <c r="I143" s="270"/>
      <c r="J143" s="270"/>
      <c r="K143" s="270"/>
      <c r="L143" s="270"/>
      <c r="M143" s="270"/>
      <c r="N143" s="270"/>
      <c r="O143" s="263"/>
      <c r="P143" s="263"/>
      <c r="Q143" s="270" t="str">
        <f aca="false">IF(AND(ISNUMBER(I143),ISNUMBER(S143)),I143*AJ143,IF(OR(I143&lt;&gt;"",S143&lt;&gt;""),"tbd",""))</f>
        <v/>
      </c>
      <c r="S143" s="268"/>
      <c r="Y143" s="275" t="str">
        <f aca="false">IF(ISNUMBER(I143),I143/Netto_Faktor,"")</f>
        <v/>
      </c>
      <c r="Z143" s="275" t="str">
        <f aca="false">IF(B143="","",IF(COUNT(J143:N143)=0,"",SUM(J143:N143)))</f>
        <v/>
      </c>
      <c r="AA143" s="266"/>
      <c r="AB143" s="266"/>
      <c r="AC143" s="266"/>
      <c r="AD143" s="266"/>
      <c r="AE143" s="266"/>
      <c r="AF143" s="266"/>
      <c r="AG143" s="267"/>
      <c r="AH143" s="266" t="str">
        <f aca="false">IF(B143="","",IF(BA143="",IF(R143="WON","✅ belegt &amp; vollständig","✔ vollständig"),LEFT(BA143,LEN(BA143)-3)))</f>
        <v/>
      </c>
      <c r="AJ143" s="268" t="n">
        <f aca="false">IF(ISNUMBER(S143),IFERROR(LOOKUP(IF(S143&lt;=1,S143,S143/100),'⚖️ Wahrscheinlichkeit'!$B$17:$B$21,'⚖️ Wahrscheinlichkeit'!$D$17:$D$21),0),0)</f>
        <v>0</v>
      </c>
      <c r="AK143" s="1" t="str">
        <f aca="false">IF(AND(R143="WON",ISNUMBER(I143)),AL143+(861-ROW())*0.000001,"")</f>
        <v/>
      </c>
      <c r="AL143" s="1" t="n">
        <f aca="false">IFERROR(I143*1,0)</f>
        <v>0</v>
      </c>
      <c r="AM143" s="1" t="n">
        <f aca="false">N(AM142)+IF(AND(R143="WON",B143&lt;&gt;""),1,0)</f>
        <v>12</v>
      </c>
      <c r="AN143" s="1" t="n">
        <f aca="false">N(AN142)+IF(AND(OR(R143="offered",R143="to be offered",R143="on hold"),B143&lt;&gt;""),1,0)</f>
        <v>33</v>
      </c>
      <c r="AO143" s="1" t="n">
        <f aca="false">N(AO142)+IF(AND(OR(R143="follow-up",R143="Evaluation",R143="tbd",R143="In evaluation"),B143&lt;&gt;""),1,0)</f>
        <v>1</v>
      </c>
      <c r="AP143" s="1" t="n">
        <f aca="false">IF(B143="",0,IF(COUNTIF('⚖️ Wahrscheinlichkeit'!$J$17:$J$24,R143)&gt;0,1,0))</f>
        <v>0</v>
      </c>
      <c r="AQ143" s="1" t="n">
        <f aca="false">IF(B143="",0,IF(AND(ISNUMBER(S143),COUNTIF('⚖️ Wahrscheinlichkeit'!$B$6:$B$11,S143)&gt;0),1,0))</f>
        <v>0</v>
      </c>
      <c r="AR143" s="1" t="n">
        <f aca="false">IF(B143="",0,IF(AND(COUNT(J143:M143)=4,SUM(J143:M143)&gt;0),1,0))</f>
        <v>0</v>
      </c>
      <c r="AS143" s="1" t="n">
        <f aca="false">IF(B143="",0,IF(AND(AF143&lt;&gt;"",AG143&lt;&gt;""),1,0))</f>
        <v>0</v>
      </c>
      <c r="AT143" s="1" t="n">
        <f aca="false">IF(AND(R143="WON",AS143=1,AR143=1),1,0)</f>
        <v>0</v>
      </c>
      <c r="AU143" s="1" t="n">
        <f aca="false">IF(B143="",0,IF(AD143="Alternative – zählt nicht",0,1))</f>
        <v>0</v>
      </c>
      <c r="AV143" s="1" t="n">
        <f aca="false">IF(B143="",0,IF(COUNTIF($B$6:$B$860,B143)&gt;1,1,0))</f>
        <v>0</v>
      </c>
      <c r="AX143" s="269" t="str">
        <f aca="false">IF(AY143=1,DATE(YEAR(O143),MONTH(O143),1),"")</f>
        <v/>
      </c>
      <c r="AY143" s="1" t="n">
        <f aca="false">IF(B143="",0,IF(AND(ISNUMBER(O143),ISNUMBER(P143)),IF(P143&gt;=O143,1,0),0))</f>
        <v>0</v>
      </c>
      <c r="AZ143" s="1" t="n">
        <f aca="false">IF(ISNUMBER(Y143),Y143,0)</f>
        <v>0</v>
      </c>
      <c r="BA143" s="1" t="str">
        <f aca="false">IF(B143="","",IF(AND(R143="WON",AS143=0),"⛔ Beleg fehlt · ","")&amp;IF(AND(R143="WON",AR143=0),"⛔ Einstand fehlt · ","")&amp;IF(AND(R143&lt;&gt;"WON",AR143=0),"○ Einstand offen · ","")&amp;IF(AND(R143="WON",AB143=""),"⛔ Vertragsart fehlt · ","")&amp;IF(AND(ISNUMBER(O143),ISNUMBER(P143)),IF(P143&lt;O143,"⚠ Ende vor Start · ",""),"")&amp;IF(AND(R143="WON",AY143=0,NOT(AND(ISNUMBER(O143),ISNUMBER(P143)))),"⛔ Zeitraum fehlt · ","")&amp;IF(AND(R143&lt;&gt;"WON",AY143=0,NOT(AND(ISNUMBER(O143),ISNUMBER(P143)))),"○ Zeitraum offen · ",""))</f>
        <v/>
      </c>
      <c r="BB143" s="1" t="str">
        <f aca="false">IF(B143="","",IF(AND(R143="WON",AS143=0),"⛔ Nachweis fehlt",IF(AND(ISNUMBER(O143),ISNUMBER(P143),P143&lt;O143),"⚠ Ende vor Start",IF(AND(R143="WON",AY143=0),"⛔ Zeitraum fehlt",IF(AR143=0,"○ Einstand offen",IF(AY143=0,"○ Zeitraum offen",IF(R143="WON","✅ belegt","✔ erfasst")))))))</f>
        <v/>
      </c>
    </row>
    <row r="144" customFormat="false" ht="15" hidden="false" customHeight="true" outlineLevel="0" collapsed="false">
      <c r="G144" s="1" t="str">
        <f aca="false">IF(B144="","",IF(AY144=1,P144-O144+1,IF(AW144="","",AW144)))</f>
        <v/>
      </c>
      <c r="I144" s="270"/>
      <c r="J144" s="270"/>
      <c r="K144" s="270"/>
      <c r="L144" s="270"/>
      <c r="M144" s="270"/>
      <c r="N144" s="270"/>
      <c r="O144" s="263"/>
      <c r="P144" s="263"/>
      <c r="Q144" s="270" t="str">
        <f aca="false">IF(AND(ISNUMBER(I144),ISNUMBER(S144)),I144*AJ144,IF(OR(I144&lt;&gt;"",S144&lt;&gt;""),"tbd",""))</f>
        <v/>
      </c>
      <c r="S144" s="268"/>
      <c r="Y144" s="275" t="str">
        <f aca="false">IF(ISNUMBER(I144),I144/Netto_Faktor,"")</f>
        <v/>
      </c>
      <c r="Z144" s="275" t="str">
        <f aca="false">IF(B144="","",IF(COUNT(J144:N144)=0,"",SUM(J144:N144)))</f>
        <v/>
      </c>
      <c r="AA144" s="266"/>
      <c r="AB144" s="266"/>
      <c r="AC144" s="266"/>
      <c r="AD144" s="266"/>
      <c r="AE144" s="266"/>
      <c r="AF144" s="266"/>
      <c r="AG144" s="267"/>
      <c r="AH144" s="266" t="str">
        <f aca="false">IF(B144="","",IF(BA144="",IF(R144="WON","✅ belegt &amp; vollständig","✔ vollständig"),LEFT(BA144,LEN(BA144)-3)))</f>
        <v/>
      </c>
      <c r="AJ144" s="268" t="n">
        <f aca="false">IF(ISNUMBER(S144),IFERROR(LOOKUP(IF(S144&lt;=1,S144,S144/100),'⚖️ Wahrscheinlichkeit'!$B$17:$B$21,'⚖️ Wahrscheinlichkeit'!$D$17:$D$21),0),0)</f>
        <v>0</v>
      </c>
      <c r="AK144" s="1" t="str">
        <f aca="false">IF(AND(R144="WON",ISNUMBER(I144)),AL144+(861-ROW())*0.000001,"")</f>
        <v/>
      </c>
      <c r="AL144" s="1" t="n">
        <f aca="false">IFERROR(I144*1,0)</f>
        <v>0</v>
      </c>
      <c r="AM144" s="1" t="n">
        <f aca="false">N(AM143)+IF(AND(R144="WON",B144&lt;&gt;""),1,0)</f>
        <v>12</v>
      </c>
      <c r="AN144" s="1" t="n">
        <f aca="false">N(AN143)+IF(AND(OR(R144="offered",R144="to be offered",R144="on hold"),B144&lt;&gt;""),1,0)</f>
        <v>33</v>
      </c>
      <c r="AO144" s="1" t="n">
        <f aca="false">N(AO143)+IF(AND(OR(R144="follow-up",R144="Evaluation",R144="tbd",R144="In evaluation"),B144&lt;&gt;""),1,0)</f>
        <v>1</v>
      </c>
      <c r="AP144" s="1" t="n">
        <f aca="false">IF(B144="",0,IF(COUNTIF('⚖️ Wahrscheinlichkeit'!$J$17:$J$24,R144)&gt;0,1,0))</f>
        <v>0</v>
      </c>
      <c r="AQ144" s="1" t="n">
        <f aca="false">IF(B144="",0,IF(AND(ISNUMBER(S144),COUNTIF('⚖️ Wahrscheinlichkeit'!$B$6:$B$11,S144)&gt;0),1,0))</f>
        <v>0</v>
      </c>
      <c r="AR144" s="1" t="n">
        <f aca="false">IF(B144="",0,IF(AND(COUNT(J144:M144)=4,SUM(J144:M144)&gt;0),1,0))</f>
        <v>0</v>
      </c>
      <c r="AS144" s="1" t="n">
        <f aca="false">IF(B144="",0,IF(AND(AF144&lt;&gt;"",AG144&lt;&gt;""),1,0))</f>
        <v>0</v>
      </c>
      <c r="AT144" s="1" t="n">
        <f aca="false">IF(AND(R144="WON",AS144=1,AR144=1),1,0)</f>
        <v>0</v>
      </c>
      <c r="AU144" s="1" t="n">
        <f aca="false">IF(B144="",0,IF(AD144="Alternative – zählt nicht",0,1))</f>
        <v>0</v>
      </c>
      <c r="AV144" s="1" t="n">
        <f aca="false">IF(B144="",0,IF(COUNTIF($B$6:$B$860,B144)&gt;1,1,0))</f>
        <v>0</v>
      </c>
      <c r="AX144" s="269" t="str">
        <f aca="false">IF(AY144=1,DATE(YEAR(O144),MONTH(O144),1),"")</f>
        <v/>
      </c>
      <c r="AY144" s="1" t="n">
        <f aca="false">IF(B144="",0,IF(AND(ISNUMBER(O144),ISNUMBER(P144)),IF(P144&gt;=O144,1,0),0))</f>
        <v>0</v>
      </c>
      <c r="AZ144" s="1" t="n">
        <f aca="false">IF(ISNUMBER(Y144),Y144,0)</f>
        <v>0</v>
      </c>
      <c r="BA144" s="1" t="str">
        <f aca="false">IF(B144="","",IF(AND(R144="WON",AS144=0),"⛔ Beleg fehlt · ","")&amp;IF(AND(R144="WON",AR144=0),"⛔ Einstand fehlt · ","")&amp;IF(AND(R144&lt;&gt;"WON",AR144=0),"○ Einstand offen · ","")&amp;IF(AND(R144="WON",AB144=""),"⛔ Vertragsart fehlt · ","")&amp;IF(AND(ISNUMBER(O144),ISNUMBER(P144)),IF(P144&lt;O144,"⚠ Ende vor Start · ",""),"")&amp;IF(AND(R144="WON",AY144=0,NOT(AND(ISNUMBER(O144),ISNUMBER(P144)))),"⛔ Zeitraum fehlt · ","")&amp;IF(AND(R144&lt;&gt;"WON",AY144=0,NOT(AND(ISNUMBER(O144),ISNUMBER(P144)))),"○ Zeitraum offen · ",""))</f>
        <v/>
      </c>
      <c r="BB144" s="1" t="str">
        <f aca="false">IF(B144="","",IF(AND(R144="WON",AS144=0),"⛔ Nachweis fehlt",IF(AND(ISNUMBER(O144),ISNUMBER(P144),P144&lt;O144),"⚠ Ende vor Start",IF(AND(R144="WON",AY144=0),"⛔ Zeitraum fehlt",IF(AR144=0,"○ Einstand offen",IF(AY144=0,"○ Zeitraum offen",IF(R144="WON","✅ belegt","✔ erfasst")))))))</f>
        <v/>
      </c>
    </row>
    <row r="145" customFormat="false" ht="15" hidden="false" customHeight="true" outlineLevel="0" collapsed="false">
      <c r="G145" s="1" t="str">
        <f aca="false">IF(B145="","",IF(AY145=1,P145-O145+1,IF(AW145="","",AW145)))</f>
        <v/>
      </c>
      <c r="I145" s="270"/>
      <c r="J145" s="270"/>
      <c r="K145" s="270"/>
      <c r="L145" s="270"/>
      <c r="M145" s="270"/>
      <c r="N145" s="270"/>
      <c r="O145" s="263"/>
      <c r="P145" s="263"/>
      <c r="Q145" s="270" t="str">
        <f aca="false">IF(AND(ISNUMBER(I145),ISNUMBER(S145)),I145*AJ145,IF(OR(I145&lt;&gt;"",S145&lt;&gt;""),"tbd",""))</f>
        <v/>
      </c>
      <c r="S145" s="268"/>
      <c r="Y145" s="275" t="str">
        <f aca="false">IF(ISNUMBER(I145),I145/Netto_Faktor,"")</f>
        <v/>
      </c>
      <c r="Z145" s="275" t="str">
        <f aca="false">IF(B145="","",IF(COUNT(J145:N145)=0,"",SUM(J145:N145)))</f>
        <v/>
      </c>
      <c r="AA145" s="266"/>
      <c r="AB145" s="266"/>
      <c r="AC145" s="266"/>
      <c r="AD145" s="266"/>
      <c r="AE145" s="266"/>
      <c r="AF145" s="266"/>
      <c r="AG145" s="267"/>
      <c r="AH145" s="266" t="str">
        <f aca="false">IF(B145="","",IF(BA145="",IF(R145="WON","✅ belegt &amp; vollständig","✔ vollständig"),LEFT(BA145,LEN(BA145)-3)))</f>
        <v/>
      </c>
      <c r="AJ145" s="268" t="n">
        <f aca="false">IF(ISNUMBER(S145),IFERROR(LOOKUP(IF(S145&lt;=1,S145,S145/100),'⚖️ Wahrscheinlichkeit'!$B$17:$B$21,'⚖️ Wahrscheinlichkeit'!$D$17:$D$21),0),0)</f>
        <v>0</v>
      </c>
      <c r="AK145" s="1" t="str">
        <f aca="false">IF(AND(R145="WON",ISNUMBER(I145)),AL145+(861-ROW())*0.000001,"")</f>
        <v/>
      </c>
      <c r="AL145" s="1" t="n">
        <f aca="false">IFERROR(I145*1,0)</f>
        <v>0</v>
      </c>
      <c r="AM145" s="1" t="n">
        <f aca="false">N(AM144)+IF(AND(R145="WON",B145&lt;&gt;""),1,0)</f>
        <v>12</v>
      </c>
      <c r="AN145" s="1" t="n">
        <f aca="false">N(AN144)+IF(AND(OR(R145="offered",R145="to be offered",R145="on hold"),B145&lt;&gt;""),1,0)</f>
        <v>33</v>
      </c>
      <c r="AO145" s="1" t="n">
        <f aca="false">N(AO144)+IF(AND(OR(R145="follow-up",R145="Evaluation",R145="tbd",R145="In evaluation"),B145&lt;&gt;""),1,0)</f>
        <v>1</v>
      </c>
      <c r="AP145" s="1" t="n">
        <f aca="false">IF(B145="",0,IF(COUNTIF('⚖️ Wahrscheinlichkeit'!$J$17:$J$24,R145)&gt;0,1,0))</f>
        <v>0</v>
      </c>
      <c r="AQ145" s="1" t="n">
        <f aca="false">IF(B145="",0,IF(AND(ISNUMBER(S145),COUNTIF('⚖️ Wahrscheinlichkeit'!$B$6:$B$11,S145)&gt;0),1,0))</f>
        <v>0</v>
      </c>
      <c r="AR145" s="1" t="n">
        <f aca="false">IF(B145="",0,IF(AND(COUNT(J145:M145)=4,SUM(J145:M145)&gt;0),1,0))</f>
        <v>0</v>
      </c>
      <c r="AS145" s="1" t="n">
        <f aca="false">IF(B145="",0,IF(AND(AF145&lt;&gt;"",AG145&lt;&gt;""),1,0))</f>
        <v>0</v>
      </c>
      <c r="AT145" s="1" t="n">
        <f aca="false">IF(AND(R145="WON",AS145=1,AR145=1),1,0)</f>
        <v>0</v>
      </c>
      <c r="AU145" s="1" t="n">
        <f aca="false">IF(B145="",0,IF(AD145="Alternative – zählt nicht",0,1))</f>
        <v>0</v>
      </c>
      <c r="AV145" s="1" t="n">
        <f aca="false">IF(B145="",0,IF(COUNTIF($B$6:$B$860,B145)&gt;1,1,0))</f>
        <v>0</v>
      </c>
      <c r="AX145" s="269" t="str">
        <f aca="false">IF(AY145=1,DATE(YEAR(O145),MONTH(O145),1),"")</f>
        <v/>
      </c>
      <c r="AY145" s="1" t="n">
        <f aca="false">IF(B145="",0,IF(AND(ISNUMBER(O145),ISNUMBER(P145)),IF(P145&gt;=O145,1,0),0))</f>
        <v>0</v>
      </c>
      <c r="AZ145" s="1" t="n">
        <f aca="false">IF(ISNUMBER(Y145),Y145,0)</f>
        <v>0</v>
      </c>
      <c r="BA145" s="1" t="str">
        <f aca="false">IF(B145="","",IF(AND(R145="WON",AS145=0),"⛔ Beleg fehlt · ","")&amp;IF(AND(R145="WON",AR145=0),"⛔ Einstand fehlt · ","")&amp;IF(AND(R145&lt;&gt;"WON",AR145=0),"○ Einstand offen · ","")&amp;IF(AND(R145="WON",AB145=""),"⛔ Vertragsart fehlt · ","")&amp;IF(AND(ISNUMBER(O145),ISNUMBER(P145)),IF(P145&lt;O145,"⚠ Ende vor Start · ",""),"")&amp;IF(AND(R145="WON",AY145=0,NOT(AND(ISNUMBER(O145),ISNUMBER(P145)))),"⛔ Zeitraum fehlt · ","")&amp;IF(AND(R145&lt;&gt;"WON",AY145=0,NOT(AND(ISNUMBER(O145),ISNUMBER(P145)))),"○ Zeitraum offen · ",""))</f>
        <v/>
      </c>
      <c r="BB145" s="1" t="str">
        <f aca="false">IF(B145="","",IF(AND(R145="WON",AS145=0),"⛔ Nachweis fehlt",IF(AND(ISNUMBER(O145),ISNUMBER(P145),P145&lt;O145),"⚠ Ende vor Start",IF(AND(R145="WON",AY145=0),"⛔ Zeitraum fehlt",IF(AR145=0,"○ Einstand offen",IF(AY145=0,"○ Zeitraum offen",IF(R145="WON","✅ belegt","✔ erfasst")))))))</f>
        <v/>
      </c>
    </row>
    <row r="146" customFormat="false" ht="15" hidden="false" customHeight="true" outlineLevel="0" collapsed="false">
      <c r="G146" s="1" t="str">
        <f aca="false">IF(B146="","",IF(AY146=1,P146-O146+1,IF(AW146="","",AW146)))</f>
        <v/>
      </c>
      <c r="I146" s="270"/>
      <c r="J146" s="270"/>
      <c r="K146" s="270"/>
      <c r="L146" s="270"/>
      <c r="M146" s="270"/>
      <c r="N146" s="270"/>
      <c r="O146" s="263"/>
      <c r="P146" s="263"/>
      <c r="Q146" s="270" t="str">
        <f aca="false">IF(AND(ISNUMBER(I146),ISNUMBER(S146)),I146*AJ146,IF(OR(I146&lt;&gt;"",S146&lt;&gt;""),"tbd",""))</f>
        <v/>
      </c>
      <c r="S146" s="268"/>
      <c r="Y146" s="275" t="str">
        <f aca="false">IF(ISNUMBER(I146),I146/Netto_Faktor,"")</f>
        <v/>
      </c>
      <c r="Z146" s="275" t="str">
        <f aca="false">IF(B146="","",IF(COUNT(J146:N146)=0,"",SUM(J146:N146)))</f>
        <v/>
      </c>
      <c r="AA146" s="266"/>
      <c r="AB146" s="266"/>
      <c r="AC146" s="266"/>
      <c r="AD146" s="266"/>
      <c r="AE146" s="266"/>
      <c r="AF146" s="266"/>
      <c r="AG146" s="267"/>
      <c r="AH146" s="266" t="str">
        <f aca="false">IF(B146="","",IF(BA146="",IF(R146="WON","✅ belegt &amp; vollständig","✔ vollständig"),LEFT(BA146,LEN(BA146)-3)))</f>
        <v/>
      </c>
      <c r="AJ146" s="268" t="n">
        <f aca="false">IF(ISNUMBER(S146),IFERROR(LOOKUP(IF(S146&lt;=1,S146,S146/100),'⚖️ Wahrscheinlichkeit'!$B$17:$B$21,'⚖️ Wahrscheinlichkeit'!$D$17:$D$21),0),0)</f>
        <v>0</v>
      </c>
      <c r="AK146" s="1" t="str">
        <f aca="false">IF(AND(R146="WON",ISNUMBER(I146)),AL146+(861-ROW())*0.000001,"")</f>
        <v/>
      </c>
      <c r="AL146" s="1" t="n">
        <f aca="false">IFERROR(I146*1,0)</f>
        <v>0</v>
      </c>
      <c r="AM146" s="1" t="n">
        <f aca="false">N(AM145)+IF(AND(R146="WON",B146&lt;&gt;""),1,0)</f>
        <v>12</v>
      </c>
      <c r="AN146" s="1" t="n">
        <f aca="false">N(AN145)+IF(AND(OR(R146="offered",R146="to be offered",R146="on hold"),B146&lt;&gt;""),1,0)</f>
        <v>33</v>
      </c>
      <c r="AO146" s="1" t="n">
        <f aca="false">N(AO145)+IF(AND(OR(R146="follow-up",R146="Evaluation",R146="tbd",R146="In evaluation"),B146&lt;&gt;""),1,0)</f>
        <v>1</v>
      </c>
      <c r="AP146" s="1" t="n">
        <f aca="false">IF(B146="",0,IF(COUNTIF('⚖️ Wahrscheinlichkeit'!$J$17:$J$24,R146)&gt;0,1,0))</f>
        <v>0</v>
      </c>
      <c r="AQ146" s="1" t="n">
        <f aca="false">IF(B146="",0,IF(AND(ISNUMBER(S146),COUNTIF('⚖️ Wahrscheinlichkeit'!$B$6:$B$11,S146)&gt;0),1,0))</f>
        <v>0</v>
      </c>
      <c r="AR146" s="1" t="n">
        <f aca="false">IF(B146="",0,IF(AND(COUNT(J146:M146)=4,SUM(J146:M146)&gt;0),1,0))</f>
        <v>0</v>
      </c>
      <c r="AS146" s="1" t="n">
        <f aca="false">IF(B146="",0,IF(AND(AF146&lt;&gt;"",AG146&lt;&gt;""),1,0))</f>
        <v>0</v>
      </c>
      <c r="AT146" s="1" t="n">
        <f aca="false">IF(AND(R146="WON",AS146=1,AR146=1),1,0)</f>
        <v>0</v>
      </c>
      <c r="AU146" s="1" t="n">
        <f aca="false">IF(B146="",0,IF(AD146="Alternative – zählt nicht",0,1))</f>
        <v>0</v>
      </c>
      <c r="AV146" s="1" t="n">
        <f aca="false">IF(B146="",0,IF(COUNTIF($B$6:$B$860,B146)&gt;1,1,0))</f>
        <v>0</v>
      </c>
      <c r="AX146" s="269" t="str">
        <f aca="false">IF(AY146=1,DATE(YEAR(O146),MONTH(O146),1),"")</f>
        <v/>
      </c>
      <c r="AY146" s="1" t="n">
        <f aca="false">IF(B146="",0,IF(AND(ISNUMBER(O146),ISNUMBER(P146)),IF(P146&gt;=O146,1,0),0))</f>
        <v>0</v>
      </c>
      <c r="AZ146" s="1" t="n">
        <f aca="false">IF(ISNUMBER(Y146),Y146,0)</f>
        <v>0</v>
      </c>
      <c r="BA146" s="1" t="str">
        <f aca="false">IF(B146="","",IF(AND(R146="WON",AS146=0),"⛔ Beleg fehlt · ","")&amp;IF(AND(R146="WON",AR146=0),"⛔ Einstand fehlt · ","")&amp;IF(AND(R146&lt;&gt;"WON",AR146=0),"○ Einstand offen · ","")&amp;IF(AND(R146="WON",AB146=""),"⛔ Vertragsart fehlt · ","")&amp;IF(AND(ISNUMBER(O146),ISNUMBER(P146)),IF(P146&lt;O146,"⚠ Ende vor Start · ",""),"")&amp;IF(AND(R146="WON",AY146=0,NOT(AND(ISNUMBER(O146),ISNUMBER(P146)))),"⛔ Zeitraum fehlt · ","")&amp;IF(AND(R146&lt;&gt;"WON",AY146=0,NOT(AND(ISNUMBER(O146),ISNUMBER(P146)))),"○ Zeitraum offen · ",""))</f>
        <v/>
      </c>
      <c r="BB146" s="1" t="str">
        <f aca="false">IF(B146="","",IF(AND(R146="WON",AS146=0),"⛔ Nachweis fehlt",IF(AND(ISNUMBER(O146),ISNUMBER(P146),P146&lt;O146),"⚠ Ende vor Start",IF(AND(R146="WON",AY146=0),"⛔ Zeitraum fehlt",IF(AR146=0,"○ Einstand offen",IF(AY146=0,"○ Zeitraum offen",IF(R146="WON","✅ belegt","✔ erfasst")))))))</f>
        <v/>
      </c>
    </row>
    <row r="147" customFormat="false" ht="15" hidden="false" customHeight="true" outlineLevel="0" collapsed="false">
      <c r="G147" s="1" t="str">
        <f aca="false">IF(B147="","",IF(AY147=1,P147-O147+1,IF(AW147="","",AW147)))</f>
        <v/>
      </c>
      <c r="I147" s="270"/>
      <c r="J147" s="270"/>
      <c r="K147" s="270"/>
      <c r="L147" s="270"/>
      <c r="M147" s="270"/>
      <c r="N147" s="270"/>
      <c r="O147" s="263"/>
      <c r="P147" s="263"/>
      <c r="Q147" s="270" t="str">
        <f aca="false">IF(AND(ISNUMBER(I147),ISNUMBER(S147)),I147*AJ147,IF(OR(I147&lt;&gt;"",S147&lt;&gt;""),"tbd",""))</f>
        <v/>
      </c>
      <c r="S147" s="268"/>
      <c r="Y147" s="275" t="str">
        <f aca="false">IF(ISNUMBER(I147),I147/Netto_Faktor,"")</f>
        <v/>
      </c>
      <c r="Z147" s="275" t="str">
        <f aca="false">IF(B147="","",IF(COUNT(J147:N147)=0,"",SUM(J147:N147)))</f>
        <v/>
      </c>
      <c r="AA147" s="266"/>
      <c r="AB147" s="266"/>
      <c r="AC147" s="266"/>
      <c r="AD147" s="266"/>
      <c r="AE147" s="266"/>
      <c r="AF147" s="266"/>
      <c r="AG147" s="267"/>
      <c r="AH147" s="266" t="str">
        <f aca="false">IF(B147="","",IF(BA147="",IF(R147="WON","✅ belegt &amp; vollständig","✔ vollständig"),LEFT(BA147,LEN(BA147)-3)))</f>
        <v/>
      </c>
      <c r="AJ147" s="268" t="n">
        <f aca="false">IF(ISNUMBER(S147),IFERROR(LOOKUP(IF(S147&lt;=1,S147,S147/100),'⚖️ Wahrscheinlichkeit'!$B$17:$B$21,'⚖️ Wahrscheinlichkeit'!$D$17:$D$21),0),0)</f>
        <v>0</v>
      </c>
      <c r="AK147" s="1" t="str">
        <f aca="false">IF(AND(R147="WON",ISNUMBER(I147)),AL147+(861-ROW())*0.000001,"")</f>
        <v/>
      </c>
      <c r="AL147" s="1" t="n">
        <f aca="false">IFERROR(I147*1,0)</f>
        <v>0</v>
      </c>
      <c r="AM147" s="1" t="n">
        <f aca="false">N(AM146)+IF(AND(R147="WON",B147&lt;&gt;""),1,0)</f>
        <v>12</v>
      </c>
      <c r="AN147" s="1" t="n">
        <f aca="false">N(AN146)+IF(AND(OR(R147="offered",R147="to be offered",R147="on hold"),B147&lt;&gt;""),1,0)</f>
        <v>33</v>
      </c>
      <c r="AO147" s="1" t="n">
        <f aca="false">N(AO146)+IF(AND(OR(R147="follow-up",R147="Evaluation",R147="tbd",R147="In evaluation"),B147&lt;&gt;""),1,0)</f>
        <v>1</v>
      </c>
      <c r="AP147" s="1" t="n">
        <f aca="false">IF(B147="",0,IF(COUNTIF('⚖️ Wahrscheinlichkeit'!$J$17:$J$24,R147)&gt;0,1,0))</f>
        <v>0</v>
      </c>
      <c r="AQ147" s="1" t="n">
        <f aca="false">IF(B147="",0,IF(AND(ISNUMBER(S147),COUNTIF('⚖️ Wahrscheinlichkeit'!$B$6:$B$11,S147)&gt;0),1,0))</f>
        <v>0</v>
      </c>
      <c r="AR147" s="1" t="n">
        <f aca="false">IF(B147="",0,IF(AND(COUNT(J147:M147)=4,SUM(J147:M147)&gt;0),1,0))</f>
        <v>0</v>
      </c>
      <c r="AS147" s="1" t="n">
        <f aca="false">IF(B147="",0,IF(AND(AF147&lt;&gt;"",AG147&lt;&gt;""),1,0))</f>
        <v>0</v>
      </c>
      <c r="AT147" s="1" t="n">
        <f aca="false">IF(AND(R147="WON",AS147=1,AR147=1),1,0)</f>
        <v>0</v>
      </c>
      <c r="AU147" s="1" t="n">
        <f aca="false">IF(B147="",0,IF(AD147="Alternative – zählt nicht",0,1))</f>
        <v>0</v>
      </c>
      <c r="AV147" s="1" t="n">
        <f aca="false">IF(B147="",0,IF(COUNTIF($B$6:$B$860,B147)&gt;1,1,0))</f>
        <v>0</v>
      </c>
      <c r="AX147" s="269" t="str">
        <f aca="false">IF(AY147=1,DATE(YEAR(O147),MONTH(O147),1),"")</f>
        <v/>
      </c>
      <c r="AY147" s="1" t="n">
        <f aca="false">IF(B147="",0,IF(AND(ISNUMBER(O147),ISNUMBER(P147)),IF(P147&gt;=O147,1,0),0))</f>
        <v>0</v>
      </c>
      <c r="AZ147" s="1" t="n">
        <f aca="false">IF(ISNUMBER(Y147),Y147,0)</f>
        <v>0</v>
      </c>
      <c r="BA147" s="1" t="str">
        <f aca="false">IF(B147="","",IF(AND(R147="WON",AS147=0),"⛔ Beleg fehlt · ","")&amp;IF(AND(R147="WON",AR147=0),"⛔ Einstand fehlt · ","")&amp;IF(AND(R147&lt;&gt;"WON",AR147=0),"○ Einstand offen · ","")&amp;IF(AND(R147="WON",AB147=""),"⛔ Vertragsart fehlt · ","")&amp;IF(AND(ISNUMBER(O147),ISNUMBER(P147)),IF(P147&lt;O147,"⚠ Ende vor Start · ",""),"")&amp;IF(AND(R147="WON",AY147=0,NOT(AND(ISNUMBER(O147),ISNUMBER(P147)))),"⛔ Zeitraum fehlt · ","")&amp;IF(AND(R147&lt;&gt;"WON",AY147=0,NOT(AND(ISNUMBER(O147),ISNUMBER(P147)))),"○ Zeitraum offen · ",""))</f>
        <v/>
      </c>
      <c r="BB147" s="1" t="str">
        <f aca="false">IF(B147="","",IF(AND(R147="WON",AS147=0),"⛔ Nachweis fehlt",IF(AND(ISNUMBER(O147),ISNUMBER(P147),P147&lt;O147),"⚠ Ende vor Start",IF(AND(R147="WON",AY147=0),"⛔ Zeitraum fehlt",IF(AR147=0,"○ Einstand offen",IF(AY147=0,"○ Zeitraum offen",IF(R147="WON","✅ belegt","✔ erfasst")))))))</f>
        <v/>
      </c>
    </row>
    <row r="148" customFormat="false" ht="15" hidden="false" customHeight="true" outlineLevel="0" collapsed="false">
      <c r="G148" s="1" t="str">
        <f aca="false">IF(B148="","",IF(AY148=1,P148-O148+1,IF(AW148="","",AW148)))</f>
        <v/>
      </c>
      <c r="I148" s="270"/>
      <c r="J148" s="270"/>
      <c r="K148" s="270"/>
      <c r="L148" s="270"/>
      <c r="M148" s="270"/>
      <c r="N148" s="270"/>
      <c r="O148" s="263"/>
      <c r="P148" s="263"/>
      <c r="Q148" s="270" t="str">
        <f aca="false">IF(AND(ISNUMBER(I148),ISNUMBER(S148)),I148*AJ148,IF(OR(I148&lt;&gt;"",S148&lt;&gt;""),"tbd",""))</f>
        <v/>
      </c>
      <c r="S148" s="268"/>
      <c r="Y148" s="275" t="str">
        <f aca="false">IF(ISNUMBER(I148),I148/Netto_Faktor,"")</f>
        <v/>
      </c>
      <c r="Z148" s="275" t="str">
        <f aca="false">IF(B148="","",IF(COUNT(J148:N148)=0,"",SUM(J148:N148)))</f>
        <v/>
      </c>
      <c r="AA148" s="266"/>
      <c r="AB148" s="266"/>
      <c r="AC148" s="266"/>
      <c r="AD148" s="266"/>
      <c r="AE148" s="266"/>
      <c r="AF148" s="266"/>
      <c r="AG148" s="267"/>
      <c r="AH148" s="266" t="str">
        <f aca="false">IF(B148="","",IF(BA148="",IF(R148="WON","✅ belegt &amp; vollständig","✔ vollständig"),LEFT(BA148,LEN(BA148)-3)))</f>
        <v/>
      </c>
      <c r="AJ148" s="268" t="n">
        <f aca="false">IF(ISNUMBER(S148),IFERROR(LOOKUP(IF(S148&lt;=1,S148,S148/100),'⚖️ Wahrscheinlichkeit'!$B$17:$B$21,'⚖️ Wahrscheinlichkeit'!$D$17:$D$21),0),0)</f>
        <v>0</v>
      </c>
      <c r="AK148" s="1" t="str">
        <f aca="false">IF(AND(R148="WON",ISNUMBER(I148)),AL148+(861-ROW())*0.000001,"")</f>
        <v/>
      </c>
      <c r="AL148" s="1" t="n">
        <f aca="false">IFERROR(I148*1,0)</f>
        <v>0</v>
      </c>
      <c r="AM148" s="1" t="n">
        <f aca="false">N(AM147)+IF(AND(R148="WON",B148&lt;&gt;""),1,0)</f>
        <v>12</v>
      </c>
      <c r="AN148" s="1" t="n">
        <f aca="false">N(AN147)+IF(AND(OR(R148="offered",R148="to be offered",R148="on hold"),B148&lt;&gt;""),1,0)</f>
        <v>33</v>
      </c>
      <c r="AO148" s="1" t="n">
        <f aca="false">N(AO147)+IF(AND(OR(R148="follow-up",R148="Evaluation",R148="tbd",R148="In evaluation"),B148&lt;&gt;""),1,0)</f>
        <v>1</v>
      </c>
      <c r="AP148" s="1" t="n">
        <f aca="false">IF(B148="",0,IF(COUNTIF('⚖️ Wahrscheinlichkeit'!$J$17:$J$24,R148)&gt;0,1,0))</f>
        <v>0</v>
      </c>
      <c r="AQ148" s="1" t="n">
        <f aca="false">IF(B148="",0,IF(AND(ISNUMBER(S148),COUNTIF('⚖️ Wahrscheinlichkeit'!$B$6:$B$11,S148)&gt;0),1,0))</f>
        <v>0</v>
      </c>
      <c r="AR148" s="1" t="n">
        <f aca="false">IF(B148="",0,IF(AND(COUNT(J148:M148)=4,SUM(J148:M148)&gt;0),1,0))</f>
        <v>0</v>
      </c>
      <c r="AS148" s="1" t="n">
        <f aca="false">IF(B148="",0,IF(AND(AF148&lt;&gt;"",AG148&lt;&gt;""),1,0))</f>
        <v>0</v>
      </c>
      <c r="AT148" s="1" t="n">
        <f aca="false">IF(AND(R148="WON",AS148=1,AR148=1),1,0)</f>
        <v>0</v>
      </c>
      <c r="AU148" s="1" t="n">
        <f aca="false">IF(B148="",0,IF(AD148="Alternative – zählt nicht",0,1))</f>
        <v>0</v>
      </c>
      <c r="AV148" s="1" t="n">
        <f aca="false">IF(B148="",0,IF(COUNTIF($B$6:$B$860,B148)&gt;1,1,0))</f>
        <v>0</v>
      </c>
      <c r="AX148" s="269" t="str">
        <f aca="false">IF(AY148=1,DATE(YEAR(O148),MONTH(O148),1),"")</f>
        <v/>
      </c>
      <c r="AY148" s="1" t="n">
        <f aca="false">IF(B148="",0,IF(AND(ISNUMBER(O148),ISNUMBER(P148)),IF(P148&gt;=O148,1,0),0))</f>
        <v>0</v>
      </c>
      <c r="AZ148" s="1" t="n">
        <f aca="false">IF(ISNUMBER(Y148),Y148,0)</f>
        <v>0</v>
      </c>
      <c r="BA148" s="1" t="str">
        <f aca="false">IF(B148="","",IF(AND(R148="WON",AS148=0),"⛔ Beleg fehlt · ","")&amp;IF(AND(R148="WON",AR148=0),"⛔ Einstand fehlt · ","")&amp;IF(AND(R148&lt;&gt;"WON",AR148=0),"○ Einstand offen · ","")&amp;IF(AND(R148="WON",AB148=""),"⛔ Vertragsart fehlt · ","")&amp;IF(AND(ISNUMBER(O148),ISNUMBER(P148)),IF(P148&lt;O148,"⚠ Ende vor Start · ",""),"")&amp;IF(AND(R148="WON",AY148=0,NOT(AND(ISNUMBER(O148),ISNUMBER(P148)))),"⛔ Zeitraum fehlt · ","")&amp;IF(AND(R148&lt;&gt;"WON",AY148=0,NOT(AND(ISNUMBER(O148),ISNUMBER(P148)))),"○ Zeitraum offen · ",""))</f>
        <v/>
      </c>
      <c r="BB148" s="1" t="str">
        <f aca="false">IF(B148="","",IF(AND(R148="WON",AS148=0),"⛔ Nachweis fehlt",IF(AND(ISNUMBER(O148),ISNUMBER(P148),P148&lt;O148),"⚠ Ende vor Start",IF(AND(R148="WON",AY148=0),"⛔ Zeitraum fehlt",IF(AR148=0,"○ Einstand offen",IF(AY148=0,"○ Zeitraum offen",IF(R148="WON","✅ belegt","✔ erfasst")))))))</f>
        <v/>
      </c>
    </row>
    <row r="149" customFormat="false" ht="15" hidden="false" customHeight="true" outlineLevel="0" collapsed="false">
      <c r="G149" s="1" t="str">
        <f aca="false">IF(B149="","",IF(AY149=1,P149-O149+1,IF(AW149="","",AW149)))</f>
        <v/>
      </c>
      <c r="I149" s="270"/>
      <c r="J149" s="270"/>
      <c r="K149" s="270"/>
      <c r="L149" s="270"/>
      <c r="M149" s="270"/>
      <c r="N149" s="270"/>
      <c r="O149" s="263"/>
      <c r="P149" s="263"/>
      <c r="Q149" s="270" t="str">
        <f aca="false">IF(AND(ISNUMBER(I149),ISNUMBER(S149)),I149*AJ149,IF(OR(I149&lt;&gt;"",S149&lt;&gt;""),"tbd",""))</f>
        <v/>
      </c>
      <c r="S149" s="268"/>
      <c r="Y149" s="275" t="str">
        <f aca="false">IF(ISNUMBER(I149),I149/Netto_Faktor,"")</f>
        <v/>
      </c>
      <c r="Z149" s="275" t="str">
        <f aca="false">IF(B149="","",IF(COUNT(J149:N149)=0,"",SUM(J149:N149)))</f>
        <v/>
      </c>
      <c r="AA149" s="266"/>
      <c r="AB149" s="266"/>
      <c r="AC149" s="266"/>
      <c r="AD149" s="266"/>
      <c r="AE149" s="266"/>
      <c r="AF149" s="266"/>
      <c r="AG149" s="267"/>
      <c r="AH149" s="266" t="str">
        <f aca="false">IF(B149="","",IF(BA149="",IF(R149="WON","✅ belegt &amp; vollständig","✔ vollständig"),LEFT(BA149,LEN(BA149)-3)))</f>
        <v/>
      </c>
      <c r="AJ149" s="268" t="n">
        <f aca="false">IF(ISNUMBER(S149),IFERROR(LOOKUP(IF(S149&lt;=1,S149,S149/100),'⚖️ Wahrscheinlichkeit'!$B$17:$B$21,'⚖️ Wahrscheinlichkeit'!$D$17:$D$21),0),0)</f>
        <v>0</v>
      </c>
      <c r="AK149" s="1" t="str">
        <f aca="false">IF(AND(R149="WON",ISNUMBER(I149)),AL149+(861-ROW())*0.000001,"")</f>
        <v/>
      </c>
      <c r="AL149" s="1" t="n">
        <f aca="false">IFERROR(I149*1,0)</f>
        <v>0</v>
      </c>
      <c r="AM149" s="1" t="n">
        <f aca="false">N(AM148)+IF(AND(R149="WON",B149&lt;&gt;""),1,0)</f>
        <v>12</v>
      </c>
      <c r="AN149" s="1" t="n">
        <f aca="false">N(AN148)+IF(AND(OR(R149="offered",R149="to be offered",R149="on hold"),B149&lt;&gt;""),1,0)</f>
        <v>33</v>
      </c>
      <c r="AO149" s="1" t="n">
        <f aca="false">N(AO148)+IF(AND(OR(R149="follow-up",R149="Evaluation",R149="tbd",R149="In evaluation"),B149&lt;&gt;""),1,0)</f>
        <v>1</v>
      </c>
      <c r="AP149" s="1" t="n">
        <f aca="false">IF(B149="",0,IF(COUNTIF('⚖️ Wahrscheinlichkeit'!$J$17:$J$24,R149)&gt;0,1,0))</f>
        <v>0</v>
      </c>
      <c r="AQ149" s="1" t="n">
        <f aca="false">IF(B149="",0,IF(AND(ISNUMBER(S149),COUNTIF('⚖️ Wahrscheinlichkeit'!$B$6:$B$11,S149)&gt;0),1,0))</f>
        <v>0</v>
      </c>
      <c r="AR149" s="1" t="n">
        <f aca="false">IF(B149="",0,IF(AND(COUNT(J149:M149)=4,SUM(J149:M149)&gt;0),1,0))</f>
        <v>0</v>
      </c>
      <c r="AS149" s="1" t="n">
        <f aca="false">IF(B149="",0,IF(AND(AF149&lt;&gt;"",AG149&lt;&gt;""),1,0))</f>
        <v>0</v>
      </c>
      <c r="AT149" s="1" t="n">
        <f aca="false">IF(AND(R149="WON",AS149=1,AR149=1),1,0)</f>
        <v>0</v>
      </c>
      <c r="AU149" s="1" t="n">
        <f aca="false">IF(B149="",0,IF(AD149="Alternative – zählt nicht",0,1))</f>
        <v>0</v>
      </c>
      <c r="AV149" s="1" t="n">
        <f aca="false">IF(B149="",0,IF(COUNTIF($B$6:$B$860,B149)&gt;1,1,0))</f>
        <v>0</v>
      </c>
      <c r="AX149" s="269" t="str">
        <f aca="false">IF(AY149=1,DATE(YEAR(O149),MONTH(O149),1),"")</f>
        <v/>
      </c>
      <c r="AY149" s="1" t="n">
        <f aca="false">IF(B149="",0,IF(AND(ISNUMBER(O149),ISNUMBER(P149)),IF(P149&gt;=O149,1,0),0))</f>
        <v>0</v>
      </c>
      <c r="AZ149" s="1" t="n">
        <f aca="false">IF(ISNUMBER(Y149),Y149,0)</f>
        <v>0</v>
      </c>
      <c r="BA149" s="1" t="str">
        <f aca="false">IF(B149="","",IF(AND(R149="WON",AS149=0),"⛔ Beleg fehlt · ","")&amp;IF(AND(R149="WON",AR149=0),"⛔ Einstand fehlt · ","")&amp;IF(AND(R149&lt;&gt;"WON",AR149=0),"○ Einstand offen · ","")&amp;IF(AND(R149="WON",AB149=""),"⛔ Vertragsart fehlt · ","")&amp;IF(AND(ISNUMBER(O149),ISNUMBER(P149)),IF(P149&lt;O149,"⚠ Ende vor Start · ",""),"")&amp;IF(AND(R149="WON",AY149=0,NOT(AND(ISNUMBER(O149),ISNUMBER(P149)))),"⛔ Zeitraum fehlt · ","")&amp;IF(AND(R149&lt;&gt;"WON",AY149=0,NOT(AND(ISNUMBER(O149),ISNUMBER(P149)))),"○ Zeitraum offen · ",""))</f>
        <v/>
      </c>
      <c r="BB149" s="1" t="str">
        <f aca="false">IF(B149="","",IF(AND(R149="WON",AS149=0),"⛔ Nachweis fehlt",IF(AND(ISNUMBER(O149),ISNUMBER(P149),P149&lt;O149),"⚠ Ende vor Start",IF(AND(R149="WON",AY149=0),"⛔ Zeitraum fehlt",IF(AR149=0,"○ Einstand offen",IF(AY149=0,"○ Zeitraum offen",IF(R149="WON","✅ belegt","✔ erfasst")))))))</f>
        <v/>
      </c>
    </row>
    <row r="150" customFormat="false" ht="15" hidden="false" customHeight="true" outlineLevel="0" collapsed="false">
      <c r="G150" s="1" t="str">
        <f aca="false">IF(B150="","",IF(AY150=1,P150-O150+1,IF(AW150="","",AW150)))</f>
        <v/>
      </c>
      <c r="I150" s="270"/>
      <c r="J150" s="270"/>
      <c r="K150" s="270"/>
      <c r="L150" s="270"/>
      <c r="M150" s="270"/>
      <c r="N150" s="270"/>
      <c r="O150" s="263"/>
      <c r="P150" s="263"/>
      <c r="Q150" s="270" t="str">
        <f aca="false">IF(AND(ISNUMBER(I150),ISNUMBER(S150)),I150*AJ150,IF(OR(I150&lt;&gt;"",S150&lt;&gt;""),"tbd",""))</f>
        <v/>
      </c>
      <c r="S150" s="268"/>
      <c r="Y150" s="275" t="str">
        <f aca="false">IF(ISNUMBER(I150),I150/Netto_Faktor,"")</f>
        <v/>
      </c>
      <c r="Z150" s="275" t="str">
        <f aca="false">IF(B150="","",IF(COUNT(J150:N150)=0,"",SUM(J150:N150)))</f>
        <v/>
      </c>
      <c r="AA150" s="266"/>
      <c r="AB150" s="266"/>
      <c r="AC150" s="266"/>
      <c r="AD150" s="266"/>
      <c r="AE150" s="266"/>
      <c r="AF150" s="266"/>
      <c r="AG150" s="267"/>
      <c r="AH150" s="266" t="str">
        <f aca="false">IF(B150="","",IF(BA150="",IF(R150="WON","✅ belegt &amp; vollständig","✔ vollständig"),LEFT(BA150,LEN(BA150)-3)))</f>
        <v/>
      </c>
      <c r="AJ150" s="268" t="n">
        <f aca="false">IF(ISNUMBER(S150),IFERROR(LOOKUP(IF(S150&lt;=1,S150,S150/100),'⚖️ Wahrscheinlichkeit'!$B$17:$B$21,'⚖️ Wahrscheinlichkeit'!$D$17:$D$21),0),0)</f>
        <v>0</v>
      </c>
      <c r="AK150" s="1" t="str">
        <f aca="false">IF(AND(R150="WON",ISNUMBER(I150)),AL150+(861-ROW())*0.000001,"")</f>
        <v/>
      </c>
      <c r="AL150" s="1" t="n">
        <f aca="false">IFERROR(I150*1,0)</f>
        <v>0</v>
      </c>
      <c r="AM150" s="1" t="n">
        <f aca="false">N(AM149)+IF(AND(R150="WON",B150&lt;&gt;""),1,0)</f>
        <v>12</v>
      </c>
      <c r="AN150" s="1" t="n">
        <f aca="false">N(AN149)+IF(AND(OR(R150="offered",R150="to be offered",R150="on hold"),B150&lt;&gt;""),1,0)</f>
        <v>33</v>
      </c>
      <c r="AO150" s="1" t="n">
        <f aca="false">N(AO149)+IF(AND(OR(R150="follow-up",R150="Evaluation",R150="tbd",R150="In evaluation"),B150&lt;&gt;""),1,0)</f>
        <v>1</v>
      </c>
      <c r="AP150" s="1" t="n">
        <f aca="false">IF(B150="",0,IF(COUNTIF('⚖️ Wahrscheinlichkeit'!$J$17:$J$24,R150)&gt;0,1,0))</f>
        <v>0</v>
      </c>
      <c r="AQ150" s="1" t="n">
        <f aca="false">IF(B150="",0,IF(AND(ISNUMBER(S150),COUNTIF('⚖️ Wahrscheinlichkeit'!$B$6:$B$11,S150)&gt;0),1,0))</f>
        <v>0</v>
      </c>
      <c r="AR150" s="1" t="n">
        <f aca="false">IF(B150="",0,IF(AND(COUNT(J150:M150)=4,SUM(J150:M150)&gt;0),1,0))</f>
        <v>0</v>
      </c>
      <c r="AS150" s="1" t="n">
        <f aca="false">IF(B150="",0,IF(AND(AF150&lt;&gt;"",AG150&lt;&gt;""),1,0))</f>
        <v>0</v>
      </c>
      <c r="AT150" s="1" t="n">
        <f aca="false">IF(AND(R150="WON",AS150=1,AR150=1),1,0)</f>
        <v>0</v>
      </c>
      <c r="AU150" s="1" t="n">
        <f aca="false">IF(B150="",0,IF(AD150="Alternative – zählt nicht",0,1))</f>
        <v>0</v>
      </c>
      <c r="AV150" s="1" t="n">
        <f aca="false">IF(B150="",0,IF(COUNTIF($B$6:$B$860,B150)&gt;1,1,0))</f>
        <v>0</v>
      </c>
      <c r="AX150" s="269" t="str">
        <f aca="false">IF(AY150=1,DATE(YEAR(O150),MONTH(O150),1),"")</f>
        <v/>
      </c>
      <c r="AY150" s="1" t="n">
        <f aca="false">IF(B150="",0,IF(AND(ISNUMBER(O150),ISNUMBER(P150)),IF(P150&gt;=O150,1,0),0))</f>
        <v>0</v>
      </c>
      <c r="AZ150" s="1" t="n">
        <f aca="false">IF(ISNUMBER(Y150),Y150,0)</f>
        <v>0</v>
      </c>
      <c r="BA150" s="1" t="str">
        <f aca="false">IF(B150="","",IF(AND(R150="WON",AS150=0),"⛔ Beleg fehlt · ","")&amp;IF(AND(R150="WON",AR150=0),"⛔ Einstand fehlt · ","")&amp;IF(AND(R150&lt;&gt;"WON",AR150=0),"○ Einstand offen · ","")&amp;IF(AND(R150="WON",AB150=""),"⛔ Vertragsart fehlt · ","")&amp;IF(AND(ISNUMBER(O150),ISNUMBER(P150)),IF(P150&lt;O150,"⚠ Ende vor Start · ",""),"")&amp;IF(AND(R150="WON",AY150=0,NOT(AND(ISNUMBER(O150),ISNUMBER(P150)))),"⛔ Zeitraum fehlt · ","")&amp;IF(AND(R150&lt;&gt;"WON",AY150=0,NOT(AND(ISNUMBER(O150),ISNUMBER(P150)))),"○ Zeitraum offen · ",""))</f>
        <v/>
      </c>
      <c r="BB150" s="1" t="str">
        <f aca="false">IF(B150="","",IF(AND(R150="WON",AS150=0),"⛔ Nachweis fehlt",IF(AND(ISNUMBER(O150),ISNUMBER(P150),P150&lt;O150),"⚠ Ende vor Start",IF(AND(R150="WON",AY150=0),"⛔ Zeitraum fehlt",IF(AR150=0,"○ Einstand offen",IF(AY150=0,"○ Zeitraum offen",IF(R150="WON","✅ belegt","✔ erfasst")))))))</f>
        <v/>
      </c>
    </row>
    <row r="151" customFormat="false" ht="15" hidden="false" customHeight="true" outlineLevel="0" collapsed="false">
      <c r="G151" s="1" t="str">
        <f aca="false">IF(B151="","",IF(AY151=1,P151-O151+1,IF(AW151="","",AW151)))</f>
        <v/>
      </c>
      <c r="I151" s="270"/>
      <c r="J151" s="270"/>
      <c r="K151" s="270"/>
      <c r="L151" s="270"/>
      <c r="M151" s="270"/>
      <c r="N151" s="270"/>
      <c r="O151" s="263"/>
      <c r="P151" s="263"/>
      <c r="Q151" s="270" t="str">
        <f aca="false">IF(AND(ISNUMBER(I151),ISNUMBER(S151)),I151*AJ151,IF(OR(I151&lt;&gt;"",S151&lt;&gt;""),"tbd",""))</f>
        <v/>
      </c>
      <c r="S151" s="268"/>
      <c r="Y151" s="275" t="str">
        <f aca="false">IF(ISNUMBER(I151),I151/Netto_Faktor,"")</f>
        <v/>
      </c>
      <c r="Z151" s="275" t="str">
        <f aca="false">IF(B151="","",IF(COUNT(J151:N151)=0,"",SUM(J151:N151)))</f>
        <v/>
      </c>
      <c r="AA151" s="266"/>
      <c r="AB151" s="266"/>
      <c r="AC151" s="266"/>
      <c r="AD151" s="266"/>
      <c r="AE151" s="266"/>
      <c r="AF151" s="266"/>
      <c r="AG151" s="267"/>
      <c r="AH151" s="266" t="str">
        <f aca="false">IF(B151="","",IF(BA151="",IF(R151="WON","✅ belegt &amp; vollständig","✔ vollständig"),LEFT(BA151,LEN(BA151)-3)))</f>
        <v/>
      </c>
      <c r="AJ151" s="268" t="n">
        <f aca="false">IF(ISNUMBER(S151),IFERROR(LOOKUP(IF(S151&lt;=1,S151,S151/100),'⚖️ Wahrscheinlichkeit'!$B$17:$B$21,'⚖️ Wahrscheinlichkeit'!$D$17:$D$21),0),0)</f>
        <v>0</v>
      </c>
      <c r="AK151" s="1" t="str">
        <f aca="false">IF(AND(R151="WON",ISNUMBER(I151)),AL151+(861-ROW())*0.000001,"")</f>
        <v/>
      </c>
      <c r="AL151" s="1" t="n">
        <f aca="false">IFERROR(I151*1,0)</f>
        <v>0</v>
      </c>
      <c r="AM151" s="1" t="n">
        <f aca="false">N(AM150)+IF(AND(R151="WON",B151&lt;&gt;""),1,0)</f>
        <v>12</v>
      </c>
      <c r="AN151" s="1" t="n">
        <f aca="false">N(AN150)+IF(AND(OR(R151="offered",R151="to be offered",R151="on hold"),B151&lt;&gt;""),1,0)</f>
        <v>33</v>
      </c>
      <c r="AO151" s="1" t="n">
        <f aca="false">N(AO150)+IF(AND(OR(R151="follow-up",R151="Evaluation",R151="tbd",R151="In evaluation"),B151&lt;&gt;""),1,0)</f>
        <v>1</v>
      </c>
      <c r="AP151" s="1" t="n">
        <f aca="false">IF(B151="",0,IF(COUNTIF('⚖️ Wahrscheinlichkeit'!$J$17:$J$24,R151)&gt;0,1,0))</f>
        <v>0</v>
      </c>
      <c r="AQ151" s="1" t="n">
        <f aca="false">IF(B151="",0,IF(AND(ISNUMBER(S151),COUNTIF('⚖️ Wahrscheinlichkeit'!$B$6:$B$11,S151)&gt;0),1,0))</f>
        <v>0</v>
      </c>
      <c r="AR151" s="1" t="n">
        <f aca="false">IF(B151="",0,IF(AND(COUNT(J151:M151)=4,SUM(J151:M151)&gt;0),1,0))</f>
        <v>0</v>
      </c>
      <c r="AS151" s="1" t="n">
        <f aca="false">IF(B151="",0,IF(AND(AF151&lt;&gt;"",AG151&lt;&gt;""),1,0))</f>
        <v>0</v>
      </c>
      <c r="AT151" s="1" t="n">
        <f aca="false">IF(AND(R151="WON",AS151=1,AR151=1),1,0)</f>
        <v>0</v>
      </c>
      <c r="AU151" s="1" t="n">
        <f aca="false">IF(B151="",0,IF(AD151="Alternative – zählt nicht",0,1))</f>
        <v>0</v>
      </c>
      <c r="AV151" s="1" t="n">
        <f aca="false">IF(B151="",0,IF(COUNTIF($B$6:$B$860,B151)&gt;1,1,0))</f>
        <v>0</v>
      </c>
      <c r="AX151" s="269" t="str">
        <f aca="false">IF(AY151=1,DATE(YEAR(O151),MONTH(O151),1),"")</f>
        <v/>
      </c>
      <c r="AY151" s="1" t="n">
        <f aca="false">IF(B151="",0,IF(AND(ISNUMBER(O151),ISNUMBER(P151)),IF(P151&gt;=O151,1,0),0))</f>
        <v>0</v>
      </c>
      <c r="AZ151" s="1" t="n">
        <f aca="false">IF(ISNUMBER(Y151),Y151,0)</f>
        <v>0</v>
      </c>
      <c r="BA151" s="1" t="str">
        <f aca="false">IF(B151="","",IF(AND(R151="WON",AS151=0),"⛔ Beleg fehlt · ","")&amp;IF(AND(R151="WON",AR151=0),"⛔ Einstand fehlt · ","")&amp;IF(AND(R151&lt;&gt;"WON",AR151=0),"○ Einstand offen · ","")&amp;IF(AND(R151="WON",AB151=""),"⛔ Vertragsart fehlt · ","")&amp;IF(AND(ISNUMBER(O151),ISNUMBER(P151)),IF(P151&lt;O151,"⚠ Ende vor Start · ",""),"")&amp;IF(AND(R151="WON",AY151=0,NOT(AND(ISNUMBER(O151),ISNUMBER(P151)))),"⛔ Zeitraum fehlt · ","")&amp;IF(AND(R151&lt;&gt;"WON",AY151=0,NOT(AND(ISNUMBER(O151),ISNUMBER(P151)))),"○ Zeitraum offen · ",""))</f>
        <v/>
      </c>
      <c r="BB151" s="1" t="str">
        <f aca="false">IF(B151="","",IF(AND(R151="WON",AS151=0),"⛔ Nachweis fehlt",IF(AND(ISNUMBER(O151),ISNUMBER(P151),P151&lt;O151),"⚠ Ende vor Start",IF(AND(R151="WON",AY151=0),"⛔ Zeitraum fehlt",IF(AR151=0,"○ Einstand offen",IF(AY151=0,"○ Zeitraum offen",IF(R151="WON","✅ belegt","✔ erfasst")))))))</f>
        <v/>
      </c>
    </row>
    <row r="152" customFormat="false" ht="15" hidden="false" customHeight="true" outlineLevel="0" collapsed="false">
      <c r="G152" s="1" t="str">
        <f aca="false">IF(B152="","",IF(AY152=1,P152-O152+1,IF(AW152="","",AW152)))</f>
        <v/>
      </c>
      <c r="I152" s="270"/>
      <c r="J152" s="270"/>
      <c r="K152" s="270"/>
      <c r="L152" s="270"/>
      <c r="M152" s="270"/>
      <c r="N152" s="270"/>
      <c r="O152" s="263"/>
      <c r="P152" s="263"/>
      <c r="Q152" s="270" t="str">
        <f aca="false">IF(AND(ISNUMBER(I152),ISNUMBER(S152)),I152*AJ152,IF(OR(I152&lt;&gt;"",S152&lt;&gt;""),"tbd",""))</f>
        <v/>
      </c>
      <c r="S152" s="268"/>
      <c r="Y152" s="275" t="str">
        <f aca="false">IF(ISNUMBER(I152),I152/Netto_Faktor,"")</f>
        <v/>
      </c>
      <c r="Z152" s="275" t="str">
        <f aca="false">IF(B152="","",IF(COUNT(J152:N152)=0,"",SUM(J152:N152)))</f>
        <v/>
      </c>
      <c r="AA152" s="266"/>
      <c r="AB152" s="266"/>
      <c r="AC152" s="266"/>
      <c r="AD152" s="266"/>
      <c r="AE152" s="266"/>
      <c r="AF152" s="266"/>
      <c r="AG152" s="267"/>
      <c r="AH152" s="266" t="str">
        <f aca="false">IF(B152="","",IF(BA152="",IF(R152="WON","✅ belegt &amp; vollständig","✔ vollständig"),LEFT(BA152,LEN(BA152)-3)))</f>
        <v/>
      </c>
      <c r="AJ152" s="268" t="n">
        <f aca="false">IF(ISNUMBER(S152),IFERROR(LOOKUP(IF(S152&lt;=1,S152,S152/100),'⚖️ Wahrscheinlichkeit'!$B$17:$B$21,'⚖️ Wahrscheinlichkeit'!$D$17:$D$21),0),0)</f>
        <v>0</v>
      </c>
      <c r="AK152" s="1" t="str">
        <f aca="false">IF(AND(R152="WON",ISNUMBER(I152)),AL152+(861-ROW())*0.000001,"")</f>
        <v/>
      </c>
      <c r="AL152" s="1" t="n">
        <f aca="false">IFERROR(I152*1,0)</f>
        <v>0</v>
      </c>
      <c r="AM152" s="1" t="n">
        <f aca="false">N(AM151)+IF(AND(R152="WON",B152&lt;&gt;""),1,0)</f>
        <v>12</v>
      </c>
      <c r="AN152" s="1" t="n">
        <f aca="false">N(AN151)+IF(AND(OR(R152="offered",R152="to be offered",R152="on hold"),B152&lt;&gt;""),1,0)</f>
        <v>33</v>
      </c>
      <c r="AO152" s="1" t="n">
        <f aca="false">N(AO151)+IF(AND(OR(R152="follow-up",R152="Evaluation",R152="tbd",R152="In evaluation"),B152&lt;&gt;""),1,0)</f>
        <v>1</v>
      </c>
      <c r="AP152" s="1" t="n">
        <f aca="false">IF(B152="",0,IF(COUNTIF('⚖️ Wahrscheinlichkeit'!$J$17:$J$24,R152)&gt;0,1,0))</f>
        <v>0</v>
      </c>
      <c r="AQ152" s="1" t="n">
        <f aca="false">IF(B152="",0,IF(AND(ISNUMBER(S152),COUNTIF('⚖️ Wahrscheinlichkeit'!$B$6:$B$11,S152)&gt;0),1,0))</f>
        <v>0</v>
      </c>
      <c r="AR152" s="1" t="n">
        <f aca="false">IF(B152="",0,IF(AND(COUNT(J152:M152)=4,SUM(J152:M152)&gt;0),1,0))</f>
        <v>0</v>
      </c>
      <c r="AS152" s="1" t="n">
        <f aca="false">IF(B152="",0,IF(AND(AF152&lt;&gt;"",AG152&lt;&gt;""),1,0))</f>
        <v>0</v>
      </c>
      <c r="AT152" s="1" t="n">
        <f aca="false">IF(AND(R152="WON",AS152=1,AR152=1),1,0)</f>
        <v>0</v>
      </c>
      <c r="AU152" s="1" t="n">
        <f aca="false">IF(B152="",0,IF(AD152="Alternative – zählt nicht",0,1))</f>
        <v>0</v>
      </c>
      <c r="AV152" s="1" t="n">
        <f aca="false">IF(B152="",0,IF(COUNTIF($B$6:$B$860,B152)&gt;1,1,0))</f>
        <v>0</v>
      </c>
      <c r="AX152" s="269" t="str">
        <f aca="false">IF(AY152=1,DATE(YEAR(O152),MONTH(O152),1),"")</f>
        <v/>
      </c>
      <c r="AY152" s="1" t="n">
        <f aca="false">IF(B152="",0,IF(AND(ISNUMBER(O152),ISNUMBER(P152)),IF(P152&gt;=O152,1,0),0))</f>
        <v>0</v>
      </c>
      <c r="AZ152" s="1" t="n">
        <f aca="false">IF(ISNUMBER(Y152),Y152,0)</f>
        <v>0</v>
      </c>
      <c r="BA152" s="1" t="str">
        <f aca="false">IF(B152="","",IF(AND(R152="WON",AS152=0),"⛔ Beleg fehlt · ","")&amp;IF(AND(R152="WON",AR152=0),"⛔ Einstand fehlt · ","")&amp;IF(AND(R152&lt;&gt;"WON",AR152=0),"○ Einstand offen · ","")&amp;IF(AND(R152="WON",AB152=""),"⛔ Vertragsart fehlt · ","")&amp;IF(AND(ISNUMBER(O152),ISNUMBER(P152)),IF(P152&lt;O152,"⚠ Ende vor Start · ",""),"")&amp;IF(AND(R152="WON",AY152=0,NOT(AND(ISNUMBER(O152),ISNUMBER(P152)))),"⛔ Zeitraum fehlt · ","")&amp;IF(AND(R152&lt;&gt;"WON",AY152=0,NOT(AND(ISNUMBER(O152),ISNUMBER(P152)))),"○ Zeitraum offen · ",""))</f>
        <v/>
      </c>
      <c r="BB152" s="1" t="str">
        <f aca="false">IF(B152="","",IF(AND(R152="WON",AS152=0),"⛔ Nachweis fehlt",IF(AND(ISNUMBER(O152),ISNUMBER(P152),P152&lt;O152),"⚠ Ende vor Start",IF(AND(R152="WON",AY152=0),"⛔ Zeitraum fehlt",IF(AR152=0,"○ Einstand offen",IF(AY152=0,"○ Zeitraum offen",IF(R152="WON","✅ belegt","✔ erfasst")))))))</f>
        <v/>
      </c>
    </row>
    <row r="153" customFormat="false" ht="15" hidden="false" customHeight="true" outlineLevel="0" collapsed="false">
      <c r="G153" s="1" t="str">
        <f aca="false">IF(B153="","",IF(AY153=1,P153-O153+1,IF(AW153="","",AW153)))</f>
        <v/>
      </c>
      <c r="I153" s="270"/>
      <c r="J153" s="270"/>
      <c r="K153" s="270"/>
      <c r="L153" s="270"/>
      <c r="M153" s="270"/>
      <c r="N153" s="270"/>
      <c r="O153" s="263"/>
      <c r="P153" s="263"/>
      <c r="Q153" s="270" t="str">
        <f aca="false">IF(AND(ISNUMBER(I153),ISNUMBER(S153)),I153*AJ153,IF(OR(I153&lt;&gt;"",S153&lt;&gt;""),"tbd",""))</f>
        <v/>
      </c>
      <c r="S153" s="268"/>
      <c r="Y153" s="275" t="str">
        <f aca="false">IF(ISNUMBER(I153),I153/Netto_Faktor,"")</f>
        <v/>
      </c>
      <c r="Z153" s="275" t="str">
        <f aca="false">IF(B153="","",IF(COUNT(J153:N153)=0,"",SUM(J153:N153)))</f>
        <v/>
      </c>
      <c r="AA153" s="266"/>
      <c r="AB153" s="266"/>
      <c r="AC153" s="266"/>
      <c r="AD153" s="266"/>
      <c r="AE153" s="266"/>
      <c r="AF153" s="266"/>
      <c r="AG153" s="267"/>
      <c r="AH153" s="266" t="str">
        <f aca="false">IF(B153="","",IF(BA153="",IF(R153="WON","✅ belegt &amp; vollständig","✔ vollständig"),LEFT(BA153,LEN(BA153)-3)))</f>
        <v/>
      </c>
      <c r="AJ153" s="268" t="n">
        <f aca="false">IF(ISNUMBER(S153),IFERROR(LOOKUP(IF(S153&lt;=1,S153,S153/100),'⚖️ Wahrscheinlichkeit'!$B$17:$B$21,'⚖️ Wahrscheinlichkeit'!$D$17:$D$21),0),0)</f>
        <v>0</v>
      </c>
      <c r="AK153" s="1" t="str">
        <f aca="false">IF(AND(R153="WON",ISNUMBER(I153)),AL153+(861-ROW())*0.000001,"")</f>
        <v/>
      </c>
      <c r="AL153" s="1" t="n">
        <f aca="false">IFERROR(I153*1,0)</f>
        <v>0</v>
      </c>
      <c r="AM153" s="1" t="n">
        <f aca="false">N(AM152)+IF(AND(R153="WON",B153&lt;&gt;""),1,0)</f>
        <v>12</v>
      </c>
      <c r="AN153" s="1" t="n">
        <f aca="false">N(AN152)+IF(AND(OR(R153="offered",R153="to be offered",R153="on hold"),B153&lt;&gt;""),1,0)</f>
        <v>33</v>
      </c>
      <c r="AO153" s="1" t="n">
        <f aca="false">N(AO152)+IF(AND(OR(R153="follow-up",R153="Evaluation",R153="tbd",R153="In evaluation"),B153&lt;&gt;""),1,0)</f>
        <v>1</v>
      </c>
      <c r="AP153" s="1" t="n">
        <f aca="false">IF(B153="",0,IF(COUNTIF('⚖️ Wahrscheinlichkeit'!$J$17:$J$24,R153)&gt;0,1,0))</f>
        <v>0</v>
      </c>
      <c r="AQ153" s="1" t="n">
        <f aca="false">IF(B153="",0,IF(AND(ISNUMBER(S153),COUNTIF('⚖️ Wahrscheinlichkeit'!$B$6:$B$11,S153)&gt;0),1,0))</f>
        <v>0</v>
      </c>
      <c r="AR153" s="1" t="n">
        <f aca="false">IF(B153="",0,IF(AND(COUNT(J153:M153)=4,SUM(J153:M153)&gt;0),1,0))</f>
        <v>0</v>
      </c>
      <c r="AS153" s="1" t="n">
        <f aca="false">IF(B153="",0,IF(AND(AF153&lt;&gt;"",AG153&lt;&gt;""),1,0))</f>
        <v>0</v>
      </c>
      <c r="AT153" s="1" t="n">
        <f aca="false">IF(AND(R153="WON",AS153=1,AR153=1),1,0)</f>
        <v>0</v>
      </c>
      <c r="AU153" s="1" t="n">
        <f aca="false">IF(B153="",0,IF(AD153="Alternative – zählt nicht",0,1))</f>
        <v>0</v>
      </c>
      <c r="AV153" s="1" t="n">
        <f aca="false">IF(B153="",0,IF(COUNTIF($B$6:$B$860,B153)&gt;1,1,0))</f>
        <v>0</v>
      </c>
      <c r="AX153" s="269" t="str">
        <f aca="false">IF(AY153=1,DATE(YEAR(O153),MONTH(O153),1),"")</f>
        <v/>
      </c>
      <c r="AY153" s="1" t="n">
        <f aca="false">IF(B153="",0,IF(AND(ISNUMBER(O153),ISNUMBER(P153)),IF(P153&gt;=O153,1,0),0))</f>
        <v>0</v>
      </c>
      <c r="AZ153" s="1" t="n">
        <f aca="false">IF(ISNUMBER(Y153),Y153,0)</f>
        <v>0</v>
      </c>
      <c r="BA153" s="1" t="str">
        <f aca="false">IF(B153="","",IF(AND(R153="WON",AS153=0),"⛔ Beleg fehlt · ","")&amp;IF(AND(R153="WON",AR153=0),"⛔ Einstand fehlt · ","")&amp;IF(AND(R153&lt;&gt;"WON",AR153=0),"○ Einstand offen · ","")&amp;IF(AND(R153="WON",AB153=""),"⛔ Vertragsart fehlt · ","")&amp;IF(AND(ISNUMBER(O153),ISNUMBER(P153)),IF(P153&lt;O153,"⚠ Ende vor Start · ",""),"")&amp;IF(AND(R153="WON",AY153=0,NOT(AND(ISNUMBER(O153),ISNUMBER(P153)))),"⛔ Zeitraum fehlt · ","")&amp;IF(AND(R153&lt;&gt;"WON",AY153=0,NOT(AND(ISNUMBER(O153),ISNUMBER(P153)))),"○ Zeitraum offen · ",""))</f>
        <v/>
      </c>
      <c r="BB153" s="1" t="str">
        <f aca="false">IF(B153="","",IF(AND(R153="WON",AS153=0),"⛔ Nachweis fehlt",IF(AND(ISNUMBER(O153),ISNUMBER(P153),P153&lt;O153),"⚠ Ende vor Start",IF(AND(R153="WON",AY153=0),"⛔ Zeitraum fehlt",IF(AR153=0,"○ Einstand offen",IF(AY153=0,"○ Zeitraum offen",IF(R153="WON","✅ belegt","✔ erfasst")))))))</f>
        <v/>
      </c>
    </row>
    <row r="154" customFormat="false" ht="15" hidden="false" customHeight="true" outlineLevel="0" collapsed="false">
      <c r="G154" s="1" t="str">
        <f aca="false">IF(B154="","",IF(AY154=1,P154-O154+1,IF(AW154="","",AW154)))</f>
        <v/>
      </c>
      <c r="I154" s="270"/>
      <c r="J154" s="270"/>
      <c r="K154" s="270"/>
      <c r="L154" s="270"/>
      <c r="M154" s="270"/>
      <c r="N154" s="270"/>
      <c r="O154" s="263"/>
      <c r="P154" s="263"/>
      <c r="Q154" s="270" t="str">
        <f aca="false">IF(AND(ISNUMBER(I154),ISNUMBER(S154)),I154*AJ154,IF(OR(I154&lt;&gt;"",S154&lt;&gt;""),"tbd",""))</f>
        <v/>
      </c>
      <c r="S154" s="268"/>
      <c r="Y154" s="275" t="str">
        <f aca="false">IF(ISNUMBER(I154),I154/Netto_Faktor,"")</f>
        <v/>
      </c>
      <c r="Z154" s="275" t="str">
        <f aca="false">IF(B154="","",IF(COUNT(J154:N154)=0,"",SUM(J154:N154)))</f>
        <v/>
      </c>
      <c r="AA154" s="266"/>
      <c r="AB154" s="266"/>
      <c r="AC154" s="266"/>
      <c r="AD154" s="266"/>
      <c r="AE154" s="266"/>
      <c r="AF154" s="266"/>
      <c r="AG154" s="267"/>
      <c r="AH154" s="266" t="str">
        <f aca="false">IF(B154="","",IF(BA154="",IF(R154="WON","✅ belegt &amp; vollständig","✔ vollständig"),LEFT(BA154,LEN(BA154)-3)))</f>
        <v/>
      </c>
      <c r="AJ154" s="268" t="n">
        <f aca="false">IF(ISNUMBER(S154),IFERROR(LOOKUP(IF(S154&lt;=1,S154,S154/100),'⚖️ Wahrscheinlichkeit'!$B$17:$B$21,'⚖️ Wahrscheinlichkeit'!$D$17:$D$21),0),0)</f>
        <v>0</v>
      </c>
      <c r="AK154" s="1" t="str">
        <f aca="false">IF(AND(R154="WON",ISNUMBER(I154)),AL154+(861-ROW())*0.000001,"")</f>
        <v/>
      </c>
      <c r="AL154" s="1" t="n">
        <f aca="false">IFERROR(I154*1,0)</f>
        <v>0</v>
      </c>
      <c r="AM154" s="1" t="n">
        <f aca="false">N(AM153)+IF(AND(R154="WON",B154&lt;&gt;""),1,0)</f>
        <v>12</v>
      </c>
      <c r="AN154" s="1" t="n">
        <f aca="false">N(AN153)+IF(AND(OR(R154="offered",R154="to be offered",R154="on hold"),B154&lt;&gt;""),1,0)</f>
        <v>33</v>
      </c>
      <c r="AO154" s="1" t="n">
        <f aca="false">N(AO153)+IF(AND(OR(R154="follow-up",R154="Evaluation",R154="tbd",R154="In evaluation"),B154&lt;&gt;""),1,0)</f>
        <v>1</v>
      </c>
      <c r="AP154" s="1" t="n">
        <f aca="false">IF(B154="",0,IF(COUNTIF('⚖️ Wahrscheinlichkeit'!$J$17:$J$24,R154)&gt;0,1,0))</f>
        <v>0</v>
      </c>
      <c r="AQ154" s="1" t="n">
        <f aca="false">IF(B154="",0,IF(AND(ISNUMBER(S154),COUNTIF('⚖️ Wahrscheinlichkeit'!$B$6:$B$11,S154)&gt;0),1,0))</f>
        <v>0</v>
      </c>
      <c r="AR154" s="1" t="n">
        <f aca="false">IF(B154="",0,IF(AND(COUNT(J154:M154)=4,SUM(J154:M154)&gt;0),1,0))</f>
        <v>0</v>
      </c>
      <c r="AS154" s="1" t="n">
        <f aca="false">IF(B154="",0,IF(AND(AF154&lt;&gt;"",AG154&lt;&gt;""),1,0))</f>
        <v>0</v>
      </c>
      <c r="AT154" s="1" t="n">
        <f aca="false">IF(AND(R154="WON",AS154=1,AR154=1),1,0)</f>
        <v>0</v>
      </c>
      <c r="AU154" s="1" t="n">
        <f aca="false">IF(B154="",0,IF(AD154="Alternative – zählt nicht",0,1))</f>
        <v>0</v>
      </c>
      <c r="AV154" s="1" t="n">
        <f aca="false">IF(B154="",0,IF(COUNTIF($B$6:$B$860,B154)&gt;1,1,0))</f>
        <v>0</v>
      </c>
      <c r="AX154" s="269" t="str">
        <f aca="false">IF(AY154=1,DATE(YEAR(O154),MONTH(O154),1),"")</f>
        <v/>
      </c>
      <c r="AY154" s="1" t="n">
        <f aca="false">IF(B154="",0,IF(AND(ISNUMBER(O154),ISNUMBER(P154)),IF(P154&gt;=O154,1,0),0))</f>
        <v>0</v>
      </c>
      <c r="AZ154" s="1" t="n">
        <f aca="false">IF(ISNUMBER(Y154),Y154,0)</f>
        <v>0</v>
      </c>
      <c r="BA154" s="1" t="str">
        <f aca="false">IF(B154="","",IF(AND(R154="WON",AS154=0),"⛔ Beleg fehlt · ","")&amp;IF(AND(R154="WON",AR154=0),"⛔ Einstand fehlt · ","")&amp;IF(AND(R154&lt;&gt;"WON",AR154=0),"○ Einstand offen · ","")&amp;IF(AND(R154="WON",AB154=""),"⛔ Vertragsart fehlt · ","")&amp;IF(AND(ISNUMBER(O154),ISNUMBER(P154)),IF(P154&lt;O154,"⚠ Ende vor Start · ",""),"")&amp;IF(AND(R154="WON",AY154=0,NOT(AND(ISNUMBER(O154),ISNUMBER(P154)))),"⛔ Zeitraum fehlt · ","")&amp;IF(AND(R154&lt;&gt;"WON",AY154=0,NOT(AND(ISNUMBER(O154),ISNUMBER(P154)))),"○ Zeitraum offen · ",""))</f>
        <v/>
      </c>
      <c r="BB154" s="1" t="str">
        <f aca="false">IF(B154="","",IF(AND(R154="WON",AS154=0),"⛔ Nachweis fehlt",IF(AND(ISNUMBER(O154),ISNUMBER(P154),P154&lt;O154),"⚠ Ende vor Start",IF(AND(R154="WON",AY154=0),"⛔ Zeitraum fehlt",IF(AR154=0,"○ Einstand offen",IF(AY154=0,"○ Zeitraum offen",IF(R154="WON","✅ belegt","✔ erfasst")))))))</f>
        <v/>
      </c>
    </row>
    <row r="155" customFormat="false" ht="15" hidden="false" customHeight="true" outlineLevel="0" collapsed="false">
      <c r="G155" s="1" t="str">
        <f aca="false">IF(B155="","",IF(AY155=1,P155-O155+1,IF(AW155="","",AW155)))</f>
        <v/>
      </c>
      <c r="I155" s="270"/>
      <c r="J155" s="270"/>
      <c r="K155" s="270"/>
      <c r="L155" s="270"/>
      <c r="M155" s="270"/>
      <c r="N155" s="270"/>
      <c r="O155" s="263"/>
      <c r="P155" s="263"/>
      <c r="Q155" s="270" t="str">
        <f aca="false">IF(AND(ISNUMBER(I155),ISNUMBER(S155)),I155*AJ155,IF(OR(I155&lt;&gt;"",S155&lt;&gt;""),"tbd",""))</f>
        <v/>
      </c>
      <c r="S155" s="268"/>
      <c r="Y155" s="275" t="str">
        <f aca="false">IF(ISNUMBER(I155),I155/Netto_Faktor,"")</f>
        <v/>
      </c>
      <c r="Z155" s="275" t="str">
        <f aca="false">IF(B155="","",IF(COUNT(J155:N155)=0,"",SUM(J155:N155)))</f>
        <v/>
      </c>
      <c r="AA155" s="266"/>
      <c r="AB155" s="266"/>
      <c r="AC155" s="266"/>
      <c r="AD155" s="266"/>
      <c r="AE155" s="266"/>
      <c r="AF155" s="266"/>
      <c r="AG155" s="267"/>
      <c r="AH155" s="266" t="str">
        <f aca="false">IF(B155="","",IF(BA155="",IF(R155="WON","✅ belegt &amp; vollständig","✔ vollständig"),LEFT(BA155,LEN(BA155)-3)))</f>
        <v/>
      </c>
      <c r="AJ155" s="268" t="n">
        <f aca="false">IF(ISNUMBER(S155),IFERROR(LOOKUP(IF(S155&lt;=1,S155,S155/100),'⚖️ Wahrscheinlichkeit'!$B$17:$B$21,'⚖️ Wahrscheinlichkeit'!$D$17:$D$21),0),0)</f>
        <v>0</v>
      </c>
      <c r="AK155" s="1" t="str">
        <f aca="false">IF(AND(R155="WON",ISNUMBER(I155)),AL155+(861-ROW())*0.000001,"")</f>
        <v/>
      </c>
      <c r="AL155" s="1" t="n">
        <f aca="false">IFERROR(I155*1,0)</f>
        <v>0</v>
      </c>
      <c r="AM155" s="1" t="n">
        <f aca="false">N(AM154)+IF(AND(R155="WON",B155&lt;&gt;""),1,0)</f>
        <v>12</v>
      </c>
      <c r="AN155" s="1" t="n">
        <f aca="false">N(AN154)+IF(AND(OR(R155="offered",R155="to be offered",R155="on hold"),B155&lt;&gt;""),1,0)</f>
        <v>33</v>
      </c>
      <c r="AO155" s="1" t="n">
        <f aca="false">N(AO154)+IF(AND(OR(R155="follow-up",R155="Evaluation",R155="tbd",R155="In evaluation"),B155&lt;&gt;""),1,0)</f>
        <v>1</v>
      </c>
      <c r="AP155" s="1" t="n">
        <f aca="false">IF(B155="",0,IF(COUNTIF('⚖️ Wahrscheinlichkeit'!$J$17:$J$24,R155)&gt;0,1,0))</f>
        <v>0</v>
      </c>
      <c r="AQ155" s="1" t="n">
        <f aca="false">IF(B155="",0,IF(AND(ISNUMBER(S155),COUNTIF('⚖️ Wahrscheinlichkeit'!$B$6:$B$11,S155)&gt;0),1,0))</f>
        <v>0</v>
      </c>
      <c r="AR155" s="1" t="n">
        <f aca="false">IF(B155="",0,IF(AND(COUNT(J155:M155)=4,SUM(J155:M155)&gt;0),1,0))</f>
        <v>0</v>
      </c>
      <c r="AS155" s="1" t="n">
        <f aca="false">IF(B155="",0,IF(AND(AF155&lt;&gt;"",AG155&lt;&gt;""),1,0))</f>
        <v>0</v>
      </c>
      <c r="AT155" s="1" t="n">
        <f aca="false">IF(AND(R155="WON",AS155=1,AR155=1),1,0)</f>
        <v>0</v>
      </c>
      <c r="AU155" s="1" t="n">
        <f aca="false">IF(B155="",0,IF(AD155="Alternative – zählt nicht",0,1))</f>
        <v>0</v>
      </c>
      <c r="AV155" s="1" t="n">
        <f aca="false">IF(B155="",0,IF(COUNTIF($B$6:$B$860,B155)&gt;1,1,0))</f>
        <v>0</v>
      </c>
      <c r="AX155" s="269" t="str">
        <f aca="false">IF(AY155=1,DATE(YEAR(O155),MONTH(O155),1),"")</f>
        <v/>
      </c>
      <c r="AY155" s="1" t="n">
        <f aca="false">IF(B155="",0,IF(AND(ISNUMBER(O155),ISNUMBER(P155)),IF(P155&gt;=O155,1,0),0))</f>
        <v>0</v>
      </c>
      <c r="AZ155" s="1" t="n">
        <f aca="false">IF(ISNUMBER(Y155),Y155,0)</f>
        <v>0</v>
      </c>
      <c r="BA155" s="1" t="str">
        <f aca="false">IF(B155="","",IF(AND(R155="WON",AS155=0),"⛔ Beleg fehlt · ","")&amp;IF(AND(R155="WON",AR155=0),"⛔ Einstand fehlt · ","")&amp;IF(AND(R155&lt;&gt;"WON",AR155=0),"○ Einstand offen · ","")&amp;IF(AND(R155="WON",AB155=""),"⛔ Vertragsart fehlt · ","")&amp;IF(AND(ISNUMBER(O155),ISNUMBER(P155)),IF(P155&lt;O155,"⚠ Ende vor Start · ",""),"")&amp;IF(AND(R155="WON",AY155=0,NOT(AND(ISNUMBER(O155),ISNUMBER(P155)))),"⛔ Zeitraum fehlt · ","")&amp;IF(AND(R155&lt;&gt;"WON",AY155=0,NOT(AND(ISNUMBER(O155),ISNUMBER(P155)))),"○ Zeitraum offen · ",""))</f>
        <v/>
      </c>
      <c r="BB155" s="1" t="str">
        <f aca="false">IF(B155="","",IF(AND(R155="WON",AS155=0),"⛔ Nachweis fehlt",IF(AND(ISNUMBER(O155),ISNUMBER(P155),P155&lt;O155),"⚠ Ende vor Start",IF(AND(R155="WON",AY155=0),"⛔ Zeitraum fehlt",IF(AR155=0,"○ Einstand offen",IF(AY155=0,"○ Zeitraum offen",IF(R155="WON","✅ belegt","✔ erfasst")))))))</f>
        <v/>
      </c>
    </row>
    <row r="156" customFormat="false" ht="15" hidden="false" customHeight="true" outlineLevel="0" collapsed="false">
      <c r="G156" s="1" t="str">
        <f aca="false">IF(B156="","",IF(AY156=1,P156-O156+1,IF(AW156="","",AW156)))</f>
        <v/>
      </c>
      <c r="I156" s="270"/>
      <c r="J156" s="270"/>
      <c r="K156" s="270"/>
      <c r="L156" s="270"/>
      <c r="M156" s="270"/>
      <c r="N156" s="270"/>
      <c r="O156" s="263"/>
      <c r="P156" s="263"/>
      <c r="Q156" s="270" t="str">
        <f aca="false">IF(AND(ISNUMBER(I156),ISNUMBER(S156)),I156*AJ156,IF(OR(I156&lt;&gt;"",S156&lt;&gt;""),"tbd",""))</f>
        <v/>
      </c>
      <c r="S156" s="268"/>
      <c r="Y156" s="275" t="str">
        <f aca="false">IF(ISNUMBER(I156),I156/Netto_Faktor,"")</f>
        <v/>
      </c>
      <c r="Z156" s="275" t="str">
        <f aca="false">IF(B156="","",IF(COUNT(J156:N156)=0,"",SUM(J156:N156)))</f>
        <v/>
      </c>
      <c r="AA156" s="266"/>
      <c r="AB156" s="266"/>
      <c r="AC156" s="266"/>
      <c r="AD156" s="266"/>
      <c r="AE156" s="266"/>
      <c r="AF156" s="266"/>
      <c r="AG156" s="267"/>
      <c r="AH156" s="266" t="str">
        <f aca="false">IF(B156="","",IF(BA156="",IF(R156="WON","✅ belegt &amp; vollständig","✔ vollständig"),LEFT(BA156,LEN(BA156)-3)))</f>
        <v/>
      </c>
      <c r="AJ156" s="268" t="n">
        <f aca="false">IF(ISNUMBER(S156),IFERROR(LOOKUP(IF(S156&lt;=1,S156,S156/100),'⚖️ Wahrscheinlichkeit'!$B$17:$B$21,'⚖️ Wahrscheinlichkeit'!$D$17:$D$21),0),0)</f>
        <v>0</v>
      </c>
      <c r="AK156" s="1" t="str">
        <f aca="false">IF(AND(R156="WON",ISNUMBER(I156)),AL156+(861-ROW())*0.000001,"")</f>
        <v/>
      </c>
      <c r="AL156" s="1" t="n">
        <f aca="false">IFERROR(I156*1,0)</f>
        <v>0</v>
      </c>
      <c r="AM156" s="1" t="n">
        <f aca="false">N(AM155)+IF(AND(R156="WON",B156&lt;&gt;""),1,0)</f>
        <v>12</v>
      </c>
      <c r="AN156" s="1" t="n">
        <f aca="false">N(AN155)+IF(AND(OR(R156="offered",R156="to be offered",R156="on hold"),B156&lt;&gt;""),1,0)</f>
        <v>33</v>
      </c>
      <c r="AO156" s="1" t="n">
        <f aca="false">N(AO155)+IF(AND(OR(R156="follow-up",R156="Evaluation",R156="tbd",R156="In evaluation"),B156&lt;&gt;""),1,0)</f>
        <v>1</v>
      </c>
      <c r="AP156" s="1" t="n">
        <f aca="false">IF(B156="",0,IF(COUNTIF('⚖️ Wahrscheinlichkeit'!$J$17:$J$24,R156)&gt;0,1,0))</f>
        <v>0</v>
      </c>
      <c r="AQ156" s="1" t="n">
        <f aca="false">IF(B156="",0,IF(AND(ISNUMBER(S156),COUNTIF('⚖️ Wahrscheinlichkeit'!$B$6:$B$11,S156)&gt;0),1,0))</f>
        <v>0</v>
      </c>
      <c r="AR156" s="1" t="n">
        <f aca="false">IF(B156="",0,IF(AND(COUNT(J156:M156)=4,SUM(J156:M156)&gt;0),1,0))</f>
        <v>0</v>
      </c>
      <c r="AS156" s="1" t="n">
        <f aca="false">IF(B156="",0,IF(AND(AF156&lt;&gt;"",AG156&lt;&gt;""),1,0))</f>
        <v>0</v>
      </c>
      <c r="AT156" s="1" t="n">
        <f aca="false">IF(AND(R156="WON",AS156=1,AR156=1),1,0)</f>
        <v>0</v>
      </c>
      <c r="AU156" s="1" t="n">
        <f aca="false">IF(B156="",0,IF(AD156="Alternative – zählt nicht",0,1))</f>
        <v>0</v>
      </c>
      <c r="AV156" s="1" t="n">
        <f aca="false">IF(B156="",0,IF(COUNTIF($B$6:$B$860,B156)&gt;1,1,0))</f>
        <v>0</v>
      </c>
      <c r="AX156" s="269" t="str">
        <f aca="false">IF(AY156=1,DATE(YEAR(O156),MONTH(O156),1),"")</f>
        <v/>
      </c>
      <c r="AY156" s="1" t="n">
        <f aca="false">IF(B156="",0,IF(AND(ISNUMBER(O156),ISNUMBER(P156)),IF(P156&gt;=O156,1,0),0))</f>
        <v>0</v>
      </c>
      <c r="AZ156" s="1" t="n">
        <f aca="false">IF(ISNUMBER(Y156),Y156,0)</f>
        <v>0</v>
      </c>
      <c r="BA156" s="1" t="str">
        <f aca="false">IF(B156="","",IF(AND(R156="WON",AS156=0),"⛔ Beleg fehlt · ","")&amp;IF(AND(R156="WON",AR156=0),"⛔ Einstand fehlt · ","")&amp;IF(AND(R156&lt;&gt;"WON",AR156=0),"○ Einstand offen · ","")&amp;IF(AND(R156="WON",AB156=""),"⛔ Vertragsart fehlt · ","")&amp;IF(AND(ISNUMBER(O156),ISNUMBER(P156)),IF(P156&lt;O156,"⚠ Ende vor Start · ",""),"")&amp;IF(AND(R156="WON",AY156=0,NOT(AND(ISNUMBER(O156),ISNUMBER(P156)))),"⛔ Zeitraum fehlt · ","")&amp;IF(AND(R156&lt;&gt;"WON",AY156=0,NOT(AND(ISNUMBER(O156),ISNUMBER(P156)))),"○ Zeitraum offen · ",""))</f>
        <v/>
      </c>
      <c r="BB156" s="1" t="str">
        <f aca="false">IF(B156="","",IF(AND(R156="WON",AS156=0),"⛔ Nachweis fehlt",IF(AND(ISNUMBER(O156),ISNUMBER(P156),P156&lt;O156),"⚠ Ende vor Start",IF(AND(R156="WON",AY156=0),"⛔ Zeitraum fehlt",IF(AR156=0,"○ Einstand offen",IF(AY156=0,"○ Zeitraum offen",IF(R156="WON","✅ belegt","✔ erfasst")))))))</f>
        <v/>
      </c>
    </row>
    <row r="157" customFormat="false" ht="15" hidden="false" customHeight="true" outlineLevel="0" collapsed="false">
      <c r="G157" s="1" t="str">
        <f aca="false">IF(B157="","",IF(AY157=1,P157-O157+1,IF(AW157="","",AW157)))</f>
        <v/>
      </c>
      <c r="I157" s="270"/>
      <c r="J157" s="270"/>
      <c r="K157" s="270"/>
      <c r="L157" s="270"/>
      <c r="M157" s="270"/>
      <c r="N157" s="270"/>
      <c r="O157" s="263"/>
      <c r="P157" s="263"/>
      <c r="Q157" s="270" t="str">
        <f aca="false">IF(AND(ISNUMBER(I157),ISNUMBER(S157)),I157*AJ157,IF(OR(I157&lt;&gt;"",S157&lt;&gt;""),"tbd",""))</f>
        <v/>
      </c>
      <c r="S157" s="268"/>
      <c r="Y157" s="275" t="str">
        <f aca="false">IF(ISNUMBER(I157),I157/Netto_Faktor,"")</f>
        <v/>
      </c>
      <c r="Z157" s="275" t="str">
        <f aca="false">IF(B157="","",IF(COUNT(J157:N157)=0,"",SUM(J157:N157)))</f>
        <v/>
      </c>
      <c r="AA157" s="266"/>
      <c r="AB157" s="266"/>
      <c r="AC157" s="266"/>
      <c r="AD157" s="266"/>
      <c r="AE157" s="266"/>
      <c r="AF157" s="266"/>
      <c r="AG157" s="267"/>
      <c r="AH157" s="266" t="str">
        <f aca="false">IF(B157="","",IF(BA157="",IF(R157="WON","✅ belegt &amp; vollständig","✔ vollständig"),LEFT(BA157,LEN(BA157)-3)))</f>
        <v/>
      </c>
      <c r="AJ157" s="268" t="n">
        <f aca="false">IF(ISNUMBER(S157),IFERROR(LOOKUP(IF(S157&lt;=1,S157,S157/100),'⚖️ Wahrscheinlichkeit'!$B$17:$B$21,'⚖️ Wahrscheinlichkeit'!$D$17:$D$21),0),0)</f>
        <v>0</v>
      </c>
      <c r="AK157" s="1" t="str">
        <f aca="false">IF(AND(R157="WON",ISNUMBER(I157)),AL157+(861-ROW())*0.000001,"")</f>
        <v/>
      </c>
      <c r="AL157" s="1" t="n">
        <f aca="false">IFERROR(I157*1,0)</f>
        <v>0</v>
      </c>
      <c r="AM157" s="1" t="n">
        <f aca="false">N(AM156)+IF(AND(R157="WON",B157&lt;&gt;""),1,0)</f>
        <v>12</v>
      </c>
      <c r="AN157" s="1" t="n">
        <f aca="false">N(AN156)+IF(AND(OR(R157="offered",R157="to be offered",R157="on hold"),B157&lt;&gt;""),1,0)</f>
        <v>33</v>
      </c>
      <c r="AO157" s="1" t="n">
        <f aca="false">N(AO156)+IF(AND(OR(R157="follow-up",R157="Evaluation",R157="tbd",R157="In evaluation"),B157&lt;&gt;""),1,0)</f>
        <v>1</v>
      </c>
      <c r="AP157" s="1" t="n">
        <f aca="false">IF(B157="",0,IF(COUNTIF('⚖️ Wahrscheinlichkeit'!$J$17:$J$24,R157)&gt;0,1,0))</f>
        <v>0</v>
      </c>
      <c r="AQ157" s="1" t="n">
        <f aca="false">IF(B157="",0,IF(AND(ISNUMBER(S157),COUNTIF('⚖️ Wahrscheinlichkeit'!$B$6:$B$11,S157)&gt;0),1,0))</f>
        <v>0</v>
      </c>
      <c r="AR157" s="1" t="n">
        <f aca="false">IF(B157="",0,IF(AND(COUNT(J157:M157)=4,SUM(J157:M157)&gt;0),1,0))</f>
        <v>0</v>
      </c>
      <c r="AS157" s="1" t="n">
        <f aca="false">IF(B157="",0,IF(AND(AF157&lt;&gt;"",AG157&lt;&gt;""),1,0))</f>
        <v>0</v>
      </c>
      <c r="AT157" s="1" t="n">
        <f aca="false">IF(AND(R157="WON",AS157=1,AR157=1),1,0)</f>
        <v>0</v>
      </c>
      <c r="AU157" s="1" t="n">
        <f aca="false">IF(B157="",0,IF(AD157="Alternative – zählt nicht",0,1))</f>
        <v>0</v>
      </c>
      <c r="AV157" s="1" t="n">
        <f aca="false">IF(B157="",0,IF(COUNTIF($B$6:$B$860,B157)&gt;1,1,0))</f>
        <v>0</v>
      </c>
      <c r="AX157" s="269" t="str">
        <f aca="false">IF(AY157=1,DATE(YEAR(O157),MONTH(O157),1),"")</f>
        <v/>
      </c>
      <c r="AY157" s="1" t="n">
        <f aca="false">IF(B157="",0,IF(AND(ISNUMBER(O157),ISNUMBER(P157)),IF(P157&gt;=O157,1,0),0))</f>
        <v>0</v>
      </c>
      <c r="AZ157" s="1" t="n">
        <f aca="false">IF(ISNUMBER(Y157),Y157,0)</f>
        <v>0</v>
      </c>
      <c r="BA157" s="1" t="str">
        <f aca="false">IF(B157="","",IF(AND(R157="WON",AS157=0),"⛔ Beleg fehlt · ","")&amp;IF(AND(R157="WON",AR157=0),"⛔ Einstand fehlt · ","")&amp;IF(AND(R157&lt;&gt;"WON",AR157=0),"○ Einstand offen · ","")&amp;IF(AND(R157="WON",AB157=""),"⛔ Vertragsart fehlt · ","")&amp;IF(AND(ISNUMBER(O157),ISNUMBER(P157)),IF(P157&lt;O157,"⚠ Ende vor Start · ",""),"")&amp;IF(AND(R157="WON",AY157=0,NOT(AND(ISNUMBER(O157),ISNUMBER(P157)))),"⛔ Zeitraum fehlt · ","")&amp;IF(AND(R157&lt;&gt;"WON",AY157=0,NOT(AND(ISNUMBER(O157),ISNUMBER(P157)))),"○ Zeitraum offen · ",""))</f>
        <v/>
      </c>
      <c r="BB157" s="1" t="str">
        <f aca="false">IF(B157="","",IF(AND(R157="WON",AS157=0),"⛔ Nachweis fehlt",IF(AND(ISNUMBER(O157),ISNUMBER(P157),P157&lt;O157),"⚠ Ende vor Start",IF(AND(R157="WON",AY157=0),"⛔ Zeitraum fehlt",IF(AR157=0,"○ Einstand offen",IF(AY157=0,"○ Zeitraum offen",IF(R157="WON","✅ belegt","✔ erfasst")))))))</f>
        <v/>
      </c>
    </row>
    <row r="158" customFormat="false" ht="15" hidden="false" customHeight="true" outlineLevel="0" collapsed="false">
      <c r="G158" s="1" t="str">
        <f aca="false">IF(B158="","",IF(AY158=1,P158-O158+1,IF(AW158="","",AW158)))</f>
        <v/>
      </c>
      <c r="I158" s="270"/>
      <c r="J158" s="270"/>
      <c r="K158" s="270"/>
      <c r="L158" s="270"/>
      <c r="M158" s="270"/>
      <c r="N158" s="270"/>
      <c r="O158" s="263"/>
      <c r="P158" s="263"/>
      <c r="Q158" s="270" t="str">
        <f aca="false">IF(AND(ISNUMBER(I158),ISNUMBER(S158)),I158*AJ158,IF(OR(I158&lt;&gt;"",S158&lt;&gt;""),"tbd",""))</f>
        <v/>
      </c>
      <c r="S158" s="268"/>
      <c r="Y158" s="275" t="str">
        <f aca="false">IF(ISNUMBER(I158),I158/Netto_Faktor,"")</f>
        <v/>
      </c>
      <c r="Z158" s="275" t="str">
        <f aca="false">IF(B158="","",IF(COUNT(J158:N158)=0,"",SUM(J158:N158)))</f>
        <v/>
      </c>
      <c r="AA158" s="266"/>
      <c r="AB158" s="266"/>
      <c r="AC158" s="266"/>
      <c r="AD158" s="266"/>
      <c r="AE158" s="266"/>
      <c r="AF158" s="266"/>
      <c r="AG158" s="267"/>
      <c r="AH158" s="266" t="str">
        <f aca="false">IF(B158="","",IF(BA158="",IF(R158="WON","✅ belegt &amp; vollständig","✔ vollständig"),LEFT(BA158,LEN(BA158)-3)))</f>
        <v/>
      </c>
      <c r="AJ158" s="268" t="n">
        <f aca="false">IF(ISNUMBER(S158),IFERROR(LOOKUP(IF(S158&lt;=1,S158,S158/100),'⚖️ Wahrscheinlichkeit'!$B$17:$B$21,'⚖️ Wahrscheinlichkeit'!$D$17:$D$21),0),0)</f>
        <v>0</v>
      </c>
      <c r="AK158" s="1" t="str">
        <f aca="false">IF(AND(R158="WON",ISNUMBER(I158)),AL158+(861-ROW())*0.000001,"")</f>
        <v/>
      </c>
      <c r="AL158" s="1" t="n">
        <f aca="false">IFERROR(I158*1,0)</f>
        <v>0</v>
      </c>
      <c r="AM158" s="1" t="n">
        <f aca="false">N(AM157)+IF(AND(R158="WON",B158&lt;&gt;""),1,0)</f>
        <v>12</v>
      </c>
      <c r="AN158" s="1" t="n">
        <f aca="false">N(AN157)+IF(AND(OR(R158="offered",R158="to be offered",R158="on hold"),B158&lt;&gt;""),1,0)</f>
        <v>33</v>
      </c>
      <c r="AO158" s="1" t="n">
        <f aca="false">N(AO157)+IF(AND(OR(R158="follow-up",R158="Evaluation",R158="tbd",R158="In evaluation"),B158&lt;&gt;""),1,0)</f>
        <v>1</v>
      </c>
      <c r="AP158" s="1" t="n">
        <f aca="false">IF(B158="",0,IF(COUNTIF('⚖️ Wahrscheinlichkeit'!$J$17:$J$24,R158)&gt;0,1,0))</f>
        <v>0</v>
      </c>
      <c r="AQ158" s="1" t="n">
        <f aca="false">IF(B158="",0,IF(AND(ISNUMBER(S158),COUNTIF('⚖️ Wahrscheinlichkeit'!$B$6:$B$11,S158)&gt;0),1,0))</f>
        <v>0</v>
      </c>
      <c r="AR158" s="1" t="n">
        <f aca="false">IF(B158="",0,IF(AND(COUNT(J158:M158)=4,SUM(J158:M158)&gt;0),1,0))</f>
        <v>0</v>
      </c>
      <c r="AS158" s="1" t="n">
        <f aca="false">IF(B158="",0,IF(AND(AF158&lt;&gt;"",AG158&lt;&gt;""),1,0))</f>
        <v>0</v>
      </c>
      <c r="AT158" s="1" t="n">
        <f aca="false">IF(AND(R158="WON",AS158=1,AR158=1),1,0)</f>
        <v>0</v>
      </c>
      <c r="AU158" s="1" t="n">
        <f aca="false">IF(B158="",0,IF(AD158="Alternative – zählt nicht",0,1))</f>
        <v>0</v>
      </c>
      <c r="AV158" s="1" t="n">
        <f aca="false">IF(B158="",0,IF(COUNTIF($B$6:$B$860,B158)&gt;1,1,0))</f>
        <v>0</v>
      </c>
      <c r="AX158" s="269" t="str">
        <f aca="false">IF(AY158=1,DATE(YEAR(O158),MONTH(O158),1),"")</f>
        <v/>
      </c>
      <c r="AY158" s="1" t="n">
        <f aca="false">IF(B158="",0,IF(AND(ISNUMBER(O158),ISNUMBER(P158)),IF(P158&gt;=O158,1,0),0))</f>
        <v>0</v>
      </c>
      <c r="AZ158" s="1" t="n">
        <f aca="false">IF(ISNUMBER(Y158),Y158,0)</f>
        <v>0</v>
      </c>
      <c r="BA158" s="1" t="str">
        <f aca="false">IF(B158="","",IF(AND(R158="WON",AS158=0),"⛔ Beleg fehlt · ","")&amp;IF(AND(R158="WON",AR158=0),"⛔ Einstand fehlt · ","")&amp;IF(AND(R158&lt;&gt;"WON",AR158=0),"○ Einstand offen · ","")&amp;IF(AND(R158="WON",AB158=""),"⛔ Vertragsart fehlt · ","")&amp;IF(AND(ISNUMBER(O158),ISNUMBER(P158)),IF(P158&lt;O158,"⚠ Ende vor Start · ",""),"")&amp;IF(AND(R158="WON",AY158=0,NOT(AND(ISNUMBER(O158),ISNUMBER(P158)))),"⛔ Zeitraum fehlt · ","")&amp;IF(AND(R158&lt;&gt;"WON",AY158=0,NOT(AND(ISNUMBER(O158),ISNUMBER(P158)))),"○ Zeitraum offen · ",""))</f>
        <v/>
      </c>
      <c r="BB158" s="1" t="str">
        <f aca="false">IF(B158="","",IF(AND(R158="WON",AS158=0),"⛔ Nachweis fehlt",IF(AND(ISNUMBER(O158),ISNUMBER(P158),P158&lt;O158),"⚠ Ende vor Start",IF(AND(R158="WON",AY158=0),"⛔ Zeitraum fehlt",IF(AR158=0,"○ Einstand offen",IF(AY158=0,"○ Zeitraum offen",IF(R158="WON","✅ belegt","✔ erfasst")))))))</f>
        <v/>
      </c>
    </row>
    <row r="159" customFormat="false" ht="15" hidden="false" customHeight="true" outlineLevel="0" collapsed="false">
      <c r="G159" s="1" t="str">
        <f aca="false">IF(B159="","",IF(AY159=1,P159-O159+1,IF(AW159="","",AW159)))</f>
        <v/>
      </c>
      <c r="I159" s="270"/>
      <c r="J159" s="270"/>
      <c r="K159" s="270"/>
      <c r="L159" s="270"/>
      <c r="M159" s="270"/>
      <c r="N159" s="270"/>
      <c r="O159" s="263"/>
      <c r="P159" s="263"/>
      <c r="Q159" s="270" t="str">
        <f aca="false">IF(AND(ISNUMBER(I159),ISNUMBER(S159)),I159*AJ159,IF(OR(I159&lt;&gt;"",S159&lt;&gt;""),"tbd",""))</f>
        <v/>
      </c>
      <c r="S159" s="268"/>
      <c r="Y159" s="275" t="str">
        <f aca="false">IF(ISNUMBER(I159),I159/Netto_Faktor,"")</f>
        <v/>
      </c>
      <c r="Z159" s="275" t="str">
        <f aca="false">IF(B159="","",IF(COUNT(J159:N159)=0,"",SUM(J159:N159)))</f>
        <v/>
      </c>
      <c r="AA159" s="266"/>
      <c r="AB159" s="266"/>
      <c r="AC159" s="266"/>
      <c r="AD159" s="266"/>
      <c r="AE159" s="266"/>
      <c r="AF159" s="266"/>
      <c r="AG159" s="267"/>
      <c r="AH159" s="266" t="str">
        <f aca="false">IF(B159="","",IF(BA159="",IF(R159="WON","✅ belegt &amp; vollständig","✔ vollständig"),LEFT(BA159,LEN(BA159)-3)))</f>
        <v/>
      </c>
      <c r="AJ159" s="268" t="n">
        <f aca="false">IF(ISNUMBER(S159),IFERROR(LOOKUP(IF(S159&lt;=1,S159,S159/100),'⚖️ Wahrscheinlichkeit'!$B$17:$B$21,'⚖️ Wahrscheinlichkeit'!$D$17:$D$21),0),0)</f>
        <v>0</v>
      </c>
      <c r="AK159" s="1" t="str">
        <f aca="false">IF(AND(R159="WON",ISNUMBER(I159)),AL159+(861-ROW())*0.000001,"")</f>
        <v/>
      </c>
      <c r="AL159" s="1" t="n">
        <f aca="false">IFERROR(I159*1,0)</f>
        <v>0</v>
      </c>
      <c r="AM159" s="1" t="n">
        <f aca="false">N(AM158)+IF(AND(R159="WON",B159&lt;&gt;""),1,0)</f>
        <v>12</v>
      </c>
      <c r="AN159" s="1" t="n">
        <f aca="false">N(AN158)+IF(AND(OR(R159="offered",R159="to be offered",R159="on hold"),B159&lt;&gt;""),1,0)</f>
        <v>33</v>
      </c>
      <c r="AO159" s="1" t="n">
        <f aca="false">N(AO158)+IF(AND(OR(R159="follow-up",R159="Evaluation",R159="tbd",R159="In evaluation"),B159&lt;&gt;""),1,0)</f>
        <v>1</v>
      </c>
      <c r="AP159" s="1" t="n">
        <f aca="false">IF(B159="",0,IF(COUNTIF('⚖️ Wahrscheinlichkeit'!$J$17:$J$24,R159)&gt;0,1,0))</f>
        <v>0</v>
      </c>
      <c r="AQ159" s="1" t="n">
        <f aca="false">IF(B159="",0,IF(AND(ISNUMBER(S159),COUNTIF('⚖️ Wahrscheinlichkeit'!$B$6:$B$11,S159)&gt;0),1,0))</f>
        <v>0</v>
      </c>
      <c r="AR159" s="1" t="n">
        <f aca="false">IF(B159="",0,IF(AND(COUNT(J159:M159)=4,SUM(J159:M159)&gt;0),1,0))</f>
        <v>0</v>
      </c>
      <c r="AS159" s="1" t="n">
        <f aca="false">IF(B159="",0,IF(AND(AF159&lt;&gt;"",AG159&lt;&gt;""),1,0))</f>
        <v>0</v>
      </c>
      <c r="AT159" s="1" t="n">
        <f aca="false">IF(AND(R159="WON",AS159=1,AR159=1),1,0)</f>
        <v>0</v>
      </c>
      <c r="AU159" s="1" t="n">
        <f aca="false">IF(B159="",0,IF(AD159="Alternative – zählt nicht",0,1))</f>
        <v>0</v>
      </c>
      <c r="AV159" s="1" t="n">
        <f aca="false">IF(B159="",0,IF(COUNTIF($B$6:$B$860,B159)&gt;1,1,0))</f>
        <v>0</v>
      </c>
      <c r="AX159" s="269" t="str">
        <f aca="false">IF(AY159=1,DATE(YEAR(O159),MONTH(O159),1),"")</f>
        <v/>
      </c>
      <c r="AY159" s="1" t="n">
        <f aca="false">IF(B159="",0,IF(AND(ISNUMBER(O159),ISNUMBER(P159)),IF(P159&gt;=O159,1,0),0))</f>
        <v>0</v>
      </c>
      <c r="AZ159" s="1" t="n">
        <f aca="false">IF(ISNUMBER(Y159),Y159,0)</f>
        <v>0</v>
      </c>
      <c r="BA159" s="1" t="str">
        <f aca="false">IF(B159="","",IF(AND(R159="WON",AS159=0),"⛔ Beleg fehlt · ","")&amp;IF(AND(R159="WON",AR159=0),"⛔ Einstand fehlt · ","")&amp;IF(AND(R159&lt;&gt;"WON",AR159=0),"○ Einstand offen · ","")&amp;IF(AND(R159="WON",AB159=""),"⛔ Vertragsart fehlt · ","")&amp;IF(AND(ISNUMBER(O159),ISNUMBER(P159)),IF(P159&lt;O159,"⚠ Ende vor Start · ",""),"")&amp;IF(AND(R159="WON",AY159=0,NOT(AND(ISNUMBER(O159),ISNUMBER(P159)))),"⛔ Zeitraum fehlt · ","")&amp;IF(AND(R159&lt;&gt;"WON",AY159=0,NOT(AND(ISNUMBER(O159),ISNUMBER(P159)))),"○ Zeitraum offen · ",""))</f>
        <v/>
      </c>
      <c r="BB159" s="1" t="str">
        <f aca="false">IF(B159="","",IF(AND(R159="WON",AS159=0),"⛔ Nachweis fehlt",IF(AND(ISNUMBER(O159),ISNUMBER(P159),P159&lt;O159),"⚠ Ende vor Start",IF(AND(R159="WON",AY159=0),"⛔ Zeitraum fehlt",IF(AR159=0,"○ Einstand offen",IF(AY159=0,"○ Zeitraum offen",IF(R159="WON","✅ belegt","✔ erfasst")))))))</f>
        <v/>
      </c>
    </row>
    <row r="160" customFormat="false" ht="15" hidden="false" customHeight="true" outlineLevel="0" collapsed="false">
      <c r="G160" s="1" t="str">
        <f aca="false">IF(B160="","",IF(AY160=1,P160-O160+1,IF(AW160="","",AW160)))</f>
        <v/>
      </c>
      <c r="I160" s="270"/>
      <c r="J160" s="270"/>
      <c r="K160" s="270"/>
      <c r="L160" s="270"/>
      <c r="M160" s="270"/>
      <c r="N160" s="270"/>
      <c r="O160" s="263"/>
      <c r="P160" s="263"/>
      <c r="Q160" s="270" t="str">
        <f aca="false">IF(AND(ISNUMBER(I160),ISNUMBER(S160)),I160*AJ160,IF(OR(I160&lt;&gt;"",S160&lt;&gt;""),"tbd",""))</f>
        <v/>
      </c>
      <c r="S160" s="268"/>
      <c r="Y160" s="275" t="str">
        <f aca="false">IF(ISNUMBER(I160),I160/Netto_Faktor,"")</f>
        <v/>
      </c>
      <c r="Z160" s="275" t="str">
        <f aca="false">IF(B160="","",IF(COUNT(J160:N160)=0,"",SUM(J160:N160)))</f>
        <v/>
      </c>
      <c r="AA160" s="266"/>
      <c r="AB160" s="266"/>
      <c r="AC160" s="266"/>
      <c r="AD160" s="266"/>
      <c r="AE160" s="266"/>
      <c r="AF160" s="266"/>
      <c r="AG160" s="267"/>
      <c r="AH160" s="266" t="str">
        <f aca="false">IF(B160="","",IF(BA160="",IF(R160="WON","✅ belegt &amp; vollständig","✔ vollständig"),LEFT(BA160,LEN(BA160)-3)))</f>
        <v/>
      </c>
      <c r="AJ160" s="268" t="n">
        <f aca="false">IF(ISNUMBER(S160),IFERROR(LOOKUP(IF(S160&lt;=1,S160,S160/100),'⚖️ Wahrscheinlichkeit'!$B$17:$B$21,'⚖️ Wahrscheinlichkeit'!$D$17:$D$21),0),0)</f>
        <v>0</v>
      </c>
      <c r="AK160" s="1" t="str">
        <f aca="false">IF(AND(R160="WON",ISNUMBER(I160)),AL160+(861-ROW())*0.000001,"")</f>
        <v/>
      </c>
      <c r="AL160" s="1" t="n">
        <f aca="false">IFERROR(I160*1,0)</f>
        <v>0</v>
      </c>
      <c r="AM160" s="1" t="n">
        <f aca="false">N(AM159)+IF(AND(R160="WON",B160&lt;&gt;""),1,0)</f>
        <v>12</v>
      </c>
      <c r="AN160" s="1" t="n">
        <f aca="false">N(AN159)+IF(AND(OR(R160="offered",R160="to be offered",R160="on hold"),B160&lt;&gt;""),1,0)</f>
        <v>33</v>
      </c>
      <c r="AO160" s="1" t="n">
        <f aca="false">N(AO159)+IF(AND(OR(R160="follow-up",R160="Evaluation",R160="tbd",R160="In evaluation"),B160&lt;&gt;""),1,0)</f>
        <v>1</v>
      </c>
      <c r="AP160" s="1" t="n">
        <f aca="false">IF(B160="",0,IF(COUNTIF('⚖️ Wahrscheinlichkeit'!$J$17:$J$24,R160)&gt;0,1,0))</f>
        <v>0</v>
      </c>
      <c r="AQ160" s="1" t="n">
        <f aca="false">IF(B160="",0,IF(AND(ISNUMBER(S160),COUNTIF('⚖️ Wahrscheinlichkeit'!$B$6:$B$11,S160)&gt;0),1,0))</f>
        <v>0</v>
      </c>
      <c r="AR160" s="1" t="n">
        <f aca="false">IF(B160="",0,IF(AND(COUNT(J160:M160)=4,SUM(J160:M160)&gt;0),1,0))</f>
        <v>0</v>
      </c>
      <c r="AS160" s="1" t="n">
        <f aca="false">IF(B160="",0,IF(AND(AF160&lt;&gt;"",AG160&lt;&gt;""),1,0))</f>
        <v>0</v>
      </c>
      <c r="AT160" s="1" t="n">
        <f aca="false">IF(AND(R160="WON",AS160=1,AR160=1),1,0)</f>
        <v>0</v>
      </c>
      <c r="AU160" s="1" t="n">
        <f aca="false">IF(B160="",0,IF(AD160="Alternative – zählt nicht",0,1))</f>
        <v>0</v>
      </c>
      <c r="AV160" s="1" t="n">
        <f aca="false">IF(B160="",0,IF(COUNTIF($B$6:$B$860,B160)&gt;1,1,0))</f>
        <v>0</v>
      </c>
      <c r="AX160" s="269" t="str">
        <f aca="false">IF(AY160=1,DATE(YEAR(O160),MONTH(O160),1),"")</f>
        <v/>
      </c>
      <c r="AY160" s="1" t="n">
        <f aca="false">IF(B160="",0,IF(AND(ISNUMBER(O160),ISNUMBER(P160)),IF(P160&gt;=O160,1,0),0))</f>
        <v>0</v>
      </c>
      <c r="AZ160" s="1" t="n">
        <f aca="false">IF(ISNUMBER(Y160),Y160,0)</f>
        <v>0</v>
      </c>
      <c r="BA160" s="1" t="str">
        <f aca="false">IF(B160="","",IF(AND(R160="WON",AS160=0),"⛔ Beleg fehlt · ","")&amp;IF(AND(R160="WON",AR160=0),"⛔ Einstand fehlt · ","")&amp;IF(AND(R160&lt;&gt;"WON",AR160=0),"○ Einstand offen · ","")&amp;IF(AND(R160="WON",AB160=""),"⛔ Vertragsart fehlt · ","")&amp;IF(AND(ISNUMBER(O160),ISNUMBER(P160)),IF(P160&lt;O160,"⚠ Ende vor Start · ",""),"")&amp;IF(AND(R160="WON",AY160=0,NOT(AND(ISNUMBER(O160),ISNUMBER(P160)))),"⛔ Zeitraum fehlt · ","")&amp;IF(AND(R160&lt;&gt;"WON",AY160=0,NOT(AND(ISNUMBER(O160),ISNUMBER(P160)))),"○ Zeitraum offen · ",""))</f>
        <v/>
      </c>
      <c r="BB160" s="1" t="str">
        <f aca="false">IF(B160="","",IF(AND(R160="WON",AS160=0),"⛔ Nachweis fehlt",IF(AND(ISNUMBER(O160),ISNUMBER(P160),P160&lt;O160),"⚠ Ende vor Start",IF(AND(R160="WON",AY160=0),"⛔ Zeitraum fehlt",IF(AR160=0,"○ Einstand offen",IF(AY160=0,"○ Zeitraum offen",IF(R160="WON","✅ belegt","✔ erfasst")))))))</f>
        <v/>
      </c>
    </row>
    <row r="161" customFormat="false" ht="15" hidden="false" customHeight="true" outlineLevel="0" collapsed="false">
      <c r="G161" s="1" t="str">
        <f aca="false">IF(B161="","",IF(AY161=1,P161-O161+1,IF(AW161="","",AW161)))</f>
        <v/>
      </c>
      <c r="I161" s="270"/>
      <c r="J161" s="270"/>
      <c r="K161" s="270"/>
      <c r="L161" s="270"/>
      <c r="M161" s="270"/>
      <c r="N161" s="270"/>
      <c r="O161" s="263"/>
      <c r="P161" s="263"/>
      <c r="Q161" s="270" t="str">
        <f aca="false">IF(AND(ISNUMBER(I161),ISNUMBER(S161)),I161*AJ161,IF(OR(I161&lt;&gt;"",S161&lt;&gt;""),"tbd",""))</f>
        <v/>
      </c>
      <c r="S161" s="268"/>
      <c r="Y161" s="275" t="str">
        <f aca="false">IF(ISNUMBER(I161),I161/Netto_Faktor,"")</f>
        <v/>
      </c>
      <c r="Z161" s="275" t="str">
        <f aca="false">IF(B161="","",IF(COUNT(J161:N161)=0,"",SUM(J161:N161)))</f>
        <v/>
      </c>
      <c r="AA161" s="266"/>
      <c r="AB161" s="266"/>
      <c r="AC161" s="266"/>
      <c r="AD161" s="266"/>
      <c r="AE161" s="266"/>
      <c r="AF161" s="266"/>
      <c r="AG161" s="267"/>
      <c r="AH161" s="266" t="str">
        <f aca="false">IF(B161="","",IF(BA161="",IF(R161="WON","✅ belegt &amp; vollständig","✔ vollständig"),LEFT(BA161,LEN(BA161)-3)))</f>
        <v/>
      </c>
      <c r="AJ161" s="268" t="n">
        <f aca="false">IF(ISNUMBER(S161),IFERROR(LOOKUP(IF(S161&lt;=1,S161,S161/100),'⚖️ Wahrscheinlichkeit'!$B$17:$B$21,'⚖️ Wahrscheinlichkeit'!$D$17:$D$21),0),0)</f>
        <v>0</v>
      </c>
      <c r="AK161" s="1" t="str">
        <f aca="false">IF(AND(R161="WON",ISNUMBER(I161)),AL161+(861-ROW())*0.000001,"")</f>
        <v/>
      </c>
      <c r="AL161" s="1" t="n">
        <f aca="false">IFERROR(I161*1,0)</f>
        <v>0</v>
      </c>
      <c r="AM161" s="1" t="n">
        <f aca="false">N(AM160)+IF(AND(R161="WON",B161&lt;&gt;""),1,0)</f>
        <v>12</v>
      </c>
      <c r="AN161" s="1" t="n">
        <f aca="false">N(AN160)+IF(AND(OR(R161="offered",R161="to be offered",R161="on hold"),B161&lt;&gt;""),1,0)</f>
        <v>33</v>
      </c>
      <c r="AO161" s="1" t="n">
        <f aca="false">N(AO160)+IF(AND(OR(R161="follow-up",R161="Evaluation",R161="tbd",R161="In evaluation"),B161&lt;&gt;""),1,0)</f>
        <v>1</v>
      </c>
      <c r="AP161" s="1" t="n">
        <f aca="false">IF(B161="",0,IF(COUNTIF('⚖️ Wahrscheinlichkeit'!$J$17:$J$24,R161)&gt;0,1,0))</f>
        <v>0</v>
      </c>
      <c r="AQ161" s="1" t="n">
        <f aca="false">IF(B161="",0,IF(AND(ISNUMBER(S161),COUNTIF('⚖️ Wahrscheinlichkeit'!$B$6:$B$11,S161)&gt;0),1,0))</f>
        <v>0</v>
      </c>
      <c r="AR161" s="1" t="n">
        <f aca="false">IF(B161="",0,IF(AND(COUNT(J161:M161)=4,SUM(J161:M161)&gt;0),1,0))</f>
        <v>0</v>
      </c>
      <c r="AS161" s="1" t="n">
        <f aca="false">IF(B161="",0,IF(AND(AF161&lt;&gt;"",AG161&lt;&gt;""),1,0))</f>
        <v>0</v>
      </c>
      <c r="AT161" s="1" t="n">
        <f aca="false">IF(AND(R161="WON",AS161=1,AR161=1),1,0)</f>
        <v>0</v>
      </c>
      <c r="AU161" s="1" t="n">
        <f aca="false">IF(B161="",0,IF(AD161="Alternative – zählt nicht",0,1))</f>
        <v>0</v>
      </c>
      <c r="AV161" s="1" t="n">
        <f aca="false">IF(B161="",0,IF(COUNTIF($B$6:$B$860,B161)&gt;1,1,0))</f>
        <v>0</v>
      </c>
      <c r="AX161" s="269" t="str">
        <f aca="false">IF(AY161=1,DATE(YEAR(O161),MONTH(O161),1),"")</f>
        <v/>
      </c>
      <c r="AY161" s="1" t="n">
        <f aca="false">IF(B161="",0,IF(AND(ISNUMBER(O161),ISNUMBER(P161)),IF(P161&gt;=O161,1,0),0))</f>
        <v>0</v>
      </c>
      <c r="AZ161" s="1" t="n">
        <f aca="false">IF(ISNUMBER(Y161),Y161,0)</f>
        <v>0</v>
      </c>
      <c r="BA161" s="1" t="str">
        <f aca="false">IF(B161="","",IF(AND(R161="WON",AS161=0),"⛔ Beleg fehlt · ","")&amp;IF(AND(R161="WON",AR161=0),"⛔ Einstand fehlt · ","")&amp;IF(AND(R161&lt;&gt;"WON",AR161=0),"○ Einstand offen · ","")&amp;IF(AND(R161="WON",AB161=""),"⛔ Vertragsart fehlt · ","")&amp;IF(AND(ISNUMBER(O161),ISNUMBER(P161)),IF(P161&lt;O161,"⚠ Ende vor Start · ",""),"")&amp;IF(AND(R161="WON",AY161=0,NOT(AND(ISNUMBER(O161),ISNUMBER(P161)))),"⛔ Zeitraum fehlt · ","")&amp;IF(AND(R161&lt;&gt;"WON",AY161=0,NOT(AND(ISNUMBER(O161),ISNUMBER(P161)))),"○ Zeitraum offen · ",""))</f>
        <v/>
      </c>
      <c r="BB161" s="1" t="str">
        <f aca="false">IF(B161="","",IF(AND(R161="WON",AS161=0),"⛔ Nachweis fehlt",IF(AND(ISNUMBER(O161),ISNUMBER(P161),P161&lt;O161),"⚠ Ende vor Start",IF(AND(R161="WON",AY161=0),"⛔ Zeitraum fehlt",IF(AR161=0,"○ Einstand offen",IF(AY161=0,"○ Zeitraum offen",IF(R161="WON","✅ belegt","✔ erfasst")))))))</f>
        <v/>
      </c>
    </row>
    <row r="162" customFormat="false" ht="15" hidden="false" customHeight="true" outlineLevel="0" collapsed="false">
      <c r="G162" s="1" t="str">
        <f aca="false">IF(B162="","",IF(AY162=1,P162-O162+1,IF(AW162="","",AW162)))</f>
        <v/>
      </c>
      <c r="I162" s="270"/>
      <c r="J162" s="270"/>
      <c r="K162" s="270"/>
      <c r="L162" s="270"/>
      <c r="M162" s="270"/>
      <c r="N162" s="270"/>
      <c r="O162" s="263"/>
      <c r="P162" s="263"/>
      <c r="Q162" s="270" t="str">
        <f aca="false">IF(AND(ISNUMBER(I162),ISNUMBER(S162)),I162*AJ162,IF(OR(I162&lt;&gt;"",S162&lt;&gt;""),"tbd",""))</f>
        <v/>
      </c>
      <c r="S162" s="268"/>
      <c r="Y162" s="275" t="str">
        <f aca="false">IF(ISNUMBER(I162),I162/Netto_Faktor,"")</f>
        <v/>
      </c>
      <c r="Z162" s="275" t="str">
        <f aca="false">IF(B162="","",IF(COUNT(J162:N162)=0,"",SUM(J162:N162)))</f>
        <v/>
      </c>
      <c r="AA162" s="266"/>
      <c r="AB162" s="266"/>
      <c r="AC162" s="266"/>
      <c r="AD162" s="266"/>
      <c r="AE162" s="266"/>
      <c r="AF162" s="266"/>
      <c r="AG162" s="267"/>
      <c r="AH162" s="266" t="str">
        <f aca="false">IF(B162="","",IF(BA162="",IF(R162="WON","✅ belegt &amp; vollständig","✔ vollständig"),LEFT(BA162,LEN(BA162)-3)))</f>
        <v/>
      </c>
      <c r="AJ162" s="268" t="n">
        <f aca="false">IF(ISNUMBER(S162),IFERROR(LOOKUP(IF(S162&lt;=1,S162,S162/100),'⚖️ Wahrscheinlichkeit'!$B$17:$B$21,'⚖️ Wahrscheinlichkeit'!$D$17:$D$21),0),0)</f>
        <v>0</v>
      </c>
      <c r="AK162" s="1" t="str">
        <f aca="false">IF(AND(R162="WON",ISNUMBER(I162)),AL162+(861-ROW())*0.000001,"")</f>
        <v/>
      </c>
      <c r="AL162" s="1" t="n">
        <f aca="false">IFERROR(I162*1,0)</f>
        <v>0</v>
      </c>
      <c r="AM162" s="1" t="n">
        <f aca="false">N(AM161)+IF(AND(R162="WON",B162&lt;&gt;""),1,0)</f>
        <v>12</v>
      </c>
      <c r="AN162" s="1" t="n">
        <f aca="false">N(AN161)+IF(AND(OR(R162="offered",R162="to be offered",R162="on hold"),B162&lt;&gt;""),1,0)</f>
        <v>33</v>
      </c>
      <c r="AO162" s="1" t="n">
        <f aca="false">N(AO161)+IF(AND(OR(R162="follow-up",R162="Evaluation",R162="tbd",R162="In evaluation"),B162&lt;&gt;""),1,0)</f>
        <v>1</v>
      </c>
      <c r="AP162" s="1" t="n">
        <f aca="false">IF(B162="",0,IF(COUNTIF('⚖️ Wahrscheinlichkeit'!$J$17:$J$24,R162)&gt;0,1,0))</f>
        <v>0</v>
      </c>
      <c r="AQ162" s="1" t="n">
        <f aca="false">IF(B162="",0,IF(AND(ISNUMBER(S162),COUNTIF('⚖️ Wahrscheinlichkeit'!$B$6:$B$11,S162)&gt;0),1,0))</f>
        <v>0</v>
      </c>
      <c r="AR162" s="1" t="n">
        <f aca="false">IF(B162="",0,IF(AND(COUNT(J162:M162)=4,SUM(J162:M162)&gt;0),1,0))</f>
        <v>0</v>
      </c>
      <c r="AS162" s="1" t="n">
        <f aca="false">IF(B162="",0,IF(AND(AF162&lt;&gt;"",AG162&lt;&gt;""),1,0))</f>
        <v>0</v>
      </c>
      <c r="AT162" s="1" t="n">
        <f aca="false">IF(AND(R162="WON",AS162=1,AR162=1),1,0)</f>
        <v>0</v>
      </c>
      <c r="AU162" s="1" t="n">
        <f aca="false">IF(B162="",0,IF(AD162="Alternative – zählt nicht",0,1))</f>
        <v>0</v>
      </c>
      <c r="AV162" s="1" t="n">
        <f aca="false">IF(B162="",0,IF(COUNTIF($B$6:$B$860,B162)&gt;1,1,0))</f>
        <v>0</v>
      </c>
      <c r="AX162" s="269" t="str">
        <f aca="false">IF(AY162=1,DATE(YEAR(O162),MONTH(O162),1),"")</f>
        <v/>
      </c>
      <c r="AY162" s="1" t="n">
        <f aca="false">IF(B162="",0,IF(AND(ISNUMBER(O162),ISNUMBER(P162)),IF(P162&gt;=O162,1,0),0))</f>
        <v>0</v>
      </c>
      <c r="AZ162" s="1" t="n">
        <f aca="false">IF(ISNUMBER(Y162),Y162,0)</f>
        <v>0</v>
      </c>
      <c r="BA162" s="1" t="str">
        <f aca="false">IF(B162="","",IF(AND(R162="WON",AS162=0),"⛔ Beleg fehlt · ","")&amp;IF(AND(R162="WON",AR162=0),"⛔ Einstand fehlt · ","")&amp;IF(AND(R162&lt;&gt;"WON",AR162=0),"○ Einstand offen · ","")&amp;IF(AND(R162="WON",AB162=""),"⛔ Vertragsart fehlt · ","")&amp;IF(AND(ISNUMBER(O162),ISNUMBER(P162)),IF(P162&lt;O162,"⚠ Ende vor Start · ",""),"")&amp;IF(AND(R162="WON",AY162=0,NOT(AND(ISNUMBER(O162),ISNUMBER(P162)))),"⛔ Zeitraum fehlt · ","")&amp;IF(AND(R162&lt;&gt;"WON",AY162=0,NOT(AND(ISNUMBER(O162),ISNUMBER(P162)))),"○ Zeitraum offen · ",""))</f>
        <v/>
      </c>
      <c r="BB162" s="1" t="str">
        <f aca="false">IF(B162="","",IF(AND(R162="WON",AS162=0),"⛔ Nachweis fehlt",IF(AND(ISNUMBER(O162),ISNUMBER(P162),P162&lt;O162),"⚠ Ende vor Start",IF(AND(R162="WON",AY162=0),"⛔ Zeitraum fehlt",IF(AR162=0,"○ Einstand offen",IF(AY162=0,"○ Zeitraum offen",IF(R162="WON","✅ belegt","✔ erfasst")))))))</f>
        <v/>
      </c>
    </row>
    <row r="163" customFormat="false" ht="15" hidden="false" customHeight="true" outlineLevel="0" collapsed="false">
      <c r="G163" s="1" t="str">
        <f aca="false">IF(B163="","",IF(AY163=1,P163-O163+1,IF(AW163="","",AW163)))</f>
        <v/>
      </c>
      <c r="I163" s="270"/>
      <c r="J163" s="270"/>
      <c r="K163" s="270"/>
      <c r="L163" s="270"/>
      <c r="M163" s="270"/>
      <c r="N163" s="270"/>
      <c r="O163" s="263"/>
      <c r="P163" s="263"/>
      <c r="Q163" s="270" t="str">
        <f aca="false">IF(AND(ISNUMBER(I163),ISNUMBER(S163)),I163*AJ163,IF(OR(I163&lt;&gt;"",S163&lt;&gt;""),"tbd",""))</f>
        <v/>
      </c>
      <c r="S163" s="268"/>
      <c r="Y163" s="275" t="str">
        <f aca="false">IF(ISNUMBER(I163),I163/Netto_Faktor,"")</f>
        <v/>
      </c>
      <c r="Z163" s="275" t="str">
        <f aca="false">IF(B163="","",IF(COUNT(J163:N163)=0,"",SUM(J163:N163)))</f>
        <v/>
      </c>
      <c r="AA163" s="266"/>
      <c r="AB163" s="266"/>
      <c r="AC163" s="266"/>
      <c r="AD163" s="266"/>
      <c r="AE163" s="266"/>
      <c r="AF163" s="266"/>
      <c r="AG163" s="267"/>
      <c r="AH163" s="266" t="str">
        <f aca="false">IF(B163="","",IF(BA163="",IF(R163="WON","✅ belegt &amp; vollständig","✔ vollständig"),LEFT(BA163,LEN(BA163)-3)))</f>
        <v/>
      </c>
      <c r="AJ163" s="268" t="n">
        <f aca="false">IF(ISNUMBER(S163),IFERROR(LOOKUP(IF(S163&lt;=1,S163,S163/100),'⚖️ Wahrscheinlichkeit'!$B$17:$B$21,'⚖️ Wahrscheinlichkeit'!$D$17:$D$21),0),0)</f>
        <v>0</v>
      </c>
      <c r="AK163" s="1" t="str">
        <f aca="false">IF(AND(R163="WON",ISNUMBER(I163)),AL163+(861-ROW())*0.000001,"")</f>
        <v/>
      </c>
      <c r="AL163" s="1" t="n">
        <f aca="false">IFERROR(I163*1,0)</f>
        <v>0</v>
      </c>
      <c r="AM163" s="1" t="n">
        <f aca="false">N(AM162)+IF(AND(R163="WON",B163&lt;&gt;""),1,0)</f>
        <v>12</v>
      </c>
      <c r="AN163" s="1" t="n">
        <f aca="false">N(AN162)+IF(AND(OR(R163="offered",R163="to be offered",R163="on hold"),B163&lt;&gt;""),1,0)</f>
        <v>33</v>
      </c>
      <c r="AO163" s="1" t="n">
        <f aca="false">N(AO162)+IF(AND(OR(R163="follow-up",R163="Evaluation",R163="tbd",R163="In evaluation"),B163&lt;&gt;""),1,0)</f>
        <v>1</v>
      </c>
      <c r="AP163" s="1" t="n">
        <f aca="false">IF(B163="",0,IF(COUNTIF('⚖️ Wahrscheinlichkeit'!$J$17:$J$24,R163)&gt;0,1,0))</f>
        <v>0</v>
      </c>
      <c r="AQ163" s="1" t="n">
        <f aca="false">IF(B163="",0,IF(AND(ISNUMBER(S163),COUNTIF('⚖️ Wahrscheinlichkeit'!$B$6:$B$11,S163)&gt;0),1,0))</f>
        <v>0</v>
      </c>
      <c r="AR163" s="1" t="n">
        <f aca="false">IF(B163="",0,IF(AND(COUNT(J163:M163)=4,SUM(J163:M163)&gt;0),1,0))</f>
        <v>0</v>
      </c>
      <c r="AS163" s="1" t="n">
        <f aca="false">IF(B163="",0,IF(AND(AF163&lt;&gt;"",AG163&lt;&gt;""),1,0))</f>
        <v>0</v>
      </c>
      <c r="AT163" s="1" t="n">
        <f aca="false">IF(AND(R163="WON",AS163=1,AR163=1),1,0)</f>
        <v>0</v>
      </c>
      <c r="AU163" s="1" t="n">
        <f aca="false">IF(B163="",0,IF(AD163="Alternative – zählt nicht",0,1))</f>
        <v>0</v>
      </c>
      <c r="AV163" s="1" t="n">
        <f aca="false">IF(B163="",0,IF(COUNTIF($B$6:$B$860,B163)&gt;1,1,0))</f>
        <v>0</v>
      </c>
      <c r="AX163" s="269" t="str">
        <f aca="false">IF(AY163=1,DATE(YEAR(O163),MONTH(O163),1),"")</f>
        <v/>
      </c>
      <c r="AY163" s="1" t="n">
        <f aca="false">IF(B163="",0,IF(AND(ISNUMBER(O163),ISNUMBER(P163)),IF(P163&gt;=O163,1,0),0))</f>
        <v>0</v>
      </c>
      <c r="AZ163" s="1" t="n">
        <f aca="false">IF(ISNUMBER(Y163),Y163,0)</f>
        <v>0</v>
      </c>
      <c r="BA163" s="1" t="str">
        <f aca="false">IF(B163="","",IF(AND(R163="WON",AS163=0),"⛔ Beleg fehlt · ","")&amp;IF(AND(R163="WON",AR163=0),"⛔ Einstand fehlt · ","")&amp;IF(AND(R163&lt;&gt;"WON",AR163=0),"○ Einstand offen · ","")&amp;IF(AND(R163="WON",AB163=""),"⛔ Vertragsart fehlt · ","")&amp;IF(AND(ISNUMBER(O163),ISNUMBER(P163)),IF(P163&lt;O163,"⚠ Ende vor Start · ",""),"")&amp;IF(AND(R163="WON",AY163=0,NOT(AND(ISNUMBER(O163),ISNUMBER(P163)))),"⛔ Zeitraum fehlt · ","")&amp;IF(AND(R163&lt;&gt;"WON",AY163=0,NOT(AND(ISNUMBER(O163),ISNUMBER(P163)))),"○ Zeitraum offen · ",""))</f>
        <v/>
      </c>
      <c r="BB163" s="1" t="str">
        <f aca="false">IF(B163="","",IF(AND(R163="WON",AS163=0),"⛔ Nachweis fehlt",IF(AND(ISNUMBER(O163),ISNUMBER(P163),P163&lt;O163),"⚠ Ende vor Start",IF(AND(R163="WON",AY163=0),"⛔ Zeitraum fehlt",IF(AR163=0,"○ Einstand offen",IF(AY163=0,"○ Zeitraum offen",IF(R163="WON","✅ belegt","✔ erfasst")))))))</f>
        <v/>
      </c>
    </row>
    <row r="164" customFormat="false" ht="15" hidden="false" customHeight="true" outlineLevel="0" collapsed="false">
      <c r="G164" s="1" t="str">
        <f aca="false">IF(B164="","",IF(AY164=1,P164-O164+1,IF(AW164="","",AW164)))</f>
        <v/>
      </c>
      <c r="I164" s="270"/>
      <c r="J164" s="270"/>
      <c r="K164" s="270"/>
      <c r="L164" s="270"/>
      <c r="M164" s="270"/>
      <c r="N164" s="270"/>
      <c r="O164" s="263"/>
      <c r="P164" s="263"/>
      <c r="Q164" s="270" t="str">
        <f aca="false">IF(AND(ISNUMBER(I164),ISNUMBER(S164)),I164*AJ164,IF(OR(I164&lt;&gt;"",S164&lt;&gt;""),"tbd",""))</f>
        <v/>
      </c>
      <c r="S164" s="268"/>
      <c r="Y164" s="275" t="str">
        <f aca="false">IF(ISNUMBER(I164),I164/Netto_Faktor,"")</f>
        <v/>
      </c>
      <c r="Z164" s="275" t="str">
        <f aca="false">IF(B164="","",IF(COUNT(J164:N164)=0,"",SUM(J164:N164)))</f>
        <v/>
      </c>
      <c r="AA164" s="266"/>
      <c r="AB164" s="266"/>
      <c r="AC164" s="266"/>
      <c r="AD164" s="266"/>
      <c r="AE164" s="266"/>
      <c r="AF164" s="266"/>
      <c r="AG164" s="267"/>
      <c r="AH164" s="266" t="str">
        <f aca="false">IF(B164="","",IF(BA164="",IF(R164="WON","✅ belegt &amp; vollständig","✔ vollständig"),LEFT(BA164,LEN(BA164)-3)))</f>
        <v/>
      </c>
      <c r="AJ164" s="268" t="n">
        <f aca="false">IF(ISNUMBER(S164),IFERROR(LOOKUP(IF(S164&lt;=1,S164,S164/100),'⚖️ Wahrscheinlichkeit'!$B$17:$B$21,'⚖️ Wahrscheinlichkeit'!$D$17:$D$21),0),0)</f>
        <v>0</v>
      </c>
      <c r="AK164" s="1" t="str">
        <f aca="false">IF(AND(R164="WON",ISNUMBER(I164)),AL164+(861-ROW())*0.000001,"")</f>
        <v/>
      </c>
      <c r="AL164" s="1" t="n">
        <f aca="false">IFERROR(I164*1,0)</f>
        <v>0</v>
      </c>
      <c r="AM164" s="1" t="n">
        <f aca="false">N(AM163)+IF(AND(R164="WON",B164&lt;&gt;""),1,0)</f>
        <v>12</v>
      </c>
      <c r="AN164" s="1" t="n">
        <f aca="false">N(AN163)+IF(AND(OR(R164="offered",R164="to be offered",R164="on hold"),B164&lt;&gt;""),1,0)</f>
        <v>33</v>
      </c>
      <c r="AO164" s="1" t="n">
        <f aca="false">N(AO163)+IF(AND(OR(R164="follow-up",R164="Evaluation",R164="tbd",R164="In evaluation"),B164&lt;&gt;""),1,0)</f>
        <v>1</v>
      </c>
      <c r="AP164" s="1" t="n">
        <f aca="false">IF(B164="",0,IF(COUNTIF('⚖️ Wahrscheinlichkeit'!$J$17:$J$24,R164)&gt;0,1,0))</f>
        <v>0</v>
      </c>
      <c r="AQ164" s="1" t="n">
        <f aca="false">IF(B164="",0,IF(AND(ISNUMBER(S164),COUNTIF('⚖️ Wahrscheinlichkeit'!$B$6:$B$11,S164)&gt;0),1,0))</f>
        <v>0</v>
      </c>
      <c r="AR164" s="1" t="n">
        <f aca="false">IF(B164="",0,IF(AND(COUNT(J164:M164)=4,SUM(J164:M164)&gt;0),1,0))</f>
        <v>0</v>
      </c>
      <c r="AS164" s="1" t="n">
        <f aca="false">IF(B164="",0,IF(AND(AF164&lt;&gt;"",AG164&lt;&gt;""),1,0))</f>
        <v>0</v>
      </c>
      <c r="AT164" s="1" t="n">
        <f aca="false">IF(AND(R164="WON",AS164=1,AR164=1),1,0)</f>
        <v>0</v>
      </c>
      <c r="AU164" s="1" t="n">
        <f aca="false">IF(B164="",0,IF(AD164="Alternative – zählt nicht",0,1))</f>
        <v>0</v>
      </c>
      <c r="AV164" s="1" t="n">
        <f aca="false">IF(B164="",0,IF(COUNTIF($B$6:$B$860,B164)&gt;1,1,0))</f>
        <v>0</v>
      </c>
      <c r="AX164" s="269" t="str">
        <f aca="false">IF(AY164=1,DATE(YEAR(O164),MONTH(O164),1),"")</f>
        <v/>
      </c>
      <c r="AY164" s="1" t="n">
        <f aca="false">IF(B164="",0,IF(AND(ISNUMBER(O164),ISNUMBER(P164)),IF(P164&gt;=O164,1,0),0))</f>
        <v>0</v>
      </c>
      <c r="AZ164" s="1" t="n">
        <f aca="false">IF(ISNUMBER(Y164),Y164,0)</f>
        <v>0</v>
      </c>
      <c r="BA164" s="1" t="str">
        <f aca="false">IF(B164="","",IF(AND(R164="WON",AS164=0),"⛔ Beleg fehlt · ","")&amp;IF(AND(R164="WON",AR164=0),"⛔ Einstand fehlt · ","")&amp;IF(AND(R164&lt;&gt;"WON",AR164=0),"○ Einstand offen · ","")&amp;IF(AND(R164="WON",AB164=""),"⛔ Vertragsart fehlt · ","")&amp;IF(AND(ISNUMBER(O164),ISNUMBER(P164)),IF(P164&lt;O164,"⚠ Ende vor Start · ",""),"")&amp;IF(AND(R164="WON",AY164=0,NOT(AND(ISNUMBER(O164),ISNUMBER(P164)))),"⛔ Zeitraum fehlt · ","")&amp;IF(AND(R164&lt;&gt;"WON",AY164=0,NOT(AND(ISNUMBER(O164),ISNUMBER(P164)))),"○ Zeitraum offen · ",""))</f>
        <v/>
      </c>
      <c r="BB164" s="1" t="str">
        <f aca="false">IF(B164="","",IF(AND(R164="WON",AS164=0),"⛔ Nachweis fehlt",IF(AND(ISNUMBER(O164),ISNUMBER(P164),P164&lt;O164),"⚠ Ende vor Start",IF(AND(R164="WON",AY164=0),"⛔ Zeitraum fehlt",IF(AR164=0,"○ Einstand offen",IF(AY164=0,"○ Zeitraum offen",IF(R164="WON","✅ belegt","✔ erfasst")))))))</f>
        <v/>
      </c>
    </row>
    <row r="165" customFormat="false" ht="15" hidden="false" customHeight="true" outlineLevel="0" collapsed="false">
      <c r="G165" s="1" t="str">
        <f aca="false">IF(B165="","",IF(AY165=1,P165-O165+1,IF(AW165="","",AW165)))</f>
        <v/>
      </c>
      <c r="I165" s="270"/>
      <c r="J165" s="270"/>
      <c r="K165" s="270"/>
      <c r="L165" s="270"/>
      <c r="M165" s="270"/>
      <c r="N165" s="270"/>
      <c r="O165" s="263"/>
      <c r="P165" s="263"/>
      <c r="Q165" s="270" t="str">
        <f aca="false">IF(AND(ISNUMBER(I165),ISNUMBER(S165)),I165*AJ165,IF(OR(I165&lt;&gt;"",S165&lt;&gt;""),"tbd",""))</f>
        <v/>
      </c>
      <c r="S165" s="268"/>
      <c r="Y165" s="275" t="str">
        <f aca="false">IF(ISNUMBER(I165),I165/Netto_Faktor,"")</f>
        <v/>
      </c>
      <c r="Z165" s="275" t="str">
        <f aca="false">IF(B165="","",IF(COUNT(J165:N165)=0,"",SUM(J165:N165)))</f>
        <v/>
      </c>
      <c r="AA165" s="266"/>
      <c r="AB165" s="266"/>
      <c r="AC165" s="266"/>
      <c r="AD165" s="266"/>
      <c r="AE165" s="266"/>
      <c r="AF165" s="266"/>
      <c r="AG165" s="267"/>
      <c r="AH165" s="266" t="str">
        <f aca="false">IF(B165="","",IF(BA165="",IF(R165="WON","✅ belegt &amp; vollständig","✔ vollständig"),LEFT(BA165,LEN(BA165)-3)))</f>
        <v/>
      </c>
      <c r="AJ165" s="268" t="n">
        <f aca="false">IF(ISNUMBER(S165),IFERROR(LOOKUP(IF(S165&lt;=1,S165,S165/100),'⚖️ Wahrscheinlichkeit'!$B$17:$B$21,'⚖️ Wahrscheinlichkeit'!$D$17:$D$21),0),0)</f>
        <v>0</v>
      </c>
      <c r="AK165" s="1" t="str">
        <f aca="false">IF(AND(R165="WON",ISNUMBER(I165)),AL165+(861-ROW())*0.000001,"")</f>
        <v/>
      </c>
      <c r="AL165" s="1" t="n">
        <f aca="false">IFERROR(I165*1,0)</f>
        <v>0</v>
      </c>
      <c r="AM165" s="1" t="n">
        <f aca="false">N(AM164)+IF(AND(R165="WON",B165&lt;&gt;""),1,0)</f>
        <v>12</v>
      </c>
      <c r="AN165" s="1" t="n">
        <f aca="false">N(AN164)+IF(AND(OR(R165="offered",R165="to be offered",R165="on hold"),B165&lt;&gt;""),1,0)</f>
        <v>33</v>
      </c>
      <c r="AO165" s="1" t="n">
        <f aca="false">N(AO164)+IF(AND(OR(R165="follow-up",R165="Evaluation",R165="tbd",R165="In evaluation"),B165&lt;&gt;""),1,0)</f>
        <v>1</v>
      </c>
      <c r="AP165" s="1" t="n">
        <f aca="false">IF(B165="",0,IF(COUNTIF('⚖️ Wahrscheinlichkeit'!$J$17:$J$24,R165)&gt;0,1,0))</f>
        <v>0</v>
      </c>
      <c r="AQ165" s="1" t="n">
        <f aca="false">IF(B165="",0,IF(AND(ISNUMBER(S165),COUNTIF('⚖️ Wahrscheinlichkeit'!$B$6:$B$11,S165)&gt;0),1,0))</f>
        <v>0</v>
      </c>
      <c r="AR165" s="1" t="n">
        <f aca="false">IF(B165="",0,IF(AND(COUNT(J165:M165)=4,SUM(J165:M165)&gt;0),1,0))</f>
        <v>0</v>
      </c>
      <c r="AS165" s="1" t="n">
        <f aca="false">IF(B165="",0,IF(AND(AF165&lt;&gt;"",AG165&lt;&gt;""),1,0))</f>
        <v>0</v>
      </c>
      <c r="AT165" s="1" t="n">
        <f aca="false">IF(AND(R165="WON",AS165=1,AR165=1),1,0)</f>
        <v>0</v>
      </c>
      <c r="AU165" s="1" t="n">
        <f aca="false">IF(B165="",0,IF(AD165="Alternative – zählt nicht",0,1))</f>
        <v>0</v>
      </c>
      <c r="AV165" s="1" t="n">
        <f aca="false">IF(B165="",0,IF(COUNTIF($B$6:$B$860,B165)&gt;1,1,0))</f>
        <v>0</v>
      </c>
      <c r="AX165" s="269" t="str">
        <f aca="false">IF(AY165=1,DATE(YEAR(O165),MONTH(O165),1),"")</f>
        <v/>
      </c>
      <c r="AY165" s="1" t="n">
        <f aca="false">IF(B165="",0,IF(AND(ISNUMBER(O165),ISNUMBER(P165)),IF(P165&gt;=O165,1,0),0))</f>
        <v>0</v>
      </c>
      <c r="AZ165" s="1" t="n">
        <f aca="false">IF(ISNUMBER(Y165),Y165,0)</f>
        <v>0</v>
      </c>
      <c r="BA165" s="1" t="str">
        <f aca="false">IF(B165="","",IF(AND(R165="WON",AS165=0),"⛔ Beleg fehlt · ","")&amp;IF(AND(R165="WON",AR165=0),"⛔ Einstand fehlt · ","")&amp;IF(AND(R165&lt;&gt;"WON",AR165=0),"○ Einstand offen · ","")&amp;IF(AND(R165="WON",AB165=""),"⛔ Vertragsart fehlt · ","")&amp;IF(AND(ISNUMBER(O165),ISNUMBER(P165)),IF(P165&lt;O165,"⚠ Ende vor Start · ",""),"")&amp;IF(AND(R165="WON",AY165=0,NOT(AND(ISNUMBER(O165),ISNUMBER(P165)))),"⛔ Zeitraum fehlt · ","")&amp;IF(AND(R165&lt;&gt;"WON",AY165=0,NOT(AND(ISNUMBER(O165),ISNUMBER(P165)))),"○ Zeitraum offen · ",""))</f>
        <v/>
      </c>
      <c r="BB165" s="1" t="str">
        <f aca="false">IF(B165="","",IF(AND(R165="WON",AS165=0),"⛔ Nachweis fehlt",IF(AND(ISNUMBER(O165),ISNUMBER(P165),P165&lt;O165),"⚠ Ende vor Start",IF(AND(R165="WON",AY165=0),"⛔ Zeitraum fehlt",IF(AR165=0,"○ Einstand offen",IF(AY165=0,"○ Zeitraum offen",IF(R165="WON","✅ belegt","✔ erfasst")))))))</f>
        <v/>
      </c>
    </row>
    <row r="166" customFormat="false" ht="15" hidden="false" customHeight="true" outlineLevel="0" collapsed="false">
      <c r="G166" s="1" t="str">
        <f aca="false">IF(B166="","",IF(AY166=1,P166-O166+1,IF(AW166="","",AW166)))</f>
        <v/>
      </c>
      <c r="I166" s="270"/>
      <c r="J166" s="270"/>
      <c r="K166" s="270"/>
      <c r="L166" s="270"/>
      <c r="M166" s="270"/>
      <c r="N166" s="270"/>
      <c r="O166" s="263"/>
      <c r="P166" s="263"/>
      <c r="Q166" s="270" t="str">
        <f aca="false">IF(AND(ISNUMBER(I166),ISNUMBER(S166)),I166*AJ166,IF(OR(I166&lt;&gt;"",S166&lt;&gt;""),"tbd",""))</f>
        <v/>
      </c>
      <c r="S166" s="268"/>
      <c r="Y166" s="275" t="str">
        <f aca="false">IF(ISNUMBER(I166),I166/Netto_Faktor,"")</f>
        <v/>
      </c>
      <c r="Z166" s="275" t="str">
        <f aca="false">IF(B166="","",IF(COUNT(J166:N166)=0,"",SUM(J166:N166)))</f>
        <v/>
      </c>
      <c r="AA166" s="266"/>
      <c r="AB166" s="266"/>
      <c r="AC166" s="266"/>
      <c r="AD166" s="266"/>
      <c r="AE166" s="266"/>
      <c r="AF166" s="266"/>
      <c r="AG166" s="267"/>
      <c r="AH166" s="266" t="str">
        <f aca="false">IF(B166="","",IF(BA166="",IF(R166="WON","✅ belegt &amp; vollständig","✔ vollständig"),LEFT(BA166,LEN(BA166)-3)))</f>
        <v/>
      </c>
      <c r="AJ166" s="268" t="n">
        <f aca="false">IF(ISNUMBER(S166),IFERROR(LOOKUP(IF(S166&lt;=1,S166,S166/100),'⚖️ Wahrscheinlichkeit'!$B$17:$B$21,'⚖️ Wahrscheinlichkeit'!$D$17:$D$21),0),0)</f>
        <v>0</v>
      </c>
      <c r="AK166" s="1" t="str">
        <f aca="false">IF(AND(R166="WON",ISNUMBER(I166)),AL166+(861-ROW())*0.000001,"")</f>
        <v/>
      </c>
      <c r="AL166" s="1" t="n">
        <f aca="false">IFERROR(I166*1,0)</f>
        <v>0</v>
      </c>
      <c r="AM166" s="1" t="n">
        <f aca="false">N(AM165)+IF(AND(R166="WON",B166&lt;&gt;""),1,0)</f>
        <v>12</v>
      </c>
      <c r="AN166" s="1" t="n">
        <f aca="false">N(AN165)+IF(AND(OR(R166="offered",R166="to be offered",R166="on hold"),B166&lt;&gt;""),1,0)</f>
        <v>33</v>
      </c>
      <c r="AO166" s="1" t="n">
        <f aca="false">N(AO165)+IF(AND(OR(R166="follow-up",R166="Evaluation",R166="tbd",R166="In evaluation"),B166&lt;&gt;""),1,0)</f>
        <v>1</v>
      </c>
      <c r="AP166" s="1" t="n">
        <f aca="false">IF(B166="",0,IF(COUNTIF('⚖️ Wahrscheinlichkeit'!$J$17:$J$24,R166)&gt;0,1,0))</f>
        <v>0</v>
      </c>
      <c r="AQ166" s="1" t="n">
        <f aca="false">IF(B166="",0,IF(AND(ISNUMBER(S166),COUNTIF('⚖️ Wahrscheinlichkeit'!$B$6:$B$11,S166)&gt;0),1,0))</f>
        <v>0</v>
      </c>
      <c r="AR166" s="1" t="n">
        <f aca="false">IF(B166="",0,IF(AND(COUNT(J166:M166)=4,SUM(J166:M166)&gt;0),1,0))</f>
        <v>0</v>
      </c>
      <c r="AS166" s="1" t="n">
        <f aca="false">IF(B166="",0,IF(AND(AF166&lt;&gt;"",AG166&lt;&gt;""),1,0))</f>
        <v>0</v>
      </c>
      <c r="AT166" s="1" t="n">
        <f aca="false">IF(AND(R166="WON",AS166=1,AR166=1),1,0)</f>
        <v>0</v>
      </c>
      <c r="AU166" s="1" t="n">
        <f aca="false">IF(B166="",0,IF(AD166="Alternative – zählt nicht",0,1))</f>
        <v>0</v>
      </c>
      <c r="AV166" s="1" t="n">
        <f aca="false">IF(B166="",0,IF(COUNTIF($B$6:$B$860,B166)&gt;1,1,0))</f>
        <v>0</v>
      </c>
      <c r="AX166" s="269" t="str">
        <f aca="false">IF(AY166=1,DATE(YEAR(O166),MONTH(O166),1),"")</f>
        <v/>
      </c>
      <c r="AY166" s="1" t="n">
        <f aca="false">IF(B166="",0,IF(AND(ISNUMBER(O166),ISNUMBER(P166)),IF(P166&gt;=O166,1,0),0))</f>
        <v>0</v>
      </c>
      <c r="AZ166" s="1" t="n">
        <f aca="false">IF(ISNUMBER(Y166),Y166,0)</f>
        <v>0</v>
      </c>
      <c r="BA166" s="1" t="str">
        <f aca="false">IF(B166="","",IF(AND(R166="WON",AS166=0),"⛔ Beleg fehlt · ","")&amp;IF(AND(R166="WON",AR166=0),"⛔ Einstand fehlt · ","")&amp;IF(AND(R166&lt;&gt;"WON",AR166=0),"○ Einstand offen · ","")&amp;IF(AND(R166="WON",AB166=""),"⛔ Vertragsart fehlt · ","")&amp;IF(AND(ISNUMBER(O166),ISNUMBER(P166)),IF(P166&lt;O166,"⚠ Ende vor Start · ",""),"")&amp;IF(AND(R166="WON",AY166=0,NOT(AND(ISNUMBER(O166),ISNUMBER(P166)))),"⛔ Zeitraum fehlt · ","")&amp;IF(AND(R166&lt;&gt;"WON",AY166=0,NOT(AND(ISNUMBER(O166),ISNUMBER(P166)))),"○ Zeitraum offen · ",""))</f>
        <v/>
      </c>
      <c r="BB166" s="1" t="str">
        <f aca="false">IF(B166="","",IF(AND(R166="WON",AS166=0),"⛔ Nachweis fehlt",IF(AND(ISNUMBER(O166),ISNUMBER(P166),P166&lt;O166),"⚠ Ende vor Start",IF(AND(R166="WON",AY166=0),"⛔ Zeitraum fehlt",IF(AR166=0,"○ Einstand offen",IF(AY166=0,"○ Zeitraum offen",IF(R166="WON","✅ belegt","✔ erfasst")))))))</f>
        <v/>
      </c>
    </row>
    <row r="167" customFormat="false" ht="15" hidden="false" customHeight="true" outlineLevel="0" collapsed="false">
      <c r="G167" s="1" t="str">
        <f aca="false">IF(B167="","",IF(AY167=1,P167-O167+1,IF(AW167="","",AW167)))</f>
        <v/>
      </c>
      <c r="I167" s="270"/>
      <c r="J167" s="270"/>
      <c r="K167" s="270"/>
      <c r="L167" s="270"/>
      <c r="M167" s="270"/>
      <c r="N167" s="270"/>
      <c r="O167" s="263"/>
      <c r="P167" s="263"/>
      <c r="Q167" s="270" t="str">
        <f aca="false">IF(AND(ISNUMBER(I167),ISNUMBER(S167)),I167*AJ167,IF(OR(I167&lt;&gt;"",S167&lt;&gt;""),"tbd",""))</f>
        <v/>
      </c>
      <c r="S167" s="268"/>
      <c r="Y167" s="275" t="str">
        <f aca="false">IF(ISNUMBER(I167),I167/Netto_Faktor,"")</f>
        <v/>
      </c>
      <c r="Z167" s="275" t="str">
        <f aca="false">IF(B167="","",IF(COUNT(J167:N167)=0,"",SUM(J167:N167)))</f>
        <v/>
      </c>
      <c r="AA167" s="266"/>
      <c r="AB167" s="266"/>
      <c r="AC167" s="266"/>
      <c r="AD167" s="266"/>
      <c r="AE167" s="266"/>
      <c r="AF167" s="266"/>
      <c r="AG167" s="267"/>
      <c r="AH167" s="266" t="str">
        <f aca="false">IF(B167="","",IF(BA167="",IF(R167="WON","✅ belegt &amp; vollständig","✔ vollständig"),LEFT(BA167,LEN(BA167)-3)))</f>
        <v/>
      </c>
      <c r="AJ167" s="268" t="n">
        <f aca="false">IF(ISNUMBER(S167),IFERROR(LOOKUP(IF(S167&lt;=1,S167,S167/100),'⚖️ Wahrscheinlichkeit'!$B$17:$B$21,'⚖️ Wahrscheinlichkeit'!$D$17:$D$21),0),0)</f>
        <v>0</v>
      </c>
      <c r="AK167" s="1" t="str">
        <f aca="false">IF(AND(R167="WON",ISNUMBER(I167)),AL167+(861-ROW())*0.000001,"")</f>
        <v/>
      </c>
      <c r="AL167" s="1" t="n">
        <f aca="false">IFERROR(I167*1,0)</f>
        <v>0</v>
      </c>
      <c r="AM167" s="1" t="n">
        <f aca="false">N(AM166)+IF(AND(R167="WON",B167&lt;&gt;""),1,0)</f>
        <v>12</v>
      </c>
      <c r="AN167" s="1" t="n">
        <f aca="false">N(AN166)+IF(AND(OR(R167="offered",R167="to be offered",R167="on hold"),B167&lt;&gt;""),1,0)</f>
        <v>33</v>
      </c>
      <c r="AO167" s="1" t="n">
        <f aca="false">N(AO166)+IF(AND(OR(R167="follow-up",R167="Evaluation",R167="tbd",R167="In evaluation"),B167&lt;&gt;""),1,0)</f>
        <v>1</v>
      </c>
      <c r="AP167" s="1" t="n">
        <f aca="false">IF(B167="",0,IF(COUNTIF('⚖️ Wahrscheinlichkeit'!$J$17:$J$24,R167)&gt;0,1,0))</f>
        <v>0</v>
      </c>
      <c r="AQ167" s="1" t="n">
        <f aca="false">IF(B167="",0,IF(AND(ISNUMBER(S167),COUNTIF('⚖️ Wahrscheinlichkeit'!$B$6:$B$11,S167)&gt;0),1,0))</f>
        <v>0</v>
      </c>
      <c r="AR167" s="1" t="n">
        <f aca="false">IF(B167="",0,IF(AND(COUNT(J167:M167)=4,SUM(J167:M167)&gt;0),1,0))</f>
        <v>0</v>
      </c>
      <c r="AS167" s="1" t="n">
        <f aca="false">IF(B167="",0,IF(AND(AF167&lt;&gt;"",AG167&lt;&gt;""),1,0))</f>
        <v>0</v>
      </c>
      <c r="AT167" s="1" t="n">
        <f aca="false">IF(AND(R167="WON",AS167=1,AR167=1),1,0)</f>
        <v>0</v>
      </c>
      <c r="AU167" s="1" t="n">
        <f aca="false">IF(B167="",0,IF(AD167="Alternative – zählt nicht",0,1))</f>
        <v>0</v>
      </c>
      <c r="AV167" s="1" t="n">
        <f aca="false">IF(B167="",0,IF(COUNTIF($B$6:$B$860,B167)&gt;1,1,0))</f>
        <v>0</v>
      </c>
      <c r="AX167" s="269" t="str">
        <f aca="false">IF(AY167=1,DATE(YEAR(O167),MONTH(O167),1),"")</f>
        <v/>
      </c>
      <c r="AY167" s="1" t="n">
        <f aca="false">IF(B167="",0,IF(AND(ISNUMBER(O167),ISNUMBER(P167)),IF(P167&gt;=O167,1,0),0))</f>
        <v>0</v>
      </c>
      <c r="AZ167" s="1" t="n">
        <f aca="false">IF(ISNUMBER(Y167),Y167,0)</f>
        <v>0</v>
      </c>
      <c r="BA167" s="1" t="str">
        <f aca="false">IF(B167="","",IF(AND(R167="WON",AS167=0),"⛔ Beleg fehlt · ","")&amp;IF(AND(R167="WON",AR167=0),"⛔ Einstand fehlt · ","")&amp;IF(AND(R167&lt;&gt;"WON",AR167=0),"○ Einstand offen · ","")&amp;IF(AND(R167="WON",AB167=""),"⛔ Vertragsart fehlt · ","")&amp;IF(AND(ISNUMBER(O167),ISNUMBER(P167)),IF(P167&lt;O167,"⚠ Ende vor Start · ",""),"")&amp;IF(AND(R167="WON",AY167=0,NOT(AND(ISNUMBER(O167),ISNUMBER(P167)))),"⛔ Zeitraum fehlt · ","")&amp;IF(AND(R167&lt;&gt;"WON",AY167=0,NOT(AND(ISNUMBER(O167),ISNUMBER(P167)))),"○ Zeitraum offen · ",""))</f>
        <v/>
      </c>
      <c r="BB167" s="1" t="str">
        <f aca="false">IF(B167="","",IF(AND(R167="WON",AS167=0),"⛔ Nachweis fehlt",IF(AND(ISNUMBER(O167),ISNUMBER(P167),P167&lt;O167),"⚠ Ende vor Start",IF(AND(R167="WON",AY167=0),"⛔ Zeitraum fehlt",IF(AR167=0,"○ Einstand offen",IF(AY167=0,"○ Zeitraum offen",IF(R167="WON","✅ belegt","✔ erfasst")))))))</f>
        <v/>
      </c>
    </row>
    <row r="168" customFormat="false" ht="15" hidden="false" customHeight="true" outlineLevel="0" collapsed="false">
      <c r="G168" s="1" t="str">
        <f aca="false">IF(B168="","",IF(AY168=1,P168-O168+1,IF(AW168="","",AW168)))</f>
        <v/>
      </c>
      <c r="I168" s="270"/>
      <c r="J168" s="270"/>
      <c r="K168" s="270"/>
      <c r="L168" s="270"/>
      <c r="M168" s="270"/>
      <c r="N168" s="270"/>
      <c r="O168" s="263"/>
      <c r="P168" s="263"/>
      <c r="Q168" s="270" t="str">
        <f aca="false">IF(AND(ISNUMBER(I168),ISNUMBER(S168)),I168*AJ168,IF(OR(I168&lt;&gt;"",S168&lt;&gt;""),"tbd",""))</f>
        <v/>
      </c>
      <c r="S168" s="268"/>
      <c r="Y168" s="275" t="str">
        <f aca="false">IF(ISNUMBER(I168),I168/Netto_Faktor,"")</f>
        <v/>
      </c>
      <c r="Z168" s="275" t="str">
        <f aca="false">IF(B168="","",IF(COUNT(J168:N168)=0,"",SUM(J168:N168)))</f>
        <v/>
      </c>
      <c r="AA168" s="266"/>
      <c r="AB168" s="266"/>
      <c r="AC168" s="266"/>
      <c r="AD168" s="266"/>
      <c r="AE168" s="266"/>
      <c r="AF168" s="266"/>
      <c r="AG168" s="267"/>
      <c r="AH168" s="266" t="str">
        <f aca="false">IF(B168="","",IF(BA168="",IF(R168="WON","✅ belegt &amp; vollständig","✔ vollständig"),LEFT(BA168,LEN(BA168)-3)))</f>
        <v/>
      </c>
      <c r="AJ168" s="268" t="n">
        <f aca="false">IF(ISNUMBER(S168),IFERROR(LOOKUP(IF(S168&lt;=1,S168,S168/100),'⚖️ Wahrscheinlichkeit'!$B$17:$B$21,'⚖️ Wahrscheinlichkeit'!$D$17:$D$21),0),0)</f>
        <v>0</v>
      </c>
      <c r="AK168" s="1" t="str">
        <f aca="false">IF(AND(R168="WON",ISNUMBER(I168)),AL168+(861-ROW())*0.000001,"")</f>
        <v/>
      </c>
      <c r="AL168" s="1" t="n">
        <f aca="false">IFERROR(I168*1,0)</f>
        <v>0</v>
      </c>
      <c r="AM168" s="1" t="n">
        <f aca="false">N(AM167)+IF(AND(R168="WON",B168&lt;&gt;""),1,0)</f>
        <v>12</v>
      </c>
      <c r="AN168" s="1" t="n">
        <f aca="false">N(AN167)+IF(AND(OR(R168="offered",R168="to be offered",R168="on hold"),B168&lt;&gt;""),1,0)</f>
        <v>33</v>
      </c>
      <c r="AO168" s="1" t="n">
        <f aca="false">N(AO167)+IF(AND(OR(R168="follow-up",R168="Evaluation",R168="tbd",R168="In evaluation"),B168&lt;&gt;""),1,0)</f>
        <v>1</v>
      </c>
      <c r="AP168" s="1" t="n">
        <f aca="false">IF(B168="",0,IF(COUNTIF('⚖️ Wahrscheinlichkeit'!$J$17:$J$24,R168)&gt;0,1,0))</f>
        <v>0</v>
      </c>
      <c r="AQ168" s="1" t="n">
        <f aca="false">IF(B168="",0,IF(AND(ISNUMBER(S168),COUNTIF('⚖️ Wahrscheinlichkeit'!$B$6:$B$11,S168)&gt;0),1,0))</f>
        <v>0</v>
      </c>
      <c r="AR168" s="1" t="n">
        <f aca="false">IF(B168="",0,IF(AND(COUNT(J168:M168)=4,SUM(J168:M168)&gt;0),1,0))</f>
        <v>0</v>
      </c>
      <c r="AS168" s="1" t="n">
        <f aca="false">IF(B168="",0,IF(AND(AF168&lt;&gt;"",AG168&lt;&gt;""),1,0))</f>
        <v>0</v>
      </c>
      <c r="AT168" s="1" t="n">
        <f aca="false">IF(AND(R168="WON",AS168=1,AR168=1),1,0)</f>
        <v>0</v>
      </c>
      <c r="AU168" s="1" t="n">
        <f aca="false">IF(B168="",0,IF(AD168="Alternative – zählt nicht",0,1))</f>
        <v>0</v>
      </c>
      <c r="AV168" s="1" t="n">
        <f aca="false">IF(B168="",0,IF(COUNTIF($B$6:$B$860,B168)&gt;1,1,0))</f>
        <v>0</v>
      </c>
      <c r="AX168" s="269" t="str">
        <f aca="false">IF(AY168=1,DATE(YEAR(O168),MONTH(O168),1),"")</f>
        <v/>
      </c>
      <c r="AY168" s="1" t="n">
        <f aca="false">IF(B168="",0,IF(AND(ISNUMBER(O168),ISNUMBER(P168)),IF(P168&gt;=O168,1,0),0))</f>
        <v>0</v>
      </c>
      <c r="AZ168" s="1" t="n">
        <f aca="false">IF(ISNUMBER(Y168),Y168,0)</f>
        <v>0</v>
      </c>
      <c r="BA168" s="1" t="str">
        <f aca="false">IF(B168="","",IF(AND(R168="WON",AS168=0),"⛔ Beleg fehlt · ","")&amp;IF(AND(R168="WON",AR168=0),"⛔ Einstand fehlt · ","")&amp;IF(AND(R168&lt;&gt;"WON",AR168=0),"○ Einstand offen · ","")&amp;IF(AND(R168="WON",AB168=""),"⛔ Vertragsart fehlt · ","")&amp;IF(AND(ISNUMBER(O168),ISNUMBER(P168)),IF(P168&lt;O168,"⚠ Ende vor Start · ",""),"")&amp;IF(AND(R168="WON",AY168=0,NOT(AND(ISNUMBER(O168),ISNUMBER(P168)))),"⛔ Zeitraum fehlt · ","")&amp;IF(AND(R168&lt;&gt;"WON",AY168=0,NOT(AND(ISNUMBER(O168),ISNUMBER(P168)))),"○ Zeitraum offen · ",""))</f>
        <v/>
      </c>
      <c r="BB168" s="1" t="str">
        <f aca="false">IF(B168="","",IF(AND(R168="WON",AS168=0),"⛔ Nachweis fehlt",IF(AND(ISNUMBER(O168),ISNUMBER(P168),P168&lt;O168),"⚠ Ende vor Start",IF(AND(R168="WON",AY168=0),"⛔ Zeitraum fehlt",IF(AR168=0,"○ Einstand offen",IF(AY168=0,"○ Zeitraum offen",IF(R168="WON","✅ belegt","✔ erfasst")))))))</f>
        <v/>
      </c>
    </row>
    <row r="169" customFormat="false" ht="15" hidden="false" customHeight="true" outlineLevel="0" collapsed="false">
      <c r="G169" s="1" t="str">
        <f aca="false">IF(B169="","",IF(AY169=1,P169-O169+1,IF(AW169="","",AW169)))</f>
        <v/>
      </c>
      <c r="I169" s="270"/>
      <c r="J169" s="270"/>
      <c r="K169" s="270"/>
      <c r="L169" s="270"/>
      <c r="M169" s="270"/>
      <c r="N169" s="270"/>
      <c r="O169" s="263"/>
      <c r="P169" s="263"/>
      <c r="Q169" s="270" t="str">
        <f aca="false">IF(AND(ISNUMBER(I169),ISNUMBER(S169)),I169*AJ169,IF(OR(I169&lt;&gt;"",S169&lt;&gt;""),"tbd",""))</f>
        <v/>
      </c>
      <c r="S169" s="268"/>
      <c r="Y169" s="275" t="str">
        <f aca="false">IF(ISNUMBER(I169),I169/Netto_Faktor,"")</f>
        <v/>
      </c>
      <c r="Z169" s="275" t="str">
        <f aca="false">IF(B169="","",IF(COUNT(J169:N169)=0,"",SUM(J169:N169)))</f>
        <v/>
      </c>
      <c r="AA169" s="266"/>
      <c r="AB169" s="266"/>
      <c r="AC169" s="266"/>
      <c r="AD169" s="266"/>
      <c r="AE169" s="266"/>
      <c r="AF169" s="266"/>
      <c r="AG169" s="267"/>
      <c r="AH169" s="266" t="str">
        <f aca="false">IF(B169="","",IF(BA169="",IF(R169="WON","✅ belegt &amp; vollständig","✔ vollständig"),LEFT(BA169,LEN(BA169)-3)))</f>
        <v/>
      </c>
      <c r="AJ169" s="268" t="n">
        <f aca="false">IF(ISNUMBER(S169),IFERROR(LOOKUP(IF(S169&lt;=1,S169,S169/100),'⚖️ Wahrscheinlichkeit'!$B$17:$B$21,'⚖️ Wahrscheinlichkeit'!$D$17:$D$21),0),0)</f>
        <v>0</v>
      </c>
      <c r="AK169" s="1" t="str">
        <f aca="false">IF(AND(R169="WON",ISNUMBER(I169)),AL169+(861-ROW())*0.000001,"")</f>
        <v/>
      </c>
      <c r="AL169" s="1" t="n">
        <f aca="false">IFERROR(I169*1,0)</f>
        <v>0</v>
      </c>
      <c r="AM169" s="1" t="n">
        <f aca="false">N(AM168)+IF(AND(R169="WON",B169&lt;&gt;""),1,0)</f>
        <v>12</v>
      </c>
      <c r="AN169" s="1" t="n">
        <f aca="false">N(AN168)+IF(AND(OR(R169="offered",R169="to be offered",R169="on hold"),B169&lt;&gt;""),1,0)</f>
        <v>33</v>
      </c>
      <c r="AO169" s="1" t="n">
        <f aca="false">N(AO168)+IF(AND(OR(R169="follow-up",R169="Evaluation",R169="tbd",R169="In evaluation"),B169&lt;&gt;""),1,0)</f>
        <v>1</v>
      </c>
      <c r="AP169" s="1" t="n">
        <f aca="false">IF(B169="",0,IF(COUNTIF('⚖️ Wahrscheinlichkeit'!$J$17:$J$24,R169)&gt;0,1,0))</f>
        <v>0</v>
      </c>
      <c r="AQ169" s="1" t="n">
        <f aca="false">IF(B169="",0,IF(AND(ISNUMBER(S169),COUNTIF('⚖️ Wahrscheinlichkeit'!$B$6:$B$11,S169)&gt;0),1,0))</f>
        <v>0</v>
      </c>
      <c r="AR169" s="1" t="n">
        <f aca="false">IF(B169="",0,IF(AND(COUNT(J169:M169)=4,SUM(J169:M169)&gt;0),1,0))</f>
        <v>0</v>
      </c>
      <c r="AS169" s="1" t="n">
        <f aca="false">IF(B169="",0,IF(AND(AF169&lt;&gt;"",AG169&lt;&gt;""),1,0))</f>
        <v>0</v>
      </c>
      <c r="AT169" s="1" t="n">
        <f aca="false">IF(AND(R169="WON",AS169=1,AR169=1),1,0)</f>
        <v>0</v>
      </c>
      <c r="AU169" s="1" t="n">
        <f aca="false">IF(B169="",0,IF(AD169="Alternative – zählt nicht",0,1))</f>
        <v>0</v>
      </c>
      <c r="AV169" s="1" t="n">
        <f aca="false">IF(B169="",0,IF(COUNTIF($B$6:$B$860,B169)&gt;1,1,0))</f>
        <v>0</v>
      </c>
      <c r="AX169" s="269" t="str">
        <f aca="false">IF(AY169=1,DATE(YEAR(O169),MONTH(O169),1),"")</f>
        <v/>
      </c>
      <c r="AY169" s="1" t="n">
        <f aca="false">IF(B169="",0,IF(AND(ISNUMBER(O169),ISNUMBER(P169)),IF(P169&gt;=O169,1,0),0))</f>
        <v>0</v>
      </c>
      <c r="AZ169" s="1" t="n">
        <f aca="false">IF(ISNUMBER(Y169),Y169,0)</f>
        <v>0</v>
      </c>
      <c r="BA169" s="1" t="str">
        <f aca="false">IF(B169="","",IF(AND(R169="WON",AS169=0),"⛔ Beleg fehlt · ","")&amp;IF(AND(R169="WON",AR169=0),"⛔ Einstand fehlt · ","")&amp;IF(AND(R169&lt;&gt;"WON",AR169=0),"○ Einstand offen · ","")&amp;IF(AND(R169="WON",AB169=""),"⛔ Vertragsart fehlt · ","")&amp;IF(AND(ISNUMBER(O169),ISNUMBER(P169)),IF(P169&lt;O169,"⚠ Ende vor Start · ",""),"")&amp;IF(AND(R169="WON",AY169=0,NOT(AND(ISNUMBER(O169),ISNUMBER(P169)))),"⛔ Zeitraum fehlt · ","")&amp;IF(AND(R169&lt;&gt;"WON",AY169=0,NOT(AND(ISNUMBER(O169),ISNUMBER(P169)))),"○ Zeitraum offen · ",""))</f>
        <v/>
      </c>
      <c r="BB169" s="1" t="str">
        <f aca="false">IF(B169="","",IF(AND(R169="WON",AS169=0),"⛔ Nachweis fehlt",IF(AND(ISNUMBER(O169),ISNUMBER(P169),P169&lt;O169),"⚠ Ende vor Start",IF(AND(R169="WON",AY169=0),"⛔ Zeitraum fehlt",IF(AR169=0,"○ Einstand offen",IF(AY169=0,"○ Zeitraum offen",IF(R169="WON","✅ belegt","✔ erfasst")))))))</f>
        <v/>
      </c>
    </row>
    <row r="170" customFormat="false" ht="15" hidden="false" customHeight="true" outlineLevel="0" collapsed="false">
      <c r="G170" s="1" t="str">
        <f aca="false">IF(B170="","",IF(AY170=1,P170-O170+1,IF(AW170="","",AW170)))</f>
        <v/>
      </c>
      <c r="I170" s="270"/>
      <c r="J170" s="270"/>
      <c r="K170" s="270"/>
      <c r="L170" s="270"/>
      <c r="M170" s="270"/>
      <c r="N170" s="270"/>
      <c r="O170" s="263"/>
      <c r="P170" s="263"/>
      <c r="Q170" s="270" t="str">
        <f aca="false">IF(AND(ISNUMBER(I170),ISNUMBER(S170)),I170*AJ170,IF(OR(I170&lt;&gt;"",S170&lt;&gt;""),"tbd",""))</f>
        <v/>
      </c>
      <c r="S170" s="268"/>
      <c r="Y170" s="275" t="str">
        <f aca="false">IF(ISNUMBER(I170),I170/Netto_Faktor,"")</f>
        <v/>
      </c>
      <c r="Z170" s="275" t="str">
        <f aca="false">IF(B170="","",IF(COUNT(J170:N170)=0,"",SUM(J170:N170)))</f>
        <v/>
      </c>
      <c r="AA170" s="266"/>
      <c r="AB170" s="266"/>
      <c r="AC170" s="266"/>
      <c r="AD170" s="266"/>
      <c r="AE170" s="266"/>
      <c r="AF170" s="266"/>
      <c r="AG170" s="267"/>
      <c r="AH170" s="266" t="str">
        <f aca="false">IF(B170="","",IF(BA170="",IF(R170="WON","✅ belegt &amp; vollständig","✔ vollständig"),LEFT(BA170,LEN(BA170)-3)))</f>
        <v/>
      </c>
      <c r="AJ170" s="268" t="n">
        <f aca="false">IF(ISNUMBER(S170),IFERROR(LOOKUP(IF(S170&lt;=1,S170,S170/100),'⚖️ Wahrscheinlichkeit'!$B$17:$B$21,'⚖️ Wahrscheinlichkeit'!$D$17:$D$21),0),0)</f>
        <v>0</v>
      </c>
      <c r="AK170" s="1" t="str">
        <f aca="false">IF(AND(R170="WON",ISNUMBER(I170)),AL170+(861-ROW())*0.000001,"")</f>
        <v/>
      </c>
      <c r="AL170" s="1" t="n">
        <f aca="false">IFERROR(I170*1,0)</f>
        <v>0</v>
      </c>
      <c r="AM170" s="1" t="n">
        <f aca="false">N(AM169)+IF(AND(R170="WON",B170&lt;&gt;""),1,0)</f>
        <v>12</v>
      </c>
      <c r="AN170" s="1" t="n">
        <f aca="false">N(AN169)+IF(AND(OR(R170="offered",R170="to be offered",R170="on hold"),B170&lt;&gt;""),1,0)</f>
        <v>33</v>
      </c>
      <c r="AO170" s="1" t="n">
        <f aca="false">N(AO169)+IF(AND(OR(R170="follow-up",R170="Evaluation",R170="tbd",R170="In evaluation"),B170&lt;&gt;""),1,0)</f>
        <v>1</v>
      </c>
      <c r="AP170" s="1" t="n">
        <f aca="false">IF(B170="",0,IF(COUNTIF('⚖️ Wahrscheinlichkeit'!$J$17:$J$24,R170)&gt;0,1,0))</f>
        <v>0</v>
      </c>
      <c r="AQ170" s="1" t="n">
        <f aca="false">IF(B170="",0,IF(AND(ISNUMBER(S170),COUNTIF('⚖️ Wahrscheinlichkeit'!$B$6:$B$11,S170)&gt;0),1,0))</f>
        <v>0</v>
      </c>
      <c r="AR170" s="1" t="n">
        <f aca="false">IF(B170="",0,IF(AND(COUNT(J170:M170)=4,SUM(J170:M170)&gt;0),1,0))</f>
        <v>0</v>
      </c>
      <c r="AS170" s="1" t="n">
        <f aca="false">IF(B170="",0,IF(AND(AF170&lt;&gt;"",AG170&lt;&gt;""),1,0))</f>
        <v>0</v>
      </c>
      <c r="AT170" s="1" t="n">
        <f aca="false">IF(AND(R170="WON",AS170=1,AR170=1),1,0)</f>
        <v>0</v>
      </c>
      <c r="AU170" s="1" t="n">
        <f aca="false">IF(B170="",0,IF(AD170="Alternative – zählt nicht",0,1))</f>
        <v>0</v>
      </c>
      <c r="AV170" s="1" t="n">
        <f aca="false">IF(B170="",0,IF(COUNTIF($B$6:$B$860,B170)&gt;1,1,0))</f>
        <v>0</v>
      </c>
      <c r="AX170" s="269" t="str">
        <f aca="false">IF(AY170=1,DATE(YEAR(O170),MONTH(O170),1),"")</f>
        <v/>
      </c>
      <c r="AY170" s="1" t="n">
        <f aca="false">IF(B170="",0,IF(AND(ISNUMBER(O170),ISNUMBER(P170)),IF(P170&gt;=O170,1,0),0))</f>
        <v>0</v>
      </c>
      <c r="AZ170" s="1" t="n">
        <f aca="false">IF(ISNUMBER(Y170),Y170,0)</f>
        <v>0</v>
      </c>
      <c r="BA170" s="1" t="str">
        <f aca="false">IF(B170="","",IF(AND(R170="WON",AS170=0),"⛔ Beleg fehlt · ","")&amp;IF(AND(R170="WON",AR170=0),"⛔ Einstand fehlt · ","")&amp;IF(AND(R170&lt;&gt;"WON",AR170=0),"○ Einstand offen · ","")&amp;IF(AND(R170="WON",AB170=""),"⛔ Vertragsart fehlt · ","")&amp;IF(AND(ISNUMBER(O170),ISNUMBER(P170)),IF(P170&lt;O170,"⚠ Ende vor Start · ",""),"")&amp;IF(AND(R170="WON",AY170=0,NOT(AND(ISNUMBER(O170),ISNUMBER(P170)))),"⛔ Zeitraum fehlt · ","")&amp;IF(AND(R170&lt;&gt;"WON",AY170=0,NOT(AND(ISNUMBER(O170),ISNUMBER(P170)))),"○ Zeitraum offen · ",""))</f>
        <v/>
      </c>
      <c r="BB170" s="1" t="str">
        <f aca="false">IF(B170="","",IF(AND(R170="WON",AS170=0),"⛔ Nachweis fehlt",IF(AND(ISNUMBER(O170),ISNUMBER(P170),P170&lt;O170),"⚠ Ende vor Start",IF(AND(R170="WON",AY170=0),"⛔ Zeitraum fehlt",IF(AR170=0,"○ Einstand offen",IF(AY170=0,"○ Zeitraum offen",IF(R170="WON","✅ belegt","✔ erfasst")))))))</f>
        <v/>
      </c>
    </row>
    <row r="171" customFormat="false" ht="15" hidden="false" customHeight="true" outlineLevel="0" collapsed="false">
      <c r="G171" s="1" t="str">
        <f aca="false">IF(B171="","",IF(AY171=1,P171-O171+1,IF(AW171="","",AW171)))</f>
        <v/>
      </c>
      <c r="I171" s="270"/>
      <c r="J171" s="270"/>
      <c r="K171" s="270"/>
      <c r="L171" s="270"/>
      <c r="M171" s="270"/>
      <c r="N171" s="270"/>
      <c r="O171" s="263"/>
      <c r="P171" s="263"/>
      <c r="Q171" s="270" t="str">
        <f aca="false">IF(AND(ISNUMBER(I171),ISNUMBER(S171)),I171*AJ171,IF(OR(I171&lt;&gt;"",S171&lt;&gt;""),"tbd",""))</f>
        <v/>
      </c>
      <c r="S171" s="268"/>
      <c r="Y171" s="275" t="str">
        <f aca="false">IF(ISNUMBER(I171),I171/Netto_Faktor,"")</f>
        <v/>
      </c>
      <c r="Z171" s="275" t="str">
        <f aca="false">IF(B171="","",IF(COUNT(J171:N171)=0,"",SUM(J171:N171)))</f>
        <v/>
      </c>
      <c r="AA171" s="266"/>
      <c r="AB171" s="266"/>
      <c r="AC171" s="266"/>
      <c r="AD171" s="266"/>
      <c r="AE171" s="266"/>
      <c r="AF171" s="266"/>
      <c r="AG171" s="267"/>
      <c r="AH171" s="266" t="str">
        <f aca="false">IF(B171="","",IF(BA171="",IF(R171="WON","✅ belegt &amp; vollständig","✔ vollständig"),LEFT(BA171,LEN(BA171)-3)))</f>
        <v/>
      </c>
      <c r="AJ171" s="268" t="n">
        <f aca="false">IF(ISNUMBER(S171),IFERROR(LOOKUP(IF(S171&lt;=1,S171,S171/100),'⚖️ Wahrscheinlichkeit'!$B$17:$B$21,'⚖️ Wahrscheinlichkeit'!$D$17:$D$21),0),0)</f>
        <v>0</v>
      </c>
      <c r="AK171" s="1" t="str">
        <f aca="false">IF(AND(R171="WON",ISNUMBER(I171)),AL171+(861-ROW())*0.000001,"")</f>
        <v/>
      </c>
      <c r="AL171" s="1" t="n">
        <f aca="false">IFERROR(I171*1,0)</f>
        <v>0</v>
      </c>
      <c r="AM171" s="1" t="n">
        <f aca="false">N(AM170)+IF(AND(R171="WON",B171&lt;&gt;""),1,0)</f>
        <v>12</v>
      </c>
      <c r="AN171" s="1" t="n">
        <f aca="false">N(AN170)+IF(AND(OR(R171="offered",R171="to be offered",R171="on hold"),B171&lt;&gt;""),1,0)</f>
        <v>33</v>
      </c>
      <c r="AO171" s="1" t="n">
        <f aca="false">N(AO170)+IF(AND(OR(R171="follow-up",R171="Evaluation",R171="tbd",R171="In evaluation"),B171&lt;&gt;""),1,0)</f>
        <v>1</v>
      </c>
      <c r="AP171" s="1" t="n">
        <f aca="false">IF(B171="",0,IF(COUNTIF('⚖️ Wahrscheinlichkeit'!$J$17:$J$24,R171)&gt;0,1,0))</f>
        <v>0</v>
      </c>
      <c r="AQ171" s="1" t="n">
        <f aca="false">IF(B171="",0,IF(AND(ISNUMBER(S171),COUNTIF('⚖️ Wahrscheinlichkeit'!$B$6:$B$11,S171)&gt;0),1,0))</f>
        <v>0</v>
      </c>
      <c r="AR171" s="1" t="n">
        <f aca="false">IF(B171="",0,IF(AND(COUNT(J171:M171)=4,SUM(J171:M171)&gt;0),1,0))</f>
        <v>0</v>
      </c>
      <c r="AS171" s="1" t="n">
        <f aca="false">IF(B171="",0,IF(AND(AF171&lt;&gt;"",AG171&lt;&gt;""),1,0))</f>
        <v>0</v>
      </c>
      <c r="AT171" s="1" t="n">
        <f aca="false">IF(AND(R171="WON",AS171=1,AR171=1),1,0)</f>
        <v>0</v>
      </c>
      <c r="AU171" s="1" t="n">
        <f aca="false">IF(B171="",0,IF(AD171="Alternative – zählt nicht",0,1))</f>
        <v>0</v>
      </c>
      <c r="AV171" s="1" t="n">
        <f aca="false">IF(B171="",0,IF(COUNTIF($B$6:$B$860,B171)&gt;1,1,0))</f>
        <v>0</v>
      </c>
      <c r="AX171" s="269" t="str">
        <f aca="false">IF(AY171=1,DATE(YEAR(O171),MONTH(O171),1),"")</f>
        <v/>
      </c>
      <c r="AY171" s="1" t="n">
        <f aca="false">IF(B171="",0,IF(AND(ISNUMBER(O171),ISNUMBER(P171)),IF(P171&gt;=O171,1,0),0))</f>
        <v>0</v>
      </c>
      <c r="AZ171" s="1" t="n">
        <f aca="false">IF(ISNUMBER(Y171),Y171,0)</f>
        <v>0</v>
      </c>
      <c r="BA171" s="1" t="str">
        <f aca="false">IF(B171="","",IF(AND(R171="WON",AS171=0),"⛔ Beleg fehlt · ","")&amp;IF(AND(R171="WON",AR171=0),"⛔ Einstand fehlt · ","")&amp;IF(AND(R171&lt;&gt;"WON",AR171=0),"○ Einstand offen · ","")&amp;IF(AND(R171="WON",AB171=""),"⛔ Vertragsart fehlt · ","")&amp;IF(AND(ISNUMBER(O171),ISNUMBER(P171)),IF(P171&lt;O171,"⚠ Ende vor Start · ",""),"")&amp;IF(AND(R171="WON",AY171=0,NOT(AND(ISNUMBER(O171),ISNUMBER(P171)))),"⛔ Zeitraum fehlt · ","")&amp;IF(AND(R171&lt;&gt;"WON",AY171=0,NOT(AND(ISNUMBER(O171),ISNUMBER(P171)))),"○ Zeitraum offen · ",""))</f>
        <v/>
      </c>
      <c r="BB171" s="1" t="str">
        <f aca="false">IF(B171="","",IF(AND(R171="WON",AS171=0),"⛔ Nachweis fehlt",IF(AND(ISNUMBER(O171),ISNUMBER(P171),P171&lt;O171),"⚠ Ende vor Start",IF(AND(R171="WON",AY171=0),"⛔ Zeitraum fehlt",IF(AR171=0,"○ Einstand offen",IF(AY171=0,"○ Zeitraum offen",IF(R171="WON","✅ belegt","✔ erfasst")))))))</f>
        <v/>
      </c>
    </row>
    <row r="172" customFormat="false" ht="15" hidden="false" customHeight="true" outlineLevel="0" collapsed="false">
      <c r="G172" s="1" t="str">
        <f aca="false">IF(B172="","",IF(AY172=1,P172-O172+1,IF(AW172="","",AW172)))</f>
        <v/>
      </c>
      <c r="I172" s="270"/>
      <c r="J172" s="270"/>
      <c r="K172" s="270"/>
      <c r="L172" s="270"/>
      <c r="M172" s="270"/>
      <c r="N172" s="270"/>
      <c r="O172" s="263"/>
      <c r="P172" s="263"/>
      <c r="Q172" s="270" t="str">
        <f aca="false">IF(AND(ISNUMBER(I172),ISNUMBER(S172)),I172*AJ172,IF(OR(I172&lt;&gt;"",S172&lt;&gt;""),"tbd",""))</f>
        <v/>
      </c>
      <c r="S172" s="268"/>
      <c r="Y172" s="275" t="str">
        <f aca="false">IF(ISNUMBER(I172),I172/Netto_Faktor,"")</f>
        <v/>
      </c>
      <c r="Z172" s="275" t="str">
        <f aca="false">IF(B172="","",IF(COUNT(J172:N172)=0,"",SUM(J172:N172)))</f>
        <v/>
      </c>
      <c r="AA172" s="266"/>
      <c r="AB172" s="266"/>
      <c r="AC172" s="266"/>
      <c r="AD172" s="266"/>
      <c r="AE172" s="266"/>
      <c r="AF172" s="266"/>
      <c r="AG172" s="267"/>
      <c r="AH172" s="266" t="str">
        <f aca="false">IF(B172="","",IF(BA172="",IF(R172="WON","✅ belegt &amp; vollständig","✔ vollständig"),LEFT(BA172,LEN(BA172)-3)))</f>
        <v/>
      </c>
      <c r="AJ172" s="268" t="n">
        <f aca="false">IF(ISNUMBER(S172),IFERROR(LOOKUP(IF(S172&lt;=1,S172,S172/100),'⚖️ Wahrscheinlichkeit'!$B$17:$B$21,'⚖️ Wahrscheinlichkeit'!$D$17:$D$21),0),0)</f>
        <v>0</v>
      </c>
      <c r="AK172" s="1" t="str">
        <f aca="false">IF(AND(R172="WON",ISNUMBER(I172)),AL172+(861-ROW())*0.000001,"")</f>
        <v/>
      </c>
      <c r="AL172" s="1" t="n">
        <f aca="false">IFERROR(I172*1,0)</f>
        <v>0</v>
      </c>
      <c r="AM172" s="1" t="n">
        <f aca="false">N(AM171)+IF(AND(R172="WON",B172&lt;&gt;""),1,0)</f>
        <v>12</v>
      </c>
      <c r="AN172" s="1" t="n">
        <f aca="false">N(AN171)+IF(AND(OR(R172="offered",R172="to be offered",R172="on hold"),B172&lt;&gt;""),1,0)</f>
        <v>33</v>
      </c>
      <c r="AO172" s="1" t="n">
        <f aca="false">N(AO171)+IF(AND(OR(R172="follow-up",R172="Evaluation",R172="tbd",R172="In evaluation"),B172&lt;&gt;""),1,0)</f>
        <v>1</v>
      </c>
      <c r="AP172" s="1" t="n">
        <f aca="false">IF(B172="",0,IF(COUNTIF('⚖️ Wahrscheinlichkeit'!$J$17:$J$24,R172)&gt;0,1,0))</f>
        <v>0</v>
      </c>
      <c r="AQ172" s="1" t="n">
        <f aca="false">IF(B172="",0,IF(AND(ISNUMBER(S172),COUNTIF('⚖️ Wahrscheinlichkeit'!$B$6:$B$11,S172)&gt;0),1,0))</f>
        <v>0</v>
      </c>
      <c r="AR172" s="1" t="n">
        <f aca="false">IF(B172="",0,IF(AND(COUNT(J172:M172)=4,SUM(J172:M172)&gt;0),1,0))</f>
        <v>0</v>
      </c>
      <c r="AS172" s="1" t="n">
        <f aca="false">IF(B172="",0,IF(AND(AF172&lt;&gt;"",AG172&lt;&gt;""),1,0))</f>
        <v>0</v>
      </c>
      <c r="AT172" s="1" t="n">
        <f aca="false">IF(AND(R172="WON",AS172=1,AR172=1),1,0)</f>
        <v>0</v>
      </c>
      <c r="AU172" s="1" t="n">
        <f aca="false">IF(B172="",0,IF(AD172="Alternative – zählt nicht",0,1))</f>
        <v>0</v>
      </c>
      <c r="AV172" s="1" t="n">
        <f aca="false">IF(B172="",0,IF(COUNTIF($B$6:$B$860,B172)&gt;1,1,0))</f>
        <v>0</v>
      </c>
      <c r="AX172" s="269" t="str">
        <f aca="false">IF(AY172=1,DATE(YEAR(O172),MONTH(O172),1),"")</f>
        <v/>
      </c>
      <c r="AY172" s="1" t="n">
        <f aca="false">IF(B172="",0,IF(AND(ISNUMBER(O172),ISNUMBER(P172)),IF(P172&gt;=O172,1,0),0))</f>
        <v>0</v>
      </c>
      <c r="AZ172" s="1" t="n">
        <f aca="false">IF(ISNUMBER(Y172),Y172,0)</f>
        <v>0</v>
      </c>
      <c r="BA172" s="1" t="str">
        <f aca="false">IF(B172="","",IF(AND(R172="WON",AS172=0),"⛔ Beleg fehlt · ","")&amp;IF(AND(R172="WON",AR172=0),"⛔ Einstand fehlt · ","")&amp;IF(AND(R172&lt;&gt;"WON",AR172=0),"○ Einstand offen · ","")&amp;IF(AND(R172="WON",AB172=""),"⛔ Vertragsart fehlt · ","")&amp;IF(AND(ISNUMBER(O172),ISNUMBER(P172)),IF(P172&lt;O172,"⚠ Ende vor Start · ",""),"")&amp;IF(AND(R172="WON",AY172=0,NOT(AND(ISNUMBER(O172),ISNUMBER(P172)))),"⛔ Zeitraum fehlt · ","")&amp;IF(AND(R172&lt;&gt;"WON",AY172=0,NOT(AND(ISNUMBER(O172),ISNUMBER(P172)))),"○ Zeitraum offen · ",""))</f>
        <v/>
      </c>
      <c r="BB172" s="1" t="str">
        <f aca="false">IF(B172="","",IF(AND(R172="WON",AS172=0),"⛔ Nachweis fehlt",IF(AND(ISNUMBER(O172),ISNUMBER(P172),P172&lt;O172),"⚠ Ende vor Start",IF(AND(R172="WON",AY172=0),"⛔ Zeitraum fehlt",IF(AR172=0,"○ Einstand offen",IF(AY172=0,"○ Zeitraum offen",IF(R172="WON","✅ belegt","✔ erfasst")))))))</f>
        <v/>
      </c>
    </row>
    <row r="173" customFormat="false" ht="15" hidden="false" customHeight="true" outlineLevel="0" collapsed="false">
      <c r="G173" s="1" t="str">
        <f aca="false">IF(B173="","",IF(AY173=1,P173-O173+1,IF(AW173="","",AW173)))</f>
        <v/>
      </c>
      <c r="I173" s="270"/>
      <c r="J173" s="270"/>
      <c r="K173" s="270"/>
      <c r="L173" s="270"/>
      <c r="M173" s="270"/>
      <c r="N173" s="270"/>
      <c r="O173" s="263"/>
      <c r="P173" s="263"/>
      <c r="Q173" s="270" t="str">
        <f aca="false">IF(AND(ISNUMBER(I173),ISNUMBER(S173)),I173*AJ173,IF(OR(I173&lt;&gt;"",S173&lt;&gt;""),"tbd",""))</f>
        <v/>
      </c>
      <c r="S173" s="268"/>
      <c r="Y173" s="275" t="str">
        <f aca="false">IF(ISNUMBER(I173),I173/Netto_Faktor,"")</f>
        <v/>
      </c>
      <c r="Z173" s="275" t="str">
        <f aca="false">IF(B173="","",IF(COUNT(J173:N173)=0,"",SUM(J173:N173)))</f>
        <v/>
      </c>
      <c r="AA173" s="266"/>
      <c r="AB173" s="266"/>
      <c r="AC173" s="266"/>
      <c r="AD173" s="266"/>
      <c r="AE173" s="266"/>
      <c r="AF173" s="266"/>
      <c r="AG173" s="267"/>
      <c r="AH173" s="266" t="str">
        <f aca="false">IF(B173="","",IF(BA173="",IF(R173="WON","✅ belegt &amp; vollständig","✔ vollständig"),LEFT(BA173,LEN(BA173)-3)))</f>
        <v/>
      </c>
      <c r="AJ173" s="268" t="n">
        <f aca="false">IF(ISNUMBER(S173),IFERROR(LOOKUP(IF(S173&lt;=1,S173,S173/100),'⚖️ Wahrscheinlichkeit'!$B$17:$B$21,'⚖️ Wahrscheinlichkeit'!$D$17:$D$21),0),0)</f>
        <v>0</v>
      </c>
      <c r="AK173" s="1" t="str">
        <f aca="false">IF(AND(R173="WON",ISNUMBER(I173)),AL173+(861-ROW())*0.000001,"")</f>
        <v/>
      </c>
      <c r="AL173" s="1" t="n">
        <f aca="false">IFERROR(I173*1,0)</f>
        <v>0</v>
      </c>
      <c r="AM173" s="1" t="n">
        <f aca="false">N(AM172)+IF(AND(R173="WON",B173&lt;&gt;""),1,0)</f>
        <v>12</v>
      </c>
      <c r="AN173" s="1" t="n">
        <f aca="false">N(AN172)+IF(AND(OR(R173="offered",R173="to be offered",R173="on hold"),B173&lt;&gt;""),1,0)</f>
        <v>33</v>
      </c>
      <c r="AO173" s="1" t="n">
        <f aca="false">N(AO172)+IF(AND(OR(R173="follow-up",R173="Evaluation",R173="tbd",R173="In evaluation"),B173&lt;&gt;""),1,0)</f>
        <v>1</v>
      </c>
      <c r="AP173" s="1" t="n">
        <f aca="false">IF(B173="",0,IF(COUNTIF('⚖️ Wahrscheinlichkeit'!$J$17:$J$24,R173)&gt;0,1,0))</f>
        <v>0</v>
      </c>
      <c r="AQ173" s="1" t="n">
        <f aca="false">IF(B173="",0,IF(AND(ISNUMBER(S173),COUNTIF('⚖️ Wahrscheinlichkeit'!$B$6:$B$11,S173)&gt;0),1,0))</f>
        <v>0</v>
      </c>
      <c r="AR173" s="1" t="n">
        <f aca="false">IF(B173="",0,IF(AND(COUNT(J173:M173)=4,SUM(J173:M173)&gt;0),1,0))</f>
        <v>0</v>
      </c>
      <c r="AS173" s="1" t="n">
        <f aca="false">IF(B173="",0,IF(AND(AF173&lt;&gt;"",AG173&lt;&gt;""),1,0))</f>
        <v>0</v>
      </c>
      <c r="AT173" s="1" t="n">
        <f aca="false">IF(AND(R173="WON",AS173=1,AR173=1),1,0)</f>
        <v>0</v>
      </c>
      <c r="AU173" s="1" t="n">
        <f aca="false">IF(B173="",0,IF(AD173="Alternative – zählt nicht",0,1))</f>
        <v>0</v>
      </c>
      <c r="AV173" s="1" t="n">
        <f aca="false">IF(B173="",0,IF(COUNTIF($B$6:$B$860,B173)&gt;1,1,0))</f>
        <v>0</v>
      </c>
      <c r="AX173" s="269" t="str">
        <f aca="false">IF(AY173=1,DATE(YEAR(O173),MONTH(O173),1),"")</f>
        <v/>
      </c>
      <c r="AY173" s="1" t="n">
        <f aca="false">IF(B173="",0,IF(AND(ISNUMBER(O173),ISNUMBER(P173)),IF(P173&gt;=O173,1,0),0))</f>
        <v>0</v>
      </c>
      <c r="AZ173" s="1" t="n">
        <f aca="false">IF(ISNUMBER(Y173),Y173,0)</f>
        <v>0</v>
      </c>
      <c r="BA173" s="1" t="str">
        <f aca="false">IF(B173="","",IF(AND(R173="WON",AS173=0),"⛔ Beleg fehlt · ","")&amp;IF(AND(R173="WON",AR173=0),"⛔ Einstand fehlt · ","")&amp;IF(AND(R173&lt;&gt;"WON",AR173=0),"○ Einstand offen · ","")&amp;IF(AND(R173="WON",AB173=""),"⛔ Vertragsart fehlt · ","")&amp;IF(AND(ISNUMBER(O173),ISNUMBER(P173)),IF(P173&lt;O173,"⚠ Ende vor Start · ",""),"")&amp;IF(AND(R173="WON",AY173=0,NOT(AND(ISNUMBER(O173),ISNUMBER(P173)))),"⛔ Zeitraum fehlt · ","")&amp;IF(AND(R173&lt;&gt;"WON",AY173=0,NOT(AND(ISNUMBER(O173),ISNUMBER(P173)))),"○ Zeitraum offen · ",""))</f>
        <v/>
      </c>
      <c r="BB173" s="1" t="str">
        <f aca="false">IF(B173="","",IF(AND(R173="WON",AS173=0),"⛔ Nachweis fehlt",IF(AND(ISNUMBER(O173),ISNUMBER(P173),P173&lt;O173),"⚠ Ende vor Start",IF(AND(R173="WON",AY173=0),"⛔ Zeitraum fehlt",IF(AR173=0,"○ Einstand offen",IF(AY173=0,"○ Zeitraum offen",IF(R173="WON","✅ belegt","✔ erfasst")))))))</f>
        <v/>
      </c>
    </row>
    <row r="174" customFormat="false" ht="15" hidden="false" customHeight="true" outlineLevel="0" collapsed="false">
      <c r="G174" s="1" t="str">
        <f aca="false">IF(B174="","",IF(AY174=1,P174-O174+1,IF(AW174="","",AW174)))</f>
        <v/>
      </c>
      <c r="I174" s="270"/>
      <c r="J174" s="270"/>
      <c r="K174" s="270"/>
      <c r="L174" s="270"/>
      <c r="M174" s="270"/>
      <c r="N174" s="270"/>
      <c r="O174" s="263"/>
      <c r="P174" s="263"/>
      <c r="Q174" s="270" t="str">
        <f aca="false">IF(AND(ISNUMBER(I174),ISNUMBER(S174)),I174*AJ174,IF(OR(I174&lt;&gt;"",S174&lt;&gt;""),"tbd",""))</f>
        <v/>
      </c>
      <c r="S174" s="268"/>
      <c r="Y174" s="275" t="str">
        <f aca="false">IF(ISNUMBER(I174),I174/Netto_Faktor,"")</f>
        <v/>
      </c>
      <c r="Z174" s="275" t="str">
        <f aca="false">IF(B174="","",IF(COUNT(J174:N174)=0,"",SUM(J174:N174)))</f>
        <v/>
      </c>
      <c r="AA174" s="266"/>
      <c r="AB174" s="266"/>
      <c r="AC174" s="266"/>
      <c r="AD174" s="266"/>
      <c r="AE174" s="266"/>
      <c r="AF174" s="266"/>
      <c r="AG174" s="267"/>
      <c r="AH174" s="266" t="str">
        <f aca="false">IF(B174="","",IF(BA174="",IF(R174="WON","✅ belegt &amp; vollständig","✔ vollständig"),LEFT(BA174,LEN(BA174)-3)))</f>
        <v/>
      </c>
      <c r="AJ174" s="268" t="n">
        <f aca="false">IF(ISNUMBER(S174),IFERROR(LOOKUP(IF(S174&lt;=1,S174,S174/100),'⚖️ Wahrscheinlichkeit'!$B$17:$B$21,'⚖️ Wahrscheinlichkeit'!$D$17:$D$21),0),0)</f>
        <v>0</v>
      </c>
      <c r="AK174" s="1" t="str">
        <f aca="false">IF(AND(R174="WON",ISNUMBER(I174)),AL174+(861-ROW())*0.000001,"")</f>
        <v/>
      </c>
      <c r="AL174" s="1" t="n">
        <f aca="false">IFERROR(I174*1,0)</f>
        <v>0</v>
      </c>
      <c r="AM174" s="1" t="n">
        <f aca="false">N(AM173)+IF(AND(R174="WON",B174&lt;&gt;""),1,0)</f>
        <v>12</v>
      </c>
      <c r="AN174" s="1" t="n">
        <f aca="false">N(AN173)+IF(AND(OR(R174="offered",R174="to be offered",R174="on hold"),B174&lt;&gt;""),1,0)</f>
        <v>33</v>
      </c>
      <c r="AO174" s="1" t="n">
        <f aca="false">N(AO173)+IF(AND(OR(R174="follow-up",R174="Evaluation",R174="tbd",R174="In evaluation"),B174&lt;&gt;""),1,0)</f>
        <v>1</v>
      </c>
      <c r="AP174" s="1" t="n">
        <f aca="false">IF(B174="",0,IF(COUNTIF('⚖️ Wahrscheinlichkeit'!$J$17:$J$24,R174)&gt;0,1,0))</f>
        <v>0</v>
      </c>
      <c r="AQ174" s="1" t="n">
        <f aca="false">IF(B174="",0,IF(AND(ISNUMBER(S174),COUNTIF('⚖️ Wahrscheinlichkeit'!$B$6:$B$11,S174)&gt;0),1,0))</f>
        <v>0</v>
      </c>
      <c r="AR174" s="1" t="n">
        <f aca="false">IF(B174="",0,IF(AND(COUNT(J174:M174)=4,SUM(J174:M174)&gt;0),1,0))</f>
        <v>0</v>
      </c>
      <c r="AS174" s="1" t="n">
        <f aca="false">IF(B174="",0,IF(AND(AF174&lt;&gt;"",AG174&lt;&gt;""),1,0))</f>
        <v>0</v>
      </c>
      <c r="AT174" s="1" t="n">
        <f aca="false">IF(AND(R174="WON",AS174=1,AR174=1),1,0)</f>
        <v>0</v>
      </c>
      <c r="AU174" s="1" t="n">
        <f aca="false">IF(B174="",0,IF(AD174="Alternative – zählt nicht",0,1))</f>
        <v>0</v>
      </c>
      <c r="AV174" s="1" t="n">
        <f aca="false">IF(B174="",0,IF(COUNTIF($B$6:$B$860,B174)&gt;1,1,0))</f>
        <v>0</v>
      </c>
      <c r="AX174" s="269" t="str">
        <f aca="false">IF(AY174=1,DATE(YEAR(O174),MONTH(O174),1),"")</f>
        <v/>
      </c>
      <c r="AY174" s="1" t="n">
        <f aca="false">IF(B174="",0,IF(AND(ISNUMBER(O174),ISNUMBER(P174)),IF(P174&gt;=O174,1,0),0))</f>
        <v>0</v>
      </c>
      <c r="AZ174" s="1" t="n">
        <f aca="false">IF(ISNUMBER(Y174),Y174,0)</f>
        <v>0</v>
      </c>
      <c r="BA174" s="1" t="str">
        <f aca="false">IF(B174="","",IF(AND(R174="WON",AS174=0),"⛔ Beleg fehlt · ","")&amp;IF(AND(R174="WON",AR174=0),"⛔ Einstand fehlt · ","")&amp;IF(AND(R174&lt;&gt;"WON",AR174=0),"○ Einstand offen · ","")&amp;IF(AND(R174="WON",AB174=""),"⛔ Vertragsart fehlt · ","")&amp;IF(AND(ISNUMBER(O174),ISNUMBER(P174)),IF(P174&lt;O174,"⚠ Ende vor Start · ",""),"")&amp;IF(AND(R174="WON",AY174=0,NOT(AND(ISNUMBER(O174),ISNUMBER(P174)))),"⛔ Zeitraum fehlt · ","")&amp;IF(AND(R174&lt;&gt;"WON",AY174=0,NOT(AND(ISNUMBER(O174),ISNUMBER(P174)))),"○ Zeitraum offen · ",""))</f>
        <v/>
      </c>
      <c r="BB174" s="1" t="str">
        <f aca="false">IF(B174="","",IF(AND(R174="WON",AS174=0),"⛔ Nachweis fehlt",IF(AND(ISNUMBER(O174),ISNUMBER(P174),P174&lt;O174),"⚠ Ende vor Start",IF(AND(R174="WON",AY174=0),"⛔ Zeitraum fehlt",IF(AR174=0,"○ Einstand offen",IF(AY174=0,"○ Zeitraum offen",IF(R174="WON","✅ belegt","✔ erfasst")))))))</f>
        <v/>
      </c>
    </row>
    <row r="175" customFormat="false" ht="15" hidden="false" customHeight="true" outlineLevel="0" collapsed="false">
      <c r="G175" s="1" t="str">
        <f aca="false">IF(B175="","",IF(AY175=1,P175-O175+1,IF(AW175="","",AW175)))</f>
        <v/>
      </c>
      <c r="I175" s="270"/>
      <c r="J175" s="270"/>
      <c r="K175" s="270"/>
      <c r="L175" s="270"/>
      <c r="M175" s="270"/>
      <c r="N175" s="270"/>
      <c r="O175" s="263"/>
      <c r="P175" s="263"/>
      <c r="Q175" s="270" t="str">
        <f aca="false">IF(AND(ISNUMBER(I175),ISNUMBER(S175)),I175*AJ175,IF(OR(I175&lt;&gt;"",S175&lt;&gt;""),"tbd",""))</f>
        <v/>
      </c>
      <c r="S175" s="268"/>
      <c r="Y175" s="275" t="str">
        <f aca="false">IF(ISNUMBER(I175),I175/Netto_Faktor,"")</f>
        <v/>
      </c>
      <c r="Z175" s="275" t="str">
        <f aca="false">IF(B175="","",IF(COUNT(J175:N175)=0,"",SUM(J175:N175)))</f>
        <v/>
      </c>
      <c r="AA175" s="266"/>
      <c r="AB175" s="266"/>
      <c r="AC175" s="266"/>
      <c r="AD175" s="266"/>
      <c r="AE175" s="266"/>
      <c r="AF175" s="266"/>
      <c r="AG175" s="267"/>
      <c r="AH175" s="266" t="str">
        <f aca="false">IF(B175="","",IF(BA175="",IF(R175="WON","✅ belegt &amp; vollständig","✔ vollständig"),LEFT(BA175,LEN(BA175)-3)))</f>
        <v/>
      </c>
      <c r="AJ175" s="268" t="n">
        <f aca="false">IF(ISNUMBER(S175),IFERROR(LOOKUP(IF(S175&lt;=1,S175,S175/100),'⚖️ Wahrscheinlichkeit'!$B$17:$B$21,'⚖️ Wahrscheinlichkeit'!$D$17:$D$21),0),0)</f>
        <v>0</v>
      </c>
      <c r="AK175" s="1" t="str">
        <f aca="false">IF(AND(R175="WON",ISNUMBER(I175)),AL175+(861-ROW())*0.000001,"")</f>
        <v/>
      </c>
      <c r="AL175" s="1" t="n">
        <f aca="false">IFERROR(I175*1,0)</f>
        <v>0</v>
      </c>
      <c r="AM175" s="1" t="n">
        <f aca="false">N(AM174)+IF(AND(R175="WON",B175&lt;&gt;""),1,0)</f>
        <v>12</v>
      </c>
      <c r="AN175" s="1" t="n">
        <f aca="false">N(AN174)+IF(AND(OR(R175="offered",R175="to be offered",R175="on hold"),B175&lt;&gt;""),1,0)</f>
        <v>33</v>
      </c>
      <c r="AO175" s="1" t="n">
        <f aca="false">N(AO174)+IF(AND(OR(R175="follow-up",R175="Evaluation",R175="tbd",R175="In evaluation"),B175&lt;&gt;""),1,0)</f>
        <v>1</v>
      </c>
      <c r="AP175" s="1" t="n">
        <f aca="false">IF(B175="",0,IF(COUNTIF('⚖️ Wahrscheinlichkeit'!$J$17:$J$24,R175)&gt;0,1,0))</f>
        <v>0</v>
      </c>
      <c r="AQ175" s="1" t="n">
        <f aca="false">IF(B175="",0,IF(AND(ISNUMBER(S175),COUNTIF('⚖️ Wahrscheinlichkeit'!$B$6:$B$11,S175)&gt;0),1,0))</f>
        <v>0</v>
      </c>
      <c r="AR175" s="1" t="n">
        <f aca="false">IF(B175="",0,IF(AND(COUNT(J175:M175)=4,SUM(J175:M175)&gt;0),1,0))</f>
        <v>0</v>
      </c>
      <c r="AS175" s="1" t="n">
        <f aca="false">IF(B175="",0,IF(AND(AF175&lt;&gt;"",AG175&lt;&gt;""),1,0))</f>
        <v>0</v>
      </c>
      <c r="AT175" s="1" t="n">
        <f aca="false">IF(AND(R175="WON",AS175=1,AR175=1),1,0)</f>
        <v>0</v>
      </c>
      <c r="AU175" s="1" t="n">
        <f aca="false">IF(B175="",0,IF(AD175="Alternative – zählt nicht",0,1))</f>
        <v>0</v>
      </c>
      <c r="AV175" s="1" t="n">
        <f aca="false">IF(B175="",0,IF(COUNTIF($B$6:$B$860,B175)&gt;1,1,0))</f>
        <v>0</v>
      </c>
      <c r="AX175" s="269" t="str">
        <f aca="false">IF(AY175=1,DATE(YEAR(O175),MONTH(O175),1),"")</f>
        <v/>
      </c>
      <c r="AY175" s="1" t="n">
        <f aca="false">IF(B175="",0,IF(AND(ISNUMBER(O175),ISNUMBER(P175)),IF(P175&gt;=O175,1,0),0))</f>
        <v>0</v>
      </c>
      <c r="AZ175" s="1" t="n">
        <f aca="false">IF(ISNUMBER(Y175),Y175,0)</f>
        <v>0</v>
      </c>
      <c r="BA175" s="1" t="str">
        <f aca="false">IF(B175="","",IF(AND(R175="WON",AS175=0),"⛔ Beleg fehlt · ","")&amp;IF(AND(R175="WON",AR175=0),"⛔ Einstand fehlt · ","")&amp;IF(AND(R175&lt;&gt;"WON",AR175=0),"○ Einstand offen · ","")&amp;IF(AND(R175="WON",AB175=""),"⛔ Vertragsart fehlt · ","")&amp;IF(AND(ISNUMBER(O175),ISNUMBER(P175)),IF(P175&lt;O175,"⚠ Ende vor Start · ",""),"")&amp;IF(AND(R175="WON",AY175=0,NOT(AND(ISNUMBER(O175),ISNUMBER(P175)))),"⛔ Zeitraum fehlt · ","")&amp;IF(AND(R175&lt;&gt;"WON",AY175=0,NOT(AND(ISNUMBER(O175),ISNUMBER(P175)))),"○ Zeitraum offen · ",""))</f>
        <v/>
      </c>
      <c r="BB175" s="1" t="str">
        <f aca="false">IF(B175="","",IF(AND(R175="WON",AS175=0),"⛔ Nachweis fehlt",IF(AND(ISNUMBER(O175),ISNUMBER(P175),P175&lt;O175),"⚠ Ende vor Start",IF(AND(R175="WON",AY175=0),"⛔ Zeitraum fehlt",IF(AR175=0,"○ Einstand offen",IF(AY175=0,"○ Zeitraum offen",IF(R175="WON","✅ belegt","✔ erfasst")))))))</f>
        <v/>
      </c>
    </row>
    <row r="176" customFormat="false" ht="15" hidden="false" customHeight="true" outlineLevel="0" collapsed="false">
      <c r="G176" s="1" t="str">
        <f aca="false">IF(B176="","",IF(AY176=1,P176-O176+1,IF(AW176="","",AW176)))</f>
        <v/>
      </c>
      <c r="I176" s="270"/>
      <c r="J176" s="270"/>
      <c r="K176" s="270"/>
      <c r="L176" s="270"/>
      <c r="M176" s="270"/>
      <c r="N176" s="270"/>
      <c r="O176" s="263"/>
      <c r="P176" s="263"/>
      <c r="Q176" s="270" t="str">
        <f aca="false">IF(AND(ISNUMBER(I176),ISNUMBER(S176)),I176*AJ176,IF(OR(I176&lt;&gt;"",S176&lt;&gt;""),"tbd",""))</f>
        <v/>
      </c>
      <c r="S176" s="268"/>
      <c r="Y176" s="275" t="str">
        <f aca="false">IF(ISNUMBER(I176),I176/Netto_Faktor,"")</f>
        <v/>
      </c>
      <c r="Z176" s="275" t="str">
        <f aca="false">IF(B176="","",IF(COUNT(J176:N176)=0,"",SUM(J176:N176)))</f>
        <v/>
      </c>
      <c r="AA176" s="266"/>
      <c r="AB176" s="266"/>
      <c r="AC176" s="266"/>
      <c r="AD176" s="266"/>
      <c r="AE176" s="266"/>
      <c r="AF176" s="266"/>
      <c r="AG176" s="267"/>
      <c r="AH176" s="266" t="str">
        <f aca="false">IF(B176="","",IF(BA176="",IF(R176="WON","✅ belegt &amp; vollständig","✔ vollständig"),LEFT(BA176,LEN(BA176)-3)))</f>
        <v/>
      </c>
      <c r="AJ176" s="268" t="n">
        <f aca="false">IF(ISNUMBER(S176),IFERROR(LOOKUP(IF(S176&lt;=1,S176,S176/100),'⚖️ Wahrscheinlichkeit'!$B$17:$B$21,'⚖️ Wahrscheinlichkeit'!$D$17:$D$21),0),0)</f>
        <v>0</v>
      </c>
      <c r="AK176" s="1" t="str">
        <f aca="false">IF(AND(R176="WON",ISNUMBER(I176)),AL176+(861-ROW())*0.000001,"")</f>
        <v/>
      </c>
      <c r="AL176" s="1" t="n">
        <f aca="false">IFERROR(I176*1,0)</f>
        <v>0</v>
      </c>
      <c r="AM176" s="1" t="n">
        <f aca="false">N(AM175)+IF(AND(R176="WON",B176&lt;&gt;""),1,0)</f>
        <v>12</v>
      </c>
      <c r="AN176" s="1" t="n">
        <f aca="false">N(AN175)+IF(AND(OR(R176="offered",R176="to be offered",R176="on hold"),B176&lt;&gt;""),1,0)</f>
        <v>33</v>
      </c>
      <c r="AO176" s="1" t="n">
        <f aca="false">N(AO175)+IF(AND(OR(R176="follow-up",R176="Evaluation",R176="tbd",R176="In evaluation"),B176&lt;&gt;""),1,0)</f>
        <v>1</v>
      </c>
      <c r="AP176" s="1" t="n">
        <f aca="false">IF(B176="",0,IF(COUNTIF('⚖️ Wahrscheinlichkeit'!$J$17:$J$24,R176)&gt;0,1,0))</f>
        <v>0</v>
      </c>
      <c r="AQ176" s="1" t="n">
        <f aca="false">IF(B176="",0,IF(AND(ISNUMBER(S176),COUNTIF('⚖️ Wahrscheinlichkeit'!$B$6:$B$11,S176)&gt;0),1,0))</f>
        <v>0</v>
      </c>
      <c r="AR176" s="1" t="n">
        <f aca="false">IF(B176="",0,IF(AND(COUNT(J176:M176)=4,SUM(J176:M176)&gt;0),1,0))</f>
        <v>0</v>
      </c>
      <c r="AS176" s="1" t="n">
        <f aca="false">IF(B176="",0,IF(AND(AF176&lt;&gt;"",AG176&lt;&gt;""),1,0))</f>
        <v>0</v>
      </c>
      <c r="AT176" s="1" t="n">
        <f aca="false">IF(AND(R176="WON",AS176=1,AR176=1),1,0)</f>
        <v>0</v>
      </c>
      <c r="AU176" s="1" t="n">
        <f aca="false">IF(B176="",0,IF(AD176="Alternative – zählt nicht",0,1))</f>
        <v>0</v>
      </c>
      <c r="AV176" s="1" t="n">
        <f aca="false">IF(B176="",0,IF(COUNTIF($B$6:$B$860,B176)&gt;1,1,0))</f>
        <v>0</v>
      </c>
      <c r="AX176" s="269" t="str">
        <f aca="false">IF(AY176=1,DATE(YEAR(O176),MONTH(O176),1),"")</f>
        <v/>
      </c>
      <c r="AY176" s="1" t="n">
        <f aca="false">IF(B176="",0,IF(AND(ISNUMBER(O176),ISNUMBER(P176)),IF(P176&gt;=O176,1,0),0))</f>
        <v>0</v>
      </c>
      <c r="AZ176" s="1" t="n">
        <f aca="false">IF(ISNUMBER(Y176),Y176,0)</f>
        <v>0</v>
      </c>
      <c r="BA176" s="1" t="str">
        <f aca="false">IF(B176="","",IF(AND(R176="WON",AS176=0),"⛔ Beleg fehlt · ","")&amp;IF(AND(R176="WON",AR176=0),"⛔ Einstand fehlt · ","")&amp;IF(AND(R176&lt;&gt;"WON",AR176=0),"○ Einstand offen · ","")&amp;IF(AND(R176="WON",AB176=""),"⛔ Vertragsart fehlt · ","")&amp;IF(AND(ISNUMBER(O176),ISNUMBER(P176)),IF(P176&lt;O176,"⚠ Ende vor Start · ",""),"")&amp;IF(AND(R176="WON",AY176=0,NOT(AND(ISNUMBER(O176),ISNUMBER(P176)))),"⛔ Zeitraum fehlt · ","")&amp;IF(AND(R176&lt;&gt;"WON",AY176=0,NOT(AND(ISNUMBER(O176),ISNUMBER(P176)))),"○ Zeitraum offen · ",""))</f>
        <v/>
      </c>
      <c r="BB176" s="1" t="str">
        <f aca="false">IF(B176="","",IF(AND(R176="WON",AS176=0),"⛔ Nachweis fehlt",IF(AND(ISNUMBER(O176),ISNUMBER(P176),P176&lt;O176),"⚠ Ende vor Start",IF(AND(R176="WON",AY176=0),"⛔ Zeitraum fehlt",IF(AR176=0,"○ Einstand offen",IF(AY176=0,"○ Zeitraum offen",IF(R176="WON","✅ belegt","✔ erfasst")))))))</f>
        <v/>
      </c>
    </row>
    <row r="177" customFormat="false" ht="15" hidden="false" customHeight="true" outlineLevel="0" collapsed="false">
      <c r="G177" s="1" t="str">
        <f aca="false">IF(B177="","",IF(AY177=1,P177-O177+1,IF(AW177="","",AW177)))</f>
        <v/>
      </c>
      <c r="I177" s="270"/>
      <c r="J177" s="270"/>
      <c r="K177" s="270"/>
      <c r="L177" s="270"/>
      <c r="M177" s="270"/>
      <c r="N177" s="270"/>
      <c r="O177" s="263"/>
      <c r="P177" s="263"/>
      <c r="Q177" s="270" t="str">
        <f aca="false">IF(AND(ISNUMBER(I177),ISNUMBER(S177)),I177*AJ177,IF(OR(I177&lt;&gt;"",S177&lt;&gt;""),"tbd",""))</f>
        <v/>
      </c>
      <c r="S177" s="268"/>
      <c r="Y177" s="275" t="str">
        <f aca="false">IF(ISNUMBER(I177),I177/Netto_Faktor,"")</f>
        <v/>
      </c>
      <c r="Z177" s="275" t="str">
        <f aca="false">IF(B177="","",IF(COUNT(J177:N177)=0,"",SUM(J177:N177)))</f>
        <v/>
      </c>
      <c r="AA177" s="266"/>
      <c r="AB177" s="266"/>
      <c r="AC177" s="266"/>
      <c r="AD177" s="266"/>
      <c r="AE177" s="266"/>
      <c r="AF177" s="266"/>
      <c r="AG177" s="267"/>
      <c r="AH177" s="266" t="str">
        <f aca="false">IF(B177="","",IF(BA177="",IF(R177="WON","✅ belegt &amp; vollständig","✔ vollständig"),LEFT(BA177,LEN(BA177)-3)))</f>
        <v/>
      </c>
      <c r="AJ177" s="268" t="n">
        <f aca="false">IF(ISNUMBER(S177),IFERROR(LOOKUP(IF(S177&lt;=1,S177,S177/100),'⚖️ Wahrscheinlichkeit'!$B$17:$B$21,'⚖️ Wahrscheinlichkeit'!$D$17:$D$21),0),0)</f>
        <v>0</v>
      </c>
      <c r="AK177" s="1" t="str">
        <f aca="false">IF(AND(R177="WON",ISNUMBER(I177)),AL177+(861-ROW())*0.000001,"")</f>
        <v/>
      </c>
      <c r="AL177" s="1" t="n">
        <f aca="false">IFERROR(I177*1,0)</f>
        <v>0</v>
      </c>
      <c r="AM177" s="1" t="n">
        <f aca="false">N(AM176)+IF(AND(R177="WON",B177&lt;&gt;""),1,0)</f>
        <v>12</v>
      </c>
      <c r="AN177" s="1" t="n">
        <f aca="false">N(AN176)+IF(AND(OR(R177="offered",R177="to be offered",R177="on hold"),B177&lt;&gt;""),1,0)</f>
        <v>33</v>
      </c>
      <c r="AO177" s="1" t="n">
        <f aca="false">N(AO176)+IF(AND(OR(R177="follow-up",R177="Evaluation",R177="tbd",R177="In evaluation"),B177&lt;&gt;""),1,0)</f>
        <v>1</v>
      </c>
      <c r="AP177" s="1" t="n">
        <f aca="false">IF(B177="",0,IF(COUNTIF('⚖️ Wahrscheinlichkeit'!$J$17:$J$24,R177)&gt;0,1,0))</f>
        <v>0</v>
      </c>
      <c r="AQ177" s="1" t="n">
        <f aca="false">IF(B177="",0,IF(AND(ISNUMBER(S177),COUNTIF('⚖️ Wahrscheinlichkeit'!$B$6:$B$11,S177)&gt;0),1,0))</f>
        <v>0</v>
      </c>
      <c r="AR177" s="1" t="n">
        <f aca="false">IF(B177="",0,IF(AND(COUNT(J177:M177)=4,SUM(J177:M177)&gt;0),1,0))</f>
        <v>0</v>
      </c>
      <c r="AS177" s="1" t="n">
        <f aca="false">IF(B177="",0,IF(AND(AF177&lt;&gt;"",AG177&lt;&gt;""),1,0))</f>
        <v>0</v>
      </c>
      <c r="AT177" s="1" t="n">
        <f aca="false">IF(AND(R177="WON",AS177=1,AR177=1),1,0)</f>
        <v>0</v>
      </c>
      <c r="AU177" s="1" t="n">
        <f aca="false">IF(B177="",0,IF(AD177="Alternative – zählt nicht",0,1))</f>
        <v>0</v>
      </c>
      <c r="AV177" s="1" t="n">
        <f aca="false">IF(B177="",0,IF(COUNTIF($B$6:$B$860,B177)&gt;1,1,0))</f>
        <v>0</v>
      </c>
      <c r="AX177" s="269" t="str">
        <f aca="false">IF(AY177=1,DATE(YEAR(O177),MONTH(O177),1),"")</f>
        <v/>
      </c>
      <c r="AY177" s="1" t="n">
        <f aca="false">IF(B177="",0,IF(AND(ISNUMBER(O177),ISNUMBER(P177)),IF(P177&gt;=O177,1,0),0))</f>
        <v>0</v>
      </c>
      <c r="AZ177" s="1" t="n">
        <f aca="false">IF(ISNUMBER(Y177),Y177,0)</f>
        <v>0</v>
      </c>
      <c r="BA177" s="1" t="str">
        <f aca="false">IF(B177="","",IF(AND(R177="WON",AS177=0),"⛔ Beleg fehlt · ","")&amp;IF(AND(R177="WON",AR177=0),"⛔ Einstand fehlt · ","")&amp;IF(AND(R177&lt;&gt;"WON",AR177=0),"○ Einstand offen · ","")&amp;IF(AND(R177="WON",AB177=""),"⛔ Vertragsart fehlt · ","")&amp;IF(AND(ISNUMBER(O177),ISNUMBER(P177)),IF(P177&lt;O177,"⚠ Ende vor Start · ",""),"")&amp;IF(AND(R177="WON",AY177=0,NOT(AND(ISNUMBER(O177),ISNUMBER(P177)))),"⛔ Zeitraum fehlt · ","")&amp;IF(AND(R177&lt;&gt;"WON",AY177=0,NOT(AND(ISNUMBER(O177),ISNUMBER(P177)))),"○ Zeitraum offen · ",""))</f>
        <v/>
      </c>
      <c r="BB177" s="1" t="str">
        <f aca="false">IF(B177="","",IF(AND(R177="WON",AS177=0),"⛔ Nachweis fehlt",IF(AND(ISNUMBER(O177),ISNUMBER(P177),P177&lt;O177),"⚠ Ende vor Start",IF(AND(R177="WON",AY177=0),"⛔ Zeitraum fehlt",IF(AR177=0,"○ Einstand offen",IF(AY177=0,"○ Zeitraum offen",IF(R177="WON","✅ belegt","✔ erfasst")))))))</f>
        <v/>
      </c>
    </row>
    <row r="178" customFormat="false" ht="15" hidden="false" customHeight="true" outlineLevel="0" collapsed="false">
      <c r="G178" s="1" t="str">
        <f aca="false">IF(B178="","",IF(AY178=1,P178-O178+1,IF(AW178="","",AW178)))</f>
        <v/>
      </c>
      <c r="I178" s="270"/>
      <c r="J178" s="270"/>
      <c r="K178" s="270"/>
      <c r="L178" s="270"/>
      <c r="M178" s="270"/>
      <c r="N178" s="270"/>
      <c r="O178" s="263"/>
      <c r="P178" s="263"/>
      <c r="Q178" s="270" t="str">
        <f aca="false">IF(AND(ISNUMBER(I178),ISNUMBER(S178)),I178*AJ178,IF(OR(I178&lt;&gt;"",S178&lt;&gt;""),"tbd",""))</f>
        <v/>
      </c>
      <c r="S178" s="268"/>
      <c r="Y178" s="275" t="str">
        <f aca="false">IF(ISNUMBER(I178),I178/Netto_Faktor,"")</f>
        <v/>
      </c>
      <c r="Z178" s="275" t="str">
        <f aca="false">IF(B178="","",IF(COUNT(J178:N178)=0,"",SUM(J178:N178)))</f>
        <v/>
      </c>
      <c r="AA178" s="266"/>
      <c r="AB178" s="266"/>
      <c r="AC178" s="266"/>
      <c r="AD178" s="266"/>
      <c r="AE178" s="266"/>
      <c r="AF178" s="266"/>
      <c r="AG178" s="267"/>
      <c r="AH178" s="266" t="str">
        <f aca="false">IF(B178="","",IF(BA178="",IF(R178="WON","✅ belegt &amp; vollständig","✔ vollständig"),LEFT(BA178,LEN(BA178)-3)))</f>
        <v/>
      </c>
      <c r="AJ178" s="268" t="n">
        <f aca="false">IF(ISNUMBER(S178),IFERROR(LOOKUP(IF(S178&lt;=1,S178,S178/100),'⚖️ Wahrscheinlichkeit'!$B$17:$B$21,'⚖️ Wahrscheinlichkeit'!$D$17:$D$21),0),0)</f>
        <v>0</v>
      </c>
      <c r="AK178" s="1" t="str">
        <f aca="false">IF(AND(R178="WON",ISNUMBER(I178)),AL178+(861-ROW())*0.000001,"")</f>
        <v/>
      </c>
      <c r="AL178" s="1" t="n">
        <f aca="false">IFERROR(I178*1,0)</f>
        <v>0</v>
      </c>
      <c r="AM178" s="1" t="n">
        <f aca="false">N(AM177)+IF(AND(R178="WON",B178&lt;&gt;""),1,0)</f>
        <v>12</v>
      </c>
      <c r="AN178" s="1" t="n">
        <f aca="false">N(AN177)+IF(AND(OR(R178="offered",R178="to be offered",R178="on hold"),B178&lt;&gt;""),1,0)</f>
        <v>33</v>
      </c>
      <c r="AO178" s="1" t="n">
        <f aca="false">N(AO177)+IF(AND(OR(R178="follow-up",R178="Evaluation",R178="tbd",R178="In evaluation"),B178&lt;&gt;""),1,0)</f>
        <v>1</v>
      </c>
      <c r="AP178" s="1" t="n">
        <f aca="false">IF(B178="",0,IF(COUNTIF('⚖️ Wahrscheinlichkeit'!$J$17:$J$24,R178)&gt;0,1,0))</f>
        <v>0</v>
      </c>
      <c r="AQ178" s="1" t="n">
        <f aca="false">IF(B178="",0,IF(AND(ISNUMBER(S178),COUNTIF('⚖️ Wahrscheinlichkeit'!$B$6:$B$11,S178)&gt;0),1,0))</f>
        <v>0</v>
      </c>
      <c r="AR178" s="1" t="n">
        <f aca="false">IF(B178="",0,IF(AND(COUNT(J178:M178)=4,SUM(J178:M178)&gt;0),1,0))</f>
        <v>0</v>
      </c>
      <c r="AS178" s="1" t="n">
        <f aca="false">IF(B178="",0,IF(AND(AF178&lt;&gt;"",AG178&lt;&gt;""),1,0))</f>
        <v>0</v>
      </c>
      <c r="AT178" s="1" t="n">
        <f aca="false">IF(AND(R178="WON",AS178=1,AR178=1),1,0)</f>
        <v>0</v>
      </c>
      <c r="AU178" s="1" t="n">
        <f aca="false">IF(B178="",0,IF(AD178="Alternative – zählt nicht",0,1))</f>
        <v>0</v>
      </c>
      <c r="AV178" s="1" t="n">
        <f aca="false">IF(B178="",0,IF(COUNTIF($B$6:$B$860,B178)&gt;1,1,0))</f>
        <v>0</v>
      </c>
      <c r="AX178" s="269" t="str">
        <f aca="false">IF(AY178=1,DATE(YEAR(O178),MONTH(O178),1),"")</f>
        <v/>
      </c>
      <c r="AY178" s="1" t="n">
        <f aca="false">IF(B178="",0,IF(AND(ISNUMBER(O178),ISNUMBER(P178)),IF(P178&gt;=O178,1,0),0))</f>
        <v>0</v>
      </c>
      <c r="AZ178" s="1" t="n">
        <f aca="false">IF(ISNUMBER(Y178),Y178,0)</f>
        <v>0</v>
      </c>
      <c r="BA178" s="1" t="str">
        <f aca="false">IF(B178="","",IF(AND(R178="WON",AS178=0),"⛔ Beleg fehlt · ","")&amp;IF(AND(R178="WON",AR178=0),"⛔ Einstand fehlt · ","")&amp;IF(AND(R178&lt;&gt;"WON",AR178=0),"○ Einstand offen · ","")&amp;IF(AND(R178="WON",AB178=""),"⛔ Vertragsart fehlt · ","")&amp;IF(AND(ISNUMBER(O178),ISNUMBER(P178)),IF(P178&lt;O178,"⚠ Ende vor Start · ",""),"")&amp;IF(AND(R178="WON",AY178=0,NOT(AND(ISNUMBER(O178),ISNUMBER(P178)))),"⛔ Zeitraum fehlt · ","")&amp;IF(AND(R178&lt;&gt;"WON",AY178=0,NOT(AND(ISNUMBER(O178),ISNUMBER(P178)))),"○ Zeitraum offen · ",""))</f>
        <v/>
      </c>
      <c r="BB178" s="1" t="str">
        <f aca="false">IF(B178="","",IF(AND(R178="WON",AS178=0),"⛔ Nachweis fehlt",IF(AND(ISNUMBER(O178),ISNUMBER(P178),P178&lt;O178),"⚠ Ende vor Start",IF(AND(R178="WON",AY178=0),"⛔ Zeitraum fehlt",IF(AR178=0,"○ Einstand offen",IF(AY178=0,"○ Zeitraum offen",IF(R178="WON","✅ belegt","✔ erfasst")))))))</f>
        <v/>
      </c>
    </row>
    <row r="179" customFormat="false" ht="15" hidden="false" customHeight="true" outlineLevel="0" collapsed="false">
      <c r="G179" s="1" t="str">
        <f aca="false">IF(B179="","",IF(AY179=1,P179-O179+1,IF(AW179="","",AW179)))</f>
        <v/>
      </c>
      <c r="I179" s="270"/>
      <c r="J179" s="270"/>
      <c r="K179" s="270"/>
      <c r="L179" s="270"/>
      <c r="M179" s="270"/>
      <c r="N179" s="270"/>
      <c r="O179" s="263"/>
      <c r="P179" s="263"/>
      <c r="Q179" s="270" t="str">
        <f aca="false">IF(AND(ISNUMBER(I179),ISNUMBER(S179)),I179*AJ179,IF(OR(I179&lt;&gt;"",S179&lt;&gt;""),"tbd",""))</f>
        <v/>
      </c>
      <c r="S179" s="268"/>
      <c r="Y179" s="275" t="str">
        <f aca="false">IF(ISNUMBER(I179),I179/Netto_Faktor,"")</f>
        <v/>
      </c>
      <c r="Z179" s="275" t="str">
        <f aca="false">IF(B179="","",IF(COUNT(J179:N179)=0,"",SUM(J179:N179)))</f>
        <v/>
      </c>
      <c r="AA179" s="266"/>
      <c r="AB179" s="266"/>
      <c r="AC179" s="266"/>
      <c r="AD179" s="266"/>
      <c r="AE179" s="266"/>
      <c r="AF179" s="266"/>
      <c r="AG179" s="267"/>
      <c r="AH179" s="266" t="str">
        <f aca="false">IF(B179="","",IF(BA179="",IF(R179="WON","✅ belegt &amp; vollständig","✔ vollständig"),LEFT(BA179,LEN(BA179)-3)))</f>
        <v/>
      </c>
      <c r="AJ179" s="268" t="n">
        <f aca="false">IF(ISNUMBER(S179),IFERROR(LOOKUP(IF(S179&lt;=1,S179,S179/100),'⚖️ Wahrscheinlichkeit'!$B$17:$B$21,'⚖️ Wahrscheinlichkeit'!$D$17:$D$21),0),0)</f>
        <v>0</v>
      </c>
      <c r="AK179" s="1" t="str">
        <f aca="false">IF(AND(R179="WON",ISNUMBER(I179)),AL179+(861-ROW())*0.000001,"")</f>
        <v/>
      </c>
      <c r="AL179" s="1" t="n">
        <f aca="false">IFERROR(I179*1,0)</f>
        <v>0</v>
      </c>
      <c r="AM179" s="1" t="n">
        <f aca="false">N(AM178)+IF(AND(R179="WON",B179&lt;&gt;""),1,0)</f>
        <v>12</v>
      </c>
      <c r="AN179" s="1" t="n">
        <f aca="false">N(AN178)+IF(AND(OR(R179="offered",R179="to be offered",R179="on hold"),B179&lt;&gt;""),1,0)</f>
        <v>33</v>
      </c>
      <c r="AO179" s="1" t="n">
        <f aca="false">N(AO178)+IF(AND(OR(R179="follow-up",R179="Evaluation",R179="tbd",R179="In evaluation"),B179&lt;&gt;""),1,0)</f>
        <v>1</v>
      </c>
      <c r="AP179" s="1" t="n">
        <f aca="false">IF(B179="",0,IF(COUNTIF('⚖️ Wahrscheinlichkeit'!$J$17:$J$24,R179)&gt;0,1,0))</f>
        <v>0</v>
      </c>
      <c r="AQ179" s="1" t="n">
        <f aca="false">IF(B179="",0,IF(AND(ISNUMBER(S179),COUNTIF('⚖️ Wahrscheinlichkeit'!$B$6:$B$11,S179)&gt;0),1,0))</f>
        <v>0</v>
      </c>
      <c r="AR179" s="1" t="n">
        <f aca="false">IF(B179="",0,IF(AND(COUNT(J179:M179)=4,SUM(J179:M179)&gt;0),1,0))</f>
        <v>0</v>
      </c>
      <c r="AS179" s="1" t="n">
        <f aca="false">IF(B179="",0,IF(AND(AF179&lt;&gt;"",AG179&lt;&gt;""),1,0))</f>
        <v>0</v>
      </c>
      <c r="AT179" s="1" t="n">
        <f aca="false">IF(AND(R179="WON",AS179=1,AR179=1),1,0)</f>
        <v>0</v>
      </c>
      <c r="AU179" s="1" t="n">
        <f aca="false">IF(B179="",0,IF(AD179="Alternative – zählt nicht",0,1))</f>
        <v>0</v>
      </c>
      <c r="AV179" s="1" t="n">
        <f aca="false">IF(B179="",0,IF(COUNTIF($B$6:$B$860,B179)&gt;1,1,0))</f>
        <v>0</v>
      </c>
      <c r="AX179" s="269" t="str">
        <f aca="false">IF(AY179=1,DATE(YEAR(O179),MONTH(O179),1),"")</f>
        <v/>
      </c>
      <c r="AY179" s="1" t="n">
        <f aca="false">IF(B179="",0,IF(AND(ISNUMBER(O179),ISNUMBER(P179)),IF(P179&gt;=O179,1,0),0))</f>
        <v>0</v>
      </c>
      <c r="AZ179" s="1" t="n">
        <f aca="false">IF(ISNUMBER(Y179),Y179,0)</f>
        <v>0</v>
      </c>
      <c r="BA179" s="1" t="str">
        <f aca="false">IF(B179="","",IF(AND(R179="WON",AS179=0),"⛔ Beleg fehlt · ","")&amp;IF(AND(R179="WON",AR179=0),"⛔ Einstand fehlt · ","")&amp;IF(AND(R179&lt;&gt;"WON",AR179=0),"○ Einstand offen · ","")&amp;IF(AND(R179="WON",AB179=""),"⛔ Vertragsart fehlt · ","")&amp;IF(AND(ISNUMBER(O179),ISNUMBER(P179)),IF(P179&lt;O179,"⚠ Ende vor Start · ",""),"")&amp;IF(AND(R179="WON",AY179=0,NOT(AND(ISNUMBER(O179),ISNUMBER(P179)))),"⛔ Zeitraum fehlt · ","")&amp;IF(AND(R179&lt;&gt;"WON",AY179=0,NOT(AND(ISNUMBER(O179),ISNUMBER(P179)))),"○ Zeitraum offen · ",""))</f>
        <v/>
      </c>
      <c r="BB179" s="1" t="str">
        <f aca="false">IF(B179="","",IF(AND(R179="WON",AS179=0),"⛔ Nachweis fehlt",IF(AND(ISNUMBER(O179),ISNUMBER(P179),P179&lt;O179),"⚠ Ende vor Start",IF(AND(R179="WON",AY179=0),"⛔ Zeitraum fehlt",IF(AR179=0,"○ Einstand offen",IF(AY179=0,"○ Zeitraum offen",IF(R179="WON","✅ belegt","✔ erfasst")))))))</f>
        <v/>
      </c>
    </row>
    <row r="180" customFormat="false" ht="15" hidden="false" customHeight="true" outlineLevel="0" collapsed="false">
      <c r="G180" s="1" t="str">
        <f aca="false">IF(B180="","",IF(AY180=1,P180-O180+1,IF(AW180="","",AW180)))</f>
        <v/>
      </c>
      <c r="I180" s="270"/>
      <c r="J180" s="270"/>
      <c r="K180" s="270"/>
      <c r="L180" s="270"/>
      <c r="M180" s="270"/>
      <c r="N180" s="270"/>
      <c r="O180" s="263"/>
      <c r="P180" s="263"/>
      <c r="Q180" s="270" t="str">
        <f aca="false">IF(AND(ISNUMBER(I180),ISNUMBER(S180)),I180*AJ180,IF(OR(I180&lt;&gt;"",S180&lt;&gt;""),"tbd",""))</f>
        <v/>
      </c>
      <c r="S180" s="268"/>
      <c r="Y180" s="275" t="str">
        <f aca="false">IF(ISNUMBER(I180),I180/Netto_Faktor,"")</f>
        <v/>
      </c>
      <c r="Z180" s="275" t="str">
        <f aca="false">IF(B180="","",IF(COUNT(J180:N180)=0,"",SUM(J180:N180)))</f>
        <v/>
      </c>
      <c r="AA180" s="266"/>
      <c r="AB180" s="266"/>
      <c r="AC180" s="266"/>
      <c r="AD180" s="266"/>
      <c r="AE180" s="266"/>
      <c r="AF180" s="266"/>
      <c r="AG180" s="267"/>
      <c r="AH180" s="266" t="str">
        <f aca="false">IF(B180="","",IF(BA180="",IF(R180="WON","✅ belegt &amp; vollständig","✔ vollständig"),LEFT(BA180,LEN(BA180)-3)))</f>
        <v/>
      </c>
      <c r="AJ180" s="268" t="n">
        <f aca="false">IF(ISNUMBER(S180),IFERROR(LOOKUP(IF(S180&lt;=1,S180,S180/100),'⚖️ Wahrscheinlichkeit'!$B$17:$B$21,'⚖️ Wahrscheinlichkeit'!$D$17:$D$21),0),0)</f>
        <v>0</v>
      </c>
      <c r="AK180" s="1" t="str">
        <f aca="false">IF(AND(R180="WON",ISNUMBER(I180)),AL180+(861-ROW())*0.000001,"")</f>
        <v/>
      </c>
      <c r="AL180" s="1" t="n">
        <f aca="false">IFERROR(I180*1,0)</f>
        <v>0</v>
      </c>
      <c r="AM180" s="1" t="n">
        <f aca="false">N(AM179)+IF(AND(R180="WON",B180&lt;&gt;""),1,0)</f>
        <v>12</v>
      </c>
      <c r="AN180" s="1" t="n">
        <f aca="false">N(AN179)+IF(AND(OR(R180="offered",R180="to be offered",R180="on hold"),B180&lt;&gt;""),1,0)</f>
        <v>33</v>
      </c>
      <c r="AO180" s="1" t="n">
        <f aca="false">N(AO179)+IF(AND(OR(R180="follow-up",R180="Evaluation",R180="tbd",R180="In evaluation"),B180&lt;&gt;""),1,0)</f>
        <v>1</v>
      </c>
      <c r="AP180" s="1" t="n">
        <f aca="false">IF(B180="",0,IF(COUNTIF('⚖️ Wahrscheinlichkeit'!$J$17:$J$24,R180)&gt;0,1,0))</f>
        <v>0</v>
      </c>
      <c r="AQ180" s="1" t="n">
        <f aca="false">IF(B180="",0,IF(AND(ISNUMBER(S180),COUNTIF('⚖️ Wahrscheinlichkeit'!$B$6:$B$11,S180)&gt;0),1,0))</f>
        <v>0</v>
      </c>
      <c r="AR180" s="1" t="n">
        <f aca="false">IF(B180="",0,IF(AND(COUNT(J180:M180)=4,SUM(J180:M180)&gt;0),1,0))</f>
        <v>0</v>
      </c>
      <c r="AS180" s="1" t="n">
        <f aca="false">IF(B180="",0,IF(AND(AF180&lt;&gt;"",AG180&lt;&gt;""),1,0))</f>
        <v>0</v>
      </c>
      <c r="AT180" s="1" t="n">
        <f aca="false">IF(AND(R180="WON",AS180=1,AR180=1),1,0)</f>
        <v>0</v>
      </c>
      <c r="AU180" s="1" t="n">
        <f aca="false">IF(B180="",0,IF(AD180="Alternative – zählt nicht",0,1))</f>
        <v>0</v>
      </c>
      <c r="AV180" s="1" t="n">
        <f aca="false">IF(B180="",0,IF(COUNTIF($B$6:$B$860,B180)&gt;1,1,0))</f>
        <v>0</v>
      </c>
      <c r="AX180" s="269" t="str">
        <f aca="false">IF(AY180=1,DATE(YEAR(O180),MONTH(O180),1),"")</f>
        <v/>
      </c>
      <c r="AY180" s="1" t="n">
        <f aca="false">IF(B180="",0,IF(AND(ISNUMBER(O180),ISNUMBER(P180)),IF(P180&gt;=O180,1,0),0))</f>
        <v>0</v>
      </c>
      <c r="AZ180" s="1" t="n">
        <f aca="false">IF(ISNUMBER(Y180),Y180,0)</f>
        <v>0</v>
      </c>
      <c r="BA180" s="1" t="str">
        <f aca="false">IF(B180="","",IF(AND(R180="WON",AS180=0),"⛔ Beleg fehlt · ","")&amp;IF(AND(R180="WON",AR180=0),"⛔ Einstand fehlt · ","")&amp;IF(AND(R180&lt;&gt;"WON",AR180=0),"○ Einstand offen · ","")&amp;IF(AND(R180="WON",AB180=""),"⛔ Vertragsart fehlt · ","")&amp;IF(AND(ISNUMBER(O180),ISNUMBER(P180)),IF(P180&lt;O180,"⚠ Ende vor Start · ",""),"")&amp;IF(AND(R180="WON",AY180=0,NOT(AND(ISNUMBER(O180),ISNUMBER(P180)))),"⛔ Zeitraum fehlt · ","")&amp;IF(AND(R180&lt;&gt;"WON",AY180=0,NOT(AND(ISNUMBER(O180),ISNUMBER(P180)))),"○ Zeitraum offen · ",""))</f>
        <v/>
      </c>
      <c r="BB180" s="1" t="str">
        <f aca="false">IF(B180="","",IF(AND(R180="WON",AS180=0),"⛔ Nachweis fehlt",IF(AND(ISNUMBER(O180),ISNUMBER(P180),P180&lt;O180),"⚠ Ende vor Start",IF(AND(R180="WON",AY180=0),"⛔ Zeitraum fehlt",IF(AR180=0,"○ Einstand offen",IF(AY180=0,"○ Zeitraum offen",IF(R180="WON","✅ belegt","✔ erfasst")))))))</f>
        <v/>
      </c>
    </row>
    <row r="181" customFormat="false" ht="15" hidden="false" customHeight="true" outlineLevel="0" collapsed="false">
      <c r="G181" s="1" t="str">
        <f aca="false">IF(B181="","",IF(AY181=1,P181-O181+1,IF(AW181="","",AW181)))</f>
        <v/>
      </c>
      <c r="I181" s="270"/>
      <c r="J181" s="270"/>
      <c r="K181" s="270"/>
      <c r="L181" s="270"/>
      <c r="M181" s="270"/>
      <c r="N181" s="270"/>
      <c r="O181" s="263"/>
      <c r="P181" s="263"/>
      <c r="Q181" s="270" t="str">
        <f aca="false">IF(AND(ISNUMBER(I181),ISNUMBER(S181)),I181*AJ181,IF(OR(I181&lt;&gt;"",S181&lt;&gt;""),"tbd",""))</f>
        <v/>
      </c>
      <c r="S181" s="268"/>
      <c r="Y181" s="275" t="str">
        <f aca="false">IF(ISNUMBER(I181),I181/Netto_Faktor,"")</f>
        <v/>
      </c>
      <c r="Z181" s="275" t="str">
        <f aca="false">IF(B181="","",IF(COUNT(J181:N181)=0,"",SUM(J181:N181)))</f>
        <v/>
      </c>
      <c r="AA181" s="266"/>
      <c r="AB181" s="266"/>
      <c r="AC181" s="266"/>
      <c r="AD181" s="266"/>
      <c r="AE181" s="266"/>
      <c r="AF181" s="266"/>
      <c r="AG181" s="267"/>
      <c r="AH181" s="266" t="str">
        <f aca="false">IF(B181="","",IF(BA181="",IF(R181="WON","✅ belegt &amp; vollständig","✔ vollständig"),LEFT(BA181,LEN(BA181)-3)))</f>
        <v/>
      </c>
      <c r="AJ181" s="268" t="n">
        <f aca="false">IF(ISNUMBER(S181),IFERROR(LOOKUP(IF(S181&lt;=1,S181,S181/100),'⚖️ Wahrscheinlichkeit'!$B$17:$B$21,'⚖️ Wahrscheinlichkeit'!$D$17:$D$21),0),0)</f>
        <v>0</v>
      </c>
      <c r="AK181" s="1" t="str">
        <f aca="false">IF(AND(R181="WON",ISNUMBER(I181)),AL181+(861-ROW())*0.000001,"")</f>
        <v/>
      </c>
      <c r="AL181" s="1" t="n">
        <f aca="false">IFERROR(I181*1,0)</f>
        <v>0</v>
      </c>
      <c r="AM181" s="1" t="n">
        <f aca="false">N(AM180)+IF(AND(R181="WON",B181&lt;&gt;""),1,0)</f>
        <v>12</v>
      </c>
      <c r="AN181" s="1" t="n">
        <f aca="false">N(AN180)+IF(AND(OR(R181="offered",R181="to be offered",R181="on hold"),B181&lt;&gt;""),1,0)</f>
        <v>33</v>
      </c>
      <c r="AO181" s="1" t="n">
        <f aca="false">N(AO180)+IF(AND(OR(R181="follow-up",R181="Evaluation",R181="tbd",R181="In evaluation"),B181&lt;&gt;""),1,0)</f>
        <v>1</v>
      </c>
      <c r="AP181" s="1" t="n">
        <f aca="false">IF(B181="",0,IF(COUNTIF('⚖️ Wahrscheinlichkeit'!$J$17:$J$24,R181)&gt;0,1,0))</f>
        <v>0</v>
      </c>
      <c r="AQ181" s="1" t="n">
        <f aca="false">IF(B181="",0,IF(AND(ISNUMBER(S181),COUNTIF('⚖️ Wahrscheinlichkeit'!$B$6:$B$11,S181)&gt;0),1,0))</f>
        <v>0</v>
      </c>
      <c r="AR181" s="1" t="n">
        <f aca="false">IF(B181="",0,IF(AND(COUNT(J181:M181)=4,SUM(J181:M181)&gt;0),1,0))</f>
        <v>0</v>
      </c>
      <c r="AS181" s="1" t="n">
        <f aca="false">IF(B181="",0,IF(AND(AF181&lt;&gt;"",AG181&lt;&gt;""),1,0))</f>
        <v>0</v>
      </c>
      <c r="AT181" s="1" t="n">
        <f aca="false">IF(AND(R181="WON",AS181=1,AR181=1),1,0)</f>
        <v>0</v>
      </c>
      <c r="AU181" s="1" t="n">
        <f aca="false">IF(B181="",0,IF(AD181="Alternative – zählt nicht",0,1))</f>
        <v>0</v>
      </c>
      <c r="AV181" s="1" t="n">
        <f aca="false">IF(B181="",0,IF(COUNTIF($B$6:$B$860,B181)&gt;1,1,0))</f>
        <v>0</v>
      </c>
      <c r="AX181" s="269" t="str">
        <f aca="false">IF(AY181=1,DATE(YEAR(O181),MONTH(O181),1),"")</f>
        <v/>
      </c>
      <c r="AY181" s="1" t="n">
        <f aca="false">IF(B181="",0,IF(AND(ISNUMBER(O181),ISNUMBER(P181)),IF(P181&gt;=O181,1,0),0))</f>
        <v>0</v>
      </c>
      <c r="AZ181" s="1" t="n">
        <f aca="false">IF(ISNUMBER(Y181),Y181,0)</f>
        <v>0</v>
      </c>
      <c r="BA181" s="1" t="str">
        <f aca="false">IF(B181="","",IF(AND(R181="WON",AS181=0),"⛔ Beleg fehlt · ","")&amp;IF(AND(R181="WON",AR181=0),"⛔ Einstand fehlt · ","")&amp;IF(AND(R181&lt;&gt;"WON",AR181=0),"○ Einstand offen · ","")&amp;IF(AND(R181="WON",AB181=""),"⛔ Vertragsart fehlt · ","")&amp;IF(AND(ISNUMBER(O181),ISNUMBER(P181)),IF(P181&lt;O181,"⚠ Ende vor Start · ",""),"")&amp;IF(AND(R181="WON",AY181=0,NOT(AND(ISNUMBER(O181),ISNUMBER(P181)))),"⛔ Zeitraum fehlt · ","")&amp;IF(AND(R181&lt;&gt;"WON",AY181=0,NOT(AND(ISNUMBER(O181),ISNUMBER(P181)))),"○ Zeitraum offen · ",""))</f>
        <v/>
      </c>
      <c r="BB181" s="1" t="str">
        <f aca="false">IF(B181="","",IF(AND(R181="WON",AS181=0),"⛔ Nachweis fehlt",IF(AND(ISNUMBER(O181),ISNUMBER(P181),P181&lt;O181),"⚠ Ende vor Start",IF(AND(R181="WON",AY181=0),"⛔ Zeitraum fehlt",IF(AR181=0,"○ Einstand offen",IF(AY181=0,"○ Zeitraum offen",IF(R181="WON","✅ belegt","✔ erfasst")))))))</f>
        <v/>
      </c>
    </row>
    <row r="182" customFormat="false" ht="15" hidden="false" customHeight="true" outlineLevel="0" collapsed="false">
      <c r="G182" s="1" t="str">
        <f aca="false">IF(B182="","",IF(AY182=1,P182-O182+1,IF(AW182="","",AW182)))</f>
        <v/>
      </c>
      <c r="I182" s="270"/>
      <c r="J182" s="270"/>
      <c r="K182" s="270"/>
      <c r="L182" s="270"/>
      <c r="M182" s="270"/>
      <c r="N182" s="270"/>
      <c r="O182" s="263"/>
      <c r="P182" s="263"/>
      <c r="Q182" s="270" t="str">
        <f aca="false">IF(AND(ISNUMBER(I182),ISNUMBER(S182)),I182*AJ182,IF(OR(I182&lt;&gt;"",S182&lt;&gt;""),"tbd",""))</f>
        <v/>
      </c>
      <c r="S182" s="268"/>
      <c r="Y182" s="275" t="str">
        <f aca="false">IF(ISNUMBER(I182),I182/Netto_Faktor,"")</f>
        <v/>
      </c>
      <c r="Z182" s="275" t="str">
        <f aca="false">IF(B182="","",IF(COUNT(J182:N182)=0,"",SUM(J182:N182)))</f>
        <v/>
      </c>
      <c r="AA182" s="266"/>
      <c r="AB182" s="266"/>
      <c r="AC182" s="266"/>
      <c r="AD182" s="266"/>
      <c r="AE182" s="266"/>
      <c r="AF182" s="266"/>
      <c r="AG182" s="267"/>
      <c r="AH182" s="266" t="str">
        <f aca="false">IF(B182="","",IF(BA182="",IF(R182="WON","✅ belegt &amp; vollständig","✔ vollständig"),LEFT(BA182,LEN(BA182)-3)))</f>
        <v/>
      </c>
      <c r="AJ182" s="268" t="n">
        <f aca="false">IF(ISNUMBER(S182),IFERROR(LOOKUP(IF(S182&lt;=1,S182,S182/100),'⚖️ Wahrscheinlichkeit'!$B$17:$B$21,'⚖️ Wahrscheinlichkeit'!$D$17:$D$21),0),0)</f>
        <v>0</v>
      </c>
      <c r="AK182" s="1" t="str">
        <f aca="false">IF(AND(R182="WON",ISNUMBER(I182)),AL182+(861-ROW())*0.000001,"")</f>
        <v/>
      </c>
      <c r="AL182" s="1" t="n">
        <f aca="false">IFERROR(I182*1,0)</f>
        <v>0</v>
      </c>
      <c r="AM182" s="1" t="n">
        <f aca="false">N(AM181)+IF(AND(R182="WON",B182&lt;&gt;""),1,0)</f>
        <v>12</v>
      </c>
      <c r="AN182" s="1" t="n">
        <f aca="false">N(AN181)+IF(AND(OR(R182="offered",R182="to be offered",R182="on hold"),B182&lt;&gt;""),1,0)</f>
        <v>33</v>
      </c>
      <c r="AO182" s="1" t="n">
        <f aca="false">N(AO181)+IF(AND(OR(R182="follow-up",R182="Evaluation",R182="tbd",R182="In evaluation"),B182&lt;&gt;""),1,0)</f>
        <v>1</v>
      </c>
      <c r="AP182" s="1" t="n">
        <f aca="false">IF(B182="",0,IF(COUNTIF('⚖️ Wahrscheinlichkeit'!$J$17:$J$24,R182)&gt;0,1,0))</f>
        <v>0</v>
      </c>
      <c r="AQ182" s="1" t="n">
        <f aca="false">IF(B182="",0,IF(AND(ISNUMBER(S182),COUNTIF('⚖️ Wahrscheinlichkeit'!$B$6:$B$11,S182)&gt;0),1,0))</f>
        <v>0</v>
      </c>
      <c r="AR182" s="1" t="n">
        <f aca="false">IF(B182="",0,IF(AND(COUNT(J182:M182)=4,SUM(J182:M182)&gt;0),1,0))</f>
        <v>0</v>
      </c>
      <c r="AS182" s="1" t="n">
        <f aca="false">IF(B182="",0,IF(AND(AF182&lt;&gt;"",AG182&lt;&gt;""),1,0))</f>
        <v>0</v>
      </c>
      <c r="AT182" s="1" t="n">
        <f aca="false">IF(AND(R182="WON",AS182=1,AR182=1),1,0)</f>
        <v>0</v>
      </c>
      <c r="AU182" s="1" t="n">
        <f aca="false">IF(B182="",0,IF(AD182="Alternative – zählt nicht",0,1))</f>
        <v>0</v>
      </c>
      <c r="AV182" s="1" t="n">
        <f aca="false">IF(B182="",0,IF(COUNTIF($B$6:$B$860,B182)&gt;1,1,0))</f>
        <v>0</v>
      </c>
      <c r="AX182" s="269" t="str">
        <f aca="false">IF(AY182=1,DATE(YEAR(O182),MONTH(O182),1),"")</f>
        <v/>
      </c>
      <c r="AY182" s="1" t="n">
        <f aca="false">IF(B182="",0,IF(AND(ISNUMBER(O182),ISNUMBER(P182)),IF(P182&gt;=O182,1,0),0))</f>
        <v>0</v>
      </c>
      <c r="AZ182" s="1" t="n">
        <f aca="false">IF(ISNUMBER(Y182),Y182,0)</f>
        <v>0</v>
      </c>
      <c r="BA182" s="1" t="str">
        <f aca="false">IF(B182="","",IF(AND(R182="WON",AS182=0),"⛔ Beleg fehlt · ","")&amp;IF(AND(R182="WON",AR182=0),"⛔ Einstand fehlt · ","")&amp;IF(AND(R182&lt;&gt;"WON",AR182=0),"○ Einstand offen · ","")&amp;IF(AND(R182="WON",AB182=""),"⛔ Vertragsart fehlt · ","")&amp;IF(AND(ISNUMBER(O182),ISNUMBER(P182)),IF(P182&lt;O182,"⚠ Ende vor Start · ",""),"")&amp;IF(AND(R182="WON",AY182=0,NOT(AND(ISNUMBER(O182),ISNUMBER(P182)))),"⛔ Zeitraum fehlt · ","")&amp;IF(AND(R182&lt;&gt;"WON",AY182=0,NOT(AND(ISNUMBER(O182),ISNUMBER(P182)))),"○ Zeitraum offen · ",""))</f>
        <v/>
      </c>
      <c r="BB182" s="1" t="str">
        <f aca="false">IF(B182="","",IF(AND(R182="WON",AS182=0),"⛔ Nachweis fehlt",IF(AND(ISNUMBER(O182),ISNUMBER(P182),P182&lt;O182),"⚠ Ende vor Start",IF(AND(R182="WON",AY182=0),"⛔ Zeitraum fehlt",IF(AR182=0,"○ Einstand offen",IF(AY182=0,"○ Zeitraum offen",IF(R182="WON","✅ belegt","✔ erfasst")))))))</f>
        <v/>
      </c>
    </row>
    <row r="183" customFormat="false" ht="15" hidden="false" customHeight="true" outlineLevel="0" collapsed="false">
      <c r="G183" s="1" t="str">
        <f aca="false">IF(B183="","",IF(AY183=1,P183-O183+1,IF(AW183="","",AW183)))</f>
        <v/>
      </c>
      <c r="I183" s="270"/>
      <c r="J183" s="270"/>
      <c r="K183" s="270"/>
      <c r="L183" s="270"/>
      <c r="M183" s="270"/>
      <c r="N183" s="270"/>
      <c r="O183" s="263"/>
      <c r="P183" s="263"/>
      <c r="Q183" s="270" t="str">
        <f aca="false">IF(AND(ISNUMBER(I183),ISNUMBER(S183)),I183*AJ183,IF(OR(I183&lt;&gt;"",S183&lt;&gt;""),"tbd",""))</f>
        <v/>
      </c>
      <c r="S183" s="268"/>
      <c r="Y183" s="275" t="str">
        <f aca="false">IF(ISNUMBER(I183),I183/Netto_Faktor,"")</f>
        <v/>
      </c>
      <c r="Z183" s="275" t="str">
        <f aca="false">IF(B183="","",IF(COUNT(J183:N183)=0,"",SUM(J183:N183)))</f>
        <v/>
      </c>
      <c r="AA183" s="266"/>
      <c r="AB183" s="266"/>
      <c r="AC183" s="266"/>
      <c r="AD183" s="266"/>
      <c r="AE183" s="266"/>
      <c r="AF183" s="266"/>
      <c r="AG183" s="267"/>
      <c r="AH183" s="266" t="str">
        <f aca="false">IF(B183="","",IF(BA183="",IF(R183="WON","✅ belegt &amp; vollständig","✔ vollständig"),LEFT(BA183,LEN(BA183)-3)))</f>
        <v/>
      </c>
      <c r="AJ183" s="268" t="n">
        <f aca="false">IF(ISNUMBER(S183),IFERROR(LOOKUP(IF(S183&lt;=1,S183,S183/100),'⚖️ Wahrscheinlichkeit'!$B$17:$B$21,'⚖️ Wahrscheinlichkeit'!$D$17:$D$21),0),0)</f>
        <v>0</v>
      </c>
      <c r="AK183" s="1" t="str">
        <f aca="false">IF(AND(R183="WON",ISNUMBER(I183)),AL183+(861-ROW())*0.000001,"")</f>
        <v/>
      </c>
      <c r="AL183" s="1" t="n">
        <f aca="false">IFERROR(I183*1,0)</f>
        <v>0</v>
      </c>
      <c r="AM183" s="1" t="n">
        <f aca="false">N(AM182)+IF(AND(R183="WON",B183&lt;&gt;""),1,0)</f>
        <v>12</v>
      </c>
      <c r="AN183" s="1" t="n">
        <f aca="false">N(AN182)+IF(AND(OR(R183="offered",R183="to be offered",R183="on hold"),B183&lt;&gt;""),1,0)</f>
        <v>33</v>
      </c>
      <c r="AO183" s="1" t="n">
        <f aca="false">N(AO182)+IF(AND(OR(R183="follow-up",R183="Evaluation",R183="tbd",R183="In evaluation"),B183&lt;&gt;""),1,0)</f>
        <v>1</v>
      </c>
      <c r="AP183" s="1" t="n">
        <f aca="false">IF(B183="",0,IF(COUNTIF('⚖️ Wahrscheinlichkeit'!$J$17:$J$24,R183)&gt;0,1,0))</f>
        <v>0</v>
      </c>
      <c r="AQ183" s="1" t="n">
        <f aca="false">IF(B183="",0,IF(AND(ISNUMBER(S183),COUNTIF('⚖️ Wahrscheinlichkeit'!$B$6:$B$11,S183)&gt;0),1,0))</f>
        <v>0</v>
      </c>
      <c r="AR183" s="1" t="n">
        <f aca="false">IF(B183="",0,IF(AND(COUNT(J183:M183)=4,SUM(J183:M183)&gt;0),1,0))</f>
        <v>0</v>
      </c>
      <c r="AS183" s="1" t="n">
        <f aca="false">IF(B183="",0,IF(AND(AF183&lt;&gt;"",AG183&lt;&gt;""),1,0))</f>
        <v>0</v>
      </c>
      <c r="AT183" s="1" t="n">
        <f aca="false">IF(AND(R183="WON",AS183=1,AR183=1),1,0)</f>
        <v>0</v>
      </c>
      <c r="AU183" s="1" t="n">
        <f aca="false">IF(B183="",0,IF(AD183="Alternative – zählt nicht",0,1))</f>
        <v>0</v>
      </c>
      <c r="AV183" s="1" t="n">
        <f aca="false">IF(B183="",0,IF(COUNTIF($B$6:$B$860,B183)&gt;1,1,0))</f>
        <v>0</v>
      </c>
      <c r="AX183" s="269" t="str">
        <f aca="false">IF(AY183=1,DATE(YEAR(O183),MONTH(O183),1),"")</f>
        <v/>
      </c>
      <c r="AY183" s="1" t="n">
        <f aca="false">IF(B183="",0,IF(AND(ISNUMBER(O183),ISNUMBER(P183)),IF(P183&gt;=O183,1,0),0))</f>
        <v>0</v>
      </c>
      <c r="AZ183" s="1" t="n">
        <f aca="false">IF(ISNUMBER(Y183),Y183,0)</f>
        <v>0</v>
      </c>
      <c r="BA183" s="1" t="str">
        <f aca="false">IF(B183="","",IF(AND(R183="WON",AS183=0),"⛔ Beleg fehlt · ","")&amp;IF(AND(R183="WON",AR183=0),"⛔ Einstand fehlt · ","")&amp;IF(AND(R183&lt;&gt;"WON",AR183=0),"○ Einstand offen · ","")&amp;IF(AND(R183="WON",AB183=""),"⛔ Vertragsart fehlt · ","")&amp;IF(AND(ISNUMBER(O183),ISNUMBER(P183)),IF(P183&lt;O183,"⚠ Ende vor Start · ",""),"")&amp;IF(AND(R183="WON",AY183=0,NOT(AND(ISNUMBER(O183),ISNUMBER(P183)))),"⛔ Zeitraum fehlt · ","")&amp;IF(AND(R183&lt;&gt;"WON",AY183=0,NOT(AND(ISNUMBER(O183),ISNUMBER(P183)))),"○ Zeitraum offen · ",""))</f>
        <v/>
      </c>
      <c r="BB183" s="1" t="str">
        <f aca="false">IF(B183="","",IF(AND(R183="WON",AS183=0),"⛔ Nachweis fehlt",IF(AND(ISNUMBER(O183),ISNUMBER(P183),P183&lt;O183),"⚠ Ende vor Start",IF(AND(R183="WON",AY183=0),"⛔ Zeitraum fehlt",IF(AR183=0,"○ Einstand offen",IF(AY183=0,"○ Zeitraum offen",IF(R183="WON","✅ belegt","✔ erfasst")))))))</f>
        <v/>
      </c>
    </row>
    <row r="184" customFormat="false" ht="15" hidden="false" customHeight="true" outlineLevel="0" collapsed="false">
      <c r="G184" s="1" t="str">
        <f aca="false">IF(B184="","",IF(AY184=1,P184-O184+1,IF(AW184="","",AW184)))</f>
        <v/>
      </c>
      <c r="I184" s="270"/>
      <c r="J184" s="270"/>
      <c r="K184" s="270"/>
      <c r="L184" s="270"/>
      <c r="M184" s="270"/>
      <c r="N184" s="270"/>
      <c r="O184" s="263"/>
      <c r="P184" s="263"/>
      <c r="Q184" s="270" t="str">
        <f aca="false">IF(AND(ISNUMBER(I184),ISNUMBER(S184)),I184*AJ184,IF(OR(I184&lt;&gt;"",S184&lt;&gt;""),"tbd",""))</f>
        <v/>
      </c>
      <c r="S184" s="268"/>
      <c r="Y184" s="275" t="str">
        <f aca="false">IF(ISNUMBER(I184),I184/Netto_Faktor,"")</f>
        <v/>
      </c>
      <c r="Z184" s="275" t="str">
        <f aca="false">IF(B184="","",IF(COUNT(J184:N184)=0,"",SUM(J184:N184)))</f>
        <v/>
      </c>
      <c r="AA184" s="266"/>
      <c r="AB184" s="266"/>
      <c r="AC184" s="266"/>
      <c r="AD184" s="266"/>
      <c r="AE184" s="266"/>
      <c r="AF184" s="266"/>
      <c r="AG184" s="267"/>
      <c r="AH184" s="266" t="str">
        <f aca="false">IF(B184="","",IF(BA184="",IF(R184="WON","✅ belegt &amp; vollständig","✔ vollständig"),LEFT(BA184,LEN(BA184)-3)))</f>
        <v/>
      </c>
      <c r="AJ184" s="268" t="n">
        <f aca="false">IF(ISNUMBER(S184),IFERROR(LOOKUP(IF(S184&lt;=1,S184,S184/100),'⚖️ Wahrscheinlichkeit'!$B$17:$B$21,'⚖️ Wahrscheinlichkeit'!$D$17:$D$21),0),0)</f>
        <v>0</v>
      </c>
      <c r="AK184" s="1" t="str">
        <f aca="false">IF(AND(R184="WON",ISNUMBER(I184)),AL184+(861-ROW())*0.000001,"")</f>
        <v/>
      </c>
      <c r="AL184" s="1" t="n">
        <f aca="false">IFERROR(I184*1,0)</f>
        <v>0</v>
      </c>
      <c r="AM184" s="1" t="n">
        <f aca="false">N(AM183)+IF(AND(R184="WON",B184&lt;&gt;""),1,0)</f>
        <v>12</v>
      </c>
      <c r="AN184" s="1" t="n">
        <f aca="false">N(AN183)+IF(AND(OR(R184="offered",R184="to be offered",R184="on hold"),B184&lt;&gt;""),1,0)</f>
        <v>33</v>
      </c>
      <c r="AO184" s="1" t="n">
        <f aca="false">N(AO183)+IF(AND(OR(R184="follow-up",R184="Evaluation",R184="tbd",R184="In evaluation"),B184&lt;&gt;""),1,0)</f>
        <v>1</v>
      </c>
      <c r="AP184" s="1" t="n">
        <f aca="false">IF(B184="",0,IF(COUNTIF('⚖️ Wahrscheinlichkeit'!$J$17:$J$24,R184)&gt;0,1,0))</f>
        <v>0</v>
      </c>
      <c r="AQ184" s="1" t="n">
        <f aca="false">IF(B184="",0,IF(AND(ISNUMBER(S184),COUNTIF('⚖️ Wahrscheinlichkeit'!$B$6:$B$11,S184)&gt;0),1,0))</f>
        <v>0</v>
      </c>
      <c r="AR184" s="1" t="n">
        <f aca="false">IF(B184="",0,IF(AND(COUNT(J184:M184)=4,SUM(J184:M184)&gt;0),1,0))</f>
        <v>0</v>
      </c>
      <c r="AS184" s="1" t="n">
        <f aca="false">IF(B184="",0,IF(AND(AF184&lt;&gt;"",AG184&lt;&gt;""),1,0))</f>
        <v>0</v>
      </c>
      <c r="AT184" s="1" t="n">
        <f aca="false">IF(AND(R184="WON",AS184=1,AR184=1),1,0)</f>
        <v>0</v>
      </c>
      <c r="AU184" s="1" t="n">
        <f aca="false">IF(B184="",0,IF(AD184="Alternative – zählt nicht",0,1))</f>
        <v>0</v>
      </c>
      <c r="AV184" s="1" t="n">
        <f aca="false">IF(B184="",0,IF(COUNTIF($B$6:$B$860,B184)&gt;1,1,0))</f>
        <v>0</v>
      </c>
      <c r="AX184" s="269" t="str">
        <f aca="false">IF(AY184=1,DATE(YEAR(O184),MONTH(O184),1),"")</f>
        <v/>
      </c>
      <c r="AY184" s="1" t="n">
        <f aca="false">IF(B184="",0,IF(AND(ISNUMBER(O184),ISNUMBER(P184)),IF(P184&gt;=O184,1,0),0))</f>
        <v>0</v>
      </c>
      <c r="AZ184" s="1" t="n">
        <f aca="false">IF(ISNUMBER(Y184),Y184,0)</f>
        <v>0</v>
      </c>
      <c r="BA184" s="1" t="str">
        <f aca="false">IF(B184="","",IF(AND(R184="WON",AS184=0),"⛔ Beleg fehlt · ","")&amp;IF(AND(R184="WON",AR184=0),"⛔ Einstand fehlt · ","")&amp;IF(AND(R184&lt;&gt;"WON",AR184=0),"○ Einstand offen · ","")&amp;IF(AND(R184="WON",AB184=""),"⛔ Vertragsart fehlt · ","")&amp;IF(AND(ISNUMBER(O184),ISNUMBER(P184)),IF(P184&lt;O184,"⚠ Ende vor Start · ",""),"")&amp;IF(AND(R184="WON",AY184=0,NOT(AND(ISNUMBER(O184),ISNUMBER(P184)))),"⛔ Zeitraum fehlt · ","")&amp;IF(AND(R184&lt;&gt;"WON",AY184=0,NOT(AND(ISNUMBER(O184),ISNUMBER(P184)))),"○ Zeitraum offen · ",""))</f>
        <v/>
      </c>
      <c r="BB184" s="1" t="str">
        <f aca="false">IF(B184="","",IF(AND(R184="WON",AS184=0),"⛔ Nachweis fehlt",IF(AND(ISNUMBER(O184),ISNUMBER(P184),P184&lt;O184),"⚠ Ende vor Start",IF(AND(R184="WON",AY184=0),"⛔ Zeitraum fehlt",IF(AR184=0,"○ Einstand offen",IF(AY184=0,"○ Zeitraum offen",IF(R184="WON","✅ belegt","✔ erfasst")))))))</f>
        <v/>
      </c>
    </row>
    <row r="185" customFormat="false" ht="15" hidden="false" customHeight="true" outlineLevel="0" collapsed="false">
      <c r="G185" s="1" t="str">
        <f aca="false">IF(B185="","",IF(AY185=1,P185-O185+1,IF(AW185="","",AW185)))</f>
        <v/>
      </c>
      <c r="I185" s="270"/>
      <c r="J185" s="270"/>
      <c r="K185" s="270"/>
      <c r="L185" s="270"/>
      <c r="M185" s="270"/>
      <c r="N185" s="270"/>
      <c r="O185" s="263"/>
      <c r="P185" s="263"/>
      <c r="Q185" s="270" t="str">
        <f aca="false">IF(AND(ISNUMBER(I185),ISNUMBER(S185)),I185*AJ185,IF(OR(I185&lt;&gt;"",S185&lt;&gt;""),"tbd",""))</f>
        <v/>
      </c>
      <c r="S185" s="268"/>
      <c r="Y185" s="275" t="str">
        <f aca="false">IF(ISNUMBER(I185),I185/Netto_Faktor,"")</f>
        <v/>
      </c>
      <c r="Z185" s="275" t="str">
        <f aca="false">IF(B185="","",IF(COUNT(J185:N185)=0,"",SUM(J185:N185)))</f>
        <v/>
      </c>
      <c r="AA185" s="266"/>
      <c r="AB185" s="266"/>
      <c r="AC185" s="266"/>
      <c r="AD185" s="266"/>
      <c r="AE185" s="266"/>
      <c r="AF185" s="266"/>
      <c r="AG185" s="267"/>
      <c r="AH185" s="266" t="str">
        <f aca="false">IF(B185="","",IF(BA185="",IF(R185="WON","✅ belegt &amp; vollständig","✔ vollständig"),LEFT(BA185,LEN(BA185)-3)))</f>
        <v/>
      </c>
      <c r="AJ185" s="268" t="n">
        <f aca="false">IF(ISNUMBER(S185),IFERROR(LOOKUP(IF(S185&lt;=1,S185,S185/100),'⚖️ Wahrscheinlichkeit'!$B$17:$B$21,'⚖️ Wahrscheinlichkeit'!$D$17:$D$21),0),0)</f>
        <v>0</v>
      </c>
      <c r="AK185" s="1" t="str">
        <f aca="false">IF(AND(R185="WON",ISNUMBER(I185)),AL185+(861-ROW())*0.000001,"")</f>
        <v/>
      </c>
      <c r="AL185" s="1" t="n">
        <f aca="false">IFERROR(I185*1,0)</f>
        <v>0</v>
      </c>
      <c r="AM185" s="1" t="n">
        <f aca="false">N(AM184)+IF(AND(R185="WON",B185&lt;&gt;""),1,0)</f>
        <v>12</v>
      </c>
      <c r="AN185" s="1" t="n">
        <f aca="false">N(AN184)+IF(AND(OR(R185="offered",R185="to be offered",R185="on hold"),B185&lt;&gt;""),1,0)</f>
        <v>33</v>
      </c>
      <c r="AO185" s="1" t="n">
        <f aca="false">N(AO184)+IF(AND(OR(R185="follow-up",R185="Evaluation",R185="tbd",R185="In evaluation"),B185&lt;&gt;""),1,0)</f>
        <v>1</v>
      </c>
      <c r="AP185" s="1" t="n">
        <f aca="false">IF(B185="",0,IF(COUNTIF('⚖️ Wahrscheinlichkeit'!$J$17:$J$24,R185)&gt;0,1,0))</f>
        <v>0</v>
      </c>
      <c r="AQ185" s="1" t="n">
        <f aca="false">IF(B185="",0,IF(AND(ISNUMBER(S185),COUNTIF('⚖️ Wahrscheinlichkeit'!$B$6:$B$11,S185)&gt;0),1,0))</f>
        <v>0</v>
      </c>
      <c r="AR185" s="1" t="n">
        <f aca="false">IF(B185="",0,IF(AND(COUNT(J185:M185)=4,SUM(J185:M185)&gt;0),1,0))</f>
        <v>0</v>
      </c>
      <c r="AS185" s="1" t="n">
        <f aca="false">IF(B185="",0,IF(AND(AF185&lt;&gt;"",AG185&lt;&gt;""),1,0))</f>
        <v>0</v>
      </c>
      <c r="AT185" s="1" t="n">
        <f aca="false">IF(AND(R185="WON",AS185=1,AR185=1),1,0)</f>
        <v>0</v>
      </c>
      <c r="AU185" s="1" t="n">
        <f aca="false">IF(B185="",0,IF(AD185="Alternative – zählt nicht",0,1))</f>
        <v>0</v>
      </c>
      <c r="AV185" s="1" t="n">
        <f aca="false">IF(B185="",0,IF(COUNTIF($B$6:$B$860,B185)&gt;1,1,0))</f>
        <v>0</v>
      </c>
      <c r="AX185" s="269" t="str">
        <f aca="false">IF(AY185=1,DATE(YEAR(O185),MONTH(O185),1),"")</f>
        <v/>
      </c>
      <c r="AY185" s="1" t="n">
        <f aca="false">IF(B185="",0,IF(AND(ISNUMBER(O185),ISNUMBER(P185)),IF(P185&gt;=O185,1,0),0))</f>
        <v>0</v>
      </c>
      <c r="AZ185" s="1" t="n">
        <f aca="false">IF(ISNUMBER(Y185),Y185,0)</f>
        <v>0</v>
      </c>
      <c r="BA185" s="1" t="str">
        <f aca="false">IF(B185="","",IF(AND(R185="WON",AS185=0),"⛔ Beleg fehlt · ","")&amp;IF(AND(R185="WON",AR185=0),"⛔ Einstand fehlt · ","")&amp;IF(AND(R185&lt;&gt;"WON",AR185=0),"○ Einstand offen · ","")&amp;IF(AND(R185="WON",AB185=""),"⛔ Vertragsart fehlt · ","")&amp;IF(AND(ISNUMBER(O185),ISNUMBER(P185)),IF(P185&lt;O185,"⚠ Ende vor Start · ",""),"")&amp;IF(AND(R185="WON",AY185=0,NOT(AND(ISNUMBER(O185),ISNUMBER(P185)))),"⛔ Zeitraum fehlt · ","")&amp;IF(AND(R185&lt;&gt;"WON",AY185=0,NOT(AND(ISNUMBER(O185),ISNUMBER(P185)))),"○ Zeitraum offen · ",""))</f>
        <v/>
      </c>
      <c r="BB185" s="1" t="str">
        <f aca="false">IF(B185="","",IF(AND(R185="WON",AS185=0),"⛔ Nachweis fehlt",IF(AND(ISNUMBER(O185),ISNUMBER(P185),P185&lt;O185),"⚠ Ende vor Start",IF(AND(R185="WON",AY185=0),"⛔ Zeitraum fehlt",IF(AR185=0,"○ Einstand offen",IF(AY185=0,"○ Zeitraum offen",IF(R185="WON","✅ belegt","✔ erfasst")))))))</f>
        <v/>
      </c>
    </row>
    <row r="186" customFormat="false" ht="15" hidden="false" customHeight="true" outlineLevel="0" collapsed="false">
      <c r="G186" s="1" t="str">
        <f aca="false">IF(B186="","",IF(AY186=1,P186-O186+1,IF(AW186="","",AW186)))</f>
        <v/>
      </c>
      <c r="I186" s="270"/>
      <c r="J186" s="270"/>
      <c r="K186" s="270"/>
      <c r="L186" s="270"/>
      <c r="M186" s="270"/>
      <c r="N186" s="270"/>
      <c r="O186" s="263"/>
      <c r="P186" s="263"/>
      <c r="Q186" s="270" t="str">
        <f aca="false">IF(AND(ISNUMBER(I186),ISNUMBER(S186)),I186*AJ186,IF(OR(I186&lt;&gt;"",S186&lt;&gt;""),"tbd",""))</f>
        <v/>
      </c>
      <c r="S186" s="268"/>
      <c r="Y186" s="275" t="str">
        <f aca="false">IF(ISNUMBER(I186),I186/Netto_Faktor,"")</f>
        <v/>
      </c>
      <c r="Z186" s="275" t="str">
        <f aca="false">IF(B186="","",IF(COUNT(J186:N186)=0,"",SUM(J186:N186)))</f>
        <v/>
      </c>
      <c r="AA186" s="266"/>
      <c r="AB186" s="266"/>
      <c r="AC186" s="266"/>
      <c r="AD186" s="266"/>
      <c r="AE186" s="266"/>
      <c r="AF186" s="266"/>
      <c r="AG186" s="267"/>
      <c r="AH186" s="266" t="str">
        <f aca="false">IF(B186="","",IF(BA186="",IF(R186="WON","✅ belegt &amp; vollständig","✔ vollständig"),LEFT(BA186,LEN(BA186)-3)))</f>
        <v/>
      </c>
      <c r="AJ186" s="268" t="n">
        <f aca="false">IF(ISNUMBER(S186),IFERROR(LOOKUP(IF(S186&lt;=1,S186,S186/100),'⚖️ Wahrscheinlichkeit'!$B$17:$B$21,'⚖️ Wahrscheinlichkeit'!$D$17:$D$21),0),0)</f>
        <v>0</v>
      </c>
      <c r="AK186" s="1" t="str">
        <f aca="false">IF(AND(R186="WON",ISNUMBER(I186)),AL186+(861-ROW())*0.000001,"")</f>
        <v/>
      </c>
      <c r="AL186" s="1" t="n">
        <f aca="false">IFERROR(I186*1,0)</f>
        <v>0</v>
      </c>
      <c r="AM186" s="1" t="n">
        <f aca="false">N(AM185)+IF(AND(R186="WON",B186&lt;&gt;""),1,0)</f>
        <v>12</v>
      </c>
      <c r="AN186" s="1" t="n">
        <f aca="false">N(AN185)+IF(AND(OR(R186="offered",R186="to be offered",R186="on hold"),B186&lt;&gt;""),1,0)</f>
        <v>33</v>
      </c>
      <c r="AO186" s="1" t="n">
        <f aca="false">N(AO185)+IF(AND(OR(R186="follow-up",R186="Evaluation",R186="tbd",R186="In evaluation"),B186&lt;&gt;""),1,0)</f>
        <v>1</v>
      </c>
      <c r="AP186" s="1" t="n">
        <f aca="false">IF(B186="",0,IF(COUNTIF('⚖️ Wahrscheinlichkeit'!$J$17:$J$24,R186)&gt;0,1,0))</f>
        <v>0</v>
      </c>
      <c r="AQ186" s="1" t="n">
        <f aca="false">IF(B186="",0,IF(AND(ISNUMBER(S186),COUNTIF('⚖️ Wahrscheinlichkeit'!$B$6:$B$11,S186)&gt;0),1,0))</f>
        <v>0</v>
      </c>
      <c r="AR186" s="1" t="n">
        <f aca="false">IF(B186="",0,IF(AND(COUNT(J186:M186)=4,SUM(J186:M186)&gt;0),1,0))</f>
        <v>0</v>
      </c>
      <c r="AS186" s="1" t="n">
        <f aca="false">IF(B186="",0,IF(AND(AF186&lt;&gt;"",AG186&lt;&gt;""),1,0))</f>
        <v>0</v>
      </c>
      <c r="AT186" s="1" t="n">
        <f aca="false">IF(AND(R186="WON",AS186=1,AR186=1),1,0)</f>
        <v>0</v>
      </c>
      <c r="AU186" s="1" t="n">
        <f aca="false">IF(B186="",0,IF(AD186="Alternative – zählt nicht",0,1))</f>
        <v>0</v>
      </c>
      <c r="AV186" s="1" t="n">
        <f aca="false">IF(B186="",0,IF(COUNTIF($B$6:$B$860,B186)&gt;1,1,0))</f>
        <v>0</v>
      </c>
      <c r="AX186" s="269" t="str">
        <f aca="false">IF(AY186=1,DATE(YEAR(O186),MONTH(O186),1),"")</f>
        <v/>
      </c>
      <c r="AY186" s="1" t="n">
        <f aca="false">IF(B186="",0,IF(AND(ISNUMBER(O186),ISNUMBER(P186)),IF(P186&gt;=O186,1,0),0))</f>
        <v>0</v>
      </c>
      <c r="AZ186" s="1" t="n">
        <f aca="false">IF(ISNUMBER(Y186),Y186,0)</f>
        <v>0</v>
      </c>
      <c r="BA186" s="1" t="str">
        <f aca="false">IF(B186="","",IF(AND(R186="WON",AS186=0),"⛔ Beleg fehlt · ","")&amp;IF(AND(R186="WON",AR186=0),"⛔ Einstand fehlt · ","")&amp;IF(AND(R186&lt;&gt;"WON",AR186=0),"○ Einstand offen · ","")&amp;IF(AND(R186="WON",AB186=""),"⛔ Vertragsart fehlt · ","")&amp;IF(AND(ISNUMBER(O186),ISNUMBER(P186)),IF(P186&lt;O186,"⚠ Ende vor Start · ",""),"")&amp;IF(AND(R186="WON",AY186=0,NOT(AND(ISNUMBER(O186),ISNUMBER(P186)))),"⛔ Zeitraum fehlt · ","")&amp;IF(AND(R186&lt;&gt;"WON",AY186=0,NOT(AND(ISNUMBER(O186),ISNUMBER(P186)))),"○ Zeitraum offen · ",""))</f>
        <v/>
      </c>
      <c r="BB186" s="1" t="str">
        <f aca="false">IF(B186="","",IF(AND(R186="WON",AS186=0),"⛔ Nachweis fehlt",IF(AND(ISNUMBER(O186),ISNUMBER(P186),P186&lt;O186),"⚠ Ende vor Start",IF(AND(R186="WON",AY186=0),"⛔ Zeitraum fehlt",IF(AR186=0,"○ Einstand offen",IF(AY186=0,"○ Zeitraum offen",IF(R186="WON","✅ belegt","✔ erfasst")))))))</f>
        <v/>
      </c>
    </row>
    <row r="187" customFormat="false" ht="15" hidden="false" customHeight="true" outlineLevel="0" collapsed="false">
      <c r="G187" s="1" t="str">
        <f aca="false">IF(B187="","",IF(AY187=1,P187-O187+1,IF(AW187="","",AW187)))</f>
        <v/>
      </c>
      <c r="I187" s="270"/>
      <c r="J187" s="270"/>
      <c r="K187" s="270"/>
      <c r="L187" s="270"/>
      <c r="M187" s="270"/>
      <c r="N187" s="270"/>
      <c r="O187" s="263"/>
      <c r="P187" s="263"/>
      <c r="Q187" s="270" t="str">
        <f aca="false">IF(AND(ISNUMBER(I187),ISNUMBER(S187)),I187*AJ187,IF(OR(I187&lt;&gt;"",S187&lt;&gt;""),"tbd",""))</f>
        <v/>
      </c>
      <c r="S187" s="268"/>
      <c r="Y187" s="275" t="str">
        <f aca="false">IF(ISNUMBER(I187),I187/Netto_Faktor,"")</f>
        <v/>
      </c>
      <c r="Z187" s="275" t="str">
        <f aca="false">IF(B187="","",IF(COUNT(J187:N187)=0,"",SUM(J187:N187)))</f>
        <v/>
      </c>
      <c r="AA187" s="266"/>
      <c r="AB187" s="266"/>
      <c r="AC187" s="266"/>
      <c r="AD187" s="266"/>
      <c r="AE187" s="266"/>
      <c r="AF187" s="266"/>
      <c r="AG187" s="267"/>
      <c r="AH187" s="266" t="str">
        <f aca="false">IF(B187="","",IF(BA187="",IF(R187="WON","✅ belegt &amp; vollständig","✔ vollständig"),LEFT(BA187,LEN(BA187)-3)))</f>
        <v/>
      </c>
      <c r="AJ187" s="268" t="n">
        <f aca="false">IF(ISNUMBER(S187),IFERROR(LOOKUP(IF(S187&lt;=1,S187,S187/100),'⚖️ Wahrscheinlichkeit'!$B$17:$B$21,'⚖️ Wahrscheinlichkeit'!$D$17:$D$21),0),0)</f>
        <v>0</v>
      </c>
      <c r="AK187" s="1" t="str">
        <f aca="false">IF(AND(R187="WON",ISNUMBER(I187)),AL187+(861-ROW())*0.000001,"")</f>
        <v/>
      </c>
      <c r="AL187" s="1" t="n">
        <f aca="false">IFERROR(I187*1,0)</f>
        <v>0</v>
      </c>
      <c r="AM187" s="1" t="n">
        <f aca="false">N(AM186)+IF(AND(R187="WON",B187&lt;&gt;""),1,0)</f>
        <v>12</v>
      </c>
      <c r="AN187" s="1" t="n">
        <f aca="false">N(AN186)+IF(AND(OR(R187="offered",R187="to be offered",R187="on hold"),B187&lt;&gt;""),1,0)</f>
        <v>33</v>
      </c>
      <c r="AO187" s="1" t="n">
        <f aca="false">N(AO186)+IF(AND(OR(R187="follow-up",R187="Evaluation",R187="tbd",R187="In evaluation"),B187&lt;&gt;""),1,0)</f>
        <v>1</v>
      </c>
      <c r="AP187" s="1" t="n">
        <f aca="false">IF(B187="",0,IF(COUNTIF('⚖️ Wahrscheinlichkeit'!$J$17:$J$24,R187)&gt;0,1,0))</f>
        <v>0</v>
      </c>
      <c r="AQ187" s="1" t="n">
        <f aca="false">IF(B187="",0,IF(AND(ISNUMBER(S187),COUNTIF('⚖️ Wahrscheinlichkeit'!$B$6:$B$11,S187)&gt;0),1,0))</f>
        <v>0</v>
      </c>
      <c r="AR187" s="1" t="n">
        <f aca="false">IF(B187="",0,IF(AND(COUNT(J187:M187)=4,SUM(J187:M187)&gt;0),1,0))</f>
        <v>0</v>
      </c>
      <c r="AS187" s="1" t="n">
        <f aca="false">IF(B187="",0,IF(AND(AF187&lt;&gt;"",AG187&lt;&gt;""),1,0))</f>
        <v>0</v>
      </c>
      <c r="AT187" s="1" t="n">
        <f aca="false">IF(AND(R187="WON",AS187=1,AR187=1),1,0)</f>
        <v>0</v>
      </c>
      <c r="AU187" s="1" t="n">
        <f aca="false">IF(B187="",0,IF(AD187="Alternative – zählt nicht",0,1))</f>
        <v>0</v>
      </c>
      <c r="AV187" s="1" t="n">
        <f aca="false">IF(B187="",0,IF(COUNTIF($B$6:$B$860,B187)&gt;1,1,0))</f>
        <v>0</v>
      </c>
      <c r="AX187" s="269" t="str">
        <f aca="false">IF(AY187=1,DATE(YEAR(O187),MONTH(O187),1),"")</f>
        <v/>
      </c>
      <c r="AY187" s="1" t="n">
        <f aca="false">IF(B187="",0,IF(AND(ISNUMBER(O187),ISNUMBER(P187)),IF(P187&gt;=O187,1,0),0))</f>
        <v>0</v>
      </c>
      <c r="AZ187" s="1" t="n">
        <f aca="false">IF(ISNUMBER(Y187),Y187,0)</f>
        <v>0</v>
      </c>
      <c r="BA187" s="1" t="str">
        <f aca="false">IF(B187="","",IF(AND(R187="WON",AS187=0),"⛔ Beleg fehlt · ","")&amp;IF(AND(R187="WON",AR187=0),"⛔ Einstand fehlt · ","")&amp;IF(AND(R187&lt;&gt;"WON",AR187=0),"○ Einstand offen · ","")&amp;IF(AND(R187="WON",AB187=""),"⛔ Vertragsart fehlt · ","")&amp;IF(AND(ISNUMBER(O187),ISNUMBER(P187)),IF(P187&lt;O187,"⚠ Ende vor Start · ",""),"")&amp;IF(AND(R187="WON",AY187=0,NOT(AND(ISNUMBER(O187),ISNUMBER(P187)))),"⛔ Zeitraum fehlt · ","")&amp;IF(AND(R187&lt;&gt;"WON",AY187=0,NOT(AND(ISNUMBER(O187),ISNUMBER(P187)))),"○ Zeitraum offen · ",""))</f>
        <v/>
      </c>
      <c r="BB187" s="1" t="str">
        <f aca="false">IF(B187="","",IF(AND(R187="WON",AS187=0),"⛔ Nachweis fehlt",IF(AND(ISNUMBER(O187),ISNUMBER(P187),P187&lt;O187),"⚠ Ende vor Start",IF(AND(R187="WON",AY187=0),"⛔ Zeitraum fehlt",IF(AR187=0,"○ Einstand offen",IF(AY187=0,"○ Zeitraum offen",IF(R187="WON","✅ belegt","✔ erfasst")))))))</f>
        <v/>
      </c>
    </row>
    <row r="188" customFormat="false" ht="15" hidden="false" customHeight="true" outlineLevel="0" collapsed="false">
      <c r="G188" s="1" t="str">
        <f aca="false">IF(B188="","",IF(AY188=1,P188-O188+1,IF(AW188="","",AW188)))</f>
        <v/>
      </c>
      <c r="I188" s="270"/>
      <c r="J188" s="270"/>
      <c r="K188" s="270"/>
      <c r="L188" s="270"/>
      <c r="M188" s="270"/>
      <c r="N188" s="270"/>
      <c r="O188" s="263"/>
      <c r="P188" s="263"/>
      <c r="Q188" s="270" t="str">
        <f aca="false">IF(AND(ISNUMBER(I188),ISNUMBER(S188)),I188*AJ188,IF(OR(I188&lt;&gt;"",S188&lt;&gt;""),"tbd",""))</f>
        <v/>
      </c>
      <c r="S188" s="268"/>
      <c r="Y188" s="275" t="str">
        <f aca="false">IF(ISNUMBER(I188),I188/Netto_Faktor,"")</f>
        <v/>
      </c>
      <c r="Z188" s="275" t="str">
        <f aca="false">IF(B188="","",IF(COUNT(J188:N188)=0,"",SUM(J188:N188)))</f>
        <v/>
      </c>
      <c r="AA188" s="266"/>
      <c r="AB188" s="266"/>
      <c r="AC188" s="266"/>
      <c r="AD188" s="266"/>
      <c r="AE188" s="266"/>
      <c r="AF188" s="266"/>
      <c r="AG188" s="267"/>
      <c r="AH188" s="266" t="str">
        <f aca="false">IF(B188="","",IF(BA188="",IF(R188="WON","✅ belegt &amp; vollständig","✔ vollständig"),LEFT(BA188,LEN(BA188)-3)))</f>
        <v/>
      </c>
      <c r="AJ188" s="268" t="n">
        <f aca="false">IF(ISNUMBER(S188),IFERROR(LOOKUP(IF(S188&lt;=1,S188,S188/100),'⚖️ Wahrscheinlichkeit'!$B$17:$B$21,'⚖️ Wahrscheinlichkeit'!$D$17:$D$21),0),0)</f>
        <v>0</v>
      </c>
      <c r="AK188" s="1" t="str">
        <f aca="false">IF(AND(R188="WON",ISNUMBER(I188)),AL188+(861-ROW())*0.000001,"")</f>
        <v/>
      </c>
      <c r="AL188" s="1" t="n">
        <f aca="false">IFERROR(I188*1,0)</f>
        <v>0</v>
      </c>
      <c r="AM188" s="1" t="n">
        <f aca="false">N(AM187)+IF(AND(R188="WON",B188&lt;&gt;""),1,0)</f>
        <v>12</v>
      </c>
      <c r="AN188" s="1" t="n">
        <f aca="false">N(AN187)+IF(AND(OR(R188="offered",R188="to be offered",R188="on hold"),B188&lt;&gt;""),1,0)</f>
        <v>33</v>
      </c>
      <c r="AO188" s="1" t="n">
        <f aca="false">N(AO187)+IF(AND(OR(R188="follow-up",R188="Evaluation",R188="tbd",R188="In evaluation"),B188&lt;&gt;""),1,0)</f>
        <v>1</v>
      </c>
      <c r="AP188" s="1" t="n">
        <f aca="false">IF(B188="",0,IF(COUNTIF('⚖️ Wahrscheinlichkeit'!$J$17:$J$24,R188)&gt;0,1,0))</f>
        <v>0</v>
      </c>
      <c r="AQ188" s="1" t="n">
        <f aca="false">IF(B188="",0,IF(AND(ISNUMBER(S188),COUNTIF('⚖️ Wahrscheinlichkeit'!$B$6:$B$11,S188)&gt;0),1,0))</f>
        <v>0</v>
      </c>
      <c r="AR188" s="1" t="n">
        <f aca="false">IF(B188="",0,IF(AND(COUNT(J188:M188)=4,SUM(J188:M188)&gt;0),1,0))</f>
        <v>0</v>
      </c>
      <c r="AS188" s="1" t="n">
        <f aca="false">IF(B188="",0,IF(AND(AF188&lt;&gt;"",AG188&lt;&gt;""),1,0))</f>
        <v>0</v>
      </c>
      <c r="AT188" s="1" t="n">
        <f aca="false">IF(AND(R188="WON",AS188=1,AR188=1),1,0)</f>
        <v>0</v>
      </c>
      <c r="AU188" s="1" t="n">
        <f aca="false">IF(B188="",0,IF(AD188="Alternative – zählt nicht",0,1))</f>
        <v>0</v>
      </c>
      <c r="AV188" s="1" t="n">
        <f aca="false">IF(B188="",0,IF(COUNTIF($B$6:$B$860,B188)&gt;1,1,0))</f>
        <v>0</v>
      </c>
      <c r="AX188" s="269" t="str">
        <f aca="false">IF(AY188=1,DATE(YEAR(O188),MONTH(O188),1),"")</f>
        <v/>
      </c>
      <c r="AY188" s="1" t="n">
        <f aca="false">IF(B188="",0,IF(AND(ISNUMBER(O188),ISNUMBER(P188)),IF(P188&gt;=O188,1,0),0))</f>
        <v>0</v>
      </c>
      <c r="AZ188" s="1" t="n">
        <f aca="false">IF(ISNUMBER(Y188),Y188,0)</f>
        <v>0</v>
      </c>
      <c r="BA188" s="1" t="str">
        <f aca="false">IF(B188="","",IF(AND(R188="WON",AS188=0),"⛔ Beleg fehlt · ","")&amp;IF(AND(R188="WON",AR188=0),"⛔ Einstand fehlt · ","")&amp;IF(AND(R188&lt;&gt;"WON",AR188=0),"○ Einstand offen · ","")&amp;IF(AND(R188="WON",AB188=""),"⛔ Vertragsart fehlt · ","")&amp;IF(AND(ISNUMBER(O188),ISNUMBER(P188)),IF(P188&lt;O188,"⚠ Ende vor Start · ",""),"")&amp;IF(AND(R188="WON",AY188=0,NOT(AND(ISNUMBER(O188),ISNUMBER(P188)))),"⛔ Zeitraum fehlt · ","")&amp;IF(AND(R188&lt;&gt;"WON",AY188=0,NOT(AND(ISNUMBER(O188),ISNUMBER(P188)))),"○ Zeitraum offen · ",""))</f>
        <v/>
      </c>
      <c r="BB188" s="1" t="str">
        <f aca="false">IF(B188="","",IF(AND(R188="WON",AS188=0),"⛔ Nachweis fehlt",IF(AND(ISNUMBER(O188),ISNUMBER(P188),P188&lt;O188),"⚠ Ende vor Start",IF(AND(R188="WON",AY188=0),"⛔ Zeitraum fehlt",IF(AR188=0,"○ Einstand offen",IF(AY188=0,"○ Zeitraum offen",IF(R188="WON","✅ belegt","✔ erfasst")))))))</f>
        <v/>
      </c>
    </row>
    <row r="189" customFormat="false" ht="15" hidden="false" customHeight="true" outlineLevel="0" collapsed="false">
      <c r="G189" s="1" t="str">
        <f aca="false">IF(B189="","",IF(AY189=1,P189-O189+1,IF(AW189="","",AW189)))</f>
        <v/>
      </c>
      <c r="I189" s="270"/>
      <c r="J189" s="270"/>
      <c r="K189" s="270"/>
      <c r="L189" s="270"/>
      <c r="M189" s="270"/>
      <c r="N189" s="270"/>
      <c r="O189" s="263"/>
      <c r="P189" s="263"/>
      <c r="Q189" s="270" t="str">
        <f aca="false">IF(AND(ISNUMBER(I189),ISNUMBER(S189)),I189*AJ189,IF(OR(I189&lt;&gt;"",S189&lt;&gt;""),"tbd",""))</f>
        <v/>
      </c>
      <c r="S189" s="268"/>
      <c r="Y189" s="275" t="str">
        <f aca="false">IF(ISNUMBER(I189),I189/Netto_Faktor,"")</f>
        <v/>
      </c>
      <c r="Z189" s="275" t="str">
        <f aca="false">IF(B189="","",IF(COUNT(J189:N189)=0,"",SUM(J189:N189)))</f>
        <v/>
      </c>
      <c r="AA189" s="266"/>
      <c r="AB189" s="266"/>
      <c r="AC189" s="266"/>
      <c r="AD189" s="266"/>
      <c r="AE189" s="266"/>
      <c r="AF189" s="266"/>
      <c r="AG189" s="267"/>
      <c r="AH189" s="266" t="str">
        <f aca="false">IF(B189="","",IF(BA189="",IF(R189="WON","✅ belegt &amp; vollständig","✔ vollständig"),LEFT(BA189,LEN(BA189)-3)))</f>
        <v/>
      </c>
      <c r="AJ189" s="268" t="n">
        <f aca="false">IF(ISNUMBER(S189),IFERROR(LOOKUP(IF(S189&lt;=1,S189,S189/100),'⚖️ Wahrscheinlichkeit'!$B$17:$B$21,'⚖️ Wahrscheinlichkeit'!$D$17:$D$21),0),0)</f>
        <v>0</v>
      </c>
      <c r="AK189" s="1" t="str">
        <f aca="false">IF(AND(R189="WON",ISNUMBER(I189)),AL189+(861-ROW())*0.000001,"")</f>
        <v/>
      </c>
      <c r="AL189" s="1" t="n">
        <f aca="false">IFERROR(I189*1,0)</f>
        <v>0</v>
      </c>
      <c r="AM189" s="1" t="n">
        <f aca="false">N(AM188)+IF(AND(R189="WON",B189&lt;&gt;""),1,0)</f>
        <v>12</v>
      </c>
      <c r="AN189" s="1" t="n">
        <f aca="false">N(AN188)+IF(AND(OR(R189="offered",R189="to be offered",R189="on hold"),B189&lt;&gt;""),1,0)</f>
        <v>33</v>
      </c>
      <c r="AO189" s="1" t="n">
        <f aca="false">N(AO188)+IF(AND(OR(R189="follow-up",R189="Evaluation",R189="tbd",R189="In evaluation"),B189&lt;&gt;""),1,0)</f>
        <v>1</v>
      </c>
      <c r="AP189" s="1" t="n">
        <f aca="false">IF(B189="",0,IF(COUNTIF('⚖️ Wahrscheinlichkeit'!$J$17:$J$24,R189)&gt;0,1,0))</f>
        <v>0</v>
      </c>
      <c r="AQ189" s="1" t="n">
        <f aca="false">IF(B189="",0,IF(AND(ISNUMBER(S189),COUNTIF('⚖️ Wahrscheinlichkeit'!$B$6:$B$11,S189)&gt;0),1,0))</f>
        <v>0</v>
      </c>
      <c r="AR189" s="1" t="n">
        <f aca="false">IF(B189="",0,IF(AND(COUNT(J189:M189)=4,SUM(J189:M189)&gt;0),1,0))</f>
        <v>0</v>
      </c>
      <c r="AS189" s="1" t="n">
        <f aca="false">IF(B189="",0,IF(AND(AF189&lt;&gt;"",AG189&lt;&gt;""),1,0))</f>
        <v>0</v>
      </c>
      <c r="AT189" s="1" t="n">
        <f aca="false">IF(AND(R189="WON",AS189=1,AR189=1),1,0)</f>
        <v>0</v>
      </c>
      <c r="AU189" s="1" t="n">
        <f aca="false">IF(B189="",0,IF(AD189="Alternative – zählt nicht",0,1))</f>
        <v>0</v>
      </c>
      <c r="AV189" s="1" t="n">
        <f aca="false">IF(B189="",0,IF(COUNTIF($B$6:$B$860,B189)&gt;1,1,0))</f>
        <v>0</v>
      </c>
      <c r="AX189" s="269" t="str">
        <f aca="false">IF(AY189=1,DATE(YEAR(O189),MONTH(O189),1),"")</f>
        <v/>
      </c>
      <c r="AY189" s="1" t="n">
        <f aca="false">IF(B189="",0,IF(AND(ISNUMBER(O189),ISNUMBER(P189)),IF(P189&gt;=O189,1,0),0))</f>
        <v>0</v>
      </c>
      <c r="AZ189" s="1" t="n">
        <f aca="false">IF(ISNUMBER(Y189),Y189,0)</f>
        <v>0</v>
      </c>
      <c r="BA189" s="1" t="str">
        <f aca="false">IF(B189="","",IF(AND(R189="WON",AS189=0),"⛔ Beleg fehlt · ","")&amp;IF(AND(R189="WON",AR189=0),"⛔ Einstand fehlt · ","")&amp;IF(AND(R189&lt;&gt;"WON",AR189=0),"○ Einstand offen · ","")&amp;IF(AND(R189="WON",AB189=""),"⛔ Vertragsart fehlt · ","")&amp;IF(AND(ISNUMBER(O189),ISNUMBER(P189)),IF(P189&lt;O189,"⚠ Ende vor Start · ",""),"")&amp;IF(AND(R189="WON",AY189=0,NOT(AND(ISNUMBER(O189),ISNUMBER(P189)))),"⛔ Zeitraum fehlt · ","")&amp;IF(AND(R189&lt;&gt;"WON",AY189=0,NOT(AND(ISNUMBER(O189),ISNUMBER(P189)))),"○ Zeitraum offen · ",""))</f>
        <v/>
      </c>
      <c r="BB189" s="1" t="str">
        <f aca="false">IF(B189="","",IF(AND(R189="WON",AS189=0),"⛔ Nachweis fehlt",IF(AND(ISNUMBER(O189),ISNUMBER(P189),P189&lt;O189),"⚠ Ende vor Start",IF(AND(R189="WON",AY189=0),"⛔ Zeitraum fehlt",IF(AR189=0,"○ Einstand offen",IF(AY189=0,"○ Zeitraum offen",IF(R189="WON","✅ belegt","✔ erfasst")))))))</f>
        <v/>
      </c>
    </row>
    <row r="190" customFormat="false" ht="15" hidden="false" customHeight="true" outlineLevel="0" collapsed="false">
      <c r="G190" s="1" t="str">
        <f aca="false">IF(B190="","",IF(AY190=1,P190-O190+1,IF(AW190="","",AW190)))</f>
        <v/>
      </c>
      <c r="I190" s="270"/>
      <c r="J190" s="270"/>
      <c r="K190" s="270"/>
      <c r="L190" s="270"/>
      <c r="M190" s="270"/>
      <c r="N190" s="270"/>
      <c r="O190" s="263"/>
      <c r="P190" s="263"/>
      <c r="Q190" s="270" t="str">
        <f aca="false">IF(AND(ISNUMBER(I190),ISNUMBER(S190)),I190*AJ190,IF(OR(I190&lt;&gt;"",S190&lt;&gt;""),"tbd",""))</f>
        <v/>
      </c>
      <c r="S190" s="268"/>
      <c r="Y190" s="275" t="str">
        <f aca="false">IF(ISNUMBER(I190),I190/Netto_Faktor,"")</f>
        <v/>
      </c>
      <c r="Z190" s="275" t="str">
        <f aca="false">IF(B190="","",IF(COUNT(J190:N190)=0,"",SUM(J190:N190)))</f>
        <v/>
      </c>
      <c r="AA190" s="266"/>
      <c r="AB190" s="266"/>
      <c r="AC190" s="266"/>
      <c r="AD190" s="266"/>
      <c r="AE190" s="266"/>
      <c r="AF190" s="266"/>
      <c r="AG190" s="267"/>
      <c r="AH190" s="266" t="str">
        <f aca="false">IF(B190="","",IF(BA190="",IF(R190="WON","✅ belegt &amp; vollständig","✔ vollständig"),LEFT(BA190,LEN(BA190)-3)))</f>
        <v/>
      </c>
      <c r="AJ190" s="268" t="n">
        <f aca="false">IF(ISNUMBER(S190),IFERROR(LOOKUP(IF(S190&lt;=1,S190,S190/100),'⚖️ Wahrscheinlichkeit'!$B$17:$B$21,'⚖️ Wahrscheinlichkeit'!$D$17:$D$21),0),0)</f>
        <v>0</v>
      </c>
      <c r="AK190" s="1" t="str">
        <f aca="false">IF(AND(R190="WON",ISNUMBER(I190)),AL190+(861-ROW())*0.000001,"")</f>
        <v/>
      </c>
      <c r="AL190" s="1" t="n">
        <f aca="false">IFERROR(I190*1,0)</f>
        <v>0</v>
      </c>
      <c r="AM190" s="1" t="n">
        <f aca="false">N(AM189)+IF(AND(R190="WON",B190&lt;&gt;""),1,0)</f>
        <v>12</v>
      </c>
      <c r="AN190" s="1" t="n">
        <f aca="false">N(AN189)+IF(AND(OR(R190="offered",R190="to be offered",R190="on hold"),B190&lt;&gt;""),1,0)</f>
        <v>33</v>
      </c>
      <c r="AO190" s="1" t="n">
        <f aca="false">N(AO189)+IF(AND(OR(R190="follow-up",R190="Evaluation",R190="tbd",R190="In evaluation"),B190&lt;&gt;""),1,0)</f>
        <v>1</v>
      </c>
      <c r="AP190" s="1" t="n">
        <f aca="false">IF(B190="",0,IF(COUNTIF('⚖️ Wahrscheinlichkeit'!$J$17:$J$24,R190)&gt;0,1,0))</f>
        <v>0</v>
      </c>
      <c r="AQ190" s="1" t="n">
        <f aca="false">IF(B190="",0,IF(AND(ISNUMBER(S190),COUNTIF('⚖️ Wahrscheinlichkeit'!$B$6:$B$11,S190)&gt;0),1,0))</f>
        <v>0</v>
      </c>
      <c r="AR190" s="1" t="n">
        <f aca="false">IF(B190="",0,IF(AND(COUNT(J190:M190)=4,SUM(J190:M190)&gt;0),1,0))</f>
        <v>0</v>
      </c>
      <c r="AS190" s="1" t="n">
        <f aca="false">IF(B190="",0,IF(AND(AF190&lt;&gt;"",AG190&lt;&gt;""),1,0))</f>
        <v>0</v>
      </c>
      <c r="AT190" s="1" t="n">
        <f aca="false">IF(AND(R190="WON",AS190=1,AR190=1),1,0)</f>
        <v>0</v>
      </c>
      <c r="AU190" s="1" t="n">
        <f aca="false">IF(B190="",0,IF(AD190="Alternative – zählt nicht",0,1))</f>
        <v>0</v>
      </c>
      <c r="AV190" s="1" t="n">
        <f aca="false">IF(B190="",0,IF(COUNTIF($B$6:$B$860,B190)&gt;1,1,0))</f>
        <v>0</v>
      </c>
      <c r="AX190" s="269" t="str">
        <f aca="false">IF(AY190=1,DATE(YEAR(O190),MONTH(O190),1),"")</f>
        <v/>
      </c>
      <c r="AY190" s="1" t="n">
        <f aca="false">IF(B190="",0,IF(AND(ISNUMBER(O190),ISNUMBER(P190)),IF(P190&gt;=O190,1,0),0))</f>
        <v>0</v>
      </c>
      <c r="AZ190" s="1" t="n">
        <f aca="false">IF(ISNUMBER(Y190),Y190,0)</f>
        <v>0</v>
      </c>
      <c r="BA190" s="1" t="str">
        <f aca="false">IF(B190="","",IF(AND(R190="WON",AS190=0),"⛔ Beleg fehlt · ","")&amp;IF(AND(R190="WON",AR190=0),"⛔ Einstand fehlt · ","")&amp;IF(AND(R190&lt;&gt;"WON",AR190=0),"○ Einstand offen · ","")&amp;IF(AND(R190="WON",AB190=""),"⛔ Vertragsart fehlt · ","")&amp;IF(AND(ISNUMBER(O190),ISNUMBER(P190)),IF(P190&lt;O190,"⚠ Ende vor Start · ",""),"")&amp;IF(AND(R190="WON",AY190=0,NOT(AND(ISNUMBER(O190),ISNUMBER(P190)))),"⛔ Zeitraum fehlt · ","")&amp;IF(AND(R190&lt;&gt;"WON",AY190=0,NOT(AND(ISNUMBER(O190),ISNUMBER(P190)))),"○ Zeitraum offen · ",""))</f>
        <v/>
      </c>
      <c r="BB190" s="1" t="str">
        <f aca="false">IF(B190="","",IF(AND(R190="WON",AS190=0),"⛔ Nachweis fehlt",IF(AND(ISNUMBER(O190),ISNUMBER(P190),P190&lt;O190),"⚠ Ende vor Start",IF(AND(R190="WON",AY190=0),"⛔ Zeitraum fehlt",IF(AR190=0,"○ Einstand offen",IF(AY190=0,"○ Zeitraum offen",IF(R190="WON","✅ belegt","✔ erfasst")))))))</f>
        <v/>
      </c>
    </row>
    <row r="191" customFormat="false" ht="15" hidden="false" customHeight="true" outlineLevel="0" collapsed="false">
      <c r="G191" s="1" t="str">
        <f aca="false">IF(B191="","",IF(AY191=1,P191-O191+1,IF(AW191="","",AW191)))</f>
        <v/>
      </c>
      <c r="I191" s="270"/>
      <c r="J191" s="270"/>
      <c r="K191" s="270"/>
      <c r="L191" s="270"/>
      <c r="M191" s="270"/>
      <c r="N191" s="270"/>
      <c r="O191" s="263"/>
      <c r="P191" s="263"/>
      <c r="Q191" s="270" t="str">
        <f aca="false">IF(AND(ISNUMBER(I191),ISNUMBER(S191)),I191*AJ191,IF(OR(I191&lt;&gt;"",S191&lt;&gt;""),"tbd",""))</f>
        <v/>
      </c>
      <c r="S191" s="268"/>
      <c r="Y191" s="275" t="str">
        <f aca="false">IF(ISNUMBER(I191),I191/Netto_Faktor,"")</f>
        <v/>
      </c>
      <c r="Z191" s="275" t="str">
        <f aca="false">IF(B191="","",IF(COUNT(J191:N191)=0,"",SUM(J191:N191)))</f>
        <v/>
      </c>
      <c r="AA191" s="266"/>
      <c r="AB191" s="266"/>
      <c r="AC191" s="266"/>
      <c r="AD191" s="266"/>
      <c r="AE191" s="266"/>
      <c r="AF191" s="266"/>
      <c r="AG191" s="267"/>
      <c r="AH191" s="266" t="str">
        <f aca="false">IF(B191="","",IF(BA191="",IF(R191="WON","✅ belegt &amp; vollständig","✔ vollständig"),LEFT(BA191,LEN(BA191)-3)))</f>
        <v/>
      </c>
      <c r="AJ191" s="268" t="n">
        <f aca="false">IF(ISNUMBER(S191),IFERROR(LOOKUP(IF(S191&lt;=1,S191,S191/100),'⚖️ Wahrscheinlichkeit'!$B$17:$B$21,'⚖️ Wahrscheinlichkeit'!$D$17:$D$21),0),0)</f>
        <v>0</v>
      </c>
      <c r="AK191" s="1" t="str">
        <f aca="false">IF(AND(R191="WON",ISNUMBER(I191)),AL191+(861-ROW())*0.000001,"")</f>
        <v/>
      </c>
      <c r="AL191" s="1" t="n">
        <f aca="false">IFERROR(I191*1,0)</f>
        <v>0</v>
      </c>
      <c r="AM191" s="1" t="n">
        <f aca="false">N(AM190)+IF(AND(R191="WON",B191&lt;&gt;""),1,0)</f>
        <v>12</v>
      </c>
      <c r="AN191" s="1" t="n">
        <f aca="false">N(AN190)+IF(AND(OR(R191="offered",R191="to be offered",R191="on hold"),B191&lt;&gt;""),1,0)</f>
        <v>33</v>
      </c>
      <c r="AO191" s="1" t="n">
        <f aca="false">N(AO190)+IF(AND(OR(R191="follow-up",R191="Evaluation",R191="tbd",R191="In evaluation"),B191&lt;&gt;""),1,0)</f>
        <v>1</v>
      </c>
      <c r="AP191" s="1" t="n">
        <f aca="false">IF(B191="",0,IF(COUNTIF('⚖️ Wahrscheinlichkeit'!$J$17:$J$24,R191)&gt;0,1,0))</f>
        <v>0</v>
      </c>
      <c r="AQ191" s="1" t="n">
        <f aca="false">IF(B191="",0,IF(AND(ISNUMBER(S191),COUNTIF('⚖️ Wahrscheinlichkeit'!$B$6:$B$11,S191)&gt;0),1,0))</f>
        <v>0</v>
      </c>
      <c r="AR191" s="1" t="n">
        <f aca="false">IF(B191="",0,IF(AND(COUNT(J191:M191)=4,SUM(J191:M191)&gt;0),1,0))</f>
        <v>0</v>
      </c>
      <c r="AS191" s="1" t="n">
        <f aca="false">IF(B191="",0,IF(AND(AF191&lt;&gt;"",AG191&lt;&gt;""),1,0))</f>
        <v>0</v>
      </c>
      <c r="AT191" s="1" t="n">
        <f aca="false">IF(AND(R191="WON",AS191=1,AR191=1),1,0)</f>
        <v>0</v>
      </c>
      <c r="AU191" s="1" t="n">
        <f aca="false">IF(B191="",0,IF(AD191="Alternative – zählt nicht",0,1))</f>
        <v>0</v>
      </c>
      <c r="AV191" s="1" t="n">
        <f aca="false">IF(B191="",0,IF(COUNTIF($B$6:$B$860,B191)&gt;1,1,0))</f>
        <v>0</v>
      </c>
      <c r="AX191" s="269" t="str">
        <f aca="false">IF(AY191=1,DATE(YEAR(O191),MONTH(O191),1),"")</f>
        <v/>
      </c>
      <c r="AY191" s="1" t="n">
        <f aca="false">IF(B191="",0,IF(AND(ISNUMBER(O191),ISNUMBER(P191)),IF(P191&gt;=O191,1,0),0))</f>
        <v>0</v>
      </c>
      <c r="AZ191" s="1" t="n">
        <f aca="false">IF(ISNUMBER(Y191),Y191,0)</f>
        <v>0</v>
      </c>
      <c r="BA191" s="1" t="str">
        <f aca="false">IF(B191="","",IF(AND(R191="WON",AS191=0),"⛔ Beleg fehlt · ","")&amp;IF(AND(R191="WON",AR191=0),"⛔ Einstand fehlt · ","")&amp;IF(AND(R191&lt;&gt;"WON",AR191=0),"○ Einstand offen · ","")&amp;IF(AND(R191="WON",AB191=""),"⛔ Vertragsart fehlt · ","")&amp;IF(AND(ISNUMBER(O191),ISNUMBER(P191)),IF(P191&lt;O191,"⚠ Ende vor Start · ",""),"")&amp;IF(AND(R191="WON",AY191=0,NOT(AND(ISNUMBER(O191),ISNUMBER(P191)))),"⛔ Zeitraum fehlt · ","")&amp;IF(AND(R191&lt;&gt;"WON",AY191=0,NOT(AND(ISNUMBER(O191),ISNUMBER(P191)))),"○ Zeitraum offen · ",""))</f>
        <v/>
      </c>
      <c r="BB191" s="1" t="str">
        <f aca="false">IF(B191="","",IF(AND(R191="WON",AS191=0),"⛔ Nachweis fehlt",IF(AND(ISNUMBER(O191),ISNUMBER(P191),P191&lt;O191),"⚠ Ende vor Start",IF(AND(R191="WON",AY191=0),"⛔ Zeitraum fehlt",IF(AR191=0,"○ Einstand offen",IF(AY191=0,"○ Zeitraum offen",IF(R191="WON","✅ belegt","✔ erfasst")))))))</f>
        <v/>
      </c>
    </row>
    <row r="192" customFormat="false" ht="15" hidden="false" customHeight="true" outlineLevel="0" collapsed="false">
      <c r="G192" s="1" t="str">
        <f aca="false">IF(B192="","",IF(AY192=1,P192-O192+1,IF(AW192="","",AW192)))</f>
        <v/>
      </c>
      <c r="I192" s="270"/>
      <c r="J192" s="270"/>
      <c r="K192" s="270"/>
      <c r="L192" s="270"/>
      <c r="M192" s="270"/>
      <c r="N192" s="270"/>
      <c r="O192" s="263"/>
      <c r="P192" s="263"/>
      <c r="Q192" s="270" t="str">
        <f aca="false">IF(AND(ISNUMBER(I192),ISNUMBER(S192)),I192*AJ192,IF(OR(I192&lt;&gt;"",S192&lt;&gt;""),"tbd",""))</f>
        <v/>
      </c>
      <c r="S192" s="268"/>
      <c r="Y192" s="275" t="str">
        <f aca="false">IF(ISNUMBER(I192),I192/Netto_Faktor,"")</f>
        <v/>
      </c>
      <c r="Z192" s="275" t="str">
        <f aca="false">IF(B192="","",IF(COUNT(J192:N192)=0,"",SUM(J192:N192)))</f>
        <v/>
      </c>
      <c r="AA192" s="266"/>
      <c r="AB192" s="266"/>
      <c r="AC192" s="266"/>
      <c r="AD192" s="266"/>
      <c r="AE192" s="266"/>
      <c r="AF192" s="266"/>
      <c r="AG192" s="267"/>
      <c r="AH192" s="266" t="str">
        <f aca="false">IF(B192="","",IF(BA192="",IF(R192="WON","✅ belegt &amp; vollständig","✔ vollständig"),LEFT(BA192,LEN(BA192)-3)))</f>
        <v/>
      </c>
      <c r="AJ192" s="268" t="n">
        <f aca="false">IF(ISNUMBER(S192),IFERROR(LOOKUP(IF(S192&lt;=1,S192,S192/100),'⚖️ Wahrscheinlichkeit'!$B$17:$B$21,'⚖️ Wahrscheinlichkeit'!$D$17:$D$21),0),0)</f>
        <v>0</v>
      </c>
      <c r="AK192" s="1" t="str">
        <f aca="false">IF(AND(R192="WON",ISNUMBER(I192)),AL192+(861-ROW())*0.000001,"")</f>
        <v/>
      </c>
      <c r="AL192" s="1" t="n">
        <f aca="false">IFERROR(I192*1,0)</f>
        <v>0</v>
      </c>
      <c r="AM192" s="1" t="n">
        <f aca="false">N(AM191)+IF(AND(R192="WON",B192&lt;&gt;""),1,0)</f>
        <v>12</v>
      </c>
      <c r="AN192" s="1" t="n">
        <f aca="false">N(AN191)+IF(AND(OR(R192="offered",R192="to be offered",R192="on hold"),B192&lt;&gt;""),1,0)</f>
        <v>33</v>
      </c>
      <c r="AO192" s="1" t="n">
        <f aca="false">N(AO191)+IF(AND(OR(R192="follow-up",R192="Evaluation",R192="tbd",R192="In evaluation"),B192&lt;&gt;""),1,0)</f>
        <v>1</v>
      </c>
      <c r="AP192" s="1" t="n">
        <f aca="false">IF(B192="",0,IF(COUNTIF('⚖️ Wahrscheinlichkeit'!$J$17:$J$24,R192)&gt;0,1,0))</f>
        <v>0</v>
      </c>
      <c r="AQ192" s="1" t="n">
        <f aca="false">IF(B192="",0,IF(AND(ISNUMBER(S192),COUNTIF('⚖️ Wahrscheinlichkeit'!$B$6:$B$11,S192)&gt;0),1,0))</f>
        <v>0</v>
      </c>
      <c r="AR192" s="1" t="n">
        <f aca="false">IF(B192="",0,IF(AND(COUNT(J192:M192)=4,SUM(J192:M192)&gt;0),1,0))</f>
        <v>0</v>
      </c>
      <c r="AS192" s="1" t="n">
        <f aca="false">IF(B192="",0,IF(AND(AF192&lt;&gt;"",AG192&lt;&gt;""),1,0))</f>
        <v>0</v>
      </c>
      <c r="AT192" s="1" t="n">
        <f aca="false">IF(AND(R192="WON",AS192=1,AR192=1),1,0)</f>
        <v>0</v>
      </c>
      <c r="AU192" s="1" t="n">
        <f aca="false">IF(B192="",0,IF(AD192="Alternative – zählt nicht",0,1))</f>
        <v>0</v>
      </c>
      <c r="AV192" s="1" t="n">
        <f aca="false">IF(B192="",0,IF(COUNTIF($B$6:$B$860,B192)&gt;1,1,0))</f>
        <v>0</v>
      </c>
      <c r="AX192" s="269" t="str">
        <f aca="false">IF(AY192=1,DATE(YEAR(O192),MONTH(O192),1),"")</f>
        <v/>
      </c>
      <c r="AY192" s="1" t="n">
        <f aca="false">IF(B192="",0,IF(AND(ISNUMBER(O192),ISNUMBER(P192)),IF(P192&gt;=O192,1,0),0))</f>
        <v>0</v>
      </c>
      <c r="AZ192" s="1" t="n">
        <f aca="false">IF(ISNUMBER(Y192),Y192,0)</f>
        <v>0</v>
      </c>
      <c r="BA192" s="1" t="str">
        <f aca="false">IF(B192="","",IF(AND(R192="WON",AS192=0),"⛔ Beleg fehlt · ","")&amp;IF(AND(R192="WON",AR192=0),"⛔ Einstand fehlt · ","")&amp;IF(AND(R192&lt;&gt;"WON",AR192=0),"○ Einstand offen · ","")&amp;IF(AND(R192="WON",AB192=""),"⛔ Vertragsart fehlt · ","")&amp;IF(AND(ISNUMBER(O192),ISNUMBER(P192)),IF(P192&lt;O192,"⚠ Ende vor Start · ",""),"")&amp;IF(AND(R192="WON",AY192=0,NOT(AND(ISNUMBER(O192),ISNUMBER(P192)))),"⛔ Zeitraum fehlt · ","")&amp;IF(AND(R192&lt;&gt;"WON",AY192=0,NOT(AND(ISNUMBER(O192),ISNUMBER(P192)))),"○ Zeitraum offen · ",""))</f>
        <v/>
      </c>
      <c r="BB192" s="1" t="str">
        <f aca="false">IF(B192="","",IF(AND(R192="WON",AS192=0),"⛔ Nachweis fehlt",IF(AND(ISNUMBER(O192),ISNUMBER(P192),P192&lt;O192),"⚠ Ende vor Start",IF(AND(R192="WON",AY192=0),"⛔ Zeitraum fehlt",IF(AR192=0,"○ Einstand offen",IF(AY192=0,"○ Zeitraum offen",IF(R192="WON","✅ belegt","✔ erfasst")))))))</f>
        <v/>
      </c>
    </row>
    <row r="193" customFormat="false" ht="15" hidden="false" customHeight="true" outlineLevel="0" collapsed="false">
      <c r="G193" s="1" t="str">
        <f aca="false">IF(B193="","",IF(AY193=1,P193-O193+1,IF(AW193="","",AW193)))</f>
        <v/>
      </c>
      <c r="I193" s="270"/>
      <c r="J193" s="270"/>
      <c r="K193" s="270"/>
      <c r="L193" s="270"/>
      <c r="M193" s="270"/>
      <c r="N193" s="270"/>
      <c r="O193" s="263"/>
      <c r="P193" s="263"/>
      <c r="Q193" s="270" t="str">
        <f aca="false">IF(AND(ISNUMBER(I193),ISNUMBER(S193)),I193*AJ193,IF(OR(I193&lt;&gt;"",S193&lt;&gt;""),"tbd",""))</f>
        <v/>
      </c>
      <c r="S193" s="268"/>
      <c r="Y193" s="275" t="str">
        <f aca="false">IF(ISNUMBER(I193),I193/Netto_Faktor,"")</f>
        <v/>
      </c>
      <c r="Z193" s="275" t="str">
        <f aca="false">IF(B193="","",IF(COUNT(J193:N193)=0,"",SUM(J193:N193)))</f>
        <v/>
      </c>
      <c r="AA193" s="266"/>
      <c r="AB193" s="266"/>
      <c r="AC193" s="266"/>
      <c r="AD193" s="266"/>
      <c r="AE193" s="266"/>
      <c r="AF193" s="266"/>
      <c r="AG193" s="267"/>
      <c r="AH193" s="266" t="str">
        <f aca="false">IF(B193="","",IF(BA193="",IF(R193="WON","✅ belegt &amp; vollständig","✔ vollständig"),LEFT(BA193,LEN(BA193)-3)))</f>
        <v/>
      </c>
      <c r="AJ193" s="268" t="n">
        <f aca="false">IF(ISNUMBER(S193),IFERROR(LOOKUP(IF(S193&lt;=1,S193,S193/100),'⚖️ Wahrscheinlichkeit'!$B$17:$B$21,'⚖️ Wahrscheinlichkeit'!$D$17:$D$21),0),0)</f>
        <v>0</v>
      </c>
      <c r="AK193" s="1" t="str">
        <f aca="false">IF(AND(R193="WON",ISNUMBER(I193)),AL193+(861-ROW())*0.000001,"")</f>
        <v/>
      </c>
      <c r="AL193" s="1" t="n">
        <f aca="false">IFERROR(I193*1,0)</f>
        <v>0</v>
      </c>
      <c r="AM193" s="1" t="n">
        <f aca="false">N(AM192)+IF(AND(R193="WON",B193&lt;&gt;""),1,0)</f>
        <v>12</v>
      </c>
      <c r="AN193" s="1" t="n">
        <f aca="false">N(AN192)+IF(AND(OR(R193="offered",R193="to be offered",R193="on hold"),B193&lt;&gt;""),1,0)</f>
        <v>33</v>
      </c>
      <c r="AO193" s="1" t="n">
        <f aca="false">N(AO192)+IF(AND(OR(R193="follow-up",R193="Evaluation",R193="tbd",R193="In evaluation"),B193&lt;&gt;""),1,0)</f>
        <v>1</v>
      </c>
      <c r="AP193" s="1" t="n">
        <f aca="false">IF(B193="",0,IF(COUNTIF('⚖️ Wahrscheinlichkeit'!$J$17:$J$24,R193)&gt;0,1,0))</f>
        <v>0</v>
      </c>
      <c r="AQ193" s="1" t="n">
        <f aca="false">IF(B193="",0,IF(AND(ISNUMBER(S193),COUNTIF('⚖️ Wahrscheinlichkeit'!$B$6:$B$11,S193)&gt;0),1,0))</f>
        <v>0</v>
      </c>
      <c r="AR193" s="1" t="n">
        <f aca="false">IF(B193="",0,IF(AND(COUNT(J193:M193)=4,SUM(J193:M193)&gt;0),1,0))</f>
        <v>0</v>
      </c>
      <c r="AS193" s="1" t="n">
        <f aca="false">IF(B193="",0,IF(AND(AF193&lt;&gt;"",AG193&lt;&gt;""),1,0))</f>
        <v>0</v>
      </c>
      <c r="AT193" s="1" t="n">
        <f aca="false">IF(AND(R193="WON",AS193=1,AR193=1),1,0)</f>
        <v>0</v>
      </c>
      <c r="AU193" s="1" t="n">
        <f aca="false">IF(B193="",0,IF(AD193="Alternative – zählt nicht",0,1))</f>
        <v>0</v>
      </c>
      <c r="AV193" s="1" t="n">
        <f aca="false">IF(B193="",0,IF(COUNTIF($B$6:$B$860,B193)&gt;1,1,0))</f>
        <v>0</v>
      </c>
      <c r="AX193" s="269" t="str">
        <f aca="false">IF(AY193=1,DATE(YEAR(O193),MONTH(O193),1),"")</f>
        <v/>
      </c>
      <c r="AY193" s="1" t="n">
        <f aca="false">IF(B193="",0,IF(AND(ISNUMBER(O193),ISNUMBER(P193)),IF(P193&gt;=O193,1,0),0))</f>
        <v>0</v>
      </c>
      <c r="AZ193" s="1" t="n">
        <f aca="false">IF(ISNUMBER(Y193),Y193,0)</f>
        <v>0</v>
      </c>
      <c r="BA193" s="1" t="str">
        <f aca="false">IF(B193="","",IF(AND(R193="WON",AS193=0),"⛔ Beleg fehlt · ","")&amp;IF(AND(R193="WON",AR193=0),"⛔ Einstand fehlt · ","")&amp;IF(AND(R193&lt;&gt;"WON",AR193=0),"○ Einstand offen · ","")&amp;IF(AND(R193="WON",AB193=""),"⛔ Vertragsart fehlt · ","")&amp;IF(AND(ISNUMBER(O193),ISNUMBER(P193)),IF(P193&lt;O193,"⚠ Ende vor Start · ",""),"")&amp;IF(AND(R193="WON",AY193=0,NOT(AND(ISNUMBER(O193),ISNUMBER(P193)))),"⛔ Zeitraum fehlt · ","")&amp;IF(AND(R193&lt;&gt;"WON",AY193=0,NOT(AND(ISNUMBER(O193),ISNUMBER(P193)))),"○ Zeitraum offen · ",""))</f>
        <v/>
      </c>
      <c r="BB193" s="1" t="str">
        <f aca="false">IF(B193="","",IF(AND(R193="WON",AS193=0),"⛔ Nachweis fehlt",IF(AND(ISNUMBER(O193),ISNUMBER(P193),P193&lt;O193),"⚠ Ende vor Start",IF(AND(R193="WON",AY193=0),"⛔ Zeitraum fehlt",IF(AR193=0,"○ Einstand offen",IF(AY193=0,"○ Zeitraum offen",IF(R193="WON","✅ belegt","✔ erfasst")))))))</f>
        <v/>
      </c>
    </row>
    <row r="194" customFormat="false" ht="15" hidden="false" customHeight="true" outlineLevel="0" collapsed="false">
      <c r="G194" s="1" t="str">
        <f aca="false">IF(B194="","",IF(AY194=1,P194-O194+1,IF(AW194="","",AW194)))</f>
        <v/>
      </c>
      <c r="I194" s="270"/>
      <c r="J194" s="270"/>
      <c r="K194" s="270"/>
      <c r="L194" s="270"/>
      <c r="M194" s="270"/>
      <c r="N194" s="270"/>
      <c r="O194" s="263"/>
      <c r="P194" s="263"/>
      <c r="Q194" s="270" t="str">
        <f aca="false">IF(AND(ISNUMBER(I194),ISNUMBER(S194)),I194*AJ194,IF(OR(I194&lt;&gt;"",S194&lt;&gt;""),"tbd",""))</f>
        <v/>
      </c>
      <c r="S194" s="268"/>
      <c r="Y194" s="275" t="str">
        <f aca="false">IF(ISNUMBER(I194),I194/Netto_Faktor,"")</f>
        <v/>
      </c>
      <c r="Z194" s="275" t="str">
        <f aca="false">IF(B194="","",IF(COUNT(J194:N194)=0,"",SUM(J194:N194)))</f>
        <v/>
      </c>
      <c r="AA194" s="266"/>
      <c r="AB194" s="266"/>
      <c r="AC194" s="266"/>
      <c r="AD194" s="266"/>
      <c r="AE194" s="266"/>
      <c r="AF194" s="266"/>
      <c r="AG194" s="267"/>
      <c r="AH194" s="266" t="str">
        <f aca="false">IF(B194="","",IF(BA194="",IF(R194="WON","✅ belegt &amp; vollständig","✔ vollständig"),LEFT(BA194,LEN(BA194)-3)))</f>
        <v/>
      </c>
      <c r="AJ194" s="268" t="n">
        <f aca="false">IF(ISNUMBER(S194),IFERROR(LOOKUP(IF(S194&lt;=1,S194,S194/100),'⚖️ Wahrscheinlichkeit'!$B$17:$B$21,'⚖️ Wahrscheinlichkeit'!$D$17:$D$21),0),0)</f>
        <v>0</v>
      </c>
      <c r="AK194" s="1" t="str">
        <f aca="false">IF(AND(R194="WON",ISNUMBER(I194)),AL194+(861-ROW())*0.000001,"")</f>
        <v/>
      </c>
      <c r="AL194" s="1" t="n">
        <f aca="false">IFERROR(I194*1,0)</f>
        <v>0</v>
      </c>
      <c r="AM194" s="1" t="n">
        <f aca="false">N(AM193)+IF(AND(R194="WON",B194&lt;&gt;""),1,0)</f>
        <v>12</v>
      </c>
      <c r="AN194" s="1" t="n">
        <f aca="false">N(AN193)+IF(AND(OR(R194="offered",R194="to be offered",R194="on hold"),B194&lt;&gt;""),1,0)</f>
        <v>33</v>
      </c>
      <c r="AO194" s="1" t="n">
        <f aca="false">N(AO193)+IF(AND(OR(R194="follow-up",R194="Evaluation",R194="tbd",R194="In evaluation"),B194&lt;&gt;""),1,0)</f>
        <v>1</v>
      </c>
      <c r="AP194" s="1" t="n">
        <f aca="false">IF(B194="",0,IF(COUNTIF('⚖️ Wahrscheinlichkeit'!$J$17:$J$24,R194)&gt;0,1,0))</f>
        <v>0</v>
      </c>
      <c r="AQ194" s="1" t="n">
        <f aca="false">IF(B194="",0,IF(AND(ISNUMBER(S194),COUNTIF('⚖️ Wahrscheinlichkeit'!$B$6:$B$11,S194)&gt;0),1,0))</f>
        <v>0</v>
      </c>
      <c r="AR194" s="1" t="n">
        <f aca="false">IF(B194="",0,IF(AND(COUNT(J194:M194)=4,SUM(J194:M194)&gt;0),1,0))</f>
        <v>0</v>
      </c>
      <c r="AS194" s="1" t="n">
        <f aca="false">IF(B194="",0,IF(AND(AF194&lt;&gt;"",AG194&lt;&gt;""),1,0))</f>
        <v>0</v>
      </c>
      <c r="AT194" s="1" t="n">
        <f aca="false">IF(AND(R194="WON",AS194=1,AR194=1),1,0)</f>
        <v>0</v>
      </c>
      <c r="AU194" s="1" t="n">
        <f aca="false">IF(B194="",0,IF(AD194="Alternative – zählt nicht",0,1))</f>
        <v>0</v>
      </c>
      <c r="AV194" s="1" t="n">
        <f aca="false">IF(B194="",0,IF(COUNTIF($B$6:$B$860,B194)&gt;1,1,0))</f>
        <v>0</v>
      </c>
      <c r="AX194" s="269" t="str">
        <f aca="false">IF(AY194=1,DATE(YEAR(O194),MONTH(O194),1),"")</f>
        <v/>
      </c>
      <c r="AY194" s="1" t="n">
        <f aca="false">IF(B194="",0,IF(AND(ISNUMBER(O194),ISNUMBER(P194)),IF(P194&gt;=O194,1,0),0))</f>
        <v>0</v>
      </c>
      <c r="AZ194" s="1" t="n">
        <f aca="false">IF(ISNUMBER(Y194),Y194,0)</f>
        <v>0</v>
      </c>
      <c r="BA194" s="1" t="str">
        <f aca="false">IF(B194="","",IF(AND(R194="WON",AS194=0),"⛔ Beleg fehlt · ","")&amp;IF(AND(R194="WON",AR194=0),"⛔ Einstand fehlt · ","")&amp;IF(AND(R194&lt;&gt;"WON",AR194=0),"○ Einstand offen · ","")&amp;IF(AND(R194="WON",AB194=""),"⛔ Vertragsart fehlt · ","")&amp;IF(AND(ISNUMBER(O194),ISNUMBER(P194)),IF(P194&lt;O194,"⚠ Ende vor Start · ",""),"")&amp;IF(AND(R194="WON",AY194=0,NOT(AND(ISNUMBER(O194),ISNUMBER(P194)))),"⛔ Zeitraum fehlt · ","")&amp;IF(AND(R194&lt;&gt;"WON",AY194=0,NOT(AND(ISNUMBER(O194),ISNUMBER(P194)))),"○ Zeitraum offen · ",""))</f>
        <v/>
      </c>
      <c r="BB194" s="1" t="str">
        <f aca="false">IF(B194="","",IF(AND(R194="WON",AS194=0),"⛔ Nachweis fehlt",IF(AND(ISNUMBER(O194),ISNUMBER(P194),P194&lt;O194),"⚠ Ende vor Start",IF(AND(R194="WON",AY194=0),"⛔ Zeitraum fehlt",IF(AR194=0,"○ Einstand offen",IF(AY194=0,"○ Zeitraum offen",IF(R194="WON","✅ belegt","✔ erfasst")))))))</f>
        <v/>
      </c>
    </row>
    <row r="195" customFormat="false" ht="15" hidden="false" customHeight="true" outlineLevel="0" collapsed="false">
      <c r="G195" s="1" t="str">
        <f aca="false">IF(B195="","",IF(AY195=1,P195-O195+1,IF(AW195="","",AW195)))</f>
        <v/>
      </c>
      <c r="I195" s="270"/>
      <c r="J195" s="270"/>
      <c r="K195" s="270"/>
      <c r="L195" s="270"/>
      <c r="M195" s="270"/>
      <c r="N195" s="270"/>
      <c r="O195" s="263"/>
      <c r="P195" s="263"/>
      <c r="Q195" s="270" t="str">
        <f aca="false">IF(AND(ISNUMBER(I195),ISNUMBER(S195)),I195*AJ195,IF(OR(I195&lt;&gt;"",S195&lt;&gt;""),"tbd",""))</f>
        <v/>
      </c>
      <c r="S195" s="268"/>
      <c r="Y195" s="275" t="str">
        <f aca="false">IF(ISNUMBER(I195),I195/Netto_Faktor,"")</f>
        <v/>
      </c>
      <c r="Z195" s="275" t="str">
        <f aca="false">IF(B195="","",IF(COUNT(J195:N195)=0,"",SUM(J195:N195)))</f>
        <v/>
      </c>
      <c r="AA195" s="266"/>
      <c r="AB195" s="266"/>
      <c r="AC195" s="266"/>
      <c r="AD195" s="266"/>
      <c r="AE195" s="266"/>
      <c r="AF195" s="266"/>
      <c r="AG195" s="267"/>
      <c r="AH195" s="266" t="str">
        <f aca="false">IF(B195="","",IF(BA195="",IF(R195="WON","✅ belegt &amp; vollständig","✔ vollständig"),LEFT(BA195,LEN(BA195)-3)))</f>
        <v/>
      </c>
      <c r="AJ195" s="268" t="n">
        <f aca="false">IF(ISNUMBER(S195),IFERROR(LOOKUP(IF(S195&lt;=1,S195,S195/100),'⚖️ Wahrscheinlichkeit'!$B$17:$B$21,'⚖️ Wahrscheinlichkeit'!$D$17:$D$21),0),0)</f>
        <v>0</v>
      </c>
      <c r="AK195" s="1" t="str">
        <f aca="false">IF(AND(R195="WON",ISNUMBER(I195)),AL195+(861-ROW())*0.000001,"")</f>
        <v/>
      </c>
      <c r="AL195" s="1" t="n">
        <f aca="false">IFERROR(I195*1,0)</f>
        <v>0</v>
      </c>
      <c r="AM195" s="1" t="n">
        <f aca="false">N(AM194)+IF(AND(R195="WON",B195&lt;&gt;""),1,0)</f>
        <v>12</v>
      </c>
      <c r="AN195" s="1" t="n">
        <f aca="false">N(AN194)+IF(AND(OR(R195="offered",R195="to be offered",R195="on hold"),B195&lt;&gt;""),1,0)</f>
        <v>33</v>
      </c>
      <c r="AO195" s="1" t="n">
        <f aca="false">N(AO194)+IF(AND(OR(R195="follow-up",R195="Evaluation",R195="tbd",R195="In evaluation"),B195&lt;&gt;""),1,0)</f>
        <v>1</v>
      </c>
      <c r="AP195" s="1" t="n">
        <f aca="false">IF(B195="",0,IF(COUNTIF('⚖️ Wahrscheinlichkeit'!$J$17:$J$24,R195)&gt;0,1,0))</f>
        <v>0</v>
      </c>
      <c r="AQ195" s="1" t="n">
        <f aca="false">IF(B195="",0,IF(AND(ISNUMBER(S195),COUNTIF('⚖️ Wahrscheinlichkeit'!$B$6:$B$11,S195)&gt;0),1,0))</f>
        <v>0</v>
      </c>
      <c r="AR195" s="1" t="n">
        <f aca="false">IF(B195="",0,IF(AND(COUNT(J195:M195)=4,SUM(J195:M195)&gt;0),1,0))</f>
        <v>0</v>
      </c>
      <c r="AS195" s="1" t="n">
        <f aca="false">IF(B195="",0,IF(AND(AF195&lt;&gt;"",AG195&lt;&gt;""),1,0))</f>
        <v>0</v>
      </c>
      <c r="AT195" s="1" t="n">
        <f aca="false">IF(AND(R195="WON",AS195=1,AR195=1),1,0)</f>
        <v>0</v>
      </c>
      <c r="AU195" s="1" t="n">
        <f aca="false">IF(B195="",0,IF(AD195="Alternative – zählt nicht",0,1))</f>
        <v>0</v>
      </c>
      <c r="AV195" s="1" t="n">
        <f aca="false">IF(B195="",0,IF(COUNTIF($B$6:$B$860,B195)&gt;1,1,0))</f>
        <v>0</v>
      </c>
      <c r="AX195" s="269" t="str">
        <f aca="false">IF(AY195=1,DATE(YEAR(O195),MONTH(O195),1),"")</f>
        <v/>
      </c>
      <c r="AY195" s="1" t="n">
        <f aca="false">IF(B195="",0,IF(AND(ISNUMBER(O195),ISNUMBER(P195)),IF(P195&gt;=O195,1,0),0))</f>
        <v>0</v>
      </c>
      <c r="AZ195" s="1" t="n">
        <f aca="false">IF(ISNUMBER(Y195),Y195,0)</f>
        <v>0</v>
      </c>
      <c r="BA195" s="1" t="str">
        <f aca="false">IF(B195="","",IF(AND(R195="WON",AS195=0),"⛔ Beleg fehlt · ","")&amp;IF(AND(R195="WON",AR195=0),"⛔ Einstand fehlt · ","")&amp;IF(AND(R195&lt;&gt;"WON",AR195=0),"○ Einstand offen · ","")&amp;IF(AND(R195="WON",AB195=""),"⛔ Vertragsart fehlt · ","")&amp;IF(AND(ISNUMBER(O195),ISNUMBER(P195)),IF(P195&lt;O195,"⚠ Ende vor Start · ",""),"")&amp;IF(AND(R195="WON",AY195=0,NOT(AND(ISNUMBER(O195),ISNUMBER(P195)))),"⛔ Zeitraum fehlt · ","")&amp;IF(AND(R195&lt;&gt;"WON",AY195=0,NOT(AND(ISNUMBER(O195),ISNUMBER(P195)))),"○ Zeitraum offen · ",""))</f>
        <v/>
      </c>
      <c r="BB195" s="1" t="str">
        <f aca="false">IF(B195="","",IF(AND(R195="WON",AS195=0),"⛔ Nachweis fehlt",IF(AND(ISNUMBER(O195),ISNUMBER(P195),P195&lt;O195),"⚠ Ende vor Start",IF(AND(R195="WON",AY195=0),"⛔ Zeitraum fehlt",IF(AR195=0,"○ Einstand offen",IF(AY195=0,"○ Zeitraum offen",IF(R195="WON","✅ belegt","✔ erfasst")))))))</f>
        <v/>
      </c>
    </row>
    <row r="196" customFormat="false" ht="15" hidden="false" customHeight="true" outlineLevel="0" collapsed="false">
      <c r="G196" s="1" t="str">
        <f aca="false">IF(B196="","",IF(AY196=1,P196-O196+1,IF(AW196="","",AW196)))</f>
        <v/>
      </c>
      <c r="I196" s="270"/>
      <c r="J196" s="270"/>
      <c r="K196" s="270"/>
      <c r="L196" s="270"/>
      <c r="M196" s="270"/>
      <c r="N196" s="270"/>
      <c r="O196" s="263"/>
      <c r="P196" s="263"/>
      <c r="Q196" s="270" t="str">
        <f aca="false">IF(AND(ISNUMBER(I196),ISNUMBER(S196)),I196*AJ196,IF(OR(I196&lt;&gt;"",S196&lt;&gt;""),"tbd",""))</f>
        <v/>
      </c>
      <c r="S196" s="268"/>
      <c r="Y196" s="275" t="str">
        <f aca="false">IF(ISNUMBER(I196),I196/Netto_Faktor,"")</f>
        <v/>
      </c>
      <c r="Z196" s="275" t="str">
        <f aca="false">IF(B196="","",IF(COUNT(J196:N196)=0,"",SUM(J196:N196)))</f>
        <v/>
      </c>
      <c r="AA196" s="266"/>
      <c r="AB196" s="266"/>
      <c r="AC196" s="266"/>
      <c r="AD196" s="266"/>
      <c r="AE196" s="266"/>
      <c r="AF196" s="266"/>
      <c r="AG196" s="267"/>
      <c r="AH196" s="266" t="str">
        <f aca="false">IF(B196="","",IF(BA196="",IF(R196="WON","✅ belegt &amp; vollständig","✔ vollständig"),LEFT(BA196,LEN(BA196)-3)))</f>
        <v/>
      </c>
      <c r="AJ196" s="268" t="n">
        <f aca="false">IF(ISNUMBER(S196),IFERROR(LOOKUP(IF(S196&lt;=1,S196,S196/100),'⚖️ Wahrscheinlichkeit'!$B$17:$B$21,'⚖️ Wahrscheinlichkeit'!$D$17:$D$21),0),0)</f>
        <v>0</v>
      </c>
      <c r="AK196" s="1" t="str">
        <f aca="false">IF(AND(R196="WON",ISNUMBER(I196)),AL196+(861-ROW())*0.000001,"")</f>
        <v/>
      </c>
      <c r="AL196" s="1" t="n">
        <f aca="false">IFERROR(I196*1,0)</f>
        <v>0</v>
      </c>
      <c r="AM196" s="1" t="n">
        <f aca="false">N(AM195)+IF(AND(R196="WON",B196&lt;&gt;""),1,0)</f>
        <v>12</v>
      </c>
      <c r="AN196" s="1" t="n">
        <f aca="false">N(AN195)+IF(AND(OR(R196="offered",R196="to be offered",R196="on hold"),B196&lt;&gt;""),1,0)</f>
        <v>33</v>
      </c>
      <c r="AO196" s="1" t="n">
        <f aca="false">N(AO195)+IF(AND(OR(R196="follow-up",R196="Evaluation",R196="tbd",R196="In evaluation"),B196&lt;&gt;""),1,0)</f>
        <v>1</v>
      </c>
      <c r="AP196" s="1" t="n">
        <f aca="false">IF(B196="",0,IF(COUNTIF('⚖️ Wahrscheinlichkeit'!$J$17:$J$24,R196)&gt;0,1,0))</f>
        <v>0</v>
      </c>
      <c r="AQ196" s="1" t="n">
        <f aca="false">IF(B196="",0,IF(AND(ISNUMBER(S196),COUNTIF('⚖️ Wahrscheinlichkeit'!$B$6:$B$11,S196)&gt;0),1,0))</f>
        <v>0</v>
      </c>
      <c r="AR196" s="1" t="n">
        <f aca="false">IF(B196="",0,IF(AND(COUNT(J196:M196)=4,SUM(J196:M196)&gt;0),1,0))</f>
        <v>0</v>
      </c>
      <c r="AS196" s="1" t="n">
        <f aca="false">IF(B196="",0,IF(AND(AF196&lt;&gt;"",AG196&lt;&gt;""),1,0))</f>
        <v>0</v>
      </c>
      <c r="AT196" s="1" t="n">
        <f aca="false">IF(AND(R196="WON",AS196=1,AR196=1),1,0)</f>
        <v>0</v>
      </c>
      <c r="AU196" s="1" t="n">
        <f aca="false">IF(B196="",0,IF(AD196="Alternative – zählt nicht",0,1))</f>
        <v>0</v>
      </c>
      <c r="AV196" s="1" t="n">
        <f aca="false">IF(B196="",0,IF(COUNTIF($B$6:$B$860,B196)&gt;1,1,0))</f>
        <v>0</v>
      </c>
      <c r="AX196" s="269" t="str">
        <f aca="false">IF(AY196=1,DATE(YEAR(O196),MONTH(O196),1),"")</f>
        <v/>
      </c>
      <c r="AY196" s="1" t="n">
        <f aca="false">IF(B196="",0,IF(AND(ISNUMBER(O196),ISNUMBER(P196)),IF(P196&gt;=O196,1,0),0))</f>
        <v>0</v>
      </c>
      <c r="AZ196" s="1" t="n">
        <f aca="false">IF(ISNUMBER(Y196),Y196,0)</f>
        <v>0</v>
      </c>
      <c r="BA196" s="1" t="str">
        <f aca="false">IF(B196="","",IF(AND(R196="WON",AS196=0),"⛔ Beleg fehlt · ","")&amp;IF(AND(R196="WON",AR196=0),"⛔ Einstand fehlt · ","")&amp;IF(AND(R196&lt;&gt;"WON",AR196=0),"○ Einstand offen · ","")&amp;IF(AND(R196="WON",AB196=""),"⛔ Vertragsart fehlt · ","")&amp;IF(AND(ISNUMBER(O196),ISNUMBER(P196)),IF(P196&lt;O196,"⚠ Ende vor Start · ",""),"")&amp;IF(AND(R196="WON",AY196=0,NOT(AND(ISNUMBER(O196),ISNUMBER(P196)))),"⛔ Zeitraum fehlt · ","")&amp;IF(AND(R196&lt;&gt;"WON",AY196=0,NOT(AND(ISNUMBER(O196),ISNUMBER(P196)))),"○ Zeitraum offen · ",""))</f>
        <v/>
      </c>
      <c r="BB196" s="1" t="str">
        <f aca="false">IF(B196="","",IF(AND(R196="WON",AS196=0),"⛔ Nachweis fehlt",IF(AND(ISNUMBER(O196),ISNUMBER(P196),P196&lt;O196),"⚠ Ende vor Start",IF(AND(R196="WON",AY196=0),"⛔ Zeitraum fehlt",IF(AR196=0,"○ Einstand offen",IF(AY196=0,"○ Zeitraum offen",IF(R196="WON","✅ belegt","✔ erfasst")))))))</f>
        <v/>
      </c>
    </row>
    <row r="197" customFormat="false" ht="15" hidden="false" customHeight="true" outlineLevel="0" collapsed="false">
      <c r="G197" s="1" t="str">
        <f aca="false">IF(B197="","",IF(AY197=1,P197-O197+1,IF(AW197="","",AW197)))</f>
        <v/>
      </c>
      <c r="I197" s="270"/>
      <c r="J197" s="270"/>
      <c r="K197" s="270"/>
      <c r="L197" s="270"/>
      <c r="M197" s="270"/>
      <c r="N197" s="270"/>
      <c r="O197" s="263"/>
      <c r="P197" s="263"/>
      <c r="Q197" s="270" t="str">
        <f aca="false">IF(AND(ISNUMBER(I197),ISNUMBER(S197)),I197*AJ197,IF(OR(I197&lt;&gt;"",S197&lt;&gt;""),"tbd",""))</f>
        <v/>
      </c>
      <c r="S197" s="268"/>
      <c r="Y197" s="275" t="str">
        <f aca="false">IF(ISNUMBER(I197),I197/Netto_Faktor,"")</f>
        <v/>
      </c>
      <c r="Z197" s="275" t="str">
        <f aca="false">IF(B197="","",IF(COUNT(J197:N197)=0,"",SUM(J197:N197)))</f>
        <v/>
      </c>
      <c r="AA197" s="266"/>
      <c r="AB197" s="266"/>
      <c r="AC197" s="266"/>
      <c r="AD197" s="266"/>
      <c r="AE197" s="266"/>
      <c r="AF197" s="266"/>
      <c r="AG197" s="267"/>
      <c r="AH197" s="266" t="str">
        <f aca="false">IF(B197="","",IF(BA197="",IF(R197="WON","✅ belegt &amp; vollständig","✔ vollständig"),LEFT(BA197,LEN(BA197)-3)))</f>
        <v/>
      </c>
      <c r="AJ197" s="268" t="n">
        <f aca="false">IF(ISNUMBER(S197),IFERROR(LOOKUP(IF(S197&lt;=1,S197,S197/100),'⚖️ Wahrscheinlichkeit'!$B$17:$B$21,'⚖️ Wahrscheinlichkeit'!$D$17:$D$21),0),0)</f>
        <v>0</v>
      </c>
      <c r="AK197" s="1" t="str">
        <f aca="false">IF(AND(R197="WON",ISNUMBER(I197)),AL197+(861-ROW())*0.000001,"")</f>
        <v/>
      </c>
      <c r="AL197" s="1" t="n">
        <f aca="false">IFERROR(I197*1,0)</f>
        <v>0</v>
      </c>
      <c r="AM197" s="1" t="n">
        <f aca="false">N(AM196)+IF(AND(R197="WON",B197&lt;&gt;""),1,0)</f>
        <v>12</v>
      </c>
      <c r="AN197" s="1" t="n">
        <f aca="false">N(AN196)+IF(AND(OR(R197="offered",R197="to be offered",R197="on hold"),B197&lt;&gt;""),1,0)</f>
        <v>33</v>
      </c>
      <c r="AO197" s="1" t="n">
        <f aca="false">N(AO196)+IF(AND(OR(R197="follow-up",R197="Evaluation",R197="tbd",R197="In evaluation"),B197&lt;&gt;""),1,0)</f>
        <v>1</v>
      </c>
      <c r="AP197" s="1" t="n">
        <f aca="false">IF(B197="",0,IF(COUNTIF('⚖️ Wahrscheinlichkeit'!$J$17:$J$24,R197)&gt;0,1,0))</f>
        <v>0</v>
      </c>
      <c r="AQ197" s="1" t="n">
        <f aca="false">IF(B197="",0,IF(AND(ISNUMBER(S197),COUNTIF('⚖️ Wahrscheinlichkeit'!$B$6:$B$11,S197)&gt;0),1,0))</f>
        <v>0</v>
      </c>
      <c r="AR197" s="1" t="n">
        <f aca="false">IF(B197="",0,IF(AND(COUNT(J197:M197)=4,SUM(J197:M197)&gt;0),1,0))</f>
        <v>0</v>
      </c>
      <c r="AS197" s="1" t="n">
        <f aca="false">IF(B197="",0,IF(AND(AF197&lt;&gt;"",AG197&lt;&gt;""),1,0))</f>
        <v>0</v>
      </c>
      <c r="AT197" s="1" t="n">
        <f aca="false">IF(AND(R197="WON",AS197=1,AR197=1),1,0)</f>
        <v>0</v>
      </c>
      <c r="AU197" s="1" t="n">
        <f aca="false">IF(B197="",0,IF(AD197="Alternative – zählt nicht",0,1))</f>
        <v>0</v>
      </c>
      <c r="AV197" s="1" t="n">
        <f aca="false">IF(B197="",0,IF(COUNTIF($B$6:$B$860,B197)&gt;1,1,0))</f>
        <v>0</v>
      </c>
      <c r="AX197" s="269" t="str">
        <f aca="false">IF(AY197=1,DATE(YEAR(O197),MONTH(O197),1),"")</f>
        <v/>
      </c>
      <c r="AY197" s="1" t="n">
        <f aca="false">IF(B197="",0,IF(AND(ISNUMBER(O197),ISNUMBER(P197)),IF(P197&gt;=O197,1,0),0))</f>
        <v>0</v>
      </c>
      <c r="AZ197" s="1" t="n">
        <f aca="false">IF(ISNUMBER(Y197),Y197,0)</f>
        <v>0</v>
      </c>
      <c r="BA197" s="1" t="str">
        <f aca="false">IF(B197="","",IF(AND(R197="WON",AS197=0),"⛔ Beleg fehlt · ","")&amp;IF(AND(R197="WON",AR197=0),"⛔ Einstand fehlt · ","")&amp;IF(AND(R197&lt;&gt;"WON",AR197=0),"○ Einstand offen · ","")&amp;IF(AND(R197="WON",AB197=""),"⛔ Vertragsart fehlt · ","")&amp;IF(AND(ISNUMBER(O197),ISNUMBER(P197)),IF(P197&lt;O197,"⚠ Ende vor Start · ",""),"")&amp;IF(AND(R197="WON",AY197=0,NOT(AND(ISNUMBER(O197),ISNUMBER(P197)))),"⛔ Zeitraum fehlt · ","")&amp;IF(AND(R197&lt;&gt;"WON",AY197=0,NOT(AND(ISNUMBER(O197),ISNUMBER(P197)))),"○ Zeitraum offen · ",""))</f>
        <v/>
      </c>
      <c r="BB197" s="1" t="str">
        <f aca="false">IF(B197="","",IF(AND(R197="WON",AS197=0),"⛔ Nachweis fehlt",IF(AND(ISNUMBER(O197),ISNUMBER(P197),P197&lt;O197),"⚠ Ende vor Start",IF(AND(R197="WON",AY197=0),"⛔ Zeitraum fehlt",IF(AR197=0,"○ Einstand offen",IF(AY197=0,"○ Zeitraum offen",IF(R197="WON","✅ belegt","✔ erfasst")))))))</f>
        <v/>
      </c>
    </row>
    <row r="198" customFormat="false" ht="15" hidden="false" customHeight="true" outlineLevel="0" collapsed="false">
      <c r="G198" s="1" t="str">
        <f aca="false">IF(B198="","",IF(AY198=1,P198-O198+1,IF(AW198="","",AW198)))</f>
        <v/>
      </c>
      <c r="I198" s="270"/>
      <c r="J198" s="270"/>
      <c r="K198" s="270"/>
      <c r="L198" s="270"/>
      <c r="M198" s="270"/>
      <c r="N198" s="270"/>
      <c r="O198" s="263"/>
      <c r="P198" s="263"/>
      <c r="Q198" s="270" t="str">
        <f aca="false">IF(AND(ISNUMBER(I198),ISNUMBER(S198)),I198*AJ198,IF(OR(I198&lt;&gt;"",S198&lt;&gt;""),"tbd",""))</f>
        <v/>
      </c>
      <c r="S198" s="268"/>
      <c r="Y198" s="275" t="str">
        <f aca="false">IF(ISNUMBER(I198),I198/Netto_Faktor,"")</f>
        <v/>
      </c>
      <c r="Z198" s="275" t="str">
        <f aca="false">IF(B198="","",IF(COUNT(J198:N198)=0,"",SUM(J198:N198)))</f>
        <v/>
      </c>
      <c r="AA198" s="266"/>
      <c r="AB198" s="266"/>
      <c r="AC198" s="266"/>
      <c r="AD198" s="266"/>
      <c r="AE198" s="266"/>
      <c r="AF198" s="266"/>
      <c r="AG198" s="267"/>
      <c r="AH198" s="266" t="str">
        <f aca="false">IF(B198="","",IF(BA198="",IF(R198="WON","✅ belegt &amp; vollständig","✔ vollständig"),LEFT(BA198,LEN(BA198)-3)))</f>
        <v/>
      </c>
      <c r="AJ198" s="268" t="n">
        <f aca="false">IF(ISNUMBER(S198),IFERROR(LOOKUP(IF(S198&lt;=1,S198,S198/100),'⚖️ Wahrscheinlichkeit'!$B$17:$B$21,'⚖️ Wahrscheinlichkeit'!$D$17:$D$21),0),0)</f>
        <v>0</v>
      </c>
      <c r="AK198" s="1" t="str">
        <f aca="false">IF(AND(R198="WON",ISNUMBER(I198)),AL198+(861-ROW())*0.000001,"")</f>
        <v/>
      </c>
      <c r="AL198" s="1" t="n">
        <f aca="false">IFERROR(I198*1,0)</f>
        <v>0</v>
      </c>
      <c r="AM198" s="1" t="n">
        <f aca="false">N(AM197)+IF(AND(R198="WON",B198&lt;&gt;""),1,0)</f>
        <v>12</v>
      </c>
      <c r="AN198" s="1" t="n">
        <f aca="false">N(AN197)+IF(AND(OR(R198="offered",R198="to be offered",R198="on hold"),B198&lt;&gt;""),1,0)</f>
        <v>33</v>
      </c>
      <c r="AO198" s="1" t="n">
        <f aca="false">N(AO197)+IF(AND(OR(R198="follow-up",R198="Evaluation",R198="tbd",R198="In evaluation"),B198&lt;&gt;""),1,0)</f>
        <v>1</v>
      </c>
      <c r="AP198" s="1" t="n">
        <f aca="false">IF(B198="",0,IF(COUNTIF('⚖️ Wahrscheinlichkeit'!$J$17:$J$24,R198)&gt;0,1,0))</f>
        <v>0</v>
      </c>
      <c r="AQ198" s="1" t="n">
        <f aca="false">IF(B198="",0,IF(AND(ISNUMBER(S198),COUNTIF('⚖️ Wahrscheinlichkeit'!$B$6:$B$11,S198)&gt;0),1,0))</f>
        <v>0</v>
      </c>
      <c r="AR198" s="1" t="n">
        <f aca="false">IF(B198="",0,IF(AND(COUNT(J198:M198)=4,SUM(J198:M198)&gt;0),1,0))</f>
        <v>0</v>
      </c>
      <c r="AS198" s="1" t="n">
        <f aca="false">IF(B198="",0,IF(AND(AF198&lt;&gt;"",AG198&lt;&gt;""),1,0))</f>
        <v>0</v>
      </c>
      <c r="AT198" s="1" t="n">
        <f aca="false">IF(AND(R198="WON",AS198=1,AR198=1),1,0)</f>
        <v>0</v>
      </c>
      <c r="AU198" s="1" t="n">
        <f aca="false">IF(B198="",0,IF(AD198="Alternative – zählt nicht",0,1))</f>
        <v>0</v>
      </c>
      <c r="AV198" s="1" t="n">
        <f aca="false">IF(B198="",0,IF(COUNTIF($B$6:$B$860,B198)&gt;1,1,0))</f>
        <v>0</v>
      </c>
      <c r="AX198" s="269" t="str">
        <f aca="false">IF(AY198=1,DATE(YEAR(O198),MONTH(O198),1),"")</f>
        <v/>
      </c>
      <c r="AY198" s="1" t="n">
        <f aca="false">IF(B198="",0,IF(AND(ISNUMBER(O198),ISNUMBER(P198)),IF(P198&gt;=O198,1,0),0))</f>
        <v>0</v>
      </c>
      <c r="AZ198" s="1" t="n">
        <f aca="false">IF(ISNUMBER(Y198),Y198,0)</f>
        <v>0</v>
      </c>
      <c r="BA198" s="1" t="str">
        <f aca="false">IF(B198="","",IF(AND(R198="WON",AS198=0),"⛔ Beleg fehlt · ","")&amp;IF(AND(R198="WON",AR198=0),"⛔ Einstand fehlt · ","")&amp;IF(AND(R198&lt;&gt;"WON",AR198=0),"○ Einstand offen · ","")&amp;IF(AND(R198="WON",AB198=""),"⛔ Vertragsart fehlt · ","")&amp;IF(AND(ISNUMBER(O198),ISNUMBER(P198)),IF(P198&lt;O198,"⚠ Ende vor Start · ",""),"")&amp;IF(AND(R198="WON",AY198=0,NOT(AND(ISNUMBER(O198),ISNUMBER(P198)))),"⛔ Zeitraum fehlt · ","")&amp;IF(AND(R198&lt;&gt;"WON",AY198=0,NOT(AND(ISNUMBER(O198),ISNUMBER(P198)))),"○ Zeitraum offen · ",""))</f>
        <v/>
      </c>
      <c r="BB198" s="1" t="str">
        <f aca="false">IF(B198="","",IF(AND(R198="WON",AS198=0),"⛔ Nachweis fehlt",IF(AND(ISNUMBER(O198),ISNUMBER(P198),P198&lt;O198),"⚠ Ende vor Start",IF(AND(R198="WON",AY198=0),"⛔ Zeitraum fehlt",IF(AR198=0,"○ Einstand offen",IF(AY198=0,"○ Zeitraum offen",IF(R198="WON","✅ belegt","✔ erfasst")))))))</f>
        <v/>
      </c>
    </row>
    <row r="199" customFormat="false" ht="15" hidden="false" customHeight="true" outlineLevel="0" collapsed="false">
      <c r="G199" s="1" t="str">
        <f aca="false">IF(B199="","",IF(AY199=1,P199-O199+1,IF(AW199="","",AW199)))</f>
        <v/>
      </c>
      <c r="I199" s="270"/>
      <c r="J199" s="270"/>
      <c r="K199" s="270"/>
      <c r="L199" s="270"/>
      <c r="M199" s="270"/>
      <c r="N199" s="270"/>
      <c r="O199" s="263"/>
      <c r="P199" s="263"/>
      <c r="Q199" s="270" t="str">
        <f aca="false">IF(AND(ISNUMBER(I199),ISNUMBER(S199)),I199*AJ199,IF(OR(I199&lt;&gt;"",S199&lt;&gt;""),"tbd",""))</f>
        <v/>
      </c>
      <c r="S199" s="268"/>
      <c r="Y199" s="275" t="str">
        <f aca="false">IF(ISNUMBER(I199),I199/Netto_Faktor,"")</f>
        <v/>
      </c>
      <c r="Z199" s="275" t="str">
        <f aca="false">IF(B199="","",IF(COUNT(J199:N199)=0,"",SUM(J199:N199)))</f>
        <v/>
      </c>
      <c r="AA199" s="266"/>
      <c r="AB199" s="266"/>
      <c r="AC199" s="266"/>
      <c r="AD199" s="266"/>
      <c r="AE199" s="266"/>
      <c r="AF199" s="266"/>
      <c r="AG199" s="267"/>
      <c r="AH199" s="266" t="str">
        <f aca="false">IF(B199="","",IF(BA199="",IF(R199="WON","✅ belegt &amp; vollständig","✔ vollständig"),LEFT(BA199,LEN(BA199)-3)))</f>
        <v/>
      </c>
      <c r="AJ199" s="268" t="n">
        <f aca="false">IF(ISNUMBER(S199),IFERROR(LOOKUP(IF(S199&lt;=1,S199,S199/100),'⚖️ Wahrscheinlichkeit'!$B$17:$B$21,'⚖️ Wahrscheinlichkeit'!$D$17:$D$21),0),0)</f>
        <v>0</v>
      </c>
      <c r="AK199" s="1" t="str">
        <f aca="false">IF(AND(R199="WON",ISNUMBER(I199)),AL199+(861-ROW())*0.000001,"")</f>
        <v/>
      </c>
      <c r="AL199" s="1" t="n">
        <f aca="false">IFERROR(I199*1,0)</f>
        <v>0</v>
      </c>
      <c r="AM199" s="1" t="n">
        <f aca="false">N(AM198)+IF(AND(R199="WON",B199&lt;&gt;""),1,0)</f>
        <v>12</v>
      </c>
      <c r="AN199" s="1" t="n">
        <f aca="false">N(AN198)+IF(AND(OR(R199="offered",R199="to be offered",R199="on hold"),B199&lt;&gt;""),1,0)</f>
        <v>33</v>
      </c>
      <c r="AO199" s="1" t="n">
        <f aca="false">N(AO198)+IF(AND(OR(R199="follow-up",R199="Evaluation",R199="tbd",R199="In evaluation"),B199&lt;&gt;""),1,0)</f>
        <v>1</v>
      </c>
      <c r="AP199" s="1" t="n">
        <f aca="false">IF(B199="",0,IF(COUNTIF('⚖️ Wahrscheinlichkeit'!$J$17:$J$24,R199)&gt;0,1,0))</f>
        <v>0</v>
      </c>
      <c r="AQ199" s="1" t="n">
        <f aca="false">IF(B199="",0,IF(AND(ISNUMBER(S199),COUNTIF('⚖️ Wahrscheinlichkeit'!$B$6:$B$11,S199)&gt;0),1,0))</f>
        <v>0</v>
      </c>
      <c r="AR199" s="1" t="n">
        <f aca="false">IF(B199="",0,IF(AND(COUNT(J199:M199)=4,SUM(J199:M199)&gt;0),1,0))</f>
        <v>0</v>
      </c>
      <c r="AS199" s="1" t="n">
        <f aca="false">IF(B199="",0,IF(AND(AF199&lt;&gt;"",AG199&lt;&gt;""),1,0))</f>
        <v>0</v>
      </c>
      <c r="AT199" s="1" t="n">
        <f aca="false">IF(AND(R199="WON",AS199=1,AR199=1),1,0)</f>
        <v>0</v>
      </c>
      <c r="AU199" s="1" t="n">
        <f aca="false">IF(B199="",0,IF(AD199="Alternative – zählt nicht",0,1))</f>
        <v>0</v>
      </c>
      <c r="AV199" s="1" t="n">
        <f aca="false">IF(B199="",0,IF(COUNTIF($B$6:$B$860,B199)&gt;1,1,0))</f>
        <v>0</v>
      </c>
      <c r="AX199" s="269" t="str">
        <f aca="false">IF(AY199=1,DATE(YEAR(O199),MONTH(O199),1),"")</f>
        <v/>
      </c>
      <c r="AY199" s="1" t="n">
        <f aca="false">IF(B199="",0,IF(AND(ISNUMBER(O199),ISNUMBER(P199)),IF(P199&gt;=O199,1,0),0))</f>
        <v>0</v>
      </c>
      <c r="AZ199" s="1" t="n">
        <f aca="false">IF(ISNUMBER(Y199),Y199,0)</f>
        <v>0</v>
      </c>
      <c r="BA199" s="1" t="str">
        <f aca="false">IF(B199="","",IF(AND(R199="WON",AS199=0),"⛔ Beleg fehlt · ","")&amp;IF(AND(R199="WON",AR199=0),"⛔ Einstand fehlt · ","")&amp;IF(AND(R199&lt;&gt;"WON",AR199=0),"○ Einstand offen · ","")&amp;IF(AND(R199="WON",AB199=""),"⛔ Vertragsart fehlt · ","")&amp;IF(AND(ISNUMBER(O199),ISNUMBER(P199)),IF(P199&lt;O199,"⚠ Ende vor Start · ",""),"")&amp;IF(AND(R199="WON",AY199=0,NOT(AND(ISNUMBER(O199),ISNUMBER(P199)))),"⛔ Zeitraum fehlt · ","")&amp;IF(AND(R199&lt;&gt;"WON",AY199=0,NOT(AND(ISNUMBER(O199),ISNUMBER(P199)))),"○ Zeitraum offen · ",""))</f>
        <v/>
      </c>
      <c r="BB199" s="1" t="str">
        <f aca="false">IF(B199="","",IF(AND(R199="WON",AS199=0),"⛔ Nachweis fehlt",IF(AND(ISNUMBER(O199),ISNUMBER(P199),P199&lt;O199),"⚠ Ende vor Start",IF(AND(R199="WON",AY199=0),"⛔ Zeitraum fehlt",IF(AR199=0,"○ Einstand offen",IF(AY199=0,"○ Zeitraum offen",IF(R199="WON","✅ belegt","✔ erfasst")))))))</f>
        <v/>
      </c>
    </row>
    <row r="200" customFormat="false" ht="15" hidden="false" customHeight="true" outlineLevel="0" collapsed="false">
      <c r="G200" s="1" t="str">
        <f aca="false">IF(B200="","",IF(AY200=1,P200-O200+1,IF(AW200="","",AW200)))</f>
        <v/>
      </c>
      <c r="I200" s="270"/>
      <c r="J200" s="270"/>
      <c r="K200" s="270"/>
      <c r="L200" s="270"/>
      <c r="M200" s="270"/>
      <c r="N200" s="270"/>
      <c r="O200" s="263"/>
      <c r="P200" s="263"/>
      <c r="Q200" s="270" t="str">
        <f aca="false">IF(AND(ISNUMBER(I200),ISNUMBER(S200)),I200*AJ200,IF(OR(I200&lt;&gt;"",S200&lt;&gt;""),"tbd",""))</f>
        <v/>
      </c>
      <c r="S200" s="268"/>
      <c r="Y200" s="275" t="str">
        <f aca="false">IF(ISNUMBER(I200),I200/Netto_Faktor,"")</f>
        <v/>
      </c>
      <c r="Z200" s="275" t="str">
        <f aca="false">IF(B200="","",IF(COUNT(J200:N200)=0,"",SUM(J200:N200)))</f>
        <v/>
      </c>
      <c r="AA200" s="266"/>
      <c r="AB200" s="266"/>
      <c r="AC200" s="266"/>
      <c r="AD200" s="266"/>
      <c r="AE200" s="266"/>
      <c r="AF200" s="266"/>
      <c r="AG200" s="267"/>
      <c r="AH200" s="266" t="str">
        <f aca="false">IF(B200="","",IF(BA200="",IF(R200="WON","✅ belegt &amp; vollständig","✔ vollständig"),LEFT(BA200,LEN(BA200)-3)))</f>
        <v/>
      </c>
      <c r="AJ200" s="268" t="n">
        <f aca="false">IF(ISNUMBER(S200),IFERROR(LOOKUP(IF(S200&lt;=1,S200,S200/100),'⚖️ Wahrscheinlichkeit'!$B$17:$B$21,'⚖️ Wahrscheinlichkeit'!$D$17:$D$21),0),0)</f>
        <v>0</v>
      </c>
      <c r="AK200" s="1" t="str">
        <f aca="false">IF(AND(R200="WON",ISNUMBER(I200)),AL200+(861-ROW())*0.000001,"")</f>
        <v/>
      </c>
      <c r="AL200" s="1" t="n">
        <f aca="false">IFERROR(I200*1,0)</f>
        <v>0</v>
      </c>
      <c r="AM200" s="1" t="n">
        <f aca="false">N(AM199)+IF(AND(R200="WON",B200&lt;&gt;""),1,0)</f>
        <v>12</v>
      </c>
      <c r="AN200" s="1" t="n">
        <f aca="false">N(AN199)+IF(AND(OR(R200="offered",R200="to be offered",R200="on hold"),B200&lt;&gt;""),1,0)</f>
        <v>33</v>
      </c>
      <c r="AO200" s="1" t="n">
        <f aca="false">N(AO199)+IF(AND(OR(R200="follow-up",R200="Evaluation",R200="tbd",R200="In evaluation"),B200&lt;&gt;""),1,0)</f>
        <v>1</v>
      </c>
      <c r="AP200" s="1" t="n">
        <f aca="false">IF(B200="",0,IF(COUNTIF('⚖️ Wahrscheinlichkeit'!$J$17:$J$24,R200)&gt;0,1,0))</f>
        <v>0</v>
      </c>
      <c r="AQ200" s="1" t="n">
        <f aca="false">IF(B200="",0,IF(AND(ISNUMBER(S200),COUNTIF('⚖️ Wahrscheinlichkeit'!$B$6:$B$11,S200)&gt;0),1,0))</f>
        <v>0</v>
      </c>
      <c r="AR200" s="1" t="n">
        <f aca="false">IF(B200="",0,IF(AND(COUNT(J200:M200)=4,SUM(J200:M200)&gt;0),1,0))</f>
        <v>0</v>
      </c>
      <c r="AS200" s="1" t="n">
        <f aca="false">IF(B200="",0,IF(AND(AF200&lt;&gt;"",AG200&lt;&gt;""),1,0))</f>
        <v>0</v>
      </c>
      <c r="AT200" s="1" t="n">
        <f aca="false">IF(AND(R200="WON",AS200=1,AR200=1),1,0)</f>
        <v>0</v>
      </c>
      <c r="AU200" s="1" t="n">
        <f aca="false">IF(B200="",0,IF(AD200="Alternative – zählt nicht",0,1))</f>
        <v>0</v>
      </c>
      <c r="AV200" s="1" t="n">
        <f aca="false">IF(B200="",0,IF(COUNTIF($B$6:$B$860,B200)&gt;1,1,0))</f>
        <v>0</v>
      </c>
      <c r="AX200" s="269" t="str">
        <f aca="false">IF(AY200=1,DATE(YEAR(O200),MONTH(O200),1),"")</f>
        <v/>
      </c>
      <c r="AY200" s="1" t="n">
        <f aca="false">IF(B200="",0,IF(AND(ISNUMBER(O200),ISNUMBER(P200)),IF(P200&gt;=O200,1,0),0))</f>
        <v>0</v>
      </c>
      <c r="AZ200" s="1" t="n">
        <f aca="false">IF(ISNUMBER(Y200),Y200,0)</f>
        <v>0</v>
      </c>
      <c r="BA200" s="1" t="str">
        <f aca="false">IF(B200="","",IF(AND(R200="WON",AS200=0),"⛔ Beleg fehlt · ","")&amp;IF(AND(R200="WON",AR200=0),"⛔ Einstand fehlt · ","")&amp;IF(AND(R200&lt;&gt;"WON",AR200=0),"○ Einstand offen · ","")&amp;IF(AND(R200="WON",AB200=""),"⛔ Vertragsart fehlt · ","")&amp;IF(AND(ISNUMBER(O200),ISNUMBER(P200)),IF(P200&lt;O200,"⚠ Ende vor Start · ",""),"")&amp;IF(AND(R200="WON",AY200=0,NOT(AND(ISNUMBER(O200),ISNUMBER(P200)))),"⛔ Zeitraum fehlt · ","")&amp;IF(AND(R200&lt;&gt;"WON",AY200=0,NOT(AND(ISNUMBER(O200),ISNUMBER(P200)))),"○ Zeitraum offen · ",""))</f>
        <v/>
      </c>
      <c r="BB200" s="1" t="str">
        <f aca="false">IF(B200="","",IF(AND(R200="WON",AS200=0),"⛔ Nachweis fehlt",IF(AND(ISNUMBER(O200),ISNUMBER(P200),P200&lt;O200),"⚠ Ende vor Start",IF(AND(R200="WON",AY200=0),"⛔ Zeitraum fehlt",IF(AR200=0,"○ Einstand offen",IF(AY200=0,"○ Zeitraum offen",IF(R200="WON","✅ belegt","✔ erfasst")))))))</f>
        <v/>
      </c>
    </row>
    <row r="201" customFormat="false" ht="15" hidden="false" customHeight="true" outlineLevel="0" collapsed="false">
      <c r="G201" s="1" t="str">
        <f aca="false">IF(B201="","",IF(AY201=1,P201-O201+1,IF(AW201="","",AW201)))</f>
        <v/>
      </c>
      <c r="I201" s="270"/>
      <c r="J201" s="270"/>
      <c r="K201" s="270"/>
      <c r="L201" s="270"/>
      <c r="M201" s="270"/>
      <c r="N201" s="270"/>
      <c r="O201" s="263"/>
      <c r="P201" s="263"/>
      <c r="Q201" s="270" t="str">
        <f aca="false">IF(AND(ISNUMBER(I201),ISNUMBER(S201)),I201*AJ201,IF(OR(I201&lt;&gt;"",S201&lt;&gt;""),"tbd",""))</f>
        <v/>
      </c>
      <c r="S201" s="268"/>
      <c r="Y201" s="275" t="str">
        <f aca="false">IF(ISNUMBER(I201),I201/Netto_Faktor,"")</f>
        <v/>
      </c>
      <c r="Z201" s="275" t="str">
        <f aca="false">IF(B201="","",IF(COUNT(J201:N201)=0,"",SUM(J201:N201)))</f>
        <v/>
      </c>
      <c r="AA201" s="266"/>
      <c r="AB201" s="266"/>
      <c r="AC201" s="266"/>
      <c r="AD201" s="266"/>
      <c r="AE201" s="266"/>
      <c r="AF201" s="266"/>
      <c r="AG201" s="267"/>
      <c r="AH201" s="266" t="str">
        <f aca="false">IF(B201="","",IF(BA201="",IF(R201="WON","✅ belegt &amp; vollständig","✔ vollständig"),LEFT(BA201,LEN(BA201)-3)))</f>
        <v/>
      </c>
      <c r="AJ201" s="268" t="n">
        <f aca="false">IF(ISNUMBER(S201),IFERROR(LOOKUP(IF(S201&lt;=1,S201,S201/100),'⚖️ Wahrscheinlichkeit'!$B$17:$B$21,'⚖️ Wahrscheinlichkeit'!$D$17:$D$21),0),0)</f>
        <v>0</v>
      </c>
      <c r="AK201" s="1" t="str">
        <f aca="false">IF(AND(R201="WON",ISNUMBER(I201)),AL201+(861-ROW())*0.000001,"")</f>
        <v/>
      </c>
      <c r="AL201" s="1" t="n">
        <f aca="false">IFERROR(I201*1,0)</f>
        <v>0</v>
      </c>
      <c r="AM201" s="1" t="n">
        <f aca="false">N(AM200)+IF(AND(R201="WON",B201&lt;&gt;""),1,0)</f>
        <v>12</v>
      </c>
      <c r="AN201" s="1" t="n">
        <f aca="false">N(AN200)+IF(AND(OR(R201="offered",R201="to be offered",R201="on hold"),B201&lt;&gt;""),1,0)</f>
        <v>33</v>
      </c>
      <c r="AO201" s="1" t="n">
        <f aca="false">N(AO200)+IF(AND(OR(R201="follow-up",R201="Evaluation",R201="tbd",R201="In evaluation"),B201&lt;&gt;""),1,0)</f>
        <v>1</v>
      </c>
      <c r="AP201" s="1" t="n">
        <f aca="false">IF(B201="",0,IF(COUNTIF('⚖️ Wahrscheinlichkeit'!$J$17:$J$24,R201)&gt;0,1,0))</f>
        <v>0</v>
      </c>
      <c r="AQ201" s="1" t="n">
        <f aca="false">IF(B201="",0,IF(AND(ISNUMBER(S201),COUNTIF('⚖️ Wahrscheinlichkeit'!$B$6:$B$11,S201)&gt;0),1,0))</f>
        <v>0</v>
      </c>
      <c r="AR201" s="1" t="n">
        <f aca="false">IF(B201="",0,IF(AND(COUNT(J201:M201)=4,SUM(J201:M201)&gt;0),1,0))</f>
        <v>0</v>
      </c>
      <c r="AS201" s="1" t="n">
        <f aca="false">IF(B201="",0,IF(AND(AF201&lt;&gt;"",AG201&lt;&gt;""),1,0))</f>
        <v>0</v>
      </c>
      <c r="AT201" s="1" t="n">
        <f aca="false">IF(AND(R201="WON",AS201=1,AR201=1),1,0)</f>
        <v>0</v>
      </c>
      <c r="AU201" s="1" t="n">
        <f aca="false">IF(B201="",0,IF(AD201="Alternative – zählt nicht",0,1))</f>
        <v>0</v>
      </c>
      <c r="AV201" s="1" t="n">
        <f aca="false">IF(B201="",0,IF(COUNTIF($B$6:$B$860,B201)&gt;1,1,0))</f>
        <v>0</v>
      </c>
      <c r="AX201" s="269" t="str">
        <f aca="false">IF(AY201=1,DATE(YEAR(O201),MONTH(O201),1),"")</f>
        <v/>
      </c>
      <c r="AY201" s="1" t="n">
        <f aca="false">IF(B201="",0,IF(AND(ISNUMBER(O201),ISNUMBER(P201)),IF(P201&gt;=O201,1,0),0))</f>
        <v>0</v>
      </c>
      <c r="AZ201" s="1" t="n">
        <f aca="false">IF(ISNUMBER(Y201),Y201,0)</f>
        <v>0</v>
      </c>
      <c r="BA201" s="1" t="str">
        <f aca="false">IF(B201="","",IF(AND(R201="WON",AS201=0),"⛔ Beleg fehlt · ","")&amp;IF(AND(R201="WON",AR201=0),"⛔ Einstand fehlt · ","")&amp;IF(AND(R201&lt;&gt;"WON",AR201=0),"○ Einstand offen · ","")&amp;IF(AND(R201="WON",AB201=""),"⛔ Vertragsart fehlt · ","")&amp;IF(AND(ISNUMBER(O201),ISNUMBER(P201)),IF(P201&lt;O201,"⚠ Ende vor Start · ",""),"")&amp;IF(AND(R201="WON",AY201=0,NOT(AND(ISNUMBER(O201),ISNUMBER(P201)))),"⛔ Zeitraum fehlt · ","")&amp;IF(AND(R201&lt;&gt;"WON",AY201=0,NOT(AND(ISNUMBER(O201),ISNUMBER(P201)))),"○ Zeitraum offen · ",""))</f>
        <v/>
      </c>
      <c r="BB201" s="1" t="str">
        <f aca="false">IF(B201="","",IF(AND(R201="WON",AS201=0),"⛔ Nachweis fehlt",IF(AND(ISNUMBER(O201),ISNUMBER(P201),P201&lt;O201),"⚠ Ende vor Start",IF(AND(R201="WON",AY201=0),"⛔ Zeitraum fehlt",IF(AR201=0,"○ Einstand offen",IF(AY201=0,"○ Zeitraum offen",IF(R201="WON","✅ belegt","✔ erfasst")))))))</f>
        <v/>
      </c>
    </row>
    <row r="202" customFormat="false" ht="15" hidden="false" customHeight="true" outlineLevel="0" collapsed="false">
      <c r="G202" s="1" t="str">
        <f aca="false">IF(B202="","",IF(AY202=1,P202-O202+1,IF(AW202="","",AW202)))</f>
        <v/>
      </c>
      <c r="I202" s="270"/>
      <c r="J202" s="270"/>
      <c r="K202" s="270"/>
      <c r="L202" s="270"/>
      <c r="M202" s="270"/>
      <c r="N202" s="270"/>
      <c r="O202" s="263"/>
      <c r="P202" s="263"/>
      <c r="Q202" s="270" t="str">
        <f aca="false">IF(AND(ISNUMBER(I202),ISNUMBER(S202)),I202*AJ202,IF(OR(I202&lt;&gt;"",S202&lt;&gt;""),"tbd",""))</f>
        <v/>
      </c>
      <c r="S202" s="268"/>
      <c r="Y202" s="275" t="str">
        <f aca="false">IF(ISNUMBER(I202),I202/Netto_Faktor,"")</f>
        <v/>
      </c>
      <c r="Z202" s="275" t="str">
        <f aca="false">IF(B202="","",IF(COUNT(J202:N202)=0,"",SUM(J202:N202)))</f>
        <v/>
      </c>
      <c r="AA202" s="266"/>
      <c r="AB202" s="266"/>
      <c r="AC202" s="266"/>
      <c r="AD202" s="266"/>
      <c r="AE202" s="266"/>
      <c r="AF202" s="266"/>
      <c r="AG202" s="267"/>
      <c r="AH202" s="266" t="str">
        <f aca="false">IF(B202="","",IF(BA202="",IF(R202="WON","✅ belegt &amp; vollständig","✔ vollständig"),LEFT(BA202,LEN(BA202)-3)))</f>
        <v/>
      </c>
      <c r="AJ202" s="268" t="n">
        <f aca="false">IF(ISNUMBER(S202),IFERROR(LOOKUP(IF(S202&lt;=1,S202,S202/100),'⚖️ Wahrscheinlichkeit'!$B$17:$B$21,'⚖️ Wahrscheinlichkeit'!$D$17:$D$21),0),0)</f>
        <v>0</v>
      </c>
      <c r="AK202" s="1" t="str">
        <f aca="false">IF(AND(R202="WON",ISNUMBER(I202)),AL202+(861-ROW())*0.000001,"")</f>
        <v/>
      </c>
      <c r="AL202" s="1" t="n">
        <f aca="false">IFERROR(I202*1,0)</f>
        <v>0</v>
      </c>
      <c r="AM202" s="1" t="n">
        <f aca="false">N(AM201)+IF(AND(R202="WON",B202&lt;&gt;""),1,0)</f>
        <v>12</v>
      </c>
      <c r="AN202" s="1" t="n">
        <f aca="false">N(AN201)+IF(AND(OR(R202="offered",R202="to be offered",R202="on hold"),B202&lt;&gt;""),1,0)</f>
        <v>33</v>
      </c>
      <c r="AO202" s="1" t="n">
        <f aca="false">N(AO201)+IF(AND(OR(R202="follow-up",R202="Evaluation",R202="tbd",R202="In evaluation"),B202&lt;&gt;""),1,0)</f>
        <v>1</v>
      </c>
      <c r="AP202" s="1" t="n">
        <f aca="false">IF(B202="",0,IF(COUNTIF('⚖️ Wahrscheinlichkeit'!$J$17:$J$24,R202)&gt;0,1,0))</f>
        <v>0</v>
      </c>
      <c r="AQ202" s="1" t="n">
        <f aca="false">IF(B202="",0,IF(AND(ISNUMBER(S202),COUNTIF('⚖️ Wahrscheinlichkeit'!$B$6:$B$11,S202)&gt;0),1,0))</f>
        <v>0</v>
      </c>
      <c r="AR202" s="1" t="n">
        <f aca="false">IF(B202="",0,IF(AND(COUNT(J202:M202)=4,SUM(J202:M202)&gt;0),1,0))</f>
        <v>0</v>
      </c>
      <c r="AS202" s="1" t="n">
        <f aca="false">IF(B202="",0,IF(AND(AF202&lt;&gt;"",AG202&lt;&gt;""),1,0))</f>
        <v>0</v>
      </c>
      <c r="AT202" s="1" t="n">
        <f aca="false">IF(AND(R202="WON",AS202=1,AR202=1),1,0)</f>
        <v>0</v>
      </c>
      <c r="AU202" s="1" t="n">
        <f aca="false">IF(B202="",0,IF(AD202="Alternative – zählt nicht",0,1))</f>
        <v>0</v>
      </c>
      <c r="AV202" s="1" t="n">
        <f aca="false">IF(B202="",0,IF(COUNTIF($B$6:$B$860,B202)&gt;1,1,0))</f>
        <v>0</v>
      </c>
      <c r="AX202" s="269" t="str">
        <f aca="false">IF(AY202=1,DATE(YEAR(O202),MONTH(O202),1),"")</f>
        <v/>
      </c>
      <c r="AY202" s="1" t="n">
        <f aca="false">IF(B202="",0,IF(AND(ISNUMBER(O202),ISNUMBER(P202)),IF(P202&gt;=O202,1,0),0))</f>
        <v>0</v>
      </c>
      <c r="AZ202" s="1" t="n">
        <f aca="false">IF(ISNUMBER(Y202),Y202,0)</f>
        <v>0</v>
      </c>
      <c r="BA202" s="1" t="str">
        <f aca="false">IF(B202="","",IF(AND(R202="WON",AS202=0),"⛔ Beleg fehlt · ","")&amp;IF(AND(R202="WON",AR202=0),"⛔ Einstand fehlt · ","")&amp;IF(AND(R202&lt;&gt;"WON",AR202=0),"○ Einstand offen · ","")&amp;IF(AND(R202="WON",AB202=""),"⛔ Vertragsart fehlt · ","")&amp;IF(AND(ISNUMBER(O202),ISNUMBER(P202)),IF(P202&lt;O202,"⚠ Ende vor Start · ",""),"")&amp;IF(AND(R202="WON",AY202=0,NOT(AND(ISNUMBER(O202),ISNUMBER(P202)))),"⛔ Zeitraum fehlt · ","")&amp;IF(AND(R202&lt;&gt;"WON",AY202=0,NOT(AND(ISNUMBER(O202),ISNUMBER(P202)))),"○ Zeitraum offen · ",""))</f>
        <v/>
      </c>
      <c r="BB202" s="1" t="str">
        <f aca="false">IF(B202="","",IF(AND(R202="WON",AS202=0),"⛔ Nachweis fehlt",IF(AND(ISNUMBER(O202),ISNUMBER(P202),P202&lt;O202),"⚠ Ende vor Start",IF(AND(R202="WON",AY202=0),"⛔ Zeitraum fehlt",IF(AR202=0,"○ Einstand offen",IF(AY202=0,"○ Zeitraum offen",IF(R202="WON","✅ belegt","✔ erfasst")))))))</f>
        <v/>
      </c>
    </row>
    <row r="203" customFormat="false" ht="15" hidden="false" customHeight="true" outlineLevel="0" collapsed="false">
      <c r="G203" s="1" t="str">
        <f aca="false">IF(B203="","",IF(AY203=1,P203-O203+1,IF(AW203="","",AW203)))</f>
        <v/>
      </c>
      <c r="I203" s="270"/>
      <c r="J203" s="270"/>
      <c r="K203" s="270"/>
      <c r="L203" s="270"/>
      <c r="M203" s="270"/>
      <c r="N203" s="270"/>
      <c r="O203" s="263"/>
      <c r="P203" s="263"/>
      <c r="Q203" s="270" t="str">
        <f aca="false">IF(AND(ISNUMBER(I203),ISNUMBER(S203)),I203*AJ203,IF(OR(I203&lt;&gt;"",S203&lt;&gt;""),"tbd",""))</f>
        <v/>
      </c>
      <c r="S203" s="268"/>
      <c r="Y203" s="275" t="str">
        <f aca="false">IF(ISNUMBER(I203),I203/Netto_Faktor,"")</f>
        <v/>
      </c>
      <c r="Z203" s="275" t="str">
        <f aca="false">IF(B203="","",IF(COUNT(J203:N203)=0,"",SUM(J203:N203)))</f>
        <v/>
      </c>
      <c r="AA203" s="266"/>
      <c r="AB203" s="266"/>
      <c r="AC203" s="266"/>
      <c r="AD203" s="266"/>
      <c r="AE203" s="266"/>
      <c r="AF203" s="266"/>
      <c r="AG203" s="267"/>
      <c r="AH203" s="266" t="str">
        <f aca="false">IF(B203="","",IF(BA203="",IF(R203="WON","✅ belegt &amp; vollständig","✔ vollständig"),LEFT(BA203,LEN(BA203)-3)))</f>
        <v/>
      </c>
      <c r="AJ203" s="268" t="n">
        <f aca="false">IF(ISNUMBER(S203),IFERROR(LOOKUP(IF(S203&lt;=1,S203,S203/100),'⚖️ Wahrscheinlichkeit'!$B$17:$B$21,'⚖️ Wahrscheinlichkeit'!$D$17:$D$21),0),0)</f>
        <v>0</v>
      </c>
      <c r="AK203" s="1" t="str">
        <f aca="false">IF(AND(R203="WON",ISNUMBER(I203)),AL203+(861-ROW())*0.000001,"")</f>
        <v/>
      </c>
      <c r="AL203" s="1" t="n">
        <f aca="false">IFERROR(I203*1,0)</f>
        <v>0</v>
      </c>
      <c r="AM203" s="1" t="n">
        <f aca="false">N(AM202)+IF(AND(R203="WON",B203&lt;&gt;""),1,0)</f>
        <v>12</v>
      </c>
      <c r="AN203" s="1" t="n">
        <f aca="false">N(AN202)+IF(AND(OR(R203="offered",R203="to be offered",R203="on hold"),B203&lt;&gt;""),1,0)</f>
        <v>33</v>
      </c>
      <c r="AO203" s="1" t="n">
        <f aca="false">N(AO202)+IF(AND(OR(R203="follow-up",R203="Evaluation",R203="tbd",R203="In evaluation"),B203&lt;&gt;""),1,0)</f>
        <v>1</v>
      </c>
      <c r="AP203" s="1" t="n">
        <f aca="false">IF(B203="",0,IF(COUNTIF('⚖️ Wahrscheinlichkeit'!$J$17:$J$24,R203)&gt;0,1,0))</f>
        <v>0</v>
      </c>
      <c r="AQ203" s="1" t="n">
        <f aca="false">IF(B203="",0,IF(AND(ISNUMBER(S203),COUNTIF('⚖️ Wahrscheinlichkeit'!$B$6:$B$11,S203)&gt;0),1,0))</f>
        <v>0</v>
      </c>
      <c r="AR203" s="1" t="n">
        <f aca="false">IF(B203="",0,IF(AND(COUNT(J203:M203)=4,SUM(J203:M203)&gt;0),1,0))</f>
        <v>0</v>
      </c>
      <c r="AS203" s="1" t="n">
        <f aca="false">IF(B203="",0,IF(AND(AF203&lt;&gt;"",AG203&lt;&gt;""),1,0))</f>
        <v>0</v>
      </c>
      <c r="AT203" s="1" t="n">
        <f aca="false">IF(AND(R203="WON",AS203=1,AR203=1),1,0)</f>
        <v>0</v>
      </c>
      <c r="AU203" s="1" t="n">
        <f aca="false">IF(B203="",0,IF(AD203="Alternative – zählt nicht",0,1))</f>
        <v>0</v>
      </c>
      <c r="AV203" s="1" t="n">
        <f aca="false">IF(B203="",0,IF(COUNTIF($B$6:$B$860,B203)&gt;1,1,0))</f>
        <v>0</v>
      </c>
      <c r="AX203" s="269" t="str">
        <f aca="false">IF(AY203=1,DATE(YEAR(O203),MONTH(O203),1),"")</f>
        <v/>
      </c>
      <c r="AY203" s="1" t="n">
        <f aca="false">IF(B203="",0,IF(AND(ISNUMBER(O203),ISNUMBER(P203)),IF(P203&gt;=O203,1,0),0))</f>
        <v>0</v>
      </c>
      <c r="AZ203" s="1" t="n">
        <f aca="false">IF(ISNUMBER(Y203),Y203,0)</f>
        <v>0</v>
      </c>
      <c r="BA203" s="1" t="str">
        <f aca="false">IF(B203="","",IF(AND(R203="WON",AS203=0),"⛔ Beleg fehlt · ","")&amp;IF(AND(R203="WON",AR203=0),"⛔ Einstand fehlt · ","")&amp;IF(AND(R203&lt;&gt;"WON",AR203=0),"○ Einstand offen · ","")&amp;IF(AND(R203="WON",AB203=""),"⛔ Vertragsart fehlt · ","")&amp;IF(AND(ISNUMBER(O203),ISNUMBER(P203)),IF(P203&lt;O203,"⚠ Ende vor Start · ",""),"")&amp;IF(AND(R203="WON",AY203=0,NOT(AND(ISNUMBER(O203),ISNUMBER(P203)))),"⛔ Zeitraum fehlt · ","")&amp;IF(AND(R203&lt;&gt;"WON",AY203=0,NOT(AND(ISNUMBER(O203),ISNUMBER(P203)))),"○ Zeitraum offen · ",""))</f>
        <v/>
      </c>
      <c r="BB203" s="1" t="str">
        <f aca="false">IF(B203="","",IF(AND(R203="WON",AS203=0),"⛔ Nachweis fehlt",IF(AND(ISNUMBER(O203),ISNUMBER(P203),P203&lt;O203),"⚠ Ende vor Start",IF(AND(R203="WON",AY203=0),"⛔ Zeitraum fehlt",IF(AR203=0,"○ Einstand offen",IF(AY203=0,"○ Zeitraum offen",IF(R203="WON","✅ belegt","✔ erfasst")))))))</f>
        <v/>
      </c>
    </row>
    <row r="204" customFormat="false" ht="15" hidden="false" customHeight="true" outlineLevel="0" collapsed="false">
      <c r="G204" s="1" t="str">
        <f aca="false">IF(B204="","",IF(AY204=1,P204-O204+1,IF(AW204="","",AW204)))</f>
        <v/>
      </c>
      <c r="I204" s="270"/>
      <c r="J204" s="270"/>
      <c r="K204" s="270"/>
      <c r="L204" s="270"/>
      <c r="M204" s="270"/>
      <c r="N204" s="270"/>
      <c r="O204" s="263"/>
      <c r="P204" s="263"/>
      <c r="Q204" s="270" t="str">
        <f aca="false">IF(AND(ISNUMBER(I204),ISNUMBER(S204)),I204*AJ204,IF(OR(I204&lt;&gt;"",S204&lt;&gt;""),"tbd",""))</f>
        <v/>
      </c>
      <c r="S204" s="268"/>
      <c r="Y204" s="275" t="str">
        <f aca="false">IF(ISNUMBER(I204),I204/Netto_Faktor,"")</f>
        <v/>
      </c>
      <c r="Z204" s="275" t="str">
        <f aca="false">IF(B204="","",IF(COUNT(J204:N204)=0,"",SUM(J204:N204)))</f>
        <v/>
      </c>
      <c r="AA204" s="266"/>
      <c r="AB204" s="266"/>
      <c r="AC204" s="266"/>
      <c r="AD204" s="266"/>
      <c r="AE204" s="266"/>
      <c r="AF204" s="266"/>
      <c r="AG204" s="267"/>
      <c r="AH204" s="266" t="str">
        <f aca="false">IF(B204="","",IF(BA204="",IF(R204="WON","✅ belegt &amp; vollständig","✔ vollständig"),LEFT(BA204,LEN(BA204)-3)))</f>
        <v/>
      </c>
      <c r="AJ204" s="268" t="n">
        <f aca="false">IF(ISNUMBER(S204),IFERROR(LOOKUP(IF(S204&lt;=1,S204,S204/100),'⚖️ Wahrscheinlichkeit'!$B$17:$B$21,'⚖️ Wahrscheinlichkeit'!$D$17:$D$21),0),0)</f>
        <v>0</v>
      </c>
      <c r="AK204" s="1" t="str">
        <f aca="false">IF(AND(R204="WON",ISNUMBER(I204)),AL204+(861-ROW())*0.000001,"")</f>
        <v/>
      </c>
      <c r="AL204" s="1" t="n">
        <f aca="false">IFERROR(I204*1,0)</f>
        <v>0</v>
      </c>
      <c r="AM204" s="1" t="n">
        <f aca="false">N(AM203)+IF(AND(R204="WON",B204&lt;&gt;""),1,0)</f>
        <v>12</v>
      </c>
      <c r="AN204" s="1" t="n">
        <f aca="false">N(AN203)+IF(AND(OR(R204="offered",R204="to be offered",R204="on hold"),B204&lt;&gt;""),1,0)</f>
        <v>33</v>
      </c>
      <c r="AO204" s="1" t="n">
        <f aca="false">N(AO203)+IF(AND(OR(R204="follow-up",R204="Evaluation",R204="tbd",R204="In evaluation"),B204&lt;&gt;""),1,0)</f>
        <v>1</v>
      </c>
      <c r="AP204" s="1" t="n">
        <f aca="false">IF(B204="",0,IF(COUNTIF('⚖️ Wahrscheinlichkeit'!$J$17:$J$24,R204)&gt;0,1,0))</f>
        <v>0</v>
      </c>
      <c r="AQ204" s="1" t="n">
        <f aca="false">IF(B204="",0,IF(AND(ISNUMBER(S204),COUNTIF('⚖️ Wahrscheinlichkeit'!$B$6:$B$11,S204)&gt;0),1,0))</f>
        <v>0</v>
      </c>
      <c r="AR204" s="1" t="n">
        <f aca="false">IF(B204="",0,IF(AND(COUNT(J204:M204)=4,SUM(J204:M204)&gt;0),1,0))</f>
        <v>0</v>
      </c>
      <c r="AS204" s="1" t="n">
        <f aca="false">IF(B204="",0,IF(AND(AF204&lt;&gt;"",AG204&lt;&gt;""),1,0))</f>
        <v>0</v>
      </c>
      <c r="AT204" s="1" t="n">
        <f aca="false">IF(AND(R204="WON",AS204=1,AR204=1),1,0)</f>
        <v>0</v>
      </c>
      <c r="AU204" s="1" t="n">
        <f aca="false">IF(B204="",0,IF(AD204="Alternative – zählt nicht",0,1))</f>
        <v>0</v>
      </c>
      <c r="AV204" s="1" t="n">
        <f aca="false">IF(B204="",0,IF(COUNTIF($B$6:$B$860,B204)&gt;1,1,0))</f>
        <v>0</v>
      </c>
      <c r="AX204" s="269" t="str">
        <f aca="false">IF(AY204=1,DATE(YEAR(O204),MONTH(O204),1),"")</f>
        <v/>
      </c>
      <c r="AY204" s="1" t="n">
        <f aca="false">IF(B204="",0,IF(AND(ISNUMBER(O204),ISNUMBER(P204)),IF(P204&gt;=O204,1,0),0))</f>
        <v>0</v>
      </c>
      <c r="AZ204" s="1" t="n">
        <f aca="false">IF(ISNUMBER(Y204),Y204,0)</f>
        <v>0</v>
      </c>
      <c r="BA204" s="1" t="str">
        <f aca="false">IF(B204="","",IF(AND(R204="WON",AS204=0),"⛔ Beleg fehlt · ","")&amp;IF(AND(R204="WON",AR204=0),"⛔ Einstand fehlt · ","")&amp;IF(AND(R204&lt;&gt;"WON",AR204=0),"○ Einstand offen · ","")&amp;IF(AND(R204="WON",AB204=""),"⛔ Vertragsart fehlt · ","")&amp;IF(AND(ISNUMBER(O204),ISNUMBER(P204)),IF(P204&lt;O204,"⚠ Ende vor Start · ",""),"")&amp;IF(AND(R204="WON",AY204=0,NOT(AND(ISNUMBER(O204),ISNUMBER(P204)))),"⛔ Zeitraum fehlt · ","")&amp;IF(AND(R204&lt;&gt;"WON",AY204=0,NOT(AND(ISNUMBER(O204),ISNUMBER(P204)))),"○ Zeitraum offen · ",""))</f>
        <v/>
      </c>
      <c r="BB204" s="1" t="str">
        <f aca="false">IF(B204="","",IF(AND(R204="WON",AS204=0),"⛔ Nachweis fehlt",IF(AND(ISNUMBER(O204),ISNUMBER(P204),P204&lt;O204),"⚠ Ende vor Start",IF(AND(R204="WON",AY204=0),"⛔ Zeitraum fehlt",IF(AR204=0,"○ Einstand offen",IF(AY204=0,"○ Zeitraum offen",IF(R204="WON","✅ belegt","✔ erfasst")))))))</f>
        <v/>
      </c>
    </row>
    <row r="205" customFormat="false" ht="15" hidden="false" customHeight="true" outlineLevel="0" collapsed="false">
      <c r="G205" s="1" t="str">
        <f aca="false">IF(B205="","",IF(AY205=1,P205-O205+1,IF(AW205="","",AW205)))</f>
        <v/>
      </c>
      <c r="I205" s="270"/>
      <c r="J205" s="270"/>
      <c r="K205" s="270"/>
      <c r="L205" s="270"/>
      <c r="M205" s="270"/>
      <c r="N205" s="270"/>
      <c r="O205" s="263"/>
      <c r="P205" s="263"/>
      <c r="Q205" s="270" t="str">
        <f aca="false">IF(AND(ISNUMBER(I205),ISNUMBER(S205)),I205*AJ205,IF(OR(I205&lt;&gt;"",S205&lt;&gt;""),"tbd",""))</f>
        <v/>
      </c>
      <c r="S205" s="268"/>
      <c r="Y205" s="275" t="str">
        <f aca="false">IF(ISNUMBER(I205),I205/Netto_Faktor,"")</f>
        <v/>
      </c>
      <c r="Z205" s="275" t="str">
        <f aca="false">IF(B205="","",IF(COUNT(J205:N205)=0,"",SUM(J205:N205)))</f>
        <v/>
      </c>
      <c r="AA205" s="266"/>
      <c r="AB205" s="266"/>
      <c r="AC205" s="266"/>
      <c r="AD205" s="266"/>
      <c r="AE205" s="266"/>
      <c r="AF205" s="266"/>
      <c r="AG205" s="267"/>
      <c r="AH205" s="266" t="str">
        <f aca="false">IF(B205="","",IF(BA205="",IF(R205="WON","✅ belegt &amp; vollständig","✔ vollständig"),LEFT(BA205,LEN(BA205)-3)))</f>
        <v/>
      </c>
      <c r="AJ205" s="268" t="n">
        <f aca="false">IF(ISNUMBER(S205),IFERROR(LOOKUP(IF(S205&lt;=1,S205,S205/100),'⚖️ Wahrscheinlichkeit'!$B$17:$B$21,'⚖️ Wahrscheinlichkeit'!$D$17:$D$21),0),0)</f>
        <v>0</v>
      </c>
      <c r="AK205" s="1" t="str">
        <f aca="false">IF(AND(R205="WON",ISNUMBER(I205)),AL205+(861-ROW())*0.000001,"")</f>
        <v/>
      </c>
      <c r="AL205" s="1" t="n">
        <f aca="false">IFERROR(I205*1,0)</f>
        <v>0</v>
      </c>
      <c r="AM205" s="1" t="n">
        <f aca="false">N(AM204)+IF(AND(R205="WON",B205&lt;&gt;""),1,0)</f>
        <v>12</v>
      </c>
      <c r="AN205" s="1" t="n">
        <f aca="false">N(AN204)+IF(AND(OR(R205="offered",R205="to be offered",R205="on hold"),B205&lt;&gt;""),1,0)</f>
        <v>33</v>
      </c>
      <c r="AO205" s="1" t="n">
        <f aca="false">N(AO204)+IF(AND(OR(R205="follow-up",R205="Evaluation",R205="tbd",R205="In evaluation"),B205&lt;&gt;""),1,0)</f>
        <v>1</v>
      </c>
      <c r="AP205" s="1" t="n">
        <f aca="false">IF(B205="",0,IF(COUNTIF('⚖️ Wahrscheinlichkeit'!$J$17:$J$24,R205)&gt;0,1,0))</f>
        <v>0</v>
      </c>
      <c r="AQ205" s="1" t="n">
        <f aca="false">IF(B205="",0,IF(AND(ISNUMBER(S205),COUNTIF('⚖️ Wahrscheinlichkeit'!$B$6:$B$11,S205)&gt;0),1,0))</f>
        <v>0</v>
      </c>
      <c r="AR205" s="1" t="n">
        <f aca="false">IF(B205="",0,IF(AND(COUNT(J205:M205)=4,SUM(J205:M205)&gt;0),1,0))</f>
        <v>0</v>
      </c>
      <c r="AS205" s="1" t="n">
        <f aca="false">IF(B205="",0,IF(AND(AF205&lt;&gt;"",AG205&lt;&gt;""),1,0))</f>
        <v>0</v>
      </c>
      <c r="AT205" s="1" t="n">
        <f aca="false">IF(AND(R205="WON",AS205=1,AR205=1),1,0)</f>
        <v>0</v>
      </c>
      <c r="AU205" s="1" t="n">
        <f aca="false">IF(B205="",0,IF(AD205="Alternative – zählt nicht",0,1))</f>
        <v>0</v>
      </c>
      <c r="AV205" s="1" t="n">
        <f aca="false">IF(B205="",0,IF(COUNTIF($B$6:$B$860,B205)&gt;1,1,0))</f>
        <v>0</v>
      </c>
      <c r="AX205" s="269" t="str">
        <f aca="false">IF(AY205=1,DATE(YEAR(O205),MONTH(O205),1),"")</f>
        <v/>
      </c>
      <c r="AY205" s="1" t="n">
        <f aca="false">IF(B205="",0,IF(AND(ISNUMBER(O205),ISNUMBER(P205)),IF(P205&gt;=O205,1,0),0))</f>
        <v>0</v>
      </c>
      <c r="AZ205" s="1" t="n">
        <f aca="false">IF(ISNUMBER(Y205),Y205,0)</f>
        <v>0</v>
      </c>
      <c r="BA205" s="1" t="str">
        <f aca="false">IF(B205="","",IF(AND(R205="WON",AS205=0),"⛔ Beleg fehlt · ","")&amp;IF(AND(R205="WON",AR205=0),"⛔ Einstand fehlt · ","")&amp;IF(AND(R205&lt;&gt;"WON",AR205=0),"○ Einstand offen · ","")&amp;IF(AND(R205="WON",AB205=""),"⛔ Vertragsart fehlt · ","")&amp;IF(AND(ISNUMBER(O205),ISNUMBER(P205)),IF(P205&lt;O205,"⚠ Ende vor Start · ",""),"")&amp;IF(AND(R205="WON",AY205=0,NOT(AND(ISNUMBER(O205),ISNUMBER(P205)))),"⛔ Zeitraum fehlt · ","")&amp;IF(AND(R205&lt;&gt;"WON",AY205=0,NOT(AND(ISNUMBER(O205),ISNUMBER(P205)))),"○ Zeitraum offen · ",""))</f>
        <v/>
      </c>
      <c r="BB205" s="1" t="str">
        <f aca="false">IF(B205="","",IF(AND(R205="WON",AS205=0),"⛔ Nachweis fehlt",IF(AND(ISNUMBER(O205),ISNUMBER(P205),P205&lt;O205),"⚠ Ende vor Start",IF(AND(R205="WON",AY205=0),"⛔ Zeitraum fehlt",IF(AR205=0,"○ Einstand offen",IF(AY205=0,"○ Zeitraum offen",IF(R205="WON","✅ belegt","✔ erfasst")))))))</f>
        <v/>
      </c>
    </row>
    <row r="206" customFormat="false" ht="15" hidden="false" customHeight="true" outlineLevel="0" collapsed="false">
      <c r="G206" s="1" t="str">
        <f aca="false">IF(B206="","",IF(AY206=1,P206-O206+1,IF(AW206="","",AW206)))</f>
        <v/>
      </c>
      <c r="I206" s="270"/>
      <c r="J206" s="270"/>
      <c r="K206" s="270"/>
      <c r="L206" s="270"/>
      <c r="M206" s="270"/>
      <c r="N206" s="270"/>
      <c r="O206" s="263"/>
      <c r="P206" s="263"/>
      <c r="Q206" s="270" t="str">
        <f aca="false">IF(AND(ISNUMBER(I206),ISNUMBER(S206)),I206*AJ206,IF(OR(I206&lt;&gt;"",S206&lt;&gt;""),"tbd",""))</f>
        <v/>
      </c>
      <c r="S206" s="268"/>
      <c r="Y206" s="275" t="str">
        <f aca="false">IF(ISNUMBER(I206),I206/Netto_Faktor,"")</f>
        <v/>
      </c>
      <c r="Z206" s="275" t="str">
        <f aca="false">IF(B206="","",IF(COUNT(J206:N206)=0,"",SUM(J206:N206)))</f>
        <v/>
      </c>
      <c r="AA206" s="266"/>
      <c r="AB206" s="266"/>
      <c r="AC206" s="266"/>
      <c r="AD206" s="266"/>
      <c r="AE206" s="266"/>
      <c r="AF206" s="266"/>
      <c r="AG206" s="267"/>
      <c r="AH206" s="266" t="str">
        <f aca="false">IF(B206="","",IF(BA206="",IF(R206="WON","✅ belegt &amp; vollständig","✔ vollständig"),LEFT(BA206,LEN(BA206)-3)))</f>
        <v/>
      </c>
      <c r="AJ206" s="268" t="n">
        <f aca="false">IF(ISNUMBER(S206),IFERROR(LOOKUP(IF(S206&lt;=1,S206,S206/100),'⚖️ Wahrscheinlichkeit'!$B$17:$B$21,'⚖️ Wahrscheinlichkeit'!$D$17:$D$21),0),0)</f>
        <v>0</v>
      </c>
      <c r="AK206" s="1" t="str">
        <f aca="false">IF(AND(R206="WON",ISNUMBER(I206)),AL206+(861-ROW())*0.000001,"")</f>
        <v/>
      </c>
      <c r="AL206" s="1" t="n">
        <f aca="false">IFERROR(I206*1,0)</f>
        <v>0</v>
      </c>
      <c r="AM206" s="1" t="n">
        <f aca="false">N(AM205)+IF(AND(R206="WON",B206&lt;&gt;""),1,0)</f>
        <v>12</v>
      </c>
      <c r="AN206" s="1" t="n">
        <f aca="false">N(AN205)+IF(AND(OR(R206="offered",R206="to be offered",R206="on hold"),B206&lt;&gt;""),1,0)</f>
        <v>33</v>
      </c>
      <c r="AO206" s="1" t="n">
        <f aca="false">N(AO205)+IF(AND(OR(R206="follow-up",R206="Evaluation",R206="tbd",R206="In evaluation"),B206&lt;&gt;""),1,0)</f>
        <v>1</v>
      </c>
      <c r="AP206" s="1" t="n">
        <f aca="false">IF(B206="",0,IF(COUNTIF('⚖️ Wahrscheinlichkeit'!$J$17:$J$24,R206)&gt;0,1,0))</f>
        <v>0</v>
      </c>
      <c r="AQ206" s="1" t="n">
        <f aca="false">IF(B206="",0,IF(AND(ISNUMBER(S206),COUNTIF('⚖️ Wahrscheinlichkeit'!$B$6:$B$11,S206)&gt;0),1,0))</f>
        <v>0</v>
      </c>
      <c r="AR206" s="1" t="n">
        <f aca="false">IF(B206="",0,IF(AND(COUNT(J206:M206)=4,SUM(J206:M206)&gt;0),1,0))</f>
        <v>0</v>
      </c>
      <c r="AS206" s="1" t="n">
        <f aca="false">IF(B206="",0,IF(AND(AF206&lt;&gt;"",AG206&lt;&gt;""),1,0))</f>
        <v>0</v>
      </c>
      <c r="AT206" s="1" t="n">
        <f aca="false">IF(AND(R206="WON",AS206=1,AR206=1),1,0)</f>
        <v>0</v>
      </c>
      <c r="AU206" s="1" t="n">
        <f aca="false">IF(B206="",0,IF(AD206="Alternative – zählt nicht",0,1))</f>
        <v>0</v>
      </c>
      <c r="AV206" s="1" t="n">
        <f aca="false">IF(B206="",0,IF(COUNTIF($B$6:$B$860,B206)&gt;1,1,0))</f>
        <v>0</v>
      </c>
      <c r="AX206" s="269" t="str">
        <f aca="false">IF(AY206=1,DATE(YEAR(O206),MONTH(O206),1),"")</f>
        <v/>
      </c>
      <c r="AY206" s="1" t="n">
        <f aca="false">IF(B206="",0,IF(AND(ISNUMBER(O206),ISNUMBER(P206)),IF(P206&gt;=O206,1,0),0))</f>
        <v>0</v>
      </c>
      <c r="AZ206" s="1" t="n">
        <f aca="false">IF(ISNUMBER(Y206),Y206,0)</f>
        <v>0</v>
      </c>
      <c r="BA206" s="1" t="str">
        <f aca="false">IF(B206="","",IF(AND(R206="WON",AS206=0),"⛔ Beleg fehlt · ","")&amp;IF(AND(R206="WON",AR206=0),"⛔ Einstand fehlt · ","")&amp;IF(AND(R206&lt;&gt;"WON",AR206=0),"○ Einstand offen · ","")&amp;IF(AND(R206="WON",AB206=""),"⛔ Vertragsart fehlt · ","")&amp;IF(AND(ISNUMBER(O206),ISNUMBER(P206)),IF(P206&lt;O206,"⚠ Ende vor Start · ",""),"")&amp;IF(AND(R206="WON",AY206=0,NOT(AND(ISNUMBER(O206),ISNUMBER(P206)))),"⛔ Zeitraum fehlt · ","")&amp;IF(AND(R206&lt;&gt;"WON",AY206=0,NOT(AND(ISNUMBER(O206),ISNUMBER(P206)))),"○ Zeitraum offen · ",""))</f>
        <v/>
      </c>
      <c r="BB206" s="1" t="str">
        <f aca="false">IF(B206="","",IF(AND(R206="WON",AS206=0),"⛔ Nachweis fehlt",IF(AND(ISNUMBER(O206),ISNUMBER(P206),P206&lt;O206),"⚠ Ende vor Start",IF(AND(R206="WON",AY206=0),"⛔ Zeitraum fehlt",IF(AR206=0,"○ Einstand offen",IF(AY206=0,"○ Zeitraum offen",IF(R206="WON","✅ belegt","✔ erfasst")))))))</f>
        <v/>
      </c>
    </row>
    <row r="207" customFormat="false" ht="15" hidden="false" customHeight="true" outlineLevel="0" collapsed="false">
      <c r="G207" s="1" t="str">
        <f aca="false">IF(B207="","",IF(AY207=1,P207-O207+1,IF(AW207="","",AW207)))</f>
        <v/>
      </c>
      <c r="I207" s="270"/>
      <c r="J207" s="270"/>
      <c r="K207" s="270"/>
      <c r="L207" s="270"/>
      <c r="M207" s="270"/>
      <c r="N207" s="270"/>
      <c r="O207" s="263"/>
      <c r="P207" s="263"/>
      <c r="Q207" s="270" t="str">
        <f aca="false">IF(AND(ISNUMBER(I207),ISNUMBER(S207)),I207*AJ207,IF(OR(I207&lt;&gt;"",S207&lt;&gt;""),"tbd",""))</f>
        <v/>
      </c>
      <c r="S207" s="268"/>
      <c r="Y207" s="275" t="str">
        <f aca="false">IF(ISNUMBER(I207),I207/Netto_Faktor,"")</f>
        <v/>
      </c>
      <c r="Z207" s="275" t="str">
        <f aca="false">IF(B207="","",IF(COUNT(J207:N207)=0,"",SUM(J207:N207)))</f>
        <v/>
      </c>
      <c r="AA207" s="266"/>
      <c r="AB207" s="266"/>
      <c r="AC207" s="266"/>
      <c r="AD207" s="266"/>
      <c r="AE207" s="266"/>
      <c r="AF207" s="266"/>
      <c r="AG207" s="267"/>
      <c r="AH207" s="266" t="str">
        <f aca="false">IF(B207="","",IF(BA207="",IF(R207="WON","✅ belegt &amp; vollständig","✔ vollständig"),LEFT(BA207,LEN(BA207)-3)))</f>
        <v/>
      </c>
      <c r="AJ207" s="268" t="n">
        <f aca="false">IF(ISNUMBER(S207),IFERROR(LOOKUP(IF(S207&lt;=1,S207,S207/100),'⚖️ Wahrscheinlichkeit'!$B$17:$B$21,'⚖️ Wahrscheinlichkeit'!$D$17:$D$21),0),0)</f>
        <v>0</v>
      </c>
      <c r="AK207" s="1" t="str">
        <f aca="false">IF(AND(R207="WON",ISNUMBER(I207)),AL207+(861-ROW())*0.000001,"")</f>
        <v/>
      </c>
      <c r="AL207" s="1" t="n">
        <f aca="false">IFERROR(I207*1,0)</f>
        <v>0</v>
      </c>
      <c r="AM207" s="1" t="n">
        <f aca="false">N(AM206)+IF(AND(R207="WON",B207&lt;&gt;""),1,0)</f>
        <v>12</v>
      </c>
      <c r="AN207" s="1" t="n">
        <f aca="false">N(AN206)+IF(AND(OR(R207="offered",R207="to be offered",R207="on hold"),B207&lt;&gt;""),1,0)</f>
        <v>33</v>
      </c>
      <c r="AO207" s="1" t="n">
        <f aca="false">N(AO206)+IF(AND(OR(R207="follow-up",R207="Evaluation",R207="tbd",R207="In evaluation"),B207&lt;&gt;""),1,0)</f>
        <v>1</v>
      </c>
      <c r="AP207" s="1" t="n">
        <f aca="false">IF(B207="",0,IF(COUNTIF('⚖️ Wahrscheinlichkeit'!$J$17:$J$24,R207)&gt;0,1,0))</f>
        <v>0</v>
      </c>
      <c r="AQ207" s="1" t="n">
        <f aca="false">IF(B207="",0,IF(AND(ISNUMBER(S207),COUNTIF('⚖️ Wahrscheinlichkeit'!$B$6:$B$11,S207)&gt;0),1,0))</f>
        <v>0</v>
      </c>
      <c r="AR207" s="1" t="n">
        <f aca="false">IF(B207="",0,IF(AND(COUNT(J207:M207)=4,SUM(J207:M207)&gt;0),1,0))</f>
        <v>0</v>
      </c>
      <c r="AS207" s="1" t="n">
        <f aca="false">IF(B207="",0,IF(AND(AF207&lt;&gt;"",AG207&lt;&gt;""),1,0))</f>
        <v>0</v>
      </c>
      <c r="AT207" s="1" t="n">
        <f aca="false">IF(AND(R207="WON",AS207=1,AR207=1),1,0)</f>
        <v>0</v>
      </c>
      <c r="AU207" s="1" t="n">
        <f aca="false">IF(B207="",0,IF(AD207="Alternative – zählt nicht",0,1))</f>
        <v>0</v>
      </c>
      <c r="AV207" s="1" t="n">
        <f aca="false">IF(B207="",0,IF(COUNTIF($B$6:$B$860,B207)&gt;1,1,0))</f>
        <v>0</v>
      </c>
      <c r="AX207" s="269" t="str">
        <f aca="false">IF(AY207=1,DATE(YEAR(O207),MONTH(O207),1),"")</f>
        <v/>
      </c>
      <c r="AY207" s="1" t="n">
        <f aca="false">IF(B207="",0,IF(AND(ISNUMBER(O207),ISNUMBER(P207)),IF(P207&gt;=O207,1,0),0))</f>
        <v>0</v>
      </c>
      <c r="AZ207" s="1" t="n">
        <f aca="false">IF(ISNUMBER(Y207),Y207,0)</f>
        <v>0</v>
      </c>
      <c r="BA207" s="1" t="str">
        <f aca="false">IF(B207="","",IF(AND(R207="WON",AS207=0),"⛔ Beleg fehlt · ","")&amp;IF(AND(R207="WON",AR207=0),"⛔ Einstand fehlt · ","")&amp;IF(AND(R207&lt;&gt;"WON",AR207=0),"○ Einstand offen · ","")&amp;IF(AND(R207="WON",AB207=""),"⛔ Vertragsart fehlt · ","")&amp;IF(AND(ISNUMBER(O207),ISNUMBER(P207)),IF(P207&lt;O207,"⚠ Ende vor Start · ",""),"")&amp;IF(AND(R207="WON",AY207=0,NOT(AND(ISNUMBER(O207),ISNUMBER(P207)))),"⛔ Zeitraum fehlt · ","")&amp;IF(AND(R207&lt;&gt;"WON",AY207=0,NOT(AND(ISNUMBER(O207),ISNUMBER(P207)))),"○ Zeitraum offen · ",""))</f>
        <v/>
      </c>
      <c r="BB207" s="1" t="str">
        <f aca="false">IF(B207="","",IF(AND(R207="WON",AS207=0),"⛔ Nachweis fehlt",IF(AND(ISNUMBER(O207),ISNUMBER(P207),P207&lt;O207),"⚠ Ende vor Start",IF(AND(R207="WON",AY207=0),"⛔ Zeitraum fehlt",IF(AR207=0,"○ Einstand offen",IF(AY207=0,"○ Zeitraum offen",IF(R207="WON","✅ belegt","✔ erfasst")))))))</f>
        <v/>
      </c>
    </row>
    <row r="208" customFormat="false" ht="15" hidden="false" customHeight="true" outlineLevel="0" collapsed="false">
      <c r="G208" s="1" t="str">
        <f aca="false">IF(B208="","",IF(AY208=1,P208-O208+1,IF(AW208="","",AW208)))</f>
        <v/>
      </c>
      <c r="I208" s="270"/>
      <c r="J208" s="270"/>
      <c r="K208" s="270"/>
      <c r="L208" s="270"/>
      <c r="M208" s="270"/>
      <c r="N208" s="270"/>
      <c r="O208" s="263"/>
      <c r="P208" s="263"/>
      <c r="Q208" s="270" t="str">
        <f aca="false">IF(AND(ISNUMBER(I208),ISNUMBER(S208)),I208*AJ208,IF(OR(I208&lt;&gt;"",S208&lt;&gt;""),"tbd",""))</f>
        <v/>
      </c>
      <c r="S208" s="268"/>
      <c r="Y208" s="275" t="str">
        <f aca="false">IF(ISNUMBER(I208),I208/Netto_Faktor,"")</f>
        <v/>
      </c>
      <c r="Z208" s="275" t="str">
        <f aca="false">IF(B208="","",IF(COUNT(J208:N208)=0,"",SUM(J208:N208)))</f>
        <v/>
      </c>
      <c r="AA208" s="266"/>
      <c r="AB208" s="266"/>
      <c r="AC208" s="266"/>
      <c r="AD208" s="266"/>
      <c r="AE208" s="266"/>
      <c r="AF208" s="266"/>
      <c r="AG208" s="267"/>
      <c r="AH208" s="266" t="str">
        <f aca="false">IF(B208="","",IF(BA208="",IF(R208="WON","✅ belegt &amp; vollständig","✔ vollständig"),LEFT(BA208,LEN(BA208)-3)))</f>
        <v/>
      </c>
      <c r="AJ208" s="268" t="n">
        <f aca="false">IF(ISNUMBER(S208),IFERROR(LOOKUP(IF(S208&lt;=1,S208,S208/100),'⚖️ Wahrscheinlichkeit'!$B$17:$B$21,'⚖️ Wahrscheinlichkeit'!$D$17:$D$21),0),0)</f>
        <v>0</v>
      </c>
      <c r="AK208" s="1" t="str">
        <f aca="false">IF(AND(R208="WON",ISNUMBER(I208)),AL208+(861-ROW())*0.000001,"")</f>
        <v/>
      </c>
      <c r="AL208" s="1" t="n">
        <f aca="false">IFERROR(I208*1,0)</f>
        <v>0</v>
      </c>
      <c r="AM208" s="1" t="n">
        <f aca="false">N(AM207)+IF(AND(R208="WON",B208&lt;&gt;""),1,0)</f>
        <v>12</v>
      </c>
      <c r="AN208" s="1" t="n">
        <f aca="false">N(AN207)+IF(AND(OR(R208="offered",R208="to be offered",R208="on hold"),B208&lt;&gt;""),1,0)</f>
        <v>33</v>
      </c>
      <c r="AO208" s="1" t="n">
        <f aca="false">N(AO207)+IF(AND(OR(R208="follow-up",R208="Evaluation",R208="tbd",R208="In evaluation"),B208&lt;&gt;""),1,0)</f>
        <v>1</v>
      </c>
      <c r="AP208" s="1" t="n">
        <f aca="false">IF(B208="",0,IF(COUNTIF('⚖️ Wahrscheinlichkeit'!$J$17:$J$24,R208)&gt;0,1,0))</f>
        <v>0</v>
      </c>
      <c r="AQ208" s="1" t="n">
        <f aca="false">IF(B208="",0,IF(AND(ISNUMBER(S208),COUNTIF('⚖️ Wahrscheinlichkeit'!$B$6:$B$11,S208)&gt;0),1,0))</f>
        <v>0</v>
      </c>
      <c r="AR208" s="1" t="n">
        <f aca="false">IF(B208="",0,IF(AND(COUNT(J208:M208)=4,SUM(J208:M208)&gt;0),1,0))</f>
        <v>0</v>
      </c>
      <c r="AS208" s="1" t="n">
        <f aca="false">IF(B208="",0,IF(AND(AF208&lt;&gt;"",AG208&lt;&gt;""),1,0))</f>
        <v>0</v>
      </c>
      <c r="AT208" s="1" t="n">
        <f aca="false">IF(AND(R208="WON",AS208=1,AR208=1),1,0)</f>
        <v>0</v>
      </c>
      <c r="AU208" s="1" t="n">
        <f aca="false">IF(B208="",0,IF(AD208="Alternative – zählt nicht",0,1))</f>
        <v>0</v>
      </c>
      <c r="AV208" s="1" t="n">
        <f aca="false">IF(B208="",0,IF(COUNTIF($B$6:$B$860,B208)&gt;1,1,0))</f>
        <v>0</v>
      </c>
      <c r="AX208" s="269" t="str">
        <f aca="false">IF(AY208=1,DATE(YEAR(O208),MONTH(O208),1),"")</f>
        <v/>
      </c>
      <c r="AY208" s="1" t="n">
        <f aca="false">IF(B208="",0,IF(AND(ISNUMBER(O208),ISNUMBER(P208)),IF(P208&gt;=O208,1,0),0))</f>
        <v>0</v>
      </c>
      <c r="AZ208" s="1" t="n">
        <f aca="false">IF(ISNUMBER(Y208),Y208,0)</f>
        <v>0</v>
      </c>
      <c r="BA208" s="1" t="str">
        <f aca="false">IF(B208="","",IF(AND(R208="WON",AS208=0),"⛔ Beleg fehlt · ","")&amp;IF(AND(R208="WON",AR208=0),"⛔ Einstand fehlt · ","")&amp;IF(AND(R208&lt;&gt;"WON",AR208=0),"○ Einstand offen · ","")&amp;IF(AND(R208="WON",AB208=""),"⛔ Vertragsart fehlt · ","")&amp;IF(AND(ISNUMBER(O208),ISNUMBER(P208)),IF(P208&lt;O208,"⚠ Ende vor Start · ",""),"")&amp;IF(AND(R208="WON",AY208=0,NOT(AND(ISNUMBER(O208),ISNUMBER(P208)))),"⛔ Zeitraum fehlt · ","")&amp;IF(AND(R208&lt;&gt;"WON",AY208=0,NOT(AND(ISNUMBER(O208),ISNUMBER(P208)))),"○ Zeitraum offen · ",""))</f>
        <v/>
      </c>
      <c r="BB208" s="1" t="str">
        <f aca="false">IF(B208="","",IF(AND(R208="WON",AS208=0),"⛔ Nachweis fehlt",IF(AND(ISNUMBER(O208),ISNUMBER(P208),P208&lt;O208),"⚠ Ende vor Start",IF(AND(R208="WON",AY208=0),"⛔ Zeitraum fehlt",IF(AR208=0,"○ Einstand offen",IF(AY208=0,"○ Zeitraum offen",IF(R208="WON","✅ belegt","✔ erfasst")))))))</f>
        <v/>
      </c>
    </row>
    <row r="209" customFormat="false" ht="15" hidden="false" customHeight="true" outlineLevel="0" collapsed="false">
      <c r="G209" s="1" t="str">
        <f aca="false">IF(B209="","",IF(AY209=1,P209-O209+1,IF(AW209="","",AW209)))</f>
        <v/>
      </c>
      <c r="I209" s="270"/>
      <c r="J209" s="270"/>
      <c r="K209" s="270"/>
      <c r="L209" s="270"/>
      <c r="M209" s="270"/>
      <c r="N209" s="270"/>
      <c r="O209" s="263"/>
      <c r="P209" s="263"/>
      <c r="Q209" s="270" t="str">
        <f aca="false">IF(AND(ISNUMBER(I209),ISNUMBER(S209)),I209*AJ209,IF(OR(I209&lt;&gt;"",S209&lt;&gt;""),"tbd",""))</f>
        <v/>
      </c>
      <c r="S209" s="268"/>
      <c r="Y209" s="275" t="str">
        <f aca="false">IF(ISNUMBER(I209),I209/Netto_Faktor,"")</f>
        <v/>
      </c>
      <c r="Z209" s="275" t="str">
        <f aca="false">IF(B209="","",IF(COUNT(J209:N209)=0,"",SUM(J209:N209)))</f>
        <v/>
      </c>
      <c r="AA209" s="266"/>
      <c r="AB209" s="266"/>
      <c r="AC209" s="266"/>
      <c r="AD209" s="266"/>
      <c r="AE209" s="266"/>
      <c r="AF209" s="266"/>
      <c r="AG209" s="267"/>
      <c r="AH209" s="266" t="str">
        <f aca="false">IF(B209="","",IF(BA209="",IF(R209="WON","✅ belegt &amp; vollständig","✔ vollständig"),LEFT(BA209,LEN(BA209)-3)))</f>
        <v/>
      </c>
      <c r="AJ209" s="268" t="n">
        <f aca="false">IF(ISNUMBER(S209),IFERROR(LOOKUP(IF(S209&lt;=1,S209,S209/100),'⚖️ Wahrscheinlichkeit'!$B$17:$B$21,'⚖️ Wahrscheinlichkeit'!$D$17:$D$21),0),0)</f>
        <v>0</v>
      </c>
      <c r="AK209" s="1" t="str">
        <f aca="false">IF(AND(R209="WON",ISNUMBER(I209)),AL209+(861-ROW())*0.000001,"")</f>
        <v/>
      </c>
      <c r="AL209" s="1" t="n">
        <f aca="false">IFERROR(I209*1,0)</f>
        <v>0</v>
      </c>
      <c r="AM209" s="1" t="n">
        <f aca="false">N(AM208)+IF(AND(R209="WON",B209&lt;&gt;""),1,0)</f>
        <v>12</v>
      </c>
      <c r="AN209" s="1" t="n">
        <f aca="false">N(AN208)+IF(AND(OR(R209="offered",R209="to be offered",R209="on hold"),B209&lt;&gt;""),1,0)</f>
        <v>33</v>
      </c>
      <c r="AO209" s="1" t="n">
        <f aca="false">N(AO208)+IF(AND(OR(R209="follow-up",R209="Evaluation",R209="tbd",R209="In evaluation"),B209&lt;&gt;""),1,0)</f>
        <v>1</v>
      </c>
      <c r="AP209" s="1" t="n">
        <f aca="false">IF(B209="",0,IF(COUNTIF('⚖️ Wahrscheinlichkeit'!$J$17:$J$24,R209)&gt;0,1,0))</f>
        <v>0</v>
      </c>
      <c r="AQ209" s="1" t="n">
        <f aca="false">IF(B209="",0,IF(AND(ISNUMBER(S209),COUNTIF('⚖️ Wahrscheinlichkeit'!$B$6:$B$11,S209)&gt;0),1,0))</f>
        <v>0</v>
      </c>
      <c r="AR209" s="1" t="n">
        <f aca="false">IF(B209="",0,IF(AND(COUNT(J209:M209)=4,SUM(J209:M209)&gt;0),1,0))</f>
        <v>0</v>
      </c>
      <c r="AS209" s="1" t="n">
        <f aca="false">IF(B209="",0,IF(AND(AF209&lt;&gt;"",AG209&lt;&gt;""),1,0))</f>
        <v>0</v>
      </c>
      <c r="AT209" s="1" t="n">
        <f aca="false">IF(AND(R209="WON",AS209=1,AR209=1),1,0)</f>
        <v>0</v>
      </c>
      <c r="AU209" s="1" t="n">
        <f aca="false">IF(B209="",0,IF(AD209="Alternative – zählt nicht",0,1))</f>
        <v>0</v>
      </c>
      <c r="AV209" s="1" t="n">
        <f aca="false">IF(B209="",0,IF(COUNTIF($B$6:$B$860,B209)&gt;1,1,0))</f>
        <v>0</v>
      </c>
      <c r="AX209" s="269" t="str">
        <f aca="false">IF(AY209=1,DATE(YEAR(O209),MONTH(O209),1),"")</f>
        <v/>
      </c>
      <c r="AY209" s="1" t="n">
        <f aca="false">IF(B209="",0,IF(AND(ISNUMBER(O209),ISNUMBER(P209)),IF(P209&gt;=O209,1,0),0))</f>
        <v>0</v>
      </c>
      <c r="AZ209" s="1" t="n">
        <f aca="false">IF(ISNUMBER(Y209),Y209,0)</f>
        <v>0</v>
      </c>
      <c r="BA209" s="1" t="str">
        <f aca="false">IF(B209="","",IF(AND(R209="WON",AS209=0),"⛔ Beleg fehlt · ","")&amp;IF(AND(R209="WON",AR209=0),"⛔ Einstand fehlt · ","")&amp;IF(AND(R209&lt;&gt;"WON",AR209=0),"○ Einstand offen · ","")&amp;IF(AND(R209="WON",AB209=""),"⛔ Vertragsart fehlt · ","")&amp;IF(AND(ISNUMBER(O209),ISNUMBER(P209)),IF(P209&lt;O209,"⚠ Ende vor Start · ",""),"")&amp;IF(AND(R209="WON",AY209=0,NOT(AND(ISNUMBER(O209),ISNUMBER(P209)))),"⛔ Zeitraum fehlt · ","")&amp;IF(AND(R209&lt;&gt;"WON",AY209=0,NOT(AND(ISNUMBER(O209),ISNUMBER(P209)))),"○ Zeitraum offen · ",""))</f>
        <v/>
      </c>
      <c r="BB209" s="1" t="str">
        <f aca="false">IF(B209="","",IF(AND(R209="WON",AS209=0),"⛔ Nachweis fehlt",IF(AND(ISNUMBER(O209),ISNUMBER(P209),P209&lt;O209),"⚠ Ende vor Start",IF(AND(R209="WON",AY209=0),"⛔ Zeitraum fehlt",IF(AR209=0,"○ Einstand offen",IF(AY209=0,"○ Zeitraum offen",IF(R209="WON","✅ belegt","✔ erfasst")))))))</f>
        <v/>
      </c>
    </row>
    <row r="210" customFormat="false" ht="15" hidden="false" customHeight="true" outlineLevel="0" collapsed="false">
      <c r="G210" s="1" t="str">
        <f aca="false">IF(B210="","",IF(AY210=1,P210-O210+1,IF(AW210="","",AW210)))</f>
        <v/>
      </c>
      <c r="I210" s="270"/>
      <c r="J210" s="270"/>
      <c r="K210" s="270"/>
      <c r="L210" s="270"/>
      <c r="M210" s="270"/>
      <c r="N210" s="270"/>
      <c r="O210" s="263"/>
      <c r="P210" s="263"/>
      <c r="Q210" s="270" t="str">
        <f aca="false">IF(AND(ISNUMBER(I210),ISNUMBER(S210)),I210*AJ210,IF(OR(I210&lt;&gt;"",S210&lt;&gt;""),"tbd",""))</f>
        <v/>
      </c>
      <c r="S210" s="268"/>
      <c r="Y210" s="275" t="str">
        <f aca="false">IF(ISNUMBER(I210),I210/Netto_Faktor,"")</f>
        <v/>
      </c>
      <c r="Z210" s="275" t="str">
        <f aca="false">IF(B210="","",IF(COUNT(J210:N210)=0,"",SUM(J210:N210)))</f>
        <v/>
      </c>
      <c r="AA210" s="266"/>
      <c r="AB210" s="266"/>
      <c r="AC210" s="266"/>
      <c r="AD210" s="266"/>
      <c r="AE210" s="266"/>
      <c r="AF210" s="266"/>
      <c r="AG210" s="267"/>
      <c r="AH210" s="266" t="str">
        <f aca="false">IF(B210="","",IF(BA210="",IF(R210="WON","✅ belegt &amp; vollständig","✔ vollständig"),LEFT(BA210,LEN(BA210)-3)))</f>
        <v/>
      </c>
      <c r="AJ210" s="268" t="n">
        <f aca="false">IF(ISNUMBER(S210),IFERROR(LOOKUP(IF(S210&lt;=1,S210,S210/100),'⚖️ Wahrscheinlichkeit'!$B$17:$B$21,'⚖️ Wahrscheinlichkeit'!$D$17:$D$21),0),0)</f>
        <v>0</v>
      </c>
      <c r="AK210" s="1" t="str">
        <f aca="false">IF(AND(R210="WON",ISNUMBER(I210)),AL210+(861-ROW())*0.000001,"")</f>
        <v/>
      </c>
      <c r="AL210" s="1" t="n">
        <f aca="false">IFERROR(I210*1,0)</f>
        <v>0</v>
      </c>
      <c r="AM210" s="1" t="n">
        <f aca="false">N(AM209)+IF(AND(R210="WON",B210&lt;&gt;""),1,0)</f>
        <v>12</v>
      </c>
      <c r="AN210" s="1" t="n">
        <f aca="false">N(AN209)+IF(AND(OR(R210="offered",R210="to be offered",R210="on hold"),B210&lt;&gt;""),1,0)</f>
        <v>33</v>
      </c>
      <c r="AO210" s="1" t="n">
        <f aca="false">N(AO209)+IF(AND(OR(R210="follow-up",R210="Evaluation",R210="tbd",R210="In evaluation"),B210&lt;&gt;""),1,0)</f>
        <v>1</v>
      </c>
      <c r="AP210" s="1" t="n">
        <f aca="false">IF(B210="",0,IF(COUNTIF('⚖️ Wahrscheinlichkeit'!$J$17:$J$24,R210)&gt;0,1,0))</f>
        <v>0</v>
      </c>
      <c r="AQ210" s="1" t="n">
        <f aca="false">IF(B210="",0,IF(AND(ISNUMBER(S210),COUNTIF('⚖️ Wahrscheinlichkeit'!$B$6:$B$11,S210)&gt;0),1,0))</f>
        <v>0</v>
      </c>
      <c r="AR210" s="1" t="n">
        <f aca="false">IF(B210="",0,IF(AND(COUNT(J210:M210)=4,SUM(J210:M210)&gt;0),1,0))</f>
        <v>0</v>
      </c>
      <c r="AS210" s="1" t="n">
        <f aca="false">IF(B210="",0,IF(AND(AF210&lt;&gt;"",AG210&lt;&gt;""),1,0))</f>
        <v>0</v>
      </c>
      <c r="AT210" s="1" t="n">
        <f aca="false">IF(AND(R210="WON",AS210=1,AR210=1),1,0)</f>
        <v>0</v>
      </c>
      <c r="AU210" s="1" t="n">
        <f aca="false">IF(B210="",0,IF(AD210="Alternative – zählt nicht",0,1))</f>
        <v>0</v>
      </c>
      <c r="AV210" s="1" t="n">
        <f aca="false">IF(B210="",0,IF(COUNTIF($B$6:$B$860,B210)&gt;1,1,0))</f>
        <v>0</v>
      </c>
      <c r="AX210" s="269" t="str">
        <f aca="false">IF(AY210=1,DATE(YEAR(O210),MONTH(O210),1),"")</f>
        <v/>
      </c>
      <c r="AY210" s="1" t="n">
        <f aca="false">IF(B210="",0,IF(AND(ISNUMBER(O210),ISNUMBER(P210)),IF(P210&gt;=O210,1,0),0))</f>
        <v>0</v>
      </c>
      <c r="AZ210" s="1" t="n">
        <f aca="false">IF(ISNUMBER(Y210),Y210,0)</f>
        <v>0</v>
      </c>
      <c r="BA210" s="1" t="str">
        <f aca="false">IF(B210="","",IF(AND(R210="WON",AS210=0),"⛔ Beleg fehlt · ","")&amp;IF(AND(R210="WON",AR210=0),"⛔ Einstand fehlt · ","")&amp;IF(AND(R210&lt;&gt;"WON",AR210=0),"○ Einstand offen · ","")&amp;IF(AND(R210="WON",AB210=""),"⛔ Vertragsart fehlt · ","")&amp;IF(AND(ISNUMBER(O210),ISNUMBER(P210)),IF(P210&lt;O210,"⚠ Ende vor Start · ",""),"")&amp;IF(AND(R210="WON",AY210=0,NOT(AND(ISNUMBER(O210),ISNUMBER(P210)))),"⛔ Zeitraum fehlt · ","")&amp;IF(AND(R210&lt;&gt;"WON",AY210=0,NOT(AND(ISNUMBER(O210),ISNUMBER(P210)))),"○ Zeitraum offen · ",""))</f>
        <v/>
      </c>
      <c r="BB210" s="1" t="str">
        <f aca="false">IF(B210="","",IF(AND(R210="WON",AS210=0),"⛔ Nachweis fehlt",IF(AND(ISNUMBER(O210),ISNUMBER(P210),P210&lt;O210),"⚠ Ende vor Start",IF(AND(R210="WON",AY210=0),"⛔ Zeitraum fehlt",IF(AR210=0,"○ Einstand offen",IF(AY210=0,"○ Zeitraum offen",IF(R210="WON","✅ belegt","✔ erfasst")))))))</f>
        <v/>
      </c>
    </row>
    <row r="211" customFormat="false" ht="15" hidden="false" customHeight="true" outlineLevel="0" collapsed="false">
      <c r="G211" s="1" t="str">
        <f aca="false">IF(B211="","",IF(AY211=1,P211-O211+1,IF(AW211="","",AW211)))</f>
        <v/>
      </c>
      <c r="I211" s="270"/>
      <c r="J211" s="270"/>
      <c r="K211" s="270"/>
      <c r="L211" s="270"/>
      <c r="M211" s="270"/>
      <c r="N211" s="270"/>
      <c r="O211" s="263"/>
      <c r="P211" s="263"/>
      <c r="Q211" s="270" t="str">
        <f aca="false">IF(AND(ISNUMBER(I211),ISNUMBER(S211)),I211*AJ211,IF(OR(I211&lt;&gt;"",S211&lt;&gt;""),"tbd",""))</f>
        <v/>
      </c>
      <c r="S211" s="268"/>
      <c r="Y211" s="275" t="str">
        <f aca="false">IF(ISNUMBER(I211),I211/Netto_Faktor,"")</f>
        <v/>
      </c>
      <c r="Z211" s="275" t="str">
        <f aca="false">IF(B211="","",IF(COUNT(J211:N211)=0,"",SUM(J211:N211)))</f>
        <v/>
      </c>
      <c r="AA211" s="266"/>
      <c r="AB211" s="266"/>
      <c r="AC211" s="266"/>
      <c r="AD211" s="266"/>
      <c r="AE211" s="266"/>
      <c r="AF211" s="266"/>
      <c r="AG211" s="267"/>
      <c r="AH211" s="266" t="str">
        <f aca="false">IF(B211="","",IF(BA211="",IF(R211="WON","✅ belegt &amp; vollständig","✔ vollständig"),LEFT(BA211,LEN(BA211)-3)))</f>
        <v/>
      </c>
      <c r="AJ211" s="268" t="n">
        <f aca="false">IF(ISNUMBER(S211),IFERROR(LOOKUP(IF(S211&lt;=1,S211,S211/100),'⚖️ Wahrscheinlichkeit'!$B$17:$B$21,'⚖️ Wahrscheinlichkeit'!$D$17:$D$21),0),0)</f>
        <v>0</v>
      </c>
      <c r="AK211" s="1" t="str">
        <f aca="false">IF(AND(R211="WON",ISNUMBER(I211)),AL211+(861-ROW())*0.000001,"")</f>
        <v/>
      </c>
      <c r="AL211" s="1" t="n">
        <f aca="false">IFERROR(I211*1,0)</f>
        <v>0</v>
      </c>
      <c r="AM211" s="1" t="n">
        <f aca="false">N(AM210)+IF(AND(R211="WON",B211&lt;&gt;""),1,0)</f>
        <v>12</v>
      </c>
      <c r="AN211" s="1" t="n">
        <f aca="false">N(AN210)+IF(AND(OR(R211="offered",R211="to be offered",R211="on hold"),B211&lt;&gt;""),1,0)</f>
        <v>33</v>
      </c>
      <c r="AO211" s="1" t="n">
        <f aca="false">N(AO210)+IF(AND(OR(R211="follow-up",R211="Evaluation",R211="tbd",R211="In evaluation"),B211&lt;&gt;""),1,0)</f>
        <v>1</v>
      </c>
      <c r="AP211" s="1" t="n">
        <f aca="false">IF(B211="",0,IF(COUNTIF('⚖️ Wahrscheinlichkeit'!$J$17:$J$24,R211)&gt;0,1,0))</f>
        <v>0</v>
      </c>
      <c r="AQ211" s="1" t="n">
        <f aca="false">IF(B211="",0,IF(AND(ISNUMBER(S211),COUNTIF('⚖️ Wahrscheinlichkeit'!$B$6:$B$11,S211)&gt;0),1,0))</f>
        <v>0</v>
      </c>
      <c r="AR211" s="1" t="n">
        <f aca="false">IF(B211="",0,IF(AND(COUNT(J211:M211)=4,SUM(J211:M211)&gt;0),1,0))</f>
        <v>0</v>
      </c>
      <c r="AS211" s="1" t="n">
        <f aca="false">IF(B211="",0,IF(AND(AF211&lt;&gt;"",AG211&lt;&gt;""),1,0))</f>
        <v>0</v>
      </c>
      <c r="AT211" s="1" t="n">
        <f aca="false">IF(AND(R211="WON",AS211=1,AR211=1),1,0)</f>
        <v>0</v>
      </c>
      <c r="AU211" s="1" t="n">
        <f aca="false">IF(B211="",0,IF(AD211="Alternative – zählt nicht",0,1))</f>
        <v>0</v>
      </c>
      <c r="AV211" s="1" t="n">
        <f aca="false">IF(B211="",0,IF(COUNTIF($B$6:$B$860,B211)&gt;1,1,0))</f>
        <v>0</v>
      </c>
      <c r="AX211" s="269" t="str">
        <f aca="false">IF(AY211=1,DATE(YEAR(O211),MONTH(O211),1),"")</f>
        <v/>
      </c>
      <c r="AY211" s="1" t="n">
        <f aca="false">IF(B211="",0,IF(AND(ISNUMBER(O211),ISNUMBER(P211)),IF(P211&gt;=O211,1,0),0))</f>
        <v>0</v>
      </c>
      <c r="AZ211" s="1" t="n">
        <f aca="false">IF(ISNUMBER(Y211),Y211,0)</f>
        <v>0</v>
      </c>
      <c r="BA211" s="1" t="str">
        <f aca="false">IF(B211="","",IF(AND(R211="WON",AS211=0),"⛔ Beleg fehlt · ","")&amp;IF(AND(R211="WON",AR211=0),"⛔ Einstand fehlt · ","")&amp;IF(AND(R211&lt;&gt;"WON",AR211=0),"○ Einstand offen · ","")&amp;IF(AND(R211="WON",AB211=""),"⛔ Vertragsart fehlt · ","")&amp;IF(AND(ISNUMBER(O211),ISNUMBER(P211)),IF(P211&lt;O211,"⚠ Ende vor Start · ",""),"")&amp;IF(AND(R211="WON",AY211=0,NOT(AND(ISNUMBER(O211),ISNUMBER(P211)))),"⛔ Zeitraum fehlt · ","")&amp;IF(AND(R211&lt;&gt;"WON",AY211=0,NOT(AND(ISNUMBER(O211),ISNUMBER(P211)))),"○ Zeitraum offen · ",""))</f>
        <v/>
      </c>
      <c r="BB211" s="1" t="str">
        <f aca="false">IF(B211="","",IF(AND(R211="WON",AS211=0),"⛔ Nachweis fehlt",IF(AND(ISNUMBER(O211),ISNUMBER(P211),P211&lt;O211),"⚠ Ende vor Start",IF(AND(R211="WON",AY211=0),"⛔ Zeitraum fehlt",IF(AR211=0,"○ Einstand offen",IF(AY211=0,"○ Zeitraum offen",IF(R211="WON","✅ belegt","✔ erfasst")))))))</f>
        <v/>
      </c>
    </row>
    <row r="212" customFormat="false" ht="15" hidden="false" customHeight="true" outlineLevel="0" collapsed="false">
      <c r="G212" s="1" t="str">
        <f aca="false">IF(B212="","",IF(AY212=1,P212-O212+1,IF(AW212="","",AW212)))</f>
        <v/>
      </c>
      <c r="I212" s="270"/>
      <c r="J212" s="270"/>
      <c r="K212" s="270"/>
      <c r="L212" s="270"/>
      <c r="M212" s="270"/>
      <c r="N212" s="270"/>
      <c r="O212" s="263"/>
      <c r="P212" s="263"/>
      <c r="Q212" s="270" t="str">
        <f aca="false">IF(AND(ISNUMBER(I212),ISNUMBER(S212)),I212*AJ212,IF(OR(I212&lt;&gt;"",S212&lt;&gt;""),"tbd",""))</f>
        <v/>
      </c>
      <c r="S212" s="268"/>
      <c r="Y212" s="275" t="str">
        <f aca="false">IF(ISNUMBER(I212),I212/Netto_Faktor,"")</f>
        <v/>
      </c>
      <c r="Z212" s="275" t="str">
        <f aca="false">IF(B212="","",IF(COUNT(J212:N212)=0,"",SUM(J212:N212)))</f>
        <v/>
      </c>
      <c r="AA212" s="266"/>
      <c r="AB212" s="266"/>
      <c r="AC212" s="266"/>
      <c r="AD212" s="266"/>
      <c r="AE212" s="266"/>
      <c r="AF212" s="266"/>
      <c r="AG212" s="267"/>
      <c r="AH212" s="266" t="str">
        <f aca="false">IF(B212="","",IF(BA212="",IF(R212="WON","✅ belegt &amp; vollständig","✔ vollständig"),LEFT(BA212,LEN(BA212)-3)))</f>
        <v/>
      </c>
      <c r="AJ212" s="268" t="n">
        <f aca="false">IF(ISNUMBER(S212),IFERROR(LOOKUP(IF(S212&lt;=1,S212,S212/100),'⚖️ Wahrscheinlichkeit'!$B$17:$B$21,'⚖️ Wahrscheinlichkeit'!$D$17:$D$21),0),0)</f>
        <v>0</v>
      </c>
      <c r="AK212" s="1" t="str">
        <f aca="false">IF(AND(R212="WON",ISNUMBER(I212)),AL212+(861-ROW())*0.000001,"")</f>
        <v/>
      </c>
      <c r="AL212" s="1" t="n">
        <f aca="false">IFERROR(I212*1,0)</f>
        <v>0</v>
      </c>
      <c r="AM212" s="1" t="n">
        <f aca="false">N(AM211)+IF(AND(R212="WON",B212&lt;&gt;""),1,0)</f>
        <v>12</v>
      </c>
      <c r="AN212" s="1" t="n">
        <f aca="false">N(AN211)+IF(AND(OR(R212="offered",R212="to be offered",R212="on hold"),B212&lt;&gt;""),1,0)</f>
        <v>33</v>
      </c>
      <c r="AO212" s="1" t="n">
        <f aca="false">N(AO211)+IF(AND(OR(R212="follow-up",R212="Evaluation",R212="tbd",R212="In evaluation"),B212&lt;&gt;""),1,0)</f>
        <v>1</v>
      </c>
      <c r="AP212" s="1" t="n">
        <f aca="false">IF(B212="",0,IF(COUNTIF('⚖️ Wahrscheinlichkeit'!$J$17:$J$24,R212)&gt;0,1,0))</f>
        <v>0</v>
      </c>
      <c r="AQ212" s="1" t="n">
        <f aca="false">IF(B212="",0,IF(AND(ISNUMBER(S212),COUNTIF('⚖️ Wahrscheinlichkeit'!$B$6:$B$11,S212)&gt;0),1,0))</f>
        <v>0</v>
      </c>
      <c r="AR212" s="1" t="n">
        <f aca="false">IF(B212="",0,IF(AND(COUNT(J212:M212)=4,SUM(J212:M212)&gt;0),1,0))</f>
        <v>0</v>
      </c>
      <c r="AS212" s="1" t="n">
        <f aca="false">IF(B212="",0,IF(AND(AF212&lt;&gt;"",AG212&lt;&gt;""),1,0))</f>
        <v>0</v>
      </c>
      <c r="AT212" s="1" t="n">
        <f aca="false">IF(AND(R212="WON",AS212=1,AR212=1),1,0)</f>
        <v>0</v>
      </c>
      <c r="AU212" s="1" t="n">
        <f aca="false">IF(B212="",0,IF(AD212="Alternative – zählt nicht",0,1))</f>
        <v>0</v>
      </c>
      <c r="AV212" s="1" t="n">
        <f aca="false">IF(B212="",0,IF(COUNTIF($B$6:$B$860,B212)&gt;1,1,0))</f>
        <v>0</v>
      </c>
      <c r="AX212" s="269" t="str">
        <f aca="false">IF(AY212=1,DATE(YEAR(O212),MONTH(O212),1),"")</f>
        <v/>
      </c>
      <c r="AY212" s="1" t="n">
        <f aca="false">IF(B212="",0,IF(AND(ISNUMBER(O212),ISNUMBER(P212)),IF(P212&gt;=O212,1,0),0))</f>
        <v>0</v>
      </c>
      <c r="AZ212" s="1" t="n">
        <f aca="false">IF(ISNUMBER(Y212),Y212,0)</f>
        <v>0</v>
      </c>
      <c r="BA212" s="1" t="str">
        <f aca="false">IF(B212="","",IF(AND(R212="WON",AS212=0),"⛔ Beleg fehlt · ","")&amp;IF(AND(R212="WON",AR212=0),"⛔ Einstand fehlt · ","")&amp;IF(AND(R212&lt;&gt;"WON",AR212=0),"○ Einstand offen · ","")&amp;IF(AND(R212="WON",AB212=""),"⛔ Vertragsart fehlt · ","")&amp;IF(AND(ISNUMBER(O212),ISNUMBER(P212)),IF(P212&lt;O212,"⚠ Ende vor Start · ",""),"")&amp;IF(AND(R212="WON",AY212=0,NOT(AND(ISNUMBER(O212),ISNUMBER(P212)))),"⛔ Zeitraum fehlt · ","")&amp;IF(AND(R212&lt;&gt;"WON",AY212=0,NOT(AND(ISNUMBER(O212),ISNUMBER(P212)))),"○ Zeitraum offen · ",""))</f>
        <v/>
      </c>
      <c r="BB212" s="1" t="str">
        <f aca="false">IF(B212="","",IF(AND(R212="WON",AS212=0),"⛔ Nachweis fehlt",IF(AND(ISNUMBER(O212),ISNUMBER(P212),P212&lt;O212),"⚠ Ende vor Start",IF(AND(R212="WON",AY212=0),"⛔ Zeitraum fehlt",IF(AR212=0,"○ Einstand offen",IF(AY212=0,"○ Zeitraum offen",IF(R212="WON","✅ belegt","✔ erfasst")))))))</f>
        <v/>
      </c>
    </row>
    <row r="213" customFormat="false" ht="15" hidden="false" customHeight="true" outlineLevel="0" collapsed="false">
      <c r="G213" s="1" t="str">
        <f aca="false">IF(B213="","",IF(AY213=1,P213-O213+1,IF(AW213="","",AW213)))</f>
        <v/>
      </c>
      <c r="I213" s="270"/>
      <c r="J213" s="270"/>
      <c r="K213" s="270"/>
      <c r="L213" s="270"/>
      <c r="M213" s="270"/>
      <c r="N213" s="270"/>
      <c r="O213" s="263"/>
      <c r="P213" s="263"/>
      <c r="Q213" s="270" t="str">
        <f aca="false">IF(AND(ISNUMBER(I213),ISNUMBER(S213)),I213*AJ213,IF(OR(I213&lt;&gt;"",S213&lt;&gt;""),"tbd",""))</f>
        <v/>
      </c>
      <c r="S213" s="268"/>
      <c r="Y213" s="275" t="str">
        <f aca="false">IF(ISNUMBER(I213),I213/Netto_Faktor,"")</f>
        <v/>
      </c>
      <c r="Z213" s="275" t="str">
        <f aca="false">IF(B213="","",IF(COUNT(J213:N213)=0,"",SUM(J213:N213)))</f>
        <v/>
      </c>
      <c r="AA213" s="266"/>
      <c r="AB213" s="266"/>
      <c r="AC213" s="266"/>
      <c r="AD213" s="266"/>
      <c r="AE213" s="266"/>
      <c r="AF213" s="266"/>
      <c r="AG213" s="267"/>
      <c r="AH213" s="266" t="str">
        <f aca="false">IF(B213="","",IF(BA213="",IF(R213="WON","✅ belegt &amp; vollständig","✔ vollständig"),LEFT(BA213,LEN(BA213)-3)))</f>
        <v/>
      </c>
      <c r="AJ213" s="268" t="n">
        <f aca="false">IF(ISNUMBER(S213),IFERROR(LOOKUP(IF(S213&lt;=1,S213,S213/100),'⚖️ Wahrscheinlichkeit'!$B$17:$B$21,'⚖️ Wahrscheinlichkeit'!$D$17:$D$21),0),0)</f>
        <v>0</v>
      </c>
      <c r="AK213" s="1" t="str">
        <f aca="false">IF(AND(R213="WON",ISNUMBER(I213)),AL213+(861-ROW())*0.000001,"")</f>
        <v/>
      </c>
      <c r="AL213" s="1" t="n">
        <f aca="false">IFERROR(I213*1,0)</f>
        <v>0</v>
      </c>
      <c r="AM213" s="1" t="n">
        <f aca="false">N(AM212)+IF(AND(R213="WON",B213&lt;&gt;""),1,0)</f>
        <v>12</v>
      </c>
      <c r="AN213" s="1" t="n">
        <f aca="false">N(AN212)+IF(AND(OR(R213="offered",R213="to be offered",R213="on hold"),B213&lt;&gt;""),1,0)</f>
        <v>33</v>
      </c>
      <c r="AO213" s="1" t="n">
        <f aca="false">N(AO212)+IF(AND(OR(R213="follow-up",R213="Evaluation",R213="tbd",R213="In evaluation"),B213&lt;&gt;""),1,0)</f>
        <v>1</v>
      </c>
      <c r="AP213" s="1" t="n">
        <f aca="false">IF(B213="",0,IF(COUNTIF('⚖️ Wahrscheinlichkeit'!$J$17:$J$24,R213)&gt;0,1,0))</f>
        <v>0</v>
      </c>
      <c r="AQ213" s="1" t="n">
        <f aca="false">IF(B213="",0,IF(AND(ISNUMBER(S213),COUNTIF('⚖️ Wahrscheinlichkeit'!$B$6:$B$11,S213)&gt;0),1,0))</f>
        <v>0</v>
      </c>
      <c r="AR213" s="1" t="n">
        <f aca="false">IF(B213="",0,IF(AND(COUNT(J213:M213)=4,SUM(J213:M213)&gt;0),1,0))</f>
        <v>0</v>
      </c>
      <c r="AS213" s="1" t="n">
        <f aca="false">IF(B213="",0,IF(AND(AF213&lt;&gt;"",AG213&lt;&gt;""),1,0))</f>
        <v>0</v>
      </c>
      <c r="AT213" s="1" t="n">
        <f aca="false">IF(AND(R213="WON",AS213=1,AR213=1),1,0)</f>
        <v>0</v>
      </c>
      <c r="AU213" s="1" t="n">
        <f aca="false">IF(B213="",0,IF(AD213="Alternative – zählt nicht",0,1))</f>
        <v>0</v>
      </c>
      <c r="AV213" s="1" t="n">
        <f aca="false">IF(B213="",0,IF(COUNTIF($B$6:$B$860,B213)&gt;1,1,0))</f>
        <v>0</v>
      </c>
      <c r="AX213" s="269" t="str">
        <f aca="false">IF(AY213=1,DATE(YEAR(O213),MONTH(O213),1),"")</f>
        <v/>
      </c>
      <c r="AY213" s="1" t="n">
        <f aca="false">IF(B213="",0,IF(AND(ISNUMBER(O213),ISNUMBER(P213)),IF(P213&gt;=O213,1,0),0))</f>
        <v>0</v>
      </c>
      <c r="AZ213" s="1" t="n">
        <f aca="false">IF(ISNUMBER(Y213),Y213,0)</f>
        <v>0</v>
      </c>
      <c r="BA213" s="1" t="str">
        <f aca="false">IF(B213="","",IF(AND(R213="WON",AS213=0),"⛔ Beleg fehlt · ","")&amp;IF(AND(R213="WON",AR213=0),"⛔ Einstand fehlt · ","")&amp;IF(AND(R213&lt;&gt;"WON",AR213=0),"○ Einstand offen · ","")&amp;IF(AND(R213="WON",AB213=""),"⛔ Vertragsart fehlt · ","")&amp;IF(AND(ISNUMBER(O213),ISNUMBER(P213)),IF(P213&lt;O213,"⚠ Ende vor Start · ",""),"")&amp;IF(AND(R213="WON",AY213=0,NOT(AND(ISNUMBER(O213),ISNUMBER(P213)))),"⛔ Zeitraum fehlt · ","")&amp;IF(AND(R213&lt;&gt;"WON",AY213=0,NOT(AND(ISNUMBER(O213),ISNUMBER(P213)))),"○ Zeitraum offen · ",""))</f>
        <v/>
      </c>
      <c r="BB213" s="1" t="str">
        <f aca="false">IF(B213="","",IF(AND(R213="WON",AS213=0),"⛔ Nachweis fehlt",IF(AND(ISNUMBER(O213),ISNUMBER(P213),P213&lt;O213),"⚠ Ende vor Start",IF(AND(R213="WON",AY213=0),"⛔ Zeitraum fehlt",IF(AR213=0,"○ Einstand offen",IF(AY213=0,"○ Zeitraum offen",IF(R213="WON","✅ belegt","✔ erfasst")))))))</f>
        <v/>
      </c>
    </row>
    <row r="214" customFormat="false" ht="15" hidden="false" customHeight="true" outlineLevel="0" collapsed="false">
      <c r="G214" s="1" t="str">
        <f aca="false">IF(B214="","",IF(AY214=1,P214-O214+1,IF(AW214="","",AW214)))</f>
        <v/>
      </c>
      <c r="I214" s="270"/>
      <c r="J214" s="270"/>
      <c r="K214" s="270"/>
      <c r="L214" s="270"/>
      <c r="M214" s="270"/>
      <c r="N214" s="270"/>
      <c r="O214" s="263"/>
      <c r="P214" s="263"/>
      <c r="Q214" s="270" t="str">
        <f aca="false">IF(AND(ISNUMBER(I214),ISNUMBER(S214)),I214*AJ214,IF(OR(I214&lt;&gt;"",S214&lt;&gt;""),"tbd",""))</f>
        <v/>
      </c>
      <c r="S214" s="268"/>
      <c r="Y214" s="275" t="str">
        <f aca="false">IF(ISNUMBER(I214),I214/Netto_Faktor,"")</f>
        <v/>
      </c>
      <c r="Z214" s="275" t="str">
        <f aca="false">IF(B214="","",IF(COUNT(J214:N214)=0,"",SUM(J214:N214)))</f>
        <v/>
      </c>
      <c r="AA214" s="266"/>
      <c r="AB214" s="266"/>
      <c r="AC214" s="266"/>
      <c r="AD214" s="266"/>
      <c r="AE214" s="266"/>
      <c r="AF214" s="266"/>
      <c r="AG214" s="267"/>
      <c r="AH214" s="266" t="str">
        <f aca="false">IF(B214="","",IF(BA214="",IF(R214="WON","✅ belegt &amp; vollständig","✔ vollständig"),LEFT(BA214,LEN(BA214)-3)))</f>
        <v/>
      </c>
      <c r="AJ214" s="268" t="n">
        <f aca="false">IF(ISNUMBER(S214),IFERROR(LOOKUP(IF(S214&lt;=1,S214,S214/100),'⚖️ Wahrscheinlichkeit'!$B$17:$B$21,'⚖️ Wahrscheinlichkeit'!$D$17:$D$21),0),0)</f>
        <v>0</v>
      </c>
      <c r="AK214" s="1" t="str">
        <f aca="false">IF(AND(R214="WON",ISNUMBER(I214)),AL214+(861-ROW())*0.000001,"")</f>
        <v/>
      </c>
      <c r="AL214" s="1" t="n">
        <f aca="false">IFERROR(I214*1,0)</f>
        <v>0</v>
      </c>
      <c r="AM214" s="1" t="n">
        <f aca="false">N(AM213)+IF(AND(R214="WON",B214&lt;&gt;""),1,0)</f>
        <v>12</v>
      </c>
      <c r="AN214" s="1" t="n">
        <f aca="false">N(AN213)+IF(AND(OR(R214="offered",R214="to be offered",R214="on hold"),B214&lt;&gt;""),1,0)</f>
        <v>33</v>
      </c>
      <c r="AO214" s="1" t="n">
        <f aca="false">N(AO213)+IF(AND(OR(R214="follow-up",R214="Evaluation",R214="tbd",R214="In evaluation"),B214&lt;&gt;""),1,0)</f>
        <v>1</v>
      </c>
      <c r="AP214" s="1" t="n">
        <f aca="false">IF(B214="",0,IF(COUNTIF('⚖️ Wahrscheinlichkeit'!$J$17:$J$24,R214)&gt;0,1,0))</f>
        <v>0</v>
      </c>
      <c r="AQ214" s="1" t="n">
        <f aca="false">IF(B214="",0,IF(AND(ISNUMBER(S214),COUNTIF('⚖️ Wahrscheinlichkeit'!$B$6:$B$11,S214)&gt;0),1,0))</f>
        <v>0</v>
      </c>
      <c r="AR214" s="1" t="n">
        <f aca="false">IF(B214="",0,IF(AND(COUNT(J214:M214)=4,SUM(J214:M214)&gt;0),1,0))</f>
        <v>0</v>
      </c>
      <c r="AS214" s="1" t="n">
        <f aca="false">IF(B214="",0,IF(AND(AF214&lt;&gt;"",AG214&lt;&gt;""),1,0))</f>
        <v>0</v>
      </c>
      <c r="AT214" s="1" t="n">
        <f aca="false">IF(AND(R214="WON",AS214=1,AR214=1),1,0)</f>
        <v>0</v>
      </c>
      <c r="AU214" s="1" t="n">
        <f aca="false">IF(B214="",0,IF(AD214="Alternative – zählt nicht",0,1))</f>
        <v>0</v>
      </c>
      <c r="AV214" s="1" t="n">
        <f aca="false">IF(B214="",0,IF(COUNTIF($B$6:$B$860,B214)&gt;1,1,0))</f>
        <v>0</v>
      </c>
      <c r="AX214" s="269" t="str">
        <f aca="false">IF(AY214=1,DATE(YEAR(O214),MONTH(O214),1),"")</f>
        <v/>
      </c>
      <c r="AY214" s="1" t="n">
        <f aca="false">IF(B214="",0,IF(AND(ISNUMBER(O214),ISNUMBER(P214)),IF(P214&gt;=O214,1,0),0))</f>
        <v>0</v>
      </c>
      <c r="AZ214" s="1" t="n">
        <f aca="false">IF(ISNUMBER(Y214),Y214,0)</f>
        <v>0</v>
      </c>
      <c r="BA214" s="1" t="str">
        <f aca="false">IF(B214="","",IF(AND(R214="WON",AS214=0),"⛔ Beleg fehlt · ","")&amp;IF(AND(R214="WON",AR214=0),"⛔ Einstand fehlt · ","")&amp;IF(AND(R214&lt;&gt;"WON",AR214=0),"○ Einstand offen · ","")&amp;IF(AND(R214="WON",AB214=""),"⛔ Vertragsart fehlt · ","")&amp;IF(AND(ISNUMBER(O214),ISNUMBER(P214)),IF(P214&lt;O214,"⚠ Ende vor Start · ",""),"")&amp;IF(AND(R214="WON",AY214=0,NOT(AND(ISNUMBER(O214),ISNUMBER(P214)))),"⛔ Zeitraum fehlt · ","")&amp;IF(AND(R214&lt;&gt;"WON",AY214=0,NOT(AND(ISNUMBER(O214),ISNUMBER(P214)))),"○ Zeitraum offen · ",""))</f>
        <v/>
      </c>
      <c r="BB214" s="1" t="str">
        <f aca="false">IF(B214="","",IF(AND(R214="WON",AS214=0),"⛔ Nachweis fehlt",IF(AND(ISNUMBER(O214),ISNUMBER(P214),P214&lt;O214),"⚠ Ende vor Start",IF(AND(R214="WON",AY214=0),"⛔ Zeitraum fehlt",IF(AR214=0,"○ Einstand offen",IF(AY214=0,"○ Zeitraum offen",IF(R214="WON","✅ belegt","✔ erfasst")))))))</f>
        <v/>
      </c>
    </row>
    <row r="215" customFormat="false" ht="15" hidden="false" customHeight="true" outlineLevel="0" collapsed="false">
      <c r="G215" s="1" t="str">
        <f aca="false">IF(B215="","",IF(AY215=1,P215-O215+1,IF(AW215="","",AW215)))</f>
        <v/>
      </c>
      <c r="I215" s="270"/>
      <c r="J215" s="270"/>
      <c r="K215" s="270"/>
      <c r="L215" s="270"/>
      <c r="M215" s="270"/>
      <c r="N215" s="270"/>
      <c r="O215" s="263"/>
      <c r="P215" s="263"/>
      <c r="Q215" s="270" t="str">
        <f aca="false">IF(AND(ISNUMBER(I215),ISNUMBER(S215)),I215*AJ215,IF(OR(I215&lt;&gt;"",S215&lt;&gt;""),"tbd",""))</f>
        <v/>
      </c>
      <c r="S215" s="268"/>
      <c r="Y215" s="275" t="str">
        <f aca="false">IF(ISNUMBER(I215),I215/Netto_Faktor,"")</f>
        <v/>
      </c>
      <c r="Z215" s="275" t="str">
        <f aca="false">IF(B215="","",IF(COUNT(J215:N215)=0,"",SUM(J215:N215)))</f>
        <v/>
      </c>
      <c r="AA215" s="266"/>
      <c r="AB215" s="266"/>
      <c r="AC215" s="266"/>
      <c r="AD215" s="266"/>
      <c r="AE215" s="266"/>
      <c r="AF215" s="266"/>
      <c r="AG215" s="267"/>
      <c r="AH215" s="266" t="str">
        <f aca="false">IF(B215="","",IF(BA215="",IF(R215="WON","✅ belegt &amp; vollständig","✔ vollständig"),LEFT(BA215,LEN(BA215)-3)))</f>
        <v/>
      </c>
      <c r="AJ215" s="268" t="n">
        <f aca="false">IF(ISNUMBER(S215),IFERROR(LOOKUP(IF(S215&lt;=1,S215,S215/100),'⚖️ Wahrscheinlichkeit'!$B$17:$B$21,'⚖️ Wahrscheinlichkeit'!$D$17:$D$21),0),0)</f>
        <v>0</v>
      </c>
      <c r="AK215" s="1" t="str">
        <f aca="false">IF(AND(R215="WON",ISNUMBER(I215)),AL215+(861-ROW())*0.000001,"")</f>
        <v/>
      </c>
      <c r="AL215" s="1" t="n">
        <f aca="false">IFERROR(I215*1,0)</f>
        <v>0</v>
      </c>
      <c r="AM215" s="1" t="n">
        <f aca="false">N(AM214)+IF(AND(R215="WON",B215&lt;&gt;""),1,0)</f>
        <v>12</v>
      </c>
      <c r="AN215" s="1" t="n">
        <f aca="false">N(AN214)+IF(AND(OR(R215="offered",R215="to be offered",R215="on hold"),B215&lt;&gt;""),1,0)</f>
        <v>33</v>
      </c>
      <c r="AO215" s="1" t="n">
        <f aca="false">N(AO214)+IF(AND(OR(R215="follow-up",R215="Evaluation",R215="tbd",R215="In evaluation"),B215&lt;&gt;""),1,0)</f>
        <v>1</v>
      </c>
      <c r="AP215" s="1" t="n">
        <f aca="false">IF(B215="",0,IF(COUNTIF('⚖️ Wahrscheinlichkeit'!$J$17:$J$24,R215)&gt;0,1,0))</f>
        <v>0</v>
      </c>
      <c r="AQ215" s="1" t="n">
        <f aca="false">IF(B215="",0,IF(AND(ISNUMBER(S215),COUNTIF('⚖️ Wahrscheinlichkeit'!$B$6:$B$11,S215)&gt;0),1,0))</f>
        <v>0</v>
      </c>
      <c r="AR215" s="1" t="n">
        <f aca="false">IF(B215="",0,IF(AND(COUNT(J215:M215)=4,SUM(J215:M215)&gt;0),1,0))</f>
        <v>0</v>
      </c>
      <c r="AS215" s="1" t="n">
        <f aca="false">IF(B215="",0,IF(AND(AF215&lt;&gt;"",AG215&lt;&gt;""),1,0))</f>
        <v>0</v>
      </c>
      <c r="AT215" s="1" t="n">
        <f aca="false">IF(AND(R215="WON",AS215=1,AR215=1),1,0)</f>
        <v>0</v>
      </c>
      <c r="AU215" s="1" t="n">
        <f aca="false">IF(B215="",0,IF(AD215="Alternative – zählt nicht",0,1))</f>
        <v>0</v>
      </c>
      <c r="AV215" s="1" t="n">
        <f aca="false">IF(B215="",0,IF(COUNTIF($B$6:$B$860,B215)&gt;1,1,0))</f>
        <v>0</v>
      </c>
      <c r="AX215" s="269" t="str">
        <f aca="false">IF(AY215=1,DATE(YEAR(O215),MONTH(O215),1),"")</f>
        <v/>
      </c>
      <c r="AY215" s="1" t="n">
        <f aca="false">IF(B215="",0,IF(AND(ISNUMBER(O215),ISNUMBER(P215)),IF(P215&gt;=O215,1,0),0))</f>
        <v>0</v>
      </c>
      <c r="AZ215" s="1" t="n">
        <f aca="false">IF(ISNUMBER(Y215),Y215,0)</f>
        <v>0</v>
      </c>
      <c r="BA215" s="1" t="str">
        <f aca="false">IF(B215="","",IF(AND(R215="WON",AS215=0),"⛔ Beleg fehlt · ","")&amp;IF(AND(R215="WON",AR215=0),"⛔ Einstand fehlt · ","")&amp;IF(AND(R215&lt;&gt;"WON",AR215=0),"○ Einstand offen · ","")&amp;IF(AND(R215="WON",AB215=""),"⛔ Vertragsart fehlt · ","")&amp;IF(AND(ISNUMBER(O215),ISNUMBER(P215)),IF(P215&lt;O215,"⚠ Ende vor Start · ",""),"")&amp;IF(AND(R215="WON",AY215=0,NOT(AND(ISNUMBER(O215),ISNUMBER(P215)))),"⛔ Zeitraum fehlt · ","")&amp;IF(AND(R215&lt;&gt;"WON",AY215=0,NOT(AND(ISNUMBER(O215),ISNUMBER(P215)))),"○ Zeitraum offen · ",""))</f>
        <v/>
      </c>
      <c r="BB215" s="1" t="str">
        <f aca="false">IF(B215="","",IF(AND(R215="WON",AS215=0),"⛔ Nachweis fehlt",IF(AND(ISNUMBER(O215),ISNUMBER(P215),P215&lt;O215),"⚠ Ende vor Start",IF(AND(R215="WON",AY215=0),"⛔ Zeitraum fehlt",IF(AR215=0,"○ Einstand offen",IF(AY215=0,"○ Zeitraum offen",IF(R215="WON","✅ belegt","✔ erfasst")))))))</f>
        <v/>
      </c>
    </row>
    <row r="216" customFormat="false" ht="15" hidden="false" customHeight="true" outlineLevel="0" collapsed="false">
      <c r="G216" s="1" t="str">
        <f aca="false">IF(B216="","",IF(AY216=1,P216-O216+1,IF(AW216="","",AW216)))</f>
        <v/>
      </c>
      <c r="I216" s="270"/>
      <c r="J216" s="270"/>
      <c r="K216" s="270"/>
      <c r="L216" s="270"/>
      <c r="M216" s="270"/>
      <c r="N216" s="270"/>
      <c r="O216" s="263"/>
      <c r="P216" s="263"/>
      <c r="Q216" s="270" t="str">
        <f aca="false">IF(AND(ISNUMBER(I216),ISNUMBER(S216)),I216*AJ216,IF(OR(I216&lt;&gt;"",S216&lt;&gt;""),"tbd",""))</f>
        <v/>
      </c>
      <c r="S216" s="268"/>
      <c r="Y216" s="275" t="str">
        <f aca="false">IF(ISNUMBER(I216),I216/Netto_Faktor,"")</f>
        <v/>
      </c>
      <c r="Z216" s="275" t="str">
        <f aca="false">IF(B216="","",IF(COUNT(J216:N216)=0,"",SUM(J216:N216)))</f>
        <v/>
      </c>
      <c r="AA216" s="266"/>
      <c r="AB216" s="266"/>
      <c r="AC216" s="266"/>
      <c r="AD216" s="266"/>
      <c r="AE216" s="266"/>
      <c r="AF216" s="266"/>
      <c r="AG216" s="267"/>
      <c r="AH216" s="266" t="str">
        <f aca="false">IF(B216="","",IF(BA216="",IF(R216="WON","✅ belegt &amp; vollständig","✔ vollständig"),LEFT(BA216,LEN(BA216)-3)))</f>
        <v/>
      </c>
      <c r="AJ216" s="268" t="n">
        <f aca="false">IF(ISNUMBER(S216),IFERROR(LOOKUP(IF(S216&lt;=1,S216,S216/100),'⚖️ Wahrscheinlichkeit'!$B$17:$B$21,'⚖️ Wahrscheinlichkeit'!$D$17:$D$21),0),0)</f>
        <v>0</v>
      </c>
      <c r="AK216" s="1" t="str">
        <f aca="false">IF(AND(R216="WON",ISNUMBER(I216)),AL216+(861-ROW())*0.000001,"")</f>
        <v/>
      </c>
      <c r="AL216" s="1" t="n">
        <f aca="false">IFERROR(I216*1,0)</f>
        <v>0</v>
      </c>
      <c r="AM216" s="1" t="n">
        <f aca="false">N(AM215)+IF(AND(R216="WON",B216&lt;&gt;""),1,0)</f>
        <v>12</v>
      </c>
      <c r="AN216" s="1" t="n">
        <f aca="false">N(AN215)+IF(AND(OR(R216="offered",R216="to be offered",R216="on hold"),B216&lt;&gt;""),1,0)</f>
        <v>33</v>
      </c>
      <c r="AO216" s="1" t="n">
        <f aca="false">N(AO215)+IF(AND(OR(R216="follow-up",R216="Evaluation",R216="tbd",R216="In evaluation"),B216&lt;&gt;""),1,0)</f>
        <v>1</v>
      </c>
      <c r="AP216" s="1" t="n">
        <f aca="false">IF(B216="",0,IF(COUNTIF('⚖️ Wahrscheinlichkeit'!$J$17:$J$24,R216)&gt;0,1,0))</f>
        <v>0</v>
      </c>
      <c r="AQ216" s="1" t="n">
        <f aca="false">IF(B216="",0,IF(AND(ISNUMBER(S216),COUNTIF('⚖️ Wahrscheinlichkeit'!$B$6:$B$11,S216)&gt;0),1,0))</f>
        <v>0</v>
      </c>
      <c r="AR216" s="1" t="n">
        <f aca="false">IF(B216="",0,IF(AND(COUNT(J216:M216)=4,SUM(J216:M216)&gt;0),1,0))</f>
        <v>0</v>
      </c>
      <c r="AS216" s="1" t="n">
        <f aca="false">IF(B216="",0,IF(AND(AF216&lt;&gt;"",AG216&lt;&gt;""),1,0))</f>
        <v>0</v>
      </c>
      <c r="AT216" s="1" t="n">
        <f aca="false">IF(AND(R216="WON",AS216=1,AR216=1),1,0)</f>
        <v>0</v>
      </c>
      <c r="AU216" s="1" t="n">
        <f aca="false">IF(B216="",0,IF(AD216="Alternative – zählt nicht",0,1))</f>
        <v>0</v>
      </c>
      <c r="AV216" s="1" t="n">
        <f aca="false">IF(B216="",0,IF(COUNTIF($B$6:$B$860,B216)&gt;1,1,0))</f>
        <v>0</v>
      </c>
      <c r="AX216" s="269" t="str">
        <f aca="false">IF(AY216=1,DATE(YEAR(O216),MONTH(O216),1),"")</f>
        <v/>
      </c>
      <c r="AY216" s="1" t="n">
        <f aca="false">IF(B216="",0,IF(AND(ISNUMBER(O216),ISNUMBER(P216)),IF(P216&gt;=O216,1,0),0))</f>
        <v>0</v>
      </c>
      <c r="AZ216" s="1" t="n">
        <f aca="false">IF(ISNUMBER(Y216),Y216,0)</f>
        <v>0</v>
      </c>
      <c r="BA216" s="1" t="str">
        <f aca="false">IF(B216="","",IF(AND(R216="WON",AS216=0),"⛔ Beleg fehlt · ","")&amp;IF(AND(R216="WON",AR216=0),"⛔ Einstand fehlt · ","")&amp;IF(AND(R216&lt;&gt;"WON",AR216=0),"○ Einstand offen · ","")&amp;IF(AND(R216="WON",AB216=""),"⛔ Vertragsart fehlt · ","")&amp;IF(AND(ISNUMBER(O216),ISNUMBER(P216)),IF(P216&lt;O216,"⚠ Ende vor Start · ",""),"")&amp;IF(AND(R216="WON",AY216=0,NOT(AND(ISNUMBER(O216),ISNUMBER(P216)))),"⛔ Zeitraum fehlt · ","")&amp;IF(AND(R216&lt;&gt;"WON",AY216=0,NOT(AND(ISNUMBER(O216),ISNUMBER(P216)))),"○ Zeitraum offen · ",""))</f>
        <v/>
      </c>
      <c r="BB216" s="1" t="str">
        <f aca="false">IF(B216="","",IF(AND(R216="WON",AS216=0),"⛔ Nachweis fehlt",IF(AND(ISNUMBER(O216),ISNUMBER(P216),P216&lt;O216),"⚠ Ende vor Start",IF(AND(R216="WON",AY216=0),"⛔ Zeitraum fehlt",IF(AR216=0,"○ Einstand offen",IF(AY216=0,"○ Zeitraum offen",IF(R216="WON","✅ belegt","✔ erfasst")))))))</f>
        <v/>
      </c>
    </row>
    <row r="217" customFormat="false" ht="15" hidden="false" customHeight="true" outlineLevel="0" collapsed="false">
      <c r="G217" s="1" t="str">
        <f aca="false">IF(B217="","",IF(AY217=1,P217-O217+1,IF(AW217="","",AW217)))</f>
        <v/>
      </c>
      <c r="I217" s="270"/>
      <c r="J217" s="270"/>
      <c r="K217" s="270"/>
      <c r="L217" s="270"/>
      <c r="M217" s="270"/>
      <c r="N217" s="270"/>
      <c r="O217" s="263"/>
      <c r="P217" s="263"/>
      <c r="Q217" s="270" t="str">
        <f aca="false">IF(AND(ISNUMBER(I217),ISNUMBER(S217)),I217*AJ217,IF(OR(I217&lt;&gt;"",S217&lt;&gt;""),"tbd",""))</f>
        <v/>
      </c>
      <c r="S217" s="268"/>
      <c r="Y217" s="275" t="str">
        <f aca="false">IF(ISNUMBER(I217),I217/Netto_Faktor,"")</f>
        <v/>
      </c>
      <c r="Z217" s="275" t="str">
        <f aca="false">IF(B217="","",IF(COUNT(J217:N217)=0,"",SUM(J217:N217)))</f>
        <v/>
      </c>
      <c r="AA217" s="266"/>
      <c r="AB217" s="266"/>
      <c r="AC217" s="266"/>
      <c r="AD217" s="266"/>
      <c r="AE217" s="266"/>
      <c r="AF217" s="266"/>
      <c r="AG217" s="267"/>
      <c r="AH217" s="266" t="str">
        <f aca="false">IF(B217="","",IF(BA217="",IF(R217="WON","✅ belegt &amp; vollständig","✔ vollständig"),LEFT(BA217,LEN(BA217)-3)))</f>
        <v/>
      </c>
      <c r="AJ217" s="268" t="n">
        <f aca="false">IF(ISNUMBER(S217),IFERROR(LOOKUP(IF(S217&lt;=1,S217,S217/100),'⚖️ Wahrscheinlichkeit'!$B$17:$B$21,'⚖️ Wahrscheinlichkeit'!$D$17:$D$21),0),0)</f>
        <v>0</v>
      </c>
      <c r="AK217" s="1" t="str">
        <f aca="false">IF(AND(R217="WON",ISNUMBER(I217)),AL217+(861-ROW())*0.000001,"")</f>
        <v/>
      </c>
      <c r="AL217" s="1" t="n">
        <f aca="false">IFERROR(I217*1,0)</f>
        <v>0</v>
      </c>
      <c r="AM217" s="1" t="n">
        <f aca="false">N(AM216)+IF(AND(R217="WON",B217&lt;&gt;""),1,0)</f>
        <v>12</v>
      </c>
      <c r="AN217" s="1" t="n">
        <f aca="false">N(AN216)+IF(AND(OR(R217="offered",R217="to be offered",R217="on hold"),B217&lt;&gt;""),1,0)</f>
        <v>33</v>
      </c>
      <c r="AO217" s="1" t="n">
        <f aca="false">N(AO216)+IF(AND(OR(R217="follow-up",R217="Evaluation",R217="tbd",R217="In evaluation"),B217&lt;&gt;""),1,0)</f>
        <v>1</v>
      </c>
      <c r="AP217" s="1" t="n">
        <f aca="false">IF(B217="",0,IF(COUNTIF('⚖️ Wahrscheinlichkeit'!$J$17:$J$24,R217)&gt;0,1,0))</f>
        <v>0</v>
      </c>
      <c r="AQ217" s="1" t="n">
        <f aca="false">IF(B217="",0,IF(AND(ISNUMBER(S217),COUNTIF('⚖️ Wahrscheinlichkeit'!$B$6:$B$11,S217)&gt;0),1,0))</f>
        <v>0</v>
      </c>
      <c r="AR217" s="1" t="n">
        <f aca="false">IF(B217="",0,IF(AND(COUNT(J217:M217)=4,SUM(J217:M217)&gt;0),1,0))</f>
        <v>0</v>
      </c>
      <c r="AS217" s="1" t="n">
        <f aca="false">IF(B217="",0,IF(AND(AF217&lt;&gt;"",AG217&lt;&gt;""),1,0))</f>
        <v>0</v>
      </c>
      <c r="AT217" s="1" t="n">
        <f aca="false">IF(AND(R217="WON",AS217=1,AR217=1),1,0)</f>
        <v>0</v>
      </c>
      <c r="AU217" s="1" t="n">
        <f aca="false">IF(B217="",0,IF(AD217="Alternative – zählt nicht",0,1))</f>
        <v>0</v>
      </c>
      <c r="AV217" s="1" t="n">
        <f aca="false">IF(B217="",0,IF(COUNTIF($B$6:$B$860,B217)&gt;1,1,0))</f>
        <v>0</v>
      </c>
      <c r="AX217" s="269" t="str">
        <f aca="false">IF(AY217=1,DATE(YEAR(O217),MONTH(O217),1),"")</f>
        <v/>
      </c>
      <c r="AY217" s="1" t="n">
        <f aca="false">IF(B217="",0,IF(AND(ISNUMBER(O217),ISNUMBER(P217)),IF(P217&gt;=O217,1,0),0))</f>
        <v>0</v>
      </c>
      <c r="AZ217" s="1" t="n">
        <f aca="false">IF(ISNUMBER(Y217),Y217,0)</f>
        <v>0</v>
      </c>
      <c r="BA217" s="1" t="str">
        <f aca="false">IF(B217="","",IF(AND(R217="WON",AS217=0),"⛔ Beleg fehlt · ","")&amp;IF(AND(R217="WON",AR217=0),"⛔ Einstand fehlt · ","")&amp;IF(AND(R217&lt;&gt;"WON",AR217=0),"○ Einstand offen · ","")&amp;IF(AND(R217="WON",AB217=""),"⛔ Vertragsart fehlt · ","")&amp;IF(AND(ISNUMBER(O217),ISNUMBER(P217)),IF(P217&lt;O217,"⚠ Ende vor Start · ",""),"")&amp;IF(AND(R217="WON",AY217=0,NOT(AND(ISNUMBER(O217),ISNUMBER(P217)))),"⛔ Zeitraum fehlt · ","")&amp;IF(AND(R217&lt;&gt;"WON",AY217=0,NOT(AND(ISNUMBER(O217),ISNUMBER(P217)))),"○ Zeitraum offen · ",""))</f>
        <v/>
      </c>
      <c r="BB217" s="1" t="str">
        <f aca="false">IF(B217="","",IF(AND(R217="WON",AS217=0),"⛔ Nachweis fehlt",IF(AND(ISNUMBER(O217),ISNUMBER(P217),P217&lt;O217),"⚠ Ende vor Start",IF(AND(R217="WON",AY217=0),"⛔ Zeitraum fehlt",IF(AR217=0,"○ Einstand offen",IF(AY217=0,"○ Zeitraum offen",IF(R217="WON","✅ belegt","✔ erfasst")))))))</f>
        <v/>
      </c>
    </row>
    <row r="218" customFormat="false" ht="15" hidden="false" customHeight="true" outlineLevel="0" collapsed="false">
      <c r="G218" s="1" t="str">
        <f aca="false">IF(B218="","",IF(AY218=1,P218-O218+1,IF(AW218="","",AW218)))</f>
        <v/>
      </c>
      <c r="I218" s="270"/>
      <c r="J218" s="270"/>
      <c r="K218" s="270"/>
      <c r="L218" s="270"/>
      <c r="M218" s="270"/>
      <c r="N218" s="270"/>
      <c r="O218" s="263"/>
      <c r="P218" s="263"/>
      <c r="Q218" s="270" t="str">
        <f aca="false">IF(AND(ISNUMBER(I218),ISNUMBER(S218)),I218*AJ218,IF(OR(I218&lt;&gt;"",S218&lt;&gt;""),"tbd",""))</f>
        <v/>
      </c>
      <c r="S218" s="268"/>
      <c r="Y218" s="275" t="str">
        <f aca="false">IF(ISNUMBER(I218),I218/Netto_Faktor,"")</f>
        <v/>
      </c>
      <c r="Z218" s="275" t="str">
        <f aca="false">IF(B218="","",IF(COUNT(J218:N218)=0,"",SUM(J218:N218)))</f>
        <v/>
      </c>
      <c r="AA218" s="266"/>
      <c r="AB218" s="266"/>
      <c r="AC218" s="266"/>
      <c r="AD218" s="266"/>
      <c r="AE218" s="266"/>
      <c r="AF218" s="266"/>
      <c r="AG218" s="267"/>
      <c r="AH218" s="266" t="str">
        <f aca="false">IF(B218="","",IF(BA218="",IF(R218="WON","✅ belegt &amp; vollständig","✔ vollständig"),LEFT(BA218,LEN(BA218)-3)))</f>
        <v/>
      </c>
      <c r="AJ218" s="268" t="n">
        <f aca="false">IF(ISNUMBER(S218),IFERROR(LOOKUP(IF(S218&lt;=1,S218,S218/100),'⚖️ Wahrscheinlichkeit'!$B$17:$B$21,'⚖️ Wahrscheinlichkeit'!$D$17:$D$21),0),0)</f>
        <v>0</v>
      </c>
      <c r="AK218" s="1" t="str">
        <f aca="false">IF(AND(R218="WON",ISNUMBER(I218)),AL218+(861-ROW())*0.000001,"")</f>
        <v/>
      </c>
      <c r="AL218" s="1" t="n">
        <f aca="false">IFERROR(I218*1,0)</f>
        <v>0</v>
      </c>
      <c r="AM218" s="1" t="n">
        <f aca="false">N(AM217)+IF(AND(R218="WON",B218&lt;&gt;""),1,0)</f>
        <v>12</v>
      </c>
      <c r="AN218" s="1" t="n">
        <f aca="false">N(AN217)+IF(AND(OR(R218="offered",R218="to be offered",R218="on hold"),B218&lt;&gt;""),1,0)</f>
        <v>33</v>
      </c>
      <c r="AO218" s="1" t="n">
        <f aca="false">N(AO217)+IF(AND(OR(R218="follow-up",R218="Evaluation",R218="tbd",R218="In evaluation"),B218&lt;&gt;""),1,0)</f>
        <v>1</v>
      </c>
      <c r="AP218" s="1" t="n">
        <f aca="false">IF(B218="",0,IF(COUNTIF('⚖️ Wahrscheinlichkeit'!$J$17:$J$24,R218)&gt;0,1,0))</f>
        <v>0</v>
      </c>
      <c r="AQ218" s="1" t="n">
        <f aca="false">IF(B218="",0,IF(AND(ISNUMBER(S218),COUNTIF('⚖️ Wahrscheinlichkeit'!$B$6:$B$11,S218)&gt;0),1,0))</f>
        <v>0</v>
      </c>
      <c r="AR218" s="1" t="n">
        <f aca="false">IF(B218="",0,IF(AND(COUNT(J218:M218)=4,SUM(J218:M218)&gt;0),1,0))</f>
        <v>0</v>
      </c>
      <c r="AS218" s="1" t="n">
        <f aca="false">IF(B218="",0,IF(AND(AF218&lt;&gt;"",AG218&lt;&gt;""),1,0))</f>
        <v>0</v>
      </c>
      <c r="AT218" s="1" t="n">
        <f aca="false">IF(AND(R218="WON",AS218=1,AR218=1),1,0)</f>
        <v>0</v>
      </c>
      <c r="AU218" s="1" t="n">
        <f aca="false">IF(B218="",0,IF(AD218="Alternative – zählt nicht",0,1))</f>
        <v>0</v>
      </c>
      <c r="AV218" s="1" t="n">
        <f aca="false">IF(B218="",0,IF(COUNTIF($B$6:$B$860,B218)&gt;1,1,0))</f>
        <v>0</v>
      </c>
      <c r="AX218" s="269" t="str">
        <f aca="false">IF(AY218=1,DATE(YEAR(O218),MONTH(O218),1),"")</f>
        <v/>
      </c>
      <c r="AY218" s="1" t="n">
        <f aca="false">IF(B218="",0,IF(AND(ISNUMBER(O218),ISNUMBER(P218)),IF(P218&gt;=O218,1,0),0))</f>
        <v>0</v>
      </c>
      <c r="AZ218" s="1" t="n">
        <f aca="false">IF(ISNUMBER(Y218),Y218,0)</f>
        <v>0</v>
      </c>
      <c r="BA218" s="1" t="str">
        <f aca="false">IF(B218="","",IF(AND(R218="WON",AS218=0),"⛔ Beleg fehlt · ","")&amp;IF(AND(R218="WON",AR218=0),"⛔ Einstand fehlt · ","")&amp;IF(AND(R218&lt;&gt;"WON",AR218=0),"○ Einstand offen · ","")&amp;IF(AND(R218="WON",AB218=""),"⛔ Vertragsart fehlt · ","")&amp;IF(AND(ISNUMBER(O218),ISNUMBER(P218)),IF(P218&lt;O218,"⚠ Ende vor Start · ",""),"")&amp;IF(AND(R218="WON",AY218=0,NOT(AND(ISNUMBER(O218),ISNUMBER(P218)))),"⛔ Zeitraum fehlt · ","")&amp;IF(AND(R218&lt;&gt;"WON",AY218=0,NOT(AND(ISNUMBER(O218),ISNUMBER(P218)))),"○ Zeitraum offen · ",""))</f>
        <v/>
      </c>
      <c r="BB218" s="1" t="str">
        <f aca="false">IF(B218="","",IF(AND(R218="WON",AS218=0),"⛔ Nachweis fehlt",IF(AND(ISNUMBER(O218),ISNUMBER(P218),P218&lt;O218),"⚠ Ende vor Start",IF(AND(R218="WON",AY218=0),"⛔ Zeitraum fehlt",IF(AR218=0,"○ Einstand offen",IF(AY218=0,"○ Zeitraum offen",IF(R218="WON","✅ belegt","✔ erfasst")))))))</f>
        <v/>
      </c>
    </row>
    <row r="219" customFormat="false" ht="15" hidden="false" customHeight="true" outlineLevel="0" collapsed="false">
      <c r="G219" s="1" t="str">
        <f aca="false">IF(B219="","",IF(AY219=1,P219-O219+1,IF(AW219="","",AW219)))</f>
        <v/>
      </c>
      <c r="I219" s="270"/>
      <c r="J219" s="270"/>
      <c r="K219" s="270"/>
      <c r="L219" s="270"/>
      <c r="M219" s="270"/>
      <c r="N219" s="270"/>
      <c r="O219" s="263"/>
      <c r="P219" s="263"/>
      <c r="Q219" s="270" t="str">
        <f aca="false">IF(AND(ISNUMBER(I219),ISNUMBER(S219)),I219*AJ219,IF(OR(I219&lt;&gt;"",S219&lt;&gt;""),"tbd",""))</f>
        <v/>
      </c>
      <c r="S219" s="268"/>
      <c r="Y219" s="275" t="str">
        <f aca="false">IF(ISNUMBER(I219),I219/Netto_Faktor,"")</f>
        <v/>
      </c>
      <c r="Z219" s="275" t="str">
        <f aca="false">IF(B219="","",IF(COUNT(J219:N219)=0,"",SUM(J219:N219)))</f>
        <v/>
      </c>
      <c r="AA219" s="266"/>
      <c r="AB219" s="266"/>
      <c r="AC219" s="266"/>
      <c r="AD219" s="266"/>
      <c r="AE219" s="266"/>
      <c r="AF219" s="266"/>
      <c r="AG219" s="267"/>
      <c r="AH219" s="266" t="str">
        <f aca="false">IF(B219="","",IF(BA219="",IF(R219="WON","✅ belegt &amp; vollständig","✔ vollständig"),LEFT(BA219,LEN(BA219)-3)))</f>
        <v/>
      </c>
      <c r="AJ219" s="268" t="n">
        <f aca="false">IF(ISNUMBER(S219),IFERROR(LOOKUP(IF(S219&lt;=1,S219,S219/100),'⚖️ Wahrscheinlichkeit'!$B$17:$B$21,'⚖️ Wahrscheinlichkeit'!$D$17:$D$21),0),0)</f>
        <v>0</v>
      </c>
      <c r="AK219" s="1" t="str">
        <f aca="false">IF(AND(R219="WON",ISNUMBER(I219)),AL219+(861-ROW())*0.000001,"")</f>
        <v/>
      </c>
      <c r="AL219" s="1" t="n">
        <f aca="false">IFERROR(I219*1,0)</f>
        <v>0</v>
      </c>
      <c r="AM219" s="1" t="n">
        <f aca="false">N(AM218)+IF(AND(R219="WON",B219&lt;&gt;""),1,0)</f>
        <v>12</v>
      </c>
      <c r="AN219" s="1" t="n">
        <f aca="false">N(AN218)+IF(AND(OR(R219="offered",R219="to be offered",R219="on hold"),B219&lt;&gt;""),1,0)</f>
        <v>33</v>
      </c>
      <c r="AO219" s="1" t="n">
        <f aca="false">N(AO218)+IF(AND(OR(R219="follow-up",R219="Evaluation",R219="tbd",R219="In evaluation"),B219&lt;&gt;""),1,0)</f>
        <v>1</v>
      </c>
      <c r="AP219" s="1" t="n">
        <f aca="false">IF(B219="",0,IF(COUNTIF('⚖️ Wahrscheinlichkeit'!$J$17:$J$24,R219)&gt;0,1,0))</f>
        <v>0</v>
      </c>
      <c r="AQ219" s="1" t="n">
        <f aca="false">IF(B219="",0,IF(AND(ISNUMBER(S219),COUNTIF('⚖️ Wahrscheinlichkeit'!$B$6:$B$11,S219)&gt;0),1,0))</f>
        <v>0</v>
      </c>
      <c r="AR219" s="1" t="n">
        <f aca="false">IF(B219="",0,IF(AND(COUNT(J219:M219)=4,SUM(J219:M219)&gt;0),1,0))</f>
        <v>0</v>
      </c>
      <c r="AS219" s="1" t="n">
        <f aca="false">IF(B219="",0,IF(AND(AF219&lt;&gt;"",AG219&lt;&gt;""),1,0))</f>
        <v>0</v>
      </c>
      <c r="AT219" s="1" t="n">
        <f aca="false">IF(AND(R219="WON",AS219=1,AR219=1),1,0)</f>
        <v>0</v>
      </c>
      <c r="AU219" s="1" t="n">
        <f aca="false">IF(B219="",0,IF(AD219="Alternative – zählt nicht",0,1))</f>
        <v>0</v>
      </c>
      <c r="AV219" s="1" t="n">
        <f aca="false">IF(B219="",0,IF(COUNTIF($B$6:$B$860,B219)&gt;1,1,0))</f>
        <v>0</v>
      </c>
      <c r="AX219" s="269" t="str">
        <f aca="false">IF(AY219=1,DATE(YEAR(O219),MONTH(O219),1),"")</f>
        <v/>
      </c>
      <c r="AY219" s="1" t="n">
        <f aca="false">IF(B219="",0,IF(AND(ISNUMBER(O219),ISNUMBER(P219)),IF(P219&gt;=O219,1,0),0))</f>
        <v>0</v>
      </c>
      <c r="AZ219" s="1" t="n">
        <f aca="false">IF(ISNUMBER(Y219),Y219,0)</f>
        <v>0</v>
      </c>
      <c r="BA219" s="1" t="str">
        <f aca="false">IF(B219="","",IF(AND(R219="WON",AS219=0),"⛔ Beleg fehlt · ","")&amp;IF(AND(R219="WON",AR219=0),"⛔ Einstand fehlt · ","")&amp;IF(AND(R219&lt;&gt;"WON",AR219=0),"○ Einstand offen · ","")&amp;IF(AND(R219="WON",AB219=""),"⛔ Vertragsart fehlt · ","")&amp;IF(AND(ISNUMBER(O219),ISNUMBER(P219)),IF(P219&lt;O219,"⚠ Ende vor Start · ",""),"")&amp;IF(AND(R219="WON",AY219=0,NOT(AND(ISNUMBER(O219),ISNUMBER(P219)))),"⛔ Zeitraum fehlt · ","")&amp;IF(AND(R219&lt;&gt;"WON",AY219=0,NOT(AND(ISNUMBER(O219),ISNUMBER(P219)))),"○ Zeitraum offen · ",""))</f>
        <v/>
      </c>
      <c r="BB219" s="1" t="str">
        <f aca="false">IF(B219="","",IF(AND(R219="WON",AS219=0),"⛔ Nachweis fehlt",IF(AND(ISNUMBER(O219),ISNUMBER(P219),P219&lt;O219),"⚠ Ende vor Start",IF(AND(R219="WON",AY219=0),"⛔ Zeitraum fehlt",IF(AR219=0,"○ Einstand offen",IF(AY219=0,"○ Zeitraum offen",IF(R219="WON","✅ belegt","✔ erfasst")))))))</f>
        <v/>
      </c>
    </row>
    <row r="220" customFormat="false" ht="15" hidden="false" customHeight="true" outlineLevel="0" collapsed="false">
      <c r="G220" s="1" t="str">
        <f aca="false">IF(B220="","",IF(AY220=1,P220-O220+1,IF(AW220="","",AW220)))</f>
        <v/>
      </c>
      <c r="I220" s="270"/>
      <c r="J220" s="270"/>
      <c r="K220" s="270"/>
      <c r="L220" s="270"/>
      <c r="M220" s="270"/>
      <c r="N220" s="270"/>
      <c r="O220" s="263"/>
      <c r="P220" s="263"/>
      <c r="Q220" s="270" t="str">
        <f aca="false">IF(AND(ISNUMBER(I220),ISNUMBER(S220)),I220*AJ220,IF(OR(I220&lt;&gt;"",S220&lt;&gt;""),"tbd",""))</f>
        <v/>
      </c>
      <c r="S220" s="268"/>
      <c r="Y220" s="275" t="str">
        <f aca="false">IF(ISNUMBER(I220),I220/Netto_Faktor,"")</f>
        <v/>
      </c>
      <c r="Z220" s="275" t="str">
        <f aca="false">IF(B220="","",IF(COUNT(J220:N220)=0,"",SUM(J220:N220)))</f>
        <v/>
      </c>
      <c r="AA220" s="266"/>
      <c r="AB220" s="266"/>
      <c r="AC220" s="266"/>
      <c r="AD220" s="266"/>
      <c r="AE220" s="266"/>
      <c r="AF220" s="266"/>
      <c r="AG220" s="267"/>
      <c r="AH220" s="266" t="str">
        <f aca="false">IF(B220="","",IF(BA220="",IF(R220="WON","✅ belegt &amp; vollständig","✔ vollständig"),LEFT(BA220,LEN(BA220)-3)))</f>
        <v/>
      </c>
      <c r="AJ220" s="268" t="n">
        <f aca="false">IF(ISNUMBER(S220),IFERROR(LOOKUP(IF(S220&lt;=1,S220,S220/100),'⚖️ Wahrscheinlichkeit'!$B$17:$B$21,'⚖️ Wahrscheinlichkeit'!$D$17:$D$21),0),0)</f>
        <v>0</v>
      </c>
      <c r="AK220" s="1" t="str">
        <f aca="false">IF(AND(R220="WON",ISNUMBER(I220)),AL220+(861-ROW())*0.000001,"")</f>
        <v/>
      </c>
      <c r="AL220" s="1" t="n">
        <f aca="false">IFERROR(I220*1,0)</f>
        <v>0</v>
      </c>
      <c r="AM220" s="1" t="n">
        <f aca="false">N(AM219)+IF(AND(R220="WON",B220&lt;&gt;""),1,0)</f>
        <v>12</v>
      </c>
      <c r="AN220" s="1" t="n">
        <f aca="false">N(AN219)+IF(AND(OR(R220="offered",R220="to be offered",R220="on hold"),B220&lt;&gt;""),1,0)</f>
        <v>33</v>
      </c>
      <c r="AO220" s="1" t="n">
        <f aca="false">N(AO219)+IF(AND(OR(R220="follow-up",R220="Evaluation",R220="tbd",R220="In evaluation"),B220&lt;&gt;""),1,0)</f>
        <v>1</v>
      </c>
      <c r="AP220" s="1" t="n">
        <f aca="false">IF(B220="",0,IF(COUNTIF('⚖️ Wahrscheinlichkeit'!$J$17:$J$24,R220)&gt;0,1,0))</f>
        <v>0</v>
      </c>
      <c r="AQ220" s="1" t="n">
        <f aca="false">IF(B220="",0,IF(AND(ISNUMBER(S220),COUNTIF('⚖️ Wahrscheinlichkeit'!$B$6:$B$11,S220)&gt;0),1,0))</f>
        <v>0</v>
      </c>
      <c r="AR220" s="1" t="n">
        <f aca="false">IF(B220="",0,IF(AND(COUNT(J220:M220)=4,SUM(J220:M220)&gt;0),1,0))</f>
        <v>0</v>
      </c>
      <c r="AS220" s="1" t="n">
        <f aca="false">IF(B220="",0,IF(AND(AF220&lt;&gt;"",AG220&lt;&gt;""),1,0))</f>
        <v>0</v>
      </c>
      <c r="AT220" s="1" t="n">
        <f aca="false">IF(AND(R220="WON",AS220=1,AR220=1),1,0)</f>
        <v>0</v>
      </c>
      <c r="AU220" s="1" t="n">
        <f aca="false">IF(B220="",0,IF(AD220="Alternative – zählt nicht",0,1))</f>
        <v>0</v>
      </c>
      <c r="AV220" s="1" t="n">
        <f aca="false">IF(B220="",0,IF(COUNTIF($B$6:$B$860,B220)&gt;1,1,0))</f>
        <v>0</v>
      </c>
      <c r="AX220" s="269" t="str">
        <f aca="false">IF(AY220=1,DATE(YEAR(O220),MONTH(O220),1),"")</f>
        <v/>
      </c>
      <c r="AY220" s="1" t="n">
        <f aca="false">IF(B220="",0,IF(AND(ISNUMBER(O220),ISNUMBER(P220)),IF(P220&gt;=O220,1,0),0))</f>
        <v>0</v>
      </c>
      <c r="AZ220" s="1" t="n">
        <f aca="false">IF(ISNUMBER(Y220),Y220,0)</f>
        <v>0</v>
      </c>
      <c r="BA220" s="1" t="str">
        <f aca="false">IF(B220="","",IF(AND(R220="WON",AS220=0),"⛔ Beleg fehlt · ","")&amp;IF(AND(R220="WON",AR220=0),"⛔ Einstand fehlt · ","")&amp;IF(AND(R220&lt;&gt;"WON",AR220=0),"○ Einstand offen · ","")&amp;IF(AND(R220="WON",AB220=""),"⛔ Vertragsart fehlt · ","")&amp;IF(AND(ISNUMBER(O220),ISNUMBER(P220)),IF(P220&lt;O220,"⚠ Ende vor Start · ",""),"")&amp;IF(AND(R220="WON",AY220=0,NOT(AND(ISNUMBER(O220),ISNUMBER(P220)))),"⛔ Zeitraum fehlt · ","")&amp;IF(AND(R220&lt;&gt;"WON",AY220=0,NOT(AND(ISNUMBER(O220),ISNUMBER(P220)))),"○ Zeitraum offen · ",""))</f>
        <v/>
      </c>
      <c r="BB220" s="1" t="str">
        <f aca="false">IF(B220="","",IF(AND(R220="WON",AS220=0),"⛔ Nachweis fehlt",IF(AND(ISNUMBER(O220),ISNUMBER(P220),P220&lt;O220),"⚠ Ende vor Start",IF(AND(R220="WON",AY220=0),"⛔ Zeitraum fehlt",IF(AR220=0,"○ Einstand offen",IF(AY220=0,"○ Zeitraum offen",IF(R220="WON","✅ belegt","✔ erfasst")))))))</f>
        <v/>
      </c>
    </row>
    <row r="221" customFormat="false" ht="15" hidden="false" customHeight="true" outlineLevel="0" collapsed="false">
      <c r="G221" s="1" t="str">
        <f aca="false">IF(B221="","",IF(AY221=1,P221-O221+1,IF(AW221="","",AW221)))</f>
        <v/>
      </c>
      <c r="I221" s="270"/>
      <c r="J221" s="270"/>
      <c r="K221" s="270"/>
      <c r="L221" s="270"/>
      <c r="M221" s="270"/>
      <c r="N221" s="270"/>
      <c r="O221" s="263"/>
      <c r="P221" s="263"/>
      <c r="Q221" s="270" t="str">
        <f aca="false">IF(AND(ISNUMBER(I221),ISNUMBER(S221)),I221*AJ221,IF(OR(I221&lt;&gt;"",S221&lt;&gt;""),"tbd",""))</f>
        <v/>
      </c>
      <c r="S221" s="268"/>
      <c r="Y221" s="275" t="str">
        <f aca="false">IF(ISNUMBER(I221),I221/Netto_Faktor,"")</f>
        <v/>
      </c>
      <c r="Z221" s="275" t="str">
        <f aca="false">IF(B221="","",IF(COUNT(J221:N221)=0,"",SUM(J221:N221)))</f>
        <v/>
      </c>
      <c r="AA221" s="266"/>
      <c r="AB221" s="266"/>
      <c r="AC221" s="266"/>
      <c r="AD221" s="266"/>
      <c r="AE221" s="266"/>
      <c r="AF221" s="266"/>
      <c r="AG221" s="267"/>
      <c r="AH221" s="266" t="str">
        <f aca="false">IF(B221="","",IF(BA221="",IF(R221="WON","✅ belegt &amp; vollständig","✔ vollständig"),LEFT(BA221,LEN(BA221)-3)))</f>
        <v/>
      </c>
      <c r="AJ221" s="268" t="n">
        <f aca="false">IF(ISNUMBER(S221),IFERROR(LOOKUP(IF(S221&lt;=1,S221,S221/100),'⚖️ Wahrscheinlichkeit'!$B$17:$B$21,'⚖️ Wahrscheinlichkeit'!$D$17:$D$21),0),0)</f>
        <v>0</v>
      </c>
      <c r="AK221" s="1" t="str">
        <f aca="false">IF(AND(R221="WON",ISNUMBER(I221)),AL221+(861-ROW())*0.000001,"")</f>
        <v/>
      </c>
      <c r="AL221" s="1" t="n">
        <f aca="false">IFERROR(I221*1,0)</f>
        <v>0</v>
      </c>
      <c r="AM221" s="1" t="n">
        <f aca="false">N(AM220)+IF(AND(R221="WON",B221&lt;&gt;""),1,0)</f>
        <v>12</v>
      </c>
      <c r="AN221" s="1" t="n">
        <f aca="false">N(AN220)+IF(AND(OR(R221="offered",R221="to be offered",R221="on hold"),B221&lt;&gt;""),1,0)</f>
        <v>33</v>
      </c>
      <c r="AO221" s="1" t="n">
        <f aca="false">N(AO220)+IF(AND(OR(R221="follow-up",R221="Evaluation",R221="tbd",R221="In evaluation"),B221&lt;&gt;""),1,0)</f>
        <v>1</v>
      </c>
      <c r="AP221" s="1" t="n">
        <f aca="false">IF(B221="",0,IF(COUNTIF('⚖️ Wahrscheinlichkeit'!$J$17:$J$24,R221)&gt;0,1,0))</f>
        <v>0</v>
      </c>
      <c r="AQ221" s="1" t="n">
        <f aca="false">IF(B221="",0,IF(AND(ISNUMBER(S221),COUNTIF('⚖️ Wahrscheinlichkeit'!$B$6:$B$11,S221)&gt;0),1,0))</f>
        <v>0</v>
      </c>
      <c r="AR221" s="1" t="n">
        <f aca="false">IF(B221="",0,IF(AND(COUNT(J221:M221)=4,SUM(J221:M221)&gt;0),1,0))</f>
        <v>0</v>
      </c>
      <c r="AS221" s="1" t="n">
        <f aca="false">IF(B221="",0,IF(AND(AF221&lt;&gt;"",AG221&lt;&gt;""),1,0))</f>
        <v>0</v>
      </c>
      <c r="AT221" s="1" t="n">
        <f aca="false">IF(AND(R221="WON",AS221=1,AR221=1),1,0)</f>
        <v>0</v>
      </c>
      <c r="AU221" s="1" t="n">
        <f aca="false">IF(B221="",0,IF(AD221="Alternative – zählt nicht",0,1))</f>
        <v>0</v>
      </c>
      <c r="AV221" s="1" t="n">
        <f aca="false">IF(B221="",0,IF(COUNTIF($B$6:$B$860,B221)&gt;1,1,0))</f>
        <v>0</v>
      </c>
      <c r="AX221" s="269" t="str">
        <f aca="false">IF(AY221=1,DATE(YEAR(O221),MONTH(O221),1),"")</f>
        <v/>
      </c>
      <c r="AY221" s="1" t="n">
        <f aca="false">IF(B221="",0,IF(AND(ISNUMBER(O221),ISNUMBER(P221)),IF(P221&gt;=O221,1,0),0))</f>
        <v>0</v>
      </c>
      <c r="AZ221" s="1" t="n">
        <f aca="false">IF(ISNUMBER(Y221),Y221,0)</f>
        <v>0</v>
      </c>
      <c r="BA221" s="1" t="str">
        <f aca="false">IF(B221="","",IF(AND(R221="WON",AS221=0),"⛔ Beleg fehlt · ","")&amp;IF(AND(R221="WON",AR221=0),"⛔ Einstand fehlt · ","")&amp;IF(AND(R221&lt;&gt;"WON",AR221=0),"○ Einstand offen · ","")&amp;IF(AND(R221="WON",AB221=""),"⛔ Vertragsart fehlt · ","")&amp;IF(AND(ISNUMBER(O221),ISNUMBER(P221)),IF(P221&lt;O221,"⚠ Ende vor Start · ",""),"")&amp;IF(AND(R221="WON",AY221=0,NOT(AND(ISNUMBER(O221),ISNUMBER(P221)))),"⛔ Zeitraum fehlt · ","")&amp;IF(AND(R221&lt;&gt;"WON",AY221=0,NOT(AND(ISNUMBER(O221),ISNUMBER(P221)))),"○ Zeitraum offen · ",""))</f>
        <v/>
      </c>
      <c r="BB221" s="1" t="str">
        <f aca="false">IF(B221="","",IF(AND(R221="WON",AS221=0),"⛔ Nachweis fehlt",IF(AND(ISNUMBER(O221),ISNUMBER(P221),P221&lt;O221),"⚠ Ende vor Start",IF(AND(R221="WON",AY221=0),"⛔ Zeitraum fehlt",IF(AR221=0,"○ Einstand offen",IF(AY221=0,"○ Zeitraum offen",IF(R221="WON","✅ belegt","✔ erfasst")))))))</f>
        <v/>
      </c>
    </row>
    <row r="222" customFormat="false" ht="15" hidden="false" customHeight="true" outlineLevel="0" collapsed="false">
      <c r="G222" s="1" t="str">
        <f aca="false">IF(B222="","",IF(AY222=1,P222-O222+1,IF(AW222="","",AW222)))</f>
        <v/>
      </c>
      <c r="I222" s="270"/>
      <c r="J222" s="270"/>
      <c r="K222" s="270"/>
      <c r="L222" s="270"/>
      <c r="M222" s="270"/>
      <c r="N222" s="270"/>
      <c r="O222" s="263"/>
      <c r="P222" s="263"/>
      <c r="Q222" s="270" t="str">
        <f aca="false">IF(AND(ISNUMBER(I222),ISNUMBER(S222)),I222*AJ222,IF(OR(I222&lt;&gt;"",S222&lt;&gt;""),"tbd",""))</f>
        <v/>
      </c>
      <c r="S222" s="268"/>
      <c r="Y222" s="275" t="str">
        <f aca="false">IF(ISNUMBER(I222),I222/Netto_Faktor,"")</f>
        <v/>
      </c>
      <c r="Z222" s="275" t="str">
        <f aca="false">IF(B222="","",IF(COUNT(J222:N222)=0,"",SUM(J222:N222)))</f>
        <v/>
      </c>
      <c r="AA222" s="266"/>
      <c r="AB222" s="266"/>
      <c r="AC222" s="266"/>
      <c r="AD222" s="266"/>
      <c r="AE222" s="266"/>
      <c r="AF222" s="266"/>
      <c r="AG222" s="267"/>
      <c r="AH222" s="266" t="str">
        <f aca="false">IF(B222="","",IF(BA222="",IF(R222="WON","✅ belegt &amp; vollständig","✔ vollständig"),LEFT(BA222,LEN(BA222)-3)))</f>
        <v/>
      </c>
      <c r="AJ222" s="268" t="n">
        <f aca="false">IF(ISNUMBER(S222),IFERROR(LOOKUP(IF(S222&lt;=1,S222,S222/100),'⚖️ Wahrscheinlichkeit'!$B$17:$B$21,'⚖️ Wahrscheinlichkeit'!$D$17:$D$21),0),0)</f>
        <v>0</v>
      </c>
      <c r="AK222" s="1" t="str">
        <f aca="false">IF(AND(R222="WON",ISNUMBER(I222)),AL222+(861-ROW())*0.000001,"")</f>
        <v/>
      </c>
      <c r="AL222" s="1" t="n">
        <f aca="false">IFERROR(I222*1,0)</f>
        <v>0</v>
      </c>
      <c r="AM222" s="1" t="n">
        <f aca="false">N(AM221)+IF(AND(R222="WON",B222&lt;&gt;""),1,0)</f>
        <v>12</v>
      </c>
      <c r="AN222" s="1" t="n">
        <f aca="false">N(AN221)+IF(AND(OR(R222="offered",R222="to be offered",R222="on hold"),B222&lt;&gt;""),1,0)</f>
        <v>33</v>
      </c>
      <c r="AO222" s="1" t="n">
        <f aca="false">N(AO221)+IF(AND(OR(R222="follow-up",R222="Evaluation",R222="tbd",R222="In evaluation"),B222&lt;&gt;""),1,0)</f>
        <v>1</v>
      </c>
      <c r="AP222" s="1" t="n">
        <f aca="false">IF(B222="",0,IF(COUNTIF('⚖️ Wahrscheinlichkeit'!$J$17:$J$24,R222)&gt;0,1,0))</f>
        <v>0</v>
      </c>
      <c r="AQ222" s="1" t="n">
        <f aca="false">IF(B222="",0,IF(AND(ISNUMBER(S222),COUNTIF('⚖️ Wahrscheinlichkeit'!$B$6:$B$11,S222)&gt;0),1,0))</f>
        <v>0</v>
      </c>
      <c r="AR222" s="1" t="n">
        <f aca="false">IF(B222="",0,IF(AND(COUNT(J222:M222)=4,SUM(J222:M222)&gt;0),1,0))</f>
        <v>0</v>
      </c>
      <c r="AS222" s="1" t="n">
        <f aca="false">IF(B222="",0,IF(AND(AF222&lt;&gt;"",AG222&lt;&gt;""),1,0))</f>
        <v>0</v>
      </c>
      <c r="AT222" s="1" t="n">
        <f aca="false">IF(AND(R222="WON",AS222=1,AR222=1),1,0)</f>
        <v>0</v>
      </c>
      <c r="AU222" s="1" t="n">
        <f aca="false">IF(B222="",0,IF(AD222="Alternative – zählt nicht",0,1))</f>
        <v>0</v>
      </c>
      <c r="AV222" s="1" t="n">
        <f aca="false">IF(B222="",0,IF(COUNTIF($B$6:$B$860,B222)&gt;1,1,0))</f>
        <v>0</v>
      </c>
      <c r="AX222" s="269" t="str">
        <f aca="false">IF(AY222=1,DATE(YEAR(O222),MONTH(O222),1),"")</f>
        <v/>
      </c>
      <c r="AY222" s="1" t="n">
        <f aca="false">IF(B222="",0,IF(AND(ISNUMBER(O222),ISNUMBER(P222)),IF(P222&gt;=O222,1,0),0))</f>
        <v>0</v>
      </c>
      <c r="AZ222" s="1" t="n">
        <f aca="false">IF(ISNUMBER(Y222),Y222,0)</f>
        <v>0</v>
      </c>
      <c r="BA222" s="1" t="str">
        <f aca="false">IF(B222="","",IF(AND(R222="WON",AS222=0),"⛔ Beleg fehlt · ","")&amp;IF(AND(R222="WON",AR222=0),"⛔ Einstand fehlt · ","")&amp;IF(AND(R222&lt;&gt;"WON",AR222=0),"○ Einstand offen · ","")&amp;IF(AND(R222="WON",AB222=""),"⛔ Vertragsart fehlt · ","")&amp;IF(AND(ISNUMBER(O222),ISNUMBER(P222)),IF(P222&lt;O222,"⚠ Ende vor Start · ",""),"")&amp;IF(AND(R222="WON",AY222=0,NOT(AND(ISNUMBER(O222),ISNUMBER(P222)))),"⛔ Zeitraum fehlt · ","")&amp;IF(AND(R222&lt;&gt;"WON",AY222=0,NOT(AND(ISNUMBER(O222),ISNUMBER(P222)))),"○ Zeitraum offen · ",""))</f>
        <v/>
      </c>
      <c r="BB222" s="1" t="str">
        <f aca="false">IF(B222="","",IF(AND(R222="WON",AS222=0),"⛔ Nachweis fehlt",IF(AND(ISNUMBER(O222),ISNUMBER(P222),P222&lt;O222),"⚠ Ende vor Start",IF(AND(R222="WON",AY222=0),"⛔ Zeitraum fehlt",IF(AR222=0,"○ Einstand offen",IF(AY222=0,"○ Zeitraum offen",IF(R222="WON","✅ belegt","✔ erfasst")))))))</f>
        <v/>
      </c>
    </row>
    <row r="223" customFormat="false" ht="15" hidden="false" customHeight="true" outlineLevel="0" collapsed="false">
      <c r="G223" s="1" t="str">
        <f aca="false">IF(B223="","",IF(AY223=1,P223-O223+1,IF(AW223="","",AW223)))</f>
        <v/>
      </c>
      <c r="I223" s="270"/>
      <c r="J223" s="270"/>
      <c r="K223" s="270"/>
      <c r="L223" s="270"/>
      <c r="M223" s="270"/>
      <c r="N223" s="270"/>
      <c r="O223" s="263"/>
      <c r="P223" s="263"/>
      <c r="Q223" s="270" t="str">
        <f aca="false">IF(AND(ISNUMBER(I223),ISNUMBER(S223)),I223*AJ223,IF(OR(I223&lt;&gt;"",S223&lt;&gt;""),"tbd",""))</f>
        <v/>
      </c>
      <c r="S223" s="268"/>
      <c r="Y223" s="275" t="str">
        <f aca="false">IF(ISNUMBER(I223),I223/Netto_Faktor,"")</f>
        <v/>
      </c>
      <c r="Z223" s="275" t="str">
        <f aca="false">IF(B223="","",IF(COUNT(J223:N223)=0,"",SUM(J223:N223)))</f>
        <v/>
      </c>
      <c r="AA223" s="266"/>
      <c r="AB223" s="266"/>
      <c r="AC223" s="266"/>
      <c r="AD223" s="266"/>
      <c r="AE223" s="266"/>
      <c r="AF223" s="266"/>
      <c r="AG223" s="267"/>
      <c r="AH223" s="266" t="str">
        <f aca="false">IF(B223="","",IF(BA223="",IF(R223="WON","✅ belegt &amp; vollständig","✔ vollständig"),LEFT(BA223,LEN(BA223)-3)))</f>
        <v/>
      </c>
      <c r="AJ223" s="268" t="n">
        <f aca="false">IF(ISNUMBER(S223),IFERROR(LOOKUP(IF(S223&lt;=1,S223,S223/100),'⚖️ Wahrscheinlichkeit'!$B$17:$B$21,'⚖️ Wahrscheinlichkeit'!$D$17:$D$21),0),0)</f>
        <v>0</v>
      </c>
      <c r="AK223" s="1" t="str">
        <f aca="false">IF(AND(R223="WON",ISNUMBER(I223)),AL223+(861-ROW())*0.000001,"")</f>
        <v/>
      </c>
      <c r="AL223" s="1" t="n">
        <f aca="false">IFERROR(I223*1,0)</f>
        <v>0</v>
      </c>
      <c r="AM223" s="1" t="n">
        <f aca="false">N(AM222)+IF(AND(R223="WON",B223&lt;&gt;""),1,0)</f>
        <v>12</v>
      </c>
      <c r="AN223" s="1" t="n">
        <f aca="false">N(AN222)+IF(AND(OR(R223="offered",R223="to be offered",R223="on hold"),B223&lt;&gt;""),1,0)</f>
        <v>33</v>
      </c>
      <c r="AO223" s="1" t="n">
        <f aca="false">N(AO222)+IF(AND(OR(R223="follow-up",R223="Evaluation",R223="tbd",R223="In evaluation"),B223&lt;&gt;""),1,0)</f>
        <v>1</v>
      </c>
      <c r="AP223" s="1" t="n">
        <f aca="false">IF(B223="",0,IF(COUNTIF('⚖️ Wahrscheinlichkeit'!$J$17:$J$24,R223)&gt;0,1,0))</f>
        <v>0</v>
      </c>
      <c r="AQ223" s="1" t="n">
        <f aca="false">IF(B223="",0,IF(AND(ISNUMBER(S223),COUNTIF('⚖️ Wahrscheinlichkeit'!$B$6:$B$11,S223)&gt;0),1,0))</f>
        <v>0</v>
      </c>
      <c r="AR223" s="1" t="n">
        <f aca="false">IF(B223="",0,IF(AND(COUNT(J223:M223)=4,SUM(J223:M223)&gt;0),1,0))</f>
        <v>0</v>
      </c>
      <c r="AS223" s="1" t="n">
        <f aca="false">IF(B223="",0,IF(AND(AF223&lt;&gt;"",AG223&lt;&gt;""),1,0))</f>
        <v>0</v>
      </c>
      <c r="AT223" s="1" t="n">
        <f aca="false">IF(AND(R223="WON",AS223=1,AR223=1),1,0)</f>
        <v>0</v>
      </c>
      <c r="AU223" s="1" t="n">
        <f aca="false">IF(B223="",0,IF(AD223="Alternative – zählt nicht",0,1))</f>
        <v>0</v>
      </c>
      <c r="AV223" s="1" t="n">
        <f aca="false">IF(B223="",0,IF(COUNTIF($B$6:$B$860,B223)&gt;1,1,0))</f>
        <v>0</v>
      </c>
      <c r="AX223" s="269" t="str">
        <f aca="false">IF(AY223=1,DATE(YEAR(O223),MONTH(O223),1),"")</f>
        <v/>
      </c>
      <c r="AY223" s="1" t="n">
        <f aca="false">IF(B223="",0,IF(AND(ISNUMBER(O223),ISNUMBER(P223)),IF(P223&gt;=O223,1,0),0))</f>
        <v>0</v>
      </c>
      <c r="AZ223" s="1" t="n">
        <f aca="false">IF(ISNUMBER(Y223),Y223,0)</f>
        <v>0</v>
      </c>
      <c r="BA223" s="1" t="str">
        <f aca="false">IF(B223="","",IF(AND(R223="WON",AS223=0),"⛔ Beleg fehlt · ","")&amp;IF(AND(R223="WON",AR223=0),"⛔ Einstand fehlt · ","")&amp;IF(AND(R223&lt;&gt;"WON",AR223=0),"○ Einstand offen · ","")&amp;IF(AND(R223="WON",AB223=""),"⛔ Vertragsart fehlt · ","")&amp;IF(AND(ISNUMBER(O223),ISNUMBER(P223)),IF(P223&lt;O223,"⚠ Ende vor Start · ",""),"")&amp;IF(AND(R223="WON",AY223=0,NOT(AND(ISNUMBER(O223),ISNUMBER(P223)))),"⛔ Zeitraum fehlt · ","")&amp;IF(AND(R223&lt;&gt;"WON",AY223=0,NOT(AND(ISNUMBER(O223),ISNUMBER(P223)))),"○ Zeitraum offen · ",""))</f>
        <v/>
      </c>
      <c r="BB223" s="1" t="str">
        <f aca="false">IF(B223="","",IF(AND(R223="WON",AS223=0),"⛔ Nachweis fehlt",IF(AND(ISNUMBER(O223),ISNUMBER(P223),P223&lt;O223),"⚠ Ende vor Start",IF(AND(R223="WON",AY223=0),"⛔ Zeitraum fehlt",IF(AR223=0,"○ Einstand offen",IF(AY223=0,"○ Zeitraum offen",IF(R223="WON","✅ belegt","✔ erfasst")))))))</f>
        <v/>
      </c>
    </row>
    <row r="224" customFormat="false" ht="15" hidden="false" customHeight="true" outlineLevel="0" collapsed="false">
      <c r="G224" s="1" t="str">
        <f aca="false">IF(B224="","",IF(AY224=1,P224-O224+1,IF(AW224="","",AW224)))</f>
        <v/>
      </c>
      <c r="I224" s="270"/>
      <c r="J224" s="270"/>
      <c r="K224" s="270"/>
      <c r="L224" s="270"/>
      <c r="M224" s="270"/>
      <c r="N224" s="270"/>
      <c r="O224" s="263"/>
      <c r="P224" s="263"/>
      <c r="Q224" s="270" t="str">
        <f aca="false">IF(AND(ISNUMBER(I224),ISNUMBER(S224)),I224*AJ224,IF(OR(I224&lt;&gt;"",S224&lt;&gt;""),"tbd",""))</f>
        <v/>
      </c>
      <c r="S224" s="268"/>
      <c r="Y224" s="275" t="str">
        <f aca="false">IF(ISNUMBER(I224),I224/Netto_Faktor,"")</f>
        <v/>
      </c>
      <c r="Z224" s="275" t="str">
        <f aca="false">IF(B224="","",IF(COUNT(J224:N224)=0,"",SUM(J224:N224)))</f>
        <v/>
      </c>
      <c r="AA224" s="266"/>
      <c r="AB224" s="266"/>
      <c r="AC224" s="266"/>
      <c r="AD224" s="266"/>
      <c r="AE224" s="266"/>
      <c r="AF224" s="266"/>
      <c r="AG224" s="267"/>
      <c r="AH224" s="266" t="str">
        <f aca="false">IF(B224="","",IF(BA224="",IF(R224="WON","✅ belegt &amp; vollständig","✔ vollständig"),LEFT(BA224,LEN(BA224)-3)))</f>
        <v/>
      </c>
      <c r="AJ224" s="268" t="n">
        <f aca="false">IF(ISNUMBER(S224),IFERROR(LOOKUP(IF(S224&lt;=1,S224,S224/100),'⚖️ Wahrscheinlichkeit'!$B$17:$B$21,'⚖️ Wahrscheinlichkeit'!$D$17:$D$21),0),0)</f>
        <v>0</v>
      </c>
      <c r="AK224" s="1" t="str">
        <f aca="false">IF(AND(R224="WON",ISNUMBER(I224)),AL224+(861-ROW())*0.000001,"")</f>
        <v/>
      </c>
      <c r="AL224" s="1" t="n">
        <f aca="false">IFERROR(I224*1,0)</f>
        <v>0</v>
      </c>
      <c r="AM224" s="1" t="n">
        <f aca="false">N(AM223)+IF(AND(R224="WON",B224&lt;&gt;""),1,0)</f>
        <v>12</v>
      </c>
      <c r="AN224" s="1" t="n">
        <f aca="false">N(AN223)+IF(AND(OR(R224="offered",R224="to be offered",R224="on hold"),B224&lt;&gt;""),1,0)</f>
        <v>33</v>
      </c>
      <c r="AO224" s="1" t="n">
        <f aca="false">N(AO223)+IF(AND(OR(R224="follow-up",R224="Evaluation",R224="tbd",R224="In evaluation"),B224&lt;&gt;""),1,0)</f>
        <v>1</v>
      </c>
      <c r="AP224" s="1" t="n">
        <f aca="false">IF(B224="",0,IF(COUNTIF('⚖️ Wahrscheinlichkeit'!$J$17:$J$24,R224)&gt;0,1,0))</f>
        <v>0</v>
      </c>
      <c r="AQ224" s="1" t="n">
        <f aca="false">IF(B224="",0,IF(AND(ISNUMBER(S224),COUNTIF('⚖️ Wahrscheinlichkeit'!$B$6:$B$11,S224)&gt;0),1,0))</f>
        <v>0</v>
      </c>
      <c r="AR224" s="1" t="n">
        <f aca="false">IF(B224="",0,IF(AND(COUNT(J224:M224)=4,SUM(J224:M224)&gt;0),1,0))</f>
        <v>0</v>
      </c>
      <c r="AS224" s="1" t="n">
        <f aca="false">IF(B224="",0,IF(AND(AF224&lt;&gt;"",AG224&lt;&gt;""),1,0))</f>
        <v>0</v>
      </c>
      <c r="AT224" s="1" t="n">
        <f aca="false">IF(AND(R224="WON",AS224=1,AR224=1),1,0)</f>
        <v>0</v>
      </c>
      <c r="AU224" s="1" t="n">
        <f aca="false">IF(B224="",0,IF(AD224="Alternative – zählt nicht",0,1))</f>
        <v>0</v>
      </c>
      <c r="AV224" s="1" t="n">
        <f aca="false">IF(B224="",0,IF(COUNTIF($B$6:$B$860,B224)&gt;1,1,0))</f>
        <v>0</v>
      </c>
      <c r="AX224" s="269" t="str">
        <f aca="false">IF(AY224=1,DATE(YEAR(O224),MONTH(O224),1),"")</f>
        <v/>
      </c>
      <c r="AY224" s="1" t="n">
        <f aca="false">IF(B224="",0,IF(AND(ISNUMBER(O224),ISNUMBER(P224)),IF(P224&gt;=O224,1,0),0))</f>
        <v>0</v>
      </c>
      <c r="AZ224" s="1" t="n">
        <f aca="false">IF(ISNUMBER(Y224),Y224,0)</f>
        <v>0</v>
      </c>
      <c r="BA224" s="1" t="str">
        <f aca="false">IF(B224="","",IF(AND(R224="WON",AS224=0),"⛔ Beleg fehlt · ","")&amp;IF(AND(R224="WON",AR224=0),"⛔ Einstand fehlt · ","")&amp;IF(AND(R224&lt;&gt;"WON",AR224=0),"○ Einstand offen · ","")&amp;IF(AND(R224="WON",AB224=""),"⛔ Vertragsart fehlt · ","")&amp;IF(AND(ISNUMBER(O224),ISNUMBER(P224)),IF(P224&lt;O224,"⚠ Ende vor Start · ",""),"")&amp;IF(AND(R224="WON",AY224=0,NOT(AND(ISNUMBER(O224),ISNUMBER(P224)))),"⛔ Zeitraum fehlt · ","")&amp;IF(AND(R224&lt;&gt;"WON",AY224=0,NOT(AND(ISNUMBER(O224),ISNUMBER(P224)))),"○ Zeitraum offen · ",""))</f>
        <v/>
      </c>
      <c r="BB224" s="1" t="str">
        <f aca="false">IF(B224="","",IF(AND(R224="WON",AS224=0),"⛔ Nachweis fehlt",IF(AND(ISNUMBER(O224),ISNUMBER(P224),P224&lt;O224),"⚠ Ende vor Start",IF(AND(R224="WON",AY224=0),"⛔ Zeitraum fehlt",IF(AR224=0,"○ Einstand offen",IF(AY224=0,"○ Zeitraum offen",IF(R224="WON","✅ belegt","✔ erfasst")))))))</f>
        <v/>
      </c>
    </row>
    <row r="225" customFormat="false" ht="15" hidden="false" customHeight="true" outlineLevel="0" collapsed="false">
      <c r="G225" s="1" t="str">
        <f aca="false">IF(B225="","",IF(AY225=1,P225-O225+1,IF(AW225="","",AW225)))</f>
        <v/>
      </c>
      <c r="I225" s="270"/>
      <c r="J225" s="270"/>
      <c r="K225" s="270"/>
      <c r="L225" s="270"/>
      <c r="M225" s="270"/>
      <c r="N225" s="270"/>
      <c r="O225" s="263"/>
      <c r="P225" s="263"/>
      <c r="Q225" s="270" t="str">
        <f aca="false">IF(AND(ISNUMBER(I225),ISNUMBER(S225)),I225*AJ225,IF(OR(I225&lt;&gt;"",S225&lt;&gt;""),"tbd",""))</f>
        <v/>
      </c>
      <c r="S225" s="268"/>
      <c r="Y225" s="275" t="str">
        <f aca="false">IF(ISNUMBER(I225),I225/Netto_Faktor,"")</f>
        <v/>
      </c>
      <c r="Z225" s="275" t="str">
        <f aca="false">IF(B225="","",IF(COUNT(J225:N225)=0,"",SUM(J225:N225)))</f>
        <v/>
      </c>
      <c r="AA225" s="266"/>
      <c r="AB225" s="266"/>
      <c r="AC225" s="266"/>
      <c r="AD225" s="266"/>
      <c r="AE225" s="266"/>
      <c r="AF225" s="266"/>
      <c r="AG225" s="267"/>
      <c r="AH225" s="266" t="str">
        <f aca="false">IF(B225="","",IF(BA225="",IF(R225="WON","✅ belegt &amp; vollständig","✔ vollständig"),LEFT(BA225,LEN(BA225)-3)))</f>
        <v/>
      </c>
      <c r="AJ225" s="268" t="n">
        <f aca="false">IF(ISNUMBER(S225),IFERROR(LOOKUP(IF(S225&lt;=1,S225,S225/100),'⚖️ Wahrscheinlichkeit'!$B$17:$B$21,'⚖️ Wahrscheinlichkeit'!$D$17:$D$21),0),0)</f>
        <v>0</v>
      </c>
      <c r="AK225" s="1" t="str">
        <f aca="false">IF(AND(R225="WON",ISNUMBER(I225)),AL225+(861-ROW())*0.000001,"")</f>
        <v/>
      </c>
      <c r="AL225" s="1" t="n">
        <f aca="false">IFERROR(I225*1,0)</f>
        <v>0</v>
      </c>
      <c r="AM225" s="1" t="n">
        <f aca="false">N(AM224)+IF(AND(R225="WON",B225&lt;&gt;""),1,0)</f>
        <v>12</v>
      </c>
      <c r="AN225" s="1" t="n">
        <f aca="false">N(AN224)+IF(AND(OR(R225="offered",R225="to be offered",R225="on hold"),B225&lt;&gt;""),1,0)</f>
        <v>33</v>
      </c>
      <c r="AO225" s="1" t="n">
        <f aca="false">N(AO224)+IF(AND(OR(R225="follow-up",R225="Evaluation",R225="tbd",R225="In evaluation"),B225&lt;&gt;""),1,0)</f>
        <v>1</v>
      </c>
      <c r="AP225" s="1" t="n">
        <f aca="false">IF(B225="",0,IF(COUNTIF('⚖️ Wahrscheinlichkeit'!$J$17:$J$24,R225)&gt;0,1,0))</f>
        <v>0</v>
      </c>
      <c r="AQ225" s="1" t="n">
        <f aca="false">IF(B225="",0,IF(AND(ISNUMBER(S225),COUNTIF('⚖️ Wahrscheinlichkeit'!$B$6:$B$11,S225)&gt;0),1,0))</f>
        <v>0</v>
      </c>
      <c r="AR225" s="1" t="n">
        <f aca="false">IF(B225="",0,IF(AND(COUNT(J225:M225)=4,SUM(J225:M225)&gt;0),1,0))</f>
        <v>0</v>
      </c>
      <c r="AS225" s="1" t="n">
        <f aca="false">IF(B225="",0,IF(AND(AF225&lt;&gt;"",AG225&lt;&gt;""),1,0))</f>
        <v>0</v>
      </c>
      <c r="AT225" s="1" t="n">
        <f aca="false">IF(AND(R225="WON",AS225=1,AR225=1),1,0)</f>
        <v>0</v>
      </c>
      <c r="AU225" s="1" t="n">
        <f aca="false">IF(B225="",0,IF(AD225="Alternative – zählt nicht",0,1))</f>
        <v>0</v>
      </c>
      <c r="AV225" s="1" t="n">
        <f aca="false">IF(B225="",0,IF(COUNTIF($B$6:$B$860,B225)&gt;1,1,0))</f>
        <v>0</v>
      </c>
      <c r="AX225" s="269" t="str">
        <f aca="false">IF(AY225=1,DATE(YEAR(O225),MONTH(O225),1),"")</f>
        <v/>
      </c>
      <c r="AY225" s="1" t="n">
        <f aca="false">IF(B225="",0,IF(AND(ISNUMBER(O225),ISNUMBER(P225)),IF(P225&gt;=O225,1,0),0))</f>
        <v>0</v>
      </c>
      <c r="AZ225" s="1" t="n">
        <f aca="false">IF(ISNUMBER(Y225),Y225,0)</f>
        <v>0</v>
      </c>
      <c r="BA225" s="1" t="str">
        <f aca="false">IF(B225="","",IF(AND(R225="WON",AS225=0),"⛔ Beleg fehlt · ","")&amp;IF(AND(R225="WON",AR225=0),"⛔ Einstand fehlt · ","")&amp;IF(AND(R225&lt;&gt;"WON",AR225=0),"○ Einstand offen · ","")&amp;IF(AND(R225="WON",AB225=""),"⛔ Vertragsart fehlt · ","")&amp;IF(AND(ISNUMBER(O225),ISNUMBER(P225)),IF(P225&lt;O225,"⚠ Ende vor Start · ",""),"")&amp;IF(AND(R225="WON",AY225=0,NOT(AND(ISNUMBER(O225),ISNUMBER(P225)))),"⛔ Zeitraum fehlt · ","")&amp;IF(AND(R225&lt;&gt;"WON",AY225=0,NOT(AND(ISNUMBER(O225),ISNUMBER(P225)))),"○ Zeitraum offen · ",""))</f>
        <v/>
      </c>
      <c r="BB225" s="1" t="str">
        <f aca="false">IF(B225="","",IF(AND(R225="WON",AS225=0),"⛔ Nachweis fehlt",IF(AND(ISNUMBER(O225),ISNUMBER(P225),P225&lt;O225),"⚠ Ende vor Start",IF(AND(R225="WON",AY225=0),"⛔ Zeitraum fehlt",IF(AR225=0,"○ Einstand offen",IF(AY225=0,"○ Zeitraum offen",IF(R225="WON","✅ belegt","✔ erfasst")))))))</f>
        <v/>
      </c>
    </row>
    <row r="226" customFormat="false" ht="15" hidden="false" customHeight="true" outlineLevel="0" collapsed="false">
      <c r="G226" s="1" t="str">
        <f aca="false">IF(B226="","",IF(AY226=1,P226-O226+1,IF(AW226="","",AW226)))</f>
        <v/>
      </c>
      <c r="I226" s="270"/>
      <c r="J226" s="270"/>
      <c r="K226" s="270"/>
      <c r="L226" s="270"/>
      <c r="M226" s="270"/>
      <c r="N226" s="270"/>
      <c r="O226" s="263"/>
      <c r="P226" s="263"/>
      <c r="Q226" s="270" t="str">
        <f aca="false">IF(AND(ISNUMBER(I226),ISNUMBER(S226)),I226*AJ226,IF(OR(I226&lt;&gt;"",S226&lt;&gt;""),"tbd",""))</f>
        <v/>
      </c>
      <c r="S226" s="268"/>
      <c r="Y226" s="275" t="str">
        <f aca="false">IF(ISNUMBER(I226),I226/Netto_Faktor,"")</f>
        <v/>
      </c>
      <c r="Z226" s="275" t="str">
        <f aca="false">IF(B226="","",IF(COUNT(J226:N226)=0,"",SUM(J226:N226)))</f>
        <v/>
      </c>
      <c r="AA226" s="266"/>
      <c r="AB226" s="266"/>
      <c r="AC226" s="266"/>
      <c r="AD226" s="266"/>
      <c r="AE226" s="266"/>
      <c r="AF226" s="266"/>
      <c r="AG226" s="267"/>
      <c r="AH226" s="266" t="str">
        <f aca="false">IF(B226="","",IF(BA226="",IF(R226="WON","✅ belegt &amp; vollständig","✔ vollständig"),LEFT(BA226,LEN(BA226)-3)))</f>
        <v/>
      </c>
      <c r="AJ226" s="268" t="n">
        <f aca="false">IF(ISNUMBER(S226),IFERROR(LOOKUP(IF(S226&lt;=1,S226,S226/100),'⚖️ Wahrscheinlichkeit'!$B$17:$B$21,'⚖️ Wahrscheinlichkeit'!$D$17:$D$21),0),0)</f>
        <v>0</v>
      </c>
      <c r="AK226" s="1" t="str">
        <f aca="false">IF(AND(R226="WON",ISNUMBER(I226)),AL226+(861-ROW())*0.000001,"")</f>
        <v/>
      </c>
      <c r="AL226" s="1" t="n">
        <f aca="false">IFERROR(I226*1,0)</f>
        <v>0</v>
      </c>
      <c r="AM226" s="1" t="n">
        <f aca="false">N(AM225)+IF(AND(R226="WON",B226&lt;&gt;""),1,0)</f>
        <v>12</v>
      </c>
      <c r="AN226" s="1" t="n">
        <f aca="false">N(AN225)+IF(AND(OR(R226="offered",R226="to be offered",R226="on hold"),B226&lt;&gt;""),1,0)</f>
        <v>33</v>
      </c>
      <c r="AO226" s="1" t="n">
        <f aca="false">N(AO225)+IF(AND(OR(R226="follow-up",R226="Evaluation",R226="tbd",R226="In evaluation"),B226&lt;&gt;""),1,0)</f>
        <v>1</v>
      </c>
      <c r="AP226" s="1" t="n">
        <f aca="false">IF(B226="",0,IF(COUNTIF('⚖️ Wahrscheinlichkeit'!$J$17:$J$24,R226)&gt;0,1,0))</f>
        <v>0</v>
      </c>
      <c r="AQ226" s="1" t="n">
        <f aca="false">IF(B226="",0,IF(AND(ISNUMBER(S226),COUNTIF('⚖️ Wahrscheinlichkeit'!$B$6:$B$11,S226)&gt;0),1,0))</f>
        <v>0</v>
      </c>
      <c r="AR226" s="1" t="n">
        <f aca="false">IF(B226="",0,IF(AND(COUNT(J226:M226)=4,SUM(J226:M226)&gt;0),1,0))</f>
        <v>0</v>
      </c>
      <c r="AS226" s="1" t="n">
        <f aca="false">IF(B226="",0,IF(AND(AF226&lt;&gt;"",AG226&lt;&gt;""),1,0))</f>
        <v>0</v>
      </c>
      <c r="AT226" s="1" t="n">
        <f aca="false">IF(AND(R226="WON",AS226=1,AR226=1),1,0)</f>
        <v>0</v>
      </c>
      <c r="AU226" s="1" t="n">
        <f aca="false">IF(B226="",0,IF(AD226="Alternative – zählt nicht",0,1))</f>
        <v>0</v>
      </c>
      <c r="AV226" s="1" t="n">
        <f aca="false">IF(B226="",0,IF(COUNTIF($B$6:$B$860,B226)&gt;1,1,0))</f>
        <v>0</v>
      </c>
      <c r="AX226" s="269" t="str">
        <f aca="false">IF(AY226=1,DATE(YEAR(O226),MONTH(O226),1),"")</f>
        <v/>
      </c>
      <c r="AY226" s="1" t="n">
        <f aca="false">IF(B226="",0,IF(AND(ISNUMBER(O226),ISNUMBER(P226)),IF(P226&gt;=O226,1,0),0))</f>
        <v>0</v>
      </c>
      <c r="AZ226" s="1" t="n">
        <f aca="false">IF(ISNUMBER(Y226),Y226,0)</f>
        <v>0</v>
      </c>
      <c r="BA226" s="1" t="str">
        <f aca="false">IF(B226="","",IF(AND(R226="WON",AS226=0),"⛔ Beleg fehlt · ","")&amp;IF(AND(R226="WON",AR226=0),"⛔ Einstand fehlt · ","")&amp;IF(AND(R226&lt;&gt;"WON",AR226=0),"○ Einstand offen · ","")&amp;IF(AND(R226="WON",AB226=""),"⛔ Vertragsart fehlt · ","")&amp;IF(AND(ISNUMBER(O226),ISNUMBER(P226)),IF(P226&lt;O226,"⚠ Ende vor Start · ",""),"")&amp;IF(AND(R226="WON",AY226=0,NOT(AND(ISNUMBER(O226),ISNUMBER(P226)))),"⛔ Zeitraum fehlt · ","")&amp;IF(AND(R226&lt;&gt;"WON",AY226=0,NOT(AND(ISNUMBER(O226),ISNUMBER(P226)))),"○ Zeitraum offen · ",""))</f>
        <v/>
      </c>
      <c r="BB226" s="1" t="str">
        <f aca="false">IF(B226="","",IF(AND(R226="WON",AS226=0),"⛔ Nachweis fehlt",IF(AND(ISNUMBER(O226),ISNUMBER(P226),P226&lt;O226),"⚠ Ende vor Start",IF(AND(R226="WON",AY226=0),"⛔ Zeitraum fehlt",IF(AR226=0,"○ Einstand offen",IF(AY226=0,"○ Zeitraum offen",IF(R226="WON","✅ belegt","✔ erfasst")))))))</f>
        <v/>
      </c>
    </row>
    <row r="227" customFormat="false" ht="15" hidden="false" customHeight="true" outlineLevel="0" collapsed="false">
      <c r="G227" s="1" t="str">
        <f aca="false">IF(B227="","",IF(AY227=1,P227-O227+1,IF(AW227="","",AW227)))</f>
        <v/>
      </c>
      <c r="I227" s="270"/>
      <c r="J227" s="270"/>
      <c r="K227" s="270"/>
      <c r="L227" s="270"/>
      <c r="M227" s="270"/>
      <c r="N227" s="270"/>
      <c r="O227" s="263"/>
      <c r="P227" s="263"/>
      <c r="Q227" s="270" t="str">
        <f aca="false">IF(AND(ISNUMBER(I227),ISNUMBER(S227)),I227*AJ227,IF(OR(I227&lt;&gt;"",S227&lt;&gt;""),"tbd",""))</f>
        <v/>
      </c>
      <c r="S227" s="268"/>
      <c r="Y227" s="275" t="str">
        <f aca="false">IF(ISNUMBER(I227),I227/Netto_Faktor,"")</f>
        <v/>
      </c>
      <c r="Z227" s="275" t="str">
        <f aca="false">IF(B227="","",IF(COUNT(J227:N227)=0,"",SUM(J227:N227)))</f>
        <v/>
      </c>
      <c r="AA227" s="266"/>
      <c r="AB227" s="266"/>
      <c r="AC227" s="266"/>
      <c r="AD227" s="266"/>
      <c r="AE227" s="266"/>
      <c r="AF227" s="266"/>
      <c r="AG227" s="267"/>
      <c r="AH227" s="266" t="str">
        <f aca="false">IF(B227="","",IF(BA227="",IF(R227="WON","✅ belegt &amp; vollständig","✔ vollständig"),LEFT(BA227,LEN(BA227)-3)))</f>
        <v/>
      </c>
      <c r="AJ227" s="268" t="n">
        <f aca="false">IF(ISNUMBER(S227),IFERROR(LOOKUP(IF(S227&lt;=1,S227,S227/100),'⚖️ Wahrscheinlichkeit'!$B$17:$B$21,'⚖️ Wahrscheinlichkeit'!$D$17:$D$21),0),0)</f>
        <v>0</v>
      </c>
      <c r="AK227" s="1" t="str">
        <f aca="false">IF(AND(R227="WON",ISNUMBER(I227)),AL227+(861-ROW())*0.000001,"")</f>
        <v/>
      </c>
      <c r="AL227" s="1" t="n">
        <f aca="false">IFERROR(I227*1,0)</f>
        <v>0</v>
      </c>
      <c r="AM227" s="1" t="n">
        <f aca="false">N(AM226)+IF(AND(R227="WON",B227&lt;&gt;""),1,0)</f>
        <v>12</v>
      </c>
      <c r="AN227" s="1" t="n">
        <f aca="false">N(AN226)+IF(AND(OR(R227="offered",R227="to be offered",R227="on hold"),B227&lt;&gt;""),1,0)</f>
        <v>33</v>
      </c>
      <c r="AO227" s="1" t="n">
        <f aca="false">N(AO226)+IF(AND(OR(R227="follow-up",R227="Evaluation",R227="tbd",R227="In evaluation"),B227&lt;&gt;""),1,0)</f>
        <v>1</v>
      </c>
      <c r="AP227" s="1" t="n">
        <f aca="false">IF(B227="",0,IF(COUNTIF('⚖️ Wahrscheinlichkeit'!$J$17:$J$24,R227)&gt;0,1,0))</f>
        <v>0</v>
      </c>
      <c r="AQ227" s="1" t="n">
        <f aca="false">IF(B227="",0,IF(AND(ISNUMBER(S227),COUNTIF('⚖️ Wahrscheinlichkeit'!$B$6:$B$11,S227)&gt;0),1,0))</f>
        <v>0</v>
      </c>
      <c r="AR227" s="1" t="n">
        <f aca="false">IF(B227="",0,IF(AND(COUNT(J227:M227)=4,SUM(J227:M227)&gt;0),1,0))</f>
        <v>0</v>
      </c>
      <c r="AS227" s="1" t="n">
        <f aca="false">IF(B227="",0,IF(AND(AF227&lt;&gt;"",AG227&lt;&gt;""),1,0))</f>
        <v>0</v>
      </c>
      <c r="AT227" s="1" t="n">
        <f aca="false">IF(AND(R227="WON",AS227=1,AR227=1),1,0)</f>
        <v>0</v>
      </c>
      <c r="AU227" s="1" t="n">
        <f aca="false">IF(B227="",0,IF(AD227="Alternative – zählt nicht",0,1))</f>
        <v>0</v>
      </c>
      <c r="AV227" s="1" t="n">
        <f aca="false">IF(B227="",0,IF(COUNTIF($B$6:$B$860,B227)&gt;1,1,0))</f>
        <v>0</v>
      </c>
      <c r="AX227" s="269" t="str">
        <f aca="false">IF(AY227=1,DATE(YEAR(O227),MONTH(O227),1),"")</f>
        <v/>
      </c>
      <c r="AY227" s="1" t="n">
        <f aca="false">IF(B227="",0,IF(AND(ISNUMBER(O227),ISNUMBER(P227)),IF(P227&gt;=O227,1,0),0))</f>
        <v>0</v>
      </c>
      <c r="AZ227" s="1" t="n">
        <f aca="false">IF(ISNUMBER(Y227),Y227,0)</f>
        <v>0</v>
      </c>
      <c r="BA227" s="1" t="str">
        <f aca="false">IF(B227="","",IF(AND(R227="WON",AS227=0),"⛔ Beleg fehlt · ","")&amp;IF(AND(R227="WON",AR227=0),"⛔ Einstand fehlt · ","")&amp;IF(AND(R227&lt;&gt;"WON",AR227=0),"○ Einstand offen · ","")&amp;IF(AND(R227="WON",AB227=""),"⛔ Vertragsart fehlt · ","")&amp;IF(AND(ISNUMBER(O227),ISNUMBER(P227)),IF(P227&lt;O227,"⚠ Ende vor Start · ",""),"")&amp;IF(AND(R227="WON",AY227=0,NOT(AND(ISNUMBER(O227),ISNUMBER(P227)))),"⛔ Zeitraum fehlt · ","")&amp;IF(AND(R227&lt;&gt;"WON",AY227=0,NOT(AND(ISNUMBER(O227),ISNUMBER(P227)))),"○ Zeitraum offen · ",""))</f>
        <v/>
      </c>
      <c r="BB227" s="1" t="str">
        <f aca="false">IF(B227="","",IF(AND(R227="WON",AS227=0),"⛔ Nachweis fehlt",IF(AND(ISNUMBER(O227),ISNUMBER(P227),P227&lt;O227),"⚠ Ende vor Start",IF(AND(R227="WON",AY227=0),"⛔ Zeitraum fehlt",IF(AR227=0,"○ Einstand offen",IF(AY227=0,"○ Zeitraum offen",IF(R227="WON","✅ belegt","✔ erfasst")))))))</f>
        <v/>
      </c>
    </row>
    <row r="228" customFormat="false" ht="15" hidden="false" customHeight="true" outlineLevel="0" collapsed="false">
      <c r="G228" s="1" t="str">
        <f aca="false">IF(B228="","",IF(AY228=1,P228-O228+1,IF(AW228="","",AW228)))</f>
        <v/>
      </c>
      <c r="I228" s="270"/>
      <c r="J228" s="270"/>
      <c r="K228" s="270"/>
      <c r="L228" s="270"/>
      <c r="M228" s="270"/>
      <c r="N228" s="270"/>
      <c r="O228" s="263"/>
      <c r="P228" s="263"/>
      <c r="Q228" s="270" t="str">
        <f aca="false">IF(AND(ISNUMBER(I228),ISNUMBER(S228)),I228*AJ228,IF(OR(I228&lt;&gt;"",S228&lt;&gt;""),"tbd",""))</f>
        <v/>
      </c>
      <c r="S228" s="268"/>
      <c r="Y228" s="275" t="str">
        <f aca="false">IF(ISNUMBER(I228),I228/Netto_Faktor,"")</f>
        <v/>
      </c>
      <c r="Z228" s="275" t="str">
        <f aca="false">IF(B228="","",IF(COUNT(J228:N228)=0,"",SUM(J228:N228)))</f>
        <v/>
      </c>
      <c r="AA228" s="266"/>
      <c r="AB228" s="266"/>
      <c r="AC228" s="266"/>
      <c r="AD228" s="266"/>
      <c r="AE228" s="266"/>
      <c r="AF228" s="266"/>
      <c r="AG228" s="267"/>
      <c r="AH228" s="266" t="str">
        <f aca="false">IF(B228="","",IF(BA228="",IF(R228="WON","✅ belegt &amp; vollständig","✔ vollständig"),LEFT(BA228,LEN(BA228)-3)))</f>
        <v/>
      </c>
      <c r="AJ228" s="268" t="n">
        <f aca="false">IF(ISNUMBER(S228),IFERROR(LOOKUP(IF(S228&lt;=1,S228,S228/100),'⚖️ Wahrscheinlichkeit'!$B$17:$B$21,'⚖️ Wahrscheinlichkeit'!$D$17:$D$21),0),0)</f>
        <v>0</v>
      </c>
      <c r="AK228" s="1" t="str">
        <f aca="false">IF(AND(R228="WON",ISNUMBER(I228)),AL228+(861-ROW())*0.000001,"")</f>
        <v/>
      </c>
      <c r="AL228" s="1" t="n">
        <f aca="false">IFERROR(I228*1,0)</f>
        <v>0</v>
      </c>
      <c r="AM228" s="1" t="n">
        <f aca="false">N(AM227)+IF(AND(R228="WON",B228&lt;&gt;""),1,0)</f>
        <v>12</v>
      </c>
      <c r="AN228" s="1" t="n">
        <f aca="false">N(AN227)+IF(AND(OR(R228="offered",R228="to be offered",R228="on hold"),B228&lt;&gt;""),1,0)</f>
        <v>33</v>
      </c>
      <c r="AO228" s="1" t="n">
        <f aca="false">N(AO227)+IF(AND(OR(R228="follow-up",R228="Evaluation",R228="tbd",R228="In evaluation"),B228&lt;&gt;""),1,0)</f>
        <v>1</v>
      </c>
      <c r="AP228" s="1" t="n">
        <f aca="false">IF(B228="",0,IF(COUNTIF('⚖️ Wahrscheinlichkeit'!$J$17:$J$24,R228)&gt;0,1,0))</f>
        <v>0</v>
      </c>
      <c r="AQ228" s="1" t="n">
        <f aca="false">IF(B228="",0,IF(AND(ISNUMBER(S228),COUNTIF('⚖️ Wahrscheinlichkeit'!$B$6:$B$11,S228)&gt;0),1,0))</f>
        <v>0</v>
      </c>
      <c r="AR228" s="1" t="n">
        <f aca="false">IF(B228="",0,IF(AND(COUNT(J228:M228)=4,SUM(J228:M228)&gt;0),1,0))</f>
        <v>0</v>
      </c>
      <c r="AS228" s="1" t="n">
        <f aca="false">IF(B228="",0,IF(AND(AF228&lt;&gt;"",AG228&lt;&gt;""),1,0))</f>
        <v>0</v>
      </c>
      <c r="AT228" s="1" t="n">
        <f aca="false">IF(AND(R228="WON",AS228=1,AR228=1),1,0)</f>
        <v>0</v>
      </c>
      <c r="AU228" s="1" t="n">
        <f aca="false">IF(B228="",0,IF(AD228="Alternative – zählt nicht",0,1))</f>
        <v>0</v>
      </c>
      <c r="AV228" s="1" t="n">
        <f aca="false">IF(B228="",0,IF(COUNTIF($B$6:$B$860,B228)&gt;1,1,0))</f>
        <v>0</v>
      </c>
      <c r="AX228" s="269" t="str">
        <f aca="false">IF(AY228=1,DATE(YEAR(O228),MONTH(O228),1),"")</f>
        <v/>
      </c>
      <c r="AY228" s="1" t="n">
        <f aca="false">IF(B228="",0,IF(AND(ISNUMBER(O228),ISNUMBER(P228)),IF(P228&gt;=O228,1,0),0))</f>
        <v>0</v>
      </c>
      <c r="AZ228" s="1" t="n">
        <f aca="false">IF(ISNUMBER(Y228),Y228,0)</f>
        <v>0</v>
      </c>
      <c r="BA228" s="1" t="str">
        <f aca="false">IF(B228="","",IF(AND(R228="WON",AS228=0),"⛔ Beleg fehlt · ","")&amp;IF(AND(R228="WON",AR228=0),"⛔ Einstand fehlt · ","")&amp;IF(AND(R228&lt;&gt;"WON",AR228=0),"○ Einstand offen · ","")&amp;IF(AND(R228="WON",AB228=""),"⛔ Vertragsart fehlt · ","")&amp;IF(AND(ISNUMBER(O228),ISNUMBER(P228)),IF(P228&lt;O228,"⚠ Ende vor Start · ",""),"")&amp;IF(AND(R228="WON",AY228=0,NOT(AND(ISNUMBER(O228),ISNUMBER(P228)))),"⛔ Zeitraum fehlt · ","")&amp;IF(AND(R228&lt;&gt;"WON",AY228=0,NOT(AND(ISNUMBER(O228),ISNUMBER(P228)))),"○ Zeitraum offen · ",""))</f>
        <v/>
      </c>
      <c r="BB228" s="1" t="str">
        <f aca="false">IF(B228="","",IF(AND(R228="WON",AS228=0),"⛔ Nachweis fehlt",IF(AND(ISNUMBER(O228),ISNUMBER(P228),P228&lt;O228),"⚠ Ende vor Start",IF(AND(R228="WON",AY228=0),"⛔ Zeitraum fehlt",IF(AR228=0,"○ Einstand offen",IF(AY228=0,"○ Zeitraum offen",IF(R228="WON","✅ belegt","✔ erfasst")))))))</f>
        <v/>
      </c>
    </row>
    <row r="229" customFormat="false" ht="15" hidden="false" customHeight="true" outlineLevel="0" collapsed="false">
      <c r="G229" s="1" t="str">
        <f aca="false">IF(B229="","",IF(AY229=1,P229-O229+1,IF(AW229="","",AW229)))</f>
        <v/>
      </c>
      <c r="I229" s="270"/>
      <c r="J229" s="270"/>
      <c r="K229" s="270"/>
      <c r="L229" s="270"/>
      <c r="M229" s="270"/>
      <c r="N229" s="270"/>
      <c r="O229" s="263"/>
      <c r="P229" s="263"/>
      <c r="Q229" s="270" t="str">
        <f aca="false">IF(AND(ISNUMBER(I229),ISNUMBER(S229)),I229*AJ229,IF(OR(I229&lt;&gt;"",S229&lt;&gt;""),"tbd",""))</f>
        <v/>
      </c>
      <c r="S229" s="268"/>
      <c r="Y229" s="275" t="str">
        <f aca="false">IF(ISNUMBER(I229),I229/Netto_Faktor,"")</f>
        <v/>
      </c>
      <c r="Z229" s="275" t="str">
        <f aca="false">IF(B229="","",IF(COUNT(J229:N229)=0,"",SUM(J229:N229)))</f>
        <v/>
      </c>
      <c r="AA229" s="266"/>
      <c r="AB229" s="266"/>
      <c r="AC229" s="266"/>
      <c r="AD229" s="266"/>
      <c r="AE229" s="266"/>
      <c r="AF229" s="266"/>
      <c r="AG229" s="267"/>
      <c r="AH229" s="266" t="str">
        <f aca="false">IF(B229="","",IF(BA229="",IF(R229="WON","✅ belegt &amp; vollständig","✔ vollständig"),LEFT(BA229,LEN(BA229)-3)))</f>
        <v/>
      </c>
      <c r="AJ229" s="268" t="n">
        <f aca="false">IF(ISNUMBER(S229),IFERROR(LOOKUP(IF(S229&lt;=1,S229,S229/100),'⚖️ Wahrscheinlichkeit'!$B$17:$B$21,'⚖️ Wahrscheinlichkeit'!$D$17:$D$21),0),0)</f>
        <v>0</v>
      </c>
      <c r="AK229" s="1" t="str">
        <f aca="false">IF(AND(R229="WON",ISNUMBER(I229)),AL229+(861-ROW())*0.000001,"")</f>
        <v/>
      </c>
      <c r="AL229" s="1" t="n">
        <f aca="false">IFERROR(I229*1,0)</f>
        <v>0</v>
      </c>
      <c r="AM229" s="1" t="n">
        <f aca="false">N(AM228)+IF(AND(R229="WON",B229&lt;&gt;""),1,0)</f>
        <v>12</v>
      </c>
      <c r="AN229" s="1" t="n">
        <f aca="false">N(AN228)+IF(AND(OR(R229="offered",R229="to be offered",R229="on hold"),B229&lt;&gt;""),1,0)</f>
        <v>33</v>
      </c>
      <c r="AO229" s="1" t="n">
        <f aca="false">N(AO228)+IF(AND(OR(R229="follow-up",R229="Evaluation",R229="tbd",R229="In evaluation"),B229&lt;&gt;""),1,0)</f>
        <v>1</v>
      </c>
      <c r="AP229" s="1" t="n">
        <f aca="false">IF(B229="",0,IF(COUNTIF('⚖️ Wahrscheinlichkeit'!$J$17:$J$24,R229)&gt;0,1,0))</f>
        <v>0</v>
      </c>
      <c r="AQ229" s="1" t="n">
        <f aca="false">IF(B229="",0,IF(AND(ISNUMBER(S229),COUNTIF('⚖️ Wahrscheinlichkeit'!$B$6:$B$11,S229)&gt;0),1,0))</f>
        <v>0</v>
      </c>
      <c r="AR229" s="1" t="n">
        <f aca="false">IF(B229="",0,IF(AND(COUNT(J229:M229)=4,SUM(J229:M229)&gt;0),1,0))</f>
        <v>0</v>
      </c>
      <c r="AS229" s="1" t="n">
        <f aca="false">IF(B229="",0,IF(AND(AF229&lt;&gt;"",AG229&lt;&gt;""),1,0))</f>
        <v>0</v>
      </c>
      <c r="AT229" s="1" t="n">
        <f aca="false">IF(AND(R229="WON",AS229=1,AR229=1),1,0)</f>
        <v>0</v>
      </c>
      <c r="AU229" s="1" t="n">
        <f aca="false">IF(B229="",0,IF(AD229="Alternative – zählt nicht",0,1))</f>
        <v>0</v>
      </c>
      <c r="AV229" s="1" t="n">
        <f aca="false">IF(B229="",0,IF(COUNTIF($B$6:$B$860,B229)&gt;1,1,0))</f>
        <v>0</v>
      </c>
      <c r="AX229" s="269" t="str">
        <f aca="false">IF(AY229=1,DATE(YEAR(O229),MONTH(O229),1),"")</f>
        <v/>
      </c>
      <c r="AY229" s="1" t="n">
        <f aca="false">IF(B229="",0,IF(AND(ISNUMBER(O229),ISNUMBER(P229)),IF(P229&gt;=O229,1,0),0))</f>
        <v>0</v>
      </c>
      <c r="AZ229" s="1" t="n">
        <f aca="false">IF(ISNUMBER(Y229),Y229,0)</f>
        <v>0</v>
      </c>
      <c r="BA229" s="1" t="str">
        <f aca="false">IF(B229="","",IF(AND(R229="WON",AS229=0),"⛔ Beleg fehlt · ","")&amp;IF(AND(R229="WON",AR229=0),"⛔ Einstand fehlt · ","")&amp;IF(AND(R229&lt;&gt;"WON",AR229=0),"○ Einstand offen · ","")&amp;IF(AND(R229="WON",AB229=""),"⛔ Vertragsart fehlt · ","")&amp;IF(AND(ISNUMBER(O229),ISNUMBER(P229)),IF(P229&lt;O229,"⚠ Ende vor Start · ",""),"")&amp;IF(AND(R229="WON",AY229=0,NOT(AND(ISNUMBER(O229),ISNUMBER(P229)))),"⛔ Zeitraum fehlt · ","")&amp;IF(AND(R229&lt;&gt;"WON",AY229=0,NOT(AND(ISNUMBER(O229),ISNUMBER(P229)))),"○ Zeitraum offen · ",""))</f>
        <v/>
      </c>
      <c r="BB229" s="1" t="str">
        <f aca="false">IF(B229="","",IF(AND(R229="WON",AS229=0),"⛔ Nachweis fehlt",IF(AND(ISNUMBER(O229),ISNUMBER(P229),P229&lt;O229),"⚠ Ende vor Start",IF(AND(R229="WON",AY229=0),"⛔ Zeitraum fehlt",IF(AR229=0,"○ Einstand offen",IF(AY229=0,"○ Zeitraum offen",IF(R229="WON","✅ belegt","✔ erfasst")))))))</f>
        <v/>
      </c>
    </row>
    <row r="230" customFormat="false" ht="15" hidden="false" customHeight="true" outlineLevel="0" collapsed="false">
      <c r="G230" s="1" t="str">
        <f aca="false">IF(B230="","",IF(AY230=1,P230-O230+1,IF(AW230="","",AW230)))</f>
        <v/>
      </c>
      <c r="I230" s="270"/>
      <c r="J230" s="270"/>
      <c r="K230" s="270"/>
      <c r="L230" s="270"/>
      <c r="M230" s="270"/>
      <c r="N230" s="270"/>
      <c r="O230" s="263"/>
      <c r="P230" s="263"/>
      <c r="Q230" s="270" t="str">
        <f aca="false">IF(AND(ISNUMBER(I230),ISNUMBER(S230)),I230*AJ230,IF(OR(I230&lt;&gt;"",S230&lt;&gt;""),"tbd",""))</f>
        <v/>
      </c>
      <c r="S230" s="268"/>
      <c r="Y230" s="275" t="str">
        <f aca="false">IF(ISNUMBER(I230),I230/Netto_Faktor,"")</f>
        <v/>
      </c>
      <c r="Z230" s="275" t="str">
        <f aca="false">IF(B230="","",IF(COUNT(J230:N230)=0,"",SUM(J230:N230)))</f>
        <v/>
      </c>
      <c r="AA230" s="266"/>
      <c r="AB230" s="266"/>
      <c r="AC230" s="266"/>
      <c r="AD230" s="266"/>
      <c r="AE230" s="266"/>
      <c r="AF230" s="266"/>
      <c r="AG230" s="267"/>
      <c r="AH230" s="266" t="str">
        <f aca="false">IF(B230="","",IF(BA230="",IF(R230="WON","✅ belegt &amp; vollständig","✔ vollständig"),LEFT(BA230,LEN(BA230)-3)))</f>
        <v/>
      </c>
      <c r="AJ230" s="268" t="n">
        <f aca="false">IF(ISNUMBER(S230),IFERROR(LOOKUP(IF(S230&lt;=1,S230,S230/100),'⚖️ Wahrscheinlichkeit'!$B$17:$B$21,'⚖️ Wahrscheinlichkeit'!$D$17:$D$21),0),0)</f>
        <v>0</v>
      </c>
      <c r="AK230" s="1" t="str">
        <f aca="false">IF(AND(R230="WON",ISNUMBER(I230)),AL230+(861-ROW())*0.000001,"")</f>
        <v/>
      </c>
      <c r="AL230" s="1" t="n">
        <f aca="false">IFERROR(I230*1,0)</f>
        <v>0</v>
      </c>
      <c r="AM230" s="1" t="n">
        <f aca="false">N(AM229)+IF(AND(R230="WON",B230&lt;&gt;""),1,0)</f>
        <v>12</v>
      </c>
      <c r="AN230" s="1" t="n">
        <f aca="false">N(AN229)+IF(AND(OR(R230="offered",R230="to be offered",R230="on hold"),B230&lt;&gt;""),1,0)</f>
        <v>33</v>
      </c>
      <c r="AO230" s="1" t="n">
        <f aca="false">N(AO229)+IF(AND(OR(R230="follow-up",R230="Evaluation",R230="tbd",R230="In evaluation"),B230&lt;&gt;""),1,0)</f>
        <v>1</v>
      </c>
      <c r="AP230" s="1" t="n">
        <f aca="false">IF(B230="",0,IF(COUNTIF('⚖️ Wahrscheinlichkeit'!$J$17:$J$24,R230)&gt;0,1,0))</f>
        <v>0</v>
      </c>
      <c r="AQ230" s="1" t="n">
        <f aca="false">IF(B230="",0,IF(AND(ISNUMBER(S230),COUNTIF('⚖️ Wahrscheinlichkeit'!$B$6:$B$11,S230)&gt;0),1,0))</f>
        <v>0</v>
      </c>
      <c r="AR230" s="1" t="n">
        <f aca="false">IF(B230="",0,IF(AND(COUNT(J230:M230)=4,SUM(J230:M230)&gt;0),1,0))</f>
        <v>0</v>
      </c>
      <c r="AS230" s="1" t="n">
        <f aca="false">IF(B230="",0,IF(AND(AF230&lt;&gt;"",AG230&lt;&gt;""),1,0))</f>
        <v>0</v>
      </c>
      <c r="AT230" s="1" t="n">
        <f aca="false">IF(AND(R230="WON",AS230=1,AR230=1),1,0)</f>
        <v>0</v>
      </c>
      <c r="AU230" s="1" t="n">
        <f aca="false">IF(B230="",0,IF(AD230="Alternative – zählt nicht",0,1))</f>
        <v>0</v>
      </c>
      <c r="AV230" s="1" t="n">
        <f aca="false">IF(B230="",0,IF(COUNTIF($B$6:$B$860,B230)&gt;1,1,0))</f>
        <v>0</v>
      </c>
      <c r="AX230" s="269" t="str">
        <f aca="false">IF(AY230=1,DATE(YEAR(O230),MONTH(O230),1),"")</f>
        <v/>
      </c>
      <c r="AY230" s="1" t="n">
        <f aca="false">IF(B230="",0,IF(AND(ISNUMBER(O230),ISNUMBER(P230)),IF(P230&gt;=O230,1,0),0))</f>
        <v>0</v>
      </c>
      <c r="AZ230" s="1" t="n">
        <f aca="false">IF(ISNUMBER(Y230),Y230,0)</f>
        <v>0</v>
      </c>
      <c r="BA230" s="1" t="str">
        <f aca="false">IF(B230="","",IF(AND(R230="WON",AS230=0),"⛔ Beleg fehlt · ","")&amp;IF(AND(R230="WON",AR230=0),"⛔ Einstand fehlt · ","")&amp;IF(AND(R230&lt;&gt;"WON",AR230=0),"○ Einstand offen · ","")&amp;IF(AND(R230="WON",AB230=""),"⛔ Vertragsart fehlt · ","")&amp;IF(AND(ISNUMBER(O230),ISNUMBER(P230)),IF(P230&lt;O230,"⚠ Ende vor Start · ",""),"")&amp;IF(AND(R230="WON",AY230=0,NOT(AND(ISNUMBER(O230),ISNUMBER(P230)))),"⛔ Zeitraum fehlt · ","")&amp;IF(AND(R230&lt;&gt;"WON",AY230=0,NOT(AND(ISNUMBER(O230),ISNUMBER(P230)))),"○ Zeitraum offen · ",""))</f>
        <v/>
      </c>
      <c r="BB230" s="1" t="str">
        <f aca="false">IF(B230="","",IF(AND(R230="WON",AS230=0),"⛔ Nachweis fehlt",IF(AND(ISNUMBER(O230),ISNUMBER(P230),P230&lt;O230),"⚠ Ende vor Start",IF(AND(R230="WON",AY230=0),"⛔ Zeitraum fehlt",IF(AR230=0,"○ Einstand offen",IF(AY230=0,"○ Zeitraum offen",IF(R230="WON","✅ belegt","✔ erfasst")))))))</f>
        <v/>
      </c>
    </row>
    <row r="231" customFormat="false" ht="15" hidden="false" customHeight="true" outlineLevel="0" collapsed="false">
      <c r="G231" s="1" t="str">
        <f aca="false">IF(B231="","",IF(AY231=1,P231-O231+1,IF(AW231="","",AW231)))</f>
        <v/>
      </c>
      <c r="I231" s="270"/>
      <c r="J231" s="270"/>
      <c r="K231" s="270"/>
      <c r="L231" s="270"/>
      <c r="M231" s="270"/>
      <c r="N231" s="270"/>
      <c r="O231" s="263"/>
      <c r="P231" s="263"/>
      <c r="Q231" s="270" t="str">
        <f aca="false">IF(AND(ISNUMBER(I231),ISNUMBER(S231)),I231*AJ231,IF(OR(I231&lt;&gt;"",S231&lt;&gt;""),"tbd",""))</f>
        <v/>
      </c>
      <c r="S231" s="268"/>
      <c r="Y231" s="275" t="str">
        <f aca="false">IF(ISNUMBER(I231),I231/Netto_Faktor,"")</f>
        <v/>
      </c>
      <c r="Z231" s="275" t="str">
        <f aca="false">IF(B231="","",IF(COUNT(J231:N231)=0,"",SUM(J231:N231)))</f>
        <v/>
      </c>
      <c r="AA231" s="266"/>
      <c r="AB231" s="266"/>
      <c r="AC231" s="266"/>
      <c r="AD231" s="266"/>
      <c r="AE231" s="266"/>
      <c r="AF231" s="266"/>
      <c r="AG231" s="267"/>
      <c r="AH231" s="266" t="str">
        <f aca="false">IF(B231="","",IF(BA231="",IF(R231="WON","✅ belegt &amp; vollständig","✔ vollständig"),LEFT(BA231,LEN(BA231)-3)))</f>
        <v/>
      </c>
      <c r="AJ231" s="268" t="n">
        <f aca="false">IF(ISNUMBER(S231),IFERROR(LOOKUP(IF(S231&lt;=1,S231,S231/100),'⚖️ Wahrscheinlichkeit'!$B$17:$B$21,'⚖️ Wahrscheinlichkeit'!$D$17:$D$21),0),0)</f>
        <v>0</v>
      </c>
      <c r="AK231" s="1" t="str">
        <f aca="false">IF(AND(R231="WON",ISNUMBER(I231)),AL231+(861-ROW())*0.000001,"")</f>
        <v/>
      </c>
      <c r="AL231" s="1" t="n">
        <f aca="false">IFERROR(I231*1,0)</f>
        <v>0</v>
      </c>
      <c r="AM231" s="1" t="n">
        <f aca="false">N(AM230)+IF(AND(R231="WON",B231&lt;&gt;""),1,0)</f>
        <v>12</v>
      </c>
      <c r="AN231" s="1" t="n">
        <f aca="false">N(AN230)+IF(AND(OR(R231="offered",R231="to be offered",R231="on hold"),B231&lt;&gt;""),1,0)</f>
        <v>33</v>
      </c>
      <c r="AO231" s="1" t="n">
        <f aca="false">N(AO230)+IF(AND(OR(R231="follow-up",R231="Evaluation",R231="tbd",R231="In evaluation"),B231&lt;&gt;""),1,0)</f>
        <v>1</v>
      </c>
      <c r="AP231" s="1" t="n">
        <f aca="false">IF(B231="",0,IF(COUNTIF('⚖️ Wahrscheinlichkeit'!$J$17:$J$24,R231)&gt;0,1,0))</f>
        <v>0</v>
      </c>
      <c r="AQ231" s="1" t="n">
        <f aca="false">IF(B231="",0,IF(AND(ISNUMBER(S231),COUNTIF('⚖️ Wahrscheinlichkeit'!$B$6:$B$11,S231)&gt;0),1,0))</f>
        <v>0</v>
      </c>
      <c r="AR231" s="1" t="n">
        <f aca="false">IF(B231="",0,IF(AND(COUNT(J231:M231)=4,SUM(J231:M231)&gt;0),1,0))</f>
        <v>0</v>
      </c>
      <c r="AS231" s="1" t="n">
        <f aca="false">IF(B231="",0,IF(AND(AF231&lt;&gt;"",AG231&lt;&gt;""),1,0))</f>
        <v>0</v>
      </c>
      <c r="AT231" s="1" t="n">
        <f aca="false">IF(AND(R231="WON",AS231=1,AR231=1),1,0)</f>
        <v>0</v>
      </c>
      <c r="AU231" s="1" t="n">
        <f aca="false">IF(B231="",0,IF(AD231="Alternative – zählt nicht",0,1))</f>
        <v>0</v>
      </c>
      <c r="AV231" s="1" t="n">
        <f aca="false">IF(B231="",0,IF(COUNTIF($B$6:$B$860,B231)&gt;1,1,0))</f>
        <v>0</v>
      </c>
      <c r="AX231" s="269" t="str">
        <f aca="false">IF(AY231=1,DATE(YEAR(O231),MONTH(O231),1),"")</f>
        <v/>
      </c>
      <c r="AY231" s="1" t="n">
        <f aca="false">IF(B231="",0,IF(AND(ISNUMBER(O231),ISNUMBER(P231)),IF(P231&gt;=O231,1,0),0))</f>
        <v>0</v>
      </c>
      <c r="AZ231" s="1" t="n">
        <f aca="false">IF(ISNUMBER(Y231),Y231,0)</f>
        <v>0</v>
      </c>
      <c r="BA231" s="1" t="str">
        <f aca="false">IF(B231="","",IF(AND(R231="WON",AS231=0),"⛔ Beleg fehlt · ","")&amp;IF(AND(R231="WON",AR231=0),"⛔ Einstand fehlt · ","")&amp;IF(AND(R231&lt;&gt;"WON",AR231=0),"○ Einstand offen · ","")&amp;IF(AND(R231="WON",AB231=""),"⛔ Vertragsart fehlt · ","")&amp;IF(AND(ISNUMBER(O231),ISNUMBER(P231)),IF(P231&lt;O231,"⚠ Ende vor Start · ",""),"")&amp;IF(AND(R231="WON",AY231=0,NOT(AND(ISNUMBER(O231),ISNUMBER(P231)))),"⛔ Zeitraum fehlt · ","")&amp;IF(AND(R231&lt;&gt;"WON",AY231=0,NOT(AND(ISNUMBER(O231),ISNUMBER(P231)))),"○ Zeitraum offen · ",""))</f>
        <v/>
      </c>
      <c r="BB231" s="1" t="str">
        <f aca="false">IF(B231="","",IF(AND(R231="WON",AS231=0),"⛔ Nachweis fehlt",IF(AND(ISNUMBER(O231),ISNUMBER(P231),P231&lt;O231),"⚠ Ende vor Start",IF(AND(R231="WON",AY231=0),"⛔ Zeitraum fehlt",IF(AR231=0,"○ Einstand offen",IF(AY231=0,"○ Zeitraum offen",IF(R231="WON","✅ belegt","✔ erfasst")))))))</f>
        <v/>
      </c>
    </row>
    <row r="232" customFormat="false" ht="15" hidden="false" customHeight="true" outlineLevel="0" collapsed="false">
      <c r="G232" s="1" t="str">
        <f aca="false">IF(B232="","",IF(AY232=1,P232-O232+1,IF(AW232="","",AW232)))</f>
        <v/>
      </c>
      <c r="I232" s="270"/>
      <c r="J232" s="270"/>
      <c r="K232" s="270"/>
      <c r="L232" s="270"/>
      <c r="M232" s="270"/>
      <c r="N232" s="270"/>
      <c r="O232" s="263"/>
      <c r="P232" s="263"/>
      <c r="Q232" s="270" t="str">
        <f aca="false">IF(AND(ISNUMBER(I232),ISNUMBER(S232)),I232*AJ232,IF(OR(I232&lt;&gt;"",S232&lt;&gt;""),"tbd",""))</f>
        <v/>
      </c>
      <c r="S232" s="268"/>
      <c r="Y232" s="275" t="str">
        <f aca="false">IF(ISNUMBER(I232),I232/Netto_Faktor,"")</f>
        <v/>
      </c>
      <c r="Z232" s="275" t="str">
        <f aca="false">IF(B232="","",IF(COUNT(J232:N232)=0,"",SUM(J232:N232)))</f>
        <v/>
      </c>
      <c r="AA232" s="266"/>
      <c r="AB232" s="266"/>
      <c r="AC232" s="266"/>
      <c r="AD232" s="266"/>
      <c r="AE232" s="266"/>
      <c r="AF232" s="266"/>
      <c r="AG232" s="267"/>
      <c r="AH232" s="266" t="str">
        <f aca="false">IF(B232="","",IF(BA232="",IF(R232="WON","✅ belegt &amp; vollständig","✔ vollständig"),LEFT(BA232,LEN(BA232)-3)))</f>
        <v/>
      </c>
      <c r="AJ232" s="268" t="n">
        <f aca="false">IF(ISNUMBER(S232),IFERROR(LOOKUP(IF(S232&lt;=1,S232,S232/100),'⚖️ Wahrscheinlichkeit'!$B$17:$B$21,'⚖️ Wahrscheinlichkeit'!$D$17:$D$21),0),0)</f>
        <v>0</v>
      </c>
      <c r="AK232" s="1" t="str">
        <f aca="false">IF(AND(R232="WON",ISNUMBER(I232)),AL232+(861-ROW())*0.000001,"")</f>
        <v/>
      </c>
      <c r="AL232" s="1" t="n">
        <f aca="false">IFERROR(I232*1,0)</f>
        <v>0</v>
      </c>
      <c r="AM232" s="1" t="n">
        <f aca="false">N(AM231)+IF(AND(R232="WON",B232&lt;&gt;""),1,0)</f>
        <v>12</v>
      </c>
      <c r="AN232" s="1" t="n">
        <f aca="false">N(AN231)+IF(AND(OR(R232="offered",R232="to be offered",R232="on hold"),B232&lt;&gt;""),1,0)</f>
        <v>33</v>
      </c>
      <c r="AO232" s="1" t="n">
        <f aca="false">N(AO231)+IF(AND(OR(R232="follow-up",R232="Evaluation",R232="tbd",R232="In evaluation"),B232&lt;&gt;""),1,0)</f>
        <v>1</v>
      </c>
      <c r="AP232" s="1" t="n">
        <f aca="false">IF(B232="",0,IF(COUNTIF('⚖️ Wahrscheinlichkeit'!$J$17:$J$24,R232)&gt;0,1,0))</f>
        <v>0</v>
      </c>
      <c r="AQ232" s="1" t="n">
        <f aca="false">IF(B232="",0,IF(AND(ISNUMBER(S232),COUNTIF('⚖️ Wahrscheinlichkeit'!$B$6:$B$11,S232)&gt;0),1,0))</f>
        <v>0</v>
      </c>
      <c r="AR232" s="1" t="n">
        <f aca="false">IF(B232="",0,IF(AND(COUNT(J232:M232)=4,SUM(J232:M232)&gt;0),1,0))</f>
        <v>0</v>
      </c>
      <c r="AS232" s="1" t="n">
        <f aca="false">IF(B232="",0,IF(AND(AF232&lt;&gt;"",AG232&lt;&gt;""),1,0))</f>
        <v>0</v>
      </c>
      <c r="AT232" s="1" t="n">
        <f aca="false">IF(AND(R232="WON",AS232=1,AR232=1),1,0)</f>
        <v>0</v>
      </c>
      <c r="AU232" s="1" t="n">
        <f aca="false">IF(B232="",0,IF(AD232="Alternative – zählt nicht",0,1))</f>
        <v>0</v>
      </c>
      <c r="AV232" s="1" t="n">
        <f aca="false">IF(B232="",0,IF(COUNTIF($B$6:$B$860,B232)&gt;1,1,0))</f>
        <v>0</v>
      </c>
      <c r="AX232" s="269" t="str">
        <f aca="false">IF(AY232=1,DATE(YEAR(O232),MONTH(O232),1),"")</f>
        <v/>
      </c>
      <c r="AY232" s="1" t="n">
        <f aca="false">IF(B232="",0,IF(AND(ISNUMBER(O232),ISNUMBER(P232)),IF(P232&gt;=O232,1,0),0))</f>
        <v>0</v>
      </c>
      <c r="AZ232" s="1" t="n">
        <f aca="false">IF(ISNUMBER(Y232),Y232,0)</f>
        <v>0</v>
      </c>
      <c r="BA232" s="1" t="str">
        <f aca="false">IF(B232="","",IF(AND(R232="WON",AS232=0),"⛔ Beleg fehlt · ","")&amp;IF(AND(R232="WON",AR232=0),"⛔ Einstand fehlt · ","")&amp;IF(AND(R232&lt;&gt;"WON",AR232=0),"○ Einstand offen · ","")&amp;IF(AND(R232="WON",AB232=""),"⛔ Vertragsart fehlt · ","")&amp;IF(AND(ISNUMBER(O232),ISNUMBER(P232)),IF(P232&lt;O232,"⚠ Ende vor Start · ",""),"")&amp;IF(AND(R232="WON",AY232=0,NOT(AND(ISNUMBER(O232),ISNUMBER(P232)))),"⛔ Zeitraum fehlt · ","")&amp;IF(AND(R232&lt;&gt;"WON",AY232=0,NOT(AND(ISNUMBER(O232),ISNUMBER(P232)))),"○ Zeitraum offen · ",""))</f>
        <v/>
      </c>
      <c r="BB232" s="1" t="str">
        <f aca="false">IF(B232="","",IF(AND(R232="WON",AS232=0),"⛔ Nachweis fehlt",IF(AND(ISNUMBER(O232),ISNUMBER(P232),P232&lt;O232),"⚠ Ende vor Start",IF(AND(R232="WON",AY232=0),"⛔ Zeitraum fehlt",IF(AR232=0,"○ Einstand offen",IF(AY232=0,"○ Zeitraum offen",IF(R232="WON","✅ belegt","✔ erfasst")))))))</f>
        <v/>
      </c>
    </row>
    <row r="233" customFormat="false" ht="15" hidden="false" customHeight="true" outlineLevel="0" collapsed="false">
      <c r="G233" s="1" t="str">
        <f aca="false">IF(B233="","",IF(AY233=1,P233-O233+1,IF(AW233="","",AW233)))</f>
        <v/>
      </c>
      <c r="I233" s="270"/>
      <c r="J233" s="270"/>
      <c r="K233" s="270"/>
      <c r="L233" s="270"/>
      <c r="M233" s="270"/>
      <c r="N233" s="270"/>
      <c r="O233" s="263"/>
      <c r="P233" s="263"/>
      <c r="Q233" s="270" t="str">
        <f aca="false">IF(AND(ISNUMBER(I233),ISNUMBER(S233)),I233*AJ233,IF(OR(I233&lt;&gt;"",S233&lt;&gt;""),"tbd",""))</f>
        <v/>
      </c>
      <c r="S233" s="268"/>
      <c r="Y233" s="275" t="str">
        <f aca="false">IF(ISNUMBER(I233),I233/Netto_Faktor,"")</f>
        <v/>
      </c>
      <c r="Z233" s="275" t="str">
        <f aca="false">IF(B233="","",IF(COUNT(J233:N233)=0,"",SUM(J233:N233)))</f>
        <v/>
      </c>
      <c r="AA233" s="266"/>
      <c r="AB233" s="266"/>
      <c r="AC233" s="266"/>
      <c r="AD233" s="266"/>
      <c r="AE233" s="266"/>
      <c r="AF233" s="266"/>
      <c r="AG233" s="267"/>
      <c r="AH233" s="266" t="str">
        <f aca="false">IF(B233="","",IF(BA233="",IF(R233="WON","✅ belegt &amp; vollständig","✔ vollständig"),LEFT(BA233,LEN(BA233)-3)))</f>
        <v/>
      </c>
      <c r="AJ233" s="268" t="n">
        <f aca="false">IF(ISNUMBER(S233),IFERROR(LOOKUP(IF(S233&lt;=1,S233,S233/100),'⚖️ Wahrscheinlichkeit'!$B$17:$B$21,'⚖️ Wahrscheinlichkeit'!$D$17:$D$21),0),0)</f>
        <v>0</v>
      </c>
      <c r="AK233" s="1" t="str">
        <f aca="false">IF(AND(R233="WON",ISNUMBER(I233)),AL233+(861-ROW())*0.000001,"")</f>
        <v/>
      </c>
      <c r="AL233" s="1" t="n">
        <f aca="false">IFERROR(I233*1,0)</f>
        <v>0</v>
      </c>
      <c r="AM233" s="1" t="n">
        <f aca="false">N(AM232)+IF(AND(R233="WON",B233&lt;&gt;""),1,0)</f>
        <v>12</v>
      </c>
      <c r="AN233" s="1" t="n">
        <f aca="false">N(AN232)+IF(AND(OR(R233="offered",R233="to be offered",R233="on hold"),B233&lt;&gt;""),1,0)</f>
        <v>33</v>
      </c>
      <c r="AO233" s="1" t="n">
        <f aca="false">N(AO232)+IF(AND(OR(R233="follow-up",R233="Evaluation",R233="tbd",R233="In evaluation"),B233&lt;&gt;""),1,0)</f>
        <v>1</v>
      </c>
      <c r="AP233" s="1" t="n">
        <f aca="false">IF(B233="",0,IF(COUNTIF('⚖️ Wahrscheinlichkeit'!$J$17:$J$24,R233)&gt;0,1,0))</f>
        <v>0</v>
      </c>
      <c r="AQ233" s="1" t="n">
        <f aca="false">IF(B233="",0,IF(AND(ISNUMBER(S233),COUNTIF('⚖️ Wahrscheinlichkeit'!$B$6:$B$11,S233)&gt;0),1,0))</f>
        <v>0</v>
      </c>
      <c r="AR233" s="1" t="n">
        <f aca="false">IF(B233="",0,IF(AND(COUNT(J233:M233)=4,SUM(J233:M233)&gt;0),1,0))</f>
        <v>0</v>
      </c>
      <c r="AS233" s="1" t="n">
        <f aca="false">IF(B233="",0,IF(AND(AF233&lt;&gt;"",AG233&lt;&gt;""),1,0))</f>
        <v>0</v>
      </c>
      <c r="AT233" s="1" t="n">
        <f aca="false">IF(AND(R233="WON",AS233=1,AR233=1),1,0)</f>
        <v>0</v>
      </c>
      <c r="AU233" s="1" t="n">
        <f aca="false">IF(B233="",0,IF(AD233="Alternative – zählt nicht",0,1))</f>
        <v>0</v>
      </c>
      <c r="AV233" s="1" t="n">
        <f aca="false">IF(B233="",0,IF(COUNTIF($B$6:$B$860,B233)&gt;1,1,0))</f>
        <v>0</v>
      </c>
      <c r="AX233" s="269" t="str">
        <f aca="false">IF(AY233=1,DATE(YEAR(O233),MONTH(O233),1),"")</f>
        <v/>
      </c>
      <c r="AY233" s="1" t="n">
        <f aca="false">IF(B233="",0,IF(AND(ISNUMBER(O233),ISNUMBER(P233)),IF(P233&gt;=O233,1,0),0))</f>
        <v>0</v>
      </c>
      <c r="AZ233" s="1" t="n">
        <f aca="false">IF(ISNUMBER(Y233),Y233,0)</f>
        <v>0</v>
      </c>
      <c r="BA233" s="1" t="str">
        <f aca="false">IF(B233="","",IF(AND(R233="WON",AS233=0),"⛔ Beleg fehlt · ","")&amp;IF(AND(R233="WON",AR233=0),"⛔ Einstand fehlt · ","")&amp;IF(AND(R233&lt;&gt;"WON",AR233=0),"○ Einstand offen · ","")&amp;IF(AND(R233="WON",AB233=""),"⛔ Vertragsart fehlt · ","")&amp;IF(AND(ISNUMBER(O233),ISNUMBER(P233)),IF(P233&lt;O233,"⚠ Ende vor Start · ",""),"")&amp;IF(AND(R233="WON",AY233=0,NOT(AND(ISNUMBER(O233),ISNUMBER(P233)))),"⛔ Zeitraum fehlt · ","")&amp;IF(AND(R233&lt;&gt;"WON",AY233=0,NOT(AND(ISNUMBER(O233),ISNUMBER(P233)))),"○ Zeitraum offen · ",""))</f>
        <v/>
      </c>
      <c r="BB233" s="1" t="str">
        <f aca="false">IF(B233="","",IF(AND(R233="WON",AS233=0),"⛔ Nachweis fehlt",IF(AND(ISNUMBER(O233),ISNUMBER(P233),P233&lt;O233),"⚠ Ende vor Start",IF(AND(R233="WON",AY233=0),"⛔ Zeitraum fehlt",IF(AR233=0,"○ Einstand offen",IF(AY233=0,"○ Zeitraum offen",IF(R233="WON","✅ belegt","✔ erfasst")))))))</f>
        <v/>
      </c>
    </row>
    <row r="234" customFormat="false" ht="15" hidden="false" customHeight="true" outlineLevel="0" collapsed="false">
      <c r="G234" s="1" t="str">
        <f aca="false">IF(B234="","",IF(AY234=1,P234-O234+1,IF(AW234="","",AW234)))</f>
        <v/>
      </c>
      <c r="I234" s="270"/>
      <c r="J234" s="270"/>
      <c r="K234" s="270"/>
      <c r="L234" s="270"/>
      <c r="M234" s="270"/>
      <c r="N234" s="270"/>
      <c r="O234" s="263"/>
      <c r="P234" s="263"/>
      <c r="Q234" s="270" t="str">
        <f aca="false">IF(AND(ISNUMBER(I234),ISNUMBER(S234)),I234*AJ234,IF(OR(I234&lt;&gt;"",S234&lt;&gt;""),"tbd",""))</f>
        <v/>
      </c>
      <c r="S234" s="268"/>
      <c r="Y234" s="275" t="str">
        <f aca="false">IF(ISNUMBER(I234),I234/Netto_Faktor,"")</f>
        <v/>
      </c>
      <c r="Z234" s="275" t="str">
        <f aca="false">IF(B234="","",IF(COUNT(J234:N234)=0,"",SUM(J234:N234)))</f>
        <v/>
      </c>
      <c r="AA234" s="266"/>
      <c r="AB234" s="266"/>
      <c r="AC234" s="266"/>
      <c r="AD234" s="266"/>
      <c r="AE234" s="266"/>
      <c r="AF234" s="266"/>
      <c r="AG234" s="267"/>
      <c r="AH234" s="266" t="str">
        <f aca="false">IF(B234="","",IF(BA234="",IF(R234="WON","✅ belegt &amp; vollständig","✔ vollständig"),LEFT(BA234,LEN(BA234)-3)))</f>
        <v/>
      </c>
      <c r="AJ234" s="268" t="n">
        <f aca="false">IF(ISNUMBER(S234),IFERROR(LOOKUP(IF(S234&lt;=1,S234,S234/100),'⚖️ Wahrscheinlichkeit'!$B$17:$B$21,'⚖️ Wahrscheinlichkeit'!$D$17:$D$21),0),0)</f>
        <v>0</v>
      </c>
      <c r="AK234" s="1" t="str">
        <f aca="false">IF(AND(R234="WON",ISNUMBER(I234)),AL234+(861-ROW())*0.000001,"")</f>
        <v/>
      </c>
      <c r="AL234" s="1" t="n">
        <f aca="false">IFERROR(I234*1,0)</f>
        <v>0</v>
      </c>
      <c r="AM234" s="1" t="n">
        <f aca="false">N(AM233)+IF(AND(R234="WON",B234&lt;&gt;""),1,0)</f>
        <v>12</v>
      </c>
      <c r="AN234" s="1" t="n">
        <f aca="false">N(AN233)+IF(AND(OR(R234="offered",R234="to be offered",R234="on hold"),B234&lt;&gt;""),1,0)</f>
        <v>33</v>
      </c>
      <c r="AO234" s="1" t="n">
        <f aca="false">N(AO233)+IF(AND(OR(R234="follow-up",R234="Evaluation",R234="tbd",R234="In evaluation"),B234&lt;&gt;""),1,0)</f>
        <v>1</v>
      </c>
      <c r="AP234" s="1" t="n">
        <f aca="false">IF(B234="",0,IF(COUNTIF('⚖️ Wahrscheinlichkeit'!$J$17:$J$24,R234)&gt;0,1,0))</f>
        <v>0</v>
      </c>
      <c r="AQ234" s="1" t="n">
        <f aca="false">IF(B234="",0,IF(AND(ISNUMBER(S234),COUNTIF('⚖️ Wahrscheinlichkeit'!$B$6:$B$11,S234)&gt;0),1,0))</f>
        <v>0</v>
      </c>
      <c r="AR234" s="1" t="n">
        <f aca="false">IF(B234="",0,IF(AND(COUNT(J234:M234)=4,SUM(J234:M234)&gt;0),1,0))</f>
        <v>0</v>
      </c>
      <c r="AS234" s="1" t="n">
        <f aca="false">IF(B234="",0,IF(AND(AF234&lt;&gt;"",AG234&lt;&gt;""),1,0))</f>
        <v>0</v>
      </c>
      <c r="AT234" s="1" t="n">
        <f aca="false">IF(AND(R234="WON",AS234=1,AR234=1),1,0)</f>
        <v>0</v>
      </c>
      <c r="AU234" s="1" t="n">
        <f aca="false">IF(B234="",0,IF(AD234="Alternative – zählt nicht",0,1))</f>
        <v>0</v>
      </c>
      <c r="AV234" s="1" t="n">
        <f aca="false">IF(B234="",0,IF(COUNTIF($B$6:$B$860,B234)&gt;1,1,0))</f>
        <v>0</v>
      </c>
      <c r="AX234" s="269" t="str">
        <f aca="false">IF(AY234=1,DATE(YEAR(O234),MONTH(O234),1),"")</f>
        <v/>
      </c>
      <c r="AY234" s="1" t="n">
        <f aca="false">IF(B234="",0,IF(AND(ISNUMBER(O234),ISNUMBER(P234)),IF(P234&gt;=O234,1,0),0))</f>
        <v>0</v>
      </c>
      <c r="AZ234" s="1" t="n">
        <f aca="false">IF(ISNUMBER(Y234),Y234,0)</f>
        <v>0</v>
      </c>
      <c r="BA234" s="1" t="str">
        <f aca="false">IF(B234="","",IF(AND(R234="WON",AS234=0),"⛔ Beleg fehlt · ","")&amp;IF(AND(R234="WON",AR234=0),"⛔ Einstand fehlt · ","")&amp;IF(AND(R234&lt;&gt;"WON",AR234=0),"○ Einstand offen · ","")&amp;IF(AND(R234="WON",AB234=""),"⛔ Vertragsart fehlt · ","")&amp;IF(AND(ISNUMBER(O234),ISNUMBER(P234)),IF(P234&lt;O234,"⚠ Ende vor Start · ",""),"")&amp;IF(AND(R234="WON",AY234=0,NOT(AND(ISNUMBER(O234),ISNUMBER(P234)))),"⛔ Zeitraum fehlt · ","")&amp;IF(AND(R234&lt;&gt;"WON",AY234=0,NOT(AND(ISNUMBER(O234),ISNUMBER(P234)))),"○ Zeitraum offen · ",""))</f>
        <v/>
      </c>
      <c r="BB234" s="1" t="str">
        <f aca="false">IF(B234="","",IF(AND(R234="WON",AS234=0),"⛔ Nachweis fehlt",IF(AND(ISNUMBER(O234),ISNUMBER(P234),P234&lt;O234),"⚠ Ende vor Start",IF(AND(R234="WON",AY234=0),"⛔ Zeitraum fehlt",IF(AR234=0,"○ Einstand offen",IF(AY234=0,"○ Zeitraum offen",IF(R234="WON","✅ belegt","✔ erfasst")))))))</f>
        <v/>
      </c>
    </row>
    <row r="235" customFormat="false" ht="15" hidden="false" customHeight="true" outlineLevel="0" collapsed="false">
      <c r="G235" s="1" t="str">
        <f aca="false">IF(B235="","",IF(AY235=1,P235-O235+1,IF(AW235="","",AW235)))</f>
        <v/>
      </c>
      <c r="I235" s="270"/>
      <c r="J235" s="270"/>
      <c r="K235" s="270"/>
      <c r="L235" s="270"/>
      <c r="M235" s="270"/>
      <c r="N235" s="270"/>
      <c r="O235" s="263"/>
      <c r="P235" s="263"/>
      <c r="Q235" s="270" t="str">
        <f aca="false">IF(AND(ISNUMBER(I235),ISNUMBER(S235)),I235*AJ235,IF(OR(I235&lt;&gt;"",S235&lt;&gt;""),"tbd",""))</f>
        <v/>
      </c>
      <c r="S235" s="268"/>
      <c r="Y235" s="275" t="str">
        <f aca="false">IF(ISNUMBER(I235),I235/Netto_Faktor,"")</f>
        <v/>
      </c>
      <c r="Z235" s="275" t="str">
        <f aca="false">IF(B235="","",IF(COUNT(J235:N235)=0,"",SUM(J235:N235)))</f>
        <v/>
      </c>
      <c r="AA235" s="266"/>
      <c r="AB235" s="266"/>
      <c r="AC235" s="266"/>
      <c r="AD235" s="266"/>
      <c r="AE235" s="266"/>
      <c r="AF235" s="266"/>
      <c r="AG235" s="267"/>
      <c r="AH235" s="266" t="str">
        <f aca="false">IF(B235="","",IF(BA235="",IF(R235="WON","✅ belegt &amp; vollständig","✔ vollständig"),LEFT(BA235,LEN(BA235)-3)))</f>
        <v/>
      </c>
      <c r="AJ235" s="268" t="n">
        <f aca="false">IF(ISNUMBER(S235),IFERROR(LOOKUP(IF(S235&lt;=1,S235,S235/100),'⚖️ Wahrscheinlichkeit'!$B$17:$B$21,'⚖️ Wahrscheinlichkeit'!$D$17:$D$21),0),0)</f>
        <v>0</v>
      </c>
      <c r="AK235" s="1" t="str">
        <f aca="false">IF(AND(R235="WON",ISNUMBER(I235)),AL235+(861-ROW())*0.000001,"")</f>
        <v/>
      </c>
      <c r="AL235" s="1" t="n">
        <f aca="false">IFERROR(I235*1,0)</f>
        <v>0</v>
      </c>
      <c r="AM235" s="1" t="n">
        <f aca="false">N(AM234)+IF(AND(R235="WON",B235&lt;&gt;""),1,0)</f>
        <v>12</v>
      </c>
      <c r="AN235" s="1" t="n">
        <f aca="false">N(AN234)+IF(AND(OR(R235="offered",R235="to be offered",R235="on hold"),B235&lt;&gt;""),1,0)</f>
        <v>33</v>
      </c>
      <c r="AO235" s="1" t="n">
        <f aca="false">N(AO234)+IF(AND(OR(R235="follow-up",R235="Evaluation",R235="tbd",R235="In evaluation"),B235&lt;&gt;""),1,0)</f>
        <v>1</v>
      </c>
      <c r="AP235" s="1" t="n">
        <f aca="false">IF(B235="",0,IF(COUNTIF('⚖️ Wahrscheinlichkeit'!$J$17:$J$24,R235)&gt;0,1,0))</f>
        <v>0</v>
      </c>
      <c r="AQ235" s="1" t="n">
        <f aca="false">IF(B235="",0,IF(AND(ISNUMBER(S235),COUNTIF('⚖️ Wahrscheinlichkeit'!$B$6:$B$11,S235)&gt;0),1,0))</f>
        <v>0</v>
      </c>
      <c r="AR235" s="1" t="n">
        <f aca="false">IF(B235="",0,IF(AND(COUNT(J235:M235)=4,SUM(J235:M235)&gt;0),1,0))</f>
        <v>0</v>
      </c>
      <c r="AS235" s="1" t="n">
        <f aca="false">IF(B235="",0,IF(AND(AF235&lt;&gt;"",AG235&lt;&gt;""),1,0))</f>
        <v>0</v>
      </c>
      <c r="AT235" s="1" t="n">
        <f aca="false">IF(AND(R235="WON",AS235=1,AR235=1),1,0)</f>
        <v>0</v>
      </c>
      <c r="AU235" s="1" t="n">
        <f aca="false">IF(B235="",0,IF(AD235="Alternative – zählt nicht",0,1))</f>
        <v>0</v>
      </c>
      <c r="AV235" s="1" t="n">
        <f aca="false">IF(B235="",0,IF(COUNTIF($B$6:$B$860,B235)&gt;1,1,0))</f>
        <v>0</v>
      </c>
      <c r="AX235" s="269" t="str">
        <f aca="false">IF(AY235=1,DATE(YEAR(O235),MONTH(O235),1),"")</f>
        <v/>
      </c>
      <c r="AY235" s="1" t="n">
        <f aca="false">IF(B235="",0,IF(AND(ISNUMBER(O235),ISNUMBER(P235)),IF(P235&gt;=O235,1,0),0))</f>
        <v>0</v>
      </c>
      <c r="AZ235" s="1" t="n">
        <f aca="false">IF(ISNUMBER(Y235),Y235,0)</f>
        <v>0</v>
      </c>
      <c r="BA235" s="1" t="str">
        <f aca="false">IF(B235="","",IF(AND(R235="WON",AS235=0),"⛔ Beleg fehlt · ","")&amp;IF(AND(R235="WON",AR235=0),"⛔ Einstand fehlt · ","")&amp;IF(AND(R235&lt;&gt;"WON",AR235=0),"○ Einstand offen · ","")&amp;IF(AND(R235="WON",AB235=""),"⛔ Vertragsart fehlt · ","")&amp;IF(AND(ISNUMBER(O235),ISNUMBER(P235)),IF(P235&lt;O235,"⚠ Ende vor Start · ",""),"")&amp;IF(AND(R235="WON",AY235=0,NOT(AND(ISNUMBER(O235),ISNUMBER(P235)))),"⛔ Zeitraum fehlt · ","")&amp;IF(AND(R235&lt;&gt;"WON",AY235=0,NOT(AND(ISNUMBER(O235),ISNUMBER(P235)))),"○ Zeitraum offen · ",""))</f>
        <v/>
      </c>
      <c r="BB235" s="1" t="str">
        <f aca="false">IF(B235="","",IF(AND(R235="WON",AS235=0),"⛔ Nachweis fehlt",IF(AND(ISNUMBER(O235),ISNUMBER(P235),P235&lt;O235),"⚠ Ende vor Start",IF(AND(R235="WON",AY235=0),"⛔ Zeitraum fehlt",IF(AR235=0,"○ Einstand offen",IF(AY235=0,"○ Zeitraum offen",IF(R235="WON","✅ belegt","✔ erfasst")))))))</f>
        <v/>
      </c>
    </row>
    <row r="236" customFormat="false" ht="15" hidden="false" customHeight="true" outlineLevel="0" collapsed="false">
      <c r="G236" s="1" t="str">
        <f aca="false">IF(B236="","",IF(AY236=1,P236-O236+1,IF(AW236="","",AW236)))</f>
        <v/>
      </c>
      <c r="I236" s="270"/>
      <c r="J236" s="270"/>
      <c r="K236" s="270"/>
      <c r="L236" s="270"/>
      <c r="M236" s="270"/>
      <c r="N236" s="270"/>
      <c r="O236" s="263"/>
      <c r="P236" s="263"/>
      <c r="Q236" s="270" t="str">
        <f aca="false">IF(AND(ISNUMBER(I236),ISNUMBER(S236)),I236*AJ236,IF(OR(I236&lt;&gt;"",S236&lt;&gt;""),"tbd",""))</f>
        <v/>
      </c>
      <c r="S236" s="268"/>
      <c r="Y236" s="275" t="str">
        <f aca="false">IF(ISNUMBER(I236),I236/Netto_Faktor,"")</f>
        <v/>
      </c>
      <c r="Z236" s="275" t="str">
        <f aca="false">IF(B236="","",IF(COUNT(J236:N236)=0,"",SUM(J236:N236)))</f>
        <v/>
      </c>
      <c r="AA236" s="266"/>
      <c r="AB236" s="266"/>
      <c r="AC236" s="266"/>
      <c r="AD236" s="266"/>
      <c r="AE236" s="266"/>
      <c r="AF236" s="266"/>
      <c r="AG236" s="267"/>
      <c r="AH236" s="266" t="str">
        <f aca="false">IF(B236="","",IF(BA236="",IF(R236="WON","✅ belegt &amp; vollständig","✔ vollständig"),LEFT(BA236,LEN(BA236)-3)))</f>
        <v/>
      </c>
      <c r="AJ236" s="268" t="n">
        <f aca="false">IF(ISNUMBER(S236),IFERROR(LOOKUP(IF(S236&lt;=1,S236,S236/100),'⚖️ Wahrscheinlichkeit'!$B$17:$B$21,'⚖️ Wahrscheinlichkeit'!$D$17:$D$21),0),0)</f>
        <v>0</v>
      </c>
      <c r="AK236" s="1" t="str">
        <f aca="false">IF(AND(R236="WON",ISNUMBER(I236)),AL236+(861-ROW())*0.000001,"")</f>
        <v/>
      </c>
      <c r="AL236" s="1" t="n">
        <f aca="false">IFERROR(I236*1,0)</f>
        <v>0</v>
      </c>
      <c r="AM236" s="1" t="n">
        <f aca="false">N(AM235)+IF(AND(R236="WON",B236&lt;&gt;""),1,0)</f>
        <v>12</v>
      </c>
      <c r="AN236" s="1" t="n">
        <f aca="false">N(AN235)+IF(AND(OR(R236="offered",R236="to be offered",R236="on hold"),B236&lt;&gt;""),1,0)</f>
        <v>33</v>
      </c>
      <c r="AO236" s="1" t="n">
        <f aca="false">N(AO235)+IF(AND(OR(R236="follow-up",R236="Evaluation",R236="tbd",R236="In evaluation"),B236&lt;&gt;""),1,0)</f>
        <v>1</v>
      </c>
      <c r="AP236" s="1" t="n">
        <f aca="false">IF(B236="",0,IF(COUNTIF('⚖️ Wahrscheinlichkeit'!$J$17:$J$24,R236)&gt;0,1,0))</f>
        <v>0</v>
      </c>
      <c r="AQ236" s="1" t="n">
        <f aca="false">IF(B236="",0,IF(AND(ISNUMBER(S236),COUNTIF('⚖️ Wahrscheinlichkeit'!$B$6:$B$11,S236)&gt;0),1,0))</f>
        <v>0</v>
      </c>
      <c r="AR236" s="1" t="n">
        <f aca="false">IF(B236="",0,IF(AND(COUNT(J236:M236)=4,SUM(J236:M236)&gt;0),1,0))</f>
        <v>0</v>
      </c>
      <c r="AS236" s="1" t="n">
        <f aca="false">IF(B236="",0,IF(AND(AF236&lt;&gt;"",AG236&lt;&gt;""),1,0))</f>
        <v>0</v>
      </c>
      <c r="AT236" s="1" t="n">
        <f aca="false">IF(AND(R236="WON",AS236=1,AR236=1),1,0)</f>
        <v>0</v>
      </c>
      <c r="AU236" s="1" t="n">
        <f aca="false">IF(B236="",0,IF(AD236="Alternative – zählt nicht",0,1))</f>
        <v>0</v>
      </c>
      <c r="AV236" s="1" t="n">
        <f aca="false">IF(B236="",0,IF(COUNTIF($B$6:$B$860,B236)&gt;1,1,0))</f>
        <v>0</v>
      </c>
      <c r="AX236" s="269" t="str">
        <f aca="false">IF(AY236=1,DATE(YEAR(O236),MONTH(O236),1),"")</f>
        <v/>
      </c>
      <c r="AY236" s="1" t="n">
        <f aca="false">IF(B236="",0,IF(AND(ISNUMBER(O236),ISNUMBER(P236)),IF(P236&gt;=O236,1,0),0))</f>
        <v>0</v>
      </c>
      <c r="AZ236" s="1" t="n">
        <f aca="false">IF(ISNUMBER(Y236),Y236,0)</f>
        <v>0</v>
      </c>
      <c r="BA236" s="1" t="str">
        <f aca="false">IF(B236="","",IF(AND(R236="WON",AS236=0),"⛔ Beleg fehlt · ","")&amp;IF(AND(R236="WON",AR236=0),"⛔ Einstand fehlt · ","")&amp;IF(AND(R236&lt;&gt;"WON",AR236=0),"○ Einstand offen · ","")&amp;IF(AND(R236="WON",AB236=""),"⛔ Vertragsart fehlt · ","")&amp;IF(AND(ISNUMBER(O236),ISNUMBER(P236)),IF(P236&lt;O236,"⚠ Ende vor Start · ",""),"")&amp;IF(AND(R236="WON",AY236=0,NOT(AND(ISNUMBER(O236),ISNUMBER(P236)))),"⛔ Zeitraum fehlt · ","")&amp;IF(AND(R236&lt;&gt;"WON",AY236=0,NOT(AND(ISNUMBER(O236),ISNUMBER(P236)))),"○ Zeitraum offen · ",""))</f>
        <v/>
      </c>
      <c r="BB236" s="1" t="str">
        <f aca="false">IF(B236="","",IF(AND(R236="WON",AS236=0),"⛔ Nachweis fehlt",IF(AND(ISNUMBER(O236),ISNUMBER(P236),P236&lt;O236),"⚠ Ende vor Start",IF(AND(R236="WON",AY236=0),"⛔ Zeitraum fehlt",IF(AR236=0,"○ Einstand offen",IF(AY236=0,"○ Zeitraum offen",IF(R236="WON","✅ belegt","✔ erfasst")))))))</f>
        <v/>
      </c>
    </row>
    <row r="237" customFormat="false" ht="15" hidden="false" customHeight="true" outlineLevel="0" collapsed="false">
      <c r="G237" s="1" t="str">
        <f aca="false">IF(B237="","",IF(AY237=1,P237-O237+1,IF(AW237="","",AW237)))</f>
        <v/>
      </c>
      <c r="I237" s="270"/>
      <c r="J237" s="270"/>
      <c r="K237" s="270"/>
      <c r="L237" s="270"/>
      <c r="M237" s="270"/>
      <c r="N237" s="270"/>
      <c r="O237" s="263"/>
      <c r="P237" s="263"/>
      <c r="Q237" s="270" t="str">
        <f aca="false">IF(AND(ISNUMBER(I237),ISNUMBER(S237)),I237*AJ237,IF(OR(I237&lt;&gt;"",S237&lt;&gt;""),"tbd",""))</f>
        <v/>
      </c>
      <c r="S237" s="268"/>
      <c r="Y237" s="275" t="str">
        <f aca="false">IF(ISNUMBER(I237),I237/Netto_Faktor,"")</f>
        <v/>
      </c>
      <c r="Z237" s="275" t="str">
        <f aca="false">IF(B237="","",IF(COUNT(J237:N237)=0,"",SUM(J237:N237)))</f>
        <v/>
      </c>
      <c r="AA237" s="266"/>
      <c r="AB237" s="266"/>
      <c r="AC237" s="266"/>
      <c r="AD237" s="266"/>
      <c r="AE237" s="266"/>
      <c r="AF237" s="266"/>
      <c r="AG237" s="267"/>
      <c r="AH237" s="266" t="str">
        <f aca="false">IF(B237="","",IF(BA237="",IF(R237="WON","✅ belegt &amp; vollständig","✔ vollständig"),LEFT(BA237,LEN(BA237)-3)))</f>
        <v/>
      </c>
      <c r="AJ237" s="268" t="n">
        <f aca="false">IF(ISNUMBER(S237),IFERROR(LOOKUP(IF(S237&lt;=1,S237,S237/100),'⚖️ Wahrscheinlichkeit'!$B$17:$B$21,'⚖️ Wahrscheinlichkeit'!$D$17:$D$21),0),0)</f>
        <v>0</v>
      </c>
      <c r="AK237" s="1" t="str">
        <f aca="false">IF(AND(R237="WON",ISNUMBER(I237)),AL237+(861-ROW())*0.000001,"")</f>
        <v/>
      </c>
      <c r="AL237" s="1" t="n">
        <f aca="false">IFERROR(I237*1,0)</f>
        <v>0</v>
      </c>
      <c r="AM237" s="1" t="n">
        <f aca="false">N(AM236)+IF(AND(R237="WON",B237&lt;&gt;""),1,0)</f>
        <v>12</v>
      </c>
      <c r="AN237" s="1" t="n">
        <f aca="false">N(AN236)+IF(AND(OR(R237="offered",R237="to be offered",R237="on hold"),B237&lt;&gt;""),1,0)</f>
        <v>33</v>
      </c>
      <c r="AO237" s="1" t="n">
        <f aca="false">N(AO236)+IF(AND(OR(R237="follow-up",R237="Evaluation",R237="tbd",R237="In evaluation"),B237&lt;&gt;""),1,0)</f>
        <v>1</v>
      </c>
      <c r="AP237" s="1" t="n">
        <f aca="false">IF(B237="",0,IF(COUNTIF('⚖️ Wahrscheinlichkeit'!$J$17:$J$24,R237)&gt;0,1,0))</f>
        <v>0</v>
      </c>
      <c r="AQ237" s="1" t="n">
        <f aca="false">IF(B237="",0,IF(AND(ISNUMBER(S237),COUNTIF('⚖️ Wahrscheinlichkeit'!$B$6:$B$11,S237)&gt;0),1,0))</f>
        <v>0</v>
      </c>
      <c r="AR237" s="1" t="n">
        <f aca="false">IF(B237="",0,IF(AND(COUNT(J237:M237)=4,SUM(J237:M237)&gt;0),1,0))</f>
        <v>0</v>
      </c>
      <c r="AS237" s="1" t="n">
        <f aca="false">IF(B237="",0,IF(AND(AF237&lt;&gt;"",AG237&lt;&gt;""),1,0))</f>
        <v>0</v>
      </c>
      <c r="AT237" s="1" t="n">
        <f aca="false">IF(AND(R237="WON",AS237=1,AR237=1),1,0)</f>
        <v>0</v>
      </c>
      <c r="AU237" s="1" t="n">
        <f aca="false">IF(B237="",0,IF(AD237="Alternative – zählt nicht",0,1))</f>
        <v>0</v>
      </c>
      <c r="AV237" s="1" t="n">
        <f aca="false">IF(B237="",0,IF(COUNTIF($B$6:$B$860,B237)&gt;1,1,0))</f>
        <v>0</v>
      </c>
      <c r="AX237" s="269" t="str">
        <f aca="false">IF(AY237=1,DATE(YEAR(O237),MONTH(O237),1),"")</f>
        <v/>
      </c>
      <c r="AY237" s="1" t="n">
        <f aca="false">IF(B237="",0,IF(AND(ISNUMBER(O237),ISNUMBER(P237)),IF(P237&gt;=O237,1,0),0))</f>
        <v>0</v>
      </c>
      <c r="AZ237" s="1" t="n">
        <f aca="false">IF(ISNUMBER(Y237),Y237,0)</f>
        <v>0</v>
      </c>
      <c r="BA237" s="1" t="str">
        <f aca="false">IF(B237="","",IF(AND(R237="WON",AS237=0),"⛔ Beleg fehlt · ","")&amp;IF(AND(R237="WON",AR237=0),"⛔ Einstand fehlt · ","")&amp;IF(AND(R237&lt;&gt;"WON",AR237=0),"○ Einstand offen · ","")&amp;IF(AND(R237="WON",AB237=""),"⛔ Vertragsart fehlt · ","")&amp;IF(AND(ISNUMBER(O237),ISNUMBER(P237)),IF(P237&lt;O237,"⚠ Ende vor Start · ",""),"")&amp;IF(AND(R237="WON",AY237=0,NOT(AND(ISNUMBER(O237),ISNUMBER(P237)))),"⛔ Zeitraum fehlt · ","")&amp;IF(AND(R237&lt;&gt;"WON",AY237=0,NOT(AND(ISNUMBER(O237),ISNUMBER(P237)))),"○ Zeitraum offen · ",""))</f>
        <v/>
      </c>
      <c r="BB237" s="1" t="str">
        <f aca="false">IF(B237="","",IF(AND(R237="WON",AS237=0),"⛔ Nachweis fehlt",IF(AND(ISNUMBER(O237),ISNUMBER(P237),P237&lt;O237),"⚠ Ende vor Start",IF(AND(R237="WON",AY237=0),"⛔ Zeitraum fehlt",IF(AR237=0,"○ Einstand offen",IF(AY237=0,"○ Zeitraum offen",IF(R237="WON","✅ belegt","✔ erfasst")))))))</f>
        <v/>
      </c>
    </row>
    <row r="238" customFormat="false" ht="15" hidden="false" customHeight="true" outlineLevel="0" collapsed="false">
      <c r="G238" s="1" t="str">
        <f aca="false">IF(B238="","",IF(AY238=1,P238-O238+1,IF(AW238="","",AW238)))</f>
        <v/>
      </c>
      <c r="I238" s="270"/>
      <c r="J238" s="270"/>
      <c r="K238" s="270"/>
      <c r="L238" s="270"/>
      <c r="M238" s="270"/>
      <c r="N238" s="270"/>
      <c r="O238" s="263"/>
      <c r="P238" s="263"/>
      <c r="Q238" s="270" t="str">
        <f aca="false">IF(AND(ISNUMBER(I238),ISNUMBER(S238)),I238*AJ238,IF(OR(I238&lt;&gt;"",S238&lt;&gt;""),"tbd",""))</f>
        <v/>
      </c>
      <c r="S238" s="268"/>
      <c r="Y238" s="275" t="str">
        <f aca="false">IF(ISNUMBER(I238),I238/Netto_Faktor,"")</f>
        <v/>
      </c>
      <c r="Z238" s="275" t="str">
        <f aca="false">IF(B238="","",IF(COUNT(J238:N238)=0,"",SUM(J238:N238)))</f>
        <v/>
      </c>
      <c r="AA238" s="266"/>
      <c r="AB238" s="266"/>
      <c r="AC238" s="266"/>
      <c r="AD238" s="266"/>
      <c r="AE238" s="266"/>
      <c r="AF238" s="266"/>
      <c r="AG238" s="267"/>
      <c r="AH238" s="266" t="str">
        <f aca="false">IF(B238="","",IF(BA238="",IF(R238="WON","✅ belegt &amp; vollständig","✔ vollständig"),LEFT(BA238,LEN(BA238)-3)))</f>
        <v/>
      </c>
      <c r="AJ238" s="268" t="n">
        <f aca="false">IF(ISNUMBER(S238),IFERROR(LOOKUP(IF(S238&lt;=1,S238,S238/100),'⚖️ Wahrscheinlichkeit'!$B$17:$B$21,'⚖️ Wahrscheinlichkeit'!$D$17:$D$21),0),0)</f>
        <v>0</v>
      </c>
      <c r="AK238" s="1" t="str">
        <f aca="false">IF(AND(R238="WON",ISNUMBER(I238)),AL238+(861-ROW())*0.000001,"")</f>
        <v/>
      </c>
      <c r="AL238" s="1" t="n">
        <f aca="false">IFERROR(I238*1,0)</f>
        <v>0</v>
      </c>
      <c r="AM238" s="1" t="n">
        <f aca="false">N(AM237)+IF(AND(R238="WON",B238&lt;&gt;""),1,0)</f>
        <v>12</v>
      </c>
      <c r="AN238" s="1" t="n">
        <f aca="false">N(AN237)+IF(AND(OR(R238="offered",R238="to be offered",R238="on hold"),B238&lt;&gt;""),1,0)</f>
        <v>33</v>
      </c>
      <c r="AO238" s="1" t="n">
        <f aca="false">N(AO237)+IF(AND(OR(R238="follow-up",R238="Evaluation",R238="tbd",R238="In evaluation"),B238&lt;&gt;""),1,0)</f>
        <v>1</v>
      </c>
      <c r="AP238" s="1" t="n">
        <f aca="false">IF(B238="",0,IF(COUNTIF('⚖️ Wahrscheinlichkeit'!$J$17:$J$24,R238)&gt;0,1,0))</f>
        <v>0</v>
      </c>
      <c r="AQ238" s="1" t="n">
        <f aca="false">IF(B238="",0,IF(AND(ISNUMBER(S238),COUNTIF('⚖️ Wahrscheinlichkeit'!$B$6:$B$11,S238)&gt;0),1,0))</f>
        <v>0</v>
      </c>
      <c r="AR238" s="1" t="n">
        <f aca="false">IF(B238="",0,IF(AND(COUNT(J238:M238)=4,SUM(J238:M238)&gt;0),1,0))</f>
        <v>0</v>
      </c>
      <c r="AS238" s="1" t="n">
        <f aca="false">IF(B238="",0,IF(AND(AF238&lt;&gt;"",AG238&lt;&gt;""),1,0))</f>
        <v>0</v>
      </c>
      <c r="AT238" s="1" t="n">
        <f aca="false">IF(AND(R238="WON",AS238=1,AR238=1),1,0)</f>
        <v>0</v>
      </c>
      <c r="AU238" s="1" t="n">
        <f aca="false">IF(B238="",0,IF(AD238="Alternative – zählt nicht",0,1))</f>
        <v>0</v>
      </c>
      <c r="AV238" s="1" t="n">
        <f aca="false">IF(B238="",0,IF(COUNTIF($B$6:$B$860,B238)&gt;1,1,0))</f>
        <v>0</v>
      </c>
      <c r="AX238" s="269" t="str">
        <f aca="false">IF(AY238=1,DATE(YEAR(O238),MONTH(O238),1),"")</f>
        <v/>
      </c>
      <c r="AY238" s="1" t="n">
        <f aca="false">IF(B238="",0,IF(AND(ISNUMBER(O238),ISNUMBER(P238)),IF(P238&gt;=O238,1,0),0))</f>
        <v>0</v>
      </c>
      <c r="AZ238" s="1" t="n">
        <f aca="false">IF(ISNUMBER(Y238),Y238,0)</f>
        <v>0</v>
      </c>
      <c r="BA238" s="1" t="str">
        <f aca="false">IF(B238="","",IF(AND(R238="WON",AS238=0),"⛔ Beleg fehlt · ","")&amp;IF(AND(R238="WON",AR238=0),"⛔ Einstand fehlt · ","")&amp;IF(AND(R238&lt;&gt;"WON",AR238=0),"○ Einstand offen · ","")&amp;IF(AND(R238="WON",AB238=""),"⛔ Vertragsart fehlt · ","")&amp;IF(AND(ISNUMBER(O238),ISNUMBER(P238)),IF(P238&lt;O238,"⚠ Ende vor Start · ",""),"")&amp;IF(AND(R238="WON",AY238=0,NOT(AND(ISNUMBER(O238),ISNUMBER(P238)))),"⛔ Zeitraum fehlt · ","")&amp;IF(AND(R238&lt;&gt;"WON",AY238=0,NOT(AND(ISNUMBER(O238),ISNUMBER(P238)))),"○ Zeitraum offen · ",""))</f>
        <v/>
      </c>
      <c r="BB238" s="1" t="str">
        <f aca="false">IF(B238="","",IF(AND(R238="WON",AS238=0),"⛔ Nachweis fehlt",IF(AND(ISNUMBER(O238),ISNUMBER(P238),P238&lt;O238),"⚠ Ende vor Start",IF(AND(R238="WON",AY238=0),"⛔ Zeitraum fehlt",IF(AR238=0,"○ Einstand offen",IF(AY238=0,"○ Zeitraum offen",IF(R238="WON","✅ belegt","✔ erfasst")))))))</f>
        <v/>
      </c>
    </row>
    <row r="239" customFormat="false" ht="15" hidden="false" customHeight="true" outlineLevel="0" collapsed="false">
      <c r="G239" s="1" t="str">
        <f aca="false">IF(B239="","",IF(AY239=1,P239-O239+1,IF(AW239="","",AW239)))</f>
        <v/>
      </c>
      <c r="I239" s="270"/>
      <c r="J239" s="270"/>
      <c r="K239" s="270"/>
      <c r="L239" s="270"/>
      <c r="M239" s="270"/>
      <c r="N239" s="270"/>
      <c r="O239" s="263"/>
      <c r="P239" s="263"/>
      <c r="Q239" s="270" t="str">
        <f aca="false">IF(AND(ISNUMBER(I239),ISNUMBER(S239)),I239*AJ239,IF(OR(I239&lt;&gt;"",S239&lt;&gt;""),"tbd",""))</f>
        <v/>
      </c>
      <c r="S239" s="268"/>
      <c r="Y239" s="275" t="str">
        <f aca="false">IF(ISNUMBER(I239),I239/Netto_Faktor,"")</f>
        <v/>
      </c>
      <c r="Z239" s="275" t="str">
        <f aca="false">IF(B239="","",IF(COUNT(J239:N239)=0,"",SUM(J239:N239)))</f>
        <v/>
      </c>
      <c r="AA239" s="266"/>
      <c r="AB239" s="266"/>
      <c r="AC239" s="266"/>
      <c r="AD239" s="266"/>
      <c r="AE239" s="266"/>
      <c r="AF239" s="266"/>
      <c r="AG239" s="267"/>
      <c r="AH239" s="266" t="str">
        <f aca="false">IF(B239="","",IF(BA239="",IF(R239="WON","✅ belegt &amp; vollständig","✔ vollständig"),LEFT(BA239,LEN(BA239)-3)))</f>
        <v/>
      </c>
      <c r="AJ239" s="268" t="n">
        <f aca="false">IF(ISNUMBER(S239),IFERROR(LOOKUP(IF(S239&lt;=1,S239,S239/100),'⚖️ Wahrscheinlichkeit'!$B$17:$B$21,'⚖️ Wahrscheinlichkeit'!$D$17:$D$21),0),0)</f>
        <v>0</v>
      </c>
      <c r="AK239" s="1" t="str">
        <f aca="false">IF(AND(R239="WON",ISNUMBER(I239)),AL239+(861-ROW())*0.000001,"")</f>
        <v/>
      </c>
      <c r="AL239" s="1" t="n">
        <f aca="false">IFERROR(I239*1,0)</f>
        <v>0</v>
      </c>
      <c r="AM239" s="1" t="n">
        <f aca="false">N(AM238)+IF(AND(R239="WON",B239&lt;&gt;""),1,0)</f>
        <v>12</v>
      </c>
      <c r="AN239" s="1" t="n">
        <f aca="false">N(AN238)+IF(AND(OR(R239="offered",R239="to be offered",R239="on hold"),B239&lt;&gt;""),1,0)</f>
        <v>33</v>
      </c>
      <c r="AO239" s="1" t="n">
        <f aca="false">N(AO238)+IF(AND(OR(R239="follow-up",R239="Evaluation",R239="tbd",R239="In evaluation"),B239&lt;&gt;""),1,0)</f>
        <v>1</v>
      </c>
      <c r="AP239" s="1" t="n">
        <f aca="false">IF(B239="",0,IF(COUNTIF('⚖️ Wahrscheinlichkeit'!$J$17:$J$24,R239)&gt;0,1,0))</f>
        <v>0</v>
      </c>
      <c r="AQ239" s="1" t="n">
        <f aca="false">IF(B239="",0,IF(AND(ISNUMBER(S239),COUNTIF('⚖️ Wahrscheinlichkeit'!$B$6:$B$11,S239)&gt;0),1,0))</f>
        <v>0</v>
      </c>
      <c r="AR239" s="1" t="n">
        <f aca="false">IF(B239="",0,IF(AND(COUNT(J239:M239)=4,SUM(J239:M239)&gt;0),1,0))</f>
        <v>0</v>
      </c>
      <c r="AS239" s="1" t="n">
        <f aca="false">IF(B239="",0,IF(AND(AF239&lt;&gt;"",AG239&lt;&gt;""),1,0))</f>
        <v>0</v>
      </c>
      <c r="AT239" s="1" t="n">
        <f aca="false">IF(AND(R239="WON",AS239=1,AR239=1),1,0)</f>
        <v>0</v>
      </c>
      <c r="AU239" s="1" t="n">
        <f aca="false">IF(B239="",0,IF(AD239="Alternative – zählt nicht",0,1))</f>
        <v>0</v>
      </c>
      <c r="AV239" s="1" t="n">
        <f aca="false">IF(B239="",0,IF(COUNTIF($B$6:$B$860,B239)&gt;1,1,0))</f>
        <v>0</v>
      </c>
      <c r="AX239" s="269" t="str">
        <f aca="false">IF(AY239=1,DATE(YEAR(O239),MONTH(O239),1),"")</f>
        <v/>
      </c>
      <c r="AY239" s="1" t="n">
        <f aca="false">IF(B239="",0,IF(AND(ISNUMBER(O239),ISNUMBER(P239)),IF(P239&gt;=O239,1,0),0))</f>
        <v>0</v>
      </c>
      <c r="AZ239" s="1" t="n">
        <f aca="false">IF(ISNUMBER(Y239),Y239,0)</f>
        <v>0</v>
      </c>
      <c r="BA239" s="1" t="str">
        <f aca="false">IF(B239="","",IF(AND(R239="WON",AS239=0),"⛔ Beleg fehlt · ","")&amp;IF(AND(R239="WON",AR239=0),"⛔ Einstand fehlt · ","")&amp;IF(AND(R239&lt;&gt;"WON",AR239=0),"○ Einstand offen · ","")&amp;IF(AND(R239="WON",AB239=""),"⛔ Vertragsart fehlt · ","")&amp;IF(AND(ISNUMBER(O239),ISNUMBER(P239)),IF(P239&lt;O239,"⚠ Ende vor Start · ",""),"")&amp;IF(AND(R239="WON",AY239=0,NOT(AND(ISNUMBER(O239),ISNUMBER(P239)))),"⛔ Zeitraum fehlt · ","")&amp;IF(AND(R239&lt;&gt;"WON",AY239=0,NOT(AND(ISNUMBER(O239),ISNUMBER(P239)))),"○ Zeitraum offen · ",""))</f>
        <v/>
      </c>
      <c r="BB239" s="1" t="str">
        <f aca="false">IF(B239="","",IF(AND(R239="WON",AS239=0),"⛔ Nachweis fehlt",IF(AND(ISNUMBER(O239),ISNUMBER(P239),P239&lt;O239),"⚠ Ende vor Start",IF(AND(R239="WON",AY239=0),"⛔ Zeitraum fehlt",IF(AR239=0,"○ Einstand offen",IF(AY239=0,"○ Zeitraum offen",IF(R239="WON","✅ belegt","✔ erfasst")))))))</f>
        <v/>
      </c>
    </row>
    <row r="240" customFormat="false" ht="15" hidden="false" customHeight="true" outlineLevel="0" collapsed="false">
      <c r="G240" s="1" t="str">
        <f aca="false">IF(B240="","",IF(AY240=1,P240-O240+1,IF(AW240="","",AW240)))</f>
        <v/>
      </c>
      <c r="I240" s="270"/>
      <c r="J240" s="270"/>
      <c r="K240" s="270"/>
      <c r="L240" s="270"/>
      <c r="M240" s="270"/>
      <c r="N240" s="270"/>
      <c r="O240" s="263"/>
      <c r="P240" s="263"/>
      <c r="Q240" s="270" t="str">
        <f aca="false">IF(AND(ISNUMBER(I240),ISNUMBER(S240)),I240*AJ240,IF(OR(I240&lt;&gt;"",S240&lt;&gt;""),"tbd",""))</f>
        <v/>
      </c>
      <c r="S240" s="268"/>
      <c r="Y240" s="275" t="str">
        <f aca="false">IF(ISNUMBER(I240),I240/Netto_Faktor,"")</f>
        <v/>
      </c>
      <c r="Z240" s="275" t="str">
        <f aca="false">IF(B240="","",IF(COUNT(J240:N240)=0,"",SUM(J240:N240)))</f>
        <v/>
      </c>
      <c r="AA240" s="266"/>
      <c r="AB240" s="266"/>
      <c r="AC240" s="266"/>
      <c r="AD240" s="266"/>
      <c r="AE240" s="266"/>
      <c r="AF240" s="266"/>
      <c r="AG240" s="267"/>
      <c r="AH240" s="266" t="str">
        <f aca="false">IF(B240="","",IF(BA240="",IF(R240="WON","✅ belegt &amp; vollständig","✔ vollständig"),LEFT(BA240,LEN(BA240)-3)))</f>
        <v/>
      </c>
      <c r="AJ240" s="268" t="n">
        <f aca="false">IF(ISNUMBER(S240),IFERROR(LOOKUP(IF(S240&lt;=1,S240,S240/100),'⚖️ Wahrscheinlichkeit'!$B$17:$B$21,'⚖️ Wahrscheinlichkeit'!$D$17:$D$21),0),0)</f>
        <v>0</v>
      </c>
      <c r="AK240" s="1" t="str">
        <f aca="false">IF(AND(R240="WON",ISNUMBER(I240)),AL240+(861-ROW())*0.000001,"")</f>
        <v/>
      </c>
      <c r="AL240" s="1" t="n">
        <f aca="false">IFERROR(I240*1,0)</f>
        <v>0</v>
      </c>
      <c r="AM240" s="1" t="n">
        <f aca="false">N(AM239)+IF(AND(R240="WON",B240&lt;&gt;""),1,0)</f>
        <v>12</v>
      </c>
      <c r="AN240" s="1" t="n">
        <f aca="false">N(AN239)+IF(AND(OR(R240="offered",R240="to be offered",R240="on hold"),B240&lt;&gt;""),1,0)</f>
        <v>33</v>
      </c>
      <c r="AO240" s="1" t="n">
        <f aca="false">N(AO239)+IF(AND(OR(R240="follow-up",R240="Evaluation",R240="tbd",R240="In evaluation"),B240&lt;&gt;""),1,0)</f>
        <v>1</v>
      </c>
      <c r="AP240" s="1" t="n">
        <f aca="false">IF(B240="",0,IF(COUNTIF('⚖️ Wahrscheinlichkeit'!$J$17:$J$24,R240)&gt;0,1,0))</f>
        <v>0</v>
      </c>
      <c r="AQ240" s="1" t="n">
        <f aca="false">IF(B240="",0,IF(AND(ISNUMBER(S240),COUNTIF('⚖️ Wahrscheinlichkeit'!$B$6:$B$11,S240)&gt;0),1,0))</f>
        <v>0</v>
      </c>
      <c r="AR240" s="1" t="n">
        <f aca="false">IF(B240="",0,IF(AND(COUNT(J240:M240)=4,SUM(J240:M240)&gt;0),1,0))</f>
        <v>0</v>
      </c>
      <c r="AS240" s="1" t="n">
        <f aca="false">IF(B240="",0,IF(AND(AF240&lt;&gt;"",AG240&lt;&gt;""),1,0))</f>
        <v>0</v>
      </c>
      <c r="AT240" s="1" t="n">
        <f aca="false">IF(AND(R240="WON",AS240=1,AR240=1),1,0)</f>
        <v>0</v>
      </c>
      <c r="AU240" s="1" t="n">
        <f aca="false">IF(B240="",0,IF(AD240="Alternative – zählt nicht",0,1))</f>
        <v>0</v>
      </c>
      <c r="AV240" s="1" t="n">
        <f aca="false">IF(B240="",0,IF(COUNTIF($B$6:$B$860,B240)&gt;1,1,0))</f>
        <v>0</v>
      </c>
      <c r="AX240" s="269" t="str">
        <f aca="false">IF(AY240=1,DATE(YEAR(O240),MONTH(O240),1),"")</f>
        <v/>
      </c>
      <c r="AY240" s="1" t="n">
        <f aca="false">IF(B240="",0,IF(AND(ISNUMBER(O240),ISNUMBER(P240)),IF(P240&gt;=O240,1,0),0))</f>
        <v>0</v>
      </c>
      <c r="AZ240" s="1" t="n">
        <f aca="false">IF(ISNUMBER(Y240),Y240,0)</f>
        <v>0</v>
      </c>
      <c r="BA240" s="1" t="str">
        <f aca="false">IF(B240="","",IF(AND(R240="WON",AS240=0),"⛔ Beleg fehlt · ","")&amp;IF(AND(R240="WON",AR240=0),"⛔ Einstand fehlt · ","")&amp;IF(AND(R240&lt;&gt;"WON",AR240=0),"○ Einstand offen · ","")&amp;IF(AND(R240="WON",AB240=""),"⛔ Vertragsart fehlt · ","")&amp;IF(AND(ISNUMBER(O240),ISNUMBER(P240)),IF(P240&lt;O240,"⚠ Ende vor Start · ",""),"")&amp;IF(AND(R240="WON",AY240=0,NOT(AND(ISNUMBER(O240),ISNUMBER(P240)))),"⛔ Zeitraum fehlt · ","")&amp;IF(AND(R240&lt;&gt;"WON",AY240=0,NOT(AND(ISNUMBER(O240),ISNUMBER(P240)))),"○ Zeitraum offen · ",""))</f>
        <v/>
      </c>
      <c r="BB240" s="1" t="str">
        <f aca="false">IF(B240="","",IF(AND(R240="WON",AS240=0),"⛔ Nachweis fehlt",IF(AND(ISNUMBER(O240),ISNUMBER(P240),P240&lt;O240),"⚠ Ende vor Start",IF(AND(R240="WON",AY240=0),"⛔ Zeitraum fehlt",IF(AR240=0,"○ Einstand offen",IF(AY240=0,"○ Zeitraum offen",IF(R240="WON","✅ belegt","✔ erfasst")))))))</f>
        <v/>
      </c>
    </row>
    <row r="241" customFormat="false" ht="15" hidden="false" customHeight="true" outlineLevel="0" collapsed="false">
      <c r="G241" s="1" t="str">
        <f aca="false">IF(B241="","",IF(AY241=1,P241-O241+1,IF(AW241="","",AW241)))</f>
        <v/>
      </c>
      <c r="I241" s="270"/>
      <c r="J241" s="270"/>
      <c r="K241" s="270"/>
      <c r="L241" s="270"/>
      <c r="M241" s="270"/>
      <c r="N241" s="270"/>
      <c r="O241" s="263"/>
      <c r="P241" s="263"/>
      <c r="Q241" s="270" t="str">
        <f aca="false">IF(AND(ISNUMBER(I241),ISNUMBER(S241)),I241*AJ241,IF(OR(I241&lt;&gt;"",S241&lt;&gt;""),"tbd",""))</f>
        <v/>
      </c>
      <c r="S241" s="268"/>
      <c r="Y241" s="275" t="str">
        <f aca="false">IF(ISNUMBER(I241),I241/Netto_Faktor,"")</f>
        <v/>
      </c>
      <c r="Z241" s="275" t="str">
        <f aca="false">IF(B241="","",IF(COUNT(J241:N241)=0,"",SUM(J241:N241)))</f>
        <v/>
      </c>
      <c r="AA241" s="266"/>
      <c r="AB241" s="266"/>
      <c r="AC241" s="266"/>
      <c r="AD241" s="266"/>
      <c r="AE241" s="266"/>
      <c r="AF241" s="266"/>
      <c r="AG241" s="267"/>
      <c r="AH241" s="266" t="str">
        <f aca="false">IF(B241="","",IF(BA241="",IF(R241="WON","✅ belegt &amp; vollständig","✔ vollständig"),LEFT(BA241,LEN(BA241)-3)))</f>
        <v/>
      </c>
      <c r="AJ241" s="268" t="n">
        <f aca="false">IF(ISNUMBER(S241),IFERROR(LOOKUP(IF(S241&lt;=1,S241,S241/100),'⚖️ Wahrscheinlichkeit'!$B$17:$B$21,'⚖️ Wahrscheinlichkeit'!$D$17:$D$21),0),0)</f>
        <v>0</v>
      </c>
      <c r="AK241" s="1" t="str">
        <f aca="false">IF(AND(R241="WON",ISNUMBER(I241)),AL241+(861-ROW())*0.000001,"")</f>
        <v/>
      </c>
      <c r="AL241" s="1" t="n">
        <f aca="false">IFERROR(I241*1,0)</f>
        <v>0</v>
      </c>
      <c r="AM241" s="1" t="n">
        <f aca="false">N(AM240)+IF(AND(R241="WON",B241&lt;&gt;""),1,0)</f>
        <v>12</v>
      </c>
      <c r="AN241" s="1" t="n">
        <f aca="false">N(AN240)+IF(AND(OR(R241="offered",R241="to be offered",R241="on hold"),B241&lt;&gt;""),1,0)</f>
        <v>33</v>
      </c>
      <c r="AO241" s="1" t="n">
        <f aca="false">N(AO240)+IF(AND(OR(R241="follow-up",R241="Evaluation",R241="tbd",R241="In evaluation"),B241&lt;&gt;""),1,0)</f>
        <v>1</v>
      </c>
      <c r="AP241" s="1" t="n">
        <f aca="false">IF(B241="",0,IF(COUNTIF('⚖️ Wahrscheinlichkeit'!$J$17:$J$24,R241)&gt;0,1,0))</f>
        <v>0</v>
      </c>
      <c r="AQ241" s="1" t="n">
        <f aca="false">IF(B241="",0,IF(AND(ISNUMBER(S241),COUNTIF('⚖️ Wahrscheinlichkeit'!$B$6:$B$11,S241)&gt;0),1,0))</f>
        <v>0</v>
      </c>
      <c r="AR241" s="1" t="n">
        <f aca="false">IF(B241="",0,IF(AND(COUNT(J241:M241)=4,SUM(J241:M241)&gt;0),1,0))</f>
        <v>0</v>
      </c>
      <c r="AS241" s="1" t="n">
        <f aca="false">IF(B241="",0,IF(AND(AF241&lt;&gt;"",AG241&lt;&gt;""),1,0))</f>
        <v>0</v>
      </c>
      <c r="AT241" s="1" t="n">
        <f aca="false">IF(AND(R241="WON",AS241=1,AR241=1),1,0)</f>
        <v>0</v>
      </c>
      <c r="AU241" s="1" t="n">
        <f aca="false">IF(B241="",0,IF(AD241="Alternative – zählt nicht",0,1))</f>
        <v>0</v>
      </c>
      <c r="AV241" s="1" t="n">
        <f aca="false">IF(B241="",0,IF(COUNTIF($B$6:$B$860,B241)&gt;1,1,0))</f>
        <v>0</v>
      </c>
      <c r="AX241" s="269" t="str">
        <f aca="false">IF(AY241=1,DATE(YEAR(O241),MONTH(O241),1),"")</f>
        <v/>
      </c>
      <c r="AY241" s="1" t="n">
        <f aca="false">IF(B241="",0,IF(AND(ISNUMBER(O241),ISNUMBER(P241)),IF(P241&gt;=O241,1,0),0))</f>
        <v>0</v>
      </c>
      <c r="AZ241" s="1" t="n">
        <f aca="false">IF(ISNUMBER(Y241),Y241,0)</f>
        <v>0</v>
      </c>
      <c r="BA241" s="1" t="str">
        <f aca="false">IF(B241="","",IF(AND(R241="WON",AS241=0),"⛔ Beleg fehlt · ","")&amp;IF(AND(R241="WON",AR241=0),"⛔ Einstand fehlt · ","")&amp;IF(AND(R241&lt;&gt;"WON",AR241=0),"○ Einstand offen · ","")&amp;IF(AND(R241="WON",AB241=""),"⛔ Vertragsart fehlt · ","")&amp;IF(AND(ISNUMBER(O241),ISNUMBER(P241)),IF(P241&lt;O241,"⚠ Ende vor Start · ",""),"")&amp;IF(AND(R241="WON",AY241=0,NOT(AND(ISNUMBER(O241),ISNUMBER(P241)))),"⛔ Zeitraum fehlt · ","")&amp;IF(AND(R241&lt;&gt;"WON",AY241=0,NOT(AND(ISNUMBER(O241),ISNUMBER(P241)))),"○ Zeitraum offen · ",""))</f>
        <v/>
      </c>
      <c r="BB241" s="1" t="str">
        <f aca="false">IF(B241="","",IF(AND(R241="WON",AS241=0),"⛔ Nachweis fehlt",IF(AND(ISNUMBER(O241),ISNUMBER(P241),P241&lt;O241),"⚠ Ende vor Start",IF(AND(R241="WON",AY241=0),"⛔ Zeitraum fehlt",IF(AR241=0,"○ Einstand offen",IF(AY241=0,"○ Zeitraum offen",IF(R241="WON","✅ belegt","✔ erfasst")))))))</f>
        <v/>
      </c>
    </row>
    <row r="242" customFormat="false" ht="15" hidden="false" customHeight="true" outlineLevel="0" collapsed="false">
      <c r="G242" s="1" t="str">
        <f aca="false">IF(B242="","",IF(AY242=1,P242-O242+1,IF(AW242="","",AW242)))</f>
        <v/>
      </c>
      <c r="I242" s="270"/>
      <c r="J242" s="270"/>
      <c r="K242" s="270"/>
      <c r="L242" s="270"/>
      <c r="M242" s="270"/>
      <c r="N242" s="270"/>
      <c r="O242" s="263"/>
      <c r="P242" s="263"/>
      <c r="Q242" s="270" t="str">
        <f aca="false">IF(AND(ISNUMBER(I242),ISNUMBER(S242)),I242*AJ242,IF(OR(I242&lt;&gt;"",S242&lt;&gt;""),"tbd",""))</f>
        <v/>
      </c>
      <c r="S242" s="268"/>
      <c r="Y242" s="275" t="str">
        <f aca="false">IF(ISNUMBER(I242),I242/Netto_Faktor,"")</f>
        <v/>
      </c>
      <c r="Z242" s="275" t="str">
        <f aca="false">IF(B242="","",IF(COUNT(J242:N242)=0,"",SUM(J242:N242)))</f>
        <v/>
      </c>
      <c r="AA242" s="266"/>
      <c r="AB242" s="266"/>
      <c r="AC242" s="266"/>
      <c r="AD242" s="266"/>
      <c r="AE242" s="266"/>
      <c r="AF242" s="266"/>
      <c r="AG242" s="267"/>
      <c r="AH242" s="266" t="str">
        <f aca="false">IF(B242="","",IF(BA242="",IF(R242="WON","✅ belegt &amp; vollständig","✔ vollständig"),LEFT(BA242,LEN(BA242)-3)))</f>
        <v/>
      </c>
      <c r="AJ242" s="268" t="n">
        <f aca="false">IF(ISNUMBER(S242),IFERROR(LOOKUP(IF(S242&lt;=1,S242,S242/100),'⚖️ Wahrscheinlichkeit'!$B$17:$B$21,'⚖️ Wahrscheinlichkeit'!$D$17:$D$21),0),0)</f>
        <v>0</v>
      </c>
      <c r="AK242" s="1" t="str">
        <f aca="false">IF(AND(R242="WON",ISNUMBER(I242)),AL242+(861-ROW())*0.000001,"")</f>
        <v/>
      </c>
      <c r="AL242" s="1" t="n">
        <f aca="false">IFERROR(I242*1,0)</f>
        <v>0</v>
      </c>
      <c r="AM242" s="1" t="n">
        <f aca="false">N(AM241)+IF(AND(R242="WON",B242&lt;&gt;""),1,0)</f>
        <v>12</v>
      </c>
      <c r="AN242" s="1" t="n">
        <f aca="false">N(AN241)+IF(AND(OR(R242="offered",R242="to be offered",R242="on hold"),B242&lt;&gt;""),1,0)</f>
        <v>33</v>
      </c>
      <c r="AO242" s="1" t="n">
        <f aca="false">N(AO241)+IF(AND(OR(R242="follow-up",R242="Evaluation",R242="tbd",R242="In evaluation"),B242&lt;&gt;""),1,0)</f>
        <v>1</v>
      </c>
      <c r="AP242" s="1" t="n">
        <f aca="false">IF(B242="",0,IF(COUNTIF('⚖️ Wahrscheinlichkeit'!$J$17:$J$24,R242)&gt;0,1,0))</f>
        <v>0</v>
      </c>
      <c r="AQ242" s="1" t="n">
        <f aca="false">IF(B242="",0,IF(AND(ISNUMBER(S242),COUNTIF('⚖️ Wahrscheinlichkeit'!$B$6:$B$11,S242)&gt;0),1,0))</f>
        <v>0</v>
      </c>
      <c r="AR242" s="1" t="n">
        <f aca="false">IF(B242="",0,IF(AND(COUNT(J242:M242)=4,SUM(J242:M242)&gt;0),1,0))</f>
        <v>0</v>
      </c>
      <c r="AS242" s="1" t="n">
        <f aca="false">IF(B242="",0,IF(AND(AF242&lt;&gt;"",AG242&lt;&gt;""),1,0))</f>
        <v>0</v>
      </c>
      <c r="AT242" s="1" t="n">
        <f aca="false">IF(AND(R242="WON",AS242=1,AR242=1),1,0)</f>
        <v>0</v>
      </c>
      <c r="AU242" s="1" t="n">
        <f aca="false">IF(B242="",0,IF(AD242="Alternative – zählt nicht",0,1))</f>
        <v>0</v>
      </c>
      <c r="AV242" s="1" t="n">
        <f aca="false">IF(B242="",0,IF(COUNTIF($B$6:$B$860,B242)&gt;1,1,0))</f>
        <v>0</v>
      </c>
      <c r="AX242" s="269" t="str">
        <f aca="false">IF(AY242=1,DATE(YEAR(O242),MONTH(O242),1),"")</f>
        <v/>
      </c>
      <c r="AY242" s="1" t="n">
        <f aca="false">IF(B242="",0,IF(AND(ISNUMBER(O242),ISNUMBER(P242)),IF(P242&gt;=O242,1,0),0))</f>
        <v>0</v>
      </c>
      <c r="AZ242" s="1" t="n">
        <f aca="false">IF(ISNUMBER(Y242),Y242,0)</f>
        <v>0</v>
      </c>
      <c r="BA242" s="1" t="str">
        <f aca="false">IF(B242="","",IF(AND(R242="WON",AS242=0),"⛔ Beleg fehlt · ","")&amp;IF(AND(R242="WON",AR242=0),"⛔ Einstand fehlt · ","")&amp;IF(AND(R242&lt;&gt;"WON",AR242=0),"○ Einstand offen · ","")&amp;IF(AND(R242="WON",AB242=""),"⛔ Vertragsart fehlt · ","")&amp;IF(AND(ISNUMBER(O242),ISNUMBER(P242)),IF(P242&lt;O242,"⚠ Ende vor Start · ",""),"")&amp;IF(AND(R242="WON",AY242=0,NOT(AND(ISNUMBER(O242),ISNUMBER(P242)))),"⛔ Zeitraum fehlt · ","")&amp;IF(AND(R242&lt;&gt;"WON",AY242=0,NOT(AND(ISNUMBER(O242),ISNUMBER(P242)))),"○ Zeitraum offen · ",""))</f>
        <v/>
      </c>
      <c r="BB242" s="1" t="str">
        <f aca="false">IF(B242="","",IF(AND(R242="WON",AS242=0),"⛔ Nachweis fehlt",IF(AND(ISNUMBER(O242),ISNUMBER(P242),P242&lt;O242),"⚠ Ende vor Start",IF(AND(R242="WON",AY242=0),"⛔ Zeitraum fehlt",IF(AR242=0,"○ Einstand offen",IF(AY242=0,"○ Zeitraum offen",IF(R242="WON","✅ belegt","✔ erfasst")))))))</f>
        <v/>
      </c>
    </row>
    <row r="243" customFormat="false" ht="15" hidden="false" customHeight="true" outlineLevel="0" collapsed="false">
      <c r="G243" s="1" t="str">
        <f aca="false">IF(B243="","",IF(AY243=1,P243-O243+1,IF(AW243="","",AW243)))</f>
        <v/>
      </c>
      <c r="I243" s="270"/>
      <c r="J243" s="270"/>
      <c r="K243" s="270"/>
      <c r="L243" s="270"/>
      <c r="M243" s="270"/>
      <c r="N243" s="270"/>
      <c r="O243" s="263"/>
      <c r="P243" s="263"/>
      <c r="Q243" s="270" t="str">
        <f aca="false">IF(AND(ISNUMBER(I243),ISNUMBER(S243)),I243*AJ243,IF(OR(I243&lt;&gt;"",S243&lt;&gt;""),"tbd",""))</f>
        <v/>
      </c>
      <c r="S243" s="268"/>
      <c r="Y243" s="275" t="str">
        <f aca="false">IF(ISNUMBER(I243),I243/Netto_Faktor,"")</f>
        <v/>
      </c>
      <c r="Z243" s="275" t="str">
        <f aca="false">IF(B243="","",IF(COUNT(J243:N243)=0,"",SUM(J243:N243)))</f>
        <v/>
      </c>
      <c r="AA243" s="266"/>
      <c r="AB243" s="266"/>
      <c r="AC243" s="266"/>
      <c r="AD243" s="266"/>
      <c r="AE243" s="266"/>
      <c r="AF243" s="266"/>
      <c r="AG243" s="267"/>
      <c r="AH243" s="266" t="str">
        <f aca="false">IF(B243="","",IF(BA243="",IF(R243="WON","✅ belegt &amp; vollständig","✔ vollständig"),LEFT(BA243,LEN(BA243)-3)))</f>
        <v/>
      </c>
      <c r="AJ243" s="268" t="n">
        <f aca="false">IF(ISNUMBER(S243),IFERROR(LOOKUP(IF(S243&lt;=1,S243,S243/100),'⚖️ Wahrscheinlichkeit'!$B$17:$B$21,'⚖️ Wahrscheinlichkeit'!$D$17:$D$21),0),0)</f>
        <v>0</v>
      </c>
      <c r="AK243" s="1" t="str">
        <f aca="false">IF(AND(R243="WON",ISNUMBER(I243)),AL243+(861-ROW())*0.000001,"")</f>
        <v/>
      </c>
      <c r="AL243" s="1" t="n">
        <f aca="false">IFERROR(I243*1,0)</f>
        <v>0</v>
      </c>
      <c r="AM243" s="1" t="n">
        <f aca="false">N(AM242)+IF(AND(R243="WON",B243&lt;&gt;""),1,0)</f>
        <v>12</v>
      </c>
      <c r="AN243" s="1" t="n">
        <f aca="false">N(AN242)+IF(AND(OR(R243="offered",R243="to be offered",R243="on hold"),B243&lt;&gt;""),1,0)</f>
        <v>33</v>
      </c>
      <c r="AO243" s="1" t="n">
        <f aca="false">N(AO242)+IF(AND(OR(R243="follow-up",R243="Evaluation",R243="tbd",R243="In evaluation"),B243&lt;&gt;""),1,0)</f>
        <v>1</v>
      </c>
      <c r="AP243" s="1" t="n">
        <f aca="false">IF(B243="",0,IF(COUNTIF('⚖️ Wahrscheinlichkeit'!$J$17:$J$24,R243)&gt;0,1,0))</f>
        <v>0</v>
      </c>
      <c r="AQ243" s="1" t="n">
        <f aca="false">IF(B243="",0,IF(AND(ISNUMBER(S243),COUNTIF('⚖️ Wahrscheinlichkeit'!$B$6:$B$11,S243)&gt;0),1,0))</f>
        <v>0</v>
      </c>
      <c r="AR243" s="1" t="n">
        <f aca="false">IF(B243="",0,IF(AND(COUNT(J243:M243)=4,SUM(J243:M243)&gt;0),1,0))</f>
        <v>0</v>
      </c>
      <c r="AS243" s="1" t="n">
        <f aca="false">IF(B243="",0,IF(AND(AF243&lt;&gt;"",AG243&lt;&gt;""),1,0))</f>
        <v>0</v>
      </c>
      <c r="AT243" s="1" t="n">
        <f aca="false">IF(AND(R243="WON",AS243=1,AR243=1),1,0)</f>
        <v>0</v>
      </c>
      <c r="AU243" s="1" t="n">
        <f aca="false">IF(B243="",0,IF(AD243="Alternative – zählt nicht",0,1))</f>
        <v>0</v>
      </c>
      <c r="AV243" s="1" t="n">
        <f aca="false">IF(B243="",0,IF(COUNTIF($B$6:$B$860,B243)&gt;1,1,0))</f>
        <v>0</v>
      </c>
      <c r="AX243" s="269" t="str">
        <f aca="false">IF(AY243=1,DATE(YEAR(O243),MONTH(O243),1),"")</f>
        <v/>
      </c>
      <c r="AY243" s="1" t="n">
        <f aca="false">IF(B243="",0,IF(AND(ISNUMBER(O243),ISNUMBER(P243)),IF(P243&gt;=O243,1,0),0))</f>
        <v>0</v>
      </c>
      <c r="AZ243" s="1" t="n">
        <f aca="false">IF(ISNUMBER(Y243),Y243,0)</f>
        <v>0</v>
      </c>
      <c r="BA243" s="1" t="str">
        <f aca="false">IF(B243="","",IF(AND(R243="WON",AS243=0),"⛔ Beleg fehlt · ","")&amp;IF(AND(R243="WON",AR243=0),"⛔ Einstand fehlt · ","")&amp;IF(AND(R243&lt;&gt;"WON",AR243=0),"○ Einstand offen · ","")&amp;IF(AND(R243="WON",AB243=""),"⛔ Vertragsart fehlt · ","")&amp;IF(AND(ISNUMBER(O243),ISNUMBER(P243)),IF(P243&lt;O243,"⚠ Ende vor Start · ",""),"")&amp;IF(AND(R243="WON",AY243=0,NOT(AND(ISNUMBER(O243),ISNUMBER(P243)))),"⛔ Zeitraum fehlt · ","")&amp;IF(AND(R243&lt;&gt;"WON",AY243=0,NOT(AND(ISNUMBER(O243),ISNUMBER(P243)))),"○ Zeitraum offen · ",""))</f>
        <v/>
      </c>
      <c r="BB243" s="1" t="str">
        <f aca="false">IF(B243="","",IF(AND(R243="WON",AS243=0),"⛔ Nachweis fehlt",IF(AND(ISNUMBER(O243),ISNUMBER(P243),P243&lt;O243),"⚠ Ende vor Start",IF(AND(R243="WON",AY243=0),"⛔ Zeitraum fehlt",IF(AR243=0,"○ Einstand offen",IF(AY243=0,"○ Zeitraum offen",IF(R243="WON","✅ belegt","✔ erfasst")))))))</f>
        <v/>
      </c>
    </row>
    <row r="244" customFormat="false" ht="15" hidden="false" customHeight="true" outlineLevel="0" collapsed="false">
      <c r="G244" s="1" t="str">
        <f aca="false">IF(B244="","",IF(AY244=1,P244-O244+1,IF(AW244="","",AW244)))</f>
        <v/>
      </c>
      <c r="I244" s="270"/>
      <c r="J244" s="270"/>
      <c r="K244" s="270"/>
      <c r="L244" s="270"/>
      <c r="M244" s="270"/>
      <c r="N244" s="270"/>
      <c r="O244" s="263"/>
      <c r="P244" s="263"/>
      <c r="Q244" s="270" t="str">
        <f aca="false">IF(AND(ISNUMBER(I244),ISNUMBER(S244)),I244*AJ244,IF(OR(I244&lt;&gt;"",S244&lt;&gt;""),"tbd",""))</f>
        <v/>
      </c>
      <c r="S244" s="268"/>
      <c r="Y244" s="275" t="str">
        <f aca="false">IF(ISNUMBER(I244),I244/Netto_Faktor,"")</f>
        <v/>
      </c>
      <c r="Z244" s="275" t="str">
        <f aca="false">IF(B244="","",IF(COUNT(J244:N244)=0,"",SUM(J244:N244)))</f>
        <v/>
      </c>
      <c r="AA244" s="266"/>
      <c r="AB244" s="266"/>
      <c r="AC244" s="266"/>
      <c r="AD244" s="266"/>
      <c r="AE244" s="266"/>
      <c r="AF244" s="266"/>
      <c r="AG244" s="267"/>
      <c r="AH244" s="266" t="str">
        <f aca="false">IF(B244="","",IF(BA244="",IF(R244="WON","✅ belegt &amp; vollständig","✔ vollständig"),LEFT(BA244,LEN(BA244)-3)))</f>
        <v/>
      </c>
      <c r="AJ244" s="268" t="n">
        <f aca="false">IF(ISNUMBER(S244),IFERROR(LOOKUP(IF(S244&lt;=1,S244,S244/100),'⚖️ Wahrscheinlichkeit'!$B$17:$B$21,'⚖️ Wahrscheinlichkeit'!$D$17:$D$21),0),0)</f>
        <v>0</v>
      </c>
      <c r="AK244" s="1" t="str">
        <f aca="false">IF(AND(R244="WON",ISNUMBER(I244)),AL244+(861-ROW())*0.000001,"")</f>
        <v/>
      </c>
      <c r="AL244" s="1" t="n">
        <f aca="false">IFERROR(I244*1,0)</f>
        <v>0</v>
      </c>
      <c r="AM244" s="1" t="n">
        <f aca="false">N(AM243)+IF(AND(R244="WON",B244&lt;&gt;""),1,0)</f>
        <v>12</v>
      </c>
      <c r="AN244" s="1" t="n">
        <f aca="false">N(AN243)+IF(AND(OR(R244="offered",R244="to be offered",R244="on hold"),B244&lt;&gt;""),1,0)</f>
        <v>33</v>
      </c>
      <c r="AO244" s="1" t="n">
        <f aca="false">N(AO243)+IF(AND(OR(R244="follow-up",R244="Evaluation",R244="tbd",R244="In evaluation"),B244&lt;&gt;""),1,0)</f>
        <v>1</v>
      </c>
      <c r="AP244" s="1" t="n">
        <f aca="false">IF(B244="",0,IF(COUNTIF('⚖️ Wahrscheinlichkeit'!$J$17:$J$24,R244)&gt;0,1,0))</f>
        <v>0</v>
      </c>
      <c r="AQ244" s="1" t="n">
        <f aca="false">IF(B244="",0,IF(AND(ISNUMBER(S244),COUNTIF('⚖️ Wahrscheinlichkeit'!$B$6:$B$11,S244)&gt;0),1,0))</f>
        <v>0</v>
      </c>
      <c r="AR244" s="1" t="n">
        <f aca="false">IF(B244="",0,IF(AND(COUNT(J244:M244)=4,SUM(J244:M244)&gt;0),1,0))</f>
        <v>0</v>
      </c>
      <c r="AS244" s="1" t="n">
        <f aca="false">IF(B244="",0,IF(AND(AF244&lt;&gt;"",AG244&lt;&gt;""),1,0))</f>
        <v>0</v>
      </c>
      <c r="AT244" s="1" t="n">
        <f aca="false">IF(AND(R244="WON",AS244=1,AR244=1),1,0)</f>
        <v>0</v>
      </c>
      <c r="AU244" s="1" t="n">
        <f aca="false">IF(B244="",0,IF(AD244="Alternative – zählt nicht",0,1))</f>
        <v>0</v>
      </c>
      <c r="AV244" s="1" t="n">
        <f aca="false">IF(B244="",0,IF(COUNTIF($B$6:$B$860,B244)&gt;1,1,0))</f>
        <v>0</v>
      </c>
      <c r="AX244" s="269" t="str">
        <f aca="false">IF(AY244=1,DATE(YEAR(O244),MONTH(O244),1),"")</f>
        <v/>
      </c>
      <c r="AY244" s="1" t="n">
        <f aca="false">IF(B244="",0,IF(AND(ISNUMBER(O244),ISNUMBER(P244)),IF(P244&gt;=O244,1,0),0))</f>
        <v>0</v>
      </c>
      <c r="AZ244" s="1" t="n">
        <f aca="false">IF(ISNUMBER(Y244),Y244,0)</f>
        <v>0</v>
      </c>
      <c r="BA244" s="1" t="str">
        <f aca="false">IF(B244="","",IF(AND(R244="WON",AS244=0),"⛔ Beleg fehlt · ","")&amp;IF(AND(R244="WON",AR244=0),"⛔ Einstand fehlt · ","")&amp;IF(AND(R244&lt;&gt;"WON",AR244=0),"○ Einstand offen · ","")&amp;IF(AND(R244="WON",AB244=""),"⛔ Vertragsart fehlt · ","")&amp;IF(AND(ISNUMBER(O244),ISNUMBER(P244)),IF(P244&lt;O244,"⚠ Ende vor Start · ",""),"")&amp;IF(AND(R244="WON",AY244=0,NOT(AND(ISNUMBER(O244),ISNUMBER(P244)))),"⛔ Zeitraum fehlt · ","")&amp;IF(AND(R244&lt;&gt;"WON",AY244=0,NOT(AND(ISNUMBER(O244),ISNUMBER(P244)))),"○ Zeitraum offen · ",""))</f>
        <v/>
      </c>
      <c r="BB244" s="1" t="str">
        <f aca="false">IF(B244="","",IF(AND(R244="WON",AS244=0),"⛔ Nachweis fehlt",IF(AND(ISNUMBER(O244),ISNUMBER(P244),P244&lt;O244),"⚠ Ende vor Start",IF(AND(R244="WON",AY244=0),"⛔ Zeitraum fehlt",IF(AR244=0,"○ Einstand offen",IF(AY244=0,"○ Zeitraum offen",IF(R244="WON","✅ belegt","✔ erfasst")))))))</f>
        <v/>
      </c>
    </row>
    <row r="245" customFormat="false" ht="15" hidden="false" customHeight="true" outlineLevel="0" collapsed="false">
      <c r="G245" s="1" t="str">
        <f aca="false">IF(B245="","",IF(AY245=1,P245-O245+1,IF(AW245="","",AW245)))</f>
        <v/>
      </c>
      <c r="I245" s="270"/>
      <c r="J245" s="270"/>
      <c r="K245" s="270"/>
      <c r="L245" s="270"/>
      <c r="M245" s="270"/>
      <c r="N245" s="270"/>
      <c r="O245" s="263"/>
      <c r="P245" s="263"/>
      <c r="Q245" s="270" t="str">
        <f aca="false">IF(AND(ISNUMBER(I245),ISNUMBER(S245)),I245*AJ245,IF(OR(I245&lt;&gt;"",S245&lt;&gt;""),"tbd",""))</f>
        <v/>
      </c>
      <c r="S245" s="268"/>
      <c r="Y245" s="275" t="str">
        <f aca="false">IF(ISNUMBER(I245),I245/Netto_Faktor,"")</f>
        <v/>
      </c>
      <c r="Z245" s="275" t="str">
        <f aca="false">IF(B245="","",IF(COUNT(J245:N245)=0,"",SUM(J245:N245)))</f>
        <v/>
      </c>
      <c r="AA245" s="266"/>
      <c r="AB245" s="266"/>
      <c r="AC245" s="266"/>
      <c r="AD245" s="266"/>
      <c r="AE245" s="266"/>
      <c r="AF245" s="266"/>
      <c r="AG245" s="267"/>
      <c r="AH245" s="266" t="str">
        <f aca="false">IF(B245="","",IF(BA245="",IF(R245="WON","✅ belegt &amp; vollständig","✔ vollständig"),LEFT(BA245,LEN(BA245)-3)))</f>
        <v/>
      </c>
      <c r="AJ245" s="268" t="n">
        <f aca="false">IF(ISNUMBER(S245),IFERROR(LOOKUP(IF(S245&lt;=1,S245,S245/100),'⚖️ Wahrscheinlichkeit'!$B$17:$B$21,'⚖️ Wahrscheinlichkeit'!$D$17:$D$21),0),0)</f>
        <v>0</v>
      </c>
      <c r="AK245" s="1" t="str">
        <f aca="false">IF(AND(R245="WON",ISNUMBER(I245)),AL245+(861-ROW())*0.000001,"")</f>
        <v/>
      </c>
      <c r="AL245" s="1" t="n">
        <f aca="false">IFERROR(I245*1,0)</f>
        <v>0</v>
      </c>
      <c r="AM245" s="1" t="n">
        <f aca="false">N(AM244)+IF(AND(R245="WON",B245&lt;&gt;""),1,0)</f>
        <v>12</v>
      </c>
      <c r="AN245" s="1" t="n">
        <f aca="false">N(AN244)+IF(AND(OR(R245="offered",R245="to be offered",R245="on hold"),B245&lt;&gt;""),1,0)</f>
        <v>33</v>
      </c>
      <c r="AO245" s="1" t="n">
        <f aca="false">N(AO244)+IF(AND(OR(R245="follow-up",R245="Evaluation",R245="tbd",R245="In evaluation"),B245&lt;&gt;""),1,0)</f>
        <v>1</v>
      </c>
      <c r="AP245" s="1" t="n">
        <f aca="false">IF(B245="",0,IF(COUNTIF('⚖️ Wahrscheinlichkeit'!$J$17:$J$24,R245)&gt;0,1,0))</f>
        <v>0</v>
      </c>
      <c r="AQ245" s="1" t="n">
        <f aca="false">IF(B245="",0,IF(AND(ISNUMBER(S245),COUNTIF('⚖️ Wahrscheinlichkeit'!$B$6:$B$11,S245)&gt;0),1,0))</f>
        <v>0</v>
      </c>
      <c r="AR245" s="1" t="n">
        <f aca="false">IF(B245="",0,IF(AND(COUNT(J245:M245)=4,SUM(J245:M245)&gt;0),1,0))</f>
        <v>0</v>
      </c>
      <c r="AS245" s="1" t="n">
        <f aca="false">IF(B245="",0,IF(AND(AF245&lt;&gt;"",AG245&lt;&gt;""),1,0))</f>
        <v>0</v>
      </c>
      <c r="AT245" s="1" t="n">
        <f aca="false">IF(AND(R245="WON",AS245=1,AR245=1),1,0)</f>
        <v>0</v>
      </c>
      <c r="AU245" s="1" t="n">
        <f aca="false">IF(B245="",0,IF(AD245="Alternative – zählt nicht",0,1))</f>
        <v>0</v>
      </c>
      <c r="AV245" s="1" t="n">
        <f aca="false">IF(B245="",0,IF(COUNTIF($B$6:$B$860,B245)&gt;1,1,0))</f>
        <v>0</v>
      </c>
      <c r="AX245" s="269" t="str">
        <f aca="false">IF(AY245=1,DATE(YEAR(O245),MONTH(O245),1),"")</f>
        <v/>
      </c>
      <c r="AY245" s="1" t="n">
        <f aca="false">IF(B245="",0,IF(AND(ISNUMBER(O245),ISNUMBER(P245)),IF(P245&gt;=O245,1,0),0))</f>
        <v>0</v>
      </c>
      <c r="AZ245" s="1" t="n">
        <f aca="false">IF(ISNUMBER(Y245),Y245,0)</f>
        <v>0</v>
      </c>
      <c r="BA245" s="1" t="str">
        <f aca="false">IF(B245="","",IF(AND(R245="WON",AS245=0),"⛔ Beleg fehlt · ","")&amp;IF(AND(R245="WON",AR245=0),"⛔ Einstand fehlt · ","")&amp;IF(AND(R245&lt;&gt;"WON",AR245=0),"○ Einstand offen · ","")&amp;IF(AND(R245="WON",AB245=""),"⛔ Vertragsart fehlt · ","")&amp;IF(AND(ISNUMBER(O245),ISNUMBER(P245)),IF(P245&lt;O245,"⚠ Ende vor Start · ",""),"")&amp;IF(AND(R245="WON",AY245=0,NOT(AND(ISNUMBER(O245),ISNUMBER(P245)))),"⛔ Zeitraum fehlt · ","")&amp;IF(AND(R245&lt;&gt;"WON",AY245=0,NOT(AND(ISNUMBER(O245),ISNUMBER(P245)))),"○ Zeitraum offen · ",""))</f>
        <v/>
      </c>
      <c r="BB245" s="1" t="str">
        <f aca="false">IF(B245="","",IF(AND(R245="WON",AS245=0),"⛔ Nachweis fehlt",IF(AND(ISNUMBER(O245),ISNUMBER(P245),P245&lt;O245),"⚠ Ende vor Start",IF(AND(R245="WON",AY245=0),"⛔ Zeitraum fehlt",IF(AR245=0,"○ Einstand offen",IF(AY245=0,"○ Zeitraum offen",IF(R245="WON","✅ belegt","✔ erfasst")))))))</f>
        <v/>
      </c>
    </row>
    <row r="246" customFormat="false" ht="15" hidden="false" customHeight="true" outlineLevel="0" collapsed="false">
      <c r="G246" s="1" t="str">
        <f aca="false">IF(B246="","",IF(AY246=1,P246-O246+1,IF(AW246="","",AW246)))</f>
        <v/>
      </c>
      <c r="I246" s="270"/>
      <c r="J246" s="270"/>
      <c r="K246" s="270"/>
      <c r="L246" s="270"/>
      <c r="M246" s="270"/>
      <c r="N246" s="270"/>
      <c r="O246" s="263"/>
      <c r="P246" s="263"/>
      <c r="Q246" s="270" t="str">
        <f aca="false">IF(AND(ISNUMBER(I246),ISNUMBER(S246)),I246*AJ246,IF(OR(I246&lt;&gt;"",S246&lt;&gt;""),"tbd",""))</f>
        <v/>
      </c>
      <c r="S246" s="268"/>
      <c r="Y246" s="275" t="str">
        <f aca="false">IF(ISNUMBER(I246),I246/Netto_Faktor,"")</f>
        <v/>
      </c>
      <c r="Z246" s="275" t="str">
        <f aca="false">IF(B246="","",IF(COUNT(J246:N246)=0,"",SUM(J246:N246)))</f>
        <v/>
      </c>
      <c r="AA246" s="266"/>
      <c r="AB246" s="266"/>
      <c r="AC246" s="266"/>
      <c r="AD246" s="266"/>
      <c r="AE246" s="266"/>
      <c r="AF246" s="266"/>
      <c r="AG246" s="267"/>
      <c r="AH246" s="266" t="str">
        <f aca="false">IF(B246="","",IF(BA246="",IF(R246="WON","✅ belegt &amp; vollständig","✔ vollständig"),LEFT(BA246,LEN(BA246)-3)))</f>
        <v/>
      </c>
      <c r="AJ246" s="268" t="n">
        <f aca="false">IF(ISNUMBER(S246),IFERROR(LOOKUP(IF(S246&lt;=1,S246,S246/100),'⚖️ Wahrscheinlichkeit'!$B$17:$B$21,'⚖️ Wahrscheinlichkeit'!$D$17:$D$21),0),0)</f>
        <v>0</v>
      </c>
      <c r="AK246" s="1" t="str">
        <f aca="false">IF(AND(R246="WON",ISNUMBER(I246)),AL246+(861-ROW())*0.000001,"")</f>
        <v/>
      </c>
      <c r="AL246" s="1" t="n">
        <f aca="false">IFERROR(I246*1,0)</f>
        <v>0</v>
      </c>
      <c r="AM246" s="1" t="n">
        <f aca="false">N(AM245)+IF(AND(R246="WON",B246&lt;&gt;""),1,0)</f>
        <v>12</v>
      </c>
      <c r="AN246" s="1" t="n">
        <f aca="false">N(AN245)+IF(AND(OR(R246="offered",R246="to be offered",R246="on hold"),B246&lt;&gt;""),1,0)</f>
        <v>33</v>
      </c>
      <c r="AO246" s="1" t="n">
        <f aca="false">N(AO245)+IF(AND(OR(R246="follow-up",R246="Evaluation",R246="tbd",R246="In evaluation"),B246&lt;&gt;""),1,0)</f>
        <v>1</v>
      </c>
      <c r="AP246" s="1" t="n">
        <f aca="false">IF(B246="",0,IF(COUNTIF('⚖️ Wahrscheinlichkeit'!$J$17:$J$24,R246)&gt;0,1,0))</f>
        <v>0</v>
      </c>
      <c r="AQ246" s="1" t="n">
        <f aca="false">IF(B246="",0,IF(AND(ISNUMBER(S246),COUNTIF('⚖️ Wahrscheinlichkeit'!$B$6:$B$11,S246)&gt;0),1,0))</f>
        <v>0</v>
      </c>
      <c r="AR246" s="1" t="n">
        <f aca="false">IF(B246="",0,IF(AND(COUNT(J246:M246)=4,SUM(J246:M246)&gt;0),1,0))</f>
        <v>0</v>
      </c>
      <c r="AS246" s="1" t="n">
        <f aca="false">IF(B246="",0,IF(AND(AF246&lt;&gt;"",AG246&lt;&gt;""),1,0))</f>
        <v>0</v>
      </c>
      <c r="AT246" s="1" t="n">
        <f aca="false">IF(AND(R246="WON",AS246=1,AR246=1),1,0)</f>
        <v>0</v>
      </c>
      <c r="AU246" s="1" t="n">
        <f aca="false">IF(B246="",0,IF(AD246="Alternative – zählt nicht",0,1))</f>
        <v>0</v>
      </c>
      <c r="AV246" s="1" t="n">
        <f aca="false">IF(B246="",0,IF(COUNTIF($B$6:$B$860,B246)&gt;1,1,0))</f>
        <v>0</v>
      </c>
      <c r="AX246" s="269" t="str">
        <f aca="false">IF(AY246=1,DATE(YEAR(O246),MONTH(O246),1),"")</f>
        <v/>
      </c>
      <c r="AY246" s="1" t="n">
        <f aca="false">IF(B246="",0,IF(AND(ISNUMBER(O246),ISNUMBER(P246)),IF(P246&gt;=O246,1,0),0))</f>
        <v>0</v>
      </c>
      <c r="AZ246" s="1" t="n">
        <f aca="false">IF(ISNUMBER(Y246),Y246,0)</f>
        <v>0</v>
      </c>
      <c r="BA246" s="1" t="str">
        <f aca="false">IF(B246="","",IF(AND(R246="WON",AS246=0),"⛔ Beleg fehlt · ","")&amp;IF(AND(R246="WON",AR246=0),"⛔ Einstand fehlt · ","")&amp;IF(AND(R246&lt;&gt;"WON",AR246=0),"○ Einstand offen · ","")&amp;IF(AND(R246="WON",AB246=""),"⛔ Vertragsart fehlt · ","")&amp;IF(AND(ISNUMBER(O246),ISNUMBER(P246)),IF(P246&lt;O246,"⚠ Ende vor Start · ",""),"")&amp;IF(AND(R246="WON",AY246=0,NOT(AND(ISNUMBER(O246),ISNUMBER(P246)))),"⛔ Zeitraum fehlt · ","")&amp;IF(AND(R246&lt;&gt;"WON",AY246=0,NOT(AND(ISNUMBER(O246),ISNUMBER(P246)))),"○ Zeitraum offen · ",""))</f>
        <v/>
      </c>
      <c r="BB246" s="1" t="str">
        <f aca="false">IF(B246="","",IF(AND(R246="WON",AS246=0),"⛔ Nachweis fehlt",IF(AND(ISNUMBER(O246),ISNUMBER(P246),P246&lt;O246),"⚠ Ende vor Start",IF(AND(R246="WON",AY246=0),"⛔ Zeitraum fehlt",IF(AR246=0,"○ Einstand offen",IF(AY246=0,"○ Zeitraum offen",IF(R246="WON","✅ belegt","✔ erfasst")))))))</f>
        <v/>
      </c>
    </row>
    <row r="247" customFormat="false" ht="15" hidden="false" customHeight="true" outlineLevel="0" collapsed="false">
      <c r="G247" s="1" t="str">
        <f aca="false">IF(B247="","",IF(AY247=1,P247-O247+1,IF(AW247="","",AW247)))</f>
        <v/>
      </c>
      <c r="I247" s="270"/>
      <c r="J247" s="270"/>
      <c r="K247" s="270"/>
      <c r="L247" s="270"/>
      <c r="M247" s="270"/>
      <c r="N247" s="270"/>
      <c r="O247" s="263"/>
      <c r="P247" s="263"/>
      <c r="Q247" s="270" t="str">
        <f aca="false">IF(AND(ISNUMBER(I247),ISNUMBER(S247)),I247*AJ247,IF(OR(I247&lt;&gt;"",S247&lt;&gt;""),"tbd",""))</f>
        <v/>
      </c>
      <c r="S247" s="268"/>
      <c r="Y247" s="275" t="str">
        <f aca="false">IF(ISNUMBER(I247),I247/Netto_Faktor,"")</f>
        <v/>
      </c>
      <c r="Z247" s="275" t="str">
        <f aca="false">IF(B247="","",IF(COUNT(J247:N247)=0,"",SUM(J247:N247)))</f>
        <v/>
      </c>
      <c r="AA247" s="266"/>
      <c r="AB247" s="266"/>
      <c r="AC247" s="266"/>
      <c r="AD247" s="266"/>
      <c r="AE247" s="266"/>
      <c r="AF247" s="266"/>
      <c r="AG247" s="267"/>
      <c r="AH247" s="266" t="str">
        <f aca="false">IF(B247="","",IF(BA247="",IF(R247="WON","✅ belegt &amp; vollständig","✔ vollständig"),LEFT(BA247,LEN(BA247)-3)))</f>
        <v/>
      </c>
      <c r="AJ247" s="268" t="n">
        <f aca="false">IF(ISNUMBER(S247),IFERROR(LOOKUP(IF(S247&lt;=1,S247,S247/100),'⚖️ Wahrscheinlichkeit'!$B$17:$B$21,'⚖️ Wahrscheinlichkeit'!$D$17:$D$21),0),0)</f>
        <v>0</v>
      </c>
      <c r="AK247" s="1" t="str">
        <f aca="false">IF(AND(R247="WON",ISNUMBER(I247)),AL247+(861-ROW())*0.000001,"")</f>
        <v/>
      </c>
      <c r="AL247" s="1" t="n">
        <f aca="false">IFERROR(I247*1,0)</f>
        <v>0</v>
      </c>
      <c r="AM247" s="1" t="n">
        <f aca="false">N(AM246)+IF(AND(R247="WON",B247&lt;&gt;""),1,0)</f>
        <v>12</v>
      </c>
      <c r="AN247" s="1" t="n">
        <f aca="false">N(AN246)+IF(AND(OR(R247="offered",R247="to be offered",R247="on hold"),B247&lt;&gt;""),1,0)</f>
        <v>33</v>
      </c>
      <c r="AO247" s="1" t="n">
        <f aca="false">N(AO246)+IF(AND(OR(R247="follow-up",R247="Evaluation",R247="tbd",R247="In evaluation"),B247&lt;&gt;""),1,0)</f>
        <v>1</v>
      </c>
      <c r="AP247" s="1" t="n">
        <f aca="false">IF(B247="",0,IF(COUNTIF('⚖️ Wahrscheinlichkeit'!$J$17:$J$24,R247)&gt;0,1,0))</f>
        <v>0</v>
      </c>
      <c r="AQ247" s="1" t="n">
        <f aca="false">IF(B247="",0,IF(AND(ISNUMBER(S247),COUNTIF('⚖️ Wahrscheinlichkeit'!$B$6:$B$11,S247)&gt;0),1,0))</f>
        <v>0</v>
      </c>
      <c r="AR247" s="1" t="n">
        <f aca="false">IF(B247="",0,IF(AND(COUNT(J247:M247)=4,SUM(J247:M247)&gt;0),1,0))</f>
        <v>0</v>
      </c>
      <c r="AS247" s="1" t="n">
        <f aca="false">IF(B247="",0,IF(AND(AF247&lt;&gt;"",AG247&lt;&gt;""),1,0))</f>
        <v>0</v>
      </c>
      <c r="AT247" s="1" t="n">
        <f aca="false">IF(AND(R247="WON",AS247=1,AR247=1),1,0)</f>
        <v>0</v>
      </c>
      <c r="AU247" s="1" t="n">
        <f aca="false">IF(B247="",0,IF(AD247="Alternative – zählt nicht",0,1))</f>
        <v>0</v>
      </c>
      <c r="AV247" s="1" t="n">
        <f aca="false">IF(B247="",0,IF(COUNTIF($B$6:$B$860,B247)&gt;1,1,0))</f>
        <v>0</v>
      </c>
      <c r="AX247" s="269" t="str">
        <f aca="false">IF(AY247=1,DATE(YEAR(O247),MONTH(O247),1),"")</f>
        <v/>
      </c>
      <c r="AY247" s="1" t="n">
        <f aca="false">IF(B247="",0,IF(AND(ISNUMBER(O247),ISNUMBER(P247)),IF(P247&gt;=O247,1,0),0))</f>
        <v>0</v>
      </c>
      <c r="AZ247" s="1" t="n">
        <f aca="false">IF(ISNUMBER(Y247),Y247,0)</f>
        <v>0</v>
      </c>
      <c r="BA247" s="1" t="str">
        <f aca="false">IF(B247="","",IF(AND(R247="WON",AS247=0),"⛔ Beleg fehlt · ","")&amp;IF(AND(R247="WON",AR247=0),"⛔ Einstand fehlt · ","")&amp;IF(AND(R247&lt;&gt;"WON",AR247=0),"○ Einstand offen · ","")&amp;IF(AND(R247="WON",AB247=""),"⛔ Vertragsart fehlt · ","")&amp;IF(AND(ISNUMBER(O247),ISNUMBER(P247)),IF(P247&lt;O247,"⚠ Ende vor Start · ",""),"")&amp;IF(AND(R247="WON",AY247=0,NOT(AND(ISNUMBER(O247),ISNUMBER(P247)))),"⛔ Zeitraum fehlt · ","")&amp;IF(AND(R247&lt;&gt;"WON",AY247=0,NOT(AND(ISNUMBER(O247),ISNUMBER(P247)))),"○ Zeitraum offen · ",""))</f>
        <v/>
      </c>
      <c r="BB247" s="1" t="str">
        <f aca="false">IF(B247="","",IF(AND(R247="WON",AS247=0),"⛔ Nachweis fehlt",IF(AND(ISNUMBER(O247),ISNUMBER(P247),P247&lt;O247),"⚠ Ende vor Start",IF(AND(R247="WON",AY247=0),"⛔ Zeitraum fehlt",IF(AR247=0,"○ Einstand offen",IF(AY247=0,"○ Zeitraum offen",IF(R247="WON","✅ belegt","✔ erfasst")))))))</f>
        <v/>
      </c>
    </row>
    <row r="248" customFormat="false" ht="15" hidden="false" customHeight="true" outlineLevel="0" collapsed="false">
      <c r="G248" s="1" t="str">
        <f aca="false">IF(B248="","",IF(AY248=1,P248-O248+1,IF(AW248="","",AW248)))</f>
        <v/>
      </c>
      <c r="I248" s="270"/>
      <c r="J248" s="270"/>
      <c r="K248" s="270"/>
      <c r="L248" s="270"/>
      <c r="M248" s="270"/>
      <c r="N248" s="270"/>
      <c r="O248" s="263"/>
      <c r="P248" s="263"/>
      <c r="Q248" s="270" t="str">
        <f aca="false">IF(AND(ISNUMBER(I248),ISNUMBER(S248)),I248*AJ248,IF(OR(I248&lt;&gt;"",S248&lt;&gt;""),"tbd",""))</f>
        <v/>
      </c>
      <c r="S248" s="268"/>
      <c r="Y248" s="275" t="str">
        <f aca="false">IF(ISNUMBER(I248),I248/Netto_Faktor,"")</f>
        <v/>
      </c>
      <c r="Z248" s="275" t="str">
        <f aca="false">IF(B248="","",IF(COUNT(J248:N248)=0,"",SUM(J248:N248)))</f>
        <v/>
      </c>
      <c r="AA248" s="266"/>
      <c r="AB248" s="266"/>
      <c r="AC248" s="266"/>
      <c r="AD248" s="266"/>
      <c r="AE248" s="266"/>
      <c r="AF248" s="266"/>
      <c r="AG248" s="267"/>
      <c r="AH248" s="266" t="str">
        <f aca="false">IF(B248="","",IF(BA248="",IF(R248="WON","✅ belegt &amp; vollständig","✔ vollständig"),LEFT(BA248,LEN(BA248)-3)))</f>
        <v/>
      </c>
      <c r="AJ248" s="268" t="n">
        <f aca="false">IF(ISNUMBER(S248),IFERROR(LOOKUP(IF(S248&lt;=1,S248,S248/100),'⚖️ Wahrscheinlichkeit'!$B$17:$B$21,'⚖️ Wahrscheinlichkeit'!$D$17:$D$21),0),0)</f>
        <v>0</v>
      </c>
      <c r="AK248" s="1" t="str">
        <f aca="false">IF(AND(R248="WON",ISNUMBER(I248)),AL248+(861-ROW())*0.000001,"")</f>
        <v/>
      </c>
      <c r="AL248" s="1" t="n">
        <f aca="false">IFERROR(I248*1,0)</f>
        <v>0</v>
      </c>
      <c r="AM248" s="1" t="n">
        <f aca="false">N(AM247)+IF(AND(R248="WON",B248&lt;&gt;""),1,0)</f>
        <v>12</v>
      </c>
      <c r="AN248" s="1" t="n">
        <f aca="false">N(AN247)+IF(AND(OR(R248="offered",R248="to be offered",R248="on hold"),B248&lt;&gt;""),1,0)</f>
        <v>33</v>
      </c>
      <c r="AO248" s="1" t="n">
        <f aca="false">N(AO247)+IF(AND(OR(R248="follow-up",R248="Evaluation",R248="tbd",R248="In evaluation"),B248&lt;&gt;""),1,0)</f>
        <v>1</v>
      </c>
      <c r="AP248" s="1" t="n">
        <f aca="false">IF(B248="",0,IF(COUNTIF('⚖️ Wahrscheinlichkeit'!$J$17:$J$24,R248)&gt;0,1,0))</f>
        <v>0</v>
      </c>
      <c r="AQ248" s="1" t="n">
        <f aca="false">IF(B248="",0,IF(AND(ISNUMBER(S248),COUNTIF('⚖️ Wahrscheinlichkeit'!$B$6:$B$11,S248)&gt;0),1,0))</f>
        <v>0</v>
      </c>
      <c r="AR248" s="1" t="n">
        <f aca="false">IF(B248="",0,IF(AND(COUNT(J248:M248)=4,SUM(J248:M248)&gt;0),1,0))</f>
        <v>0</v>
      </c>
      <c r="AS248" s="1" t="n">
        <f aca="false">IF(B248="",0,IF(AND(AF248&lt;&gt;"",AG248&lt;&gt;""),1,0))</f>
        <v>0</v>
      </c>
      <c r="AT248" s="1" t="n">
        <f aca="false">IF(AND(R248="WON",AS248=1,AR248=1),1,0)</f>
        <v>0</v>
      </c>
      <c r="AU248" s="1" t="n">
        <f aca="false">IF(B248="",0,IF(AD248="Alternative – zählt nicht",0,1))</f>
        <v>0</v>
      </c>
      <c r="AV248" s="1" t="n">
        <f aca="false">IF(B248="",0,IF(COUNTIF($B$6:$B$860,B248)&gt;1,1,0))</f>
        <v>0</v>
      </c>
      <c r="AX248" s="269" t="str">
        <f aca="false">IF(AY248=1,DATE(YEAR(O248),MONTH(O248),1),"")</f>
        <v/>
      </c>
      <c r="AY248" s="1" t="n">
        <f aca="false">IF(B248="",0,IF(AND(ISNUMBER(O248),ISNUMBER(P248)),IF(P248&gt;=O248,1,0),0))</f>
        <v>0</v>
      </c>
      <c r="AZ248" s="1" t="n">
        <f aca="false">IF(ISNUMBER(Y248),Y248,0)</f>
        <v>0</v>
      </c>
      <c r="BA248" s="1" t="str">
        <f aca="false">IF(B248="","",IF(AND(R248="WON",AS248=0),"⛔ Beleg fehlt · ","")&amp;IF(AND(R248="WON",AR248=0),"⛔ Einstand fehlt · ","")&amp;IF(AND(R248&lt;&gt;"WON",AR248=0),"○ Einstand offen · ","")&amp;IF(AND(R248="WON",AB248=""),"⛔ Vertragsart fehlt · ","")&amp;IF(AND(ISNUMBER(O248),ISNUMBER(P248)),IF(P248&lt;O248,"⚠ Ende vor Start · ",""),"")&amp;IF(AND(R248="WON",AY248=0,NOT(AND(ISNUMBER(O248),ISNUMBER(P248)))),"⛔ Zeitraum fehlt · ","")&amp;IF(AND(R248&lt;&gt;"WON",AY248=0,NOT(AND(ISNUMBER(O248),ISNUMBER(P248)))),"○ Zeitraum offen · ",""))</f>
        <v/>
      </c>
      <c r="BB248" s="1" t="str">
        <f aca="false">IF(B248="","",IF(AND(R248="WON",AS248=0),"⛔ Nachweis fehlt",IF(AND(ISNUMBER(O248),ISNUMBER(P248),P248&lt;O248),"⚠ Ende vor Start",IF(AND(R248="WON",AY248=0),"⛔ Zeitraum fehlt",IF(AR248=0,"○ Einstand offen",IF(AY248=0,"○ Zeitraum offen",IF(R248="WON","✅ belegt","✔ erfasst")))))))</f>
        <v/>
      </c>
    </row>
    <row r="249" customFormat="false" ht="15" hidden="false" customHeight="true" outlineLevel="0" collapsed="false">
      <c r="G249" s="1" t="str">
        <f aca="false">IF(B249="","",IF(AY249=1,P249-O249+1,IF(AW249="","",AW249)))</f>
        <v/>
      </c>
      <c r="I249" s="270"/>
      <c r="J249" s="270"/>
      <c r="K249" s="270"/>
      <c r="L249" s="270"/>
      <c r="M249" s="270"/>
      <c r="N249" s="270"/>
      <c r="O249" s="263"/>
      <c r="P249" s="263"/>
      <c r="Q249" s="270" t="str">
        <f aca="false">IF(AND(ISNUMBER(I249),ISNUMBER(S249)),I249*AJ249,IF(OR(I249&lt;&gt;"",S249&lt;&gt;""),"tbd",""))</f>
        <v/>
      </c>
      <c r="S249" s="268"/>
      <c r="Y249" s="275" t="str">
        <f aca="false">IF(ISNUMBER(I249),I249/Netto_Faktor,"")</f>
        <v/>
      </c>
      <c r="Z249" s="275" t="str">
        <f aca="false">IF(B249="","",IF(COUNT(J249:N249)=0,"",SUM(J249:N249)))</f>
        <v/>
      </c>
      <c r="AA249" s="266"/>
      <c r="AB249" s="266"/>
      <c r="AC249" s="266"/>
      <c r="AD249" s="266"/>
      <c r="AE249" s="266"/>
      <c r="AF249" s="266"/>
      <c r="AG249" s="267"/>
      <c r="AH249" s="266" t="str">
        <f aca="false">IF(B249="","",IF(BA249="",IF(R249="WON","✅ belegt &amp; vollständig","✔ vollständig"),LEFT(BA249,LEN(BA249)-3)))</f>
        <v/>
      </c>
      <c r="AJ249" s="268" t="n">
        <f aca="false">IF(ISNUMBER(S249),IFERROR(LOOKUP(IF(S249&lt;=1,S249,S249/100),'⚖️ Wahrscheinlichkeit'!$B$17:$B$21,'⚖️ Wahrscheinlichkeit'!$D$17:$D$21),0),0)</f>
        <v>0</v>
      </c>
      <c r="AK249" s="1" t="str">
        <f aca="false">IF(AND(R249="WON",ISNUMBER(I249)),AL249+(861-ROW())*0.000001,"")</f>
        <v/>
      </c>
      <c r="AL249" s="1" t="n">
        <f aca="false">IFERROR(I249*1,0)</f>
        <v>0</v>
      </c>
      <c r="AM249" s="1" t="n">
        <f aca="false">N(AM248)+IF(AND(R249="WON",B249&lt;&gt;""),1,0)</f>
        <v>12</v>
      </c>
      <c r="AN249" s="1" t="n">
        <f aca="false">N(AN248)+IF(AND(OR(R249="offered",R249="to be offered",R249="on hold"),B249&lt;&gt;""),1,0)</f>
        <v>33</v>
      </c>
      <c r="AO249" s="1" t="n">
        <f aca="false">N(AO248)+IF(AND(OR(R249="follow-up",R249="Evaluation",R249="tbd",R249="In evaluation"),B249&lt;&gt;""),1,0)</f>
        <v>1</v>
      </c>
      <c r="AP249" s="1" t="n">
        <f aca="false">IF(B249="",0,IF(COUNTIF('⚖️ Wahrscheinlichkeit'!$J$17:$J$24,R249)&gt;0,1,0))</f>
        <v>0</v>
      </c>
      <c r="AQ249" s="1" t="n">
        <f aca="false">IF(B249="",0,IF(AND(ISNUMBER(S249),COUNTIF('⚖️ Wahrscheinlichkeit'!$B$6:$B$11,S249)&gt;0),1,0))</f>
        <v>0</v>
      </c>
      <c r="AR249" s="1" t="n">
        <f aca="false">IF(B249="",0,IF(AND(COUNT(J249:M249)=4,SUM(J249:M249)&gt;0),1,0))</f>
        <v>0</v>
      </c>
      <c r="AS249" s="1" t="n">
        <f aca="false">IF(B249="",0,IF(AND(AF249&lt;&gt;"",AG249&lt;&gt;""),1,0))</f>
        <v>0</v>
      </c>
      <c r="AT249" s="1" t="n">
        <f aca="false">IF(AND(R249="WON",AS249=1,AR249=1),1,0)</f>
        <v>0</v>
      </c>
      <c r="AU249" s="1" t="n">
        <f aca="false">IF(B249="",0,IF(AD249="Alternative – zählt nicht",0,1))</f>
        <v>0</v>
      </c>
      <c r="AV249" s="1" t="n">
        <f aca="false">IF(B249="",0,IF(COUNTIF($B$6:$B$860,B249)&gt;1,1,0))</f>
        <v>0</v>
      </c>
      <c r="AX249" s="269" t="str">
        <f aca="false">IF(AY249=1,DATE(YEAR(O249),MONTH(O249),1),"")</f>
        <v/>
      </c>
      <c r="AY249" s="1" t="n">
        <f aca="false">IF(B249="",0,IF(AND(ISNUMBER(O249),ISNUMBER(P249)),IF(P249&gt;=O249,1,0),0))</f>
        <v>0</v>
      </c>
      <c r="AZ249" s="1" t="n">
        <f aca="false">IF(ISNUMBER(Y249),Y249,0)</f>
        <v>0</v>
      </c>
      <c r="BA249" s="1" t="str">
        <f aca="false">IF(B249="","",IF(AND(R249="WON",AS249=0),"⛔ Beleg fehlt · ","")&amp;IF(AND(R249="WON",AR249=0),"⛔ Einstand fehlt · ","")&amp;IF(AND(R249&lt;&gt;"WON",AR249=0),"○ Einstand offen · ","")&amp;IF(AND(R249="WON",AB249=""),"⛔ Vertragsart fehlt · ","")&amp;IF(AND(ISNUMBER(O249),ISNUMBER(P249)),IF(P249&lt;O249,"⚠ Ende vor Start · ",""),"")&amp;IF(AND(R249="WON",AY249=0,NOT(AND(ISNUMBER(O249),ISNUMBER(P249)))),"⛔ Zeitraum fehlt · ","")&amp;IF(AND(R249&lt;&gt;"WON",AY249=0,NOT(AND(ISNUMBER(O249),ISNUMBER(P249)))),"○ Zeitraum offen · ",""))</f>
        <v/>
      </c>
      <c r="BB249" s="1" t="str">
        <f aca="false">IF(B249="","",IF(AND(R249="WON",AS249=0),"⛔ Nachweis fehlt",IF(AND(ISNUMBER(O249),ISNUMBER(P249),P249&lt;O249),"⚠ Ende vor Start",IF(AND(R249="WON",AY249=0),"⛔ Zeitraum fehlt",IF(AR249=0,"○ Einstand offen",IF(AY249=0,"○ Zeitraum offen",IF(R249="WON","✅ belegt","✔ erfasst")))))))</f>
        <v/>
      </c>
    </row>
    <row r="250" customFormat="false" ht="15" hidden="false" customHeight="true" outlineLevel="0" collapsed="false">
      <c r="G250" s="1" t="str">
        <f aca="false">IF(B250="","",IF(AY250=1,P250-O250+1,IF(AW250="","",AW250)))</f>
        <v/>
      </c>
      <c r="I250" s="270"/>
      <c r="J250" s="270"/>
      <c r="K250" s="270"/>
      <c r="L250" s="270"/>
      <c r="M250" s="270"/>
      <c r="N250" s="270"/>
      <c r="O250" s="263"/>
      <c r="P250" s="263"/>
      <c r="Q250" s="270" t="str">
        <f aca="false">IF(AND(ISNUMBER(I250),ISNUMBER(S250)),I250*AJ250,IF(OR(I250&lt;&gt;"",S250&lt;&gt;""),"tbd",""))</f>
        <v/>
      </c>
      <c r="S250" s="268"/>
      <c r="Y250" s="275" t="str">
        <f aca="false">IF(ISNUMBER(I250),I250/Netto_Faktor,"")</f>
        <v/>
      </c>
      <c r="Z250" s="275" t="str">
        <f aca="false">IF(B250="","",IF(COUNT(J250:N250)=0,"",SUM(J250:N250)))</f>
        <v/>
      </c>
      <c r="AA250" s="266"/>
      <c r="AB250" s="266"/>
      <c r="AC250" s="266"/>
      <c r="AD250" s="266"/>
      <c r="AE250" s="266"/>
      <c r="AF250" s="266"/>
      <c r="AG250" s="267"/>
      <c r="AH250" s="266" t="str">
        <f aca="false">IF(B250="","",IF(BA250="",IF(R250="WON","✅ belegt &amp; vollständig","✔ vollständig"),LEFT(BA250,LEN(BA250)-3)))</f>
        <v/>
      </c>
      <c r="AJ250" s="268" t="n">
        <f aca="false">IF(ISNUMBER(S250),IFERROR(LOOKUP(IF(S250&lt;=1,S250,S250/100),'⚖️ Wahrscheinlichkeit'!$B$17:$B$21,'⚖️ Wahrscheinlichkeit'!$D$17:$D$21),0),0)</f>
        <v>0</v>
      </c>
      <c r="AK250" s="1" t="str">
        <f aca="false">IF(AND(R250="WON",ISNUMBER(I250)),AL250+(861-ROW())*0.000001,"")</f>
        <v/>
      </c>
      <c r="AL250" s="1" t="n">
        <f aca="false">IFERROR(I250*1,0)</f>
        <v>0</v>
      </c>
      <c r="AM250" s="1" t="n">
        <f aca="false">N(AM249)+IF(AND(R250="WON",B250&lt;&gt;""),1,0)</f>
        <v>12</v>
      </c>
      <c r="AN250" s="1" t="n">
        <f aca="false">N(AN249)+IF(AND(OR(R250="offered",R250="to be offered",R250="on hold"),B250&lt;&gt;""),1,0)</f>
        <v>33</v>
      </c>
      <c r="AO250" s="1" t="n">
        <f aca="false">N(AO249)+IF(AND(OR(R250="follow-up",R250="Evaluation",R250="tbd",R250="In evaluation"),B250&lt;&gt;""),1,0)</f>
        <v>1</v>
      </c>
      <c r="AP250" s="1" t="n">
        <f aca="false">IF(B250="",0,IF(COUNTIF('⚖️ Wahrscheinlichkeit'!$J$17:$J$24,R250)&gt;0,1,0))</f>
        <v>0</v>
      </c>
      <c r="AQ250" s="1" t="n">
        <f aca="false">IF(B250="",0,IF(AND(ISNUMBER(S250),COUNTIF('⚖️ Wahrscheinlichkeit'!$B$6:$B$11,S250)&gt;0),1,0))</f>
        <v>0</v>
      </c>
      <c r="AR250" s="1" t="n">
        <f aca="false">IF(B250="",0,IF(AND(COUNT(J250:M250)=4,SUM(J250:M250)&gt;0),1,0))</f>
        <v>0</v>
      </c>
      <c r="AS250" s="1" t="n">
        <f aca="false">IF(B250="",0,IF(AND(AF250&lt;&gt;"",AG250&lt;&gt;""),1,0))</f>
        <v>0</v>
      </c>
      <c r="AT250" s="1" t="n">
        <f aca="false">IF(AND(R250="WON",AS250=1,AR250=1),1,0)</f>
        <v>0</v>
      </c>
      <c r="AU250" s="1" t="n">
        <f aca="false">IF(B250="",0,IF(AD250="Alternative – zählt nicht",0,1))</f>
        <v>0</v>
      </c>
      <c r="AV250" s="1" t="n">
        <f aca="false">IF(B250="",0,IF(COUNTIF($B$6:$B$860,B250)&gt;1,1,0))</f>
        <v>0</v>
      </c>
      <c r="AX250" s="269" t="str">
        <f aca="false">IF(AY250=1,DATE(YEAR(O250),MONTH(O250),1),"")</f>
        <v/>
      </c>
      <c r="AY250" s="1" t="n">
        <f aca="false">IF(B250="",0,IF(AND(ISNUMBER(O250),ISNUMBER(P250)),IF(P250&gt;=O250,1,0),0))</f>
        <v>0</v>
      </c>
      <c r="AZ250" s="1" t="n">
        <f aca="false">IF(ISNUMBER(Y250),Y250,0)</f>
        <v>0</v>
      </c>
      <c r="BA250" s="1" t="str">
        <f aca="false">IF(B250="","",IF(AND(R250="WON",AS250=0),"⛔ Beleg fehlt · ","")&amp;IF(AND(R250="WON",AR250=0),"⛔ Einstand fehlt · ","")&amp;IF(AND(R250&lt;&gt;"WON",AR250=0),"○ Einstand offen · ","")&amp;IF(AND(R250="WON",AB250=""),"⛔ Vertragsart fehlt · ","")&amp;IF(AND(ISNUMBER(O250),ISNUMBER(P250)),IF(P250&lt;O250,"⚠ Ende vor Start · ",""),"")&amp;IF(AND(R250="WON",AY250=0,NOT(AND(ISNUMBER(O250),ISNUMBER(P250)))),"⛔ Zeitraum fehlt · ","")&amp;IF(AND(R250&lt;&gt;"WON",AY250=0,NOT(AND(ISNUMBER(O250),ISNUMBER(P250)))),"○ Zeitraum offen · ",""))</f>
        <v/>
      </c>
      <c r="BB250" s="1" t="str">
        <f aca="false">IF(B250="","",IF(AND(R250="WON",AS250=0),"⛔ Nachweis fehlt",IF(AND(ISNUMBER(O250),ISNUMBER(P250),P250&lt;O250),"⚠ Ende vor Start",IF(AND(R250="WON",AY250=0),"⛔ Zeitraum fehlt",IF(AR250=0,"○ Einstand offen",IF(AY250=0,"○ Zeitraum offen",IF(R250="WON","✅ belegt","✔ erfasst")))))))</f>
        <v/>
      </c>
    </row>
    <row r="251" customFormat="false" ht="15" hidden="false" customHeight="true" outlineLevel="0" collapsed="false">
      <c r="G251" s="1" t="str">
        <f aca="false">IF(B251="","",IF(AY251=1,P251-O251+1,IF(AW251="","",AW251)))</f>
        <v/>
      </c>
      <c r="I251" s="270"/>
      <c r="J251" s="270"/>
      <c r="K251" s="270"/>
      <c r="L251" s="270"/>
      <c r="M251" s="270"/>
      <c r="N251" s="270"/>
      <c r="O251" s="263"/>
      <c r="P251" s="263"/>
      <c r="Q251" s="270" t="str">
        <f aca="false">IF(AND(ISNUMBER(I251),ISNUMBER(S251)),I251*AJ251,IF(OR(I251&lt;&gt;"",S251&lt;&gt;""),"tbd",""))</f>
        <v/>
      </c>
      <c r="S251" s="268"/>
      <c r="Y251" s="275" t="str">
        <f aca="false">IF(ISNUMBER(I251),I251/Netto_Faktor,"")</f>
        <v/>
      </c>
      <c r="Z251" s="275" t="str">
        <f aca="false">IF(B251="","",IF(COUNT(J251:N251)=0,"",SUM(J251:N251)))</f>
        <v/>
      </c>
      <c r="AA251" s="266"/>
      <c r="AB251" s="266"/>
      <c r="AC251" s="266"/>
      <c r="AD251" s="266"/>
      <c r="AE251" s="266"/>
      <c r="AF251" s="266"/>
      <c r="AG251" s="267"/>
      <c r="AH251" s="266" t="str">
        <f aca="false">IF(B251="","",IF(BA251="",IF(R251="WON","✅ belegt &amp; vollständig","✔ vollständig"),LEFT(BA251,LEN(BA251)-3)))</f>
        <v/>
      </c>
      <c r="AJ251" s="268" t="n">
        <f aca="false">IF(ISNUMBER(S251),IFERROR(LOOKUP(IF(S251&lt;=1,S251,S251/100),'⚖️ Wahrscheinlichkeit'!$B$17:$B$21,'⚖️ Wahrscheinlichkeit'!$D$17:$D$21),0),0)</f>
        <v>0</v>
      </c>
      <c r="AK251" s="1" t="str">
        <f aca="false">IF(AND(R251="WON",ISNUMBER(I251)),AL251+(861-ROW())*0.000001,"")</f>
        <v/>
      </c>
      <c r="AL251" s="1" t="n">
        <f aca="false">IFERROR(I251*1,0)</f>
        <v>0</v>
      </c>
      <c r="AM251" s="1" t="n">
        <f aca="false">N(AM250)+IF(AND(R251="WON",B251&lt;&gt;""),1,0)</f>
        <v>12</v>
      </c>
      <c r="AN251" s="1" t="n">
        <f aca="false">N(AN250)+IF(AND(OR(R251="offered",R251="to be offered",R251="on hold"),B251&lt;&gt;""),1,0)</f>
        <v>33</v>
      </c>
      <c r="AO251" s="1" t="n">
        <f aca="false">N(AO250)+IF(AND(OR(R251="follow-up",R251="Evaluation",R251="tbd",R251="In evaluation"),B251&lt;&gt;""),1,0)</f>
        <v>1</v>
      </c>
      <c r="AP251" s="1" t="n">
        <f aca="false">IF(B251="",0,IF(COUNTIF('⚖️ Wahrscheinlichkeit'!$J$17:$J$24,R251)&gt;0,1,0))</f>
        <v>0</v>
      </c>
      <c r="AQ251" s="1" t="n">
        <f aca="false">IF(B251="",0,IF(AND(ISNUMBER(S251),COUNTIF('⚖️ Wahrscheinlichkeit'!$B$6:$B$11,S251)&gt;0),1,0))</f>
        <v>0</v>
      </c>
      <c r="AR251" s="1" t="n">
        <f aca="false">IF(B251="",0,IF(AND(COUNT(J251:M251)=4,SUM(J251:M251)&gt;0),1,0))</f>
        <v>0</v>
      </c>
      <c r="AS251" s="1" t="n">
        <f aca="false">IF(B251="",0,IF(AND(AF251&lt;&gt;"",AG251&lt;&gt;""),1,0))</f>
        <v>0</v>
      </c>
      <c r="AT251" s="1" t="n">
        <f aca="false">IF(AND(R251="WON",AS251=1,AR251=1),1,0)</f>
        <v>0</v>
      </c>
      <c r="AU251" s="1" t="n">
        <f aca="false">IF(B251="",0,IF(AD251="Alternative – zählt nicht",0,1))</f>
        <v>0</v>
      </c>
      <c r="AV251" s="1" t="n">
        <f aca="false">IF(B251="",0,IF(COUNTIF($B$6:$B$860,B251)&gt;1,1,0))</f>
        <v>0</v>
      </c>
      <c r="AX251" s="269" t="str">
        <f aca="false">IF(AY251=1,DATE(YEAR(O251),MONTH(O251),1),"")</f>
        <v/>
      </c>
      <c r="AY251" s="1" t="n">
        <f aca="false">IF(B251="",0,IF(AND(ISNUMBER(O251),ISNUMBER(P251)),IF(P251&gt;=O251,1,0),0))</f>
        <v>0</v>
      </c>
      <c r="AZ251" s="1" t="n">
        <f aca="false">IF(ISNUMBER(Y251),Y251,0)</f>
        <v>0</v>
      </c>
      <c r="BA251" s="1" t="str">
        <f aca="false">IF(B251="","",IF(AND(R251="WON",AS251=0),"⛔ Beleg fehlt · ","")&amp;IF(AND(R251="WON",AR251=0),"⛔ Einstand fehlt · ","")&amp;IF(AND(R251&lt;&gt;"WON",AR251=0),"○ Einstand offen · ","")&amp;IF(AND(R251="WON",AB251=""),"⛔ Vertragsart fehlt · ","")&amp;IF(AND(ISNUMBER(O251),ISNUMBER(P251)),IF(P251&lt;O251,"⚠ Ende vor Start · ",""),"")&amp;IF(AND(R251="WON",AY251=0,NOT(AND(ISNUMBER(O251),ISNUMBER(P251)))),"⛔ Zeitraum fehlt · ","")&amp;IF(AND(R251&lt;&gt;"WON",AY251=0,NOT(AND(ISNUMBER(O251),ISNUMBER(P251)))),"○ Zeitraum offen · ",""))</f>
        <v/>
      </c>
      <c r="BB251" s="1" t="str">
        <f aca="false">IF(B251="","",IF(AND(R251="WON",AS251=0),"⛔ Nachweis fehlt",IF(AND(ISNUMBER(O251),ISNUMBER(P251),P251&lt;O251),"⚠ Ende vor Start",IF(AND(R251="WON",AY251=0),"⛔ Zeitraum fehlt",IF(AR251=0,"○ Einstand offen",IF(AY251=0,"○ Zeitraum offen",IF(R251="WON","✅ belegt","✔ erfasst")))))))</f>
        <v/>
      </c>
    </row>
    <row r="252" customFormat="false" ht="15" hidden="false" customHeight="true" outlineLevel="0" collapsed="false">
      <c r="G252" s="1" t="str">
        <f aca="false">IF(B252="","",IF(AY252=1,P252-O252+1,IF(AW252="","",AW252)))</f>
        <v/>
      </c>
      <c r="I252" s="270"/>
      <c r="J252" s="270"/>
      <c r="K252" s="270"/>
      <c r="L252" s="270"/>
      <c r="M252" s="270"/>
      <c r="N252" s="270"/>
      <c r="O252" s="263"/>
      <c r="P252" s="263"/>
      <c r="Q252" s="270" t="str">
        <f aca="false">IF(AND(ISNUMBER(I252),ISNUMBER(S252)),I252*AJ252,IF(OR(I252&lt;&gt;"",S252&lt;&gt;""),"tbd",""))</f>
        <v/>
      </c>
      <c r="S252" s="268"/>
      <c r="Y252" s="275" t="str">
        <f aca="false">IF(ISNUMBER(I252),I252/Netto_Faktor,"")</f>
        <v/>
      </c>
      <c r="Z252" s="275" t="str">
        <f aca="false">IF(B252="","",IF(COUNT(J252:N252)=0,"",SUM(J252:N252)))</f>
        <v/>
      </c>
      <c r="AA252" s="266"/>
      <c r="AB252" s="266"/>
      <c r="AC252" s="266"/>
      <c r="AD252" s="266"/>
      <c r="AE252" s="266"/>
      <c r="AF252" s="266"/>
      <c r="AG252" s="267"/>
      <c r="AH252" s="266" t="str">
        <f aca="false">IF(B252="","",IF(BA252="",IF(R252="WON","✅ belegt &amp; vollständig","✔ vollständig"),LEFT(BA252,LEN(BA252)-3)))</f>
        <v/>
      </c>
      <c r="AJ252" s="268" t="n">
        <f aca="false">IF(ISNUMBER(S252),IFERROR(LOOKUP(IF(S252&lt;=1,S252,S252/100),'⚖️ Wahrscheinlichkeit'!$B$17:$B$21,'⚖️ Wahrscheinlichkeit'!$D$17:$D$21),0),0)</f>
        <v>0</v>
      </c>
      <c r="AK252" s="1" t="str">
        <f aca="false">IF(AND(R252="WON",ISNUMBER(I252)),AL252+(861-ROW())*0.000001,"")</f>
        <v/>
      </c>
      <c r="AL252" s="1" t="n">
        <f aca="false">IFERROR(I252*1,0)</f>
        <v>0</v>
      </c>
      <c r="AM252" s="1" t="n">
        <f aca="false">N(AM251)+IF(AND(R252="WON",B252&lt;&gt;""),1,0)</f>
        <v>12</v>
      </c>
      <c r="AN252" s="1" t="n">
        <f aca="false">N(AN251)+IF(AND(OR(R252="offered",R252="to be offered",R252="on hold"),B252&lt;&gt;""),1,0)</f>
        <v>33</v>
      </c>
      <c r="AO252" s="1" t="n">
        <f aca="false">N(AO251)+IF(AND(OR(R252="follow-up",R252="Evaluation",R252="tbd",R252="In evaluation"),B252&lt;&gt;""),1,0)</f>
        <v>1</v>
      </c>
      <c r="AP252" s="1" t="n">
        <f aca="false">IF(B252="",0,IF(COUNTIF('⚖️ Wahrscheinlichkeit'!$J$17:$J$24,R252)&gt;0,1,0))</f>
        <v>0</v>
      </c>
      <c r="AQ252" s="1" t="n">
        <f aca="false">IF(B252="",0,IF(AND(ISNUMBER(S252),COUNTIF('⚖️ Wahrscheinlichkeit'!$B$6:$B$11,S252)&gt;0),1,0))</f>
        <v>0</v>
      </c>
      <c r="AR252" s="1" t="n">
        <f aca="false">IF(B252="",0,IF(AND(COUNT(J252:M252)=4,SUM(J252:M252)&gt;0),1,0))</f>
        <v>0</v>
      </c>
      <c r="AS252" s="1" t="n">
        <f aca="false">IF(B252="",0,IF(AND(AF252&lt;&gt;"",AG252&lt;&gt;""),1,0))</f>
        <v>0</v>
      </c>
      <c r="AT252" s="1" t="n">
        <f aca="false">IF(AND(R252="WON",AS252=1,AR252=1),1,0)</f>
        <v>0</v>
      </c>
      <c r="AU252" s="1" t="n">
        <f aca="false">IF(B252="",0,IF(AD252="Alternative – zählt nicht",0,1))</f>
        <v>0</v>
      </c>
      <c r="AV252" s="1" t="n">
        <f aca="false">IF(B252="",0,IF(COUNTIF($B$6:$B$860,B252)&gt;1,1,0))</f>
        <v>0</v>
      </c>
      <c r="AX252" s="269" t="str">
        <f aca="false">IF(AY252=1,DATE(YEAR(O252),MONTH(O252),1),"")</f>
        <v/>
      </c>
      <c r="AY252" s="1" t="n">
        <f aca="false">IF(B252="",0,IF(AND(ISNUMBER(O252),ISNUMBER(P252)),IF(P252&gt;=O252,1,0),0))</f>
        <v>0</v>
      </c>
      <c r="AZ252" s="1" t="n">
        <f aca="false">IF(ISNUMBER(Y252),Y252,0)</f>
        <v>0</v>
      </c>
      <c r="BA252" s="1" t="str">
        <f aca="false">IF(B252="","",IF(AND(R252="WON",AS252=0),"⛔ Beleg fehlt · ","")&amp;IF(AND(R252="WON",AR252=0),"⛔ Einstand fehlt · ","")&amp;IF(AND(R252&lt;&gt;"WON",AR252=0),"○ Einstand offen · ","")&amp;IF(AND(R252="WON",AB252=""),"⛔ Vertragsart fehlt · ","")&amp;IF(AND(ISNUMBER(O252),ISNUMBER(P252)),IF(P252&lt;O252,"⚠ Ende vor Start · ",""),"")&amp;IF(AND(R252="WON",AY252=0,NOT(AND(ISNUMBER(O252),ISNUMBER(P252)))),"⛔ Zeitraum fehlt · ","")&amp;IF(AND(R252&lt;&gt;"WON",AY252=0,NOT(AND(ISNUMBER(O252),ISNUMBER(P252)))),"○ Zeitraum offen · ",""))</f>
        <v/>
      </c>
      <c r="BB252" s="1" t="str">
        <f aca="false">IF(B252="","",IF(AND(R252="WON",AS252=0),"⛔ Nachweis fehlt",IF(AND(ISNUMBER(O252),ISNUMBER(P252),P252&lt;O252),"⚠ Ende vor Start",IF(AND(R252="WON",AY252=0),"⛔ Zeitraum fehlt",IF(AR252=0,"○ Einstand offen",IF(AY252=0,"○ Zeitraum offen",IF(R252="WON","✅ belegt","✔ erfasst")))))))</f>
        <v/>
      </c>
    </row>
    <row r="253" customFormat="false" ht="15" hidden="false" customHeight="true" outlineLevel="0" collapsed="false">
      <c r="G253" s="1" t="str">
        <f aca="false">IF(B253="","",IF(AY253=1,P253-O253+1,IF(AW253="","",AW253)))</f>
        <v/>
      </c>
      <c r="I253" s="270"/>
      <c r="J253" s="270"/>
      <c r="K253" s="270"/>
      <c r="L253" s="270"/>
      <c r="M253" s="270"/>
      <c r="N253" s="270"/>
      <c r="O253" s="263"/>
      <c r="P253" s="263"/>
      <c r="Q253" s="270" t="str">
        <f aca="false">IF(AND(ISNUMBER(I253),ISNUMBER(S253)),I253*AJ253,IF(OR(I253&lt;&gt;"",S253&lt;&gt;""),"tbd",""))</f>
        <v/>
      </c>
      <c r="S253" s="268"/>
      <c r="Y253" s="275" t="str">
        <f aca="false">IF(ISNUMBER(I253),I253/Netto_Faktor,"")</f>
        <v/>
      </c>
      <c r="Z253" s="275" t="str">
        <f aca="false">IF(B253="","",IF(COUNT(J253:N253)=0,"",SUM(J253:N253)))</f>
        <v/>
      </c>
      <c r="AA253" s="266"/>
      <c r="AB253" s="266"/>
      <c r="AC253" s="266"/>
      <c r="AD253" s="266"/>
      <c r="AE253" s="266"/>
      <c r="AF253" s="266"/>
      <c r="AG253" s="267"/>
      <c r="AH253" s="266" t="str">
        <f aca="false">IF(B253="","",IF(BA253="",IF(R253="WON","✅ belegt &amp; vollständig","✔ vollständig"),LEFT(BA253,LEN(BA253)-3)))</f>
        <v/>
      </c>
      <c r="AJ253" s="268" t="n">
        <f aca="false">IF(ISNUMBER(S253),IFERROR(LOOKUP(IF(S253&lt;=1,S253,S253/100),'⚖️ Wahrscheinlichkeit'!$B$17:$B$21,'⚖️ Wahrscheinlichkeit'!$D$17:$D$21),0),0)</f>
        <v>0</v>
      </c>
      <c r="AK253" s="1" t="str">
        <f aca="false">IF(AND(R253="WON",ISNUMBER(I253)),AL253+(861-ROW())*0.000001,"")</f>
        <v/>
      </c>
      <c r="AL253" s="1" t="n">
        <f aca="false">IFERROR(I253*1,0)</f>
        <v>0</v>
      </c>
      <c r="AM253" s="1" t="n">
        <f aca="false">N(AM252)+IF(AND(R253="WON",B253&lt;&gt;""),1,0)</f>
        <v>12</v>
      </c>
      <c r="AN253" s="1" t="n">
        <f aca="false">N(AN252)+IF(AND(OR(R253="offered",R253="to be offered",R253="on hold"),B253&lt;&gt;""),1,0)</f>
        <v>33</v>
      </c>
      <c r="AO253" s="1" t="n">
        <f aca="false">N(AO252)+IF(AND(OR(R253="follow-up",R253="Evaluation",R253="tbd",R253="In evaluation"),B253&lt;&gt;""),1,0)</f>
        <v>1</v>
      </c>
      <c r="AP253" s="1" t="n">
        <f aca="false">IF(B253="",0,IF(COUNTIF('⚖️ Wahrscheinlichkeit'!$J$17:$J$24,R253)&gt;0,1,0))</f>
        <v>0</v>
      </c>
      <c r="AQ253" s="1" t="n">
        <f aca="false">IF(B253="",0,IF(AND(ISNUMBER(S253),COUNTIF('⚖️ Wahrscheinlichkeit'!$B$6:$B$11,S253)&gt;0),1,0))</f>
        <v>0</v>
      </c>
      <c r="AR253" s="1" t="n">
        <f aca="false">IF(B253="",0,IF(AND(COUNT(J253:M253)=4,SUM(J253:M253)&gt;0),1,0))</f>
        <v>0</v>
      </c>
      <c r="AS253" s="1" t="n">
        <f aca="false">IF(B253="",0,IF(AND(AF253&lt;&gt;"",AG253&lt;&gt;""),1,0))</f>
        <v>0</v>
      </c>
      <c r="AT253" s="1" t="n">
        <f aca="false">IF(AND(R253="WON",AS253=1,AR253=1),1,0)</f>
        <v>0</v>
      </c>
      <c r="AU253" s="1" t="n">
        <f aca="false">IF(B253="",0,IF(AD253="Alternative – zählt nicht",0,1))</f>
        <v>0</v>
      </c>
      <c r="AV253" s="1" t="n">
        <f aca="false">IF(B253="",0,IF(COUNTIF($B$6:$B$860,B253)&gt;1,1,0))</f>
        <v>0</v>
      </c>
      <c r="AX253" s="269" t="str">
        <f aca="false">IF(AY253=1,DATE(YEAR(O253),MONTH(O253),1),"")</f>
        <v/>
      </c>
      <c r="AY253" s="1" t="n">
        <f aca="false">IF(B253="",0,IF(AND(ISNUMBER(O253),ISNUMBER(P253)),IF(P253&gt;=O253,1,0),0))</f>
        <v>0</v>
      </c>
      <c r="AZ253" s="1" t="n">
        <f aca="false">IF(ISNUMBER(Y253),Y253,0)</f>
        <v>0</v>
      </c>
      <c r="BA253" s="1" t="str">
        <f aca="false">IF(B253="","",IF(AND(R253="WON",AS253=0),"⛔ Beleg fehlt · ","")&amp;IF(AND(R253="WON",AR253=0),"⛔ Einstand fehlt · ","")&amp;IF(AND(R253&lt;&gt;"WON",AR253=0),"○ Einstand offen · ","")&amp;IF(AND(R253="WON",AB253=""),"⛔ Vertragsart fehlt · ","")&amp;IF(AND(ISNUMBER(O253),ISNUMBER(P253)),IF(P253&lt;O253,"⚠ Ende vor Start · ",""),"")&amp;IF(AND(R253="WON",AY253=0,NOT(AND(ISNUMBER(O253),ISNUMBER(P253)))),"⛔ Zeitraum fehlt · ","")&amp;IF(AND(R253&lt;&gt;"WON",AY253=0,NOT(AND(ISNUMBER(O253),ISNUMBER(P253)))),"○ Zeitraum offen · ",""))</f>
        <v/>
      </c>
      <c r="BB253" s="1" t="str">
        <f aca="false">IF(B253="","",IF(AND(R253="WON",AS253=0),"⛔ Nachweis fehlt",IF(AND(ISNUMBER(O253),ISNUMBER(P253),P253&lt;O253),"⚠ Ende vor Start",IF(AND(R253="WON",AY253=0),"⛔ Zeitraum fehlt",IF(AR253=0,"○ Einstand offen",IF(AY253=0,"○ Zeitraum offen",IF(R253="WON","✅ belegt","✔ erfasst")))))))</f>
        <v/>
      </c>
    </row>
    <row r="254" customFormat="false" ht="15" hidden="false" customHeight="true" outlineLevel="0" collapsed="false">
      <c r="G254" s="1" t="str">
        <f aca="false">IF(B254="","",IF(AY254=1,P254-O254+1,IF(AW254="","",AW254)))</f>
        <v/>
      </c>
      <c r="I254" s="270"/>
      <c r="J254" s="270"/>
      <c r="K254" s="270"/>
      <c r="L254" s="270"/>
      <c r="M254" s="270"/>
      <c r="N254" s="270"/>
      <c r="O254" s="263"/>
      <c r="P254" s="263"/>
      <c r="Q254" s="270" t="str">
        <f aca="false">IF(AND(ISNUMBER(I254),ISNUMBER(S254)),I254*AJ254,IF(OR(I254&lt;&gt;"",S254&lt;&gt;""),"tbd",""))</f>
        <v/>
      </c>
      <c r="S254" s="268"/>
      <c r="Y254" s="275" t="str">
        <f aca="false">IF(ISNUMBER(I254),I254/Netto_Faktor,"")</f>
        <v/>
      </c>
      <c r="Z254" s="275" t="str">
        <f aca="false">IF(B254="","",IF(COUNT(J254:N254)=0,"",SUM(J254:N254)))</f>
        <v/>
      </c>
      <c r="AA254" s="266"/>
      <c r="AB254" s="266"/>
      <c r="AC254" s="266"/>
      <c r="AD254" s="266"/>
      <c r="AE254" s="266"/>
      <c r="AF254" s="266"/>
      <c r="AG254" s="267"/>
      <c r="AH254" s="266" t="str">
        <f aca="false">IF(B254="","",IF(BA254="",IF(R254="WON","✅ belegt &amp; vollständig","✔ vollständig"),LEFT(BA254,LEN(BA254)-3)))</f>
        <v/>
      </c>
      <c r="AJ254" s="268" t="n">
        <f aca="false">IF(ISNUMBER(S254),IFERROR(LOOKUP(IF(S254&lt;=1,S254,S254/100),'⚖️ Wahrscheinlichkeit'!$B$17:$B$21,'⚖️ Wahrscheinlichkeit'!$D$17:$D$21),0),0)</f>
        <v>0</v>
      </c>
      <c r="AK254" s="1" t="str">
        <f aca="false">IF(AND(R254="WON",ISNUMBER(I254)),AL254+(861-ROW())*0.000001,"")</f>
        <v/>
      </c>
      <c r="AL254" s="1" t="n">
        <f aca="false">IFERROR(I254*1,0)</f>
        <v>0</v>
      </c>
      <c r="AM254" s="1" t="n">
        <f aca="false">N(AM253)+IF(AND(R254="WON",B254&lt;&gt;""),1,0)</f>
        <v>12</v>
      </c>
      <c r="AN254" s="1" t="n">
        <f aca="false">N(AN253)+IF(AND(OR(R254="offered",R254="to be offered",R254="on hold"),B254&lt;&gt;""),1,0)</f>
        <v>33</v>
      </c>
      <c r="AO254" s="1" t="n">
        <f aca="false">N(AO253)+IF(AND(OR(R254="follow-up",R254="Evaluation",R254="tbd",R254="In evaluation"),B254&lt;&gt;""),1,0)</f>
        <v>1</v>
      </c>
      <c r="AP254" s="1" t="n">
        <f aca="false">IF(B254="",0,IF(COUNTIF('⚖️ Wahrscheinlichkeit'!$J$17:$J$24,R254)&gt;0,1,0))</f>
        <v>0</v>
      </c>
      <c r="AQ254" s="1" t="n">
        <f aca="false">IF(B254="",0,IF(AND(ISNUMBER(S254),COUNTIF('⚖️ Wahrscheinlichkeit'!$B$6:$B$11,S254)&gt;0),1,0))</f>
        <v>0</v>
      </c>
      <c r="AR254" s="1" t="n">
        <f aca="false">IF(B254="",0,IF(AND(COUNT(J254:M254)=4,SUM(J254:M254)&gt;0),1,0))</f>
        <v>0</v>
      </c>
      <c r="AS254" s="1" t="n">
        <f aca="false">IF(B254="",0,IF(AND(AF254&lt;&gt;"",AG254&lt;&gt;""),1,0))</f>
        <v>0</v>
      </c>
      <c r="AT254" s="1" t="n">
        <f aca="false">IF(AND(R254="WON",AS254=1,AR254=1),1,0)</f>
        <v>0</v>
      </c>
      <c r="AU254" s="1" t="n">
        <f aca="false">IF(B254="",0,IF(AD254="Alternative – zählt nicht",0,1))</f>
        <v>0</v>
      </c>
      <c r="AV254" s="1" t="n">
        <f aca="false">IF(B254="",0,IF(COUNTIF($B$6:$B$860,B254)&gt;1,1,0))</f>
        <v>0</v>
      </c>
      <c r="AX254" s="269" t="str">
        <f aca="false">IF(AY254=1,DATE(YEAR(O254),MONTH(O254),1),"")</f>
        <v/>
      </c>
      <c r="AY254" s="1" t="n">
        <f aca="false">IF(B254="",0,IF(AND(ISNUMBER(O254),ISNUMBER(P254)),IF(P254&gt;=O254,1,0),0))</f>
        <v>0</v>
      </c>
      <c r="AZ254" s="1" t="n">
        <f aca="false">IF(ISNUMBER(Y254),Y254,0)</f>
        <v>0</v>
      </c>
      <c r="BA254" s="1" t="str">
        <f aca="false">IF(B254="","",IF(AND(R254="WON",AS254=0),"⛔ Beleg fehlt · ","")&amp;IF(AND(R254="WON",AR254=0),"⛔ Einstand fehlt · ","")&amp;IF(AND(R254&lt;&gt;"WON",AR254=0),"○ Einstand offen · ","")&amp;IF(AND(R254="WON",AB254=""),"⛔ Vertragsart fehlt · ","")&amp;IF(AND(ISNUMBER(O254),ISNUMBER(P254)),IF(P254&lt;O254,"⚠ Ende vor Start · ",""),"")&amp;IF(AND(R254="WON",AY254=0,NOT(AND(ISNUMBER(O254),ISNUMBER(P254)))),"⛔ Zeitraum fehlt · ","")&amp;IF(AND(R254&lt;&gt;"WON",AY254=0,NOT(AND(ISNUMBER(O254),ISNUMBER(P254)))),"○ Zeitraum offen · ",""))</f>
        <v/>
      </c>
      <c r="BB254" s="1" t="str">
        <f aca="false">IF(B254="","",IF(AND(R254="WON",AS254=0),"⛔ Nachweis fehlt",IF(AND(ISNUMBER(O254),ISNUMBER(P254),P254&lt;O254),"⚠ Ende vor Start",IF(AND(R254="WON",AY254=0),"⛔ Zeitraum fehlt",IF(AR254=0,"○ Einstand offen",IF(AY254=0,"○ Zeitraum offen",IF(R254="WON","✅ belegt","✔ erfasst")))))))</f>
        <v/>
      </c>
    </row>
    <row r="255" customFormat="false" ht="15" hidden="false" customHeight="true" outlineLevel="0" collapsed="false">
      <c r="G255" s="1" t="str">
        <f aca="false">IF(B255="","",IF(AY255=1,P255-O255+1,IF(AW255="","",AW255)))</f>
        <v/>
      </c>
      <c r="I255" s="270"/>
      <c r="J255" s="270"/>
      <c r="K255" s="270"/>
      <c r="L255" s="270"/>
      <c r="M255" s="270"/>
      <c r="N255" s="270"/>
      <c r="O255" s="263"/>
      <c r="P255" s="263"/>
      <c r="Q255" s="270" t="str">
        <f aca="false">IF(AND(ISNUMBER(I255),ISNUMBER(S255)),I255*AJ255,IF(OR(I255&lt;&gt;"",S255&lt;&gt;""),"tbd",""))</f>
        <v/>
      </c>
      <c r="S255" s="268"/>
      <c r="Y255" s="275" t="str">
        <f aca="false">IF(ISNUMBER(I255),I255/Netto_Faktor,"")</f>
        <v/>
      </c>
      <c r="Z255" s="275" t="str">
        <f aca="false">IF(B255="","",IF(COUNT(J255:N255)=0,"",SUM(J255:N255)))</f>
        <v/>
      </c>
      <c r="AA255" s="266"/>
      <c r="AB255" s="266"/>
      <c r="AC255" s="266"/>
      <c r="AD255" s="266"/>
      <c r="AE255" s="266"/>
      <c r="AF255" s="266"/>
      <c r="AG255" s="267"/>
      <c r="AH255" s="266" t="str">
        <f aca="false">IF(B255="","",IF(BA255="",IF(R255="WON","✅ belegt &amp; vollständig","✔ vollständig"),LEFT(BA255,LEN(BA255)-3)))</f>
        <v/>
      </c>
      <c r="AJ255" s="268" t="n">
        <f aca="false">IF(ISNUMBER(S255),IFERROR(LOOKUP(IF(S255&lt;=1,S255,S255/100),'⚖️ Wahrscheinlichkeit'!$B$17:$B$21,'⚖️ Wahrscheinlichkeit'!$D$17:$D$21),0),0)</f>
        <v>0</v>
      </c>
      <c r="AK255" s="1" t="str">
        <f aca="false">IF(AND(R255="WON",ISNUMBER(I255)),AL255+(861-ROW())*0.000001,"")</f>
        <v/>
      </c>
      <c r="AL255" s="1" t="n">
        <f aca="false">IFERROR(I255*1,0)</f>
        <v>0</v>
      </c>
      <c r="AM255" s="1" t="n">
        <f aca="false">N(AM254)+IF(AND(R255="WON",B255&lt;&gt;""),1,0)</f>
        <v>12</v>
      </c>
      <c r="AN255" s="1" t="n">
        <f aca="false">N(AN254)+IF(AND(OR(R255="offered",R255="to be offered",R255="on hold"),B255&lt;&gt;""),1,0)</f>
        <v>33</v>
      </c>
      <c r="AO255" s="1" t="n">
        <f aca="false">N(AO254)+IF(AND(OR(R255="follow-up",R255="Evaluation",R255="tbd",R255="In evaluation"),B255&lt;&gt;""),1,0)</f>
        <v>1</v>
      </c>
      <c r="AP255" s="1" t="n">
        <f aca="false">IF(B255="",0,IF(COUNTIF('⚖️ Wahrscheinlichkeit'!$J$17:$J$24,R255)&gt;0,1,0))</f>
        <v>0</v>
      </c>
      <c r="AQ255" s="1" t="n">
        <f aca="false">IF(B255="",0,IF(AND(ISNUMBER(S255),COUNTIF('⚖️ Wahrscheinlichkeit'!$B$6:$B$11,S255)&gt;0),1,0))</f>
        <v>0</v>
      </c>
      <c r="AR255" s="1" t="n">
        <f aca="false">IF(B255="",0,IF(AND(COUNT(J255:M255)=4,SUM(J255:M255)&gt;0),1,0))</f>
        <v>0</v>
      </c>
      <c r="AS255" s="1" t="n">
        <f aca="false">IF(B255="",0,IF(AND(AF255&lt;&gt;"",AG255&lt;&gt;""),1,0))</f>
        <v>0</v>
      </c>
      <c r="AT255" s="1" t="n">
        <f aca="false">IF(AND(R255="WON",AS255=1,AR255=1),1,0)</f>
        <v>0</v>
      </c>
      <c r="AU255" s="1" t="n">
        <f aca="false">IF(B255="",0,IF(AD255="Alternative – zählt nicht",0,1))</f>
        <v>0</v>
      </c>
      <c r="AV255" s="1" t="n">
        <f aca="false">IF(B255="",0,IF(COUNTIF($B$6:$B$860,B255)&gt;1,1,0))</f>
        <v>0</v>
      </c>
      <c r="AX255" s="269" t="str">
        <f aca="false">IF(AY255=1,DATE(YEAR(O255),MONTH(O255),1),"")</f>
        <v/>
      </c>
      <c r="AY255" s="1" t="n">
        <f aca="false">IF(B255="",0,IF(AND(ISNUMBER(O255),ISNUMBER(P255)),IF(P255&gt;=O255,1,0),0))</f>
        <v>0</v>
      </c>
      <c r="AZ255" s="1" t="n">
        <f aca="false">IF(ISNUMBER(Y255),Y255,0)</f>
        <v>0</v>
      </c>
      <c r="BA255" s="1" t="str">
        <f aca="false">IF(B255="","",IF(AND(R255="WON",AS255=0),"⛔ Beleg fehlt · ","")&amp;IF(AND(R255="WON",AR255=0),"⛔ Einstand fehlt · ","")&amp;IF(AND(R255&lt;&gt;"WON",AR255=0),"○ Einstand offen · ","")&amp;IF(AND(R255="WON",AB255=""),"⛔ Vertragsart fehlt · ","")&amp;IF(AND(ISNUMBER(O255),ISNUMBER(P255)),IF(P255&lt;O255,"⚠ Ende vor Start · ",""),"")&amp;IF(AND(R255="WON",AY255=0,NOT(AND(ISNUMBER(O255),ISNUMBER(P255)))),"⛔ Zeitraum fehlt · ","")&amp;IF(AND(R255&lt;&gt;"WON",AY255=0,NOT(AND(ISNUMBER(O255),ISNUMBER(P255)))),"○ Zeitraum offen · ",""))</f>
        <v/>
      </c>
      <c r="BB255" s="1" t="str">
        <f aca="false">IF(B255="","",IF(AND(R255="WON",AS255=0),"⛔ Nachweis fehlt",IF(AND(ISNUMBER(O255),ISNUMBER(P255),P255&lt;O255),"⚠ Ende vor Start",IF(AND(R255="WON",AY255=0),"⛔ Zeitraum fehlt",IF(AR255=0,"○ Einstand offen",IF(AY255=0,"○ Zeitraum offen",IF(R255="WON","✅ belegt","✔ erfasst")))))))</f>
        <v/>
      </c>
    </row>
    <row r="256" customFormat="false" ht="15" hidden="false" customHeight="true" outlineLevel="0" collapsed="false">
      <c r="G256" s="1" t="str">
        <f aca="false">IF(B256="","",IF(AY256=1,P256-O256+1,IF(AW256="","",AW256)))</f>
        <v/>
      </c>
      <c r="I256" s="270"/>
      <c r="J256" s="270"/>
      <c r="K256" s="270"/>
      <c r="L256" s="270"/>
      <c r="M256" s="270"/>
      <c r="N256" s="270"/>
      <c r="O256" s="263"/>
      <c r="P256" s="263"/>
      <c r="Q256" s="270" t="str">
        <f aca="false">IF(AND(ISNUMBER(I256),ISNUMBER(S256)),I256*AJ256,IF(OR(I256&lt;&gt;"",S256&lt;&gt;""),"tbd",""))</f>
        <v/>
      </c>
      <c r="S256" s="268"/>
      <c r="Y256" s="275" t="str">
        <f aca="false">IF(ISNUMBER(I256),I256/Netto_Faktor,"")</f>
        <v/>
      </c>
      <c r="Z256" s="275" t="str">
        <f aca="false">IF(B256="","",IF(COUNT(J256:N256)=0,"",SUM(J256:N256)))</f>
        <v/>
      </c>
      <c r="AA256" s="266"/>
      <c r="AB256" s="266"/>
      <c r="AC256" s="266"/>
      <c r="AD256" s="266"/>
      <c r="AE256" s="266"/>
      <c r="AF256" s="266"/>
      <c r="AG256" s="267"/>
      <c r="AH256" s="266" t="str">
        <f aca="false">IF(B256="","",IF(BA256="",IF(R256="WON","✅ belegt &amp; vollständig","✔ vollständig"),LEFT(BA256,LEN(BA256)-3)))</f>
        <v/>
      </c>
      <c r="AJ256" s="268" t="n">
        <f aca="false">IF(ISNUMBER(S256),IFERROR(LOOKUP(IF(S256&lt;=1,S256,S256/100),'⚖️ Wahrscheinlichkeit'!$B$17:$B$21,'⚖️ Wahrscheinlichkeit'!$D$17:$D$21),0),0)</f>
        <v>0</v>
      </c>
      <c r="AK256" s="1" t="str">
        <f aca="false">IF(AND(R256="WON",ISNUMBER(I256)),AL256+(861-ROW())*0.000001,"")</f>
        <v/>
      </c>
      <c r="AL256" s="1" t="n">
        <f aca="false">IFERROR(I256*1,0)</f>
        <v>0</v>
      </c>
      <c r="AM256" s="1" t="n">
        <f aca="false">N(AM255)+IF(AND(R256="WON",B256&lt;&gt;""),1,0)</f>
        <v>12</v>
      </c>
      <c r="AN256" s="1" t="n">
        <f aca="false">N(AN255)+IF(AND(OR(R256="offered",R256="to be offered",R256="on hold"),B256&lt;&gt;""),1,0)</f>
        <v>33</v>
      </c>
      <c r="AO256" s="1" t="n">
        <f aca="false">N(AO255)+IF(AND(OR(R256="follow-up",R256="Evaluation",R256="tbd",R256="In evaluation"),B256&lt;&gt;""),1,0)</f>
        <v>1</v>
      </c>
      <c r="AP256" s="1" t="n">
        <f aca="false">IF(B256="",0,IF(COUNTIF('⚖️ Wahrscheinlichkeit'!$J$17:$J$24,R256)&gt;0,1,0))</f>
        <v>0</v>
      </c>
      <c r="AQ256" s="1" t="n">
        <f aca="false">IF(B256="",0,IF(AND(ISNUMBER(S256),COUNTIF('⚖️ Wahrscheinlichkeit'!$B$6:$B$11,S256)&gt;0),1,0))</f>
        <v>0</v>
      </c>
      <c r="AR256" s="1" t="n">
        <f aca="false">IF(B256="",0,IF(AND(COUNT(J256:M256)=4,SUM(J256:M256)&gt;0),1,0))</f>
        <v>0</v>
      </c>
      <c r="AS256" s="1" t="n">
        <f aca="false">IF(B256="",0,IF(AND(AF256&lt;&gt;"",AG256&lt;&gt;""),1,0))</f>
        <v>0</v>
      </c>
      <c r="AT256" s="1" t="n">
        <f aca="false">IF(AND(R256="WON",AS256=1,AR256=1),1,0)</f>
        <v>0</v>
      </c>
      <c r="AU256" s="1" t="n">
        <f aca="false">IF(B256="",0,IF(AD256="Alternative – zählt nicht",0,1))</f>
        <v>0</v>
      </c>
      <c r="AV256" s="1" t="n">
        <f aca="false">IF(B256="",0,IF(COUNTIF($B$6:$B$860,B256)&gt;1,1,0))</f>
        <v>0</v>
      </c>
      <c r="AX256" s="269" t="str">
        <f aca="false">IF(AY256=1,DATE(YEAR(O256),MONTH(O256),1),"")</f>
        <v/>
      </c>
      <c r="AY256" s="1" t="n">
        <f aca="false">IF(B256="",0,IF(AND(ISNUMBER(O256),ISNUMBER(P256)),IF(P256&gt;=O256,1,0),0))</f>
        <v>0</v>
      </c>
      <c r="AZ256" s="1" t="n">
        <f aca="false">IF(ISNUMBER(Y256),Y256,0)</f>
        <v>0</v>
      </c>
      <c r="BA256" s="1" t="str">
        <f aca="false">IF(B256="","",IF(AND(R256="WON",AS256=0),"⛔ Beleg fehlt · ","")&amp;IF(AND(R256="WON",AR256=0),"⛔ Einstand fehlt · ","")&amp;IF(AND(R256&lt;&gt;"WON",AR256=0),"○ Einstand offen · ","")&amp;IF(AND(R256="WON",AB256=""),"⛔ Vertragsart fehlt · ","")&amp;IF(AND(ISNUMBER(O256),ISNUMBER(P256)),IF(P256&lt;O256,"⚠ Ende vor Start · ",""),"")&amp;IF(AND(R256="WON",AY256=0,NOT(AND(ISNUMBER(O256),ISNUMBER(P256)))),"⛔ Zeitraum fehlt · ","")&amp;IF(AND(R256&lt;&gt;"WON",AY256=0,NOT(AND(ISNUMBER(O256),ISNUMBER(P256)))),"○ Zeitraum offen · ",""))</f>
        <v/>
      </c>
      <c r="BB256" s="1" t="str">
        <f aca="false">IF(B256="","",IF(AND(R256="WON",AS256=0),"⛔ Nachweis fehlt",IF(AND(ISNUMBER(O256),ISNUMBER(P256),P256&lt;O256),"⚠ Ende vor Start",IF(AND(R256="WON",AY256=0),"⛔ Zeitraum fehlt",IF(AR256=0,"○ Einstand offen",IF(AY256=0,"○ Zeitraum offen",IF(R256="WON","✅ belegt","✔ erfasst")))))))</f>
        <v/>
      </c>
    </row>
    <row r="257" customFormat="false" ht="15" hidden="false" customHeight="true" outlineLevel="0" collapsed="false">
      <c r="G257" s="1" t="str">
        <f aca="false">IF(B257="","",IF(AY257=1,P257-O257+1,IF(AW257="","",AW257)))</f>
        <v/>
      </c>
      <c r="I257" s="270"/>
      <c r="J257" s="270"/>
      <c r="K257" s="270"/>
      <c r="L257" s="270"/>
      <c r="M257" s="270"/>
      <c r="N257" s="270"/>
      <c r="O257" s="263"/>
      <c r="P257" s="263"/>
      <c r="Q257" s="270" t="str">
        <f aca="false">IF(AND(ISNUMBER(I257),ISNUMBER(S257)),I257*AJ257,IF(OR(I257&lt;&gt;"",S257&lt;&gt;""),"tbd",""))</f>
        <v/>
      </c>
      <c r="S257" s="268"/>
      <c r="Y257" s="275" t="str">
        <f aca="false">IF(ISNUMBER(I257),I257/Netto_Faktor,"")</f>
        <v/>
      </c>
      <c r="Z257" s="275" t="str">
        <f aca="false">IF(B257="","",IF(COUNT(J257:N257)=0,"",SUM(J257:N257)))</f>
        <v/>
      </c>
      <c r="AA257" s="266"/>
      <c r="AB257" s="266"/>
      <c r="AC257" s="266"/>
      <c r="AD257" s="266"/>
      <c r="AE257" s="266"/>
      <c r="AF257" s="266"/>
      <c r="AG257" s="267"/>
      <c r="AH257" s="266" t="str">
        <f aca="false">IF(B257="","",IF(BA257="",IF(R257="WON","✅ belegt &amp; vollständig","✔ vollständig"),LEFT(BA257,LEN(BA257)-3)))</f>
        <v/>
      </c>
      <c r="AJ257" s="268" t="n">
        <f aca="false">IF(ISNUMBER(S257),IFERROR(LOOKUP(IF(S257&lt;=1,S257,S257/100),'⚖️ Wahrscheinlichkeit'!$B$17:$B$21,'⚖️ Wahrscheinlichkeit'!$D$17:$D$21),0),0)</f>
        <v>0</v>
      </c>
      <c r="AK257" s="1" t="str">
        <f aca="false">IF(AND(R257="WON",ISNUMBER(I257)),AL257+(861-ROW())*0.000001,"")</f>
        <v/>
      </c>
      <c r="AL257" s="1" t="n">
        <f aca="false">IFERROR(I257*1,0)</f>
        <v>0</v>
      </c>
      <c r="AM257" s="1" t="n">
        <f aca="false">N(AM256)+IF(AND(R257="WON",B257&lt;&gt;""),1,0)</f>
        <v>12</v>
      </c>
      <c r="AN257" s="1" t="n">
        <f aca="false">N(AN256)+IF(AND(OR(R257="offered",R257="to be offered",R257="on hold"),B257&lt;&gt;""),1,0)</f>
        <v>33</v>
      </c>
      <c r="AO257" s="1" t="n">
        <f aca="false">N(AO256)+IF(AND(OR(R257="follow-up",R257="Evaluation",R257="tbd",R257="In evaluation"),B257&lt;&gt;""),1,0)</f>
        <v>1</v>
      </c>
      <c r="AP257" s="1" t="n">
        <f aca="false">IF(B257="",0,IF(COUNTIF('⚖️ Wahrscheinlichkeit'!$J$17:$J$24,R257)&gt;0,1,0))</f>
        <v>0</v>
      </c>
      <c r="AQ257" s="1" t="n">
        <f aca="false">IF(B257="",0,IF(AND(ISNUMBER(S257),COUNTIF('⚖️ Wahrscheinlichkeit'!$B$6:$B$11,S257)&gt;0),1,0))</f>
        <v>0</v>
      </c>
      <c r="AR257" s="1" t="n">
        <f aca="false">IF(B257="",0,IF(AND(COUNT(J257:M257)=4,SUM(J257:M257)&gt;0),1,0))</f>
        <v>0</v>
      </c>
      <c r="AS257" s="1" t="n">
        <f aca="false">IF(B257="",0,IF(AND(AF257&lt;&gt;"",AG257&lt;&gt;""),1,0))</f>
        <v>0</v>
      </c>
      <c r="AT257" s="1" t="n">
        <f aca="false">IF(AND(R257="WON",AS257=1,AR257=1),1,0)</f>
        <v>0</v>
      </c>
      <c r="AU257" s="1" t="n">
        <f aca="false">IF(B257="",0,IF(AD257="Alternative – zählt nicht",0,1))</f>
        <v>0</v>
      </c>
      <c r="AV257" s="1" t="n">
        <f aca="false">IF(B257="",0,IF(COUNTIF($B$6:$B$860,B257)&gt;1,1,0))</f>
        <v>0</v>
      </c>
      <c r="AX257" s="269" t="str">
        <f aca="false">IF(AY257=1,DATE(YEAR(O257),MONTH(O257),1),"")</f>
        <v/>
      </c>
      <c r="AY257" s="1" t="n">
        <f aca="false">IF(B257="",0,IF(AND(ISNUMBER(O257),ISNUMBER(P257)),IF(P257&gt;=O257,1,0),0))</f>
        <v>0</v>
      </c>
      <c r="AZ257" s="1" t="n">
        <f aca="false">IF(ISNUMBER(Y257),Y257,0)</f>
        <v>0</v>
      </c>
      <c r="BA257" s="1" t="str">
        <f aca="false">IF(B257="","",IF(AND(R257="WON",AS257=0),"⛔ Beleg fehlt · ","")&amp;IF(AND(R257="WON",AR257=0),"⛔ Einstand fehlt · ","")&amp;IF(AND(R257&lt;&gt;"WON",AR257=0),"○ Einstand offen · ","")&amp;IF(AND(R257="WON",AB257=""),"⛔ Vertragsart fehlt · ","")&amp;IF(AND(ISNUMBER(O257),ISNUMBER(P257)),IF(P257&lt;O257,"⚠ Ende vor Start · ",""),"")&amp;IF(AND(R257="WON",AY257=0,NOT(AND(ISNUMBER(O257),ISNUMBER(P257)))),"⛔ Zeitraum fehlt · ","")&amp;IF(AND(R257&lt;&gt;"WON",AY257=0,NOT(AND(ISNUMBER(O257),ISNUMBER(P257)))),"○ Zeitraum offen · ",""))</f>
        <v/>
      </c>
      <c r="BB257" s="1" t="str">
        <f aca="false">IF(B257="","",IF(AND(R257="WON",AS257=0),"⛔ Nachweis fehlt",IF(AND(ISNUMBER(O257),ISNUMBER(P257),P257&lt;O257),"⚠ Ende vor Start",IF(AND(R257="WON",AY257=0),"⛔ Zeitraum fehlt",IF(AR257=0,"○ Einstand offen",IF(AY257=0,"○ Zeitraum offen",IF(R257="WON","✅ belegt","✔ erfasst")))))))</f>
        <v/>
      </c>
    </row>
    <row r="258" customFormat="false" ht="15" hidden="false" customHeight="true" outlineLevel="0" collapsed="false">
      <c r="G258" s="1" t="str">
        <f aca="false">IF(B258="","",IF(AY258=1,P258-O258+1,IF(AW258="","",AW258)))</f>
        <v/>
      </c>
      <c r="I258" s="270"/>
      <c r="J258" s="270"/>
      <c r="K258" s="270"/>
      <c r="L258" s="270"/>
      <c r="M258" s="270"/>
      <c r="N258" s="270"/>
      <c r="O258" s="263"/>
      <c r="P258" s="263"/>
      <c r="Q258" s="270" t="str">
        <f aca="false">IF(AND(ISNUMBER(I258),ISNUMBER(S258)),I258*AJ258,IF(OR(I258&lt;&gt;"",S258&lt;&gt;""),"tbd",""))</f>
        <v/>
      </c>
      <c r="S258" s="268"/>
      <c r="Y258" s="275" t="str">
        <f aca="false">IF(ISNUMBER(I258),I258/Netto_Faktor,"")</f>
        <v/>
      </c>
      <c r="Z258" s="275" t="str">
        <f aca="false">IF(B258="","",IF(COUNT(J258:N258)=0,"",SUM(J258:N258)))</f>
        <v/>
      </c>
      <c r="AA258" s="266"/>
      <c r="AB258" s="266"/>
      <c r="AC258" s="266"/>
      <c r="AD258" s="266"/>
      <c r="AE258" s="266"/>
      <c r="AF258" s="266"/>
      <c r="AG258" s="267"/>
      <c r="AH258" s="266" t="str">
        <f aca="false">IF(B258="","",IF(BA258="",IF(R258="WON","✅ belegt &amp; vollständig","✔ vollständig"),LEFT(BA258,LEN(BA258)-3)))</f>
        <v/>
      </c>
      <c r="AJ258" s="268" t="n">
        <f aca="false">IF(ISNUMBER(S258),IFERROR(LOOKUP(IF(S258&lt;=1,S258,S258/100),'⚖️ Wahrscheinlichkeit'!$B$17:$B$21,'⚖️ Wahrscheinlichkeit'!$D$17:$D$21),0),0)</f>
        <v>0</v>
      </c>
      <c r="AK258" s="1" t="str">
        <f aca="false">IF(AND(R258="WON",ISNUMBER(I258)),AL258+(861-ROW())*0.000001,"")</f>
        <v/>
      </c>
      <c r="AL258" s="1" t="n">
        <f aca="false">IFERROR(I258*1,0)</f>
        <v>0</v>
      </c>
      <c r="AM258" s="1" t="n">
        <f aca="false">N(AM257)+IF(AND(R258="WON",B258&lt;&gt;""),1,0)</f>
        <v>12</v>
      </c>
      <c r="AN258" s="1" t="n">
        <f aca="false">N(AN257)+IF(AND(OR(R258="offered",R258="to be offered",R258="on hold"),B258&lt;&gt;""),1,0)</f>
        <v>33</v>
      </c>
      <c r="AO258" s="1" t="n">
        <f aca="false">N(AO257)+IF(AND(OR(R258="follow-up",R258="Evaluation",R258="tbd",R258="In evaluation"),B258&lt;&gt;""),1,0)</f>
        <v>1</v>
      </c>
      <c r="AP258" s="1" t="n">
        <f aca="false">IF(B258="",0,IF(COUNTIF('⚖️ Wahrscheinlichkeit'!$J$17:$J$24,R258)&gt;0,1,0))</f>
        <v>0</v>
      </c>
      <c r="AQ258" s="1" t="n">
        <f aca="false">IF(B258="",0,IF(AND(ISNUMBER(S258),COUNTIF('⚖️ Wahrscheinlichkeit'!$B$6:$B$11,S258)&gt;0),1,0))</f>
        <v>0</v>
      </c>
      <c r="AR258" s="1" t="n">
        <f aca="false">IF(B258="",0,IF(AND(COUNT(J258:M258)=4,SUM(J258:M258)&gt;0),1,0))</f>
        <v>0</v>
      </c>
      <c r="AS258" s="1" t="n">
        <f aca="false">IF(B258="",0,IF(AND(AF258&lt;&gt;"",AG258&lt;&gt;""),1,0))</f>
        <v>0</v>
      </c>
      <c r="AT258" s="1" t="n">
        <f aca="false">IF(AND(R258="WON",AS258=1,AR258=1),1,0)</f>
        <v>0</v>
      </c>
      <c r="AU258" s="1" t="n">
        <f aca="false">IF(B258="",0,IF(AD258="Alternative – zählt nicht",0,1))</f>
        <v>0</v>
      </c>
      <c r="AV258" s="1" t="n">
        <f aca="false">IF(B258="",0,IF(COUNTIF($B$6:$B$860,B258)&gt;1,1,0))</f>
        <v>0</v>
      </c>
      <c r="AX258" s="269" t="str">
        <f aca="false">IF(AY258=1,DATE(YEAR(O258),MONTH(O258),1),"")</f>
        <v/>
      </c>
      <c r="AY258" s="1" t="n">
        <f aca="false">IF(B258="",0,IF(AND(ISNUMBER(O258),ISNUMBER(P258)),IF(P258&gt;=O258,1,0),0))</f>
        <v>0</v>
      </c>
      <c r="AZ258" s="1" t="n">
        <f aca="false">IF(ISNUMBER(Y258),Y258,0)</f>
        <v>0</v>
      </c>
      <c r="BA258" s="1" t="str">
        <f aca="false">IF(B258="","",IF(AND(R258="WON",AS258=0),"⛔ Beleg fehlt · ","")&amp;IF(AND(R258="WON",AR258=0),"⛔ Einstand fehlt · ","")&amp;IF(AND(R258&lt;&gt;"WON",AR258=0),"○ Einstand offen · ","")&amp;IF(AND(R258="WON",AB258=""),"⛔ Vertragsart fehlt · ","")&amp;IF(AND(ISNUMBER(O258),ISNUMBER(P258)),IF(P258&lt;O258,"⚠ Ende vor Start · ",""),"")&amp;IF(AND(R258="WON",AY258=0,NOT(AND(ISNUMBER(O258),ISNUMBER(P258)))),"⛔ Zeitraum fehlt · ","")&amp;IF(AND(R258&lt;&gt;"WON",AY258=0,NOT(AND(ISNUMBER(O258),ISNUMBER(P258)))),"○ Zeitraum offen · ",""))</f>
        <v/>
      </c>
      <c r="BB258" s="1" t="str">
        <f aca="false">IF(B258="","",IF(AND(R258="WON",AS258=0),"⛔ Nachweis fehlt",IF(AND(ISNUMBER(O258),ISNUMBER(P258),P258&lt;O258),"⚠ Ende vor Start",IF(AND(R258="WON",AY258=0),"⛔ Zeitraum fehlt",IF(AR258=0,"○ Einstand offen",IF(AY258=0,"○ Zeitraum offen",IF(R258="WON","✅ belegt","✔ erfasst")))))))</f>
        <v/>
      </c>
    </row>
    <row r="259" customFormat="false" ht="15" hidden="false" customHeight="true" outlineLevel="0" collapsed="false">
      <c r="G259" s="1" t="str">
        <f aca="false">IF(B259="","",IF(AY259=1,P259-O259+1,IF(AW259="","",AW259)))</f>
        <v/>
      </c>
      <c r="I259" s="270"/>
      <c r="J259" s="270"/>
      <c r="K259" s="270"/>
      <c r="L259" s="270"/>
      <c r="M259" s="270"/>
      <c r="N259" s="270"/>
      <c r="O259" s="263"/>
      <c r="P259" s="263"/>
      <c r="Q259" s="270" t="str">
        <f aca="false">IF(AND(ISNUMBER(I259),ISNUMBER(S259)),I259*AJ259,IF(OR(I259&lt;&gt;"",S259&lt;&gt;""),"tbd",""))</f>
        <v/>
      </c>
      <c r="S259" s="268"/>
      <c r="Y259" s="275" t="str">
        <f aca="false">IF(ISNUMBER(I259),I259/Netto_Faktor,"")</f>
        <v/>
      </c>
      <c r="Z259" s="275" t="str">
        <f aca="false">IF(B259="","",IF(COUNT(J259:N259)=0,"",SUM(J259:N259)))</f>
        <v/>
      </c>
      <c r="AA259" s="266"/>
      <c r="AB259" s="266"/>
      <c r="AC259" s="266"/>
      <c r="AD259" s="266"/>
      <c r="AE259" s="266"/>
      <c r="AF259" s="266"/>
      <c r="AG259" s="267"/>
      <c r="AH259" s="266" t="str">
        <f aca="false">IF(B259="","",IF(BA259="",IF(R259="WON","✅ belegt &amp; vollständig","✔ vollständig"),LEFT(BA259,LEN(BA259)-3)))</f>
        <v/>
      </c>
      <c r="AJ259" s="268" t="n">
        <f aca="false">IF(ISNUMBER(S259),IFERROR(LOOKUP(IF(S259&lt;=1,S259,S259/100),'⚖️ Wahrscheinlichkeit'!$B$17:$B$21,'⚖️ Wahrscheinlichkeit'!$D$17:$D$21),0),0)</f>
        <v>0</v>
      </c>
      <c r="AK259" s="1" t="str">
        <f aca="false">IF(AND(R259="WON",ISNUMBER(I259)),AL259+(861-ROW())*0.000001,"")</f>
        <v/>
      </c>
      <c r="AL259" s="1" t="n">
        <f aca="false">IFERROR(I259*1,0)</f>
        <v>0</v>
      </c>
      <c r="AM259" s="1" t="n">
        <f aca="false">N(AM258)+IF(AND(R259="WON",B259&lt;&gt;""),1,0)</f>
        <v>12</v>
      </c>
      <c r="AN259" s="1" t="n">
        <f aca="false">N(AN258)+IF(AND(OR(R259="offered",R259="to be offered",R259="on hold"),B259&lt;&gt;""),1,0)</f>
        <v>33</v>
      </c>
      <c r="AO259" s="1" t="n">
        <f aca="false">N(AO258)+IF(AND(OR(R259="follow-up",R259="Evaluation",R259="tbd",R259="In evaluation"),B259&lt;&gt;""),1,0)</f>
        <v>1</v>
      </c>
      <c r="AP259" s="1" t="n">
        <f aca="false">IF(B259="",0,IF(COUNTIF('⚖️ Wahrscheinlichkeit'!$J$17:$J$24,R259)&gt;0,1,0))</f>
        <v>0</v>
      </c>
      <c r="AQ259" s="1" t="n">
        <f aca="false">IF(B259="",0,IF(AND(ISNUMBER(S259),COUNTIF('⚖️ Wahrscheinlichkeit'!$B$6:$B$11,S259)&gt;0),1,0))</f>
        <v>0</v>
      </c>
      <c r="AR259" s="1" t="n">
        <f aca="false">IF(B259="",0,IF(AND(COUNT(J259:M259)=4,SUM(J259:M259)&gt;0),1,0))</f>
        <v>0</v>
      </c>
      <c r="AS259" s="1" t="n">
        <f aca="false">IF(B259="",0,IF(AND(AF259&lt;&gt;"",AG259&lt;&gt;""),1,0))</f>
        <v>0</v>
      </c>
      <c r="AT259" s="1" t="n">
        <f aca="false">IF(AND(R259="WON",AS259=1,AR259=1),1,0)</f>
        <v>0</v>
      </c>
      <c r="AU259" s="1" t="n">
        <f aca="false">IF(B259="",0,IF(AD259="Alternative – zählt nicht",0,1))</f>
        <v>0</v>
      </c>
      <c r="AV259" s="1" t="n">
        <f aca="false">IF(B259="",0,IF(COUNTIF($B$6:$B$860,B259)&gt;1,1,0))</f>
        <v>0</v>
      </c>
      <c r="AX259" s="269" t="str">
        <f aca="false">IF(AY259=1,DATE(YEAR(O259),MONTH(O259),1),"")</f>
        <v/>
      </c>
      <c r="AY259" s="1" t="n">
        <f aca="false">IF(B259="",0,IF(AND(ISNUMBER(O259),ISNUMBER(P259)),IF(P259&gt;=O259,1,0),0))</f>
        <v>0</v>
      </c>
      <c r="AZ259" s="1" t="n">
        <f aca="false">IF(ISNUMBER(Y259),Y259,0)</f>
        <v>0</v>
      </c>
      <c r="BA259" s="1" t="str">
        <f aca="false">IF(B259="","",IF(AND(R259="WON",AS259=0),"⛔ Beleg fehlt · ","")&amp;IF(AND(R259="WON",AR259=0),"⛔ Einstand fehlt · ","")&amp;IF(AND(R259&lt;&gt;"WON",AR259=0),"○ Einstand offen · ","")&amp;IF(AND(R259="WON",AB259=""),"⛔ Vertragsart fehlt · ","")&amp;IF(AND(ISNUMBER(O259),ISNUMBER(P259)),IF(P259&lt;O259,"⚠ Ende vor Start · ",""),"")&amp;IF(AND(R259="WON",AY259=0,NOT(AND(ISNUMBER(O259),ISNUMBER(P259)))),"⛔ Zeitraum fehlt · ","")&amp;IF(AND(R259&lt;&gt;"WON",AY259=0,NOT(AND(ISNUMBER(O259),ISNUMBER(P259)))),"○ Zeitraum offen · ",""))</f>
        <v/>
      </c>
      <c r="BB259" s="1" t="str">
        <f aca="false">IF(B259="","",IF(AND(R259="WON",AS259=0),"⛔ Nachweis fehlt",IF(AND(ISNUMBER(O259),ISNUMBER(P259),P259&lt;O259),"⚠ Ende vor Start",IF(AND(R259="WON",AY259=0),"⛔ Zeitraum fehlt",IF(AR259=0,"○ Einstand offen",IF(AY259=0,"○ Zeitraum offen",IF(R259="WON","✅ belegt","✔ erfasst")))))))</f>
        <v/>
      </c>
    </row>
    <row r="260" customFormat="false" ht="15" hidden="false" customHeight="true" outlineLevel="0" collapsed="false">
      <c r="G260" s="1" t="str">
        <f aca="false">IF(B260="","",IF(AY260=1,P260-O260+1,IF(AW260="","",AW260)))</f>
        <v/>
      </c>
      <c r="I260" s="270"/>
      <c r="J260" s="270"/>
      <c r="K260" s="270"/>
      <c r="L260" s="270"/>
      <c r="M260" s="270"/>
      <c r="N260" s="270"/>
      <c r="O260" s="263"/>
      <c r="P260" s="263"/>
      <c r="Q260" s="270" t="str">
        <f aca="false">IF(AND(ISNUMBER(I260),ISNUMBER(S260)),I260*AJ260,IF(OR(I260&lt;&gt;"",S260&lt;&gt;""),"tbd",""))</f>
        <v/>
      </c>
      <c r="S260" s="268"/>
      <c r="Y260" s="275" t="str">
        <f aca="false">IF(ISNUMBER(I260),I260/Netto_Faktor,"")</f>
        <v/>
      </c>
      <c r="Z260" s="275" t="str">
        <f aca="false">IF(B260="","",IF(COUNT(J260:N260)=0,"",SUM(J260:N260)))</f>
        <v/>
      </c>
      <c r="AA260" s="266"/>
      <c r="AB260" s="266"/>
      <c r="AC260" s="266"/>
      <c r="AD260" s="266"/>
      <c r="AE260" s="266"/>
      <c r="AF260" s="266"/>
      <c r="AG260" s="267"/>
      <c r="AH260" s="266" t="str">
        <f aca="false">IF(B260="","",IF(BA260="",IF(R260="WON","✅ belegt &amp; vollständig","✔ vollständig"),LEFT(BA260,LEN(BA260)-3)))</f>
        <v/>
      </c>
      <c r="AJ260" s="268" t="n">
        <f aca="false">IF(ISNUMBER(S260),IFERROR(LOOKUP(IF(S260&lt;=1,S260,S260/100),'⚖️ Wahrscheinlichkeit'!$B$17:$B$21,'⚖️ Wahrscheinlichkeit'!$D$17:$D$21),0),0)</f>
        <v>0</v>
      </c>
      <c r="AK260" s="1" t="str">
        <f aca="false">IF(AND(R260="WON",ISNUMBER(I260)),AL260+(861-ROW())*0.000001,"")</f>
        <v/>
      </c>
      <c r="AL260" s="1" t="n">
        <f aca="false">IFERROR(I260*1,0)</f>
        <v>0</v>
      </c>
      <c r="AM260" s="1" t="n">
        <f aca="false">N(AM259)+IF(AND(R260="WON",B260&lt;&gt;""),1,0)</f>
        <v>12</v>
      </c>
      <c r="AN260" s="1" t="n">
        <f aca="false">N(AN259)+IF(AND(OR(R260="offered",R260="to be offered",R260="on hold"),B260&lt;&gt;""),1,0)</f>
        <v>33</v>
      </c>
      <c r="AO260" s="1" t="n">
        <f aca="false">N(AO259)+IF(AND(OR(R260="follow-up",R260="Evaluation",R260="tbd",R260="In evaluation"),B260&lt;&gt;""),1,0)</f>
        <v>1</v>
      </c>
      <c r="AP260" s="1" t="n">
        <f aca="false">IF(B260="",0,IF(COUNTIF('⚖️ Wahrscheinlichkeit'!$J$17:$J$24,R260)&gt;0,1,0))</f>
        <v>0</v>
      </c>
      <c r="AQ260" s="1" t="n">
        <f aca="false">IF(B260="",0,IF(AND(ISNUMBER(S260),COUNTIF('⚖️ Wahrscheinlichkeit'!$B$6:$B$11,S260)&gt;0),1,0))</f>
        <v>0</v>
      </c>
      <c r="AR260" s="1" t="n">
        <f aca="false">IF(B260="",0,IF(AND(COUNT(J260:M260)=4,SUM(J260:M260)&gt;0),1,0))</f>
        <v>0</v>
      </c>
      <c r="AS260" s="1" t="n">
        <f aca="false">IF(B260="",0,IF(AND(AF260&lt;&gt;"",AG260&lt;&gt;""),1,0))</f>
        <v>0</v>
      </c>
      <c r="AT260" s="1" t="n">
        <f aca="false">IF(AND(R260="WON",AS260=1,AR260=1),1,0)</f>
        <v>0</v>
      </c>
      <c r="AU260" s="1" t="n">
        <f aca="false">IF(B260="",0,IF(AD260="Alternative – zählt nicht",0,1))</f>
        <v>0</v>
      </c>
      <c r="AV260" s="1" t="n">
        <f aca="false">IF(B260="",0,IF(COUNTIF($B$6:$B$860,B260)&gt;1,1,0))</f>
        <v>0</v>
      </c>
      <c r="AX260" s="269" t="str">
        <f aca="false">IF(AY260=1,DATE(YEAR(O260),MONTH(O260),1),"")</f>
        <v/>
      </c>
      <c r="AY260" s="1" t="n">
        <f aca="false">IF(B260="",0,IF(AND(ISNUMBER(O260),ISNUMBER(P260)),IF(P260&gt;=O260,1,0),0))</f>
        <v>0</v>
      </c>
      <c r="AZ260" s="1" t="n">
        <f aca="false">IF(ISNUMBER(Y260),Y260,0)</f>
        <v>0</v>
      </c>
      <c r="BA260" s="1" t="str">
        <f aca="false">IF(B260="","",IF(AND(R260="WON",AS260=0),"⛔ Beleg fehlt · ","")&amp;IF(AND(R260="WON",AR260=0),"⛔ Einstand fehlt · ","")&amp;IF(AND(R260&lt;&gt;"WON",AR260=0),"○ Einstand offen · ","")&amp;IF(AND(R260="WON",AB260=""),"⛔ Vertragsart fehlt · ","")&amp;IF(AND(ISNUMBER(O260),ISNUMBER(P260)),IF(P260&lt;O260,"⚠ Ende vor Start · ",""),"")&amp;IF(AND(R260="WON",AY260=0,NOT(AND(ISNUMBER(O260),ISNUMBER(P260)))),"⛔ Zeitraum fehlt · ","")&amp;IF(AND(R260&lt;&gt;"WON",AY260=0,NOT(AND(ISNUMBER(O260),ISNUMBER(P260)))),"○ Zeitraum offen · ",""))</f>
        <v/>
      </c>
      <c r="BB260" s="1" t="str">
        <f aca="false">IF(B260="","",IF(AND(R260="WON",AS260=0),"⛔ Nachweis fehlt",IF(AND(ISNUMBER(O260),ISNUMBER(P260),P260&lt;O260),"⚠ Ende vor Start",IF(AND(R260="WON",AY260=0),"⛔ Zeitraum fehlt",IF(AR260=0,"○ Einstand offen",IF(AY260=0,"○ Zeitraum offen",IF(R260="WON","✅ belegt","✔ erfasst")))))))</f>
        <v/>
      </c>
    </row>
    <row r="261" customFormat="false" ht="15" hidden="false" customHeight="true" outlineLevel="0" collapsed="false">
      <c r="G261" s="1" t="str">
        <f aca="false">IF(B261="","",IF(AY261=1,P261-O261+1,IF(AW261="","",AW261)))</f>
        <v/>
      </c>
      <c r="I261" s="270"/>
      <c r="J261" s="270"/>
      <c r="K261" s="270"/>
      <c r="L261" s="270"/>
      <c r="M261" s="270"/>
      <c r="N261" s="270"/>
      <c r="O261" s="263"/>
      <c r="P261" s="263"/>
      <c r="Q261" s="270" t="str">
        <f aca="false">IF(AND(ISNUMBER(I261),ISNUMBER(S261)),I261*AJ261,IF(OR(I261&lt;&gt;"",S261&lt;&gt;""),"tbd",""))</f>
        <v/>
      </c>
      <c r="S261" s="268"/>
      <c r="Y261" s="275" t="str">
        <f aca="false">IF(ISNUMBER(I261),I261/Netto_Faktor,"")</f>
        <v/>
      </c>
      <c r="Z261" s="275" t="str">
        <f aca="false">IF(B261="","",IF(COUNT(J261:N261)=0,"",SUM(J261:N261)))</f>
        <v/>
      </c>
      <c r="AA261" s="266"/>
      <c r="AB261" s="266"/>
      <c r="AC261" s="266"/>
      <c r="AD261" s="266"/>
      <c r="AE261" s="266"/>
      <c r="AF261" s="266"/>
      <c r="AG261" s="267"/>
      <c r="AH261" s="266" t="str">
        <f aca="false">IF(B261="","",IF(BA261="",IF(R261="WON","✅ belegt &amp; vollständig","✔ vollständig"),LEFT(BA261,LEN(BA261)-3)))</f>
        <v/>
      </c>
      <c r="AJ261" s="268" t="n">
        <f aca="false">IF(ISNUMBER(S261),IFERROR(LOOKUP(IF(S261&lt;=1,S261,S261/100),'⚖️ Wahrscheinlichkeit'!$B$17:$B$21,'⚖️ Wahrscheinlichkeit'!$D$17:$D$21),0),0)</f>
        <v>0</v>
      </c>
      <c r="AK261" s="1" t="str">
        <f aca="false">IF(AND(R261="WON",ISNUMBER(I261)),AL261+(861-ROW())*0.000001,"")</f>
        <v/>
      </c>
      <c r="AL261" s="1" t="n">
        <f aca="false">IFERROR(I261*1,0)</f>
        <v>0</v>
      </c>
      <c r="AM261" s="1" t="n">
        <f aca="false">N(AM260)+IF(AND(R261="WON",B261&lt;&gt;""),1,0)</f>
        <v>12</v>
      </c>
      <c r="AN261" s="1" t="n">
        <f aca="false">N(AN260)+IF(AND(OR(R261="offered",R261="to be offered",R261="on hold"),B261&lt;&gt;""),1,0)</f>
        <v>33</v>
      </c>
      <c r="AO261" s="1" t="n">
        <f aca="false">N(AO260)+IF(AND(OR(R261="follow-up",R261="Evaluation",R261="tbd",R261="In evaluation"),B261&lt;&gt;""),1,0)</f>
        <v>1</v>
      </c>
      <c r="AP261" s="1" t="n">
        <f aca="false">IF(B261="",0,IF(COUNTIF('⚖️ Wahrscheinlichkeit'!$J$17:$J$24,R261)&gt;0,1,0))</f>
        <v>0</v>
      </c>
      <c r="AQ261" s="1" t="n">
        <f aca="false">IF(B261="",0,IF(AND(ISNUMBER(S261),COUNTIF('⚖️ Wahrscheinlichkeit'!$B$6:$B$11,S261)&gt;0),1,0))</f>
        <v>0</v>
      </c>
      <c r="AR261" s="1" t="n">
        <f aca="false">IF(B261="",0,IF(AND(COUNT(J261:M261)=4,SUM(J261:M261)&gt;0),1,0))</f>
        <v>0</v>
      </c>
      <c r="AS261" s="1" t="n">
        <f aca="false">IF(B261="",0,IF(AND(AF261&lt;&gt;"",AG261&lt;&gt;""),1,0))</f>
        <v>0</v>
      </c>
      <c r="AT261" s="1" t="n">
        <f aca="false">IF(AND(R261="WON",AS261=1,AR261=1),1,0)</f>
        <v>0</v>
      </c>
      <c r="AU261" s="1" t="n">
        <f aca="false">IF(B261="",0,IF(AD261="Alternative – zählt nicht",0,1))</f>
        <v>0</v>
      </c>
      <c r="AV261" s="1" t="n">
        <f aca="false">IF(B261="",0,IF(COUNTIF($B$6:$B$860,B261)&gt;1,1,0))</f>
        <v>0</v>
      </c>
      <c r="AX261" s="269" t="str">
        <f aca="false">IF(AY261=1,DATE(YEAR(O261),MONTH(O261),1),"")</f>
        <v/>
      </c>
      <c r="AY261" s="1" t="n">
        <f aca="false">IF(B261="",0,IF(AND(ISNUMBER(O261),ISNUMBER(P261)),IF(P261&gt;=O261,1,0),0))</f>
        <v>0</v>
      </c>
      <c r="AZ261" s="1" t="n">
        <f aca="false">IF(ISNUMBER(Y261),Y261,0)</f>
        <v>0</v>
      </c>
      <c r="BA261" s="1" t="str">
        <f aca="false">IF(B261="","",IF(AND(R261="WON",AS261=0),"⛔ Beleg fehlt · ","")&amp;IF(AND(R261="WON",AR261=0),"⛔ Einstand fehlt · ","")&amp;IF(AND(R261&lt;&gt;"WON",AR261=0),"○ Einstand offen · ","")&amp;IF(AND(R261="WON",AB261=""),"⛔ Vertragsart fehlt · ","")&amp;IF(AND(ISNUMBER(O261),ISNUMBER(P261)),IF(P261&lt;O261,"⚠ Ende vor Start · ",""),"")&amp;IF(AND(R261="WON",AY261=0,NOT(AND(ISNUMBER(O261),ISNUMBER(P261)))),"⛔ Zeitraum fehlt · ","")&amp;IF(AND(R261&lt;&gt;"WON",AY261=0,NOT(AND(ISNUMBER(O261),ISNUMBER(P261)))),"○ Zeitraum offen · ",""))</f>
        <v/>
      </c>
      <c r="BB261" s="1" t="str">
        <f aca="false">IF(B261="","",IF(AND(R261="WON",AS261=0),"⛔ Nachweis fehlt",IF(AND(ISNUMBER(O261),ISNUMBER(P261),P261&lt;O261),"⚠ Ende vor Start",IF(AND(R261="WON",AY261=0),"⛔ Zeitraum fehlt",IF(AR261=0,"○ Einstand offen",IF(AY261=0,"○ Zeitraum offen",IF(R261="WON","✅ belegt","✔ erfasst")))))))</f>
        <v/>
      </c>
    </row>
    <row r="262" customFormat="false" ht="15" hidden="false" customHeight="true" outlineLevel="0" collapsed="false">
      <c r="G262" s="1" t="str">
        <f aca="false">IF(B262="","",IF(AY262=1,P262-O262+1,IF(AW262="","",AW262)))</f>
        <v/>
      </c>
      <c r="I262" s="270"/>
      <c r="J262" s="270"/>
      <c r="K262" s="270"/>
      <c r="L262" s="270"/>
      <c r="M262" s="270"/>
      <c r="N262" s="270"/>
      <c r="O262" s="263"/>
      <c r="P262" s="263"/>
      <c r="Q262" s="270" t="str">
        <f aca="false">IF(AND(ISNUMBER(I262),ISNUMBER(S262)),I262*AJ262,IF(OR(I262&lt;&gt;"",S262&lt;&gt;""),"tbd",""))</f>
        <v/>
      </c>
      <c r="S262" s="268"/>
      <c r="Y262" s="275" t="str">
        <f aca="false">IF(ISNUMBER(I262),I262/Netto_Faktor,"")</f>
        <v/>
      </c>
      <c r="Z262" s="275" t="str">
        <f aca="false">IF(B262="","",IF(COUNT(J262:N262)=0,"",SUM(J262:N262)))</f>
        <v/>
      </c>
      <c r="AA262" s="266"/>
      <c r="AB262" s="266"/>
      <c r="AC262" s="266"/>
      <c r="AD262" s="266"/>
      <c r="AE262" s="266"/>
      <c r="AF262" s="266"/>
      <c r="AG262" s="267"/>
      <c r="AH262" s="266" t="str">
        <f aca="false">IF(B262="","",IF(BA262="",IF(R262="WON","✅ belegt &amp; vollständig","✔ vollständig"),LEFT(BA262,LEN(BA262)-3)))</f>
        <v/>
      </c>
      <c r="AJ262" s="268" t="n">
        <f aca="false">IF(ISNUMBER(S262),IFERROR(LOOKUP(IF(S262&lt;=1,S262,S262/100),'⚖️ Wahrscheinlichkeit'!$B$17:$B$21,'⚖️ Wahrscheinlichkeit'!$D$17:$D$21),0),0)</f>
        <v>0</v>
      </c>
      <c r="AK262" s="1" t="str">
        <f aca="false">IF(AND(R262="WON",ISNUMBER(I262)),AL262+(861-ROW())*0.000001,"")</f>
        <v/>
      </c>
      <c r="AL262" s="1" t="n">
        <f aca="false">IFERROR(I262*1,0)</f>
        <v>0</v>
      </c>
      <c r="AM262" s="1" t="n">
        <f aca="false">N(AM261)+IF(AND(R262="WON",B262&lt;&gt;""),1,0)</f>
        <v>12</v>
      </c>
      <c r="AN262" s="1" t="n">
        <f aca="false">N(AN261)+IF(AND(OR(R262="offered",R262="to be offered",R262="on hold"),B262&lt;&gt;""),1,0)</f>
        <v>33</v>
      </c>
      <c r="AO262" s="1" t="n">
        <f aca="false">N(AO261)+IF(AND(OR(R262="follow-up",R262="Evaluation",R262="tbd",R262="In evaluation"),B262&lt;&gt;""),1,0)</f>
        <v>1</v>
      </c>
      <c r="AP262" s="1" t="n">
        <f aca="false">IF(B262="",0,IF(COUNTIF('⚖️ Wahrscheinlichkeit'!$J$17:$J$24,R262)&gt;0,1,0))</f>
        <v>0</v>
      </c>
      <c r="AQ262" s="1" t="n">
        <f aca="false">IF(B262="",0,IF(AND(ISNUMBER(S262),COUNTIF('⚖️ Wahrscheinlichkeit'!$B$6:$B$11,S262)&gt;0),1,0))</f>
        <v>0</v>
      </c>
      <c r="AR262" s="1" t="n">
        <f aca="false">IF(B262="",0,IF(AND(COUNT(J262:M262)=4,SUM(J262:M262)&gt;0),1,0))</f>
        <v>0</v>
      </c>
      <c r="AS262" s="1" t="n">
        <f aca="false">IF(B262="",0,IF(AND(AF262&lt;&gt;"",AG262&lt;&gt;""),1,0))</f>
        <v>0</v>
      </c>
      <c r="AT262" s="1" t="n">
        <f aca="false">IF(AND(R262="WON",AS262=1,AR262=1),1,0)</f>
        <v>0</v>
      </c>
      <c r="AU262" s="1" t="n">
        <f aca="false">IF(B262="",0,IF(AD262="Alternative – zählt nicht",0,1))</f>
        <v>0</v>
      </c>
      <c r="AV262" s="1" t="n">
        <f aca="false">IF(B262="",0,IF(COUNTIF($B$6:$B$860,B262)&gt;1,1,0))</f>
        <v>0</v>
      </c>
      <c r="AX262" s="269" t="str">
        <f aca="false">IF(AY262=1,DATE(YEAR(O262),MONTH(O262),1),"")</f>
        <v/>
      </c>
      <c r="AY262" s="1" t="n">
        <f aca="false">IF(B262="",0,IF(AND(ISNUMBER(O262),ISNUMBER(P262)),IF(P262&gt;=O262,1,0),0))</f>
        <v>0</v>
      </c>
      <c r="AZ262" s="1" t="n">
        <f aca="false">IF(ISNUMBER(Y262),Y262,0)</f>
        <v>0</v>
      </c>
      <c r="BA262" s="1" t="str">
        <f aca="false">IF(B262="","",IF(AND(R262="WON",AS262=0),"⛔ Beleg fehlt · ","")&amp;IF(AND(R262="WON",AR262=0),"⛔ Einstand fehlt · ","")&amp;IF(AND(R262&lt;&gt;"WON",AR262=0),"○ Einstand offen · ","")&amp;IF(AND(R262="WON",AB262=""),"⛔ Vertragsart fehlt · ","")&amp;IF(AND(ISNUMBER(O262),ISNUMBER(P262)),IF(P262&lt;O262,"⚠ Ende vor Start · ",""),"")&amp;IF(AND(R262="WON",AY262=0,NOT(AND(ISNUMBER(O262),ISNUMBER(P262)))),"⛔ Zeitraum fehlt · ","")&amp;IF(AND(R262&lt;&gt;"WON",AY262=0,NOT(AND(ISNUMBER(O262),ISNUMBER(P262)))),"○ Zeitraum offen · ",""))</f>
        <v/>
      </c>
      <c r="BB262" s="1" t="str">
        <f aca="false">IF(B262="","",IF(AND(R262="WON",AS262=0),"⛔ Nachweis fehlt",IF(AND(ISNUMBER(O262),ISNUMBER(P262),P262&lt;O262),"⚠ Ende vor Start",IF(AND(R262="WON",AY262=0),"⛔ Zeitraum fehlt",IF(AR262=0,"○ Einstand offen",IF(AY262=0,"○ Zeitraum offen",IF(R262="WON","✅ belegt","✔ erfasst")))))))</f>
        <v/>
      </c>
    </row>
    <row r="263" customFormat="false" ht="15" hidden="false" customHeight="true" outlineLevel="0" collapsed="false">
      <c r="G263" s="1" t="str">
        <f aca="false">IF(B263="","",IF(AY263=1,P263-O263+1,IF(AW263="","",AW263)))</f>
        <v/>
      </c>
      <c r="I263" s="270"/>
      <c r="J263" s="270"/>
      <c r="K263" s="270"/>
      <c r="L263" s="270"/>
      <c r="M263" s="270"/>
      <c r="N263" s="270"/>
      <c r="O263" s="263"/>
      <c r="P263" s="263"/>
      <c r="Q263" s="270" t="str">
        <f aca="false">IF(AND(ISNUMBER(I263),ISNUMBER(S263)),I263*AJ263,IF(OR(I263&lt;&gt;"",S263&lt;&gt;""),"tbd",""))</f>
        <v/>
      </c>
      <c r="S263" s="268"/>
      <c r="Y263" s="275" t="str">
        <f aca="false">IF(ISNUMBER(I263),I263/Netto_Faktor,"")</f>
        <v/>
      </c>
      <c r="Z263" s="275" t="str">
        <f aca="false">IF(B263="","",IF(COUNT(J263:N263)=0,"",SUM(J263:N263)))</f>
        <v/>
      </c>
      <c r="AA263" s="266"/>
      <c r="AB263" s="266"/>
      <c r="AC263" s="266"/>
      <c r="AD263" s="266"/>
      <c r="AE263" s="266"/>
      <c r="AF263" s="266"/>
      <c r="AG263" s="267"/>
      <c r="AH263" s="266" t="str">
        <f aca="false">IF(B263="","",IF(BA263="",IF(R263="WON","✅ belegt &amp; vollständig","✔ vollständig"),LEFT(BA263,LEN(BA263)-3)))</f>
        <v/>
      </c>
      <c r="AJ263" s="268" t="n">
        <f aca="false">IF(ISNUMBER(S263),IFERROR(LOOKUP(IF(S263&lt;=1,S263,S263/100),'⚖️ Wahrscheinlichkeit'!$B$17:$B$21,'⚖️ Wahrscheinlichkeit'!$D$17:$D$21),0),0)</f>
        <v>0</v>
      </c>
      <c r="AK263" s="1" t="str">
        <f aca="false">IF(AND(R263="WON",ISNUMBER(I263)),AL263+(861-ROW())*0.000001,"")</f>
        <v/>
      </c>
      <c r="AL263" s="1" t="n">
        <f aca="false">IFERROR(I263*1,0)</f>
        <v>0</v>
      </c>
      <c r="AM263" s="1" t="n">
        <f aca="false">N(AM262)+IF(AND(R263="WON",B263&lt;&gt;""),1,0)</f>
        <v>12</v>
      </c>
      <c r="AN263" s="1" t="n">
        <f aca="false">N(AN262)+IF(AND(OR(R263="offered",R263="to be offered",R263="on hold"),B263&lt;&gt;""),1,0)</f>
        <v>33</v>
      </c>
      <c r="AO263" s="1" t="n">
        <f aca="false">N(AO262)+IF(AND(OR(R263="follow-up",R263="Evaluation",R263="tbd",R263="In evaluation"),B263&lt;&gt;""),1,0)</f>
        <v>1</v>
      </c>
      <c r="AP263" s="1" t="n">
        <f aca="false">IF(B263="",0,IF(COUNTIF('⚖️ Wahrscheinlichkeit'!$J$17:$J$24,R263)&gt;0,1,0))</f>
        <v>0</v>
      </c>
      <c r="AQ263" s="1" t="n">
        <f aca="false">IF(B263="",0,IF(AND(ISNUMBER(S263),COUNTIF('⚖️ Wahrscheinlichkeit'!$B$6:$B$11,S263)&gt;0),1,0))</f>
        <v>0</v>
      </c>
      <c r="AR263" s="1" t="n">
        <f aca="false">IF(B263="",0,IF(AND(COUNT(J263:M263)=4,SUM(J263:M263)&gt;0),1,0))</f>
        <v>0</v>
      </c>
      <c r="AS263" s="1" t="n">
        <f aca="false">IF(B263="",0,IF(AND(AF263&lt;&gt;"",AG263&lt;&gt;""),1,0))</f>
        <v>0</v>
      </c>
      <c r="AT263" s="1" t="n">
        <f aca="false">IF(AND(R263="WON",AS263=1,AR263=1),1,0)</f>
        <v>0</v>
      </c>
      <c r="AU263" s="1" t="n">
        <f aca="false">IF(B263="",0,IF(AD263="Alternative – zählt nicht",0,1))</f>
        <v>0</v>
      </c>
      <c r="AV263" s="1" t="n">
        <f aca="false">IF(B263="",0,IF(COUNTIF($B$6:$B$860,B263)&gt;1,1,0))</f>
        <v>0</v>
      </c>
      <c r="AX263" s="269" t="str">
        <f aca="false">IF(AY263=1,DATE(YEAR(O263),MONTH(O263),1),"")</f>
        <v/>
      </c>
      <c r="AY263" s="1" t="n">
        <f aca="false">IF(B263="",0,IF(AND(ISNUMBER(O263),ISNUMBER(P263)),IF(P263&gt;=O263,1,0),0))</f>
        <v>0</v>
      </c>
      <c r="AZ263" s="1" t="n">
        <f aca="false">IF(ISNUMBER(Y263),Y263,0)</f>
        <v>0</v>
      </c>
      <c r="BA263" s="1" t="str">
        <f aca="false">IF(B263="","",IF(AND(R263="WON",AS263=0),"⛔ Beleg fehlt · ","")&amp;IF(AND(R263="WON",AR263=0),"⛔ Einstand fehlt · ","")&amp;IF(AND(R263&lt;&gt;"WON",AR263=0),"○ Einstand offen · ","")&amp;IF(AND(R263="WON",AB263=""),"⛔ Vertragsart fehlt · ","")&amp;IF(AND(ISNUMBER(O263),ISNUMBER(P263)),IF(P263&lt;O263,"⚠ Ende vor Start · ",""),"")&amp;IF(AND(R263="WON",AY263=0,NOT(AND(ISNUMBER(O263),ISNUMBER(P263)))),"⛔ Zeitraum fehlt · ","")&amp;IF(AND(R263&lt;&gt;"WON",AY263=0,NOT(AND(ISNUMBER(O263),ISNUMBER(P263)))),"○ Zeitraum offen · ",""))</f>
        <v/>
      </c>
      <c r="BB263" s="1" t="str">
        <f aca="false">IF(B263="","",IF(AND(R263="WON",AS263=0),"⛔ Nachweis fehlt",IF(AND(ISNUMBER(O263),ISNUMBER(P263),P263&lt;O263),"⚠ Ende vor Start",IF(AND(R263="WON",AY263=0),"⛔ Zeitraum fehlt",IF(AR263=0,"○ Einstand offen",IF(AY263=0,"○ Zeitraum offen",IF(R263="WON","✅ belegt","✔ erfasst")))))))</f>
        <v/>
      </c>
    </row>
    <row r="264" customFormat="false" ht="15" hidden="false" customHeight="true" outlineLevel="0" collapsed="false">
      <c r="G264" s="1" t="str">
        <f aca="false">IF(B264="","",IF(AY264=1,P264-O264+1,IF(AW264="","",AW264)))</f>
        <v/>
      </c>
      <c r="I264" s="270"/>
      <c r="J264" s="270"/>
      <c r="K264" s="270"/>
      <c r="L264" s="270"/>
      <c r="M264" s="270"/>
      <c r="N264" s="270"/>
      <c r="O264" s="263"/>
      <c r="P264" s="263"/>
      <c r="Q264" s="270" t="str">
        <f aca="false">IF(AND(ISNUMBER(I264),ISNUMBER(S264)),I264*AJ264,IF(OR(I264&lt;&gt;"",S264&lt;&gt;""),"tbd",""))</f>
        <v/>
      </c>
      <c r="S264" s="268"/>
      <c r="Y264" s="275" t="str">
        <f aca="false">IF(ISNUMBER(I264),I264/Netto_Faktor,"")</f>
        <v/>
      </c>
      <c r="Z264" s="275" t="str">
        <f aca="false">IF(B264="","",IF(COUNT(J264:N264)=0,"",SUM(J264:N264)))</f>
        <v/>
      </c>
      <c r="AA264" s="266"/>
      <c r="AB264" s="266"/>
      <c r="AC264" s="266"/>
      <c r="AD264" s="266"/>
      <c r="AE264" s="266"/>
      <c r="AF264" s="266"/>
      <c r="AG264" s="267"/>
      <c r="AH264" s="266" t="str">
        <f aca="false">IF(B264="","",IF(BA264="",IF(R264="WON","✅ belegt &amp; vollständig","✔ vollständig"),LEFT(BA264,LEN(BA264)-3)))</f>
        <v/>
      </c>
      <c r="AJ264" s="268" t="n">
        <f aca="false">IF(ISNUMBER(S264),IFERROR(LOOKUP(IF(S264&lt;=1,S264,S264/100),'⚖️ Wahrscheinlichkeit'!$B$17:$B$21,'⚖️ Wahrscheinlichkeit'!$D$17:$D$21),0),0)</f>
        <v>0</v>
      </c>
      <c r="AK264" s="1" t="str">
        <f aca="false">IF(AND(R264="WON",ISNUMBER(I264)),AL264+(861-ROW())*0.000001,"")</f>
        <v/>
      </c>
      <c r="AL264" s="1" t="n">
        <f aca="false">IFERROR(I264*1,0)</f>
        <v>0</v>
      </c>
      <c r="AM264" s="1" t="n">
        <f aca="false">N(AM263)+IF(AND(R264="WON",B264&lt;&gt;""),1,0)</f>
        <v>12</v>
      </c>
      <c r="AN264" s="1" t="n">
        <f aca="false">N(AN263)+IF(AND(OR(R264="offered",R264="to be offered",R264="on hold"),B264&lt;&gt;""),1,0)</f>
        <v>33</v>
      </c>
      <c r="AO264" s="1" t="n">
        <f aca="false">N(AO263)+IF(AND(OR(R264="follow-up",R264="Evaluation",R264="tbd",R264="In evaluation"),B264&lt;&gt;""),1,0)</f>
        <v>1</v>
      </c>
      <c r="AP264" s="1" t="n">
        <f aca="false">IF(B264="",0,IF(COUNTIF('⚖️ Wahrscheinlichkeit'!$J$17:$J$24,R264)&gt;0,1,0))</f>
        <v>0</v>
      </c>
      <c r="AQ264" s="1" t="n">
        <f aca="false">IF(B264="",0,IF(AND(ISNUMBER(S264),COUNTIF('⚖️ Wahrscheinlichkeit'!$B$6:$B$11,S264)&gt;0),1,0))</f>
        <v>0</v>
      </c>
      <c r="AR264" s="1" t="n">
        <f aca="false">IF(B264="",0,IF(AND(COUNT(J264:M264)=4,SUM(J264:M264)&gt;0),1,0))</f>
        <v>0</v>
      </c>
      <c r="AS264" s="1" t="n">
        <f aca="false">IF(B264="",0,IF(AND(AF264&lt;&gt;"",AG264&lt;&gt;""),1,0))</f>
        <v>0</v>
      </c>
      <c r="AT264" s="1" t="n">
        <f aca="false">IF(AND(R264="WON",AS264=1,AR264=1),1,0)</f>
        <v>0</v>
      </c>
      <c r="AU264" s="1" t="n">
        <f aca="false">IF(B264="",0,IF(AD264="Alternative – zählt nicht",0,1))</f>
        <v>0</v>
      </c>
      <c r="AV264" s="1" t="n">
        <f aca="false">IF(B264="",0,IF(COUNTIF($B$6:$B$860,B264)&gt;1,1,0))</f>
        <v>0</v>
      </c>
      <c r="AX264" s="269" t="str">
        <f aca="false">IF(AY264=1,DATE(YEAR(O264),MONTH(O264),1),"")</f>
        <v/>
      </c>
      <c r="AY264" s="1" t="n">
        <f aca="false">IF(B264="",0,IF(AND(ISNUMBER(O264),ISNUMBER(P264)),IF(P264&gt;=O264,1,0),0))</f>
        <v>0</v>
      </c>
      <c r="AZ264" s="1" t="n">
        <f aca="false">IF(ISNUMBER(Y264),Y264,0)</f>
        <v>0</v>
      </c>
      <c r="BA264" s="1" t="str">
        <f aca="false">IF(B264="","",IF(AND(R264="WON",AS264=0),"⛔ Beleg fehlt · ","")&amp;IF(AND(R264="WON",AR264=0),"⛔ Einstand fehlt · ","")&amp;IF(AND(R264&lt;&gt;"WON",AR264=0),"○ Einstand offen · ","")&amp;IF(AND(R264="WON",AB264=""),"⛔ Vertragsart fehlt · ","")&amp;IF(AND(ISNUMBER(O264),ISNUMBER(P264)),IF(P264&lt;O264,"⚠ Ende vor Start · ",""),"")&amp;IF(AND(R264="WON",AY264=0,NOT(AND(ISNUMBER(O264),ISNUMBER(P264)))),"⛔ Zeitraum fehlt · ","")&amp;IF(AND(R264&lt;&gt;"WON",AY264=0,NOT(AND(ISNUMBER(O264),ISNUMBER(P264)))),"○ Zeitraum offen · ",""))</f>
        <v/>
      </c>
      <c r="BB264" s="1" t="str">
        <f aca="false">IF(B264="","",IF(AND(R264="WON",AS264=0),"⛔ Nachweis fehlt",IF(AND(ISNUMBER(O264),ISNUMBER(P264),P264&lt;O264),"⚠ Ende vor Start",IF(AND(R264="WON",AY264=0),"⛔ Zeitraum fehlt",IF(AR264=0,"○ Einstand offen",IF(AY264=0,"○ Zeitraum offen",IF(R264="WON","✅ belegt","✔ erfasst")))))))</f>
        <v/>
      </c>
    </row>
    <row r="265" customFormat="false" ht="15" hidden="false" customHeight="true" outlineLevel="0" collapsed="false">
      <c r="G265" s="1" t="str">
        <f aca="false">IF(B265="","",IF(AY265=1,P265-O265+1,IF(AW265="","",AW265)))</f>
        <v/>
      </c>
      <c r="I265" s="270"/>
      <c r="J265" s="270"/>
      <c r="K265" s="270"/>
      <c r="L265" s="270"/>
      <c r="M265" s="270"/>
      <c r="N265" s="270"/>
      <c r="O265" s="263"/>
      <c r="P265" s="263"/>
      <c r="Q265" s="270" t="str">
        <f aca="false">IF(AND(ISNUMBER(I265),ISNUMBER(S265)),I265*AJ265,IF(OR(I265&lt;&gt;"",S265&lt;&gt;""),"tbd",""))</f>
        <v/>
      </c>
      <c r="S265" s="268"/>
      <c r="Y265" s="275" t="str">
        <f aca="false">IF(ISNUMBER(I265),I265/Netto_Faktor,"")</f>
        <v/>
      </c>
      <c r="Z265" s="275" t="str">
        <f aca="false">IF(B265="","",IF(COUNT(J265:N265)=0,"",SUM(J265:N265)))</f>
        <v/>
      </c>
      <c r="AA265" s="266"/>
      <c r="AB265" s="266"/>
      <c r="AC265" s="266"/>
      <c r="AD265" s="266"/>
      <c r="AE265" s="266"/>
      <c r="AF265" s="266"/>
      <c r="AG265" s="267"/>
      <c r="AH265" s="266" t="str">
        <f aca="false">IF(B265="","",IF(BA265="",IF(R265="WON","✅ belegt &amp; vollständig","✔ vollständig"),LEFT(BA265,LEN(BA265)-3)))</f>
        <v/>
      </c>
      <c r="AJ265" s="268" t="n">
        <f aca="false">IF(ISNUMBER(S265),IFERROR(LOOKUP(IF(S265&lt;=1,S265,S265/100),'⚖️ Wahrscheinlichkeit'!$B$17:$B$21,'⚖️ Wahrscheinlichkeit'!$D$17:$D$21),0),0)</f>
        <v>0</v>
      </c>
      <c r="AK265" s="1" t="str">
        <f aca="false">IF(AND(R265="WON",ISNUMBER(I265)),AL265+(861-ROW())*0.000001,"")</f>
        <v/>
      </c>
      <c r="AL265" s="1" t="n">
        <f aca="false">IFERROR(I265*1,0)</f>
        <v>0</v>
      </c>
      <c r="AM265" s="1" t="n">
        <f aca="false">N(AM264)+IF(AND(R265="WON",B265&lt;&gt;""),1,0)</f>
        <v>12</v>
      </c>
      <c r="AN265" s="1" t="n">
        <f aca="false">N(AN264)+IF(AND(OR(R265="offered",R265="to be offered",R265="on hold"),B265&lt;&gt;""),1,0)</f>
        <v>33</v>
      </c>
      <c r="AO265" s="1" t="n">
        <f aca="false">N(AO264)+IF(AND(OR(R265="follow-up",R265="Evaluation",R265="tbd",R265="In evaluation"),B265&lt;&gt;""),1,0)</f>
        <v>1</v>
      </c>
      <c r="AP265" s="1" t="n">
        <f aca="false">IF(B265="",0,IF(COUNTIF('⚖️ Wahrscheinlichkeit'!$J$17:$J$24,R265)&gt;0,1,0))</f>
        <v>0</v>
      </c>
      <c r="AQ265" s="1" t="n">
        <f aca="false">IF(B265="",0,IF(AND(ISNUMBER(S265),COUNTIF('⚖️ Wahrscheinlichkeit'!$B$6:$B$11,S265)&gt;0),1,0))</f>
        <v>0</v>
      </c>
      <c r="AR265" s="1" t="n">
        <f aca="false">IF(B265="",0,IF(AND(COUNT(J265:M265)=4,SUM(J265:M265)&gt;0),1,0))</f>
        <v>0</v>
      </c>
      <c r="AS265" s="1" t="n">
        <f aca="false">IF(B265="",0,IF(AND(AF265&lt;&gt;"",AG265&lt;&gt;""),1,0))</f>
        <v>0</v>
      </c>
      <c r="AT265" s="1" t="n">
        <f aca="false">IF(AND(R265="WON",AS265=1,AR265=1),1,0)</f>
        <v>0</v>
      </c>
      <c r="AU265" s="1" t="n">
        <f aca="false">IF(B265="",0,IF(AD265="Alternative – zählt nicht",0,1))</f>
        <v>0</v>
      </c>
      <c r="AV265" s="1" t="n">
        <f aca="false">IF(B265="",0,IF(COUNTIF($B$6:$B$860,B265)&gt;1,1,0))</f>
        <v>0</v>
      </c>
      <c r="AX265" s="269" t="str">
        <f aca="false">IF(AY265=1,DATE(YEAR(O265),MONTH(O265),1),"")</f>
        <v/>
      </c>
      <c r="AY265" s="1" t="n">
        <f aca="false">IF(B265="",0,IF(AND(ISNUMBER(O265),ISNUMBER(P265)),IF(P265&gt;=O265,1,0),0))</f>
        <v>0</v>
      </c>
      <c r="AZ265" s="1" t="n">
        <f aca="false">IF(ISNUMBER(Y265),Y265,0)</f>
        <v>0</v>
      </c>
      <c r="BA265" s="1" t="str">
        <f aca="false">IF(B265="","",IF(AND(R265="WON",AS265=0),"⛔ Beleg fehlt · ","")&amp;IF(AND(R265="WON",AR265=0),"⛔ Einstand fehlt · ","")&amp;IF(AND(R265&lt;&gt;"WON",AR265=0),"○ Einstand offen · ","")&amp;IF(AND(R265="WON",AB265=""),"⛔ Vertragsart fehlt · ","")&amp;IF(AND(ISNUMBER(O265),ISNUMBER(P265)),IF(P265&lt;O265,"⚠ Ende vor Start · ",""),"")&amp;IF(AND(R265="WON",AY265=0,NOT(AND(ISNUMBER(O265),ISNUMBER(P265)))),"⛔ Zeitraum fehlt · ","")&amp;IF(AND(R265&lt;&gt;"WON",AY265=0,NOT(AND(ISNUMBER(O265),ISNUMBER(P265)))),"○ Zeitraum offen · ",""))</f>
        <v/>
      </c>
      <c r="BB265" s="1" t="str">
        <f aca="false">IF(B265="","",IF(AND(R265="WON",AS265=0),"⛔ Nachweis fehlt",IF(AND(ISNUMBER(O265),ISNUMBER(P265),P265&lt;O265),"⚠ Ende vor Start",IF(AND(R265="WON",AY265=0),"⛔ Zeitraum fehlt",IF(AR265=0,"○ Einstand offen",IF(AY265=0,"○ Zeitraum offen",IF(R265="WON","✅ belegt","✔ erfasst")))))))</f>
        <v/>
      </c>
    </row>
    <row r="266" customFormat="false" ht="15" hidden="false" customHeight="true" outlineLevel="0" collapsed="false">
      <c r="G266" s="1" t="str">
        <f aca="false">IF(B266="","",IF(AY266=1,P266-O266+1,IF(AW266="","",AW266)))</f>
        <v/>
      </c>
      <c r="I266" s="270"/>
      <c r="J266" s="270"/>
      <c r="K266" s="270"/>
      <c r="L266" s="270"/>
      <c r="M266" s="270"/>
      <c r="N266" s="270"/>
      <c r="O266" s="263"/>
      <c r="P266" s="263"/>
      <c r="Q266" s="270" t="str">
        <f aca="false">IF(AND(ISNUMBER(I266),ISNUMBER(S266)),I266*AJ266,IF(OR(I266&lt;&gt;"",S266&lt;&gt;""),"tbd",""))</f>
        <v/>
      </c>
      <c r="S266" s="268"/>
      <c r="Y266" s="275" t="str">
        <f aca="false">IF(ISNUMBER(I266),I266/Netto_Faktor,"")</f>
        <v/>
      </c>
      <c r="Z266" s="275" t="str">
        <f aca="false">IF(B266="","",IF(COUNT(J266:N266)=0,"",SUM(J266:N266)))</f>
        <v/>
      </c>
      <c r="AA266" s="266"/>
      <c r="AB266" s="266"/>
      <c r="AC266" s="266"/>
      <c r="AD266" s="266"/>
      <c r="AE266" s="266"/>
      <c r="AF266" s="266"/>
      <c r="AG266" s="267"/>
      <c r="AH266" s="266" t="str">
        <f aca="false">IF(B266="","",IF(BA266="",IF(R266="WON","✅ belegt &amp; vollständig","✔ vollständig"),LEFT(BA266,LEN(BA266)-3)))</f>
        <v/>
      </c>
      <c r="AJ266" s="268" t="n">
        <f aca="false">IF(ISNUMBER(S266),IFERROR(LOOKUP(IF(S266&lt;=1,S266,S266/100),'⚖️ Wahrscheinlichkeit'!$B$17:$B$21,'⚖️ Wahrscheinlichkeit'!$D$17:$D$21),0),0)</f>
        <v>0</v>
      </c>
      <c r="AK266" s="1" t="str">
        <f aca="false">IF(AND(R266="WON",ISNUMBER(I266)),AL266+(861-ROW())*0.000001,"")</f>
        <v/>
      </c>
      <c r="AL266" s="1" t="n">
        <f aca="false">IFERROR(I266*1,0)</f>
        <v>0</v>
      </c>
      <c r="AM266" s="1" t="n">
        <f aca="false">N(AM265)+IF(AND(R266="WON",B266&lt;&gt;""),1,0)</f>
        <v>12</v>
      </c>
      <c r="AN266" s="1" t="n">
        <f aca="false">N(AN265)+IF(AND(OR(R266="offered",R266="to be offered",R266="on hold"),B266&lt;&gt;""),1,0)</f>
        <v>33</v>
      </c>
      <c r="AO266" s="1" t="n">
        <f aca="false">N(AO265)+IF(AND(OR(R266="follow-up",R266="Evaluation",R266="tbd",R266="In evaluation"),B266&lt;&gt;""),1,0)</f>
        <v>1</v>
      </c>
      <c r="AP266" s="1" t="n">
        <f aca="false">IF(B266="",0,IF(COUNTIF('⚖️ Wahrscheinlichkeit'!$J$17:$J$24,R266)&gt;0,1,0))</f>
        <v>0</v>
      </c>
      <c r="AQ266" s="1" t="n">
        <f aca="false">IF(B266="",0,IF(AND(ISNUMBER(S266),COUNTIF('⚖️ Wahrscheinlichkeit'!$B$6:$B$11,S266)&gt;0),1,0))</f>
        <v>0</v>
      </c>
      <c r="AR266" s="1" t="n">
        <f aca="false">IF(B266="",0,IF(AND(COUNT(J266:M266)=4,SUM(J266:M266)&gt;0),1,0))</f>
        <v>0</v>
      </c>
      <c r="AS266" s="1" t="n">
        <f aca="false">IF(B266="",0,IF(AND(AF266&lt;&gt;"",AG266&lt;&gt;""),1,0))</f>
        <v>0</v>
      </c>
      <c r="AT266" s="1" t="n">
        <f aca="false">IF(AND(R266="WON",AS266=1,AR266=1),1,0)</f>
        <v>0</v>
      </c>
      <c r="AU266" s="1" t="n">
        <f aca="false">IF(B266="",0,IF(AD266="Alternative – zählt nicht",0,1))</f>
        <v>0</v>
      </c>
      <c r="AV266" s="1" t="n">
        <f aca="false">IF(B266="",0,IF(COUNTIF($B$6:$B$860,B266)&gt;1,1,0))</f>
        <v>0</v>
      </c>
      <c r="AX266" s="269" t="str">
        <f aca="false">IF(AY266=1,DATE(YEAR(O266),MONTH(O266),1),"")</f>
        <v/>
      </c>
      <c r="AY266" s="1" t="n">
        <f aca="false">IF(B266="",0,IF(AND(ISNUMBER(O266),ISNUMBER(P266)),IF(P266&gt;=O266,1,0),0))</f>
        <v>0</v>
      </c>
      <c r="AZ266" s="1" t="n">
        <f aca="false">IF(ISNUMBER(Y266),Y266,0)</f>
        <v>0</v>
      </c>
      <c r="BA266" s="1" t="str">
        <f aca="false">IF(B266="","",IF(AND(R266="WON",AS266=0),"⛔ Beleg fehlt · ","")&amp;IF(AND(R266="WON",AR266=0),"⛔ Einstand fehlt · ","")&amp;IF(AND(R266&lt;&gt;"WON",AR266=0),"○ Einstand offen · ","")&amp;IF(AND(R266="WON",AB266=""),"⛔ Vertragsart fehlt · ","")&amp;IF(AND(ISNUMBER(O266),ISNUMBER(P266)),IF(P266&lt;O266,"⚠ Ende vor Start · ",""),"")&amp;IF(AND(R266="WON",AY266=0,NOT(AND(ISNUMBER(O266),ISNUMBER(P266)))),"⛔ Zeitraum fehlt · ","")&amp;IF(AND(R266&lt;&gt;"WON",AY266=0,NOT(AND(ISNUMBER(O266),ISNUMBER(P266)))),"○ Zeitraum offen · ",""))</f>
        <v/>
      </c>
      <c r="BB266" s="1" t="str">
        <f aca="false">IF(B266="","",IF(AND(R266="WON",AS266=0),"⛔ Nachweis fehlt",IF(AND(ISNUMBER(O266),ISNUMBER(P266),P266&lt;O266),"⚠ Ende vor Start",IF(AND(R266="WON",AY266=0),"⛔ Zeitraum fehlt",IF(AR266=0,"○ Einstand offen",IF(AY266=0,"○ Zeitraum offen",IF(R266="WON","✅ belegt","✔ erfasst")))))))</f>
        <v/>
      </c>
    </row>
    <row r="267" customFormat="false" ht="15" hidden="false" customHeight="true" outlineLevel="0" collapsed="false">
      <c r="G267" s="1" t="str">
        <f aca="false">IF(B267="","",IF(AY267=1,P267-O267+1,IF(AW267="","",AW267)))</f>
        <v/>
      </c>
      <c r="I267" s="270"/>
      <c r="J267" s="270"/>
      <c r="K267" s="270"/>
      <c r="L267" s="270"/>
      <c r="M267" s="270"/>
      <c r="N267" s="270"/>
      <c r="O267" s="263"/>
      <c r="P267" s="263"/>
      <c r="Q267" s="270" t="str">
        <f aca="false">IF(AND(ISNUMBER(I267),ISNUMBER(S267)),I267*AJ267,IF(OR(I267&lt;&gt;"",S267&lt;&gt;""),"tbd",""))</f>
        <v/>
      </c>
      <c r="S267" s="268"/>
      <c r="Y267" s="275" t="str">
        <f aca="false">IF(ISNUMBER(I267),I267/Netto_Faktor,"")</f>
        <v/>
      </c>
      <c r="Z267" s="275" t="str">
        <f aca="false">IF(B267="","",IF(COUNT(J267:N267)=0,"",SUM(J267:N267)))</f>
        <v/>
      </c>
      <c r="AA267" s="266"/>
      <c r="AB267" s="266"/>
      <c r="AC267" s="266"/>
      <c r="AD267" s="266"/>
      <c r="AE267" s="266"/>
      <c r="AF267" s="266"/>
      <c r="AG267" s="267"/>
      <c r="AH267" s="266" t="str">
        <f aca="false">IF(B267="","",IF(BA267="",IF(R267="WON","✅ belegt &amp; vollständig","✔ vollständig"),LEFT(BA267,LEN(BA267)-3)))</f>
        <v/>
      </c>
      <c r="AJ267" s="268" t="n">
        <f aca="false">IF(ISNUMBER(S267),IFERROR(LOOKUP(IF(S267&lt;=1,S267,S267/100),'⚖️ Wahrscheinlichkeit'!$B$17:$B$21,'⚖️ Wahrscheinlichkeit'!$D$17:$D$21),0),0)</f>
        <v>0</v>
      </c>
      <c r="AK267" s="1" t="str">
        <f aca="false">IF(AND(R267="WON",ISNUMBER(I267)),AL267+(861-ROW())*0.000001,"")</f>
        <v/>
      </c>
      <c r="AL267" s="1" t="n">
        <f aca="false">IFERROR(I267*1,0)</f>
        <v>0</v>
      </c>
      <c r="AM267" s="1" t="n">
        <f aca="false">N(AM266)+IF(AND(R267="WON",B267&lt;&gt;""),1,0)</f>
        <v>12</v>
      </c>
      <c r="AN267" s="1" t="n">
        <f aca="false">N(AN266)+IF(AND(OR(R267="offered",R267="to be offered",R267="on hold"),B267&lt;&gt;""),1,0)</f>
        <v>33</v>
      </c>
      <c r="AO267" s="1" t="n">
        <f aca="false">N(AO266)+IF(AND(OR(R267="follow-up",R267="Evaluation",R267="tbd",R267="In evaluation"),B267&lt;&gt;""),1,0)</f>
        <v>1</v>
      </c>
      <c r="AP267" s="1" t="n">
        <f aca="false">IF(B267="",0,IF(COUNTIF('⚖️ Wahrscheinlichkeit'!$J$17:$J$24,R267)&gt;0,1,0))</f>
        <v>0</v>
      </c>
      <c r="AQ267" s="1" t="n">
        <f aca="false">IF(B267="",0,IF(AND(ISNUMBER(S267),COUNTIF('⚖️ Wahrscheinlichkeit'!$B$6:$B$11,S267)&gt;0),1,0))</f>
        <v>0</v>
      </c>
      <c r="AR267" s="1" t="n">
        <f aca="false">IF(B267="",0,IF(AND(COUNT(J267:M267)=4,SUM(J267:M267)&gt;0),1,0))</f>
        <v>0</v>
      </c>
      <c r="AS267" s="1" t="n">
        <f aca="false">IF(B267="",0,IF(AND(AF267&lt;&gt;"",AG267&lt;&gt;""),1,0))</f>
        <v>0</v>
      </c>
      <c r="AT267" s="1" t="n">
        <f aca="false">IF(AND(R267="WON",AS267=1,AR267=1),1,0)</f>
        <v>0</v>
      </c>
      <c r="AU267" s="1" t="n">
        <f aca="false">IF(B267="",0,IF(AD267="Alternative – zählt nicht",0,1))</f>
        <v>0</v>
      </c>
      <c r="AV267" s="1" t="n">
        <f aca="false">IF(B267="",0,IF(COUNTIF($B$6:$B$860,B267)&gt;1,1,0))</f>
        <v>0</v>
      </c>
      <c r="AX267" s="269" t="str">
        <f aca="false">IF(AY267=1,DATE(YEAR(O267),MONTH(O267),1),"")</f>
        <v/>
      </c>
      <c r="AY267" s="1" t="n">
        <f aca="false">IF(B267="",0,IF(AND(ISNUMBER(O267),ISNUMBER(P267)),IF(P267&gt;=O267,1,0),0))</f>
        <v>0</v>
      </c>
      <c r="AZ267" s="1" t="n">
        <f aca="false">IF(ISNUMBER(Y267),Y267,0)</f>
        <v>0</v>
      </c>
      <c r="BA267" s="1" t="str">
        <f aca="false">IF(B267="","",IF(AND(R267="WON",AS267=0),"⛔ Beleg fehlt · ","")&amp;IF(AND(R267="WON",AR267=0),"⛔ Einstand fehlt · ","")&amp;IF(AND(R267&lt;&gt;"WON",AR267=0),"○ Einstand offen · ","")&amp;IF(AND(R267="WON",AB267=""),"⛔ Vertragsart fehlt · ","")&amp;IF(AND(ISNUMBER(O267),ISNUMBER(P267)),IF(P267&lt;O267,"⚠ Ende vor Start · ",""),"")&amp;IF(AND(R267="WON",AY267=0,NOT(AND(ISNUMBER(O267),ISNUMBER(P267)))),"⛔ Zeitraum fehlt · ","")&amp;IF(AND(R267&lt;&gt;"WON",AY267=0,NOT(AND(ISNUMBER(O267),ISNUMBER(P267)))),"○ Zeitraum offen · ",""))</f>
        <v/>
      </c>
      <c r="BB267" s="1" t="str">
        <f aca="false">IF(B267="","",IF(AND(R267="WON",AS267=0),"⛔ Nachweis fehlt",IF(AND(ISNUMBER(O267),ISNUMBER(P267),P267&lt;O267),"⚠ Ende vor Start",IF(AND(R267="WON",AY267=0),"⛔ Zeitraum fehlt",IF(AR267=0,"○ Einstand offen",IF(AY267=0,"○ Zeitraum offen",IF(R267="WON","✅ belegt","✔ erfasst")))))))</f>
        <v/>
      </c>
    </row>
    <row r="268" customFormat="false" ht="15" hidden="false" customHeight="true" outlineLevel="0" collapsed="false">
      <c r="G268" s="1" t="str">
        <f aca="false">IF(B268="","",IF(AY268=1,P268-O268+1,IF(AW268="","",AW268)))</f>
        <v/>
      </c>
      <c r="I268" s="270"/>
      <c r="J268" s="270"/>
      <c r="K268" s="270"/>
      <c r="L268" s="270"/>
      <c r="M268" s="270"/>
      <c r="N268" s="270"/>
      <c r="O268" s="263"/>
      <c r="P268" s="263"/>
      <c r="Q268" s="270" t="str">
        <f aca="false">IF(AND(ISNUMBER(I268),ISNUMBER(S268)),I268*AJ268,IF(OR(I268&lt;&gt;"",S268&lt;&gt;""),"tbd",""))</f>
        <v/>
      </c>
      <c r="S268" s="268"/>
      <c r="Y268" s="275" t="str">
        <f aca="false">IF(ISNUMBER(I268),I268/Netto_Faktor,"")</f>
        <v/>
      </c>
      <c r="Z268" s="275" t="str">
        <f aca="false">IF(B268="","",IF(COUNT(J268:N268)=0,"",SUM(J268:N268)))</f>
        <v/>
      </c>
      <c r="AA268" s="266"/>
      <c r="AB268" s="266"/>
      <c r="AC268" s="266"/>
      <c r="AD268" s="266"/>
      <c r="AE268" s="266"/>
      <c r="AF268" s="266"/>
      <c r="AG268" s="267"/>
      <c r="AH268" s="266" t="str">
        <f aca="false">IF(B268="","",IF(BA268="",IF(R268="WON","✅ belegt &amp; vollständig","✔ vollständig"),LEFT(BA268,LEN(BA268)-3)))</f>
        <v/>
      </c>
      <c r="AJ268" s="268" t="n">
        <f aca="false">IF(ISNUMBER(S268),IFERROR(LOOKUP(IF(S268&lt;=1,S268,S268/100),'⚖️ Wahrscheinlichkeit'!$B$17:$B$21,'⚖️ Wahrscheinlichkeit'!$D$17:$D$21),0),0)</f>
        <v>0</v>
      </c>
      <c r="AK268" s="1" t="str">
        <f aca="false">IF(AND(R268="WON",ISNUMBER(I268)),AL268+(861-ROW())*0.000001,"")</f>
        <v/>
      </c>
      <c r="AL268" s="1" t="n">
        <f aca="false">IFERROR(I268*1,0)</f>
        <v>0</v>
      </c>
      <c r="AM268" s="1" t="n">
        <f aca="false">N(AM267)+IF(AND(R268="WON",B268&lt;&gt;""),1,0)</f>
        <v>12</v>
      </c>
      <c r="AN268" s="1" t="n">
        <f aca="false">N(AN267)+IF(AND(OR(R268="offered",R268="to be offered",R268="on hold"),B268&lt;&gt;""),1,0)</f>
        <v>33</v>
      </c>
      <c r="AO268" s="1" t="n">
        <f aca="false">N(AO267)+IF(AND(OR(R268="follow-up",R268="Evaluation",R268="tbd",R268="In evaluation"),B268&lt;&gt;""),1,0)</f>
        <v>1</v>
      </c>
      <c r="AP268" s="1" t="n">
        <f aca="false">IF(B268="",0,IF(COUNTIF('⚖️ Wahrscheinlichkeit'!$J$17:$J$24,R268)&gt;0,1,0))</f>
        <v>0</v>
      </c>
      <c r="AQ268" s="1" t="n">
        <f aca="false">IF(B268="",0,IF(AND(ISNUMBER(S268),COUNTIF('⚖️ Wahrscheinlichkeit'!$B$6:$B$11,S268)&gt;0),1,0))</f>
        <v>0</v>
      </c>
      <c r="AR268" s="1" t="n">
        <f aca="false">IF(B268="",0,IF(AND(COUNT(J268:M268)=4,SUM(J268:M268)&gt;0),1,0))</f>
        <v>0</v>
      </c>
      <c r="AS268" s="1" t="n">
        <f aca="false">IF(B268="",0,IF(AND(AF268&lt;&gt;"",AG268&lt;&gt;""),1,0))</f>
        <v>0</v>
      </c>
      <c r="AT268" s="1" t="n">
        <f aca="false">IF(AND(R268="WON",AS268=1,AR268=1),1,0)</f>
        <v>0</v>
      </c>
      <c r="AU268" s="1" t="n">
        <f aca="false">IF(B268="",0,IF(AD268="Alternative – zählt nicht",0,1))</f>
        <v>0</v>
      </c>
      <c r="AV268" s="1" t="n">
        <f aca="false">IF(B268="",0,IF(COUNTIF($B$6:$B$860,B268)&gt;1,1,0))</f>
        <v>0</v>
      </c>
      <c r="AX268" s="269" t="str">
        <f aca="false">IF(AY268=1,DATE(YEAR(O268),MONTH(O268),1),"")</f>
        <v/>
      </c>
      <c r="AY268" s="1" t="n">
        <f aca="false">IF(B268="",0,IF(AND(ISNUMBER(O268),ISNUMBER(P268)),IF(P268&gt;=O268,1,0),0))</f>
        <v>0</v>
      </c>
      <c r="AZ268" s="1" t="n">
        <f aca="false">IF(ISNUMBER(Y268),Y268,0)</f>
        <v>0</v>
      </c>
      <c r="BA268" s="1" t="str">
        <f aca="false">IF(B268="","",IF(AND(R268="WON",AS268=0),"⛔ Beleg fehlt · ","")&amp;IF(AND(R268="WON",AR268=0),"⛔ Einstand fehlt · ","")&amp;IF(AND(R268&lt;&gt;"WON",AR268=0),"○ Einstand offen · ","")&amp;IF(AND(R268="WON",AB268=""),"⛔ Vertragsart fehlt · ","")&amp;IF(AND(ISNUMBER(O268),ISNUMBER(P268)),IF(P268&lt;O268,"⚠ Ende vor Start · ",""),"")&amp;IF(AND(R268="WON",AY268=0,NOT(AND(ISNUMBER(O268),ISNUMBER(P268)))),"⛔ Zeitraum fehlt · ","")&amp;IF(AND(R268&lt;&gt;"WON",AY268=0,NOT(AND(ISNUMBER(O268),ISNUMBER(P268)))),"○ Zeitraum offen · ",""))</f>
        <v/>
      </c>
      <c r="BB268" s="1" t="str">
        <f aca="false">IF(B268="","",IF(AND(R268="WON",AS268=0),"⛔ Nachweis fehlt",IF(AND(ISNUMBER(O268),ISNUMBER(P268),P268&lt;O268),"⚠ Ende vor Start",IF(AND(R268="WON",AY268=0),"⛔ Zeitraum fehlt",IF(AR268=0,"○ Einstand offen",IF(AY268=0,"○ Zeitraum offen",IF(R268="WON","✅ belegt","✔ erfasst")))))))</f>
        <v/>
      </c>
    </row>
    <row r="269" customFormat="false" ht="15" hidden="false" customHeight="true" outlineLevel="0" collapsed="false">
      <c r="G269" s="1" t="str">
        <f aca="false">IF(B269="","",IF(AY269=1,P269-O269+1,IF(AW269="","",AW269)))</f>
        <v/>
      </c>
      <c r="I269" s="270"/>
      <c r="J269" s="270"/>
      <c r="K269" s="270"/>
      <c r="L269" s="270"/>
      <c r="M269" s="270"/>
      <c r="N269" s="270"/>
      <c r="O269" s="263"/>
      <c r="P269" s="263"/>
      <c r="Q269" s="270" t="str">
        <f aca="false">IF(AND(ISNUMBER(I269),ISNUMBER(S269)),I269*AJ269,IF(OR(I269&lt;&gt;"",S269&lt;&gt;""),"tbd",""))</f>
        <v/>
      </c>
      <c r="S269" s="268"/>
      <c r="Y269" s="275" t="str">
        <f aca="false">IF(ISNUMBER(I269),I269/Netto_Faktor,"")</f>
        <v/>
      </c>
      <c r="Z269" s="275" t="str">
        <f aca="false">IF(B269="","",IF(COUNT(J269:N269)=0,"",SUM(J269:N269)))</f>
        <v/>
      </c>
      <c r="AA269" s="266"/>
      <c r="AB269" s="266"/>
      <c r="AC269" s="266"/>
      <c r="AD269" s="266"/>
      <c r="AE269" s="266"/>
      <c r="AF269" s="266"/>
      <c r="AG269" s="267"/>
      <c r="AH269" s="266" t="str">
        <f aca="false">IF(B269="","",IF(BA269="",IF(R269="WON","✅ belegt &amp; vollständig","✔ vollständig"),LEFT(BA269,LEN(BA269)-3)))</f>
        <v/>
      </c>
      <c r="AJ269" s="268" t="n">
        <f aca="false">IF(ISNUMBER(S269),IFERROR(LOOKUP(IF(S269&lt;=1,S269,S269/100),'⚖️ Wahrscheinlichkeit'!$B$17:$B$21,'⚖️ Wahrscheinlichkeit'!$D$17:$D$21),0),0)</f>
        <v>0</v>
      </c>
      <c r="AK269" s="1" t="str">
        <f aca="false">IF(AND(R269="WON",ISNUMBER(I269)),AL269+(861-ROW())*0.000001,"")</f>
        <v/>
      </c>
      <c r="AL269" s="1" t="n">
        <f aca="false">IFERROR(I269*1,0)</f>
        <v>0</v>
      </c>
      <c r="AM269" s="1" t="n">
        <f aca="false">N(AM268)+IF(AND(R269="WON",B269&lt;&gt;""),1,0)</f>
        <v>12</v>
      </c>
      <c r="AN269" s="1" t="n">
        <f aca="false">N(AN268)+IF(AND(OR(R269="offered",R269="to be offered",R269="on hold"),B269&lt;&gt;""),1,0)</f>
        <v>33</v>
      </c>
      <c r="AO269" s="1" t="n">
        <f aca="false">N(AO268)+IF(AND(OR(R269="follow-up",R269="Evaluation",R269="tbd",R269="In evaluation"),B269&lt;&gt;""),1,0)</f>
        <v>1</v>
      </c>
      <c r="AP269" s="1" t="n">
        <f aca="false">IF(B269="",0,IF(COUNTIF('⚖️ Wahrscheinlichkeit'!$J$17:$J$24,R269)&gt;0,1,0))</f>
        <v>0</v>
      </c>
      <c r="AQ269" s="1" t="n">
        <f aca="false">IF(B269="",0,IF(AND(ISNUMBER(S269),COUNTIF('⚖️ Wahrscheinlichkeit'!$B$6:$B$11,S269)&gt;0),1,0))</f>
        <v>0</v>
      </c>
      <c r="AR269" s="1" t="n">
        <f aca="false">IF(B269="",0,IF(AND(COUNT(J269:M269)=4,SUM(J269:M269)&gt;0),1,0))</f>
        <v>0</v>
      </c>
      <c r="AS269" s="1" t="n">
        <f aca="false">IF(B269="",0,IF(AND(AF269&lt;&gt;"",AG269&lt;&gt;""),1,0))</f>
        <v>0</v>
      </c>
      <c r="AT269" s="1" t="n">
        <f aca="false">IF(AND(R269="WON",AS269=1,AR269=1),1,0)</f>
        <v>0</v>
      </c>
      <c r="AU269" s="1" t="n">
        <f aca="false">IF(B269="",0,IF(AD269="Alternative – zählt nicht",0,1))</f>
        <v>0</v>
      </c>
      <c r="AV269" s="1" t="n">
        <f aca="false">IF(B269="",0,IF(COUNTIF($B$6:$B$860,B269)&gt;1,1,0))</f>
        <v>0</v>
      </c>
      <c r="AX269" s="269" t="str">
        <f aca="false">IF(AY269=1,DATE(YEAR(O269),MONTH(O269),1),"")</f>
        <v/>
      </c>
      <c r="AY269" s="1" t="n">
        <f aca="false">IF(B269="",0,IF(AND(ISNUMBER(O269),ISNUMBER(P269)),IF(P269&gt;=O269,1,0),0))</f>
        <v>0</v>
      </c>
      <c r="AZ269" s="1" t="n">
        <f aca="false">IF(ISNUMBER(Y269),Y269,0)</f>
        <v>0</v>
      </c>
      <c r="BA269" s="1" t="str">
        <f aca="false">IF(B269="","",IF(AND(R269="WON",AS269=0),"⛔ Beleg fehlt · ","")&amp;IF(AND(R269="WON",AR269=0),"⛔ Einstand fehlt · ","")&amp;IF(AND(R269&lt;&gt;"WON",AR269=0),"○ Einstand offen · ","")&amp;IF(AND(R269="WON",AB269=""),"⛔ Vertragsart fehlt · ","")&amp;IF(AND(ISNUMBER(O269),ISNUMBER(P269)),IF(P269&lt;O269,"⚠ Ende vor Start · ",""),"")&amp;IF(AND(R269="WON",AY269=0,NOT(AND(ISNUMBER(O269),ISNUMBER(P269)))),"⛔ Zeitraum fehlt · ","")&amp;IF(AND(R269&lt;&gt;"WON",AY269=0,NOT(AND(ISNUMBER(O269),ISNUMBER(P269)))),"○ Zeitraum offen · ",""))</f>
        <v/>
      </c>
      <c r="BB269" s="1" t="str">
        <f aca="false">IF(B269="","",IF(AND(R269="WON",AS269=0),"⛔ Nachweis fehlt",IF(AND(ISNUMBER(O269),ISNUMBER(P269),P269&lt;O269),"⚠ Ende vor Start",IF(AND(R269="WON",AY269=0),"⛔ Zeitraum fehlt",IF(AR269=0,"○ Einstand offen",IF(AY269=0,"○ Zeitraum offen",IF(R269="WON","✅ belegt","✔ erfasst")))))))</f>
        <v/>
      </c>
    </row>
    <row r="270" customFormat="false" ht="15" hidden="false" customHeight="true" outlineLevel="0" collapsed="false">
      <c r="G270" s="1" t="str">
        <f aca="false">IF(B270="","",IF(AY270=1,P270-O270+1,IF(AW270="","",AW270)))</f>
        <v/>
      </c>
      <c r="I270" s="270"/>
      <c r="J270" s="270"/>
      <c r="K270" s="270"/>
      <c r="L270" s="270"/>
      <c r="M270" s="270"/>
      <c r="N270" s="270"/>
      <c r="O270" s="263"/>
      <c r="P270" s="263"/>
      <c r="Q270" s="270" t="str">
        <f aca="false">IF(AND(ISNUMBER(I270),ISNUMBER(S270)),I270*AJ270,IF(OR(I270&lt;&gt;"",S270&lt;&gt;""),"tbd",""))</f>
        <v/>
      </c>
      <c r="S270" s="268"/>
      <c r="Y270" s="275" t="str">
        <f aca="false">IF(ISNUMBER(I270),I270/Netto_Faktor,"")</f>
        <v/>
      </c>
      <c r="Z270" s="275" t="str">
        <f aca="false">IF(B270="","",IF(COUNT(J270:N270)=0,"",SUM(J270:N270)))</f>
        <v/>
      </c>
      <c r="AA270" s="266"/>
      <c r="AB270" s="266"/>
      <c r="AC270" s="266"/>
      <c r="AD270" s="266"/>
      <c r="AE270" s="266"/>
      <c r="AF270" s="266"/>
      <c r="AG270" s="267"/>
      <c r="AH270" s="266" t="str">
        <f aca="false">IF(B270="","",IF(BA270="",IF(R270="WON","✅ belegt &amp; vollständig","✔ vollständig"),LEFT(BA270,LEN(BA270)-3)))</f>
        <v/>
      </c>
      <c r="AJ270" s="268" t="n">
        <f aca="false">IF(ISNUMBER(S270),IFERROR(LOOKUP(IF(S270&lt;=1,S270,S270/100),'⚖️ Wahrscheinlichkeit'!$B$17:$B$21,'⚖️ Wahrscheinlichkeit'!$D$17:$D$21),0),0)</f>
        <v>0</v>
      </c>
      <c r="AK270" s="1" t="str">
        <f aca="false">IF(AND(R270="WON",ISNUMBER(I270)),AL270+(861-ROW())*0.000001,"")</f>
        <v/>
      </c>
      <c r="AL270" s="1" t="n">
        <f aca="false">IFERROR(I270*1,0)</f>
        <v>0</v>
      </c>
      <c r="AM270" s="1" t="n">
        <f aca="false">N(AM269)+IF(AND(R270="WON",B270&lt;&gt;""),1,0)</f>
        <v>12</v>
      </c>
      <c r="AN270" s="1" t="n">
        <f aca="false">N(AN269)+IF(AND(OR(R270="offered",R270="to be offered",R270="on hold"),B270&lt;&gt;""),1,0)</f>
        <v>33</v>
      </c>
      <c r="AO270" s="1" t="n">
        <f aca="false">N(AO269)+IF(AND(OR(R270="follow-up",R270="Evaluation",R270="tbd",R270="In evaluation"),B270&lt;&gt;""),1,0)</f>
        <v>1</v>
      </c>
      <c r="AP270" s="1" t="n">
        <f aca="false">IF(B270="",0,IF(COUNTIF('⚖️ Wahrscheinlichkeit'!$J$17:$J$24,R270)&gt;0,1,0))</f>
        <v>0</v>
      </c>
      <c r="AQ270" s="1" t="n">
        <f aca="false">IF(B270="",0,IF(AND(ISNUMBER(S270),COUNTIF('⚖️ Wahrscheinlichkeit'!$B$6:$B$11,S270)&gt;0),1,0))</f>
        <v>0</v>
      </c>
      <c r="AR270" s="1" t="n">
        <f aca="false">IF(B270="",0,IF(AND(COUNT(J270:M270)=4,SUM(J270:M270)&gt;0),1,0))</f>
        <v>0</v>
      </c>
      <c r="AS270" s="1" t="n">
        <f aca="false">IF(B270="",0,IF(AND(AF270&lt;&gt;"",AG270&lt;&gt;""),1,0))</f>
        <v>0</v>
      </c>
      <c r="AT270" s="1" t="n">
        <f aca="false">IF(AND(R270="WON",AS270=1,AR270=1),1,0)</f>
        <v>0</v>
      </c>
      <c r="AU270" s="1" t="n">
        <f aca="false">IF(B270="",0,IF(AD270="Alternative – zählt nicht",0,1))</f>
        <v>0</v>
      </c>
      <c r="AV270" s="1" t="n">
        <f aca="false">IF(B270="",0,IF(COUNTIF($B$6:$B$860,B270)&gt;1,1,0))</f>
        <v>0</v>
      </c>
      <c r="AX270" s="269" t="str">
        <f aca="false">IF(AY270=1,DATE(YEAR(O270),MONTH(O270),1),"")</f>
        <v/>
      </c>
      <c r="AY270" s="1" t="n">
        <f aca="false">IF(B270="",0,IF(AND(ISNUMBER(O270),ISNUMBER(P270)),IF(P270&gt;=O270,1,0),0))</f>
        <v>0</v>
      </c>
      <c r="AZ270" s="1" t="n">
        <f aca="false">IF(ISNUMBER(Y270),Y270,0)</f>
        <v>0</v>
      </c>
      <c r="BA270" s="1" t="str">
        <f aca="false">IF(B270="","",IF(AND(R270="WON",AS270=0),"⛔ Beleg fehlt · ","")&amp;IF(AND(R270="WON",AR270=0),"⛔ Einstand fehlt · ","")&amp;IF(AND(R270&lt;&gt;"WON",AR270=0),"○ Einstand offen · ","")&amp;IF(AND(R270="WON",AB270=""),"⛔ Vertragsart fehlt · ","")&amp;IF(AND(ISNUMBER(O270),ISNUMBER(P270)),IF(P270&lt;O270,"⚠ Ende vor Start · ",""),"")&amp;IF(AND(R270="WON",AY270=0,NOT(AND(ISNUMBER(O270),ISNUMBER(P270)))),"⛔ Zeitraum fehlt · ","")&amp;IF(AND(R270&lt;&gt;"WON",AY270=0,NOT(AND(ISNUMBER(O270),ISNUMBER(P270)))),"○ Zeitraum offen · ",""))</f>
        <v/>
      </c>
      <c r="BB270" s="1" t="str">
        <f aca="false">IF(B270="","",IF(AND(R270="WON",AS270=0),"⛔ Nachweis fehlt",IF(AND(ISNUMBER(O270),ISNUMBER(P270),P270&lt;O270),"⚠ Ende vor Start",IF(AND(R270="WON",AY270=0),"⛔ Zeitraum fehlt",IF(AR270=0,"○ Einstand offen",IF(AY270=0,"○ Zeitraum offen",IF(R270="WON","✅ belegt","✔ erfasst")))))))</f>
        <v/>
      </c>
    </row>
    <row r="271" customFormat="false" ht="15" hidden="false" customHeight="true" outlineLevel="0" collapsed="false">
      <c r="G271" s="1" t="str">
        <f aca="false">IF(B271="","",IF(AY271=1,P271-O271+1,IF(AW271="","",AW271)))</f>
        <v/>
      </c>
      <c r="I271" s="270"/>
      <c r="J271" s="270"/>
      <c r="K271" s="270"/>
      <c r="L271" s="270"/>
      <c r="M271" s="270"/>
      <c r="N271" s="270"/>
      <c r="O271" s="263"/>
      <c r="P271" s="263"/>
      <c r="Q271" s="270" t="str">
        <f aca="false">IF(AND(ISNUMBER(I271),ISNUMBER(S271)),I271*AJ271,IF(OR(I271&lt;&gt;"",S271&lt;&gt;""),"tbd",""))</f>
        <v/>
      </c>
      <c r="S271" s="268"/>
      <c r="Y271" s="275" t="str">
        <f aca="false">IF(ISNUMBER(I271),I271/Netto_Faktor,"")</f>
        <v/>
      </c>
      <c r="Z271" s="275" t="str">
        <f aca="false">IF(B271="","",IF(COUNT(J271:N271)=0,"",SUM(J271:N271)))</f>
        <v/>
      </c>
      <c r="AA271" s="266"/>
      <c r="AB271" s="266"/>
      <c r="AC271" s="266"/>
      <c r="AD271" s="266"/>
      <c r="AE271" s="266"/>
      <c r="AF271" s="266"/>
      <c r="AG271" s="267"/>
      <c r="AH271" s="266" t="str">
        <f aca="false">IF(B271="","",IF(BA271="",IF(R271="WON","✅ belegt &amp; vollständig","✔ vollständig"),LEFT(BA271,LEN(BA271)-3)))</f>
        <v/>
      </c>
      <c r="AJ271" s="268" t="n">
        <f aca="false">IF(ISNUMBER(S271),IFERROR(LOOKUP(IF(S271&lt;=1,S271,S271/100),'⚖️ Wahrscheinlichkeit'!$B$17:$B$21,'⚖️ Wahrscheinlichkeit'!$D$17:$D$21),0),0)</f>
        <v>0</v>
      </c>
      <c r="AK271" s="1" t="str">
        <f aca="false">IF(AND(R271="WON",ISNUMBER(I271)),AL271+(861-ROW())*0.000001,"")</f>
        <v/>
      </c>
      <c r="AL271" s="1" t="n">
        <f aca="false">IFERROR(I271*1,0)</f>
        <v>0</v>
      </c>
      <c r="AM271" s="1" t="n">
        <f aca="false">N(AM270)+IF(AND(R271="WON",B271&lt;&gt;""),1,0)</f>
        <v>12</v>
      </c>
      <c r="AN271" s="1" t="n">
        <f aca="false">N(AN270)+IF(AND(OR(R271="offered",R271="to be offered",R271="on hold"),B271&lt;&gt;""),1,0)</f>
        <v>33</v>
      </c>
      <c r="AO271" s="1" t="n">
        <f aca="false">N(AO270)+IF(AND(OR(R271="follow-up",R271="Evaluation",R271="tbd",R271="In evaluation"),B271&lt;&gt;""),1,0)</f>
        <v>1</v>
      </c>
      <c r="AP271" s="1" t="n">
        <f aca="false">IF(B271="",0,IF(COUNTIF('⚖️ Wahrscheinlichkeit'!$J$17:$J$24,R271)&gt;0,1,0))</f>
        <v>0</v>
      </c>
      <c r="AQ271" s="1" t="n">
        <f aca="false">IF(B271="",0,IF(AND(ISNUMBER(S271),COUNTIF('⚖️ Wahrscheinlichkeit'!$B$6:$B$11,S271)&gt;0),1,0))</f>
        <v>0</v>
      </c>
      <c r="AR271" s="1" t="n">
        <f aca="false">IF(B271="",0,IF(AND(COUNT(J271:M271)=4,SUM(J271:M271)&gt;0),1,0))</f>
        <v>0</v>
      </c>
      <c r="AS271" s="1" t="n">
        <f aca="false">IF(B271="",0,IF(AND(AF271&lt;&gt;"",AG271&lt;&gt;""),1,0))</f>
        <v>0</v>
      </c>
      <c r="AT271" s="1" t="n">
        <f aca="false">IF(AND(R271="WON",AS271=1,AR271=1),1,0)</f>
        <v>0</v>
      </c>
      <c r="AU271" s="1" t="n">
        <f aca="false">IF(B271="",0,IF(AD271="Alternative – zählt nicht",0,1))</f>
        <v>0</v>
      </c>
      <c r="AV271" s="1" t="n">
        <f aca="false">IF(B271="",0,IF(COUNTIF($B$6:$B$860,B271)&gt;1,1,0))</f>
        <v>0</v>
      </c>
      <c r="AX271" s="269" t="str">
        <f aca="false">IF(AY271=1,DATE(YEAR(O271),MONTH(O271),1),"")</f>
        <v/>
      </c>
      <c r="AY271" s="1" t="n">
        <f aca="false">IF(B271="",0,IF(AND(ISNUMBER(O271),ISNUMBER(P271)),IF(P271&gt;=O271,1,0),0))</f>
        <v>0</v>
      </c>
      <c r="AZ271" s="1" t="n">
        <f aca="false">IF(ISNUMBER(Y271),Y271,0)</f>
        <v>0</v>
      </c>
      <c r="BA271" s="1" t="str">
        <f aca="false">IF(B271="","",IF(AND(R271="WON",AS271=0),"⛔ Beleg fehlt · ","")&amp;IF(AND(R271="WON",AR271=0),"⛔ Einstand fehlt · ","")&amp;IF(AND(R271&lt;&gt;"WON",AR271=0),"○ Einstand offen · ","")&amp;IF(AND(R271="WON",AB271=""),"⛔ Vertragsart fehlt · ","")&amp;IF(AND(ISNUMBER(O271),ISNUMBER(P271)),IF(P271&lt;O271,"⚠ Ende vor Start · ",""),"")&amp;IF(AND(R271="WON",AY271=0,NOT(AND(ISNUMBER(O271),ISNUMBER(P271)))),"⛔ Zeitraum fehlt · ","")&amp;IF(AND(R271&lt;&gt;"WON",AY271=0,NOT(AND(ISNUMBER(O271),ISNUMBER(P271)))),"○ Zeitraum offen · ",""))</f>
        <v/>
      </c>
      <c r="BB271" s="1" t="str">
        <f aca="false">IF(B271="","",IF(AND(R271="WON",AS271=0),"⛔ Nachweis fehlt",IF(AND(ISNUMBER(O271),ISNUMBER(P271),P271&lt;O271),"⚠ Ende vor Start",IF(AND(R271="WON",AY271=0),"⛔ Zeitraum fehlt",IF(AR271=0,"○ Einstand offen",IF(AY271=0,"○ Zeitraum offen",IF(R271="WON","✅ belegt","✔ erfasst")))))))</f>
        <v/>
      </c>
    </row>
    <row r="272" customFormat="false" ht="15" hidden="false" customHeight="true" outlineLevel="0" collapsed="false">
      <c r="G272" s="1" t="str">
        <f aca="false">IF(B272="","",IF(AY272=1,P272-O272+1,IF(AW272="","",AW272)))</f>
        <v/>
      </c>
      <c r="I272" s="270"/>
      <c r="J272" s="270"/>
      <c r="K272" s="270"/>
      <c r="L272" s="270"/>
      <c r="M272" s="270"/>
      <c r="N272" s="270"/>
      <c r="O272" s="263"/>
      <c r="P272" s="263"/>
      <c r="Q272" s="270" t="str">
        <f aca="false">IF(AND(ISNUMBER(I272),ISNUMBER(S272)),I272*AJ272,IF(OR(I272&lt;&gt;"",S272&lt;&gt;""),"tbd",""))</f>
        <v/>
      </c>
      <c r="S272" s="268"/>
      <c r="Y272" s="275" t="str">
        <f aca="false">IF(ISNUMBER(I272),I272/Netto_Faktor,"")</f>
        <v/>
      </c>
      <c r="Z272" s="275" t="str">
        <f aca="false">IF(B272="","",IF(COUNT(J272:N272)=0,"",SUM(J272:N272)))</f>
        <v/>
      </c>
      <c r="AA272" s="266"/>
      <c r="AB272" s="266"/>
      <c r="AC272" s="266"/>
      <c r="AD272" s="266"/>
      <c r="AE272" s="266"/>
      <c r="AF272" s="266"/>
      <c r="AG272" s="267"/>
      <c r="AH272" s="266" t="str">
        <f aca="false">IF(B272="","",IF(BA272="",IF(R272="WON","✅ belegt &amp; vollständig","✔ vollständig"),LEFT(BA272,LEN(BA272)-3)))</f>
        <v/>
      </c>
      <c r="AJ272" s="268" t="n">
        <f aca="false">IF(ISNUMBER(S272),IFERROR(LOOKUP(IF(S272&lt;=1,S272,S272/100),'⚖️ Wahrscheinlichkeit'!$B$17:$B$21,'⚖️ Wahrscheinlichkeit'!$D$17:$D$21),0),0)</f>
        <v>0</v>
      </c>
      <c r="AK272" s="1" t="str">
        <f aca="false">IF(AND(R272="WON",ISNUMBER(I272)),AL272+(861-ROW())*0.000001,"")</f>
        <v/>
      </c>
      <c r="AL272" s="1" t="n">
        <f aca="false">IFERROR(I272*1,0)</f>
        <v>0</v>
      </c>
      <c r="AM272" s="1" t="n">
        <f aca="false">N(AM271)+IF(AND(R272="WON",B272&lt;&gt;""),1,0)</f>
        <v>12</v>
      </c>
      <c r="AN272" s="1" t="n">
        <f aca="false">N(AN271)+IF(AND(OR(R272="offered",R272="to be offered",R272="on hold"),B272&lt;&gt;""),1,0)</f>
        <v>33</v>
      </c>
      <c r="AO272" s="1" t="n">
        <f aca="false">N(AO271)+IF(AND(OR(R272="follow-up",R272="Evaluation",R272="tbd",R272="In evaluation"),B272&lt;&gt;""),1,0)</f>
        <v>1</v>
      </c>
      <c r="AP272" s="1" t="n">
        <f aca="false">IF(B272="",0,IF(COUNTIF('⚖️ Wahrscheinlichkeit'!$J$17:$J$24,R272)&gt;0,1,0))</f>
        <v>0</v>
      </c>
      <c r="AQ272" s="1" t="n">
        <f aca="false">IF(B272="",0,IF(AND(ISNUMBER(S272),COUNTIF('⚖️ Wahrscheinlichkeit'!$B$6:$B$11,S272)&gt;0),1,0))</f>
        <v>0</v>
      </c>
      <c r="AR272" s="1" t="n">
        <f aca="false">IF(B272="",0,IF(AND(COUNT(J272:M272)=4,SUM(J272:M272)&gt;0),1,0))</f>
        <v>0</v>
      </c>
      <c r="AS272" s="1" t="n">
        <f aca="false">IF(B272="",0,IF(AND(AF272&lt;&gt;"",AG272&lt;&gt;""),1,0))</f>
        <v>0</v>
      </c>
      <c r="AT272" s="1" t="n">
        <f aca="false">IF(AND(R272="WON",AS272=1,AR272=1),1,0)</f>
        <v>0</v>
      </c>
      <c r="AU272" s="1" t="n">
        <f aca="false">IF(B272="",0,IF(AD272="Alternative – zählt nicht",0,1))</f>
        <v>0</v>
      </c>
      <c r="AV272" s="1" t="n">
        <f aca="false">IF(B272="",0,IF(COUNTIF($B$6:$B$860,B272)&gt;1,1,0))</f>
        <v>0</v>
      </c>
      <c r="AX272" s="269" t="str">
        <f aca="false">IF(AY272=1,DATE(YEAR(O272),MONTH(O272),1),"")</f>
        <v/>
      </c>
      <c r="AY272" s="1" t="n">
        <f aca="false">IF(B272="",0,IF(AND(ISNUMBER(O272),ISNUMBER(P272)),IF(P272&gt;=O272,1,0),0))</f>
        <v>0</v>
      </c>
      <c r="AZ272" s="1" t="n">
        <f aca="false">IF(ISNUMBER(Y272),Y272,0)</f>
        <v>0</v>
      </c>
      <c r="BA272" s="1" t="str">
        <f aca="false">IF(B272="","",IF(AND(R272="WON",AS272=0),"⛔ Beleg fehlt · ","")&amp;IF(AND(R272="WON",AR272=0),"⛔ Einstand fehlt · ","")&amp;IF(AND(R272&lt;&gt;"WON",AR272=0),"○ Einstand offen · ","")&amp;IF(AND(R272="WON",AB272=""),"⛔ Vertragsart fehlt · ","")&amp;IF(AND(ISNUMBER(O272),ISNUMBER(P272)),IF(P272&lt;O272,"⚠ Ende vor Start · ",""),"")&amp;IF(AND(R272="WON",AY272=0,NOT(AND(ISNUMBER(O272),ISNUMBER(P272)))),"⛔ Zeitraum fehlt · ","")&amp;IF(AND(R272&lt;&gt;"WON",AY272=0,NOT(AND(ISNUMBER(O272),ISNUMBER(P272)))),"○ Zeitraum offen · ",""))</f>
        <v/>
      </c>
      <c r="BB272" s="1" t="str">
        <f aca="false">IF(B272="","",IF(AND(R272="WON",AS272=0),"⛔ Nachweis fehlt",IF(AND(ISNUMBER(O272),ISNUMBER(P272),P272&lt;O272),"⚠ Ende vor Start",IF(AND(R272="WON",AY272=0),"⛔ Zeitraum fehlt",IF(AR272=0,"○ Einstand offen",IF(AY272=0,"○ Zeitraum offen",IF(R272="WON","✅ belegt","✔ erfasst")))))))</f>
        <v/>
      </c>
    </row>
    <row r="273" customFormat="false" ht="15" hidden="false" customHeight="true" outlineLevel="0" collapsed="false">
      <c r="G273" s="1" t="str">
        <f aca="false">IF(B273="","",IF(AY273=1,P273-O273+1,IF(AW273="","",AW273)))</f>
        <v/>
      </c>
      <c r="I273" s="270"/>
      <c r="J273" s="270"/>
      <c r="K273" s="270"/>
      <c r="L273" s="270"/>
      <c r="M273" s="270"/>
      <c r="N273" s="270"/>
      <c r="O273" s="263"/>
      <c r="P273" s="263"/>
      <c r="Q273" s="270" t="str">
        <f aca="false">IF(AND(ISNUMBER(I273),ISNUMBER(S273)),I273*AJ273,IF(OR(I273&lt;&gt;"",S273&lt;&gt;""),"tbd",""))</f>
        <v/>
      </c>
      <c r="S273" s="268"/>
      <c r="Y273" s="275" t="str">
        <f aca="false">IF(ISNUMBER(I273),I273/Netto_Faktor,"")</f>
        <v/>
      </c>
      <c r="Z273" s="275" t="str">
        <f aca="false">IF(B273="","",IF(COUNT(J273:N273)=0,"",SUM(J273:N273)))</f>
        <v/>
      </c>
      <c r="AA273" s="266"/>
      <c r="AB273" s="266"/>
      <c r="AC273" s="266"/>
      <c r="AD273" s="266"/>
      <c r="AE273" s="266"/>
      <c r="AF273" s="266"/>
      <c r="AG273" s="267"/>
      <c r="AH273" s="266" t="str">
        <f aca="false">IF(B273="","",IF(BA273="",IF(R273="WON","✅ belegt &amp; vollständig","✔ vollständig"),LEFT(BA273,LEN(BA273)-3)))</f>
        <v/>
      </c>
      <c r="AJ273" s="268" t="n">
        <f aca="false">IF(ISNUMBER(S273),IFERROR(LOOKUP(IF(S273&lt;=1,S273,S273/100),'⚖️ Wahrscheinlichkeit'!$B$17:$B$21,'⚖️ Wahrscheinlichkeit'!$D$17:$D$21),0),0)</f>
        <v>0</v>
      </c>
      <c r="AK273" s="1" t="str">
        <f aca="false">IF(AND(R273="WON",ISNUMBER(I273)),AL273+(861-ROW())*0.000001,"")</f>
        <v/>
      </c>
      <c r="AL273" s="1" t="n">
        <f aca="false">IFERROR(I273*1,0)</f>
        <v>0</v>
      </c>
      <c r="AM273" s="1" t="n">
        <f aca="false">N(AM272)+IF(AND(R273="WON",B273&lt;&gt;""),1,0)</f>
        <v>12</v>
      </c>
      <c r="AN273" s="1" t="n">
        <f aca="false">N(AN272)+IF(AND(OR(R273="offered",R273="to be offered",R273="on hold"),B273&lt;&gt;""),1,0)</f>
        <v>33</v>
      </c>
      <c r="AO273" s="1" t="n">
        <f aca="false">N(AO272)+IF(AND(OR(R273="follow-up",R273="Evaluation",R273="tbd",R273="In evaluation"),B273&lt;&gt;""),1,0)</f>
        <v>1</v>
      </c>
      <c r="AP273" s="1" t="n">
        <f aca="false">IF(B273="",0,IF(COUNTIF('⚖️ Wahrscheinlichkeit'!$J$17:$J$24,R273)&gt;0,1,0))</f>
        <v>0</v>
      </c>
      <c r="AQ273" s="1" t="n">
        <f aca="false">IF(B273="",0,IF(AND(ISNUMBER(S273),COUNTIF('⚖️ Wahrscheinlichkeit'!$B$6:$B$11,S273)&gt;0),1,0))</f>
        <v>0</v>
      </c>
      <c r="AR273" s="1" t="n">
        <f aca="false">IF(B273="",0,IF(AND(COUNT(J273:M273)=4,SUM(J273:M273)&gt;0),1,0))</f>
        <v>0</v>
      </c>
      <c r="AS273" s="1" t="n">
        <f aca="false">IF(B273="",0,IF(AND(AF273&lt;&gt;"",AG273&lt;&gt;""),1,0))</f>
        <v>0</v>
      </c>
      <c r="AT273" s="1" t="n">
        <f aca="false">IF(AND(R273="WON",AS273=1,AR273=1),1,0)</f>
        <v>0</v>
      </c>
      <c r="AU273" s="1" t="n">
        <f aca="false">IF(B273="",0,IF(AD273="Alternative – zählt nicht",0,1))</f>
        <v>0</v>
      </c>
      <c r="AV273" s="1" t="n">
        <f aca="false">IF(B273="",0,IF(COUNTIF($B$6:$B$860,B273)&gt;1,1,0))</f>
        <v>0</v>
      </c>
      <c r="AX273" s="269" t="str">
        <f aca="false">IF(AY273=1,DATE(YEAR(O273),MONTH(O273),1),"")</f>
        <v/>
      </c>
      <c r="AY273" s="1" t="n">
        <f aca="false">IF(B273="",0,IF(AND(ISNUMBER(O273),ISNUMBER(P273)),IF(P273&gt;=O273,1,0),0))</f>
        <v>0</v>
      </c>
      <c r="AZ273" s="1" t="n">
        <f aca="false">IF(ISNUMBER(Y273),Y273,0)</f>
        <v>0</v>
      </c>
      <c r="BA273" s="1" t="str">
        <f aca="false">IF(B273="","",IF(AND(R273="WON",AS273=0),"⛔ Beleg fehlt · ","")&amp;IF(AND(R273="WON",AR273=0),"⛔ Einstand fehlt · ","")&amp;IF(AND(R273&lt;&gt;"WON",AR273=0),"○ Einstand offen · ","")&amp;IF(AND(R273="WON",AB273=""),"⛔ Vertragsart fehlt · ","")&amp;IF(AND(ISNUMBER(O273),ISNUMBER(P273)),IF(P273&lt;O273,"⚠ Ende vor Start · ",""),"")&amp;IF(AND(R273="WON",AY273=0,NOT(AND(ISNUMBER(O273),ISNUMBER(P273)))),"⛔ Zeitraum fehlt · ","")&amp;IF(AND(R273&lt;&gt;"WON",AY273=0,NOT(AND(ISNUMBER(O273),ISNUMBER(P273)))),"○ Zeitraum offen · ",""))</f>
        <v/>
      </c>
      <c r="BB273" s="1" t="str">
        <f aca="false">IF(B273="","",IF(AND(R273="WON",AS273=0),"⛔ Nachweis fehlt",IF(AND(ISNUMBER(O273),ISNUMBER(P273),P273&lt;O273),"⚠ Ende vor Start",IF(AND(R273="WON",AY273=0),"⛔ Zeitraum fehlt",IF(AR273=0,"○ Einstand offen",IF(AY273=0,"○ Zeitraum offen",IF(R273="WON","✅ belegt","✔ erfasst")))))))</f>
        <v/>
      </c>
    </row>
    <row r="274" customFormat="false" ht="15" hidden="false" customHeight="true" outlineLevel="0" collapsed="false">
      <c r="G274" s="1" t="str">
        <f aca="false">IF(B274="","",IF(AY274=1,P274-O274+1,IF(AW274="","",AW274)))</f>
        <v/>
      </c>
      <c r="I274" s="270"/>
      <c r="J274" s="270"/>
      <c r="K274" s="270"/>
      <c r="L274" s="270"/>
      <c r="M274" s="270"/>
      <c r="N274" s="270"/>
      <c r="O274" s="263"/>
      <c r="P274" s="263"/>
      <c r="Q274" s="270" t="str">
        <f aca="false">IF(AND(ISNUMBER(I274),ISNUMBER(S274)),I274*AJ274,IF(OR(I274&lt;&gt;"",S274&lt;&gt;""),"tbd",""))</f>
        <v/>
      </c>
      <c r="S274" s="268"/>
      <c r="Y274" s="275" t="str">
        <f aca="false">IF(ISNUMBER(I274),I274/Netto_Faktor,"")</f>
        <v/>
      </c>
      <c r="Z274" s="275" t="str">
        <f aca="false">IF(B274="","",IF(COUNT(J274:N274)=0,"",SUM(J274:N274)))</f>
        <v/>
      </c>
      <c r="AA274" s="266"/>
      <c r="AB274" s="266"/>
      <c r="AC274" s="266"/>
      <c r="AD274" s="266"/>
      <c r="AE274" s="266"/>
      <c r="AF274" s="266"/>
      <c r="AG274" s="267"/>
      <c r="AH274" s="266" t="str">
        <f aca="false">IF(B274="","",IF(BA274="",IF(R274="WON","✅ belegt &amp; vollständig","✔ vollständig"),LEFT(BA274,LEN(BA274)-3)))</f>
        <v/>
      </c>
      <c r="AJ274" s="268" t="n">
        <f aca="false">IF(ISNUMBER(S274),IFERROR(LOOKUP(IF(S274&lt;=1,S274,S274/100),'⚖️ Wahrscheinlichkeit'!$B$17:$B$21,'⚖️ Wahrscheinlichkeit'!$D$17:$D$21),0),0)</f>
        <v>0</v>
      </c>
      <c r="AK274" s="1" t="str">
        <f aca="false">IF(AND(R274="WON",ISNUMBER(I274)),AL274+(861-ROW())*0.000001,"")</f>
        <v/>
      </c>
      <c r="AL274" s="1" t="n">
        <f aca="false">IFERROR(I274*1,0)</f>
        <v>0</v>
      </c>
      <c r="AM274" s="1" t="n">
        <f aca="false">N(AM273)+IF(AND(R274="WON",B274&lt;&gt;""),1,0)</f>
        <v>12</v>
      </c>
      <c r="AN274" s="1" t="n">
        <f aca="false">N(AN273)+IF(AND(OR(R274="offered",R274="to be offered",R274="on hold"),B274&lt;&gt;""),1,0)</f>
        <v>33</v>
      </c>
      <c r="AO274" s="1" t="n">
        <f aca="false">N(AO273)+IF(AND(OR(R274="follow-up",R274="Evaluation",R274="tbd",R274="In evaluation"),B274&lt;&gt;""),1,0)</f>
        <v>1</v>
      </c>
      <c r="AP274" s="1" t="n">
        <f aca="false">IF(B274="",0,IF(COUNTIF('⚖️ Wahrscheinlichkeit'!$J$17:$J$24,R274)&gt;0,1,0))</f>
        <v>0</v>
      </c>
      <c r="AQ274" s="1" t="n">
        <f aca="false">IF(B274="",0,IF(AND(ISNUMBER(S274),COUNTIF('⚖️ Wahrscheinlichkeit'!$B$6:$B$11,S274)&gt;0),1,0))</f>
        <v>0</v>
      </c>
      <c r="AR274" s="1" t="n">
        <f aca="false">IF(B274="",0,IF(AND(COUNT(J274:M274)=4,SUM(J274:M274)&gt;0),1,0))</f>
        <v>0</v>
      </c>
      <c r="AS274" s="1" t="n">
        <f aca="false">IF(B274="",0,IF(AND(AF274&lt;&gt;"",AG274&lt;&gt;""),1,0))</f>
        <v>0</v>
      </c>
      <c r="AT274" s="1" t="n">
        <f aca="false">IF(AND(R274="WON",AS274=1,AR274=1),1,0)</f>
        <v>0</v>
      </c>
      <c r="AU274" s="1" t="n">
        <f aca="false">IF(B274="",0,IF(AD274="Alternative – zählt nicht",0,1))</f>
        <v>0</v>
      </c>
      <c r="AV274" s="1" t="n">
        <f aca="false">IF(B274="",0,IF(COUNTIF($B$6:$B$860,B274)&gt;1,1,0))</f>
        <v>0</v>
      </c>
      <c r="AX274" s="269" t="str">
        <f aca="false">IF(AY274=1,DATE(YEAR(O274),MONTH(O274),1),"")</f>
        <v/>
      </c>
      <c r="AY274" s="1" t="n">
        <f aca="false">IF(B274="",0,IF(AND(ISNUMBER(O274),ISNUMBER(P274)),IF(P274&gt;=O274,1,0),0))</f>
        <v>0</v>
      </c>
      <c r="AZ274" s="1" t="n">
        <f aca="false">IF(ISNUMBER(Y274),Y274,0)</f>
        <v>0</v>
      </c>
      <c r="BA274" s="1" t="str">
        <f aca="false">IF(B274="","",IF(AND(R274="WON",AS274=0),"⛔ Beleg fehlt · ","")&amp;IF(AND(R274="WON",AR274=0),"⛔ Einstand fehlt · ","")&amp;IF(AND(R274&lt;&gt;"WON",AR274=0),"○ Einstand offen · ","")&amp;IF(AND(R274="WON",AB274=""),"⛔ Vertragsart fehlt · ","")&amp;IF(AND(ISNUMBER(O274),ISNUMBER(P274)),IF(P274&lt;O274,"⚠ Ende vor Start · ",""),"")&amp;IF(AND(R274="WON",AY274=0,NOT(AND(ISNUMBER(O274),ISNUMBER(P274)))),"⛔ Zeitraum fehlt · ","")&amp;IF(AND(R274&lt;&gt;"WON",AY274=0,NOT(AND(ISNUMBER(O274),ISNUMBER(P274)))),"○ Zeitraum offen · ",""))</f>
        <v/>
      </c>
      <c r="BB274" s="1" t="str">
        <f aca="false">IF(B274="","",IF(AND(R274="WON",AS274=0),"⛔ Nachweis fehlt",IF(AND(ISNUMBER(O274),ISNUMBER(P274),P274&lt;O274),"⚠ Ende vor Start",IF(AND(R274="WON",AY274=0),"⛔ Zeitraum fehlt",IF(AR274=0,"○ Einstand offen",IF(AY274=0,"○ Zeitraum offen",IF(R274="WON","✅ belegt","✔ erfasst")))))))</f>
        <v/>
      </c>
    </row>
    <row r="275" customFormat="false" ht="15" hidden="false" customHeight="true" outlineLevel="0" collapsed="false">
      <c r="G275" s="1" t="str">
        <f aca="false">IF(B275="","",IF(AY275=1,P275-O275+1,IF(AW275="","",AW275)))</f>
        <v/>
      </c>
      <c r="I275" s="270"/>
      <c r="J275" s="270"/>
      <c r="K275" s="270"/>
      <c r="L275" s="270"/>
      <c r="M275" s="270"/>
      <c r="N275" s="270"/>
      <c r="O275" s="263"/>
      <c r="P275" s="263"/>
      <c r="Q275" s="270" t="str">
        <f aca="false">IF(AND(ISNUMBER(I275),ISNUMBER(S275)),I275*AJ275,IF(OR(I275&lt;&gt;"",S275&lt;&gt;""),"tbd",""))</f>
        <v/>
      </c>
      <c r="S275" s="268"/>
      <c r="Y275" s="275" t="str">
        <f aca="false">IF(ISNUMBER(I275),I275/Netto_Faktor,"")</f>
        <v/>
      </c>
      <c r="Z275" s="275" t="str">
        <f aca="false">IF(B275="","",IF(COUNT(J275:N275)=0,"",SUM(J275:N275)))</f>
        <v/>
      </c>
      <c r="AA275" s="266"/>
      <c r="AB275" s="266"/>
      <c r="AC275" s="266"/>
      <c r="AD275" s="266"/>
      <c r="AE275" s="266"/>
      <c r="AF275" s="266"/>
      <c r="AG275" s="267"/>
      <c r="AH275" s="266" t="str">
        <f aca="false">IF(B275="","",IF(BA275="",IF(R275="WON","✅ belegt &amp; vollständig","✔ vollständig"),LEFT(BA275,LEN(BA275)-3)))</f>
        <v/>
      </c>
      <c r="AJ275" s="268" t="n">
        <f aca="false">IF(ISNUMBER(S275),IFERROR(LOOKUP(IF(S275&lt;=1,S275,S275/100),'⚖️ Wahrscheinlichkeit'!$B$17:$B$21,'⚖️ Wahrscheinlichkeit'!$D$17:$D$21),0),0)</f>
        <v>0</v>
      </c>
      <c r="AK275" s="1" t="str">
        <f aca="false">IF(AND(R275="WON",ISNUMBER(I275)),AL275+(861-ROW())*0.000001,"")</f>
        <v/>
      </c>
      <c r="AL275" s="1" t="n">
        <f aca="false">IFERROR(I275*1,0)</f>
        <v>0</v>
      </c>
      <c r="AM275" s="1" t="n">
        <f aca="false">N(AM274)+IF(AND(R275="WON",B275&lt;&gt;""),1,0)</f>
        <v>12</v>
      </c>
      <c r="AN275" s="1" t="n">
        <f aca="false">N(AN274)+IF(AND(OR(R275="offered",R275="to be offered",R275="on hold"),B275&lt;&gt;""),1,0)</f>
        <v>33</v>
      </c>
      <c r="AO275" s="1" t="n">
        <f aca="false">N(AO274)+IF(AND(OR(R275="follow-up",R275="Evaluation",R275="tbd",R275="In evaluation"),B275&lt;&gt;""),1,0)</f>
        <v>1</v>
      </c>
      <c r="AP275" s="1" t="n">
        <f aca="false">IF(B275="",0,IF(COUNTIF('⚖️ Wahrscheinlichkeit'!$J$17:$J$24,R275)&gt;0,1,0))</f>
        <v>0</v>
      </c>
      <c r="AQ275" s="1" t="n">
        <f aca="false">IF(B275="",0,IF(AND(ISNUMBER(S275),COUNTIF('⚖️ Wahrscheinlichkeit'!$B$6:$B$11,S275)&gt;0),1,0))</f>
        <v>0</v>
      </c>
      <c r="AR275" s="1" t="n">
        <f aca="false">IF(B275="",0,IF(AND(COUNT(J275:M275)=4,SUM(J275:M275)&gt;0),1,0))</f>
        <v>0</v>
      </c>
      <c r="AS275" s="1" t="n">
        <f aca="false">IF(B275="",0,IF(AND(AF275&lt;&gt;"",AG275&lt;&gt;""),1,0))</f>
        <v>0</v>
      </c>
      <c r="AT275" s="1" t="n">
        <f aca="false">IF(AND(R275="WON",AS275=1,AR275=1),1,0)</f>
        <v>0</v>
      </c>
      <c r="AU275" s="1" t="n">
        <f aca="false">IF(B275="",0,IF(AD275="Alternative – zählt nicht",0,1))</f>
        <v>0</v>
      </c>
      <c r="AV275" s="1" t="n">
        <f aca="false">IF(B275="",0,IF(COUNTIF($B$6:$B$860,B275)&gt;1,1,0))</f>
        <v>0</v>
      </c>
      <c r="AX275" s="269" t="str">
        <f aca="false">IF(AY275=1,DATE(YEAR(O275),MONTH(O275),1),"")</f>
        <v/>
      </c>
      <c r="AY275" s="1" t="n">
        <f aca="false">IF(B275="",0,IF(AND(ISNUMBER(O275),ISNUMBER(P275)),IF(P275&gt;=O275,1,0),0))</f>
        <v>0</v>
      </c>
      <c r="AZ275" s="1" t="n">
        <f aca="false">IF(ISNUMBER(Y275),Y275,0)</f>
        <v>0</v>
      </c>
      <c r="BA275" s="1" t="str">
        <f aca="false">IF(B275="","",IF(AND(R275="WON",AS275=0),"⛔ Beleg fehlt · ","")&amp;IF(AND(R275="WON",AR275=0),"⛔ Einstand fehlt · ","")&amp;IF(AND(R275&lt;&gt;"WON",AR275=0),"○ Einstand offen · ","")&amp;IF(AND(R275="WON",AB275=""),"⛔ Vertragsart fehlt · ","")&amp;IF(AND(ISNUMBER(O275),ISNUMBER(P275)),IF(P275&lt;O275,"⚠ Ende vor Start · ",""),"")&amp;IF(AND(R275="WON",AY275=0,NOT(AND(ISNUMBER(O275),ISNUMBER(P275)))),"⛔ Zeitraum fehlt · ","")&amp;IF(AND(R275&lt;&gt;"WON",AY275=0,NOT(AND(ISNUMBER(O275),ISNUMBER(P275)))),"○ Zeitraum offen · ",""))</f>
        <v/>
      </c>
      <c r="BB275" s="1" t="str">
        <f aca="false">IF(B275="","",IF(AND(R275="WON",AS275=0),"⛔ Nachweis fehlt",IF(AND(ISNUMBER(O275),ISNUMBER(P275),P275&lt;O275),"⚠ Ende vor Start",IF(AND(R275="WON",AY275=0),"⛔ Zeitraum fehlt",IF(AR275=0,"○ Einstand offen",IF(AY275=0,"○ Zeitraum offen",IF(R275="WON","✅ belegt","✔ erfasst")))))))</f>
        <v/>
      </c>
    </row>
    <row r="276" customFormat="false" ht="15" hidden="false" customHeight="true" outlineLevel="0" collapsed="false">
      <c r="G276" s="1" t="str">
        <f aca="false">IF(B276="","",IF(AY276=1,P276-O276+1,IF(AW276="","",AW276)))</f>
        <v/>
      </c>
      <c r="I276" s="270"/>
      <c r="J276" s="270"/>
      <c r="K276" s="270"/>
      <c r="L276" s="270"/>
      <c r="M276" s="270"/>
      <c r="N276" s="270"/>
      <c r="O276" s="263"/>
      <c r="P276" s="263"/>
      <c r="Q276" s="270" t="str">
        <f aca="false">IF(AND(ISNUMBER(I276),ISNUMBER(S276)),I276*AJ276,IF(OR(I276&lt;&gt;"",S276&lt;&gt;""),"tbd",""))</f>
        <v/>
      </c>
      <c r="S276" s="268"/>
      <c r="Y276" s="275" t="str">
        <f aca="false">IF(ISNUMBER(I276),I276/Netto_Faktor,"")</f>
        <v/>
      </c>
      <c r="Z276" s="275" t="str">
        <f aca="false">IF(B276="","",IF(COUNT(J276:N276)=0,"",SUM(J276:N276)))</f>
        <v/>
      </c>
      <c r="AA276" s="266"/>
      <c r="AB276" s="266"/>
      <c r="AC276" s="266"/>
      <c r="AD276" s="266"/>
      <c r="AE276" s="266"/>
      <c r="AF276" s="266"/>
      <c r="AG276" s="267"/>
      <c r="AH276" s="266" t="str">
        <f aca="false">IF(B276="","",IF(BA276="",IF(R276="WON","✅ belegt &amp; vollständig","✔ vollständig"),LEFT(BA276,LEN(BA276)-3)))</f>
        <v/>
      </c>
      <c r="AJ276" s="268" t="n">
        <f aca="false">IF(ISNUMBER(S276),IFERROR(LOOKUP(IF(S276&lt;=1,S276,S276/100),'⚖️ Wahrscheinlichkeit'!$B$17:$B$21,'⚖️ Wahrscheinlichkeit'!$D$17:$D$21),0),0)</f>
        <v>0</v>
      </c>
      <c r="AK276" s="1" t="str">
        <f aca="false">IF(AND(R276="WON",ISNUMBER(I276)),AL276+(861-ROW())*0.000001,"")</f>
        <v/>
      </c>
      <c r="AL276" s="1" t="n">
        <f aca="false">IFERROR(I276*1,0)</f>
        <v>0</v>
      </c>
      <c r="AM276" s="1" t="n">
        <f aca="false">N(AM275)+IF(AND(R276="WON",B276&lt;&gt;""),1,0)</f>
        <v>12</v>
      </c>
      <c r="AN276" s="1" t="n">
        <f aca="false">N(AN275)+IF(AND(OR(R276="offered",R276="to be offered",R276="on hold"),B276&lt;&gt;""),1,0)</f>
        <v>33</v>
      </c>
      <c r="AO276" s="1" t="n">
        <f aca="false">N(AO275)+IF(AND(OR(R276="follow-up",R276="Evaluation",R276="tbd",R276="In evaluation"),B276&lt;&gt;""),1,0)</f>
        <v>1</v>
      </c>
      <c r="AP276" s="1" t="n">
        <f aca="false">IF(B276="",0,IF(COUNTIF('⚖️ Wahrscheinlichkeit'!$J$17:$J$24,R276)&gt;0,1,0))</f>
        <v>0</v>
      </c>
      <c r="AQ276" s="1" t="n">
        <f aca="false">IF(B276="",0,IF(AND(ISNUMBER(S276),COUNTIF('⚖️ Wahrscheinlichkeit'!$B$6:$B$11,S276)&gt;0),1,0))</f>
        <v>0</v>
      </c>
      <c r="AR276" s="1" t="n">
        <f aca="false">IF(B276="",0,IF(AND(COUNT(J276:M276)=4,SUM(J276:M276)&gt;0),1,0))</f>
        <v>0</v>
      </c>
      <c r="AS276" s="1" t="n">
        <f aca="false">IF(B276="",0,IF(AND(AF276&lt;&gt;"",AG276&lt;&gt;""),1,0))</f>
        <v>0</v>
      </c>
      <c r="AT276" s="1" t="n">
        <f aca="false">IF(AND(R276="WON",AS276=1,AR276=1),1,0)</f>
        <v>0</v>
      </c>
      <c r="AU276" s="1" t="n">
        <f aca="false">IF(B276="",0,IF(AD276="Alternative – zählt nicht",0,1))</f>
        <v>0</v>
      </c>
      <c r="AV276" s="1" t="n">
        <f aca="false">IF(B276="",0,IF(COUNTIF($B$6:$B$860,B276)&gt;1,1,0))</f>
        <v>0</v>
      </c>
      <c r="AX276" s="269" t="str">
        <f aca="false">IF(AY276=1,DATE(YEAR(O276),MONTH(O276),1),"")</f>
        <v/>
      </c>
      <c r="AY276" s="1" t="n">
        <f aca="false">IF(B276="",0,IF(AND(ISNUMBER(O276),ISNUMBER(P276)),IF(P276&gt;=O276,1,0),0))</f>
        <v>0</v>
      </c>
      <c r="AZ276" s="1" t="n">
        <f aca="false">IF(ISNUMBER(Y276),Y276,0)</f>
        <v>0</v>
      </c>
      <c r="BA276" s="1" t="str">
        <f aca="false">IF(B276="","",IF(AND(R276="WON",AS276=0),"⛔ Beleg fehlt · ","")&amp;IF(AND(R276="WON",AR276=0),"⛔ Einstand fehlt · ","")&amp;IF(AND(R276&lt;&gt;"WON",AR276=0),"○ Einstand offen · ","")&amp;IF(AND(R276="WON",AB276=""),"⛔ Vertragsart fehlt · ","")&amp;IF(AND(ISNUMBER(O276),ISNUMBER(P276)),IF(P276&lt;O276,"⚠ Ende vor Start · ",""),"")&amp;IF(AND(R276="WON",AY276=0,NOT(AND(ISNUMBER(O276),ISNUMBER(P276)))),"⛔ Zeitraum fehlt · ","")&amp;IF(AND(R276&lt;&gt;"WON",AY276=0,NOT(AND(ISNUMBER(O276),ISNUMBER(P276)))),"○ Zeitraum offen · ",""))</f>
        <v/>
      </c>
      <c r="BB276" s="1" t="str">
        <f aca="false">IF(B276="","",IF(AND(R276="WON",AS276=0),"⛔ Nachweis fehlt",IF(AND(ISNUMBER(O276),ISNUMBER(P276),P276&lt;O276),"⚠ Ende vor Start",IF(AND(R276="WON",AY276=0),"⛔ Zeitraum fehlt",IF(AR276=0,"○ Einstand offen",IF(AY276=0,"○ Zeitraum offen",IF(R276="WON","✅ belegt","✔ erfasst")))))))</f>
        <v/>
      </c>
    </row>
    <row r="277" customFormat="false" ht="15" hidden="false" customHeight="true" outlineLevel="0" collapsed="false">
      <c r="G277" s="1" t="str">
        <f aca="false">IF(B277="","",IF(AY277=1,P277-O277+1,IF(AW277="","",AW277)))</f>
        <v/>
      </c>
      <c r="I277" s="270"/>
      <c r="J277" s="270"/>
      <c r="K277" s="270"/>
      <c r="L277" s="270"/>
      <c r="M277" s="270"/>
      <c r="N277" s="270"/>
      <c r="O277" s="263"/>
      <c r="P277" s="263"/>
      <c r="Q277" s="270" t="str">
        <f aca="false">IF(AND(ISNUMBER(I277),ISNUMBER(S277)),I277*AJ277,IF(OR(I277&lt;&gt;"",S277&lt;&gt;""),"tbd",""))</f>
        <v/>
      </c>
      <c r="S277" s="268"/>
      <c r="Y277" s="275" t="str">
        <f aca="false">IF(ISNUMBER(I277),I277/Netto_Faktor,"")</f>
        <v/>
      </c>
      <c r="Z277" s="275" t="str">
        <f aca="false">IF(B277="","",IF(COUNT(J277:N277)=0,"",SUM(J277:N277)))</f>
        <v/>
      </c>
      <c r="AA277" s="266"/>
      <c r="AB277" s="266"/>
      <c r="AC277" s="266"/>
      <c r="AD277" s="266"/>
      <c r="AE277" s="266"/>
      <c r="AF277" s="266"/>
      <c r="AG277" s="267"/>
      <c r="AH277" s="266" t="str">
        <f aca="false">IF(B277="","",IF(BA277="",IF(R277="WON","✅ belegt &amp; vollständig","✔ vollständig"),LEFT(BA277,LEN(BA277)-3)))</f>
        <v/>
      </c>
      <c r="AJ277" s="268" t="n">
        <f aca="false">IF(ISNUMBER(S277),IFERROR(LOOKUP(IF(S277&lt;=1,S277,S277/100),'⚖️ Wahrscheinlichkeit'!$B$17:$B$21,'⚖️ Wahrscheinlichkeit'!$D$17:$D$21),0),0)</f>
        <v>0</v>
      </c>
      <c r="AK277" s="1" t="str">
        <f aca="false">IF(AND(R277="WON",ISNUMBER(I277)),AL277+(861-ROW())*0.000001,"")</f>
        <v/>
      </c>
      <c r="AL277" s="1" t="n">
        <f aca="false">IFERROR(I277*1,0)</f>
        <v>0</v>
      </c>
      <c r="AM277" s="1" t="n">
        <f aca="false">N(AM276)+IF(AND(R277="WON",B277&lt;&gt;""),1,0)</f>
        <v>12</v>
      </c>
      <c r="AN277" s="1" t="n">
        <f aca="false">N(AN276)+IF(AND(OR(R277="offered",R277="to be offered",R277="on hold"),B277&lt;&gt;""),1,0)</f>
        <v>33</v>
      </c>
      <c r="AO277" s="1" t="n">
        <f aca="false">N(AO276)+IF(AND(OR(R277="follow-up",R277="Evaluation",R277="tbd",R277="In evaluation"),B277&lt;&gt;""),1,0)</f>
        <v>1</v>
      </c>
      <c r="AP277" s="1" t="n">
        <f aca="false">IF(B277="",0,IF(COUNTIF('⚖️ Wahrscheinlichkeit'!$J$17:$J$24,R277)&gt;0,1,0))</f>
        <v>0</v>
      </c>
      <c r="AQ277" s="1" t="n">
        <f aca="false">IF(B277="",0,IF(AND(ISNUMBER(S277),COUNTIF('⚖️ Wahrscheinlichkeit'!$B$6:$B$11,S277)&gt;0),1,0))</f>
        <v>0</v>
      </c>
      <c r="AR277" s="1" t="n">
        <f aca="false">IF(B277="",0,IF(AND(COUNT(J277:M277)=4,SUM(J277:M277)&gt;0),1,0))</f>
        <v>0</v>
      </c>
      <c r="AS277" s="1" t="n">
        <f aca="false">IF(B277="",0,IF(AND(AF277&lt;&gt;"",AG277&lt;&gt;""),1,0))</f>
        <v>0</v>
      </c>
      <c r="AT277" s="1" t="n">
        <f aca="false">IF(AND(R277="WON",AS277=1,AR277=1),1,0)</f>
        <v>0</v>
      </c>
      <c r="AU277" s="1" t="n">
        <f aca="false">IF(B277="",0,IF(AD277="Alternative – zählt nicht",0,1))</f>
        <v>0</v>
      </c>
      <c r="AV277" s="1" t="n">
        <f aca="false">IF(B277="",0,IF(COUNTIF($B$6:$B$860,B277)&gt;1,1,0))</f>
        <v>0</v>
      </c>
      <c r="AX277" s="269" t="str">
        <f aca="false">IF(AY277=1,DATE(YEAR(O277),MONTH(O277),1),"")</f>
        <v/>
      </c>
      <c r="AY277" s="1" t="n">
        <f aca="false">IF(B277="",0,IF(AND(ISNUMBER(O277),ISNUMBER(P277)),IF(P277&gt;=O277,1,0),0))</f>
        <v>0</v>
      </c>
      <c r="AZ277" s="1" t="n">
        <f aca="false">IF(ISNUMBER(Y277),Y277,0)</f>
        <v>0</v>
      </c>
      <c r="BA277" s="1" t="str">
        <f aca="false">IF(B277="","",IF(AND(R277="WON",AS277=0),"⛔ Beleg fehlt · ","")&amp;IF(AND(R277="WON",AR277=0),"⛔ Einstand fehlt · ","")&amp;IF(AND(R277&lt;&gt;"WON",AR277=0),"○ Einstand offen · ","")&amp;IF(AND(R277="WON",AB277=""),"⛔ Vertragsart fehlt · ","")&amp;IF(AND(ISNUMBER(O277),ISNUMBER(P277)),IF(P277&lt;O277,"⚠ Ende vor Start · ",""),"")&amp;IF(AND(R277="WON",AY277=0,NOT(AND(ISNUMBER(O277),ISNUMBER(P277)))),"⛔ Zeitraum fehlt · ","")&amp;IF(AND(R277&lt;&gt;"WON",AY277=0,NOT(AND(ISNUMBER(O277),ISNUMBER(P277)))),"○ Zeitraum offen · ",""))</f>
        <v/>
      </c>
      <c r="BB277" s="1" t="str">
        <f aca="false">IF(B277="","",IF(AND(R277="WON",AS277=0),"⛔ Nachweis fehlt",IF(AND(ISNUMBER(O277),ISNUMBER(P277),P277&lt;O277),"⚠ Ende vor Start",IF(AND(R277="WON",AY277=0),"⛔ Zeitraum fehlt",IF(AR277=0,"○ Einstand offen",IF(AY277=0,"○ Zeitraum offen",IF(R277="WON","✅ belegt","✔ erfasst")))))))</f>
        <v/>
      </c>
    </row>
    <row r="278" customFormat="false" ht="15" hidden="false" customHeight="true" outlineLevel="0" collapsed="false">
      <c r="G278" s="1" t="str">
        <f aca="false">IF(B278="","",IF(AY278=1,P278-O278+1,IF(AW278="","",AW278)))</f>
        <v/>
      </c>
      <c r="I278" s="270"/>
      <c r="J278" s="270"/>
      <c r="K278" s="270"/>
      <c r="L278" s="270"/>
      <c r="M278" s="270"/>
      <c r="N278" s="270"/>
      <c r="O278" s="263"/>
      <c r="P278" s="263"/>
      <c r="Q278" s="270" t="str">
        <f aca="false">IF(AND(ISNUMBER(I278),ISNUMBER(S278)),I278*AJ278,IF(OR(I278&lt;&gt;"",S278&lt;&gt;""),"tbd",""))</f>
        <v/>
      </c>
      <c r="S278" s="268"/>
      <c r="Y278" s="275" t="str">
        <f aca="false">IF(ISNUMBER(I278),I278/Netto_Faktor,"")</f>
        <v/>
      </c>
      <c r="Z278" s="275" t="str">
        <f aca="false">IF(B278="","",IF(COUNT(J278:N278)=0,"",SUM(J278:N278)))</f>
        <v/>
      </c>
      <c r="AA278" s="266"/>
      <c r="AB278" s="266"/>
      <c r="AC278" s="266"/>
      <c r="AD278" s="266"/>
      <c r="AE278" s="266"/>
      <c r="AF278" s="266"/>
      <c r="AG278" s="267"/>
      <c r="AH278" s="266" t="str">
        <f aca="false">IF(B278="","",IF(BA278="",IF(R278="WON","✅ belegt &amp; vollständig","✔ vollständig"),LEFT(BA278,LEN(BA278)-3)))</f>
        <v/>
      </c>
      <c r="AJ278" s="268" t="n">
        <f aca="false">IF(ISNUMBER(S278),IFERROR(LOOKUP(IF(S278&lt;=1,S278,S278/100),'⚖️ Wahrscheinlichkeit'!$B$17:$B$21,'⚖️ Wahrscheinlichkeit'!$D$17:$D$21),0),0)</f>
        <v>0</v>
      </c>
      <c r="AK278" s="1" t="str">
        <f aca="false">IF(AND(R278="WON",ISNUMBER(I278)),AL278+(861-ROW())*0.000001,"")</f>
        <v/>
      </c>
      <c r="AL278" s="1" t="n">
        <f aca="false">IFERROR(I278*1,0)</f>
        <v>0</v>
      </c>
      <c r="AM278" s="1" t="n">
        <f aca="false">N(AM277)+IF(AND(R278="WON",B278&lt;&gt;""),1,0)</f>
        <v>12</v>
      </c>
      <c r="AN278" s="1" t="n">
        <f aca="false">N(AN277)+IF(AND(OR(R278="offered",R278="to be offered",R278="on hold"),B278&lt;&gt;""),1,0)</f>
        <v>33</v>
      </c>
      <c r="AO278" s="1" t="n">
        <f aca="false">N(AO277)+IF(AND(OR(R278="follow-up",R278="Evaluation",R278="tbd",R278="In evaluation"),B278&lt;&gt;""),1,0)</f>
        <v>1</v>
      </c>
      <c r="AP278" s="1" t="n">
        <f aca="false">IF(B278="",0,IF(COUNTIF('⚖️ Wahrscheinlichkeit'!$J$17:$J$24,R278)&gt;0,1,0))</f>
        <v>0</v>
      </c>
      <c r="AQ278" s="1" t="n">
        <f aca="false">IF(B278="",0,IF(AND(ISNUMBER(S278),COUNTIF('⚖️ Wahrscheinlichkeit'!$B$6:$B$11,S278)&gt;0),1,0))</f>
        <v>0</v>
      </c>
      <c r="AR278" s="1" t="n">
        <f aca="false">IF(B278="",0,IF(AND(COUNT(J278:M278)=4,SUM(J278:M278)&gt;0),1,0))</f>
        <v>0</v>
      </c>
      <c r="AS278" s="1" t="n">
        <f aca="false">IF(B278="",0,IF(AND(AF278&lt;&gt;"",AG278&lt;&gt;""),1,0))</f>
        <v>0</v>
      </c>
      <c r="AT278" s="1" t="n">
        <f aca="false">IF(AND(R278="WON",AS278=1,AR278=1),1,0)</f>
        <v>0</v>
      </c>
      <c r="AU278" s="1" t="n">
        <f aca="false">IF(B278="",0,IF(AD278="Alternative – zählt nicht",0,1))</f>
        <v>0</v>
      </c>
      <c r="AV278" s="1" t="n">
        <f aca="false">IF(B278="",0,IF(COUNTIF($B$6:$B$860,B278)&gt;1,1,0))</f>
        <v>0</v>
      </c>
      <c r="AX278" s="269" t="str">
        <f aca="false">IF(AY278=1,DATE(YEAR(O278),MONTH(O278),1),"")</f>
        <v/>
      </c>
      <c r="AY278" s="1" t="n">
        <f aca="false">IF(B278="",0,IF(AND(ISNUMBER(O278),ISNUMBER(P278)),IF(P278&gt;=O278,1,0),0))</f>
        <v>0</v>
      </c>
      <c r="AZ278" s="1" t="n">
        <f aca="false">IF(ISNUMBER(Y278),Y278,0)</f>
        <v>0</v>
      </c>
      <c r="BA278" s="1" t="str">
        <f aca="false">IF(B278="","",IF(AND(R278="WON",AS278=0),"⛔ Beleg fehlt · ","")&amp;IF(AND(R278="WON",AR278=0),"⛔ Einstand fehlt · ","")&amp;IF(AND(R278&lt;&gt;"WON",AR278=0),"○ Einstand offen · ","")&amp;IF(AND(R278="WON",AB278=""),"⛔ Vertragsart fehlt · ","")&amp;IF(AND(ISNUMBER(O278),ISNUMBER(P278)),IF(P278&lt;O278,"⚠ Ende vor Start · ",""),"")&amp;IF(AND(R278="WON",AY278=0,NOT(AND(ISNUMBER(O278),ISNUMBER(P278)))),"⛔ Zeitraum fehlt · ","")&amp;IF(AND(R278&lt;&gt;"WON",AY278=0,NOT(AND(ISNUMBER(O278),ISNUMBER(P278)))),"○ Zeitraum offen · ",""))</f>
        <v/>
      </c>
      <c r="BB278" s="1" t="str">
        <f aca="false">IF(B278="","",IF(AND(R278="WON",AS278=0),"⛔ Nachweis fehlt",IF(AND(ISNUMBER(O278),ISNUMBER(P278),P278&lt;O278),"⚠ Ende vor Start",IF(AND(R278="WON",AY278=0),"⛔ Zeitraum fehlt",IF(AR278=0,"○ Einstand offen",IF(AY278=0,"○ Zeitraum offen",IF(R278="WON","✅ belegt","✔ erfasst")))))))</f>
        <v/>
      </c>
    </row>
    <row r="279" customFormat="false" ht="15" hidden="false" customHeight="true" outlineLevel="0" collapsed="false">
      <c r="G279" s="1" t="str">
        <f aca="false">IF(B279="","",IF(AY279=1,P279-O279+1,IF(AW279="","",AW279)))</f>
        <v/>
      </c>
      <c r="I279" s="270"/>
      <c r="J279" s="270"/>
      <c r="K279" s="270"/>
      <c r="L279" s="270"/>
      <c r="M279" s="270"/>
      <c r="N279" s="270"/>
      <c r="O279" s="263"/>
      <c r="P279" s="263"/>
      <c r="Q279" s="270" t="str">
        <f aca="false">IF(AND(ISNUMBER(I279),ISNUMBER(S279)),I279*AJ279,IF(OR(I279&lt;&gt;"",S279&lt;&gt;""),"tbd",""))</f>
        <v/>
      </c>
      <c r="S279" s="268"/>
      <c r="Y279" s="275" t="str">
        <f aca="false">IF(ISNUMBER(I279),I279/Netto_Faktor,"")</f>
        <v/>
      </c>
      <c r="Z279" s="275" t="str">
        <f aca="false">IF(B279="","",IF(COUNT(J279:N279)=0,"",SUM(J279:N279)))</f>
        <v/>
      </c>
      <c r="AA279" s="266"/>
      <c r="AB279" s="266"/>
      <c r="AC279" s="266"/>
      <c r="AD279" s="266"/>
      <c r="AE279" s="266"/>
      <c r="AF279" s="266"/>
      <c r="AG279" s="267"/>
      <c r="AH279" s="266" t="str">
        <f aca="false">IF(B279="","",IF(BA279="",IF(R279="WON","✅ belegt &amp; vollständig","✔ vollständig"),LEFT(BA279,LEN(BA279)-3)))</f>
        <v/>
      </c>
      <c r="AJ279" s="268" t="n">
        <f aca="false">IF(ISNUMBER(S279),IFERROR(LOOKUP(IF(S279&lt;=1,S279,S279/100),'⚖️ Wahrscheinlichkeit'!$B$17:$B$21,'⚖️ Wahrscheinlichkeit'!$D$17:$D$21),0),0)</f>
        <v>0</v>
      </c>
      <c r="AK279" s="1" t="str">
        <f aca="false">IF(AND(R279="WON",ISNUMBER(I279)),AL279+(861-ROW())*0.000001,"")</f>
        <v/>
      </c>
      <c r="AL279" s="1" t="n">
        <f aca="false">IFERROR(I279*1,0)</f>
        <v>0</v>
      </c>
      <c r="AM279" s="1" t="n">
        <f aca="false">N(AM278)+IF(AND(R279="WON",B279&lt;&gt;""),1,0)</f>
        <v>12</v>
      </c>
      <c r="AN279" s="1" t="n">
        <f aca="false">N(AN278)+IF(AND(OR(R279="offered",R279="to be offered",R279="on hold"),B279&lt;&gt;""),1,0)</f>
        <v>33</v>
      </c>
      <c r="AO279" s="1" t="n">
        <f aca="false">N(AO278)+IF(AND(OR(R279="follow-up",R279="Evaluation",R279="tbd",R279="In evaluation"),B279&lt;&gt;""),1,0)</f>
        <v>1</v>
      </c>
      <c r="AP279" s="1" t="n">
        <f aca="false">IF(B279="",0,IF(COUNTIF('⚖️ Wahrscheinlichkeit'!$J$17:$J$24,R279)&gt;0,1,0))</f>
        <v>0</v>
      </c>
      <c r="AQ279" s="1" t="n">
        <f aca="false">IF(B279="",0,IF(AND(ISNUMBER(S279),COUNTIF('⚖️ Wahrscheinlichkeit'!$B$6:$B$11,S279)&gt;0),1,0))</f>
        <v>0</v>
      </c>
      <c r="AR279" s="1" t="n">
        <f aca="false">IF(B279="",0,IF(AND(COUNT(J279:M279)=4,SUM(J279:M279)&gt;0),1,0))</f>
        <v>0</v>
      </c>
      <c r="AS279" s="1" t="n">
        <f aca="false">IF(B279="",0,IF(AND(AF279&lt;&gt;"",AG279&lt;&gt;""),1,0))</f>
        <v>0</v>
      </c>
      <c r="AT279" s="1" t="n">
        <f aca="false">IF(AND(R279="WON",AS279=1,AR279=1),1,0)</f>
        <v>0</v>
      </c>
      <c r="AU279" s="1" t="n">
        <f aca="false">IF(B279="",0,IF(AD279="Alternative – zählt nicht",0,1))</f>
        <v>0</v>
      </c>
      <c r="AV279" s="1" t="n">
        <f aca="false">IF(B279="",0,IF(COUNTIF($B$6:$B$860,B279)&gt;1,1,0))</f>
        <v>0</v>
      </c>
      <c r="AX279" s="269" t="str">
        <f aca="false">IF(AY279=1,DATE(YEAR(O279),MONTH(O279),1),"")</f>
        <v/>
      </c>
      <c r="AY279" s="1" t="n">
        <f aca="false">IF(B279="",0,IF(AND(ISNUMBER(O279),ISNUMBER(P279)),IF(P279&gt;=O279,1,0),0))</f>
        <v>0</v>
      </c>
      <c r="AZ279" s="1" t="n">
        <f aca="false">IF(ISNUMBER(Y279),Y279,0)</f>
        <v>0</v>
      </c>
      <c r="BA279" s="1" t="str">
        <f aca="false">IF(B279="","",IF(AND(R279="WON",AS279=0),"⛔ Beleg fehlt · ","")&amp;IF(AND(R279="WON",AR279=0),"⛔ Einstand fehlt · ","")&amp;IF(AND(R279&lt;&gt;"WON",AR279=0),"○ Einstand offen · ","")&amp;IF(AND(R279="WON",AB279=""),"⛔ Vertragsart fehlt · ","")&amp;IF(AND(ISNUMBER(O279),ISNUMBER(P279)),IF(P279&lt;O279,"⚠ Ende vor Start · ",""),"")&amp;IF(AND(R279="WON",AY279=0,NOT(AND(ISNUMBER(O279),ISNUMBER(P279)))),"⛔ Zeitraum fehlt · ","")&amp;IF(AND(R279&lt;&gt;"WON",AY279=0,NOT(AND(ISNUMBER(O279),ISNUMBER(P279)))),"○ Zeitraum offen · ",""))</f>
        <v/>
      </c>
      <c r="BB279" s="1" t="str">
        <f aca="false">IF(B279="","",IF(AND(R279="WON",AS279=0),"⛔ Nachweis fehlt",IF(AND(ISNUMBER(O279),ISNUMBER(P279),P279&lt;O279),"⚠ Ende vor Start",IF(AND(R279="WON",AY279=0),"⛔ Zeitraum fehlt",IF(AR279=0,"○ Einstand offen",IF(AY279=0,"○ Zeitraum offen",IF(R279="WON","✅ belegt","✔ erfasst")))))))</f>
        <v/>
      </c>
    </row>
    <row r="280" customFormat="false" ht="15" hidden="false" customHeight="true" outlineLevel="0" collapsed="false">
      <c r="G280" s="1" t="str">
        <f aca="false">IF(B280="","",IF(AY280=1,P280-O280+1,IF(AW280="","",AW280)))</f>
        <v/>
      </c>
      <c r="I280" s="270"/>
      <c r="J280" s="270"/>
      <c r="K280" s="270"/>
      <c r="L280" s="270"/>
      <c r="M280" s="270"/>
      <c r="N280" s="270"/>
      <c r="O280" s="263"/>
      <c r="P280" s="263"/>
      <c r="Q280" s="270" t="str">
        <f aca="false">IF(AND(ISNUMBER(I280),ISNUMBER(S280)),I280*AJ280,IF(OR(I280&lt;&gt;"",S280&lt;&gt;""),"tbd",""))</f>
        <v/>
      </c>
      <c r="S280" s="268"/>
      <c r="Y280" s="275" t="str">
        <f aca="false">IF(ISNUMBER(I280),I280/Netto_Faktor,"")</f>
        <v/>
      </c>
      <c r="Z280" s="275" t="str">
        <f aca="false">IF(B280="","",IF(COUNT(J280:N280)=0,"",SUM(J280:N280)))</f>
        <v/>
      </c>
      <c r="AA280" s="266"/>
      <c r="AB280" s="266"/>
      <c r="AC280" s="266"/>
      <c r="AD280" s="266"/>
      <c r="AE280" s="266"/>
      <c r="AF280" s="266"/>
      <c r="AG280" s="267"/>
      <c r="AH280" s="266" t="str">
        <f aca="false">IF(B280="","",IF(BA280="",IF(R280="WON","✅ belegt &amp; vollständig","✔ vollständig"),LEFT(BA280,LEN(BA280)-3)))</f>
        <v/>
      </c>
      <c r="AJ280" s="268" t="n">
        <f aca="false">IF(ISNUMBER(S280),IFERROR(LOOKUP(IF(S280&lt;=1,S280,S280/100),'⚖️ Wahrscheinlichkeit'!$B$17:$B$21,'⚖️ Wahrscheinlichkeit'!$D$17:$D$21),0),0)</f>
        <v>0</v>
      </c>
      <c r="AK280" s="1" t="str">
        <f aca="false">IF(AND(R280="WON",ISNUMBER(I280)),AL280+(861-ROW())*0.000001,"")</f>
        <v/>
      </c>
      <c r="AL280" s="1" t="n">
        <f aca="false">IFERROR(I280*1,0)</f>
        <v>0</v>
      </c>
      <c r="AM280" s="1" t="n">
        <f aca="false">N(AM279)+IF(AND(R280="WON",B280&lt;&gt;""),1,0)</f>
        <v>12</v>
      </c>
      <c r="AN280" s="1" t="n">
        <f aca="false">N(AN279)+IF(AND(OR(R280="offered",R280="to be offered",R280="on hold"),B280&lt;&gt;""),1,0)</f>
        <v>33</v>
      </c>
      <c r="AO280" s="1" t="n">
        <f aca="false">N(AO279)+IF(AND(OR(R280="follow-up",R280="Evaluation",R280="tbd",R280="In evaluation"),B280&lt;&gt;""),1,0)</f>
        <v>1</v>
      </c>
      <c r="AP280" s="1" t="n">
        <f aca="false">IF(B280="",0,IF(COUNTIF('⚖️ Wahrscheinlichkeit'!$J$17:$J$24,R280)&gt;0,1,0))</f>
        <v>0</v>
      </c>
      <c r="AQ280" s="1" t="n">
        <f aca="false">IF(B280="",0,IF(AND(ISNUMBER(S280),COUNTIF('⚖️ Wahrscheinlichkeit'!$B$6:$B$11,S280)&gt;0),1,0))</f>
        <v>0</v>
      </c>
      <c r="AR280" s="1" t="n">
        <f aca="false">IF(B280="",0,IF(AND(COUNT(J280:M280)=4,SUM(J280:M280)&gt;0),1,0))</f>
        <v>0</v>
      </c>
      <c r="AS280" s="1" t="n">
        <f aca="false">IF(B280="",0,IF(AND(AF280&lt;&gt;"",AG280&lt;&gt;""),1,0))</f>
        <v>0</v>
      </c>
      <c r="AT280" s="1" t="n">
        <f aca="false">IF(AND(R280="WON",AS280=1,AR280=1),1,0)</f>
        <v>0</v>
      </c>
      <c r="AU280" s="1" t="n">
        <f aca="false">IF(B280="",0,IF(AD280="Alternative – zählt nicht",0,1))</f>
        <v>0</v>
      </c>
      <c r="AV280" s="1" t="n">
        <f aca="false">IF(B280="",0,IF(COUNTIF($B$6:$B$860,B280)&gt;1,1,0))</f>
        <v>0</v>
      </c>
      <c r="AX280" s="269" t="str">
        <f aca="false">IF(AY280=1,DATE(YEAR(O280),MONTH(O280),1),"")</f>
        <v/>
      </c>
      <c r="AY280" s="1" t="n">
        <f aca="false">IF(B280="",0,IF(AND(ISNUMBER(O280),ISNUMBER(P280)),IF(P280&gt;=O280,1,0),0))</f>
        <v>0</v>
      </c>
      <c r="AZ280" s="1" t="n">
        <f aca="false">IF(ISNUMBER(Y280),Y280,0)</f>
        <v>0</v>
      </c>
      <c r="BA280" s="1" t="str">
        <f aca="false">IF(B280="","",IF(AND(R280="WON",AS280=0),"⛔ Beleg fehlt · ","")&amp;IF(AND(R280="WON",AR280=0),"⛔ Einstand fehlt · ","")&amp;IF(AND(R280&lt;&gt;"WON",AR280=0),"○ Einstand offen · ","")&amp;IF(AND(R280="WON",AB280=""),"⛔ Vertragsart fehlt · ","")&amp;IF(AND(ISNUMBER(O280),ISNUMBER(P280)),IF(P280&lt;O280,"⚠ Ende vor Start · ",""),"")&amp;IF(AND(R280="WON",AY280=0,NOT(AND(ISNUMBER(O280),ISNUMBER(P280)))),"⛔ Zeitraum fehlt · ","")&amp;IF(AND(R280&lt;&gt;"WON",AY280=0,NOT(AND(ISNUMBER(O280),ISNUMBER(P280)))),"○ Zeitraum offen · ",""))</f>
        <v/>
      </c>
      <c r="BB280" s="1" t="str">
        <f aca="false">IF(B280="","",IF(AND(R280="WON",AS280=0),"⛔ Nachweis fehlt",IF(AND(ISNUMBER(O280),ISNUMBER(P280),P280&lt;O280),"⚠ Ende vor Start",IF(AND(R280="WON",AY280=0),"⛔ Zeitraum fehlt",IF(AR280=0,"○ Einstand offen",IF(AY280=0,"○ Zeitraum offen",IF(R280="WON","✅ belegt","✔ erfasst")))))))</f>
        <v/>
      </c>
    </row>
    <row r="281" customFormat="false" ht="15" hidden="false" customHeight="true" outlineLevel="0" collapsed="false">
      <c r="G281" s="1" t="str">
        <f aca="false">IF(B281="","",IF(AY281=1,P281-O281+1,IF(AW281="","",AW281)))</f>
        <v/>
      </c>
      <c r="I281" s="270"/>
      <c r="J281" s="270"/>
      <c r="K281" s="270"/>
      <c r="L281" s="270"/>
      <c r="M281" s="270"/>
      <c r="N281" s="270"/>
      <c r="O281" s="263"/>
      <c r="P281" s="263"/>
      <c r="Q281" s="270" t="str">
        <f aca="false">IF(AND(ISNUMBER(I281),ISNUMBER(S281)),I281*AJ281,IF(OR(I281&lt;&gt;"",S281&lt;&gt;""),"tbd",""))</f>
        <v/>
      </c>
      <c r="S281" s="268"/>
      <c r="Y281" s="275" t="str">
        <f aca="false">IF(ISNUMBER(I281),I281/Netto_Faktor,"")</f>
        <v/>
      </c>
      <c r="Z281" s="275" t="str">
        <f aca="false">IF(B281="","",IF(COUNT(J281:N281)=0,"",SUM(J281:N281)))</f>
        <v/>
      </c>
      <c r="AA281" s="266"/>
      <c r="AB281" s="266"/>
      <c r="AC281" s="266"/>
      <c r="AD281" s="266"/>
      <c r="AE281" s="266"/>
      <c r="AF281" s="266"/>
      <c r="AG281" s="267"/>
      <c r="AH281" s="266" t="str">
        <f aca="false">IF(B281="","",IF(BA281="",IF(R281="WON","✅ belegt &amp; vollständig","✔ vollständig"),LEFT(BA281,LEN(BA281)-3)))</f>
        <v/>
      </c>
      <c r="AJ281" s="268" t="n">
        <f aca="false">IF(ISNUMBER(S281),IFERROR(LOOKUP(IF(S281&lt;=1,S281,S281/100),'⚖️ Wahrscheinlichkeit'!$B$17:$B$21,'⚖️ Wahrscheinlichkeit'!$D$17:$D$21),0),0)</f>
        <v>0</v>
      </c>
      <c r="AK281" s="1" t="str">
        <f aca="false">IF(AND(R281="WON",ISNUMBER(I281)),AL281+(861-ROW())*0.000001,"")</f>
        <v/>
      </c>
      <c r="AL281" s="1" t="n">
        <f aca="false">IFERROR(I281*1,0)</f>
        <v>0</v>
      </c>
      <c r="AM281" s="1" t="n">
        <f aca="false">N(AM280)+IF(AND(R281="WON",B281&lt;&gt;""),1,0)</f>
        <v>12</v>
      </c>
      <c r="AN281" s="1" t="n">
        <f aca="false">N(AN280)+IF(AND(OR(R281="offered",R281="to be offered",R281="on hold"),B281&lt;&gt;""),1,0)</f>
        <v>33</v>
      </c>
      <c r="AO281" s="1" t="n">
        <f aca="false">N(AO280)+IF(AND(OR(R281="follow-up",R281="Evaluation",R281="tbd",R281="In evaluation"),B281&lt;&gt;""),1,0)</f>
        <v>1</v>
      </c>
      <c r="AP281" s="1" t="n">
        <f aca="false">IF(B281="",0,IF(COUNTIF('⚖️ Wahrscheinlichkeit'!$J$17:$J$24,R281)&gt;0,1,0))</f>
        <v>0</v>
      </c>
      <c r="AQ281" s="1" t="n">
        <f aca="false">IF(B281="",0,IF(AND(ISNUMBER(S281),COUNTIF('⚖️ Wahrscheinlichkeit'!$B$6:$B$11,S281)&gt;0),1,0))</f>
        <v>0</v>
      </c>
      <c r="AR281" s="1" t="n">
        <f aca="false">IF(B281="",0,IF(AND(COUNT(J281:M281)=4,SUM(J281:M281)&gt;0),1,0))</f>
        <v>0</v>
      </c>
      <c r="AS281" s="1" t="n">
        <f aca="false">IF(B281="",0,IF(AND(AF281&lt;&gt;"",AG281&lt;&gt;""),1,0))</f>
        <v>0</v>
      </c>
      <c r="AT281" s="1" t="n">
        <f aca="false">IF(AND(R281="WON",AS281=1,AR281=1),1,0)</f>
        <v>0</v>
      </c>
      <c r="AU281" s="1" t="n">
        <f aca="false">IF(B281="",0,IF(AD281="Alternative – zählt nicht",0,1))</f>
        <v>0</v>
      </c>
      <c r="AV281" s="1" t="n">
        <f aca="false">IF(B281="",0,IF(COUNTIF($B$6:$B$860,B281)&gt;1,1,0))</f>
        <v>0</v>
      </c>
      <c r="AX281" s="269" t="str">
        <f aca="false">IF(AY281=1,DATE(YEAR(O281),MONTH(O281),1),"")</f>
        <v/>
      </c>
      <c r="AY281" s="1" t="n">
        <f aca="false">IF(B281="",0,IF(AND(ISNUMBER(O281),ISNUMBER(P281)),IF(P281&gt;=O281,1,0),0))</f>
        <v>0</v>
      </c>
      <c r="AZ281" s="1" t="n">
        <f aca="false">IF(ISNUMBER(Y281),Y281,0)</f>
        <v>0</v>
      </c>
      <c r="BA281" s="1" t="str">
        <f aca="false">IF(B281="","",IF(AND(R281="WON",AS281=0),"⛔ Beleg fehlt · ","")&amp;IF(AND(R281="WON",AR281=0),"⛔ Einstand fehlt · ","")&amp;IF(AND(R281&lt;&gt;"WON",AR281=0),"○ Einstand offen · ","")&amp;IF(AND(R281="WON",AB281=""),"⛔ Vertragsart fehlt · ","")&amp;IF(AND(ISNUMBER(O281),ISNUMBER(P281)),IF(P281&lt;O281,"⚠ Ende vor Start · ",""),"")&amp;IF(AND(R281="WON",AY281=0,NOT(AND(ISNUMBER(O281),ISNUMBER(P281)))),"⛔ Zeitraum fehlt · ","")&amp;IF(AND(R281&lt;&gt;"WON",AY281=0,NOT(AND(ISNUMBER(O281),ISNUMBER(P281)))),"○ Zeitraum offen · ",""))</f>
        <v/>
      </c>
      <c r="BB281" s="1" t="str">
        <f aca="false">IF(B281="","",IF(AND(R281="WON",AS281=0),"⛔ Nachweis fehlt",IF(AND(ISNUMBER(O281),ISNUMBER(P281),P281&lt;O281),"⚠ Ende vor Start",IF(AND(R281="WON",AY281=0),"⛔ Zeitraum fehlt",IF(AR281=0,"○ Einstand offen",IF(AY281=0,"○ Zeitraum offen",IF(R281="WON","✅ belegt","✔ erfasst")))))))</f>
        <v/>
      </c>
    </row>
    <row r="282" customFormat="false" ht="15" hidden="false" customHeight="true" outlineLevel="0" collapsed="false">
      <c r="G282" s="1" t="str">
        <f aca="false">IF(B282="","",IF(AY282=1,P282-O282+1,IF(AW282="","",AW282)))</f>
        <v/>
      </c>
      <c r="I282" s="270"/>
      <c r="J282" s="270"/>
      <c r="K282" s="270"/>
      <c r="L282" s="270"/>
      <c r="M282" s="270"/>
      <c r="N282" s="270"/>
      <c r="O282" s="263"/>
      <c r="P282" s="263"/>
      <c r="Q282" s="270" t="str">
        <f aca="false">IF(AND(ISNUMBER(I282),ISNUMBER(S282)),I282*AJ282,IF(OR(I282&lt;&gt;"",S282&lt;&gt;""),"tbd",""))</f>
        <v/>
      </c>
      <c r="S282" s="268"/>
      <c r="Y282" s="275" t="str">
        <f aca="false">IF(ISNUMBER(I282),I282/Netto_Faktor,"")</f>
        <v/>
      </c>
      <c r="Z282" s="275" t="str">
        <f aca="false">IF(B282="","",IF(COUNT(J282:N282)=0,"",SUM(J282:N282)))</f>
        <v/>
      </c>
      <c r="AA282" s="266"/>
      <c r="AB282" s="266"/>
      <c r="AC282" s="266"/>
      <c r="AD282" s="266"/>
      <c r="AE282" s="266"/>
      <c r="AF282" s="266"/>
      <c r="AG282" s="267"/>
      <c r="AH282" s="266" t="str">
        <f aca="false">IF(B282="","",IF(BA282="",IF(R282="WON","✅ belegt &amp; vollständig","✔ vollständig"),LEFT(BA282,LEN(BA282)-3)))</f>
        <v/>
      </c>
      <c r="AJ282" s="268" t="n">
        <f aca="false">IF(ISNUMBER(S282),IFERROR(LOOKUP(IF(S282&lt;=1,S282,S282/100),'⚖️ Wahrscheinlichkeit'!$B$17:$B$21,'⚖️ Wahrscheinlichkeit'!$D$17:$D$21),0),0)</f>
        <v>0</v>
      </c>
      <c r="AK282" s="1" t="str">
        <f aca="false">IF(AND(R282="WON",ISNUMBER(I282)),AL282+(861-ROW())*0.000001,"")</f>
        <v/>
      </c>
      <c r="AL282" s="1" t="n">
        <f aca="false">IFERROR(I282*1,0)</f>
        <v>0</v>
      </c>
      <c r="AM282" s="1" t="n">
        <f aca="false">N(AM281)+IF(AND(R282="WON",B282&lt;&gt;""),1,0)</f>
        <v>12</v>
      </c>
      <c r="AN282" s="1" t="n">
        <f aca="false">N(AN281)+IF(AND(OR(R282="offered",R282="to be offered",R282="on hold"),B282&lt;&gt;""),1,0)</f>
        <v>33</v>
      </c>
      <c r="AO282" s="1" t="n">
        <f aca="false">N(AO281)+IF(AND(OR(R282="follow-up",R282="Evaluation",R282="tbd",R282="In evaluation"),B282&lt;&gt;""),1,0)</f>
        <v>1</v>
      </c>
      <c r="AP282" s="1" t="n">
        <f aca="false">IF(B282="",0,IF(COUNTIF('⚖️ Wahrscheinlichkeit'!$J$17:$J$24,R282)&gt;0,1,0))</f>
        <v>0</v>
      </c>
      <c r="AQ282" s="1" t="n">
        <f aca="false">IF(B282="",0,IF(AND(ISNUMBER(S282),COUNTIF('⚖️ Wahrscheinlichkeit'!$B$6:$B$11,S282)&gt;0),1,0))</f>
        <v>0</v>
      </c>
      <c r="AR282" s="1" t="n">
        <f aca="false">IF(B282="",0,IF(AND(COUNT(J282:M282)=4,SUM(J282:M282)&gt;0),1,0))</f>
        <v>0</v>
      </c>
      <c r="AS282" s="1" t="n">
        <f aca="false">IF(B282="",0,IF(AND(AF282&lt;&gt;"",AG282&lt;&gt;""),1,0))</f>
        <v>0</v>
      </c>
      <c r="AT282" s="1" t="n">
        <f aca="false">IF(AND(R282="WON",AS282=1,AR282=1),1,0)</f>
        <v>0</v>
      </c>
      <c r="AU282" s="1" t="n">
        <f aca="false">IF(B282="",0,IF(AD282="Alternative – zählt nicht",0,1))</f>
        <v>0</v>
      </c>
      <c r="AV282" s="1" t="n">
        <f aca="false">IF(B282="",0,IF(COUNTIF($B$6:$B$860,B282)&gt;1,1,0))</f>
        <v>0</v>
      </c>
      <c r="AX282" s="269" t="str">
        <f aca="false">IF(AY282=1,DATE(YEAR(O282),MONTH(O282),1),"")</f>
        <v/>
      </c>
      <c r="AY282" s="1" t="n">
        <f aca="false">IF(B282="",0,IF(AND(ISNUMBER(O282),ISNUMBER(P282)),IF(P282&gt;=O282,1,0),0))</f>
        <v>0</v>
      </c>
      <c r="AZ282" s="1" t="n">
        <f aca="false">IF(ISNUMBER(Y282),Y282,0)</f>
        <v>0</v>
      </c>
      <c r="BA282" s="1" t="str">
        <f aca="false">IF(B282="","",IF(AND(R282="WON",AS282=0),"⛔ Beleg fehlt · ","")&amp;IF(AND(R282="WON",AR282=0),"⛔ Einstand fehlt · ","")&amp;IF(AND(R282&lt;&gt;"WON",AR282=0),"○ Einstand offen · ","")&amp;IF(AND(R282="WON",AB282=""),"⛔ Vertragsart fehlt · ","")&amp;IF(AND(ISNUMBER(O282),ISNUMBER(P282)),IF(P282&lt;O282,"⚠ Ende vor Start · ",""),"")&amp;IF(AND(R282="WON",AY282=0,NOT(AND(ISNUMBER(O282),ISNUMBER(P282)))),"⛔ Zeitraum fehlt · ","")&amp;IF(AND(R282&lt;&gt;"WON",AY282=0,NOT(AND(ISNUMBER(O282),ISNUMBER(P282)))),"○ Zeitraum offen · ",""))</f>
        <v/>
      </c>
      <c r="BB282" s="1" t="str">
        <f aca="false">IF(B282="","",IF(AND(R282="WON",AS282=0),"⛔ Nachweis fehlt",IF(AND(ISNUMBER(O282),ISNUMBER(P282),P282&lt;O282),"⚠ Ende vor Start",IF(AND(R282="WON",AY282=0),"⛔ Zeitraum fehlt",IF(AR282=0,"○ Einstand offen",IF(AY282=0,"○ Zeitraum offen",IF(R282="WON","✅ belegt","✔ erfasst")))))))</f>
        <v/>
      </c>
    </row>
    <row r="283" customFormat="false" ht="15" hidden="false" customHeight="true" outlineLevel="0" collapsed="false">
      <c r="G283" s="1" t="str">
        <f aca="false">IF(B283="","",IF(AY283=1,P283-O283+1,IF(AW283="","",AW283)))</f>
        <v/>
      </c>
      <c r="I283" s="270"/>
      <c r="J283" s="270"/>
      <c r="K283" s="270"/>
      <c r="L283" s="270"/>
      <c r="M283" s="270"/>
      <c r="N283" s="270"/>
      <c r="O283" s="263"/>
      <c r="P283" s="263"/>
      <c r="Q283" s="270" t="str">
        <f aca="false">IF(AND(ISNUMBER(I283),ISNUMBER(S283)),I283*AJ283,IF(OR(I283&lt;&gt;"",S283&lt;&gt;""),"tbd",""))</f>
        <v/>
      </c>
      <c r="S283" s="268"/>
      <c r="Y283" s="275" t="str">
        <f aca="false">IF(ISNUMBER(I283),I283/Netto_Faktor,"")</f>
        <v/>
      </c>
      <c r="Z283" s="275" t="str">
        <f aca="false">IF(B283="","",IF(COUNT(J283:N283)=0,"",SUM(J283:N283)))</f>
        <v/>
      </c>
      <c r="AA283" s="266"/>
      <c r="AB283" s="266"/>
      <c r="AC283" s="266"/>
      <c r="AD283" s="266"/>
      <c r="AE283" s="266"/>
      <c r="AF283" s="266"/>
      <c r="AG283" s="267"/>
      <c r="AH283" s="266" t="str">
        <f aca="false">IF(B283="","",IF(BA283="",IF(R283="WON","✅ belegt &amp; vollständig","✔ vollständig"),LEFT(BA283,LEN(BA283)-3)))</f>
        <v/>
      </c>
      <c r="AJ283" s="268" t="n">
        <f aca="false">IF(ISNUMBER(S283),IFERROR(LOOKUP(IF(S283&lt;=1,S283,S283/100),'⚖️ Wahrscheinlichkeit'!$B$17:$B$21,'⚖️ Wahrscheinlichkeit'!$D$17:$D$21),0),0)</f>
        <v>0</v>
      </c>
      <c r="AK283" s="1" t="str">
        <f aca="false">IF(AND(R283="WON",ISNUMBER(I283)),AL283+(861-ROW())*0.000001,"")</f>
        <v/>
      </c>
      <c r="AL283" s="1" t="n">
        <f aca="false">IFERROR(I283*1,0)</f>
        <v>0</v>
      </c>
      <c r="AM283" s="1" t="n">
        <f aca="false">N(AM282)+IF(AND(R283="WON",B283&lt;&gt;""),1,0)</f>
        <v>12</v>
      </c>
      <c r="AN283" s="1" t="n">
        <f aca="false">N(AN282)+IF(AND(OR(R283="offered",R283="to be offered",R283="on hold"),B283&lt;&gt;""),1,0)</f>
        <v>33</v>
      </c>
      <c r="AO283" s="1" t="n">
        <f aca="false">N(AO282)+IF(AND(OR(R283="follow-up",R283="Evaluation",R283="tbd",R283="In evaluation"),B283&lt;&gt;""),1,0)</f>
        <v>1</v>
      </c>
      <c r="AP283" s="1" t="n">
        <f aca="false">IF(B283="",0,IF(COUNTIF('⚖️ Wahrscheinlichkeit'!$J$17:$J$24,R283)&gt;0,1,0))</f>
        <v>0</v>
      </c>
      <c r="AQ283" s="1" t="n">
        <f aca="false">IF(B283="",0,IF(AND(ISNUMBER(S283),COUNTIF('⚖️ Wahrscheinlichkeit'!$B$6:$B$11,S283)&gt;0),1,0))</f>
        <v>0</v>
      </c>
      <c r="AR283" s="1" t="n">
        <f aca="false">IF(B283="",0,IF(AND(COUNT(J283:M283)=4,SUM(J283:M283)&gt;0),1,0))</f>
        <v>0</v>
      </c>
      <c r="AS283" s="1" t="n">
        <f aca="false">IF(B283="",0,IF(AND(AF283&lt;&gt;"",AG283&lt;&gt;""),1,0))</f>
        <v>0</v>
      </c>
      <c r="AT283" s="1" t="n">
        <f aca="false">IF(AND(R283="WON",AS283=1,AR283=1),1,0)</f>
        <v>0</v>
      </c>
      <c r="AU283" s="1" t="n">
        <f aca="false">IF(B283="",0,IF(AD283="Alternative – zählt nicht",0,1))</f>
        <v>0</v>
      </c>
      <c r="AV283" s="1" t="n">
        <f aca="false">IF(B283="",0,IF(COUNTIF($B$6:$B$860,B283)&gt;1,1,0))</f>
        <v>0</v>
      </c>
      <c r="AX283" s="269" t="str">
        <f aca="false">IF(AY283=1,DATE(YEAR(O283),MONTH(O283),1),"")</f>
        <v/>
      </c>
      <c r="AY283" s="1" t="n">
        <f aca="false">IF(B283="",0,IF(AND(ISNUMBER(O283),ISNUMBER(P283)),IF(P283&gt;=O283,1,0),0))</f>
        <v>0</v>
      </c>
      <c r="AZ283" s="1" t="n">
        <f aca="false">IF(ISNUMBER(Y283),Y283,0)</f>
        <v>0</v>
      </c>
      <c r="BA283" s="1" t="str">
        <f aca="false">IF(B283="","",IF(AND(R283="WON",AS283=0),"⛔ Beleg fehlt · ","")&amp;IF(AND(R283="WON",AR283=0),"⛔ Einstand fehlt · ","")&amp;IF(AND(R283&lt;&gt;"WON",AR283=0),"○ Einstand offen · ","")&amp;IF(AND(R283="WON",AB283=""),"⛔ Vertragsart fehlt · ","")&amp;IF(AND(ISNUMBER(O283),ISNUMBER(P283)),IF(P283&lt;O283,"⚠ Ende vor Start · ",""),"")&amp;IF(AND(R283="WON",AY283=0,NOT(AND(ISNUMBER(O283),ISNUMBER(P283)))),"⛔ Zeitraum fehlt · ","")&amp;IF(AND(R283&lt;&gt;"WON",AY283=0,NOT(AND(ISNUMBER(O283),ISNUMBER(P283)))),"○ Zeitraum offen · ",""))</f>
        <v/>
      </c>
      <c r="BB283" s="1" t="str">
        <f aca="false">IF(B283="","",IF(AND(R283="WON",AS283=0),"⛔ Nachweis fehlt",IF(AND(ISNUMBER(O283),ISNUMBER(P283),P283&lt;O283),"⚠ Ende vor Start",IF(AND(R283="WON",AY283=0),"⛔ Zeitraum fehlt",IF(AR283=0,"○ Einstand offen",IF(AY283=0,"○ Zeitraum offen",IF(R283="WON","✅ belegt","✔ erfasst")))))))</f>
        <v/>
      </c>
    </row>
    <row r="284" customFormat="false" ht="15" hidden="false" customHeight="true" outlineLevel="0" collapsed="false">
      <c r="G284" s="1" t="str">
        <f aca="false">IF(B284="","",IF(AY284=1,P284-O284+1,IF(AW284="","",AW284)))</f>
        <v/>
      </c>
      <c r="I284" s="270"/>
      <c r="J284" s="270"/>
      <c r="K284" s="270"/>
      <c r="L284" s="270"/>
      <c r="M284" s="270"/>
      <c r="N284" s="270"/>
      <c r="O284" s="263"/>
      <c r="P284" s="263"/>
      <c r="Q284" s="270" t="str">
        <f aca="false">IF(AND(ISNUMBER(I284),ISNUMBER(S284)),I284*AJ284,IF(OR(I284&lt;&gt;"",S284&lt;&gt;""),"tbd",""))</f>
        <v/>
      </c>
      <c r="S284" s="268"/>
      <c r="Y284" s="275" t="str">
        <f aca="false">IF(ISNUMBER(I284),I284/Netto_Faktor,"")</f>
        <v/>
      </c>
      <c r="Z284" s="275" t="str">
        <f aca="false">IF(B284="","",IF(COUNT(J284:N284)=0,"",SUM(J284:N284)))</f>
        <v/>
      </c>
      <c r="AA284" s="266"/>
      <c r="AB284" s="266"/>
      <c r="AC284" s="266"/>
      <c r="AD284" s="266"/>
      <c r="AE284" s="266"/>
      <c r="AF284" s="266"/>
      <c r="AG284" s="267"/>
      <c r="AH284" s="266" t="str">
        <f aca="false">IF(B284="","",IF(BA284="",IF(R284="WON","✅ belegt &amp; vollständig","✔ vollständig"),LEFT(BA284,LEN(BA284)-3)))</f>
        <v/>
      </c>
      <c r="AJ284" s="268" t="n">
        <f aca="false">IF(ISNUMBER(S284),IFERROR(LOOKUP(IF(S284&lt;=1,S284,S284/100),'⚖️ Wahrscheinlichkeit'!$B$17:$B$21,'⚖️ Wahrscheinlichkeit'!$D$17:$D$21),0),0)</f>
        <v>0</v>
      </c>
      <c r="AK284" s="1" t="str">
        <f aca="false">IF(AND(R284="WON",ISNUMBER(I284)),AL284+(861-ROW())*0.000001,"")</f>
        <v/>
      </c>
      <c r="AL284" s="1" t="n">
        <f aca="false">IFERROR(I284*1,0)</f>
        <v>0</v>
      </c>
      <c r="AM284" s="1" t="n">
        <f aca="false">N(AM283)+IF(AND(R284="WON",B284&lt;&gt;""),1,0)</f>
        <v>12</v>
      </c>
      <c r="AN284" s="1" t="n">
        <f aca="false">N(AN283)+IF(AND(OR(R284="offered",R284="to be offered",R284="on hold"),B284&lt;&gt;""),1,0)</f>
        <v>33</v>
      </c>
      <c r="AO284" s="1" t="n">
        <f aca="false">N(AO283)+IF(AND(OR(R284="follow-up",R284="Evaluation",R284="tbd",R284="In evaluation"),B284&lt;&gt;""),1,0)</f>
        <v>1</v>
      </c>
      <c r="AP284" s="1" t="n">
        <f aca="false">IF(B284="",0,IF(COUNTIF('⚖️ Wahrscheinlichkeit'!$J$17:$J$24,R284)&gt;0,1,0))</f>
        <v>0</v>
      </c>
      <c r="AQ284" s="1" t="n">
        <f aca="false">IF(B284="",0,IF(AND(ISNUMBER(S284),COUNTIF('⚖️ Wahrscheinlichkeit'!$B$6:$B$11,S284)&gt;0),1,0))</f>
        <v>0</v>
      </c>
      <c r="AR284" s="1" t="n">
        <f aca="false">IF(B284="",0,IF(AND(COUNT(J284:M284)=4,SUM(J284:M284)&gt;0),1,0))</f>
        <v>0</v>
      </c>
      <c r="AS284" s="1" t="n">
        <f aca="false">IF(B284="",0,IF(AND(AF284&lt;&gt;"",AG284&lt;&gt;""),1,0))</f>
        <v>0</v>
      </c>
      <c r="AT284" s="1" t="n">
        <f aca="false">IF(AND(R284="WON",AS284=1,AR284=1),1,0)</f>
        <v>0</v>
      </c>
      <c r="AU284" s="1" t="n">
        <f aca="false">IF(B284="",0,IF(AD284="Alternative – zählt nicht",0,1))</f>
        <v>0</v>
      </c>
      <c r="AV284" s="1" t="n">
        <f aca="false">IF(B284="",0,IF(COUNTIF($B$6:$B$860,B284)&gt;1,1,0))</f>
        <v>0</v>
      </c>
      <c r="AX284" s="269" t="str">
        <f aca="false">IF(AY284=1,DATE(YEAR(O284),MONTH(O284),1),"")</f>
        <v/>
      </c>
      <c r="AY284" s="1" t="n">
        <f aca="false">IF(B284="",0,IF(AND(ISNUMBER(O284),ISNUMBER(P284)),IF(P284&gt;=O284,1,0),0))</f>
        <v>0</v>
      </c>
      <c r="AZ284" s="1" t="n">
        <f aca="false">IF(ISNUMBER(Y284),Y284,0)</f>
        <v>0</v>
      </c>
      <c r="BA284" s="1" t="str">
        <f aca="false">IF(B284="","",IF(AND(R284="WON",AS284=0),"⛔ Beleg fehlt · ","")&amp;IF(AND(R284="WON",AR284=0),"⛔ Einstand fehlt · ","")&amp;IF(AND(R284&lt;&gt;"WON",AR284=0),"○ Einstand offen · ","")&amp;IF(AND(R284="WON",AB284=""),"⛔ Vertragsart fehlt · ","")&amp;IF(AND(ISNUMBER(O284),ISNUMBER(P284)),IF(P284&lt;O284,"⚠ Ende vor Start · ",""),"")&amp;IF(AND(R284="WON",AY284=0,NOT(AND(ISNUMBER(O284),ISNUMBER(P284)))),"⛔ Zeitraum fehlt · ","")&amp;IF(AND(R284&lt;&gt;"WON",AY284=0,NOT(AND(ISNUMBER(O284),ISNUMBER(P284)))),"○ Zeitraum offen · ",""))</f>
        <v/>
      </c>
      <c r="BB284" s="1" t="str">
        <f aca="false">IF(B284="","",IF(AND(R284="WON",AS284=0),"⛔ Nachweis fehlt",IF(AND(ISNUMBER(O284),ISNUMBER(P284),P284&lt;O284),"⚠ Ende vor Start",IF(AND(R284="WON",AY284=0),"⛔ Zeitraum fehlt",IF(AR284=0,"○ Einstand offen",IF(AY284=0,"○ Zeitraum offen",IF(R284="WON","✅ belegt","✔ erfasst")))))))</f>
        <v/>
      </c>
    </row>
    <row r="285" customFormat="false" ht="15" hidden="false" customHeight="true" outlineLevel="0" collapsed="false">
      <c r="G285" s="1" t="str">
        <f aca="false">IF(B285="","",IF(AY285=1,P285-O285+1,IF(AW285="","",AW285)))</f>
        <v/>
      </c>
      <c r="I285" s="270"/>
      <c r="J285" s="270"/>
      <c r="K285" s="270"/>
      <c r="L285" s="270"/>
      <c r="M285" s="270"/>
      <c r="N285" s="270"/>
      <c r="O285" s="263"/>
      <c r="P285" s="263"/>
      <c r="Q285" s="270" t="str">
        <f aca="false">IF(AND(ISNUMBER(I285),ISNUMBER(S285)),I285*AJ285,IF(OR(I285&lt;&gt;"",S285&lt;&gt;""),"tbd",""))</f>
        <v/>
      </c>
      <c r="S285" s="268"/>
      <c r="Y285" s="275" t="str">
        <f aca="false">IF(ISNUMBER(I285),I285/Netto_Faktor,"")</f>
        <v/>
      </c>
      <c r="Z285" s="275" t="str">
        <f aca="false">IF(B285="","",IF(COUNT(J285:N285)=0,"",SUM(J285:N285)))</f>
        <v/>
      </c>
      <c r="AA285" s="266"/>
      <c r="AB285" s="266"/>
      <c r="AC285" s="266"/>
      <c r="AD285" s="266"/>
      <c r="AE285" s="266"/>
      <c r="AF285" s="266"/>
      <c r="AG285" s="267"/>
      <c r="AH285" s="266" t="str">
        <f aca="false">IF(B285="","",IF(BA285="",IF(R285="WON","✅ belegt &amp; vollständig","✔ vollständig"),LEFT(BA285,LEN(BA285)-3)))</f>
        <v/>
      </c>
      <c r="AJ285" s="268" t="n">
        <f aca="false">IF(ISNUMBER(S285),IFERROR(LOOKUP(IF(S285&lt;=1,S285,S285/100),'⚖️ Wahrscheinlichkeit'!$B$17:$B$21,'⚖️ Wahrscheinlichkeit'!$D$17:$D$21),0),0)</f>
        <v>0</v>
      </c>
      <c r="AK285" s="1" t="str">
        <f aca="false">IF(AND(R285="WON",ISNUMBER(I285)),AL285+(861-ROW())*0.000001,"")</f>
        <v/>
      </c>
      <c r="AL285" s="1" t="n">
        <f aca="false">IFERROR(I285*1,0)</f>
        <v>0</v>
      </c>
      <c r="AM285" s="1" t="n">
        <f aca="false">N(AM284)+IF(AND(R285="WON",B285&lt;&gt;""),1,0)</f>
        <v>12</v>
      </c>
      <c r="AN285" s="1" t="n">
        <f aca="false">N(AN284)+IF(AND(OR(R285="offered",R285="to be offered",R285="on hold"),B285&lt;&gt;""),1,0)</f>
        <v>33</v>
      </c>
      <c r="AO285" s="1" t="n">
        <f aca="false">N(AO284)+IF(AND(OR(R285="follow-up",R285="Evaluation",R285="tbd",R285="In evaluation"),B285&lt;&gt;""),1,0)</f>
        <v>1</v>
      </c>
      <c r="AP285" s="1" t="n">
        <f aca="false">IF(B285="",0,IF(COUNTIF('⚖️ Wahrscheinlichkeit'!$J$17:$J$24,R285)&gt;0,1,0))</f>
        <v>0</v>
      </c>
      <c r="AQ285" s="1" t="n">
        <f aca="false">IF(B285="",0,IF(AND(ISNUMBER(S285),COUNTIF('⚖️ Wahrscheinlichkeit'!$B$6:$B$11,S285)&gt;0),1,0))</f>
        <v>0</v>
      </c>
      <c r="AR285" s="1" t="n">
        <f aca="false">IF(B285="",0,IF(AND(COUNT(J285:M285)=4,SUM(J285:M285)&gt;0),1,0))</f>
        <v>0</v>
      </c>
      <c r="AS285" s="1" t="n">
        <f aca="false">IF(B285="",0,IF(AND(AF285&lt;&gt;"",AG285&lt;&gt;""),1,0))</f>
        <v>0</v>
      </c>
      <c r="AT285" s="1" t="n">
        <f aca="false">IF(AND(R285="WON",AS285=1,AR285=1),1,0)</f>
        <v>0</v>
      </c>
      <c r="AU285" s="1" t="n">
        <f aca="false">IF(B285="",0,IF(AD285="Alternative – zählt nicht",0,1))</f>
        <v>0</v>
      </c>
      <c r="AV285" s="1" t="n">
        <f aca="false">IF(B285="",0,IF(COUNTIF($B$6:$B$860,B285)&gt;1,1,0))</f>
        <v>0</v>
      </c>
      <c r="AX285" s="269" t="str">
        <f aca="false">IF(AY285=1,DATE(YEAR(O285),MONTH(O285),1),"")</f>
        <v/>
      </c>
      <c r="AY285" s="1" t="n">
        <f aca="false">IF(B285="",0,IF(AND(ISNUMBER(O285),ISNUMBER(P285)),IF(P285&gt;=O285,1,0),0))</f>
        <v>0</v>
      </c>
      <c r="AZ285" s="1" t="n">
        <f aca="false">IF(ISNUMBER(Y285),Y285,0)</f>
        <v>0</v>
      </c>
      <c r="BA285" s="1" t="str">
        <f aca="false">IF(B285="","",IF(AND(R285="WON",AS285=0),"⛔ Beleg fehlt · ","")&amp;IF(AND(R285="WON",AR285=0),"⛔ Einstand fehlt · ","")&amp;IF(AND(R285&lt;&gt;"WON",AR285=0),"○ Einstand offen · ","")&amp;IF(AND(R285="WON",AB285=""),"⛔ Vertragsart fehlt · ","")&amp;IF(AND(ISNUMBER(O285),ISNUMBER(P285)),IF(P285&lt;O285,"⚠ Ende vor Start · ",""),"")&amp;IF(AND(R285="WON",AY285=0,NOT(AND(ISNUMBER(O285),ISNUMBER(P285)))),"⛔ Zeitraum fehlt · ","")&amp;IF(AND(R285&lt;&gt;"WON",AY285=0,NOT(AND(ISNUMBER(O285),ISNUMBER(P285)))),"○ Zeitraum offen · ",""))</f>
        <v/>
      </c>
      <c r="BB285" s="1" t="str">
        <f aca="false">IF(B285="","",IF(AND(R285="WON",AS285=0),"⛔ Nachweis fehlt",IF(AND(ISNUMBER(O285),ISNUMBER(P285),P285&lt;O285),"⚠ Ende vor Start",IF(AND(R285="WON",AY285=0),"⛔ Zeitraum fehlt",IF(AR285=0,"○ Einstand offen",IF(AY285=0,"○ Zeitraum offen",IF(R285="WON","✅ belegt","✔ erfasst")))))))</f>
        <v/>
      </c>
    </row>
    <row r="286" customFormat="false" ht="15" hidden="false" customHeight="true" outlineLevel="0" collapsed="false">
      <c r="G286" s="1" t="str">
        <f aca="false">IF(B286="","",IF(AY286=1,P286-O286+1,IF(AW286="","",AW286)))</f>
        <v/>
      </c>
      <c r="I286" s="270"/>
      <c r="J286" s="270"/>
      <c r="K286" s="270"/>
      <c r="L286" s="270"/>
      <c r="M286" s="270"/>
      <c r="N286" s="270"/>
      <c r="O286" s="263"/>
      <c r="P286" s="263"/>
      <c r="Q286" s="270" t="str">
        <f aca="false">IF(AND(ISNUMBER(I286),ISNUMBER(S286)),I286*AJ286,IF(OR(I286&lt;&gt;"",S286&lt;&gt;""),"tbd",""))</f>
        <v/>
      </c>
      <c r="S286" s="268"/>
      <c r="Y286" s="275" t="str">
        <f aca="false">IF(ISNUMBER(I286),I286/Netto_Faktor,"")</f>
        <v/>
      </c>
      <c r="Z286" s="275" t="str">
        <f aca="false">IF(B286="","",IF(COUNT(J286:N286)=0,"",SUM(J286:N286)))</f>
        <v/>
      </c>
      <c r="AA286" s="266"/>
      <c r="AB286" s="266"/>
      <c r="AC286" s="266"/>
      <c r="AD286" s="266"/>
      <c r="AE286" s="266"/>
      <c r="AF286" s="266"/>
      <c r="AG286" s="267"/>
      <c r="AH286" s="266" t="str">
        <f aca="false">IF(B286="","",IF(BA286="",IF(R286="WON","✅ belegt &amp; vollständig","✔ vollständig"),LEFT(BA286,LEN(BA286)-3)))</f>
        <v/>
      </c>
      <c r="AJ286" s="268" t="n">
        <f aca="false">IF(ISNUMBER(S286),IFERROR(LOOKUP(IF(S286&lt;=1,S286,S286/100),'⚖️ Wahrscheinlichkeit'!$B$17:$B$21,'⚖️ Wahrscheinlichkeit'!$D$17:$D$21),0),0)</f>
        <v>0</v>
      </c>
      <c r="AK286" s="1" t="str">
        <f aca="false">IF(AND(R286="WON",ISNUMBER(I286)),AL286+(861-ROW())*0.000001,"")</f>
        <v/>
      </c>
      <c r="AL286" s="1" t="n">
        <f aca="false">IFERROR(I286*1,0)</f>
        <v>0</v>
      </c>
      <c r="AM286" s="1" t="n">
        <f aca="false">N(AM285)+IF(AND(R286="WON",B286&lt;&gt;""),1,0)</f>
        <v>12</v>
      </c>
      <c r="AN286" s="1" t="n">
        <f aca="false">N(AN285)+IF(AND(OR(R286="offered",R286="to be offered",R286="on hold"),B286&lt;&gt;""),1,0)</f>
        <v>33</v>
      </c>
      <c r="AO286" s="1" t="n">
        <f aca="false">N(AO285)+IF(AND(OR(R286="follow-up",R286="Evaluation",R286="tbd",R286="In evaluation"),B286&lt;&gt;""),1,0)</f>
        <v>1</v>
      </c>
      <c r="AP286" s="1" t="n">
        <f aca="false">IF(B286="",0,IF(COUNTIF('⚖️ Wahrscheinlichkeit'!$J$17:$J$24,R286)&gt;0,1,0))</f>
        <v>0</v>
      </c>
      <c r="AQ286" s="1" t="n">
        <f aca="false">IF(B286="",0,IF(AND(ISNUMBER(S286),COUNTIF('⚖️ Wahrscheinlichkeit'!$B$6:$B$11,S286)&gt;0),1,0))</f>
        <v>0</v>
      </c>
      <c r="AR286" s="1" t="n">
        <f aca="false">IF(B286="",0,IF(AND(COUNT(J286:M286)=4,SUM(J286:M286)&gt;0),1,0))</f>
        <v>0</v>
      </c>
      <c r="AS286" s="1" t="n">
        <f aca="false">IF(B286="",0,IF(AND(AF286&lt;&gt;"",AG286&lt;&gt;""),1,0))</f>
        <v>0</v>
      </c>
      <c r="AT286" s="1" t="n">
        <f aca="false">IF(AND(R286="WON",AS286=1,AR286=1),1,0)</f>
        <v>0</v>
      </c>
      <c r="AU286" s="1" t="n">
        <f aca="false">IF(B286="",0,IF(AD286="Alternative – zählt nicht",0,1))</f>
        <v>0</v>
      </c>
      <c r="AV286" s="1" t="n">
        <f aca="false">IF(B286="",0,IF(COUNTIF($B$6:$B$860,B286)&gt;1,1,0))</f>
        <v>0</v>
      </c>
      <c r="AX286" s="269" t="str">
        <f aca="false">IF(AY286=1,DATE(YEAR(O286),MONTH(O286),1),"")</f>
        <v/>
      </c>
      <c r="AY286" s="1" t="n">
        <f aca="false">IF(B286="",0,IF(AND(ISNUMBER(O286),ISNUMBER(P286)),IF(P286&gt;=O286,1,0),0))</f>
        <v>0</v>
      </c>
      <c r="AZ286" s="1" t="n">
        <f aca="false">IF(ISNUMBER(Y286),Y286,0)</f>
        <v>0</v>
      </c>
      <c r="BA286" s="1" t="str">
        <f aca="false">IF(B286="","",IF(AND(R286="WON",AS286=0),"⛔ Beleg fehlt · ","")&amp;IF(AND(R286="WON",AR286=0),"⛔ Einstand fehlt · ","")&amp;IF(AND(R286&lt;&gt;"WON",AR286=0),"○ Einstand offen · ","")&amp;IF(AND(R286="WON",AB286=""),"⛔ Vertragsart fehlt · ","")&amp;IF(AND(ISNUMBER(O286),ISNUMBER(P286)),IF(P286&lt;O286,"⚠ Ende vor Start · ",""),"")&amp;IF(AND(R286="WON",AY286=0,NOT(AND(ISNUMBER(O286),ISNUMBER(P286)))),"⛔ Zeitraum fehlt · ","")&amp;IF(AND(R286&lt;&gt;"WON",AY286=0,NOT(AND(ISNUMBER(O286),ISNUMBER(P286)))),"○ Zeitraum offen · ",""))</f>
        <v/>
      </c>
      <c r="BB286" s="1" t="str">
        <f aca="false">IF(B286="","",IF(AND(R286="WON",AS286=0),"⛔ Nachweis fehlt",IF(AND(ISNUMBER(O286),ISNUMBER(P286),P286&lt;O286),"⚠ Ende vor Start",IF(AND(R286="WON",AY286=0),"⛔ Zeitraum fehlt",IF(AR286=0,"○ Einstand offen",IF(AY286=0,"○ Zeitraum offen",IF(R286="WON","✅ belegt","✔ erfasst")))))))</f>
        <v/>
      </c>
    </row>
    <row r="287" customFormat="false" ht="15" hidden="false" customHeight="true" outlineLevel="0" collapsed="false">
      <c r="G287" s="1" t="str">
        <f aca="false">IF(B287="","",IF(AY287=1,P287-O287+1,IF(AW287="","",AW287)))</f>
        <v/>
      </c>
      <c r="I287" s="270"/>
      <c r="J287" s="270"/>
      <c r="K287" s="270"/>
      <c r="L287" s="270"/>
      <c r="M287" s="270"/>
      <c r="N287" s="270"/>
      <c r="O287" s="263"/>
      <c r="P287" s="263"/>
      <c r="Q287" s="270" t="str">
        <f aca="false">IF(AND(ISNUMBER(I287),ISNUMBER(S287)),I287*AJ287,IF(OR(I287&lt;&gt;"",S287&lt;&gt;""),"tbd",""))</f>
        <v/>
      </c>
      <c r="S287" s="268"/>
      <c r="Y287" s="275" t="str">
        <f aca="false">IF(ISNUMBER(I287),I287/Netto_Faktor,"")</f>
        <v/>
      </c>
      <c r="Z287" s="275" t="str">
        <f aca="false">IF(B287="","",IF(COUNT(J287:N287)=0,"",SUM(J287:N287)))</f>
        <v/>
      </c>
      <c r="AA287" s="266"/>
      <c r="AB287" s="266"/>
      <c r="AC287" s="266"/>
      <c r="AD287" s="266"/>
      <c r="AE287" s="266"/>
      <c r="AF287" s="266"/>
      <c r="AG287" s="267"/>
      <c r="AH287" s="266" t="str">
        <f aca="false">IF(B287="","",IF(BA287="",IF(R287="WON","✅ belegt &amp; vollständig","✔ vollständig"),LEFT(BA287,LEN(BA287)-3)))</f>
        <v/>
      </c>
      <c r="AJ287" s="268" t="n">
        <f aca="false">IF(ISNUMBER(S287),IFERROR(LOOKUP(IF(S287&lt;=1,S287,S287/100),'⚖️ Wahrscheinlichkeit'!$B$17:$B$21,'⚖️ Wahrscheinlichkeit'!$D$17:$D$21),0),0)</f>
        <v>0</v>
      </c>
      <c r="AK287" s="1" t="str">
        <f aca="false">IF(AND(R287="WON",ISNUMBER(I287)),AL287+(861-ROW())*0.000001,"")</f>
        <v/>
      </c>
      <c r="AL287" s="1" t="n">
        <f aca="false">IFERROR(I287*1,0)</f>
        <v>0</v>
      </c>
      <c r="AM287" s="1" t="n">
        <f aca="false">N(AM286)+IF(AND(R287="WON",B287&lt;&gt;""),1,0)</f>
        <v>12</v>
      </c>
      <c r="AN287" s="1" t="n">
        <f aca="false">N(AN286)+IF(AND(OR(R287="offered",R287="to be offered",R287="on hold"),B287&lt;&gt;""),1,0)</f>
        <v>33</v>
      </c>
      <c r="AO287" s="1" t="n">
        <f aca="false">N(AO286)+IF(AND(OR(R287="follow-up",R287="Evaluation",R287="tbd",R287="In evaluation"),B287&lt;&gt;""),1,0)</f>
        <v>1</v>
      </c>
      <c r="AP287" s="1" t="n">
        <f aca="false">IF(B287="",0,IF(COUNTIF('⚖️ Wahrscheinlichkeit'!$J$17:$J$24,R287)&gt;0,1,0))</f>
        <v>0</v>
      </c>
      <c r="AQ287" s="1" t="n">
        <f aca="false">IF(B287="",0,IF(AND(ISNUMBER(S287),COUNTIF('⚖️ Wahrscheinlichkeit'!$B$6:$B$11,S287)&gt;0),1,0))</f>
        <v>0</v>
      </c>
      <c r="AR287" s="1" t="n">
        <f aca="false">IF(B287="",0,IF(AND(COUNT(J287:M287)=4,SUM(J287:M287)&gt;0),1,0))</f>
        <v>0</v>
      </c>
      <c r="AS287" s="1" t="n">
        <f aca="false">IF(B287="",0,IF(AND(AF287&lt;&gt;"",AG287&lt;&gt;""),1,0))</f>
        <v>0</v>
      </c>
      <c r="AT287" s="1" t="n">
        <f aca="false">IF(AND(R287="WON",AS287=1,AR287=1),1,0)</f>
        <v>0</v>
      </c>
      <c r="AU287" s="1" t="n">
        <f aca="false">IF(B287="",0,IF(AD287="Alternative – zählt nicht",0,1))</f>
        <v>0</v>
      </c>
      <c r="AV287" s="1" t="n">
        <f aca="false">IF(B287="",0,IF(COUNTIF($B$6:$B$860,B287)&gt;1,1,0))</f>
        <v>0</v>
      </c>
      <c r="AX287" s="269" t="str">
        <f aca="false">IF(AY287=1,DATE(YEAR(O287),MONTH(O287),1),"")</f>
        <v/>
      </c>
      <c r="AY287" s="1" t="n">
        <f aca="false">IF(B287="",0,IF(AND(ISNUMBER(O287),ISNUMBER(P287)),IF(P287&gt;=O287,1,0),0))</f>
        <v>0</v>
      </c>
      <c r="AZ287" s="1" t="n">
        <f aca="false">IF(ISNUMBER(Y287),Y287,0)</f>
        <v>0</v>
      </c>
      <c r="BA287" s="1" t="str">
        <f aca="false">IF(B287="","",IF(AND(R287="WON",AS287=0),"⛔ Beleg fehlt · ","")&amp;IF(AND(R287="WON",AR287=0),"⛔ Einstand fehlt · ","")&amp;IF(AND(R287&lt;&gt;"WON",AR287=0),"○ Einstand offen · ","")&amp;IF(AND(R287="WON",AB287=""),"⛔ Vertragsart fehlt · ","")&amp;IF(AND(ISNUMBER(O287),ISNUMBER(P287)),IF(P287&lt;O287,"⚠ Ende vor Start · ",""),"")&amp;IF(AND(R287="WON",AY287=0,NOT(AND(ISNUMBER(O287),ISNUMBER(P287)))),"⛔ Zeitraum fehlt · ","")&amp;IF(AND(R287&lt;&gt;"WON",AY287=0,NOT(AND(ISNUMBER(O287),ISNUMBER(P287)))),"○ Zeitraum offen · ",""))</f>
        <v/>
      </c>
      <c r="BB287" s="1" t="str">
        <f aca="false">IF(B287="","",IF(AND(R287="WON",AS287=0),"⛔ Nachweis fehlt",IF(AND(ISNUMBER(O287),ISNUMBER(P287),P287&lt;O287),"⚠ Ende vor Start",IF(AND(R287="WON",AY287=0),"⛔ Zeitraum fehlt",IF(AR287=0,"○ Einstand offen",IF(AY287=0,"○ Zeitraum offen",IF(R287="WON","✅ belegt","✔ erfasst")))))))</f>
        <v/>
      </c>
    </row>
    <row r="288" customFormat="false" ht="15" hidden="false" customHeight="true" outlineLevel="0" collapsed="false">
      <c r="G288" s="1" t="str">
        <f aca="false">IF(B288="","",IF(AY288=1,P288-O288+1,IF(AW288="","",AW288)))</f>
        <v/>
      </c>
      <c r="I288" s="270"/>
      <c r="J288" s="270"/>
      <c r="K288" s="270"/>
      <c r="L288" s="270"/>
      <c r="M288" s="270"/>
      <c r="N288" s="270"/>
      <c r="O288" s="263"/>
      <c r="P288" s="263"/>
      <c r="Q288" s="270" t="str">
        <f aca="false">IF(AND(ISNUMBER(I288),ISNUMBER(S288)),I288*AJ288,IF(OR(I288&lt;&gt;"",S288&lt;&gt;""),"tbd",""))</f>
        <v/>
      </c>
      <c r="S288" s="268"/>
      <c r="Y288" s="275" t="str">
        <f aca="false">IF(ISNUMBER(I288),I288/Netto_Faktor,"")</f>
        <v/>
      </c>
      <c r="Z288" s="275" t="str">
        <f aca="false">IF(B288="","",IF(COUNT(J288:N288)=0,"",SUM(J288:N288)))</f>
        <v/>
      </c>
      <c r="AA288" s="266"/>
      <c r="AB288" s="266"/>
      <c r="AC288" s="266"/>
      <c r="AD288" s="266"/>
      <c r="AE288" s="266"/>
      <c r="AF288" s="266"/>
      <c r="AG288" s="267"/>
      <c r="AH288" s="266" t="str">
        <f aca="false">IF(B288="","",IF(BA288="",IF(R288="WON","✅ belegt &amp; vollständig","✔ vollständig"),LEFT(BA288,LEN(BA288)-3)))</f>
        <v/>
      </c>
      <c r="AJ288" s="268" t="n">
        <f aca="false">IF(ISNUMBER(S288),IFERROR(LOOKUP(IF(S288&lt;=1,S288,S288/100),'⚖️ Wahrscheinlichkeit'!$B$17:$B$21,'⚖️ Wahrscheinlichkeit'!$D$17:$D$21),0),0)</f>
        <v>0</v>
      </c>
      <c r="AK288" s="1" t="str">
        <f aca="false">IF(AND(R288="WON",ISNUMBER(I288)),AL288+(861-ROW())*0.000001,"")</f>
        <v/>
      </c>
      <c r="AL288" s="1" t="n">
        <f aca="false">IFERROR(I288*1,0)</f>
        <v>0</v>
      </c>
      <c r="AM288" s="1" t="n">
        <f aca="false">N(AM287)+IF(AND(R288="WON",B288&lt;&gt;""),1,0)</f>
        <v>12</v>
      </c>
      <c r="AN288" s="1" t="n">
        <f aca="false">N(AN287)+IF(AND(OR(R288="offered",R288="to be offered",R288="on hold"),B288&lt;&gt;""),1,0)</f>
        <v>33</v>
      </c>
      <c r="AO288" s="1" t="n">
        <f aca="false">N(AO287)+IF(AND(OR(R288="follow-up",R288="Evaluation",R288="tbd",R288="In evaluation"),B288&lt;&gt;""),1,0)</f>
        <v>1</v>
      </c>
      <c r="AP288" s="1" t="n">
        <f aca="false">IF(B288="",0,IF(COUNTIF('⚖️ Wahrscheinlichkeit'!$J$17:$J$24,R288)&gt;0,1,0))</f>
        <v>0</v>
      </c>
      <c r="AQ288" s="1" t="n">
        <f aca="false">IF(B288="",0,IF(AND(ISNUMBER(S288),COUNTIF('⚖️ Wahrscheinlichkeit'!$B$6:$B$11,S288)&gt;0),1,0))</f>
        <v>0</v>
      </c>
      <c r="AR288" s="1" t="n">
        <f aca="false">IF(B288="",0,IF(AND(COUNT(J288:M288)=4,SUM(J288:M288)&gt;0),1,0))</f>
        <v>0</v>
      </c>
      <c r="AS288" s="1" t="n">
        <f aca="false">IF(B288="",0,IF(AND(AF288&lt;&gt;"",AG288&lt;&gt;""),1,0))</f>
        <v>0</v>
      </c>
      <c r="AT288" s="1" t="n">
        <f aca="false">IF(AND(R288="WON",AS288=1,AR288=1),1,0)</f>
        <v>0</v>
      </c>
      <c r="AU288" s="1" t="n">
        <f aca="false">IF(B288="",0,IF(AD288="Alternative – zählt nicht",0,1))</f>
        <v>0</v>
      </c>
      <c r="AV288" s="1" t="n">
        <f aca="false">IF(B288="",0,IF(COUNTIF($B$6:$B$860,B288)&gt;1,1,0))</f>
        <v>0</v>
      </c>
      <c r="AX288" s="269" t="str">
        <f aca="false">IF(AY288=1,DATE(YEAR(O288),MONTH(O288),1),"")</f>
        <v/>
      </c>
      <c r="AY288" s="1" t="n">
        <f aca="false">IF(B288="",0,IF(AND(ISNUMBER(O288),ISNUMBER(P288)),IF(P288&gt;=O288,1,0),0))</f>
        <v>0</v>
      </c>
      <c r="AZ288" s="1" t="n">
        <f aca="false">IF(ISNUMBER(Y288),Y288,0)</f>
        <v>0</v>
      </c>
      <c r="BA288" s="1" t="str">
        <f aca="false">IF(B288="","",IF(AND(R288="WON",AS288=0),"⛔ Beleg fehlt · ","")&amp;IF(AND(R288="WON",AR288=0),"⛔ Einstand fehlt · ","")&amp;IF(AND(R288&lt;&gt;"WON",AR288=0),"○ Einstand offen · ","")&amp;IF(AND(R288="WON",AB288=""),"⛔ Vertragsart fehlt · ","")&amp;IF(AND(ISNUMBER(O288),ISNUMBER(P288)),IF(P288&lt;O288,"⚠ Ende vor Start · ",""),"")&amp;IF(AND(R288="WON",AY288=0,NOT(AND(ISNUMBER(O288),ISNUMBER(P288)))),"⛔ Zeitraum fehlt · ","")&amp;IF(AND(R288&lt;&gt;"WON",AY288=0,NOT(AND(ISNUMBER(O288),ISNUMBER(P288)))),"○ Zeitraum offen · ",""))</f>
        <v/>
      </c>
      <c r="BB288" s="1" t="str">
        <f aca="false">IF(B288="","",IF(AND(R288="WON",AS288=0),"⛔ Nachweis fehlt",IF(AND(ISNUMBER(O288),ISNUMBER(P288),P288&lt;O288),"⚠ Ende vor Start",IF(AND(R288="WON",AY288=0),"⛔ Zeitraum fehlt",IF(AR288=0,"○ Einstand offen",IF(AY288=0,"○ Zeitraum offen",IF(R288="WON","✅ belegt","✔ erfasst")))))))</f>
        <v/>
      </c>
    </row>
    <row r="289" customFormat="false" ht="15" hidden="false" customHeight="true" outlineLevel="0" collapsed="false">
      <c r="G289" s="1" t="str">
        <f aca="false">IF(B289="","",IF(AY289=1,P289-O289+1,IF(AW289="","",AW289)))</f>
        <v/>
      </c>
      <c r="I289" s="270"/>
      <c r="J289" s="270"/>
      <c r="K289" s="270"/>
      <c r="L289" s="270"/>
      <c r="M289" s="270"/>
      <c r="N289" s="270"/>
      <c r="O289" s="263"/>
      <c r="P289" s="263"/>
      <c r="Q289" s="270" t="str">
        <f aca="false">IF(AND(ISNUMBER(I289),ISNUMBER(S289)),I289*AJ289,IF(OR(I289&lt;&gt;"",S289&lt;&gt;""),"tbd",""))</f>
        <v/>
      </c>
      <c r="S289" s="268"/>
      <c r="Y289" s="275" t="str">
        <f aca="false">IF(ISNUMBER(I289),I289/Netto_Faktor,"")</f>
        <v/>
      </c>
      <c r="Z289" s="275" t="str">
        <f aca="false">IF(B289="","",IF(COUNT(J289:N289)=0,"",SUM(J289:N289)))</f>
        <v/>
      </c>
      <c r="AA289" s="266"/>
      <c r="AB289" s="266"/>
      <c r="AC289" s="266"/>
      <c r="AD289" s="266"/>
      <c r="AE289" s="266"/>
      <c r="AF289" s="266"/>
      <c r="AG289" s="267"/>
      <c r="AH289" s="266" t="str">
        <f aca="false">IF(B289="","",IF(BA289="",IF(R289="WON","✅ belegt &amp; vollständig","✔ vollständig"),LEFT(BA289,LEN(BA289)-3)))</f>
        <v/>
      </c>
      <c r="AJ289" s="268" t="n">
        <f aca="false">IF(ISNUMBER(S289),IFERROR(LOOKUP(IF(S289&lt;=1,S289,S289/100),'⚖️ Wahrscheinlichkeit'!$B$17:$B$21,'⚖️ Wahrscheinlichkeit'!$D$17:$D$21),0),0)</f>
        <v>0</v>
      </c>
      <c r="AK289" s="1" t="str">
        <f aca="false">IF(AND(R289="WON",ISNUMBER(I289)),AL289+(861-ROW())*0.000001,"")</f>
        <v/>
      </c>
      <c r="AL289" s="1" t="n">
        <f aca="false">IFERROR(I289*1,0)</f>
        <v>0</v>
      </c>
      <c r="AM289" s="1" t="n">
        <f aca="false">N(AM288)+IF(AND(R289="WON",B289&lt;&gt;""),1,0)</f>
        <v>12</v>
      </c>
      <c r="AN289" s="1" t="n">
        <f aca="false">N(AN288)+IF(AND(OR(R289="offered",R289="to be offered",R289="on hold"),B289&lt;&gt;""),1,0)</f>
        <v>33</v>
      </c>
      <c r="AO289" s="1" t="n">
        <f aca="false">N(AO288)+IF(AND(OR(R289="follow-up",R289="Evaluation",R289="tbd",R289="In evaluation"),B289&lt;&gt;""),1,0)</f>
        <v>1</v>
      </c>
      <c r="AP289" s="1" t="n">
        <f aca="false">IF(B289="",0,IF(COUNTIF('⚖️ Wahrscheinlichkeit'!$J$17:$J$24,R289)&gt;0,1,0))</f>
        <v>0</v>
      </c>
      <c r="AQ289" s="1" t="n">
        <f aca="false">IF(B289="",0,IF(AND(ISNUMBER(S289),COUNTIF('⚖️ Wahrscheinlichkeit'!$B$6:$B$11,S289)&gt;0),1,0))</f>
        <v>0</v>
      </c>
      <c r="AR289" s="1" t="n">
        <f aca="false">IF(B289="",0,IF(AND(COUNT(J289:M289)=4,SUM(J289:M289)&gt;0),1,0))</f>
        <v>0</v>
      </c>
      <c r="AS289" s="1" t="n">
        <f aca="false">IF(B289="",0,IF(AND(AF289&lt;&gt;"",AG289&lt;&gt;""),1,0))</f>
        <v>0</v>
      </c>
      <c r="AT289" s="1" t="n">
        <f aca="false">IF(AND(R289="WON",AS289=1,AR289=1),1,0)</f>
        <v>0</v>
      </c>
      <c r="AU289" s="1" t="n">
        <f aca="false">IF(B289="",0,IF(AD289="Alternative – zählt nicht",0,1))</f>
        <v>0</v>
      </c>
      <c r="AV289" s="1" t="n">
        <f aca="false">IF(B289="",0,IF(COUNTIF($B$6:$B$860,B289)&gt;1,1,0))</f>
        <v>0</v>
      </c>
      <c r="AX289" s="269" t="str">
        <f aca="false">IF(AY289=1,DATE(YEAR(O289),MONTH(O289),1),"")</f>
        <v/>
      </c>
      <c r="AY289" s="1" t="n">
        <f aca="false">IF(B289="",0,IF(AND(ISNUMBER(O289),ISNUMBER(P289)),IF(P289&gt;=O289,1,0),0))</f>
        <v>0</v>
      </c>
      <c r="AZ289" s="1" t="n">
        <f aca="false">IF(ISNUMBER(Y289),Y289,0)</f>
        <v>0</v>
      </c>
      <c r="BA289" s="1" t="str">
        <f aca="false">IF(B289="","",IF(AND(R289="WON",AS289=0),"⛔ Beleg fehlt · ","")&amp;IF(AND(R289="WON",AR289=0),"⛔ Einstand fehlt · ","")&amp;IF(AND(R289&lt;&gt;"WON",AR289=0),"○ Einstand offen · ","")&amp;IF(AND(R289="WON",AB289=""),"⛔ Vertragsart fehlt · ","")&amp;IF(AND(ISNUMBER(O289),ISNUMBER(P289)),IF(P289&lt;O289,"⚠ Ende vor Start · ",""),"")&amp;IF(AND(R289="WON",AY289=0,NOT(AND(ISNUMBER(O289),ISNUMBER(P289)))),"⛔ Zeitraum fehlt · ","")&amp;IF(AND(R289&lt;&gt;"WON",AY289=0,NOT(AND(ISNUMBER(O289),ISNUMBER(P289)))),"○ Zeitraum offen · ",""))</f>
        <v/>
      </c>
      <c r="BB289" s="1" t="str">
        <f aca="false">IF(B289="","",IF(AND(R289="WON",AS289=0),"⛔ Nachweis fehlt",IF(AND(ISNUMBER(O289),ISNUMBER(P289),P289&lt;O289),"⚠ Ende vor Start",IF(AND(R289="WON",AY289=0),"⛔ Zeitraum fehlt",IF(AR289=0,"○ Einstand offen",IF(AY289=0,"○ Zeitraum offen",IF(R289="WON","✅ belegt","✔ erfasst")))))))</f>
        <v/>
      </c>
    </row>
    <row r="290" customFormat="false" ht="15" hidden="false" customHeight="true" outlineLevel="0" collapsed="false">
      <c r="G290" s="1" t="str">
        <f aca="false">IF(B290="","",IF(AY290=1,P290-O290+1,IF(AW290="","",AW290)))</f>
        <v/>
      </c>
      <c r="I290" s="270"/>
      <c r="J290" s="270"/>
      <c r="K290" s="270"/>
      <c r="L290" s="270"/>
      <c r="M290" s="270"/>
      <c r="N290" s="270"/>
      <c r="O290" s="263"/>
      <c r="P290" s="263"/>
      <c r="Q290" s="270" t="str">
        <f aca="false">IF(AND(ISNUMBER(I290),ISNUMBER(S290)),I290*AJ290,IF(OR(I290&lt;&gt;"",S290&lt;&gt;""),"tbd",""))</f>
        <v/>
      </c>
      <c r="S290" s="268"/>
      <c r="Y290" s="275" t="str">
        <f aca="false">IF(ISNUMBER(I290),I290/Netto_Faktor,"")</f>
        <v/>
      </c>
      <c r="Z290" s="275" t="str">
        <f aca="false">IF(B290="","",IF(COUNT(J290:N290)=0,"",SUM(J290:N290)))</f>
        <v/>
      </c>
      <c r="AA290" s="266"/>
      <c r="AB290" s="266"/>
      <c r="AC290" s="266"/>
      <c r="AD290" s="266"/>
      <c r="AE290" s="266"/>
      <c r="AF290" s="266"/>
      <c r="AG290" s="267"/>
      <c r="AH290" s="266" t="str">
        <f aca="false">IF(B290="","",IF(BA290="",IF(R290="WON","✅ belegt &amp; vollständig","✔ vollständig"),LEFT(BA290,LEN(BA290)-3)))</f>
        <v/>
      </c>
      <c r="AJ290" s="268" t="n">
        <f aca="false">IF(ISNUMBER(S290),IFERROR(LOOKUP(IF(S290&lt;=1,S290,S290/100),'⚖️ Wahrscheinlichkeit'!$B$17:$B$21,'⚖️ Wahrscheinlichkeit'!$D$17:$D$21),0),0)</f>
        <v>0</v>
      </c>
      <c r="AK290" s="1" t="str">
        <f aca="false">IF(AND(R290="WON",ISNUMBER(I290)),AL290+(861-ROW())*0.000001,"")</f>
        <v/>
      </c>
      <c r="AL290" s="1" t="n">
        <f aca="false">IFERROR(I290*1,0)</f>
        <v>0</v>
      </c>
      <c r="AM290" s="1" t="n">
        <f aca="false">N(AM289)+IF(AND(R290="WON",B290&lt;&gt;""),1,0)</f>
        <v>12</v>
      </c>
      <c r="AN290" s="1" t="n">
        <f aca="false">N(AN289)+IF(AND(OR(R290="offered",R290="to be offered",R290="on hold"),B290&lt;&gt;""),1,0)</f>
        <v>33</v>
      </c>
      <c r="AO290" s="1" t="n">
        <f aca="false">N(AO289)+IF(AND(OR(R290="follow-up",R290="Evaluation",R290="tbd",R290="In evaluation"),B290&lt;&gt;""),1,0)</f>
        <v>1</v>
      </c>
      <c r="AP290" s="1" t="n">
        <f aca="false">IF(B290="",0,IF(COUNTIF('⚖️ Wahrscheinlichkeit'!$J$17:$J$24,R290)&gt;0,1,0))</f>
        <v>0</v>
      </c>
      <c r="AQ290" s="1" t="n">
        <f aca="false">IF(B290="",0,IF(AND(ISNUMBER(S290),COUNTIF('⚖️ Wahrscheinlichkeit'!$B$6:$B$11,S290)&gt;0),1,0))</f>
        <v>0</v>
      </c>
      <c r="AR290" s="1" t="n">
        <f aca="false">IF(B290="",0,IF(AND(COUNT(J290:M290)=4,SUM(J290:M290)&gt;0),1,0))</f>
        <v>0</v>
      </c>
      <c r="AS290" s="1" t="n">
        <f aca="false">IF(B290="",0,IF(AND(AF290&lt;&gt;"",AG290&lt;&gt;""),1,0))</f>
        <v>0</v>
      </c>
      <c r="AT290" s="1" t="n">
        <f aca="false">IF(AND(R290="WON",AS290=1,AR290=1),1,0)</f>
        <v>0</v>
      </c>
      <c r="AU290" s="1" t="n">
        <f aca="false">IF(B290="",0,IF(AD290="Alternative – zählt nicht",0,1))</f>
        <v>0</v>
      </c>
      <c r="AV290" s="1" t="n">
        <f aca="false">IF(B290="",0,IF(COUNTIF($B$6:$B$860,B290)&gt;1,1,0))</f>
        <v>0</v>
      </c>
      <c r="AX290" s="269" t="str">
        <f aca="false">IF(AY290=1,DATE(YEAR(O290),MONTH(O290),1),"")</f>
        <v/>
      </c>
      <c r="AY290" s="1" t="n">
        <f aca="false">IF(B290="",0,IF(AND(ISNUMBER(O290),ISNUMBER(P290)),IF(P290&gt;=O290,1,0),0))</f>
        <v>0</v>
      </c>
      <c r="AZ290" s="1" t="n">
        <f aca="false">IF(ISNUMBER(Y290),Y290,0)</f>
        <v>0</v>
      </c>
      <c r="BA290" s="1" t="str">
        <f aca="false">IF(B290="","",IF(AND(R290="WON",AS290=0),"⛔ Beleg fehlt · ","")&amp;IF(AND(R290="WON",AR290=0),"⛔ Einstand fehlt · ","")&amp;IF(AND(R290&lt;&gt;"WON",AR290=0),"○ Einstand offen · ","")&amp;IF(AND(R290="WON",AB290=""),"⛔ Vertragsart fehlt · ","")&amp;IF(AND(ISNUMBER(O290),ISNUMBER(P290)),IF(P290&lt;O290,"⚠ Ende vor Start · ",""),"")&amp;IF(AND(R290="WON",AY290=0,NOT(AND(ISNUMBER(O290),ISNUMBER(P290)))),"⛔ Zeitraum fehlt · ","")&amp;IF(AND(R290&lt;&gt;"WON",AY290=0,NOT(AND(ISNUMBER(O290),ISNUMBER(P290)))),"○ Zeitraum offen · ",""))</f>
        <v/>
      </c>
      <c r="BB290" s="1" t="str">
        <f aca="false">IF(B290="","",IF(AND(R290="WON",AS290=0),"⛔ Nachweis fehlt",IF(AND(ISNUMBER(O290),ISNUMBER(P290),P290&lt;O290),"⚠ Ende vor Start",IF(AND(R290="WON",AY290=0),"⛔ Zeitraum fehlt",IF(AR290=0,"○ Einstand offen",IF(AY290=0,"○ Zeitraum offen",IF(R290="WON","✅ belegt","✔ erfasst")))))))</f>
        <v/>
      </c>
    </row>
    <row r="291" customFormat="false" ht="15" hidden="false" customHeight="true" outlineLevel="0" collapsed="false">
      <c r="G291" s="1" t="str">
        <f aca="false">IF(B291="","",IF(AY291=1,P291-O291+1,IF(AW291="","",AW291)))</f>
        <v/>
      </c>
      <c r="I291" s="270"/>
      <c r="J291" s="270"/>
      <c r="K291" s="270"/>
      <c r="L291" s="270"/>
      <c r="M291" s="270"/>
      <c r="N291" s="270"/>
      <c r="O291" s="263"/>
      <c r="P291" s="263"/>
      <c r="Q291" s="270" t="str">
        <f aca="false">IF(AND(ISNUMBER(I291),ISNUMBER(S291)),I291*AJ291,IF(OR(I291&lt;&gt;"",S291&lt;&gt;""),"tbd",""))</f>
        <v/>
      </c>
      <c r="S291" s="268"/>
      <c r="Y291" s="275" t="str">
        <f aca="false">IF(ISNUMBER(I291),I291/Netto_Faktor,"")</f>
        <v/>
      </c>
      <c r="Z291" s="275" t="str">
        <f aca="false">IF(B291="","",IF(COUNT(J291:N291)=0,"",SUM(J291:N291)))</f>
        <v/>
      </c>
      <c r="AA291" s="266"/>
      <c r="AB291" s="266"/>
      <c r="AC291" s="266"/>
      <c r="AD291" s="266"/>
      <c r="AE291" s="266"/>
      <c r="AF291" s="266"/>
      <c r="AG291" s="267"/>
      <c r="AH291" s="266" t="str">
        <f aca="false">IF(B291="","",IF(BA291="",IF(R291="WON","✅ belegt &amp; vollständig","✔ vollständig"),LEFT(BA291,LEN(BA291)-3)))</f>
        <v/>
      </c>
      <c r="AJ291" s="268" t="n">
        <f aca="false">IF(ISNUMBER(S291),IFERROR(LOOKUP(IF(S291&lt;=1,S291,S291/100),'⚖️ Wahrscheinlichkeit'!$B$17:$B$21,'⚖️ Wahrscheinlichkeit'!$D$17:$D$21),0),0)</f>
        <v>0</v>
      </c>
      <c r="AK291" s="1" t="str">
        <f aca="false">IF(AND(R291="WON",ISNUMBER(I291)),AL291+(861-ROW())*0.000001,"")</f>
        <v/>
      </c>
      <c r="AL291" s="1" t="n">
        <f aca="false">IFERROR(I291*1,0)</f>
        <v>0</v>
      </c>
      <c r="AM291" s="1" t="n">
        <f aca="false">N(AM290)+IF(AND(R291="WON",B291&lt;&gt;""),1,0)</f>
        <v>12</v>
      </c>
      <c r="AN291" s="1" t="n">
        <f aca="false">N(AN290)+IF(AND(OR(R291="offered",R291="to be offered",R291="on hold"),B291&lt;&gt;""),1,0)</f>
        <v>33</v>
      </c>
      <c r="AO291" s="1" t="n">
        <f aca="false">N(AO290)+IF(AND(OR(R291="follow-up",R291="Evaluation",R291="tbd",R291="In evaluation"),B291&lt;&gt;""),1,0)</f>
        <v>1</v>
      </c>
      <c r="AP291" s="1" t="n">
        <f aca="false">IF(B291="",0,IF(COUNTIF('⚖️ Wahrscheinlichkeit'!$J$17:$J$24,R291)&gt;0,1,0))</f>
        <v>0</v>
      </c>
      <c r="AQ291" s="1" t="n">
        <f aca="false">IF(B291="",0,IF(AND(ISNUMBER(S291),COUNTIF('⚖️ Wahrscheinlichkeit'!$B$6:$B$11,S291)&gt;0),1,0))</f>
        <v>0</v>
      </c>
      <c r="AR291" s="1" t="n">
        <f aca="false">IF(B291="",0,IF(AND(COUNT(J291:M291)=4,SUM(J291:M291)&gt;0),1,0))</f>
        <v>0</v>
      </c>
      <c r="AS291" s="1" t="n">
        <f aca="false">IF(B291="",0,IF(AND(AF291&lt;&gt;"",AG291&lt;&gt;""),1,0))</f>
        <v>0</v>
      </c>
      <c r="AT291" s="1" t="n">
        <f aca="false">IF(AND(R291="WON",AS291=1,AR291=1),1,0)</f>
        <v>0</v>
      </c>
      <c r="AU291" s="1" t="n">
        <f aca="false">IF(B291="",0,IF(AD291="Alternative – zählt nicht",0,1))</f>
        <v>0</v>
      </c>
      <c r="AV291" s="1" t="n">
        <f aca="false">IF(B291="",0,IF(COUNTIF($B$6:$B$860,B291)&gt;1,1,0))</f>
        <v>0</v>
      </c>
      <c r="AX291" s="269" t="str">
        <f aca="false">IF(AY291=1,DATE(YEAR(O291),MONTH(O291),1),"")</f>
        <v/>
      </c>
      <c r="AY291" s="1" t="n">
        <f aca="false">IF(B291="",0,IF(AND(ISNUMBER(O291),ISNUMBER(P291)),IF(P291&gt;=O291,1,0),0))</f>
        <v>0</v>
      </c>
      <c r="AZ291" s="1" t="n">
        <f aca="false">IF(ISNUMBER(Y291),Y291,0)</f>
        <v>0</v>
      </c>
      <c r="BA291" s="1" t="str">
        <f aca="false">IF(B291="","",IF(AND(R291="WON",AS291=0),"⛔ Beleg fehlt · ","")&amp;IF(AND(R291="WON",AR291=0),"⛔ Einstand fehlt · ","")&amp;IF(AND(R291&lt;&gt;"WON",AR291=0),"○ Einstand offen · ","")&amp;IF(AND(R291="WON",AB291=""),"⛔ Vertragsart fehlt · ","")&amp;IF(AND(ISNUMBER(O291),ISNUMBER(P291)),IF(P291&lt;O291,"⚠ Ende vor Start · ",""),"")&amp;IF(AND(R291="WON",AY291=0,NOT(AND(ISNUMBER(O291),ISNUMBER(P291)))),"⛔ Zeitraum fehlt · ","")&amp;IF(AND(R291&lt;&gt;"WON",AY291=0,NOT(AND(ISNUMBER(O291),ISNUMBER(P291)))),"○ Zeitraum offen · ",""))</f>
        <v/>
      </c>
      <c r="BB291" s="1" t="str">
        <f aca="false">IF(B291="","",IF(AND(R291="WON",AS291=0),"⛔ Nachweis fehlt",IF(AND(ISNUMBER(O291),ISNUMBER(P291),P291&lt;O291),"⚠ Ende vor Start",IF(AND(R291="WON",AY291=0),"⛔ Zeitraum fehlt",IF(AR291=0,"○ Einstand offen",IF(AY291=0,"○ Zeitraum offen",IF(R291="WON","✅ belegt","✔ erfasst")))))))</f>
        <v/>
      </c>
    </row>
    <row r="292" customFormat="false" ht="15" hidden="false" customHeight="true" outlineLevel="0" collapsed="false">
      <c r="G292" s="1" t="str">
        <f aca="false">IF(B292="","",IF(AY292=1,P292-O292+1,IF(AW292="","",AW292)))</f>
        <v/>
      </c>
      <c r="I292" s="270"/>
      <c r="J292" s="270"/>
      <c r="K292" s="270"/>
      <c r="L292" s="270"/>
      <c r="M292" s="270"/>
      <c r="N292" s="270"/>
      <c r="O292" s="263"/>
      <c r="P292" s="263"/>
      <c r="Q292" s="270" t="str">
        <f aca="false">IF(AND(ISNUMBER(I292),ISNUMBER(S292)),I292*AJ292,IF(OR(I292&lt;&gt;"",S292&lt;&gt;""),"tbd",""))</f>
        <v/>
      </c>
      <c r="S292" s="268"/>
      <c r="Y292" s="275" t="str">
        <f aca="false">IF(ISNUMBER(I292),I292/Netto_Faktor,"")</f>
        <v/>
      </c>
      <c r="Z292" s="275" t="str">
        <f aca="false">IF(B292="","",IF(COUNT(J292:N292)=0,"",SUM(J292:N292)))</f>
        <v/>
      </c>
      <c r="AA292" s="266"/>
      <c r="AB292" s="266"/>
      <c r="AC292" s="266"/>
      <c r="AD292" s="266"/>
      <c r="AE292" s="266"/>
      <c r="AF292" s="266"/>
      <c r="AG292" s="267"/>
      <c r="AH292" s="266" t="str">
        <f aca="false">IF(B292="","",IF(BA292="",IF(R292="WON","✅ belegt &amp; vollständig","✔ vollständig"),LEFT(BA292,LEN(BA292)-3)))</f>
        <v/>
      </c>
      <c r="AJ292" s="268" t="n">
        <f aca="false">IF(ISNUMBER(S292),IFERROR(LOOKUP(IF(S292&lt;=1,S292,S292/100),'⚖️ Wahrscheinlichkeit'!$B$17:$B$21,'⚖️ Wahrscheinlichkeit'!$D$17:$D$21),0),0)</f>
        <v>0</v>
      </c>
      <c r="AK292" s="1" t="str">
        <f aca="false">IF(AND(R292="WON",ISNUMBER(I292)),AL292+(861-ROW())*0.000001,"")</f>
        <v/>
      </c>
      <c r="AL292" s="1" t="n">
        <f aca="false">IFERROR(I292*1,0)</f>
        <v>0</v>
      </c>
      <c r="AM292" s="1" t="n">
        <f aca="false">N(AM291)+IF(AND(R292="WON",B292&lt;&gt;""),1,0)</f>
        <v>12</v>
      </c>
      <c r="AN292" s="1" t="n">
        <f aca="false">N(AN291)+IF(AND(OR(R292="offered",R292="to be offered",R292="on hold"),B292&lt;&gt;""),1,0)</f>
        <v>33</v>
      </c>
      <c r="AO292" s="1" t="n">
        <f aca="false">N(AO291)+IF(AND(OR(R292="follow-up",R292="Evaluation",R292="tbd",R292="In evaluation"),B292&lt;&gt;""),1,0)</f>
        <v>1</v>
      </c>
      <c r="AP292" s="1" t="n">
        <f aca="false">IF(B292="",0,IF(COUNTIF('⚖️ Wahrscheinlichkeit'!$J$17:$J$24,R292)&gt;0,1,0))</f>
        <v>0</v>
      </c>
      <c r="AQ292" s="1" t="n">
        <f aca="false">IF(B292="",0,IF(AND(ISNUMBER(S292),COUNTIF('⚖️ Wahrscheinlichkeit'!$B$6:$B$11,S292)&gt;0),1,0))</f>
        <v>0</v>
      </c>
      <c r="AR292" s="1" t="n">
        <f aca="false">IF(B292="",0,IF(AND(COUNT(J292:M292)=4,SUM(J292:M292)&gt;0),1,0))</f>
        <v>0</v>
      </c>
      <c r="AS292" s="1" t="n">
        <f aca="false">IF(B292="",0,IF(AND(AF292&lt;&gt;"",AG292&lt;&gt;""),1,0))</f>
        <v>0</v>
      </c>
      <c r="AT292" s="1" t="n">
        <f aca="false">IF(AND(R292="WON",AS292=1,AR292=1),1,0)</f>
        <v>0</v>
      </c>
      <c r="AU292" s="1" t="n">
        <f aca="false">IF(B292="",0,IF(AD292="Alternative – zählt nicht",0,1))</f>
        <v>0</v>
      </c>
      <c r="AV292" s="1" t="n">
        <f aca="false">IF(B292="",0,IF(COUNTIF($B$6:$B$860,B292)&gt;1,1,0))</f>
        <v>0</v>
      </c>
      <c r="AX292" s="269" t="str">
        <f aca="false">IF(AY292=1,DATE(YEAR(O292),MONTH(O292),1),"")</f>
        <v/>
      </c>
      <c r="AY292" s="1" t="n">
        <f aca="false">IF(B292="",0,IF(AND(ISNUMBER(O292),ISNUMBER(P292)),IF(P292&gt;=O292,1,0),0))</f>
        <v>0</v>
      </c>
      <c r="AZ292" s="1" t="n">
        <f aca="false">IF(ISNUMBER(Y292),Y292,0)</f>
        <v>0</v>
      </c>
      <c r="BA292" s="1" t="str">
        <f aca="false">IF(B292="","",IF(AND(R292="WON",AS292=0),"⛔ Beleg fehlt · ","")&amp;IF(AND(R292="WON",AR292=0),"⛔ Einstand fehlt · ","")&amp;IF(AND(R292&lt;&gt;"WON",AR292=0),"○ Einstand offen · ","")&amp;IF(AND(R292="WON",AB292=""),"⛔ Vertragsart fehlt · ","")&amp;IF(AND(ISNUMBER(O292),ISNUMBER(P292)),IF(P292&lt;O292,"⚠ Ende vor Start · ",""),"")&amp;IF(AND(R292="WON",AY292=0,NOT(AND(ISNUMBER(O292),ISNUMBER(P292)))),"⛔ Zeitraum fehlt · ","")&amp;IF(AND(R292&lt;&gt;"WON",AY292=0,NOT(AND(ISNUMBER(O292),ISNUMBER(P292)))),"○ Zeitraum offen · ",""))</f>
        <v/>
      </c>
      <c r="BB292" s="1" t="str">
        <f aca="false">IF(B292="","",IF(AND(R292="WON",AS292=0),"⛔ Nachweis fehlt",IF(AND(ISNUMBER(O292),ISNUMBER(P292),P292&lt;O292),"⚠ Ende vor Start",IF(AND(R292="WON",AY292=0),"⛔ Zeitraum fehlt",IF(AR292=0,"○ Einstand offen",IF(AY292=0,"○ Zeitraum offen",IF(R292="WON","✅ belegt","✔ erfasst")))))))</f>
        <v/>
      </c>
    </row>
    <row r="293" customFormat="false" ht="15" hidden="false" customHeight="true" outlineLevel="0" collapsed="false">
      <c r="G293" s="1" t="str">
        <f aca="false">IF(B293="","",IF(AY293=1,P293-O293+1,IF(AW293="","",AW293)))</f>
        <v/>
      </c>
      <c r="I293" s="270"/>
      <c r="J293" s="270"/>
      <c r="K293" s="270"/>
      <c r="L293" s="270"/>
      <c r="M293" s="270"/>
      <c r="N293" s="270"/>
      <c r="O293" s="263"/>
      <c r="P293" s="263"/>
      <c r="Q293" s="270" t="str">
        <f aca="false">IF(AND(ISNUMBER(I293),ISNUMBER(S293)),I293*AJ293,IF(OR(I293&lt;&gt;"",S293&lt;&gt;""),"tbd",""))</f>
        <v/>
      </c>
      <c r="S293" s="268"/>
      <c r="Y293" s="275" t="str">
        <f aca="false">IF(ISNUMBER(I293),I293/Netto_Faktor,"")</f>
        <v/>
      </c>
      <c r="Z293" s="275" t="str">
        <f aca="false">IF(B293="","",IF(COUNT(J293:N293)=0,"",SUM(J293:N293)))</f>
        <v/>
      </c>
      <c r="AA293" s="266"/>
      <c r="AB293" s="266"/>
      <c r="AC293" s="266"/>
      <c r="AD293" s="266"/>
      <c r="AE293" s="266"/>
      <c r="AF293" s="266"/>
      <c r="AG293" s="267"/>
      <c r="AH293" s="266" t="str">
        <f aca="false">IF(B293="","",IF(BA293="",IF(R293="WON","✅ belegt &amp; vollständig","✔ vollständig"),LEFT(BA293,LEN(BA293)-3)))</f>
        <v/>
      </c>
      <c r="AJ293" s="268" t="n">
        <f aca="false">IF(ISNUMBER(S293),IFERROR(LOOKUP(IF(S293&lt;=1,S293,S293/100),'⚖️ Wahrscheinlichkeit'!$B$17:$B$21,'⚖️ Wahrscheinlichkeit'!$D$17:$D$21),0),0)</f>
        <v>0</v>
      </c>
      <c r="AK293" s="1" t="str">
        <f aca="false">IF(AND(R293="WON",ISNUMBER(I293)),AL293+(861-ROW())*0.000001,"")</f>
        <v/>
      </c>
      <c r="AL293" s="1" t="n">
        <f aca="false">IFERROR(I293*1,0)</f>
        <v>0</v>
      </c>
      <c r="AM293" s="1" t="n">
        <f aca="false">N(AM292)+IF(AND(R293="WON",B293&lt;&gt;""),1,0)</f>
        <v>12</v>
      </c>
      <c r="AN293" s="1" t="n">
        <f aca="false">N(AN292)+IF(AND(OR(R293="offered",R293="to be offered",R293="on hold"),B293&lt;&gt;""),1,0)</f>
        <v>33</v>
      </c>
      <c r="AO293" s="1" t="n">
        <f aca="false">N(AO292)+IF(AND(OR(R293="follow-up",R293="Evaluation",R293="tbd",R293="In evaluation"),B293&lt;&gt;""),1,0)</f>
        <v>1</v>
      </c>
      <c r="AP293" s="1" t="n">
        <f aca="false">IF(B293="",0,IF(COUNTIF('⚖️ Wahrscheinlichkeit'!$J$17:$J$24,R293)&gt;0,1,0))</f>
        <v>0</v>
      </c>
      <c r="AQ293" s="1" t="n">
        <f aca="false">IF(B293="",0,IF(AND(ISNUMBER(S293),COUNTIF('⚖️ Wahrscheinlichkeit'!$B$6:$B$11,S293)&gt;0),1,0))</f>
        <v>0</v>
      </c>
      <c r="AR293" s="1" t="n">
        <f aca="false">IF(B293="",0,IF(AND(COUNT(J293:M293)=4,SUM(J293:M293)&gt;0),1,0))</f>
        <v>0</v>
      </c>
      <c r="AS293" s="1" t="n">
        <f aca="false">IF(B293="",0,IF(AND(AF293&lt;&gt;"",AG293&lt;&gt;""),1,0))</f>
        <v>0</v>
      </c>
      <c r="AT293" s="1" t="n">
        <f aca="false">IF(AND(R293="WON",AS293=1,AR293=1),1,0)</f>
        <v>0</v>
      </c>
      <c r="AU293" s="1" t="n">
        <f aca="false">IF(B293="",0,IF(AD293="Alternative – zählt nicht",0,1))</f>
        <v>0</v>
      </c>
      <c r="AV293" s="1" t="n">
        <f aca="false">IF(B293="",0,IF(COUNTIF($B$6:$B$860,B293)&gt;1,1,0))</f>
        <v>0</v>
      </c>
      <c r="AX293" s="269" t="str">
        <f aca="false">IF(AY293=1,DATE(YEAR(O293),MONTH(O293),1),"")</f>
        <v/>
      </c>
      <c r="AY293" s="1" t="n">
        <f aca="false">IF(B293="",0,IF(AND(ISNUMBER(O293),ISNUMBER(P293)),IF(P293&gt;=O293,1,0),0))</f>
        <v>0</v>
      </c>
      <c r="AZ293" s="1" t="n">
        <f aca="false">IF(ISNUMBER(Y293),Y293,0)</f>
        <v>0</v>
      </c>
      <c r="BA293" s="1" t="str">
        <f aca="false">IF(B293="","",IF(AND(R293="WON",AS293=0),"⛔ Beleg fehlt · ","")&amp;IF(AND(R293="WON",AR293=0),"⛔ Einstand fehlt · ","")&amp;IF(AND(R293&lt;&gt;"WON",AR293=0),"○ Einstand offen · ","")&amp;IF(AND(R293="WON",AB293=""),"⛔ Vertragsart fehlt · ","")&amp;IF(AND(ISNUMBER(O293),ISNUMBER(P293)),IF(P293&lt;O293,"⚠ Ende vor Start · ",""),"")&amp;IF(AND(R293="WON",AY293=0,NOT(AND(ISNUMBER(O293),ISNUMBER(P293)))),"⛔ Zeitraum fehlt · ","")&amp;IF(AND(R293&lt;&gt;"WON",AY293=0,NOT(AND(ISNUMBER(O293),ISNUMBER(P293)))),"○ Zeitraum offen · ",""))</f>
        <v/>
      </c>
      <c r="BB293" s="1" t="str">
        <f aca="false">IF(B293="","",IF(AND(R293="WON",AS293=0),"⛔ Nachweis fehlt",IF(AND(ISNUMBER(O293),ISNUMBER(P293),P293&lt;O293),"⚠ Ende vor Start",IF(AND(R293="WON",AY293=0),"⛔ Zeitraum fehlt",IF(AR293=0,"○ Einstand offen",IF(AY293=0,"○ Zeitraum offen",IF(R293="WON","✅ belegt","✔ erfasst")))))))</f>
        <v/>
      </c>
    </row>
    <row r="294" customFormat="false" ht="15" hidden="false" customHeight="true" outlineLevel="0" collapsed="false">
      <c r="G294" s="1" t="str">
        <f aca="false">IF(B294="","",IF(AY294=1,P294-O294+1,IF(AW294="","",AW294)))</f>
        <v/>
      </c>
      <c r="I294" s="270"/>
      <c r="J294" s="270"/>
      <c r="K294" s="270"/>
      <c r="L294" s="270"/>
      <c r="M294" s="270"/>
      <c r="N294" s="270"/>
      <c r="O294" s="263"/>
      <c r="P294" s="263"/>
      <c r="Q294" s="270" t="str">
        <f aca="false">IF(AND(ISNUMBER(I294),ISNUMBER(S294)),I294*AJ294,IF(OR(I294&lt;&gt;"",S294&lt;&gt;""),"tbd",""))</f>
        <v/>
      </c>
      <c r="S294" s="268"/>
      <c r="Y294" s="275" t="str">
        <f aca="false">IF(ISNUMBER(I294),I294/Netto_Faktor,"")</f>
        <v/>
      </c>
      <c r="Z294" s="275" t="str">
        <f aca="false">IF(B294="","",IF(COUNT(J294:N294)=0,"",SUM(J294:N294)))</f>
        <v/>
      </c>
      <c r="AA294" s="266"/>
      <c r="AB294" s="266"/>
      <c r="AC294" s="266"/>
      <c r="AD294" s="266"/>
      <c r="AE294" s="266"/>
      <c r="AF294" s="266"/>
      <c r="AG294" s="267"/>
      <c r="AH294" s="266" t="str">
        <f aca="false">IF(B294="","",IF(BA294="",IF(R294="WON","✅ belegt &amp; vollständig","✔ vollständig"),LEFT(BA294,LEN(BA294)-3)))</f>
        <v/>
      </c>
      <c r="AJ294" s="268" t="n">
        <f aca="false">IF(ISNUMBER(S294),IFERROR(LOOKUP(IF(S294&lt;=1,S294,S294/100),'⚖️ Wahrscheinlichkeit'!$B$17:$B$21,'⚖️ Wahrscheinlichkeit'!$D$17:$D$21),0),0)</f>
        <v>0</v>
      </c>
      <c r="AK294" s="1" t="str">
        <f aca="false">IF(AND(R294="WON",ISNUMBER(I294)),AL294+(861-ROW())*0.000001,"")</f>
        <v/>
      </c>
      <c r="AL294" s="1" t="n">
        <f aca="false">IFERROR(I294*1,0)</f>
        <v>0</v>
      </c>
      <c r="AM294" s="1" t="n">
        <f aca="false">N(AM293)+IF(AND(R294="WON",B294&lt;&gt;""),1,0)</f>
        <v>12</v>
      </c>
      <c r="AN294" s="1" t="n">
        <f aca="false">N(AN293)+IF(AND(OR(R294="offered",R294="to be offered",R294="on hold"),B294&lt;&gt;""),1,0)</f>
        <v>33</v>
      </c>
      <c r="AO294" s="1" t="n">
        <f aca="false">N(AO293)+IF(AND(OR(R294="follow-up",R294="Evaluation",R294="tbd",R294="In evaluation"),B294&lt;&gt;""),1,0)</f>
        <v>1</v>
      </c>
      <c r="AP294" s="1" t="n">
        <f aca="false">IF(B294="",0,IF(COUNTIF('⚖️ Wahrscheinlichkeit'!$J$17:$J$24,R294)&gt;0,1,0))</f>
        <v>0</v>
      </c>
      <c r="AQ294" s="1" t="n">
        <f aca="false">IF(B294="",0,IF(AND(ISNUMBER(S294),COUNTIF('⚖️ Wahrscheinlichkeit'!$B$6:$B$11,S294)&gt;0),1,0))</f>
        <v>0</v>
      </c>
      <c r="AR294" s="1" t="n">
        <f aca="false">IF(B294="",0,IF(AND(COUNT(J294:M294)=4,SUM(J294:M294)&gt;0),1,0))</f>
        <v>0</v>
      </c>
      <c r="AS294" s="1" t="n">
        <f aca="false">IF(B294="",0,IF(AND(AF294&lt;&gt;"",AG294&lt;&gt;""),1,0))</f>
        <v>0</v>
      </c>
      <c r="AT294" s="1" t="n">
        <f aca="false">IF(AND(R294="WON",AS294=1,AR294=1),1,0)</f>
        <v>0</v>
      </c>
      <c r="AU294" s="1" t="n">
        <f aca="false">IF(B294="",0,IF(AD294="Alternative – zählt nicht",0,1))</f>
        <v>0</v>
      </c>
      <c r="AV294" s="1" t="n">
        <f aca="false">IF(B294="",0,IF(COUNTIF($B$6:$B$860,B294)&gt;1,1,0))</f>
        <v>0</v>
      </c>
      <c r="AX294" s="269" t="str">
        <f aca="false">IF(AY294=1,DATE(YEAR(O294),MONTH(O294),1),"")</f>
        <v/>
      </c>
      <c r="AY294" s="1" t="n">
        <f aca="false">IF(B294="",0,IF(AND(ISNUMBER(O294),ISNUMBER(P294)),IF(P294&gt;=O294,1,0),0))</f>
        <v>0</v>
      </c>
      <c r="AZ294" s="1" t="n">
        <f aca="false">IF(ISNUMBER(Y294),Y294,0)</f>
        <v>0</v>
      </c>
      <c r="BA294" s="1" t="str">
        <f aca="false">IF(B294="","",IF(AND(R294="WON",AS294=0),"⛔ Beleg fehlt · ","")&amp;IF(AND(R294="WON",AR294=0),"⛔ Einstand fehlt · ","")&amp;IF(AND(R294&lt;&gt;"WON",AR294=0),"○ Einstand offen · ","")&amp;IF(AND(R294="WON",AB294=""),"⛔ Vertragsart fehlt · ","")&amp;IF(AND(ISNUMBER(O294),ISNUMBER(P294)),IF(P294&lt;O294,"⚠ Ende vor Start · ",""),"")&amp;IF(AND(R294="WON",AY294=0,NOT(AND(ISNUMBER(O294),ISNUMBER(P294)))),"⛔ Zeitraum fehlt · ","")&amp;IF(AND(R294&lt;&gt;"WON",AY294=0,NOT(AND(ISNUMBER(O294),ISNUMBER(P294)))),"○ Zeitraum offen · ",""))</f>
        <v/>
      </c>
      <c r="BB294" s="1" t="str">
        <f aca="false">IF(B294="","",IF(AND(R294="WON",AS294=0),"⛔ Nachweis fehlt",IF(AND(ISNUMBER(O294),ISNUMBER(P294),P294&lt;O294),"⚠ Ende vor Start",IF(AND(R294="WON",AY294=0),"⛔ Zeitraum fehlt",IF(AR294=0,"○ Einstand offen",IF(AY294=0,"○ Zeitraum offen",IF(R294="WON","✅ belegt","✔ erfasst")))))))</f>
        <v/>
      </c>
    </row>
    <row r="295" customFormat="false" ht="15" hidden="false" customHeight="true" outlineLevel="0" collapsed="false">
      <c r="G295" s="1" t="str">
        <f aca="false">IF(B295="","",IF(AY295=1,P295-O295+1,IF(AW295="","",AW295)))</f>
        <v/>
      </c>
      <c r="I295" s="270"/>
      <c r="J295" s="270"/>
      <c r="K295" s="270"/>
      <c r="L295" s="270"/>
      <c r="M295" s="270"/>
      <c r="N295" s="270"/>
      <c r="O295" s="263"/>
      <c r="P295" s="263"/>
      <c r="Q295" s="270" t="str">
        <f aca="false">IF(AND(ISNUMBER(I295),ISNUMBER(S295)),I295*AJ295,IF(OR(I295&lt;&gt;"",S295&lt;&gt;""),"tbd",""))</f>
        <v/>
      </c>
      <c r="S295" s="268"/>
      <c r="Y295" s="275" t="str">
        <f aca="false">IF(ISNUMBER(I295),I295/Netto_Faktor,"")</f>
        <v/>
      </c>
      <c r="Z295" s="275" t="str">
        <f aca="false">IF(B295="","",IF(COUNT(J295:N295)=0,"",SUM(J295:N295)))</f>
        <v/>
      </c>
      <c r="AA295" s="266"/>
      <c r="AB295" s="266"/>
      <c r="AC295" s="266"/>
      <c r="AD295" s="266"/>
      <c r="AE295" s="266"/>
      <c r="AF295" s="266"/>
      <c r="AG295" s="267"/>
      <c r="AH295" s="266" t="str">
        <f aca="false">IF(B295="","",IF(BA295="",IF(R295="WON","✅ belegt &amp; vollständig","✔ vollständig"),LEFT(BA295,LEN(BA295)-3)))</f>
        <v/>
      </c>
      <c r="AJ295" s="268" t="n">
        <f aca="false">IF(ISNUMBER(S295),IFERROR(LOOKUP(IF(S295&lt;=1,S295,S295/100),'⚖️ Wahrscheinlichkeit'!$B$17:$B$21,'⚖️ Wahrscheinlichkeit'!$D$17:$D$21),0),0)</f>
        <v>0</v>
      </c>
      <c r="AK295" s="1" t="str">
        <f aca="false">IF(AND(R295="WON",ISNUMBER(I295)),AL295+(861-ROW())*0.000001,"")</f>
        <v/>
      </c>
      <c r="AL295" s="1" t="n">
        <f aca="false">IFERROR(I295*1,0)</f>
        <v>0</v>
      </c>
      <c r="AM295" s="1" t="n">
        <f aca="false">N(AM294)+IF(AND(R295="WON",B295&lt;&gt;""),1,0)</f>
        <v>12</v>
      </c>
      <c r="AN295" s="1" t="n">
        <f aca="false">N(AN294)+IF(AND(OR(R295="offered",R295="to be offered",R295="on hold"),B295&lt;&gt;""),1,0)</f>
        <v>33</v>
      </c>
      <c r="AO295" s="1" t="n">
        <f aca="false">N(AO294)+IF(AND(OR(R295="follow-up",R295="Evaluation",R295="tbd",R295="In evaluation"),B295&lt;&gt;""),1,0)</f>
        <v>1</v>
      </c>
      <c r="AP295" s="1" t="n">
        <f aca="false">IF(B295="",0,IF(COUNTIF('⚖️ Wahrscheinlichkeit'!$J$17:$J$24,R295)&gt;0,1,0))</f>
        <v>0</v>
      </c>
      <c r="AQ295" s="1" t="n">
        <f aca="false">IF(B295="",0,IF(AND(ISNUMBER(S295),COUNTIF('⚖️ Wahrscheinlichkeit'!$B$6:$B$11,S295)&gt;0),1,0))</f>
        <v>0</v>
      </c>
      <c r="AR295" s="1" t="n">
        <f aca="false">IF(B295="",0,IF(AND(COUNT(J295:M295)=4,SUM(J295:M295)&gt;0),1,0))</f>
        <v>0</v>
      </c>
      <c r="AS295" s="1" t="n">
        <f aca="false">IF(B295="",0,IF(AND(AF295&lt;&gt;"",AG295&lt;&gt;""),1,0))</f>
        <v>0</v>
      </c>
      <c r="AT295" s="1" t="n">
        <f aca="false">IF(AND(R295="WON",AS295=1,AR295=1),1,0)</f>
        <v>0</v>
      </c>
      <c r="AU295" s="1" t="n">
        <f aca="false">IF(B295="",0,IF(AD295="Alternative – zählt nicht",0,1))</f>
        <v>0</v>
      </c>
      <c r="AV295" s="1" t="n">
        <f aca="false">IF(B295="",0,IF(COUNTIF($B$6:$B$860,B295)&gt;1,1,0))</f>
        <v>0</v>
      </c>
      <c r="AX295" s="269" t="str">
        <f aca="false">IF(AY295=1,DATE(YEAR(O295),MONTH(O295),1),"")</f>
        <v/>
      </c>
      <c r="AY295" s="1" t="n">
        <f aca="false">IF(B295="",0,IF(AND(ISNUMBER(O295),ISNUMBER(P295)),IF(P295&gt;=O295,1,0),0))</f>
        <v>0</v>
      </c>
      <c r="AZ295" s="1" t="n">
        <f aca="false">IF(ISNUMBER(Y295),Y295,0)</f>
        <v>0</v>
      </c>
      <c r="BA295" s="1" t="str">
        <f aca="false">IF(B295="","",IF(AND(R295="WON",AS295=0),"⛔ Beleg fehlt · ","")&amp;IF(AND(R295="WON",AR295=0),"⛔ Einstand fehlt · ","")&amp;IF(AND(R295&lt;&gt;"WON",AR295=0),"○ Einstand offen · ","")&amp;IF(AND(R295="WON",AB295=""),"⛔ Vertragsart fehlt · ","")&amp;IF(AND(ISNUMBER(O295),ISNUMBER(P295)),IF(P295&lt;O295,"⚠ Ende vor Start · ",""),"")&amp;IF(AND(R295="WON",AY295=0,NOT(AND(ISNUMBER(O295),ISNUMBER(P295)))),"⛔ Zeitraum fehlt · ","")&amp;IF(AND(R295&lt;&gt;"WON",AY295=0,NOT(AND(ISNUMBER(O295),ISNUMBER(P295)))),"○ Zeitraum offen · ",""))</f>
        <v/>
      </c>
      <c r="BB295" s="1" t="str">
        <f aca="false">IF(B295="","",IF(AND(R295="WON",AS295=0),"⛔ Nachweis fehlt",IF(AND(ISNUMBER(O295),ISNUMBER(P295),P295&lt;O295),"⚠ Ende vor Start",IF(AND(R295="WON",AY295=0),"⛔ Zeitraum fehlt",IF(AR295=0,"○ Einstand offen",IF(AY295=0,"○ Zeitraum offen",IF(R295="WON","✅ belegt","✔ erfasst")))))))</f>
        <v/>
      </c>
    </row>
    <row r="296" customFormat="false" ht="15" hidden="false" customHeight="true" outlineLevel="0" collapsed="false">
      <c r="G296" s="1" t="str">
        <f aca="false">IF(B296="","",IF(AY296=1,P296-O296+1,IF(AW296="","",AW296)))</f>
        <v/>
      </c>
      <c r="I296" s="270"/>
      <c r="J296" s="270"/>
      <c r="K296" s="270"/>
      <c r="L296" s="270"/>
      <c r="M296" s="270"/>
      <c r="N296" s="270"/>
      <c r="O296" s="263"/>
      <c r="P296" s="263"/>
      <c r="Q296" s="270" t="str">
        <f aca="false">IF(AND(ISNUMBER(I296),ISNUMBER(S296)),I296*AJ296,IF(OR(I296&lt;&gt;"",S296&lt;&gt;""),"tbd",""))</f>
        <v/>
      </c>
      <c r="S296" s="268"/>
      <c r="Y296" s="275" t="str">
        <f aca="false">IF(ISNUMBER(I296),I296/Netto_Faktor,"")</f>
        <v/>
      </c>
      <c r="Z296" s="275" t="str">
        <f aca="false">IF(B296="","",IF(COUNT(J296:N296)=0,"",SUM(J296:N296)))</f>
        <v/>
      </c>
      <c r="AA296" s="266"/>
      <c r="AB296" s="266"/>
      <c r="AC296" s="266"/>
      <c r="AD296" s="266"/>
      <c r="AE296" s="266"/>
      <c r="AF296" s="266"/>
      <c r="AG296" s="267"/>
      <c r="AH296" s="266" t="str">
        <f aca="false">IF(B296="","",IF(BA296="",IF(R296="WON","✅ belegt &amp; vollständig","✔ vollständig"),LEFT(BA296,LEN(BA296)-3)))</f>
        <v/>
      </c>
      <c r="AJ296" s="268" t="n">
        <f aca="false">IF(ISNUMBER(S296),IFERROR(LOOKUP(IF(S296&lt;=1,S296,S296/100),'⚖️ Wahrscheinlichkeit'!$B$17:$B$21,'⚖️ Wahrscheinlichkeit'!$D$17:$D$21),0),0)</f>
        <v>0</v>
      </c>
      <c r="AK296" s="1" t="str">
        <f aca="false">IF(AND(R296="WON",ISNUMBER(I296)),AL296+(861-ROW())*0.000001,"")</f>
        <v/>
      </c>
      <c r="AL296" s="1" t="n">
        <f aca="false">IFERROR(I296*1,0)</f>
        <v>0</v>
      </c>
      <c r="AM296" s="1" t="n">
        <f aca="false">N(AM295)+IF(AND(R296="WON",B296&lt;&gt;""),1,0)</f>
        <v>12</v>
      </c>
      <c r="AN296" s="1" t="n">
        <f aca="false">N(AN295)+IF(AND(OR(R296="offered",R296="to be offered",R296="on hold"),B296&lt;&gt;""),1,0)</f>
        <v>33</v>
      </c>
      <c r="AO296" s="1" t="n">
        <f aca="false">N(AO295)+IF(AND(OR(R296="follow-up",R296="Evaluation",R296="tbd",R296="In evaluation"),B296&lt;&gt;""),1,0)</f>
        <v>1</v>
      </c>
      <c r="AP296" s="1" t="n">
        <f aca="false">IF(B296="",0,IF(COUNTIF('⚖️ Wahrscheinlichkeit'!$J$17:$J$24,R296)&gt;0,1,0))</f>
        <v>0</v>
      </c>
      <c r="AQ296" s="1" t="n">
        <f aca="false">IF(B296="",0,IF(AND(ISNUMBER(S296),COUNTIF('⚖️ Wahrscheinlichkeit'!$B$6:$B$11,S296)&gt;0),1,0))</f>
        <v>0</v>
      </c>
      <c r="AR296" s="1" t="n">
        <f aca="false">IF(B296="",0,IF(AND(COUNT(J296:M296)=4,SUM(J296:M296)&gt;0),1,0))</f>
        <v>0</v>
      </c>
      <c r="AS296" s="1" t="n">
        <f aca="false">IF(B296="",0,IF(AND(AF296&lt;&gt;"",AG296&lt;&gt;""),1,0))</f>
        <v>0</v>
      </c>
      <c r="AT296" s="1" t="n">
        <f aca="false">IF(AND(R296="WON",AS296=1,AR296=1),1,0)</f>
        <v>0</v>
      </c>
      <c r="AU296" s="1" t="n">
        <f aca="false">IF(B296="",0,IF(AD296="Alternative – zählt nicht",0,1))</f>
        <v>0</v>
      </c>
      <c r="AV296" s="1" t="n">
        <f aca="false">IF(B296="",0,IF(COUNTIF($B$6:$B$860,B296)&gt;1,1,0))</f>
        <v>0</v>
      </c>
      <c r="AX296" s="269" t="str">
        <f aca="false">IF(AY296=1,DATE(YEAR(O296),MONTH(O296),1),"")</f>
        <v/>
      </c>
      <c r="AY296" s="1" t="n">
        <f aca="false">IF(B296="",0,IF(AND(ISNUMBER(O296),ISNUMBER(P296)),IF(P296&gt;=O296,1,0),0))</f>
        <v>0</v>
      </c>
      <c r="AZ296" s="1" t="n">
        <f aca="false">IF(ISNUMBER(Y296),Y296,0)</f>
        <v>0</v>
      </c>
      <c r="BA296" s="1" t="str">
        <f aca="false">IF(B296="","",IF(AND(R296="WON",AS296=0),"⛔ Beleg fehlt · ","")&amp;IF(AND(R296="WON",AR296=0),"⛔ Einstand fehlt · ","")&amp;IF(AND(R296&lt;&gt;"WON",AR296=0),"○ Einstand offen · ","")&amp;IF(AND(R296="WON",AB296=""),"⛔ Vertragsart fehlt · ","")&amp;IF(AND(ISNUMBER(O296),ISNUMBER(P296)),IF(P296&lt;O296,"⚠ Ende vor Start · ",""),"")&amp;IF(AND(R296="WON",AY296=0,NOT(AND(ISNUMBER(O296),ISNUMBER(P296)))),"⛔ Zeitraum fehlt · ","")&amp;IF(AND(R296&lt;&gt;"WON",AY296=0,NOT(AND(ISNUMBER(O296),ISNUMBER(P296)))),"○ Zeitraum offen · ",""))</f>
        <v/>
      </c>
      <c r="BB296" s="1" t="str">
        <f aca="false">IF(B296="","",IF(AND(R296="WON",AS296=0),"⛔ Nachweis fehlt",IF(AND(ISNUMBER(O296),ISNUMBER(P296),P296&lt;O296),"⚠ Ende vor Start",IF(AND(R296="WON",AY296=0),"⛔ Zeitraum fehlt",IF(AR296=0,"○ Einstand offen",IF(AY296=0,"○ Zeitraum offen",IF(R296="WON","✅ belegt","✔ erfasst")))))))</f>
        <v/>
      </c>
    </row>
    <row r="297" customFormat="false" ht="15" hidden="false" customHeight="true" outlineLevel="0" collapsed="false">
      <c r="G297" s="1" t="str">
        <f aca="false">IF(B297="","",IF(AY297=1,P297-O297+1,IF(AW297="","",AW297)))</f>
        <v/>
      </c>
      <c r="I297" s="270"/>
      <c r="J297" s="270"/>
      <c r="K297" s="270"/>
      <c r="L297" s="270"/>
      <c r="M297" s="270"/>
      <c r="N297" s="270"/>
      <c r="O297" s="263"/>
      <c r="P297" s="263"/>
      <c r="Q297" s="270" t="str">
        <f aca="false">IF(AND(ISNUMBER(I297),ISNUMBER(S297)),I297*AJ297,IF(OR(I297&lt;&gt;"",S297&lt;&gt;""),"tbd",""))</f>
        <v/>
      </c>
      <c r="S297" s="268"/>
      <c r="Y297" s="275" t="str">
        <f aca="false">IF(ISNUMBER(I297),I297/Netto_Faktor,"")</f>
        <v/>
      </c>
      <c r="Z297" s="275" t="str">
        <f aca="false">IF(B297="","",IF(COUNT(J297:N297)=0,"",SUM(J297:N297)))</f>
        <v/>
      </c>
      <c r="AA297" s="266"/>
      <c r="AB297" s="266"/>
      <c r="AC297" s="266"/>
      <c r="AD297" s="266"/>
      <c r="AE297" s="266"/>
      <c r="AF297" s="266"/>
      <c r="AG297" s="267"/>
      <c r="AH297" s="266" t="str">
        <f aca="false">IF(B297="","",IF(BA297="",IF(R297="WON","✅ belegt &amp; vollständig","✔ vollständig"),LEFT(BA297,LEN(BA297)-3)))</f>
        <v/>
      </c>
      <c r="AJ297" s="268" t="n">
        <f aca="false">IF(ISNUMBER(S297),IFERROR(LOOKUP(IF(S297&lt;=1,S297,S297/100),'⚖️ Wahrscheinlichkeit'!$B$17:$B$21,'⚖️ Wahrscheinlichkeit'!$D$17:$D$21),0),0)</f>
        <v>0</v>
      </c>
      <c r="AK297" s="1" t="str">
        <f aca="false">IF(AND(R297="WON",ISNUMBER(I297)),AL297+(861-ROW())*0.000001,"")</f>
        <v/>
      </c>
      <c r="AL297" s="1" t="n">
        <f aca="false">IFERROR(I297*1,0)</f>
        <v>0</v>
      </c>
      <c r="AM297" s="1" t="n">
        <f aca="false">N(AM296)+IF(AND(R297="WON",B297&lt;&gt;""),1,0)</f>
        <v>12</v>
      </c>
      <c r="AN297" s="1" t="n">
        <f aca="false">N(AN296)+IF(AND(OR(R297="offered",R297="to be offered",R297="on hold"),B297&lt;&gt;""),1,0)</f>
        <v>33</v>
      </c>
      <c r="AO297" s="1" t="n">
        <f aca="false">N(AO296)+IF(AND(OR(R297="follow-up",R297="Evaluation",R297="tbd",R297="In evaluation"),B297&lt;&gt;""),1,0)</f>
        <v>1</v>
      </c>
      <c r="AP297" s="1" t="n">
        <f aca="false">IF(B297="",0,IF(COUNTIF('⚖️ Wahrscheinlichkeit'!$J$17:$J$24,R297)&gt;0,1,0))</f>
        <v>0</v>
      </c>
      <c r="AQ297" s="1" t="n">
        <f aca="false">IF(B297="",0,IF(AND(ISNUMBER(S297),COUNTIF('⚖️ Wahrscheinlichkeit'!$B$6:$B$11,S297)&gt;0),1,0))</f>
        <v>0</v>
      </c>
      <c r="AR297" s="1" t="n">
        <f aca="false">IF(B297="",0,IF(AND(COUNT(J297:M297)=4,SUM(J297:M297)&gt;0),1,0))</f>
        <v>0</v>
      </c>
      <c r="AS297" s="1" t="n">
        <f aca="false">IF(B297="",0,IF(AND(AF297&lt;&gt;"",AG297&lt;&gt;""),1,0))</f>
        <v>0</v>
      </c>
      <c r="AT297" s="1" t="n">
        <f aca="false">IF(AND(R297="WON",AS297=1,AR297=1),1,0)</f>
        <v>0</v>
      </c>
      <c r="AU297" s="1" t="n">
        <f aca="false">IF(B297="",0,IF(AD297="Alternative – zählt nicht",0,1))</f>
        <v>0</v>
      </c>
      <c r="AV297" s="1" t="n">
        <f aca="false">IF(B297="",0,IF(COUNTIF($B$6:$B$860,B297)&gt;1,1,0))</f>
        <v>0</v>
      </c>
      <c r="AX297" s="269" t="str">
        <f aca="false">IF(AY297=1,DATE(YEAR(O297),MONTH(O297),1),"")</f>
        <v/>
      </c>
      <c r="AY297" s="1" t="n">
        <f aca="false">IF(B297="",0,IF(AND(ISNUMBER(O297),ISNUMBER(P297)),IF(P297&gt;=O297,1,0),0))</f>
        <v>0</v>
      </c>
      <c r="AZ297" s="1" t="n">
        <f aca="false">IF(ISNUMBER(Y297),Y297,0)</f>
        <v>0</v>
      </c>
      <c r="BA297" s="1" t="str">
        <f aca="false">IF(B297="","",IF(AND(R297="WON",AS297=0),"⛔ Beleg fehlt · ","")&amp;IF(AND(R297="WON",AR297=0),"⛔ Einstand fehlt · ","")&amp;IF(AND(R297&lt;&gt;"WON",AR297=0),"○ Einstand offen · ","")&amp;IF(AND(R297="WON",AB297=""),"⛔ Vertragsart fehlt · ","")&amp;IF(AND(ISNUMBER(O297),ISNUMBER(P297)),IF(P297&lt;O297,"⚠ Ende vor Start · ",""),"")&amp;IF(AND(R297="WON",AY297=0,NOT(AND(ISNUMBER(O297),ISNUMBER(P297)))),"⛔ Zeitraum fehlt · ","")&amp;IF(AND(R297&lt;&gt;"WON",AY297=0,NOT(AND(ISNUMBER(O297),ISNUMBER(P297)))),"○ Zeitraum offen · ",""))</f>
        <v/>
      </c>
      <c r="BB297" s="1" t="str">
        <f aca="false">IF(B297="","",IF(AND(R297="WON",AS297=0),"⛔ Nachweis fehlt",IF(AND(ISNUMBER(O297),ISNUMBER(P297),P297&lt;O297),"⚠ Ende vor Start",IF(AND(R297="WON",AY297=0),"⛔ Zeitraum fehlt",IF(AR297=0,"○ Einstand offen",IF(AY297=0,"○ Zeitraum offen",IF(R297="WON","✅ belegt","✔ erfasst")))))))</f>
        <v/>
      </c>
    </row>
    <row r="298" customFormat="false" ht="15" hidden="false" customHeight="true" outlineLevel="0" collapsed="false">
      <c r="G298" s="1" t="str">
        <f aca="false">IF(B298="","",IF(AY298=1,P298-O298+1,IF(AW298="","",AW298)))</f>
        <v/>
      </c>
      <c r="I298" s="270"/>
      <c r="J298" s="270"/>
      <c r="K298" s="270"/>
      <c r="L298" s="270"/>
      <c r="M298" s="270"/>
      <c r="N298" s="270"/>
      <c r="O298" s="263"/>
      <c r="P298" s="263"/>
      <c r="Q298" s="270" t="str">
        <f aca="false">IF(AND(ISNUMBER(I298),ISNUMBER(S298)),I298*AJ298,IF(OR(I298&lt;&gt;"",S298&lt;&gt;""),"tbd",""))</f>
        <v/>
      </c>
      <c r="S298" s="268"/>
      <c r="Y298" s="275" t="str">
        <f aca="false">IF(ISNUMBER(I298),I298/Netto_Faktor,"")</f>
        <v/>
      </c>
      <c r="Z298" s="275" t="str">
        <f aca="false">IF(B298="","",IF(COUNT(J298:N298)=0,"",SUM(J298:N298)))</f>
        <v/>
      </c>
      <c r="AA298" s="266"/>
      <c r="AB298" s="266"/>
      <c r="AC298" s="266"/>
      <c r="AD298" s="266"/>
      <c r="AE298" s="266"/>
      <c r="AF298" s="266"/>
      <c r="AG298" s="267"/>
      <c r="AH298" s="266" t="str">
        <f aca="false">IF(B298="","",IF(BA298="",IF(R298="WON","✅ belegt &amp; vollständig","✔ vollständig"),LEFT(BA298,LEN(BA298)-3)))</f>
        <v/>
      </c>
      <c r="AJ298" s="268" t="n">
        <f aca="false">IF(ISNUMBER(S298),IFERROR(LOOKUP(IF(S298&lt;=1,S298,S298/100),'⚖️ Wahrscheinlichkeit'!$B$17:$B$21,'⚖️ Wahrscheinlichkeit'!$D$17:$D$21),0),0)</f>
        <v>0</v>
      </c>
      <c r="AK298" s="1" t="str">
        <f aca="false">IF(AND(R298="WON",ISNUMBER(I298)),AL298+(861-ROW())*0.000001,"")</f>
        <v/>
      </c>
      <c r="AL298" s="1" t="n">
        <f aca="false">IFERROR(I298*1,0)</f>
        <v>0</v>
      </c>
      <c r="AM298" s="1" t="n">
        <f aca="false">N(AM297)+IF(AND(R298="WON",B298&lt;&gt;""),1,0)</f>
        <v>12</v>
      </c>
      <c r="AN298" s="1" t="n">
        <f aca="false">N(AN297)+IF(AND(OR(R298="offered",R298="to be offered",R298="on hold"),B298&lt;&gt;""),1,0)</f>
        <v>33</v>
      </c>
      <c r="AO298" s="1" t="n">
        <f aca="false">N(AO297)+IF(AND(OR(R298="follow-up",R298="Evaluation",R298="tbd",R298="In evaluation"),B298&lt;&gt;""),1,0)</f>
        <v>1</v>
      </c>
      <c r="AP298" s="1" t="n">
        <f aca="false">IF(B298="",0,IF(COUNTIF('⚖️ Wahrscheinlichkeit'!$J$17:$J$24,R298)&gt;0,1,0))</f>
        <v>0</v>
      </c>
      <c r="AQ298" s="1" t="n">
        <f aca="false">IF(B298="",0,IF(AND(ISNUMBER(S298),COUNTIF('⚖️ Wahrscheinlichkeit'!$B$6:$B$11,S298)&gt;0),1,0))</f>
        <v>0</v>
      </c>
      <c r="AR298" s="1" t="n">
        <f aca="false">IF(B298="",0,IF(AND(COUNT(J298:M298)=4,SUM(J298:M298)&gt;0),1,0))</f>
        <v>0</v>
      </c>
      <c r="AS298" s="1" t="n">
        <f aca="false">IF(B298="",0,IF(AND(AF298&lt;&gt;"",AG298&lt;&gt;""),1,0))</f>
        <v>0</v>
      </c>
      <c r="AT298" s="1" t="n">
        <f aca="false">IF(AND(R298="WON",AS298=1,AR298=1),1,0)</f>
        <v>0</v>
      </c>
      <c r="AU298" s="1" t="n">
        <f aca="false">IF(B298="",0,IF(AD298="Alternative – zählt nicht",0,1))</f>
        <v>0</v>
      </c>
      <c r="AV298" s="1" t="n">
        <f aca="false">IF(B298="",0,IF(COUNTIF($B$6:$B$860,B298)&gt;1,1,0))</f>
        <v>0</v>
      </c>
      <c r="AX298" s="269" t="str">
        <f aca="false">IF(AY298=1,DATE(YEAR(O298),MONTH(O298),1),"")</f>
        <v/>
      </c>
      <c r="AY298" s="1" t="n">
        <f aca="false">IF(B298="",0,IF(AND(ISNUMBER(O298),ISNUMBER(P298)),IF(P298&gt;=O298,1,0),0))</f>
        <v>0</v>
      </c>
      <c r="AZ298" s="1" t="n">
        <f aca="false">IF(ISNUMBER(Y298),Y298,0)</f>
        <v>0</v>
      </c>
      <c r="BA298" s="1" t="str">
        <f aca="false">IF(B298="","",IF(AND(R298="WON",AS298=0),"⛔ Beleg fehlt · ","")&amp;IF(AND(R298="WON",AR298=0),"⛔ Einstand fehlt · ","")&amp;IF(AND(R298&lt;&gt;"WON",AR298=0),"○ Einstand offen · ","")&amp;IF(AND(R298="WON",AB298=""),"⛔ Vertragsart fehlt · ","")&amp;IF(AND(ISNUMBER(O298),ISNUMBER(P298)),IF(P298&lt;O298,"⚠ Ende vor Start · ",""),"")&amp;IF(AND(R298="WON",AY298=0,NOT(AND(ISNUMBER(O298),ISNUMBER(P298)))),"⛔ Zeitraum fehlt · ","")&amp;IF(AND(R298&lt;&gt;"WON",AY298=0,NOT(AND(ISNUMBER(O298),ISNUMBER(P298)))),"○ Zeitraum offen · ",""))</f>
        <v/>
      </c>
      <c r="BB298" s="1" t="str">
        <f aca="false">IF(B298="","",IF(AND(R298="WON",AS298=0),"⛔ Nachweis fehlt",IF(AND(ISNUMBER(O298),ISNUMBER(P298),P298&lt;O298),"⚠ Ende vor Start",IF(AND(R298="WON",AY298=0),"⛔ Zeitraum fehlt",IF(AR298=0,"○ Einstand offen",IF(AY298=0,"○ Zeitraum offen",IF(R298="WON","✅ belegt","✔ erfasst")))))))</f>
        <v/>
      </c>
    </row>
    <row r="299" customFormat="false" ht="15" hidden="false" customHeight="true" outlineLevel="0" collapsed="false">
      <c r="G299" s="1" t="str">
        <f aca="false">IF(B299="","",IF(AY299=1,P299-O299+1,IF(AW299="","",AW299)))</f>
        <v/>
      </c>
      <c r="I299" s="270"/>
      <c r="J299" s="270"/>
      <c r="K299" s="270"/>
      <c r="L299" s="270"/>
      <c r="M299" s="270"/>
      <c r="N299" s="270"/>
      <c r="O299" s="263"/>
      <c r="P299" s="263"/>
      <c r="Q299" s="270" t="str">
        <f aca="false">IF(AND(ISNUMBER(I299),ISNUMBER(S299)),I299*AJ299,IF(OR(I299&lt;&gt;"",S299&lt;&gt;""),"tbd",""))</f>
        <v/>
      </c>
      <c r="S299" s="268"/>
      <c r="Y299" s="275" t="str">
        <f aca="false">IF(ISNUMBER(I299),I299/Netto_Faktor,"")</f>
        <v/>
      </c>
      <c r="Z299" s="275" t="str">
        <f aca="false">IF(B299="","",IF(COUNT(J299:N299)=0,"",SUM(J299:N299)))</f>
        <v/>
      </c>
      <c r="AA299" s="266"/>
      <c r="AB299" s="266"/>
      <c r="AC299" s="266"/>
      <c r="AD299" s="266"/>
      <c r="AE299" s="266"/>
      <c r="AF299" s="266"/>
      <c r="AG299" s="267"/>
      <c r="AH299" s="266" t="str">
        <f aca="false">IF(B299="","",IF(BA299="",IF(R299="WON","✅ belegt &amp; vollständig","✔ vollständig"),LEFT(BA299,LEN(BA299)-3)))</f>
        <v/>
      </c>
      <c r="AJ299" s="268" t="n">
        <f aca="false">IF(ISNUMBER(S299),IFERROR(LOOKUP(IF(S299&lt;=1,S299,S299/100),'⚖️ Wahrscheinlichkeit'!$B$17:$B$21,'⚖️ Wahrscheinlichkeit'!$D$17:$D$21),0),0)</f>
        <v>0</v>
      </c>
      <c r="AK299" s="1" t="str">
        <f aca="false">IF(AND(R299="WON",ISNUMBER(I299)),AL299+(861-ROW())*0.000001,"")</f>
        <v/>
      </c>
      <c r="AL299" s="1" t="n">
        <f aca="false">IFERROR(I299*1,0)</f>
        <v>0</v>
      </c>
      <c r="AM299" s="1" t="n">
        <f aca="false">N(AM298)+IF(AND(R299="WON",B299&lt;&gt;""),1,0)</f>
        <v>12</v>
      </c>
      <c r="AN299" s="1" t="n">
        <f aca="false">N(AN298)+IF(AND(OR(R299="offered",R299="to be offered",R299="on hold"),B299&lt;&gt;""),1,0)</f>
        <v>33</v>
      </c>
      <c r="AO299" s="1" t="n">
        <f aca="false">N(AO298)+IF(AND(OR(R299="follow-up",R299="Evaluation",R299="tbd",R299="In evaluation"),B299&lt;&gt;""),1,0)</f>
        <v>1</v>
      </c>
      <c r="AP299" s="1" t="n">
        <f aca="false">IF(B299="",0,IF(COUNTIF('⚖️ Wahrscheinlichkeit'!$J$17:$J$24,R299)&gt;0,1,0))</f>
        <v>0</v>
      </c>
      <c r="AQ299" s="1" t="n">
        <f aca="false">IF(B299="",0,IF(AND(ISNUMBER(S299),COUNTIF('⚖️ Wahrscheinlichkeit'!$B$6:$B$11,S299)&gt;0),1,0))</f>
        <v>0</v>
      </c>
      <c r="AR299" s="1" t="n">
        <f aca="false">IF(B299="",0,IF(AND(COUNT(J299:M299)=4,SUM(J299:M299)&gt;0),1,0))</f>
        <v>0</v>
      </c>
      <c r="AS299" s="1" t="n">
        <f aca="false">IF(B299="",0,IF(AND(AF299&lt;&gt;"",AG299&lt;&gt;""),1,0))</f>
        <v>0</v>
      </c>
      <c r="AT299" s="1" t="n">
        <f aca="false">IF(AND(R299="WON",AS299=1,AR299=1),1,0)</f>
        <v>0</v>
      </c>
      <c r="AU299" s="1" t="n">
        <f aca="false">IF(B299="",0,IF(AD299="Alternative – zählt nicht",0,1))</f>
        <v>0</v>
      </c>
      <c r="AV299" s="1" t="n">
        <f aca="false">IF(B299="",0,IF(COUNTIF($B$6:$B$860,B299)&gt;1,1,0))</f>
        <v>0</v>
      </c>
      <c r="AX299" s="269" t="str">
        <f aca="false">IF(AY299=1,DATE(YEAR(O299),MONTH(O299),1),"")</f>
        <v/>
      </c>
      <c r="AY299" s="1" t="n">
        <f aca="false">IF(B299="",0,IF(AND(ISNUMBER(O299),ISNUMBER(P299)),IF(P299&gt;=O299,1,0),0))</f>
        <v>0</v>
      </c>
      <c r="AZ299" s="1" t="n">
        <f aca="false">IF(ISNUMBER(Y299),Y299,0)</f>
        <v>0</v>
      </c>
      <c r="BA299" s="1" t="str">
        <f aca="false">IF(B299="","",IF(AND(R299="WON",AS299=0),"⛔ Beleg fehlt · ","")&amp;IF(AND(R299="WON",AR299=0),"⛔ Einstand fehlt · ","")&amp;IF(AND(R299&lt;&gt;"WON",AR299=0),"○ Einstand offen · ","")&amp;IF(AND(R299="WON",AB299=""),"⛔ Vertragsart fehlt · ","")&amp;IF(AND(ISNUMBER(O299),ISNUMBER(P299)),IF(P299&lt;O299,"⚠ Ende vor Start · ",""),"")&amp;IF(AND(R299="WON",AY299=0,NOT(AND(ISNUMBER(O299),ISNUMBER(P299)))),"⛔ Zeitraum fehlt · ","")&amp;IF(AND(R299&lt;&gt;"WON",AY299=0,NOT(AND(ISNUMBER(O299),ISNUMBER(P299)))),"○ Zeitraum offen · ",""))</f>
        <v/>
      </c>
      <c r="BB299" s="1" t="str">
        <f aca="false">IF(B299="","",IF(AND(R299="WON",AS299=0),"⛔ Nachweis fehlt",IF(AND(ISNUMBER(O299),ISNUMBER(P299),P299&lt;O299),"⚠ Ende vor Start",IF(AND(R299="WON",AY299=0),"⛔ Zeitraum fehlt",IF(AR299=0,"○ Einstand offen",IF(AY299=0,"○ Zeitraum offen",IF(R299="WON","✅ belegt","✔ erfasst")))))))</f>
        <v/>
      </c>
    </row>
    <row r="300" customFormat="false" ht="15" hidden="false" customHeight="true" outlineLevel="0" collapsed="false">
      <c r="G300" s="1" t="str">
        <f aca="false">IF(B300="","",IF(AY300=1,P300-O300+1,IF(AW300="","",AW300)))</f>
        <v/>
      </c>
      <c r="I300" s="270"/>
      <c r="J300" s="270"/>
      <c r="K300" s="270"/>
      <c r="L300" s="270"/>
      <c r="M300" s="270"/>
      <c r="N300" s="270"/>
      <c r="O300" s="263"/>
      <c r="P300" s="263"/>
      <c r="Q300" s="270" t="str">
        <f aca="false">IF(AND(ISNUMBER(I300),ISNUMBER(S300)),I300*AJ300,IF(OR(I300&lt;&gt;"",S300&lt;&gt;""),"tbd",""))</f>
        <v/>
      </c>
      <c r="S300" s="268"/>
      <c r="Y300" s="275" t="str">
        <f aca="false">IF(ISNUMBER(I300),I300/Netto_Faktor,"")</f>
        <v/>
      </c>
      <c r="Z300" s="275" t="str">
        <f aca="false">IF(B300="","",IF(COUNT(J300:N300)=0,"",SUM(J300:N300)))</f>
        <v/>
      </c>
      <c r="AA300" s="266"/>
      <c r="AB300" s="266"/>
      <c r="AC300" s="266"/>
      <c r="AD300" s="266"/>
      <c r="AE300" s="266"/>
      <c r="AF300" s="266"/>
      <c r="AG300" s="267"/>
      <c r="AH300" s="266" t="str">
        <f aca="false">IF(B300="","",IF(BA300="",IF(R300="WON","✅ belegt &amp; vollständig","✔ vollständig"),LEFT(BA300,LEN(BA300)-3)))</f>
        <v/>
      </c>
      <c r="AJ300" s="268" t="n">
        <f aca="false">IF(ISNUMBER(S300),IFERROR(LOOKUP(IF(S300&lt;=1,S300,S300/100),'⚖️ Wahrscheinlichkeit'!$B$17:$B$21,'⚖️ Wahrscheinlichkeit'!$D$17:$D$21),0),0)</f>
        <v>0</v>
      </c>
      <c r="AK300" s="1" t="str">
        <f aca="false">IF(AND(R300="WON",ISNUMBER(I300)),AL300+(861-ROW())*0.000001,"")</f>
        <v/>
      </c>
      <c r="AL300" s="1" t="n">
        <f aca="false">IFERROR(I300*1,0)</f>
        <v>0</v>
      </c>
      <c r="AM300" s="1" t="n">
        <f aca="false">N(AM299)+IF(AND(R300="WON",B300&lt;&gt;""),1,0)</f>
        <v>12</v>
      </c>
      <c r="AN300" s="1" t="n">
        <f aca="false">N(AN299)+IF(AND(OR(R300="offered",R300="to be offered",R300="on hold"),B300&lt;&gt;""),1,0)</f>
        <v>33</v>
      </c>
      <c r="AO300" s="1" t="n">
        <f aca="false">N(AO299)+IF(AND(OR(R300="follow-up",R300="Evaluation",R300="tbd",R300="In evaluation"),B300&lt;&gt;""),1,0)</f>
        <v>1</v>
      </c>
      <c r="AP300" s="1" t="n">
        <f aca="false">IF(B300="",0,IF(COUNTIF('⚖️ Wahrscheinlichkeit'!$J$17:$J$24,R300)&gt;0,1,0))</f>
        <v>0</v>
      </c>
      <c r="AQ300" s="1" t="n">
        <f aca="false">IF(B300="",0,IF(AND(ISNUMBER(S300),COUNTIF('⚖️ Wahrscheinlichkeit'!$B$6:$B$11,S300)&gt;0),1,0))</f>
        <v>0</v>
      </c>
      <c r="AR300" s="1" t="n">
        <f aca="false">IF(B300="",0,IF(AND(COUNT(J300:M300)=4,SUM(J300:M300)&gt;0),1,0))</f>
        <v>0</v>
      </c>
      <c r="AS300" s="1" t="n">
        <f aca="false">IF(B300="",0,IF(AND(AF300&lt;&gt;"",AG300&lt;&gt;""),1,0))</f>
        <v>0</v>
      </c>
      <c r="AT300" s="1" t="n">
        <f aca="false">IF(AND(R300="WON",AS300=1,AR300=1),1,0)</f>
        <v>0</v>
      </c>
      <c r="AU300" s="1" t="n">
        <f aca="false">IF(B300="",0,IF(AD300="Alternative – zählt nicht",0,1))</f>
        <v>0</v>
      </c>
      <c r="AV300" s="1" t="n">
        <f aca="false">IF(B300="",0,IF(COUNTIF($B$6:$B$860,B300)&gt;1,1,0))</f>
        <v>0</v>
      </c>
      <c r="AX300" s="269" t="str">
        <f aca="false">IF(AY300=1,DATE(YEAR(O300),MONTH(O300),1),"")</f>
        <v/>
      </c>
      <c r="AY300" s="1" t="n">
        <f aca="false">IF(B300="",0,IF(AND(ISNUMBER(O300),ISNUMBER(P300)),IF(P300&gt;=O300,1,0),0))</f>
        <v>0</v>
      </c>
      <c r="AZ300" s="1" t="n">
        <f aca="false">IF(ISNUMBER(Y300),Y300,0)</f>
        <v>0</v>
      </c>
      <c r="BA300" s="1" t="str">
        <f aca="false">IF(B300="","",IF(AND(R300="WON",AS300=0),"⛔ Beleg fehlt · ","")&amp;IF(AND(R300="WON",AR300=0),"⛔ Einstand fehlt · ","")&amp;IF(AND(R300&lt;&gt;"WON",AR300=0),"○ Einstand offen · ","")&amp;IF(AND(R300="WON",AB300=""),"⛔ Vertragsart fehlt · ","")&amp;IF(AND(ISNUMBER(O300),ISNUMBER(P300)),IF(P300&lt;O300,"⚠ Ende vor Start · ",""),"")&amp;IF(AND(R300="WON",AY300=0,NOT(AND(ISNUMBER(O300),ISNUMBER(P300)))),"⛔ Zeitraum fehlt · ","")&amp;IF(AND(R300&lt;&gt;"WON",AY300=0,NOT(AND(ISNUMBER(O300),ISNUMBER(P300)))),"○ Zeitraum offen · ",""))</f>
        <v/>
      </c>
      <c r="BB300" s="1" t="str">
        <f aca="false">IF(B300="","",IF(AND(R300="WON",AS300=0),"⛔ Nachweis fehlt",IF(AND(ISNUMBER(O300),ISNUMBER(P300),P300&lt;O300),"⚠ Ende vor Start",IF(AND(R300="WON",AY300=0),"⛔ Zeitraum fehlt",IF(AR300=0,"○ Einstand offen",IF(AY300=0,"○ Zeitraum offen",IF(R300="WON","✅ belegt","✔ erfasst")))))))</f>
        <v/>
      </c>
    </row>
    <row r="301" customFormat="false" ht="15" hidden="false" customHeight="true" outlineLevel="0" collapsed="false">
      <c r="G301" s="1" t="str">
        <f aca="false">IF(B301="","",IF(AY301=1,P301-O301+1,IF(AW301="","",AW301)))</f>
        <v/>
      </c>
      <c r="I301" s="270"/>
      <c r="J301" s="270"/>
      <c r="K301" s="270"/>
      <c r="L301" s="270"/>
      <c r="M301" s="270"/>
      <c r="N301" s="270"/>
      <c r="O301" s="263"/>
      <c r="P301" s="263"/>
      <c r="Q301" s="270" t="str">
        <f aca="false">IF(AND(ISNUMBER(I301),ISNUMBER(S301)),I301*AJ301,IF(OR(I301&lt;&gt;"",S301&lt;&gt;""),"tbd",""))</f>
        <v/>
      </c>
      <c r="S301" s="268"/>
      <c r="Y301" s="275" t="str">
        <f aca="false">IF(ISNUMBER(I301),I301/Netto_Faktor,"")</f>
        <v/>
      </c>
      <c r="Z301" s="275" t="str">
        <f aca="false">IF(B301="","",IF(COUNT(J301:N301)=0,"",SUM(J301:N301)))</f>
        <v/>
      </c>
      <c r="AA301" s="266"/>
      <c r="AB301" s="266"/>
      <c r="AC301" s="266"/>
      <c r="AD301" s="266"/>
      <c r="AE301" s="266"/>
      <c r="AF301" s="266"/>
      <c r="AG301" s="267"/>
      <c r="AH301" s="266" t="str">
        <f aca="false">IF(B301="","",IF(BA301="",IF(R301="WON","✅ belegt &amp; vollständig","✔ vollständig"),LEFT(BA301,LEN(BA301)-3)))</f>
        <v/>
      </c>
      <c r="AJ301" s="268" t="n">
        <f aca="false">IF(ISNUMBER(S301),IFERROR(LOOKUP(IF(S301&lt;=1,S301,S301/100),'⚖️ Wahrscheinlichkeit'!$B$17:$B$21,'⚖️ Wahrscheinlichkeit'!$D$17:$D$21),0),0)</f>
        <v>0</v>
      </c>
      <c r="AK301" s="1" t="str">
        <f aca="false">IF(AND(R301="WON",ISNUMBER(I301)),AL301+(861-ROW())*0.000001,"")</f>
        <v/>
      </c>
      <c r="AL301" s="1" t="n">
        <f aca="false">IFERROR(I301*1,0)</f>
        <v>0</v>
      </c>
      <c r="AM301" s="1" t="n">
        <f aca="false">N(AM300)+IF(AND(R301="WON",B301&lt;&gt;""),1,0)</f>
        <v>12</v>
      </c>
      <c r="AN301" s="1" t="n">
        <f aca="false">N(AN300)+IF(AND(OR(R301="offered",R301="to be offered",R301="on hold"),B301&lt;&gt;""),1,0)</f>
        <v>33</v>
      </c>
      <c r="AO301" s="1" t="n">
        <f aca="false">N(AO300)+IF(AND(OR(R301="follow-up",R301="Evaluation",R301="tbd",R301="In evaluation"),B301&lt;&gt;""),1,0)</f>
        <v>1</v>
      </c>
      <c r="AP301" s="1" t="n">
        <f aca="false">IF(B301="",0,IF(COUNTIF('⚖️ Wahrscheinlichkeit'!$J$17:$J$24,R301)&gt;0,1,0))</f>
        <v>0</v>
      </c>
      <c r="AQ301" s="1" t="n">
        <f aca="false">IF(B301="",0,IF(AND(ISNUMBER(S301),COUNTIF('⚖️ Wahrscheinlichkeit'!$B$6:$B$11,S301)&gt;0),1,0))</f>
        <v>0</v>
      </c>
      <c r="AR301" s="1" t="n">
        <f aca="false">IF(B301="",0,IF(AND(COUNT(J301:M301)=4,SUM(J301:M301)&gt;0),1,0))</f>
        <v>0</v>
      </c>
      <c r="AS301" s="1" t="n">
        <f aca="false">IF(B301="",0,IF(AND(AF301&lt;&gt;"",AG301&lt;&gt;""),1,0))</f>
        <v>0</v>
      </c>
      <c r="AT301" s="1" t="n">
        <f aca="false">IF(AND(R301="WON",AS301=1,AR301=1),1,0)</f>
        <v>0</v>
      </c>
      <c r="AU301" s="1" t="n">
        <f aca="false">IF(B301="",0,IF(AD301="Alternative – zählt nicht",0,1))</f>
        <v>0</v>
      </c>
      <c r="AV301" s="1" t="n">
        <f aca="false">IF(B301="",0,IF(COUNTIF($B$6:$B$860,B301)&gt;1,1,0))</f>
        <v>0</v>
      </c>
      <c r="AX301" s="269" t="str">
        <f aca="false">IF(AY301=1,DATE(YEAR(O301),MONTH(O301),1),"")</f>
        <v/>
      </c>
      <c r="AY301" s="1" t="n">
        <f aca="false">IF(B301="",0,IF(AND(ISNUMBER(O301),ISNUMBER(P301)),IF(P301&gt;=O301,1,0),0))</f>
        <v>0</v>
      </c>
      <c r="AZ301" s="1" t="n">
        <f aca="false">IF(ISNUMBER(Y301),Y301,0)</f>
        <v>0</v>
      </c>
      <c r="BA301" s="1" t="str">
        <f aca="false">IF(B301="","",IF(AND(R301="WON",AS301=0),"⛔ Beleg fehlt · ","")&amp;IF(AND(R301="WON",AR301=0),"⛔ Einstand fehlt · ","")&amp;IF(AND(R301&lt;&gt;"WON",AR301=0),"○ Einstand offen · ","")&amp;IF(AND(R301="WON",AB301=""),"⛔ Vertragsart fehlt · ","")&amp;IF(AND(ISNUMBER(O301),ISNUMBER(P301)),IF(P301&lt;O301,"⚠ Ende vor Start · ",""),"")&amp;IF(AND(R301="WON",AY301=0,NOT(AND(ISNUMBER(O301),ISNUMBER(P301)))),"⛔ Zeitraum fehlt · ","")&amp;IF(AND(R301&lt;&gt;"WON",AY301=0,NOT(AND(ISNUMBER(O301),ISNUMBER(P301)))),"○ Zeitraum offen · ",""))</f>
        <v/>
      </c>
      <c r="BB301" s="1" t="str">
        <f aca="false">IF(B301="","",IF(AND(R301="WON",AS301=0),"⛔ Nachweis fehlt",IF(AND(ISNUMBER(O301),ISNUMBER(P301),P301&lt;O301),"⚠ Ende vor Start",IF(AND(R301="WON",AY301=0),"⛔ Zeitraum fehlt",IF(AR301=0,"○ Einstand offen",IF(AY301=0,"○ Zeitraum offen",IF(R301="WON","✅ belegt","✔ erfasst")))))))</f>
        <v/>
      </c>
    </row>
    <row r="302" customFormat="false" ht="15" hidden="false" customHeight="true" outlineLevel="0" collapsed="false">
      <c r="G302" s="1" t="str">
        <f aca="false">IF(B302="","",IF(AY302=1,P302-O302+1,IF(AW302="","",AW302)))</f>
        <v/>
      </c>
      <c r="I302" s="270"/>
      <c r="J302" s="270"/>
      <c r="K302" s="270"/>
      <c r="L302" s="270"/>
      <c r="M302" s="270"/>
      <c r="N302" s="270"/>
      <c r="O302" s="263"/>
      <c r="P302" s="263"/>
      <c r="Q302" s="270" t="str">
        <f aca="false">IF(AND(ISNUMBER(I302),ISNUMBER(S302)),I302*AJ302,IF(OR(I302&lt;&gt;"",S302&lt;&gt;""),"tbd",""))</f>
        <v/>
      </c>
      <c r="S302" s="268"/>
      <c r="Y302" s="275" t="str">
        <f aca="false">IF(ISNUMBER(I302),I302/Netto_Faktor,"")</f>
        <v/>
      </c>
      <c r="Z302" s="275" t="str">
        <f aca="false">IF(B302="","",IF(COUNT(J302:N302)=0,"",SUM(J302:N302)))</f>
        <v/>
      </c>
      <c r="AA302" s="266"/>
      <c r="AB302" s="266"/>
      <c r="AC302" s="266"/>
      <c r="AD302" s="266"/>
      <c r="AE302" s="266"/>
      <c r="AF302" s="266"/>
      <c r="AG302" s="267"/>
      <c r="AH302" s="266" t="str">
        <f aca="false">IF(B302="","",IF(BA302="",IF(R302="WON","✅ belegt &amp; vollständig","✔ vollständig"),LEFT(BA302,LEN(BA302)-3)))</f>
        <v/>
      </c>
      <c r="AJ302" s="268" t="n">
        <f aca="false">IF(ISNUMBER(S302),IFERROR(LOOKUP(IF(S302&lt;=1,S302,S302/100),'⚖️ Wahrscheinlichkeit'!$B$17:$B$21,'⚖️ Wahrscheinlichkeit'!$D$17:$D$21),0),0)</f>
        <v>0</v>
      </c>
      <c r="AK302" s="1" t="str">
        <f aca="false">IF(AND(R302="WON",ISNUMBER(I302)),AL302+(861-ROW())*0.000001,"")</f>
        <v/>
      </c>
      <c r="AL302" s="1" t="n">
        <f aca="false">IFERROR(I302*1,0)</f>
        <v>0</v>
      </c>
      <c r="AM302" s="1" t="n">
        <f aca="false">N(AM301)+IF(AND(R302="WON",B302&lt;&gt;""),1,0)</f>
        <v>12</v>
      </c>
      <c r="AN302" s="1" t="n">
        <f aca="false">N(AN301)+IF(AND(OR(R302="offered",R302="to be offered",R302="on hold"),B302&lt;&gt;""),1,0)</f>
        <v>33</v>
      </c>
      <c r="AO302" s="1" t="n">
        <f aca="false">N(AO301)+IF(AND(OR(R302="follow-up",R302="Evaluation",R302="tbd",R302="In evaluation"),B302&lt;&gt;""),1,0)</f>
        <v>1</v>
      </c>
      <c r="AP302" s="1" t="n">
        <f aca="false">IF(B302="",0,IF(COUNTIF('⚖️ Wahrscheinlichkeit'!$J$17:$J$24,R302)&gt;0,1,0))</f>
        <v>0</v>
      </c>
      <c r="AQ302" s="1" t="n">
        <f aca="false">IF(B302="",0,IF(AND(ISNUMBER(S302),COUNTIF('⚖️ Wahrscheinlichkeit'!$B$6:$B$11,S302)&gt;0),1,0))</f>
        <v>0</v>
      </c>
      <c r="AR302" s="1" t="n">
        <f aca="false">IF(B302="",0,IF(AND(COUNT(J302:M302)=4,SUM(J302:M302)&gt;0),1,0))</f>
        <v>0</v>
      </c>
      <c r="AS302" s="1" t="n">
        <f aca="false">IF(B302="",0,IF(AND(AF302&lt;&gt;"",AG302&lt;&gt;""),1,0))</f>
        <v>0</v>
      </c>
      <c r="AT302" s="1" t="n">
        <f aca="false">IF(AND(R302="WON",AS302=1,AR302=1),1,0)</f>
        <v>0</v>
      </c>
      <c r="AU302" s="1" t="n">
        <f aca="false">IF(B302="",0,IF(AD302="Alternative – zählt nicht",0,1))</f>
        <v>0</v>
      </c>
      <c r="AV302" s="1" t="n">
        <f aca="false">IF(B302="",0,IF(COUNTIF($B$6:$B$860,B302)&gt;1,1,0))</f>
        <v>0</v>
      </c>
      <c r="AX302" s="269" t="str">
        <f aca="false">IF(AY302=1,DATE(YEAR(O302),MONTH(O302),1),"")</f>
        <v/>
      </c>
      <c r="AY302" s="1" t="n">
        <f aca="false">IF(B302="",0,IF(AND(ISNUMBER(O302),ISNUMBER(P302)),IF(P302&gt;=O302,1,0),0))</f>
        <v>0</v>
      </c>
      <c r="AZ302" s="1" t="n">
        <f aca="false">IF(ISNUMBER(Y302),Y302,0)</f>
        <v>0</v>
      </c>
      <c r="BA302" s="1" t="str">
        <f aca="false">IF(B302="","",IF(AND(R302="WON",AS302=0),"⛔ Beleg fehlt · ","")&amp;IF(AND(R302="WON",AR302=0),"⛔ Einstand fehlt · ","")&amp;IF(AND(R302&lt;&gt;"WON",AR302=0),"○ Einstand offen · ","")&amp;IF(AND(R302="WON",AB302=""),"⛔ Vertragsart fehlt · ","")&amp;IF(AND(ISNUMBER(O302),ISNUMBER(P302)),IF(P302&lt;O302,"⚠ Ende vor Start · ",""),"")&amp;IF(AND(R302="WON",AY302=0,NOT(AND(ISNUMBER(O302),ISNUMBER(P302)))),"⛔ Zeitraum fehlt · ","")&amp;IF(AND(R302&lt;&gt;"WON",AY302=0,NOT(AND(ISNUMBER(O302),ISNUMBER(P302)))),"○ Zeitraum offen · ",""))</f>
        <v/>
      </c>
      <c r="BB302" s="1" t="str">
        <f aca="false">IF(B302="","",IF(AND(R302="WON",AS302=0),"⛔ Nachweis fehlt",IF(AND(ISNUMBER(O302),ISNUMBER(P302),P302&lt;O302),"⚠ Ende vor Start",IF(AND(R302="WON",AY302=0),"⛔ Zeitraum fehlt",IF(AR302=0,"○ Einstand offen",IF(AY302=0,"○ Zeitraum offen",IF(R302="WON","✅ belegt","✔ erfasst")))))))</f>
        <v/>
      </c>
    </row>
    <row r="303" customFormat="false" ht="15" hidden="false" customHeight="true" outlineLevel="0" collapsed="false">
      <c r="G303" s="1" t="str">
        <f aca="false">IF(B303="","",IF(AY303=1,P303-O303+1,IF(AW303="","",AW303)))</f>
        <v/>
      </c>
      <c r="I303" s="270"/>
      <c r="J303" s="270"/>
      <c r="K303" s="270"/>
      <c r="L303" s="270"/>
      <c r="M303" s="270"/>
      <c r="N303" s="270"/>
      <c r="O303" s="263"/>
      <c r="P303" s="263"/>
      <c r="Q303" s="270" t="str">
        <f aca="false">IF(AND(ISNUMBER(I303),ISNUMBER(S303)),I303*AJ303,IF(OR(I303&lt;&gt;"",S303&lt;&gt;""),"tbd",""))</f>
        <v/>
      </c>
      <c r="S303" s="268"/>
      <c r="Y303" s="275" t="str">
        <f aca="false">IF(ISNUMBER(I303),I303/Netto_Faktor,"")</f>
        <v/>
      </c>
      <c r="Z303" s="275" t="str">
        <f aca="false">IF(B303="","",IF(COUNT(J303:N303)=0,"",SUM(J303:N303)))</f>
        <v/>
      </c>
      <c r="AA303" s="266"/>
      <c r="AB303" s="266"/>
      <c r="AC303" s="266"/>
      <c r="AD303" s="266"/>
      <c r="AE303" s="266"/>
      <c r="AF303" s="266"/>
      <c r="AG303" s="267"/>
      <c r="AH303" s="266" t="str">
        <f aca="false">IF(B303="","",IF(BA303="",IF(R303="WON","✅ belegt &amp; vollständig","✔ vollständig"),LEFT(BA303,LEN(BA303)-3)))</f>
        <v/>
      </c>
      <c r="AJ303" s="268" t="n">
        <f aca="false">IF(ISNUMBER(S303),IFERROR(LOOKUP(IF(S303&lt;=1,S303,S303/100),'⚖️ Wahrscheinlichkeit'!$B$17:$B$21,'⚖️ Wahrscheinlichkeit'!$D$17:$D$21),0),0)</f>
        <v>0</v>
      </c>
      <c r="AK303" s="1" t="str">
        <f aca="false">IF(AND(R303="WON",ISNUMBER(I303)),AL303+(861-ROW())*0.000001,"")</f>
        <v/>
      </c>
      <c r="AL303" s="1" t="n">
        <f aca="false">IFERROR(I303*1,0)</f>
        <v>0</v>
      </c>
      <c r="AM303" s="1" t="n">
        <f aca="false">N(AM302)+IF(AND(R303="WON",B303&lt;&gt;""),1,0)</f>
        <v>12</v>
      </c>
      <c r="AN303" s="1" t="n">
        <f aca="false">N(AN302)+IF(AND(OR(R303="offered",R303="to be offered",R303="on hold"),B303&lt;&gt;""),1,0)</f>
        <v>33</v>
      </c>
      <c r="AO303" s="1" t="n">
        <f aca="false">N(AO302)+IF(AND(OR(R303="follow-up",R303="Evaluation",R303="tbd",R303="In evaluation"),B303&lt;&gt;""),1,0)</f>
        <v>1</v>
      </c>
      <c r="AP303" s="1" t="n">
        <f aca="false">IF(B303="",0,IF(COUNTIF('⚖️ Wahrscheinlichkeit'!$J$17:$J$24,R303)&gt;0,1,0))</f>
        <v>0</v>
      </c>
      <c r="AQ303" s="1" t="n">
        <f aca="false">IF(B303="",0,IF(AND(ISNUMBER(S303),COUNTIF('⚖️ Wahrscheinlichkeit'!$B$6:$B$11,S303)&gt;0),1,0))</f>
        <v>0</v>
      </c>
      <c r="AR303" s="1" t="n">
        <f aca="false">IF(B303="",0,IF(AND(COUNT(J303:M303)=4,SUM(J303:M303)&gt;0),1,0))</f>
        <v>0</v>
      </c>
      <c r="AS303" s="1" t="n">
        <f aca="false">IF(B303="",0,IF(AND(AF303&lt;&gt;"",AG303&lt;&gt;""),1,0))</f>
        <v>0</v>
      </c>
      <c r="AT303" s="1" t="n">
        <f aca="false">IF(AND(R303="WON",AS303=1,AR303=1),1,0)</f>
        <v>0</v>
      </c>
      <c r="AU303" s="1" t="n">
        <f aca="false">IF(B303="",0,IF(AD303="Alternative – zählt nicht",0,1))</f>
        <v>0</v>
      </c>
      <c r="AV303" s="1" t="n">
        <f aca="false">IF(B303="",0,IF(COUNTIF($B$6:$B$860,B303)&gt;1,1,0))</f>
        <v>0</v>
      </c>
      <c r="AX303" s="269" t="str">
        <f aca="false">IF(AY303=1,DATE(YEAR(O303),MONTH(O303),1),"")</f>
        <v/>
      </c>
      <c r="AY303" s="1" t="n">
        <f aca="false">IF(B303="",0,IF(AND(ISNUMBER(O303),ISNUMBER(P303)),IF(P303&gt;=O303,1,0),0))</f>
        <v>0</v>
      </c>
      <c r="AZ303" s="1" t="n">
        <f aca="false">IF(ISNUMBER(Y303),Y303,0)</f>
        <v>0</v>
      </c>
      <c r="BA303" s="1" t="str">
        <f aca="false">IF(B303="","",IF(AND(R303="WON",AS303=0),"⛔ Beleg fehlt · ","")&amp;IF(AND(R303="WON",AR303=0),"⛔ Einstand fehlt · ","")&amp;IF(AND(R303&lt;&gt;"WON",AR303=0),"○ Einstand offen · ","")&amp;IF(AND(R303="WON",AB303=""),"⛔ Vertragsart fehlt · ","")&amp;IF(AND(ISNUMBER(O303),ISNUMBER(P303)),IF(P303&lt;O303,"⚠ Ende vor Start · ",""),"")&amp;IF(AND(R303="WON",AY303=0,NOT(AND(ISNUMBER(O303),ISNUMBER(P303)))),"⛔ Zeitraum fehlt · ","")&amp;IF(AND(R303&lt;&gt;"WON",AY303=0,NOT(AND(ISNUMBER(O303),ISNUMBER(P303)))),"○ Zeitraum offen · ",""))</f>
        <v/>
      </c>
      <c r="BB303" s="1" t="str">
        <f aca="false">IF(B303="","",IF(AND(R303="WON",AS303=0),"⛔ Nachweis fehlt",IF(AND(ISNUMBER(O303),ISNUMBER(P303),P303&lt;O303),"⚠ Ende vor Start",IF(AND(R303="WON",AY303=0),"⛔ Zeitraum fehlt",IF(AR303=0,"○ Einstand offen",IF(AY303=0,"○ Zeitraum offen",IF(R303="WON","✅ belegt","✔ erfasst")))))))</f>
        <v/>
      </c>
    </row>
    <row r="304" customFormat="false" ht="15" hidden="false" customHeight="true" outlineLevel="0" collapsed="false">
      <c r="G304" s="1" t="str">
        <f aca="false">IF(B304="","",IF(AY304=1,P304-O304+1,IF(AW304="","",AW304)))</f>
        <v/>
      </c>
      <c r="I304" s="270"/>
      <c r="J304" s="270"/>
      <c r="K304" s="270"/>
      <c r="L304" s="270"/>
      <c r="M304" s="270"/>
      <c r="N304" s="270"/>
      <c r="O304" s="263"/>
      <c r="P304" s="263"/>
      <c r="Q304" s="270" t="str">
        <f aca="false">IF(AND(ISNUMBER(I304),ISNUMBER(S304)),I304*AJ304,IF(OR(I304&lt;&gt;"",S304&lt;&gt;""),"tbd",""))</f>
        <v/>
      </c>
      <c r="S304" s="268"/>
      <c r="Y304" s="275" t="str">
        <f aca="false">IF(ISNUMBER(I304),I304/Netto_Faktor,"")</f>
        <v/>
      </c>
      <c r="Z304" s="275" t="str">
        <f aca="false">IF(B304="","",IF(COUNT(J304:N304)=0,"",SUM(J304:N304)))</f>
        <v/>
      </c>
      <c r="AA304" s="266"/>
      <c r="AB304" s="266"/>
      <c r="AC304" s="266"/>
      <c r="AD304" s="266"/>
      <c r="AE304" s="266"/>
      <c r="AF304" s="266"/>
      <c r="AG304" s="267"/>
      <c r="AH304" s="266" t="str">
        <f aca="false">IF(B304="","",IF(BA304="",IF(R304="WON","✅ belegt &amp; vollständig","✔ vollständig"),LEFT(BA304,LEN(BA304)-3)))</f>
        <v/>
      </c>
      <c r="AJ304" s="268" t="n">
        <f aca="false">IF(ISNUMBER(S304),IFERROR(LOOKUP(IF(S304&lt;=1,S304,S304/100),'⚖️ Wahrscheinlichkeit'!$B$17:$B$21,'⚖️ Wahrscheinlichkeit'!$D$17:$D$21),0),0)</f>
        <v>0</v>
      </c>
      <c r="AK304" s="1" t="str">
        <f aca="false">IF(AND(R304="WON",ISNUMBER(I304)),AL304+(861-ROW())*0.000001,"")</f>
        <v/>
      </c>
      <c r="AL304" s="1" t="n">
        <f aca="false">IFERROR(I304*1,0)</f>
        <v>0</v>
      </c>
      <c r="AM304" s="1" t="n">
        <f aca="false">N(AM303)+IF(AND(R304="WON",B304&lt;&gt;""),1,0)</f>
        <v>12</v>
      </c>
      <c r="AN304" s="1" t="n">
        <f aca="false">N(AN303)+IF(AND(OR(R304="offered",R304="to be offered",R304="on hold"),B304&lt;&gt;""),1,0)</f>
        <v>33</v>
      </c>
      <c r="AO304" s="1" t="n">
        <f aca="false">N(AO303)+IF(AND(OR(R304="follow-up",R304="Evaluation",R304="tbd",R304="In evaluation"),B304&lt;&gt;""),1,0)</f>
        <v>1</v>
      </c>
      <c r="AP304" s="1" t="n">
        <f aca="false">IF(B304="",0,IF(COUNTIF('⚖️ Wahrscheinlichkeit'!$J$17:$J$24,R304)&gt;0,1,0))</f>
        <v>0</v>
      </c>
      <c r="AQ304" s="1" t="n">
        <f aca="false">IF(B304="",0,IF(AND(ISNUMBER(S304),COUNTIF('⚖️ Wahrscheinlichkeit'!$B$6:$B$11,S304)&gt;0),1,0))</f>
        <v>0</v>
      </c>
      <c r="AR304" s="1" t="n">
        <f aca="false">IF(B304="",0,IF(AND(COUNT(J304:M304)=4,SUM(J304:M304)&gt;0),1,0))</f>
        <v>0</v>
      </c>
      <c r="AS304" s="1" t="n">
        <f aca="false">IF(B304="",0,IF(AND(AF304&lt;&gt;"",AG304&lt;&gt;""),1,0))</f>
        <v>0</v>
      </c>
      <c r="AT304" s="1" t="n">
        <f aca="false">IF(AND(R304="WON",AS304=1,AR304=1),1,0)</f>
        <v>0</v>
      </c>
      <c r="AU304" s="1" t="n">
        <f aca="false">IF(B304="",0,IF(AD304="Alternative – zählt nicht",0,1))</f>
        <v>0</v>
      </c>
      <c r="AV304" s="1" t="n">
        <f aca="false">IF(B304="",0,IF(COUNTIF($B$6:$B$860,B304)&gt;1,1,0))</f>
        <v>0</v>
      </c>
      <c r="AX304" s="269" t="str">
        <f aca="false">IF(AY304=1,DATE(YEAR(O304),MONTH(O304),1),"")</f>
        <v/>
      </c>
      <c r="AY304" s="1" t="n">
        <f aca="false">IF(B304="",0,IF(AND(ISNUMBER(O304),ISNUMBER(P304)),IF(P304&gt;=O304,1,0),0))</f>
        <v>0</v>
      </c>
      <c r="AZ304" s="1" t="n">
        <f aca="false">IF(ISNUMBER(Y304),Y304,0)</f>
        <v>0</v>
      </c>
      <c r="BA304" s="1" t="str">
        <f aca="false">IF(B304="","",IF(AND(R304="WON",AS304=0),"⛔ Beleg fehlt · ","")&amp;IF(AND(R304="WON",AR304=0),"⛔ Einstand fehlt · ","")&amp;IF(AND(R304&lt;&gt;"WON",AR304=0),"○ Einstand offen · ","")&amp;IF(AND(R304="WON",AB304=""),"⛔ Vertragsart fehlt · ","")&amp;IF(AND(ISNUMBER(O304),ISNUMBER(P304)),IF(P304&lt;O304,"⚠ Ende vor Start · ",""),"")&amp;IF(AND(R304="WON",AY304=0,NOT(AND(ISNUMBER(O304),ISNUMBER(P304)))),"⛔ Zeitraum fehlt · ","")&amp;IF(AND(R304&lt;&gt;"WON",AY304=0,NOT(AND(ISNUMBER(O304),ISNUMBER(P304)))),"○ Zeitraum offen · ",""))</f>
        <v/>
      </c>
      <c r="BB304" s="1" t="str">
        <f aca="false">IF(B304="","",IF(AND(R304="WON",AS304=0),"⛔ Nachweis fehlt",IF(AND(ISNUMBER(O304),ISNUMBER(P304),P304&lt;O304),"⚠ Ende vor Start",IF(AND(R304="WON",AY304=0),"⛔ Zeitraum fehlt",IF(AR304=0,"○ Einstand offen",IF(AY304=0,"○ Zeitraum offen",IF(R304="WON","✅ belegt","✔ erfasst")))))))</f>
        <v/>
      </c>
    </row>
    <row r="305" customFormat="false" ht="15" hidden="false" customHeight="true" outlineLevel="0" collapsed="false">
      <c r="G305" s="1" t="str">
        <f aca="false">IF(B305="","",IF(AY305=1,P305-O305+1,IF(AW305="","",AW305)))</f>
        <v/>
      </c>
      <c r="I305" s="270"/>
      <c r="J305" s="270"/>
      <c r="K305" s="270"/>
      <c r="L305" s="270"/>
      <c r="M305" s="270"/>
      <c r="N305" s="270"/>
      <c r="O305" s="263"/>
      <c r="P305" s="263"/>
      <c r="Q305" s="270" t="str">
        <f aca="false">IF(AND(ISNUMBER(I305),ISNUMBER(S305)),I305*AJ305,IF(OR(I305&lt;&gt;"",S305&lt;&gt;""),"tbd",""))</f>
        <v/>
      </c>
      <c r="S305" s="268"/>
      <c r="Y305" s="275" t="str">
        <f aca="false">IF(ISNUMBER(I305),I305/Netto_Faktor,"")</f>
        <v/>
      </c>
      <c r="Z305" s="275" t="str">
        <f aca="false">IF(B305="","",IF(COUNT(J305:N305)=0,"",SUM(J305:N305)))</f>
        <v/>
      </c>
      <c r="AA305" s="266"/>
      <c r="AB305" s="266"/>
      <c r="AC305" s="266"/>
      <c r="AD305" s="266"/>
      <c r="AE305" s="266"/>
      <c r="AF305" s="266"/>
      <c r="AG305" s="267"/>
      <c r="AH305" s="266" t="str">
        <f aca="false">IF(B305="","",IF(BA305="",IF(R305="WON","✅ belegt &amp; vollständig","✔ vollständig"),LEFT(BA305,LEN(BA305)-3)))</f>
        <v/>
      </c>
      <c r="AJ305" s="268" t="n">
        <f aca="false">IF(ISNUMBER(S305),IFERROR(LOOKUP(IF(S305&lt;=1,S305,S305/100),'⚖️ Wahrscheinlichkeit'!$B$17:$B$21,'⚖️ Wahrscheinlichkeit'!$D$17:$D$21),0),0)</f>
        <v>0</v>
      </c>
      <c r="AK305" s="1" t="str">
        <f aca="false">IF(AND(R305="WON",ISNUMBER(I305)),AL305+(861-ROW())*0.000001,"")</f>
        <v/>
      </c>
      <c r="AL305" s="1" t="n">
        <f aca="false">IFERROR(I305*1,0)</f>
        <v>0</v>
      </c>
      <c r="AM305" s="1" t="n">
        <f aca="false">N(AM304)+IF(AND(R305="WON",B305&lt;&gt;""),1,0)</f>
        <v>12</v>
      </c>
      <c r="AN305" s="1" t="n">
        <f aca="false">N(AN304)+IF(AND(OR(R305="offered",R305="to be offered",R305="on hold"),B305&lt;&gt;""),1,0)</f>
        <v>33</v>
      </c>
      <c r="AO305" s="1" t="n">
        <f aca="false">N(AO304)+IF(AND(OR(R305="follow-up",R305="Evaluation",R305="tbd",R305="In evaluation"),B305&lt;&gt;""),1,0)</f>
        <v>1</v>
      </c>
      <c r="AP305" s="1" t="n">
        <f aca="false">IF(B305="",0,IF(COUNTIF('⚖️ Wahrscheinlichkeit'!$J$17:$J$24,R305)&gt;0,1,0))</f>
        <v>0</v>
      </c>
      <c r="AQ305" s="1" t="n">
        <f aca="false">IF(B305="",0,IF(AND(ISNUMBER(S305),COUNTIF('⚖️ Wahrscheinlichkeit'!$B$6:$B$11,S305)&gt;0),1,0))</f>
        <v>0</v>
      </c>
      <c r="AR305" s="1" t="n">
        <f aca="false">IF(B305="",0,IF(AND(COUNT(J305:M305)=4,SUM(J305:M305)&gt;0),1,0))</f>
        <v>0</v>
      </c>
      <c r="AS305" s="1" t="n">
        <f aca="false">IF(B305="",0,IF(AND(AF305&lt;&gt;"",AG305&lt;&gt;""),1,0))</f>
        <v>0</v>
      </c>
      <c r="AT305" s="1" t="n">
        <f aca="false">IF(AND(R305="WON",AS305=1,AR305=1),1,0)</f>
        <v>0</v>
      </c>
      <c r="AU305" s="1" t="n">
        <f aca="false">IF(B305="",0,IF(AD305="Alternative – zählt nicht",0,1))</f>
        <v>0</v>
      </c>
      <c r="AV305" s="1" t="n">
        <f aca="false">IF(B305="",0,IF(COUNTIF($B$6:$B$860,B305)&gt;1,1,0))</f>
        <v>0</v>
      </c>
      <c r="AX305" s="269" t="str">
        <f aca="false">IF(AY305=1,DATE(YEAR(O305),MONTH(O305),1),"")</f>
        <v/>
      </c>
      <c r="AY305" s="1" t="n">
        <f aca="false">IF(B305="",0,IF(AND(ISNUMBER(O305),ISNUMBER(P305)),IF(P305&gt;=O305,1,0),0))</f>
        <v>0</v>
      </c>
      <c r="AZ305" s="1" t="n">
        <f aca="false">IF(ISNUMBER(Y305),Y305,0)</f>
        <v>0</v>
      </c>
      <c r="BA305" s="1" t="str">
        <f aca="false">IF(B305="","",IF(AND(R305="WON",AS305=0),"⛔ Beleg fehlt · ","")&amp;IF(AND(R305="WON",AR305=0),"⛔ Einstand fehlt · ","")&amp;IF(AND(R305&lt;&gt;"WON",AR305=0),"○ Einstand offen · ","")&amp;IF(AND(R305="WON",AB305=""),"⛔ Vertragsart fehlt · ","")&amp;IF(AND(ISNUMBER(O305),ISNUMBER(P305)),IF(P305&lt;O305,"⚠ Ende vor Start · ",""),"")&amp;IF(AND(R305="WON",AY305=0,NOT(AND(ISNUMBER(O305),ISNUMBER(P305)))),"⛔ Zeitraum fehlt · ","")&amp;IF(AND(R305&lt;&gt;"WON",AY305=0,NOT(AND(ISNUMBER(O305),ISNUMBER(P305)))),"○ Zeitraum offen · ",""))</f>
        <v/>
      </c>
      <c r="BB305" s="1" t="str">
        <f aca="false">IF(B305="","",IF(AND(R305="WON",AS305=0),"⛔ Nachweis fehlt",IF(AND(ISNUMBER(O305),ISNUMBER(P305),P305&lt;O305),"⚠ Ende vor Start",IF(AND(R305="WON",AY305=0),"⛔ Zeitraum fehlt",IF(AR305=0,"○ Einstand offen",IF(AY305=0,"○ Zeitraum offen",IF(R305="WON","✅ belegt","✔ erfasst")))))))</f>
        <v/>
      </c>
    </row>
    <row r="306" customFormat="false" ht="15" hidden="false" customHeight="true" outlineLevel="0" collapsed="false">
      <c r="G306" s="1" t="str">
        <f aca="false">IF(B306="","",IF(AY306=1,P306-O306+1,IF(AW306="","",AW306)))</f>
        <v/>
      </c>
      <c r="I306" s="270"/>
      <c r="J306" s="270"/>
      <c r="K306" s="270"/>
      <c r="L306" s="270"/>
      <c r="M306" s="270"/>
      <c r="N306" s="270"/>
      <c r="O306" s="263"/>
      <c r="P306" s="263"/>
      <c r="Q306" s="270" t="str">
        <f aca="false">IF(AND(ISNUMBER(I306),ISNUMBER(S306)),I306*AJ306,IF(OR(I306&lt;&gt;"",S306&lt;&gt;""),"tbd",""))</f>
        <v/>
      </c>
      <c r="S306" s="268"/>
      <c r="Y306" s="275" t="str">
        <f aca="false">IF(ISNUMBER(I306),I306/Netto_Faktor,"")</f>
        <v/>
      </c>
      <c r="Z306" s="275" t="str">
        <f aca="false">IF(B306="","",IF(COUNT(J306:N306)=0,"",SUM(J306:N306)))</f>
        <v/>
      </c>
      <c r="AA306" s="266"/>
      <c r="AB306" s="266"/>
      <c r="AC306" s="266"/>
      <c r="AD306" s="266"/>
      <c r="AE306" s="266"/>
      <c r="AF306" s="266"/>
      <c r="AG306" s="267"/>
      <c r="AH306" s="266" t="str">
        <f aca="false">IF(B306="","",IF(BA306="",IF(R306="WON","✅ belegt &amp; vollständig","✔ vollständig"),LEFT(BA306,LEN(BA306)-3)))</f>
        <v/>
      </c>
      <c r="AJ306" s="268" t="n">
        <f aca="false">IF(ISNUMBER(S306),IFERROR(LOOKUP(IF(S306&lt;=1,S306,S306/100),'⚖️ Wahrscheinlichkeit'!$B$17:$B$21,'⚖️ Wahrscheinlichkeit'!$D$17:$D$21),0),0)</f>
        <v>0</v>
      </c>
      <c r="AK306" s="1" t="str">
        <f aca="false">IF(AND(R306="WON",ISNUMBER(I306)),AL306+(861-ROW())*0.000001,"")</f>
        <v/>
      </c>
      <c r="AL306" s="1" t="n">
        <f aca="false">IFERROR(I306*1,0)</f>
        <v>0</v>
      </c>
      <c r="AM306" s="1" t="n">
        <f aca="false">N(AM305)+IF(AND(R306="WON",B306&lt;&gt;""),1,0)</f>
        <v>12</v>
      </c>
      <c r="AN306" s="1" t="n">
        <f aca="false">N(AN305)+IF(AND(OR(R306="offered",R306="to be offered",R306="on hold"),B306&lt;&gt;""),1,0)</f>
        <v>33</v>
      </c>
      <c r="AO306" s="1" t="n">
        <f aca="false">N(AO305)+IF(AND(OR(R306="follow-up",R306="Evaluation",R306="tbd",R306="In evaluation"),B306&lt;&gt;""),1,0)</f>
        <v>1</v>
      </c>
      <c r="AP306" s="1" t="n">
        <f aca="false">IF(B306="",0,IF(COUNTIF('⚖️ Wahrscheinlichkeit'!$J$17:$J$24,R306)&gt;0,1,0))</f>
        <v>0</v>
      </c>
      <c r="AQ306" s="1" t="n">
        <f aca="false">IF(B306="",0,IF(AND(ISNUMBER(S306),COUNTIF('⚖️ Wahrscheinlichkeit'!$B$6:$B$11,S306)&gt;0),1,0))</f>
        <v>0</v>
      </c>
      <c r="AR306" s="1" t="n">
        <f aca="false">IF(B306="",0,IF(AND(COUNT(J306:M306)=4,SUM(J306:M306)&gt;0),1,0))</f>
        <v>0</v>
      </c>
      <c r="AS306" s="1" t="n">
        <f aca="false">IF(B306="",0,IF(AND(AF306&lt;&gt;"",AG306&lt;&gt;""),1,0))</f>
        <v>0</v>
      </c>
      <c r="AT306" s="1" t="n">
        <f aca="false">IF(AND(R306="WON",AS306=1,AR306=1),1,0)</f>
        <v>0</v>
      </c>
      <c r="AU306" s="1" t="n">
        <f aca="false">IF(B306="",0,IF(AD306="Alternative – zählt nicht",0,1))</f>
        <v>0</v>
      </c>
      <c r="AV306" s="1" t="n">
        <f aca="false">IF(B306="",0,IF(COUNTIF($B$6:$B$860,B306)&gt;1,1,0))</f>
        <v>0</v>
      </c>
      <c r="AX306" s="269" t="str">
        <f aca="false">IF(AY306=1,DATE(YEAR(O306),MONTH(O306),1),"")</f>
        <v/>
      </c>
      <c r="AY306" s="1" t="n">
        <f aca="false">IF(B306="",0,IF(AND(ISNUMBER(O306),ISNUMBER(P306)),IF(P306&gt;=O306,1,0),0))</f>
        <v>0</v>
      </c>
      <c r="AZ306" s="1" t="n">
        <f aca="false">IF(ISNUMBER(Y306),Y306,0)</f>
        <v>0</v>
      </c>
      <c r="BA306" s="1" t="str">
        <f aca="false">IF(B306="","",IF(AND(R306="WON",AS306=0),"⛔ Beleg fehlt · ","")&amp;IF(AND(R306="WON",AR306=0),"⛔ Einstand fehlt · ","")&amp;IF(AND(R306&lt;&gt;"WON",AR306=0),"○ Einstand offen · ","")&amp;IF(AND(R306="WON",AB306=""),"⛔ Vertragsart fehlt · ","")&amp;IF(AND(ISNUMBER(O306),ISNUMBER(P306)),IF(P306&lt;O306,"⚠ Ende vor Start · ",""),"")&amp;IF(AND(R306="WON",AY306=0,NOT(AND(ISNUMBER(O306),ISNUMBER(P306)))),"⛔ Zeitraum fehlt · ","")&amp;IF(AND(R306&lt;&gt;"WON",AY306=0,NOT(AND(ISNUMBER(O306),ISNUMBER(P306)))),"○ Zeitraum offen · ",""))</f>
        <v/>
      </c>
      <c r="BB306" s="1" t="str">
        <f aca="false">IF(B306="","",IF(AND(R306="WON",AS306=0),"⛔ Nachweis fehlt",IF(AND(ISNUMBER(O306),ISNUMBER(P306),P306&lt;O306),"⚠ Ende vor Start",IF(AND(R306="WON",AY306=0),"⛔ Zeitraum fehlt",IF(AR306=0,"○ Einstand offen",IF(AY306=0,"○ Zeitraum offen",IF(R306="WON","✅ belegt","✔ erfasst")))))))</f>
        <v/>
      </c>
    </row>
    <row r="307" customFormat="false" ht="15" hidden="false" customHeight="true" outlineLevel="0" collapsed="false">
      <c r="G307" s="1" t="str">
        <f aca="false">IF(B307="","",IF(AY307=1,P307-O307+1,IF(AW307="","",AW307)))</f>
        <v/>
      </c>
      <c r="I307" s="270"/>
      <c r="J307" s="270"/>
      <c r="K307" s="270"/>
      <c r="L307" s="270"/>
      <c r="M307" s="270"/>
      <c r="N307" s="270"/>
      <c r="O307" s="263"/>
      <c r="P307" s="263"/>
      <c r="Q307" s="270" t="str">
        <f aca="false">IF(AND(ISNUMBER(I307),ISNUMBER(S307)),I307*AJ307,IF(OR(I307&lt;&gt;"",S307&lt;&gt;""),"tbd",""))</f>
        <v/>
      </c>
      <c r="S307" s="268"/>
      <c r="Y307" s="275" t="str">
        <f aca="false">IF(ISNUMBER(I307),I307/Netto_Faktor,"")</f>
        <v/>
      </c>
      <c r="Z307" s="275" t="str">
        <f aca="false">IF(B307="","",IF(COUNT(J307:N307)=0,"",SUM(J307:N307)))</f>
        <v/>
      </c>
      <c r="AA307" s="266"/>
      <c r="AB307" s="266"/>
      <c r="AC307" s="266"/>
      <c r="AD307" s="266"/>
      <c r="AE307" s="266"/>
      <c r="AF307" s="266"/>
      <c r="AG307" s="267"/>
      <c r="AH307" s="266" t="str">
        <f aca="false">IF(B307="","",IF(BA307="",IF(R307="WON","✅ belegt &amp; vollständig","✔ vollständig"),LEFT(BA307,LEN(BA307)-3)))</f>
        <v/>
      </c>
      <c r="AJ307" s="268" t="n">
        <f aca="false">IF(ISNUMBER(S307),IFERROR(LOOKUP(IF(S307&lt;=1,S307,S307/100),'⚖️ Wahrscheinlichkeit'!$B$17:$B$21,'⚖️ Wahrscheinlichkeit'!$D$17:$D$21),0),0)</f>
        <v>0</v>
      </c>
      <c r="AK307" s="1" t="str">
        <f aca="false">IF(AND(R307="WON",ISNUMBER(I307)),AL307+(861-ROW())*0.000001,"")</f>
        <v/>
      </c>
      <c r="AL307" s="1" t="n">
        <f aca="false">IFERROR(I307*1,0)</f>
        <v>0</v>
      </c>
      <c r="AM307" s="1" t="n">
        <f aca="false">N(AM306)+IF(AND(R307="WON",B307&lt;&gt;""),1,0)</f>
        <v>12</v>
      </c>
      <c r="AN307" s="1" t="n">
        <f aca="false">N(AN306)+IF(AND(OR(R307="offered",R307="to be offered",R307="on hold"),B307&lt;&gt;""),1,0)</f>
        <v>33</v>
      </c>
      <c r="AO307" s="1" t="n">
        <f aca="false">N(AO306)+IF(AND(OR(R307="follow-up",R307="Evaluation",R307="tbd",R307="In evaluation"),B307&lt;&gt;""),1,0)</f>
        <v>1</v>
      </c>
      <c r="AP307" s="1" t="n">
        <f aca="false">IF(B307="",0,IF(COUNTIF('⚖️ Wahrscheinlichkeit'!$J$17:$J$24,R307)&gt;0,1,0))</f>
        <v>0</v>
      </c>
      <c r="AQ307" s="1" t="n">
        <f aca="false">IF(B307="",0,IF(AND(ISNUMBER(S307),COUNTIF('⚖️ Wahrscheinlichkeit'!$B$6:$B$11,S307)&gt;0),1,0))</f>
        <v>0</v>
      </c>
      <c r="AR307" s="1" t="n">
        <f aca="false">IF(B307="",0,IF(AND(COUNT(J307:M307)=4,SUM(J307:M307)&gt;0),1,0))</f>
        <v>0</v>
      </c>
      <c r="AS307" s="1" t="n">
        <f aca="false">IF(B307="",0,IF(AND(AF307&lt;&gt;"",AG307&lt;&gt;""),1,0))</f>
        <v>0</v>
      </c>
      <c r="AT307" s="1" t="n">
        <f aca="false">IF(AND(R307="WON",AS307=1,AR307=1),1,0)</f>
        <v>0</v>
      </c>
      <c r="AU307" s="1" t="n">
        <f aca="false">IF(B307="",0,IF(AD307="Alternative – zählt nicht",0,1))</f>
        <v>0</v>
      </c>
      <c r="AV307" s="1" t="n">
        <f aca="false">IF(B307="",0,IF(COUNTIF($B$6:$B$860,B307)&gt;1,1,0))</f>
        <v>0</v>
      </c>
      <c r="AX307" s="269" t="str">
        <f aca="false">IF(AY307=1,DATE(YEAR(O307),MONTH(O307),1),"")</f>
        <v/>
      </c>
      <c r="AY307" s="1" t="n">
        <f aca="false">IF(B307="",0,IF(AND(ISNUMBER(O307),ISNUMBER(P307)),IF(P307&gt;=O307,1,0),0))</f>
        <v>0</v>
      </c>
      <c r="AZ307" s="1" t="n">
        <f aca="false">IF(ISNUMBER(Y307),Y307,0)</f>
        <v>0</v>
      </c>
      <c r="BA307" s="1" t="str">
        <f aca="false">IF(B307="","",IF(AND(R307="WON",AS307=0),"⛔ Beleg fehlt · ","")&amp;IF(AND(R307="WON",AR307=0),"⛔ Einstand fehlt · ","")&amp;IF(AND(R307&lt;&gt;"WON",AR307=0),"○ Einstand offen · ","")&amp;IF(AND(R307="WON",AB307=""),"⛔ Vertragsart fehlt · ","")&amp;IF(AND(ISNUMBER(O307),ISNUMBER(P307)),IF(P307&lt;O307,"⚠ Ende vor Start · ",""),"")&amp;IF(AND(R307="WON",AY307=0,NOT(AND(ISNUMBER(O307),ISNUMBER(P307)))),"⛔ Zeitraum fehlt · ","")&amp;IF(AND(R307&lt;&gt;"WON",AY307=0,NOT(AND(ISNUMBER(O307),ISNUMBER(P307)))),"○ Zeitraum offen · ",""))</f>
        <v/>
      </c>
      <c r="BB307" s="1" t="str">
        <f aca="false">IF(B307="","",IF(AND(R307="WON",AS307=0),"⛔ Nachweis fehlt",IF(AND(ISNUMBER(O307),ISNUMBER(P307),P307&lt;O307),"⚠ Ende vor Start",IF(AND(R307="WON",AY307=0),"⛔ Zeitraum fehlt",IF(AR307=0,"○ Einstand offen",IF(AY307=0,"○ Zeitraum offen",IF(R307="WON","✅ belegt","✔ erfasst")))))))</f>
        <v/>
      </c>
    </row>
    <row r="308" customFormat="false" ht="15" hidden="false" customHeight="true" outlineLevel="0" collapsed="false">
      <c r="G308" s="1" t="str">
        <f aca="false">IF(B308="","",IF(AY308=1,P308-O308+1,IF(AW308="","",AW308)))</f>
        <v/>
      </c>
      <c r="I308" s="270"/>
      <c r="J308" s="270"/>
      <c r="K308" s="270"/>
      <c r="L308" s="270"/>
      <c r="M308" s="270"/>
      <c r="N308" s="270"/>
      <c r="O308" s="263"/>
      <c r="P308" s="263"/>
      <c r="Q308" s="270" t="str">
        <f aca="false">IF(AND(ISNUMBER(I308),ISNUMBER(S308)),I308*AJ308,IF(OR(I308&lt;&gt;"",S308&lt;&gt;""),"tbd",""))</f>
        <v/>
      </c>
      <c r="S308" s="268"/>
      <c r="Y308" s="275" t="str">
        <f aca="false">IF(ISNUMBER(I308),I308/Netto_Faktor,"")</f>
        <v/>
      </c>
      <c r="Z308" s="275" t="str">
        <f aca="false">IF(B308="","",IF(COUNT(J308:N308)=0,"",SUM(J308:N308)))</f>
        <v/>
      </c>
      <c r="AA308" s="266"/>
      <c r="AB308" s="266"/>
      <c r="AC308" s="266"/>
      <c r="AD308" s="266"/>
      <c r="AE308" s="266"/>
      <c r="AF308" s="266"/>
      <c r="AG308" s="267"/>
      <c r="AH308" s="266" t="str">
        <f aca="false">IF(B308="","",IF(BA308="",IF(R308="WON","✅ belegt &amp; vollständig","✔ vollständig"),LEFT(BA308,LEN(BA308)-3)))</f>
        <v/>
      </c>
      <c r="AJ308" s="268" t="n">
        <f aca="false">IF(ISNUMBER(S308),IFERROR(LOOKUP(IF(S308&lt;=1,S308,S308/100),'⚖️ Wahrscheinlichkeit'!$B$17:$B$21,'⚖️ Wahrscheinlichkeit'!$D$17:$D$21),0),0)</f>
        <v>0</v>
      </c>
      <c r="AK308" s="1" t="str">
        <f aca="false">IF(AND(R308="WON",ISNUMBER(I308)),AL308+(861-ROW())*0.000001,"")</f>
        <v/>
      </c>
      <c r="AL308" s="1" t="n">
        <f aca="false">IFERROR(I308*1,0)</f>
        <v>0</v>
      </c>
      <c r="AM308" s="1" t="n">
        <f aca="false">N(AM307)+IF(AND(R308="WON",B308&lt;&gt;""),1,0)</f>
        <v>12</v>
      </c>
      <c r="AN308" s="1" t="n">
        <f aca="false">N(AN307)+IF(AND(OR(R308="offered",R308="to be offered",R308="on hold"),B308&lt;&gt;""),1,0)</f>
        <v>33</v>
      </c>
      <c r="AO308" s="1" t="n">
        <f aca="false">N(AO307)+IF(AND(OR(R308="follow-up",R308="Evaluation",R308="tbd",R308="In evaluation"),B308&lt;&gt;""),1,0)</f>
        <v>1</v>
      </c>
      <c r="AP308" s="1" t="n">
        <f aca="false">IF(B308="",0,IF(COUNTIF('⚖️ Wahrscheinlichkeit'!$J$17:$J$24,R308)&gt;0,1,0))</f>
        <v>0</v>
      </c>
      <c r="AQ308" s="1" t="n">
        <f aca="false">IF(B308="",0,IF(AND(ISNUMBER(S308),COUNTIF('⚖️ Wahrscheinlichkeit'!$B$6:$B$11,S308)&gt;0),1,0))</f>
        <v>0</v>
      </c>
      <c r="AR308" s="1" t="n">
        <f aca="false">IF(B308="",0,IF(AND(COUNT(J308:M308)=4,SUM(J308:M308)&gt;0),1,0))</f>
        <v>0</v>
      </c>
      <c r="AS308" s="1" t="n">
        <f aca="false">IF(B308="",0,IF(AND(AF308&lt;&gt;"",AG308&lt;&gt;""),1,0))</f>
        <v>0</v>
      </c>
      <c r="AT308" s="1" t="n">
        <f aca="false">IF(AND(R308="WON",AS308=1,AR308=1),1,0)</f>
        <v>0</v>
      </c>
      <c r="AU308" s="1" t="n">
        <f aca="false">IF(B308="",0,IF(AD308="Alternative – zählt nicht",0,1))</f>
        <v>0</v>
      </c>
      <c r="AV308" s="1" t="n">
        <f aca="false">IF(B308="",0,IF(COUNTIF($B$6:$B$860,B308)&gt;1,1,0))</f>
        <v>0</v>
      </c>
      <c r="AX308" s="269" t="str">
        <f aca="false">IF(AY308=1,DATE(YEAR(O308),MONTH(O308),1),"")</f>
        <v/>
      </c>
      <c r="AY308" s="1" t="n">
        <f aca="false">IF(B308="",0,IF(AND(ISNUMBER(O308),ISNUMBER(P308)),IF(P308&gt;=O308,1,0),0))</f>
        <v>0</v>
      </c>
      <c r="AZ308" s="1" t="n">
        <f aca="false">IF(ISNUMBER(Y308),Y308,0)</f>
        <v>0</v>
      </c>
      <c r="BA308" s="1" t="str">
        <f aca="false">IF(B308="","",IF(AND(R308="WON",AS308=0),"⛔ Beleg fehlt · ","")&amp;IF(AND(R308="WON",AR308=0),"⛔ Einstand fehlt · ","")&amp;IF(AND(R308&lt;&gt;"WON",AR308=0),"○ Einstand offen · ","")&amp;IF(AND(R308="WON",AB308=""),"⛔ Vertragsart fehlt · ","")&amp;IF(AND(ISNUMBER(O308),ISNUMBER(P308)),IF(P308&lt;O308,"⚠ Ende vor Start · ",""),"")&amp;IF(AND(R308="WON",AY308=0,NOT(AND(ISNUMBER(O308),ISNUMBER(P308)))),"⛔ Zeitraum fehlt · ","")&amp;IF(AND(R308&lt;&gt;"WON",AY308=0,NOT(AND(ISNUMBER(O308),ISNUMBER(P308)))),"○ Zeitraum offen · ",""))</f>
        <v/>
      </c>
      <c r="BB308" s="1" t="str">
        <f aca="false">IF(B308="","",IF(AND(R308="WON",AS308=0),"⛔ Nachweis fehlt",IF(AND(ISNUMBER(O308),ISNUMBER(P308),P308&lt;O308),"⚠ Ende vor Start",IF(AND(R308="WON",AY308=0),"⛔ Zeitraum fehlt",IF(AR308=0,"○ Einstand offen",IF(AY308=0,"○ Zeitraum offen",IF(R308="WON","✅ belegt","✔ erfasst")))))))</f>
        <v/>
      </c>
    </row>
    <row r="309" customFormat="false" ht="15" hidden="false" customHeight="true" outlineLevel="0" collapsed="false">
      <c r="G309" s="1" t="str">
        <f aca="false">IF(B309="","",IF(AY309=1,P309-O309+1,IF(AW309="","",AW309)))</f>
        <v/>
      </c>
      <c r="I309" s="270"/>
      <c r="J309" s="270"/>
      <c r="K309" s="270"/>
      <c r="L309" s="270"/>
      <c r="M309" s="270"/>
      <c r="N309" s="270"/>
      <c r="O309" s="263"/>
      <c r="P309" s="263"/>
      <c r="Q309" s="270" t="str">
        <f aca="false">IF(AND(ISNUMBER(I309),ISNUMBER(S309)),I309*AJ309,IF(OR(I309&lt;&gt;"",S309&lt;&gt;""),"tbd",""))</f>
        <v/>
      </c>
      <c r="S309" s="268"/>
      <c r="Y309" s="275" t="str">
        <f aca="false">IF(ISNUMBER(I309),I309/Netto_Faktor,"")</f>
        <v/>
      </c>
      <c r="Z309" s="275" t="str">
        <f aca="false">IF(B309="","",IF(COUNT(J309:N309)=0,"",SUM(J309:N309)))</f>
        <v/>
      </c>
      <c r="AA309" s="266"/>
      <c r="AB309" s="266"/>
      <c r="AC309" s="266"/>
      <c r="AD309" s="266"/>
      <c r="AE309" s="266"/>
      <c r="AF309" s="266"/>
      <c r="AG309" s="267"/>
      <c r="AH309" s="266" t="str">
        <f aca="false">IF(B309="","",IF(BA309="",IF(R309="WON","✅ belegt &amp; vollständig","✔ vollständig"),LEFT(BA309,LEN(BA309)-3)))</f>
        <v/>
      </c>
      <c r="AJ309" s="268" t="n">
        <f aca="false">IF(ISNUMBER(S309),IFERROR(LOOKUP(IF(S309&lt;=1,S309,S309/100),'⚖️ Wahrscheinlichkeit'!$B$17:$B$21,'⚖️ Wahrscheinlichkeit'!$D$17:$D$21),0),0)</f>
        <v>0</v>
      </c>
      <c r="AK309" s="1" t="str">
        <f aca="false">IF(AND(R309="WON",ISNUMBER(I309)),AL309+(861-ROW())*0.000001,"")</f>
        <v/>
      </c>
      <c r="AL309" s="1" t="n">
        <f aca="false">IFERROR(I309*1,0)</f>
        <v>0</v>
      </c>
      <c r="AM309" s="1" t="n">
        <f aca="false">N(AM308)+IF(AND(R309="WON",B309&lt;&gt;""),1,0)</f>
        <v>12</v>
      </c>
      <c r="AN309" s="1" t="n">
        <f aca="false">N(AN308)+IF(AND(OR(R309="offered",R309="to be offered",R309="on hold"),B309&lt;&gt;""),1,0)</f>
        <v>33</v>
      </c>
      <c r="AO309" s="1" t="n">
        <f aca="false">N(AO308)+IF(AND(OR(R309="follow-up",R309="Evaluation",R309="tbd",R309="In evaluation"),B309&lt;&gt;""),1,0)</f>
        <v>1</v>
      </c>
      <c r="AP309" s="1" t="n">
        <f aca="false">IF(B309="",0,IF(COUNTIF('⚖️ Wahrscheinlichkeit'!$J$17:$J$24,R309)&gt;0,1,0))</f>
        <v>0</v>
      </c>
      <c r="AQ309" s="1" t="n">
        <f aca="false">IF(B309="",0,IF(AND(ISNUMBER(S309),COUNTIF('⚖️ Wahrscheinlichkeit'!$B$6:$B$11,S309)&gt;0),1,0))</f>
        <v>0</v>
      </c>
      <c r="AR309" s="1" t="n">
        <f aca="false">IF(B309="",0,IF(AND(COUNT(J309:M309)=4,SUM(J309:M309)&gt;0),1,0))</f>
        <v>0</v>
      </c>
      <c r="AS309" s="1" t="n">
        <f aca="false">IF(B309="",0,IF(AND(AF309&lt;&gt;"",AG309&lt;&gt;""),1,0))</f>
        <v>0</v>
      </c>
      <c r="AT309" s="1" t="n">
        <f aca="false">IF(AND(R309="WON",AS309=1,AR309=1),1,0)</f>
        <v>0</v>
      </c>
      <c r="AU309" s="1" t="n">
        <f aca="false">IF(B309="",0,IF(AD309="Alternative – zählt nicht",0,1))</f>
        <v>0</v>
      </c>
      <c r="AV309" s="1" t="n">
        <f aca="false">IF(B309="",0,IF(COUNTIF($B$6:$B$860,B309)&gt;1,1,0))</f>
        <v>0</v>
      </c>
      <c r="AX309" s="269" t="str">
        <f aca="false">IF(AY309=1,DATE(YEAR(O309),MONTH(O309),1),"")</f>
        <v/>
      </c>
      <c r="AY309" s="1" t="n">
        <f aca="false">IF(B309="",0,IF(AND(ISNUMBER(O309),ISNUMBER(P309)),IF(P309&gt;=O309,1,0),0))</f>
        <v>0</v>
      </c>
      <c r="AZ309" s="1" t="n">
        <f aca="false">IF(ISNUMBER(Y309),Y309,0)</f>
        <v>0</v>
      </c>
      <c r="BA309" s="1" t="str">
        <f aca="false">IF(B309="","",IF(AND(R309="WON",AS309=0),"⛔ Beleg fehlt · ","")&amp;IF(AND(R309="WON",AR309=0),"⛔ Einstand fehlt · ","")&amp;IF(AND(R309&lt;&gt;"WON",AR309=0),"○ Einstand offen · ","")&amp;IF(AND(R309="WON",AB309=""),"⛔ Vertragsart fehlt · ","")&amp;IF(AND(ISNUMBER(O309),ISNUMBER(P309)),IF(P309&lt;O309,"⚠ Ende vor Start · ",""),"")&amp;IF(AND(R309="WON",AY309=0,NOT(AND(ISNUMBER(O309),ISNUMBER(P309)))),"⛔ Zeitraum fehlt · ","")&amp;IF(AND(R309&lt;&gt;"WON",AY309=0,NOT(AND(ISNUMBER(O309),ISNUMBER(P309)))),"○ Zeitraum offen · ",""))</f>
        <v/>
      </c>
      <c r="BB309" s="1" t="str">
        <f aca="false">IF(B309="","",IF(AND(R309="WON",AS309=0),"⛔ Nachweis fehlt",IF(AND(ISNUMBER(O309),ISNUMBER(P309),P309&lt;O309),"⚠ Ende vor Start",IF(AND(R309="WON",AY309=0),"⛔ Zeitraum fehlt",IF(AR309=0,"○ Einstand offen",IF(AY309=0,"○ Zeitraum offen",IF(R309="WON","✅ belegt","✔ erfasst")))))))</f>
        <v/>
      </c>
    </row>
    <row r="310" customFormat="false" ht="15" hidden="false" customHeight="true" outlineLevel="0" collapsed="false">
      <c r="G310" s="1" t="str">
        <f aca="false">IF(B310="","",IF(AY310=1,P310-O310+1,IF(AW310="","",AW310)))</f>
        <v/>
      </c>
      <c r="I310" s="270"/>
      <c r="J310" s="270"/>
      <c r="K310" s="270"/>
      <c r="L310" s="270"/>
      <c r="M310" s="270"/>
      <c r="N310" s="270"/>
      <c r="O310" s="263"/>
      <c r="P310" s="263"/>
      <c r="Q310" s="270" t="str">
        <f aca="false">IF(AND(ISNUMBER(I310),ISNUMBER(S310)),I310*AJ310,IF(OR(I310&lt;&gt;"",S310&lt;&gt;""),"tbd",""))</f>
        <v/>
      </c>
      <c r="S310" s="268"/>
      <c r="Y310" s="275" t="str">
        <f aca="false">IF(ISNUMBER(I310),I310/Netto_Faktor,"")</f>
        <v/>
      </c>
      <c r="Z310" s="275" t="str">
        <f aca="false">IF(B310="","",IF(COUNT(J310:N310)=0,"",SUM(J310:N310)))</f>
        <v/>
      </c>
      <c r="AA310" s="266"/>
      <c r="AB310" s="266"/>
      <c r="AC310" s="266"/>
      <c r="AD310" s="266"/>
      <c r="AE310" s="266"/>
      <c r="AF310" s="266"/>
      <c r="AG310" s="267"/>
      <c r="AH310" s="266" t="str">
        <f aca="false">IF(B310="","",IF(BA310="",IF(R310="WON","✅ belegt &amp; vollständig","✔ vollständig"),LEFT(BA310,LEN(BA310)-3)))</f>
        <v/>
      </c>
      <c r="AJ310" s="268" t="n">
        <f aca="false">IF(ISNUMBER(S310),IFERROR(LOOKUP(IF(S310&lt;=1,S310,S310/100),'⚖️ Wahrscheinlichkeit'!$B$17:$B$21,'⚖️ Wahrscheinlichkeit'!$D$17:$D$21),0),0)</f>
        <v>0</v>
      </c>
      <c r="AK310" s="1" t="str">
        <f aca="false">IF(AND(R310="WON",ISNUMBER(I310)),AL310+(861-ROW())*0.000001,"")</f>
        <v/>
      </c>
      <c r="AL310" s="1" t="n">
        <f aca="false">IFERROR(I310*1,0)</f>
        <v>0</v>
      </c>
      <c r="AM310" s="1" t="n">
        <f aca="false">N(AM309)+IF(AND(R310="WON",B310&lt;&gt;""),1,0)</f>
        <v>12</v>
      </c>
      <c r="AN310" s="1" t="n">
        <f aca="false">N(AN309)+IF(AND(OR(R310="offered",R310="to be offered",R310="on hold"),B310&lt;&gt;""),1,0)</f>
        <v>33</v>
      </c>
      <c r="AO310" s="1" t="n">
        <f aca="false">N(AO309)+IF(AND(OR(R310="follow-up",R310="Evaluation",R310="tbd",R310="In evaluation"),B310&lt;&gt;""),1,0)</f>
        <v>1</v>
      </c>
      <c r="AP310" s="1" t="n">
        <f aca="false">IF(B310="",0,IF(COUNTIF('⚖️ Wahrscheinlichkeit'!$J$17:$J$24,R310)&gt;0,1,0))</f>
        <v>0</v>
      </c>
      <c r="AQ310" s="1" t="n">
        <f aca="false">IF(B310="",0,IF(AND(ISNUMBER(S310),COUNTIF('⚖️ Wahrscheinlichkeit'!$B$6:$B$11,S310)&gt;0),1,0))</f>
        <v>0</v>
      </c>
      <c r="AR310" s="1" t="n">
        <f aca="false">IF(B310="",0,IF(AND(COUNT(J310:M310)=4,SUM(J310:M310)&gt;0),1,0))</f>
        <v>0</v>
      </c>
      <c r="AS310" s="1" t="n">
        <f aca="false">IF(B310="",0,IF(AND(AF310&lt;&gt;"",AG310&lt;&gt;""),1,0))</f>
        <v>0</v>
      </c>
      <c r="AT310" s="1" t="n">
        <f aca="false">IF(AND(R310="WON",AS310=1,AR310=1),1,0)</f>
        <v>0</v>
      </c>
      <c r="AU310" s="1" t="n">
        <f aca="false">IF(B310="",0,IF(AD310="Alternative – zählt nicht",0,1))</f>
        <v>0</v>
      </c>
      <c r="AV310" s="1" t="n">
        <f aca="false">IF(B310="",0,IF(COUNTIF($B$6:$B$860,B310)&gt;1,1,0))</f>
        <v>0</v>
      </c>
      <c r="AX310" s="269" t="str">
        <f aca="false">IF(AY310=1,DATE(YEAR(O310),MONTH(O310),1),"")</f>
        <v/>
      </c>
      <c r="AY310" s="1" t="n">
        <f aca="false">IF(B310="",0,IF(AND(ISNUMBER(O310),ISNUMBER(P310)),IF(P310&gt;=O310,1,0),0))</f>
        <v>0</v>
      </c>
      <c r="AZ310" s="1" t="n">
        <f aca="false">IF(ISNUMBER(Y310),Y310,0)</f>
        <v>0</v>
      </c>
      <c r="BA310" s="1" t="str">
        <f aca="false">IF(B310="","",IF(AND(R310="WON",AS310=0),"⛔ Beleg fehlt · ","")&amp;IF(AND(R310="WON",AR310=0),"⛔ Einstand fehlt · ","")&amp;IF(AND(R310&lt;&gt;"WON",AR310=0),"○ Einstand offen · ","")&amp;IF(AND(R310="WON",AB310=""),"⛔ Vertragsart fehlt · ","")&amp;IF(AND(ISNUMBER(O310),ISNUMBER(P310)),IF(P310&lt;O310,"⚠ Ende vor Start · ",""),"")&amp;IF(AND(R310="WON",AY310=0,NOT(AND(ISNUMBER(O310),ISNUMBER(P310)))),"⛔ Zeitraum fehlt · ","")&amp;IF(AND(R310&lt;&gt;"WON",AY310=0,NOT(AND(ISNUMBER(O310),ISNUMBER(P310)))),"○ Zeitraum offen · ",""))</f>
        <v/>
      </c>
      <c r="BB310" s="1" t="str">
        <f aca="false">IF(B310="","",IF(AND(R310="WON",AS310=0),"⛔ Nachweis fehlt",IF(AND(ISNUMBER(O310),ISNUMBER(P310),P310&lt;O310),"⚠ Ende vor Start",IF(AND(R310="WON",AY310=0),"⛔ Zeitraum fehlt",IF(AR310=0,"○ Einstand offen",IF(AY310=0,"○ Zeitraum offen",IF(R310="WON","✅ belegt","✔ erfasst")))))))</f>
        <v/>
      </c>
    </row>
    <row r="311" customFormat="false" ht="15" hidden="false" customHeight="true" outlineLevel="0" collapsed="false">
      <c r="G311" s="1" t="str">
        <f aca="false">IF(B311="","",IF(AY311=1,P311-O311+1,IF(AW311="","",AW311)))</f>
        <v/>
      </c>
      <c r="I311" s="270"/>
      <c r="J311" s="270"/>
      <c r="K311" s="270"/>
      <c r="L311" s="270"/>
      <c r="M311" s="270"/>
      <c r="N311" s="270"/>
      <c r="O311" s="263"/>
      <c r="P311" s="263"/>
      <c r="Q311" s="270" t="str">
        <f aca="false">IF(AND(ISNUMBER(I311),ISNUMBER(S311)),I311*AJ311,IF(OR(I311&lt;&gt;"",S311&lt;&gt;""),"tbd",""))</f>
        <v/>
      </c>
      <c r="S311" s="268"/>
      <c r="Y311" s="275" t="str">
        <f aca="false">IF(ISNUMBER(I311),I311/Netto_Faktor,"")</f>
        <v/>
      </c>
      <c r="Z311" s="275" t="str">
        <f aca="false">IF(B311="","",IF(COUNT(J311:N311)=0,"",SUM(J311:N311)))</f>
        <v/>
      </c>
      <c r="AA311" s="266"/>
      <c r="AB311" s="266"/>
      <c r="AC311" s="266"/>
      <c r="AD311" s="266"/>
      <c r="AE311" s="266"/>
      <c r="AF311" s="266"/>
      <c r="AG311" s="267"/>
      <c r="AH311" s="266" t="str">
        <f aca="false">IF(B311="","",IF(BA311="",IF(R311="WON","✅ belegt &amp; vollständig","✔ vollständig"),LEFT(BA311,LEN(BA311)-3)))</f>
        <v/>
      </c>
      <c r="AJ311" s="268" t="n">
        <f aca="false">IF(ISNUMBER(S311),IFERROR(LOOKUP(IF(S311&lt;=1,S311,S311/100),'⚖️ Wahrscheinlichkeit'!$B$17:$B$21,'⚖️ Wahrscheinlichkeit'!$D$17:$D$21),0),0)</f>
        <v>0</v>
      </c>
      <c r="AK311" s="1" t="str">
        <f aca="false">IF(AND(R311="WON",ISNUMBER(I311)),AL311+(861-ROW())*0.000001,"")</f>
        <v/>
      </c>
      <c r="AL311" s="1" t="n">
        <f aca="false">IFERROR(I311*1,0)</f>
        <v>0</v>
      </c>
      <c r="AM311" s="1" t="n">
        <f aca="false">N(AM310)+IF(AND(R311="WON",B311&lt;&gt;""),1,0)</f>
        <v>12</v>
      </c>
      <c r="AN311" s="1" t="n">
        <f aca="false">N(AN310)+IF(AND(OR(R311="offered",R311="to be offered",R311="on hold"),B311&lt;&gt;""),1,0)</f>
        <v>33</v>
      </c>
      <c r="AO311" s="1" t="n">
        <f aca="false">N(AO310)+IF(AND(OR(R311="follow-up",R311="Evaluation",R311="tbd",R311="In evaluation"),B311&lt;&gt;""),1,0)</f>
        <v>1</v>
      </c>
      <c r="AP311" s="1" t="n">
        <f aca="false">IF(B311="",0,IF(COUNTIF('⚖️ Wahrscheinlichkeit'!$J$17:$J$24,R311)&gt;0,1,0))</f>
        <v>0</v>
      </c>
      <c r="AQ311" s="1" t="n">
        <f aca="false">IF(B311="",0,IF(AND(ISNUMBER(S311),COUNTIF('⚖️ Wahrscheinlichkeit'!$B$6:$B$11,S311)&gt;0),1,0))</f>
        <v>0</v>
      </c>
      <c r="AR311" s="1" t="n">
        <f aca="false">IF(B311="",0,IF(AND(COUNT(J311:M311)=4,SUM(J311:M311)&gt;0),1,0))</f>
        <v>0</v>
      </c>
      <c r="AS311" s="1" t="n">
        <f aca="false">IF(B311="",0,IF(AND(AF311&lt;&gt;"",AG311&lt;&gt;""),1,0))</f>
        <v>0</v>
      </c>
      <c r="AT311" s="1" t="n">
        <f aca="false">IF(AND(R311="WON",AS311=1,AR311=1),1,0)</f>
        <v>0</v>
      </c>
      <c r="AU311" s="1" t="n">
        <f aca="false">IF(B311="",0,IF(AD311="Alternative – zählt nicht",0,1))</f>
        <v>0</v>
      </c>
      <c r="AV311" s="1" t="n">
        <f aca="false">IF(B311="",0,IF(COUNTIF($B$6:$B$860,B311)&gt;1,1,0))</f>
        <v>0</v>
      </c>
      <c r="AX311" s="269" t="str">
        <f aca="false">IF(AY311=1,DATE(YEAR(O311),MONTH(O311),1),"")</f>
        <v/>
      </c>
      <c r="AY311" s="1" t="n">
        <f aca="false">IF(B311="",0,IF(AND(ISNUMBER(O311),ISNUMBER(P311)),IF(P311&gt;=O311,1,0),0))</f>
        <v>0</v>
      </c>
      <c r="AZ311" s="1" t="n">
        <f aca="false">IF(ISNUMBER(Y311),Y311,0)</f>
        <v>0</v>
      </c>
      <c r="BA311" s="1" t="str">
        <f aca="false">IF(B311="","",IF(AND(R311="WON",AS311=0),"⛔ Beleg fehlt · ","")&amp;IF(AND(R311="WON",AR311=0),"⛔ Einstand fehlt · ","")&amp;IF(AND(R311&lt;&gt;"WON",AR311=0),"○ Einstand offen · ","")&amp;IF(AND(R311="WON",AB311=""),"⛔ Vertragsart fehlt · ","")&amp;IF(AND(ISNUMBER(O311),ISNUMBER(P311)),IF(P311&lt;O311,"⚠ Ende vor Start · ",""),"")&amp;IF(AND(R311="WON",AY311=0,NOT(AND(ISNUMBER(O311),ISNUMBER(P311)))),"⛔ Zeitraum fehlt · ","")&amp;IF(AND(R311&lt;&gt;"WON",AY311=0,NOT(AND(ISNUMBER(O311),ISNUMBER(P311)))),"○ Zeitraum offen · ",""))</f>
        <v/>
      </c>
      <c r="BB311" s="1" t="str">
        <f aca="false">IF(B311="","",IF(AND(R311="WON",AS311=0),"⛔ Nachweis fehlt",IF(AND(ISNUMBER(O311),ISNUMBER(P311),P311&lt;O311),"⚠ Ende vor Start",IF(AND(R311="WON",AY311=0),"⛔ Zeitraum fehlt",IF(AR311=0,"○ Einstand offen",IF(AY311=0,"○ Zeitraum offen",IF(R311="WON","✅ belegt","✔ erfasst")))))))</f>
        <v/>
      </c>
    </row>
    <row r="312" customFormat="false" ht="15" hidden="false" customHeight="true" outlineLevel="0" collapsed="false">
      <c r="G312" s="1" t="str">
        <f aca="false">IF(B312="","",IF(AY312=1,P312-O312+1,IF(AW312="","",AW312)))</f>
        <v/>
      </c>
      <c r="I312" s="270"/>
      <c r="J312" s="270"/>
      <c r="K312" s="270"/>
      <c r="L312" s="270"/>
      <c r="M312" s="270"/>
      <c r="N312" s="270"/>
      <c r="O312" s="263"/>
      <c r="P312" s="263"/>
      <c r="Q312" s="270" t="str">
        <f aca="false">IF(AND(ISNUMBER(I312),ISNUMBER(S312)),I312*AJ312,IF(OR(I312&lt;&gt;"",S312&lt;&gt;""),"tbd",""))</f>
        <v/>
      </c>
      <c r="S312" s="268"/>
      <c r="Y312" s="275" t="str">
        <f aca="false">IF(ISNUMBER(I312),I312/Netto_Faktor,"")</f>
        <v/>
      </c>
      <c r="Z312" s="275" t="str">
        <f aca="false">IF(B312="","",IF(COUNT(J312:N312)=0,"",SUM(J312:N312)))</f>
        <v/>
      </c>
      <c r="AA312" s="266"/>
      <c r="AB312" s="266"/>
      <c r="AC312" s="266"/>
      <c r="AD312" s="266"/>
      <c r="AE312" s="266"/>
      <c r="AF312" s="266"/>
      <c r="AG312" s="267"/>
      <c r="AH312" s="266" t="str">
        <f aca="false">IF(B312="","",IF(BA312="",IF(R312="WON","✅ belegt &amp; vollständig","✔ vollständig"),LEFT(BA312,LEN(BA312)-3)))</f>
        <v/>
      </c>
      <c r="AJ312" s="268" t="n">
        <f aca="false">IF(ISNUMBER(S312),IFERROR(LOOKUP(IF(S312&lt;=1,S312,S312/100),'⚖️ Wahrscheinlichkeit'!$B$17:$B$21,'⚖️ Wahrscheinlichkeit'!$D$17:$D$21),0),0)</f>
        <v>0</v>
      </c>
      <c r="AK312" s="1" t="str">
        <f aca="false">IF(AND(R312="WON",ISNUMBER(I312)),AL312+(861-ROW())*0.000001,"")</f>
        <v/>
      </c>
      <c r="AL312" s="1" t="n">
        <f aca="false">IFERROR(I312*1,0)</f>
        <v>0</v>
      </c>
      <c r="AM312" s="1" t="n">
        <f aca="false">N(AM311)+IF(AND(R312="WON",B312&lt;&gt;""),1,0)</f>
        <v>12</v>
      </c>
      <c r="AN312" s="1" t="n">
        <f aca="false">N(AN311)+IF(AND(OR(R312="offered",R312="to be offered",R312="on hold"),B312&lt;&gt;""),1,0)</f>
        <v>33</v>
      </c>
      <c r="AO312" s="1" t="n">
        <f aca="false">N(AO311)+IF(AND(OR(R312="follow-up",R312="Evaluation",R312="tbd",R312="In evaluation"),B312&lt;&gt;""),1,0)</f>
        <v>1</v>
      </c>
      <c r="AP312" s="1" t="n">
        <f aca="false">IF(B312="",0,IF(COUNTIF('⚖️ Wahrscheinlichkeit'!$J$17:$J$24,R312)&gt;0,1,0))</f>
        <v>0</v>
      </c>
      <c r="AQ312" s="1" t="n">
        <f aca="false">IF(B312="",0,IF(AND(ISNUMBER(S312),COUNTIF('⚖️ Wahrscheinlichkeit'!$B$6:$B$11,S312)&gt;0),1,0))</f>
        <v>0</v>
      </c>
      <c r="AR312" s="1" t="n">
        <f aca="false">IF(B312="",0,IF(AND(COUNT(J312:M312)=4,SUM(J312:M312)&gt;0),1,0))</f>
        <v>0</v>
      </c>
      <c r="AS312" s="1" t="n">
        <f aca="false">IF(B312="",0,IF(AND(AF312&lt;&gt;"",AG312&lt;&gt;""),1,0))</f>
        <v>0</v>
      </c>
      <c r="AT312" s="1" t="n">
        <f aca="false">IF(AND(R312="WON",AS312=1,AR312=1),1,0)</f>
        <v>0</v>
      </c>
      <c r="AU312" s="1" t="n">
        <f aca="false">IF(B312="",0,IF(AD312="Alternative – zählt nicht",0,1))</f>
        <v>0</v>
      </c>
      <c r="AV312" s="1" t="n">
        <f aca="false">IF(B312="",0,IF(COUNTIF($B$6:$B$860,B312)&gt;1,1,0))</f>
        <v>0</v>
      </c>
      <c r="AX312" s="269" t="str">
        <f aca="false">IF(AY312=1,DATE(YEAR(O312),MONTH(O312),1),"")</f>
        <v/>
      </c>
      <c r="AY312" s="1" t="n">
        <f aca="false">IF(B312="",0,IF(AND(ISNUMBER(O312),ISNUMBER(P312)),IF(P312&gt;=O312,1,0),0))</f>
        <v>0</v>
      </c>
      <c r="AZ312" s="1" t="n">
        <f aca="false">IF(ISNUMBER(Y312),Y312,0)</f>
        <v>0</v>
      </c>
      <c r="BA312" s="1" t="str">
        <f aca="false">IF(B312="","",IF(AND(R312="WON",AS312=0),"⛔ Beleg fehlt · ","")&amp;IF(AND(R312="WON",AR312=0),"⛔ Einstand fehlt · ","")&amp;IF(AND(R312&lt;&gt;"WON",AR312=0),"○ Einstand offen · ","")&amp;IF(AND(R312="WON",AB312=""),"⛔ Vertragsart fehlt · ","")&amp;IF(AND(ISNUMBER(O312),ISNUMBER(P312)),IF(P312&lt;O312,"⚠ Ende vor Start · ",""),"")&amp;IF(AND(R312="WON",AY312=0,NOT(AND(ISNUMBER(O312),ISNUMBER(P312)))),"⛔ Zeitraum fehlt · ","")&amp;IF(AND(R312&lt;&gt;"WON",AY312=0,NOT(AND(ISNUMBER(O312),ISNUMBER(P312)))),"○ Zeitraum offen · ",""))</f>
        <v/>
      </c>
      <c r="BB312" s="1" t="str">
        <f aca="false">IF(B312="","",IF(AND(R312="WON",AS312=0),"⛔ Nachweis fehlt",IF(AND(ISNUMBER(O312),ISNUMBER(P312),P312&lt;O312),"⚠ Ende vor Start",IF(AND(R312="WON",AY312=0),"⛔ Zeitraum fehlt",IF(AR312=0,"○ Einstand offen",IF(AY312=0,"○ Zeitraum offen",IF(R312="WON","✅ belegt","✔ erfasst")))))))</f>
        <v/>
      </c>
    </row>
    <row r="313" customFormat="false" ht="15" hidden="false" customHeight="true" outlineLevel="0" collapsed="false">
      <c r="G313" s="1" t="str">
        <f aca="false">IF(B313="","",IF(AY313=1,P313-O313+1,IF(AW313="","",AW313)))</f>
        <v/>
      </c>
      <c r="I313" s="270"/>
      <c r="J313" s="270"/>
      <c r="K313" s="270"/>
      <c r="L313" s="270"/>
      <c r="M313" s="270"/>
      <c r="N313" s="270"/>
      <c r="O313" s="263"/>
      <c r="P313" s="263"/>
      <c r="Q313" s="270" t="str">
        <f aca="false">IF(AND(ISNUMBER(I313),ISNUMBER(S313)),I313*AJ313,IF(OR(I313&lt;&gt;"",S313&lt;&gt;""),"tbd",""))</f>
        <v/>
      </c>
      <c r="S313" s="268"/>
      <c r="Y313" s="275" t="str">
        <f aca="false">IF(ISNUMBER(I313),I313/Netto_Faktor,"")</f>
        <v/>
      </c>
      <c r="Z313" s="275" t="str">
        <f aca="false">IF(B313="","",IF(COUNT(J313:N313)=0,"",SUM(J313:N313)))</f>
        <v/>
      </c>
      <c r="AA313" s="266"/>
      <c r="AB313" s="266"/>
      <c r="AC313" s="266"/>
      <c r="AD313" s="266"/>
      <c r="AE313" s="266"/>
      <c r="AF313" s="266"/>
      <c r="AG313" s="267"/>
      <c r="AH313" s="266" t="str">
        <f aca="false">IF(B313="","",IF(BA313="",IF(R313="WON","✅ belegt &amp; vollständig","✔ vollständig"),LEFT(BA313,LEN(BA313)-3)))</f>
        <v/>
      </c>
      <c r="AJ313" s="268" t="n">
        <f aca="false">IF(ISNUMBER(S313),IFERROR(LOOKUP(IF(S313&lt;=1,S313,S313/100),'⚖️ Wahrscheinlichkeit'!$B$17:$B$21,'⚖️ Wahrscheinlichkeit'!$D$17:$D$21),0),0)</f>
        <v>0</v>
      </c>
      <c r="AK313" s="1" t="str">
        <f aca="false">IF(AND(R313="WON",ISNUMBER(I313)),AL313+(861-ROW())*0.000001,"")</f>
        <v/>
      </c>
      <c r="AL313" s="1" t="n">
        <f aca="false">IFERROR(I313*1,0)</f>
        <v>0</v>
      </c>
      <c r="AM313" s="1" t="n">
        <f aca="false">N(AM312)+IF(AND(R313="WON",B313&lt;&gt;""),1,0)</f>
        <v>12</v>
      </c>
      <c r="AN313" s="1" t="n">
        <f aca="false">N(AN312)+IF(AND(OR(R313="offered",R313="to be offered",R313="on hold"),B313&lt;&gt;""),1,0)</f>
        <v>33</v>
      </c>
      <c r="AO313" s="1" t="n">
        <f aca="false">N(AO312)+IF(AND(OR(R313="follow-up",R313="Evaluation",R313="tbd",R313="In evaluation"),B313&lt;&gt;""),1,0)</f>
        <v>1</v>
      </c>
      <c r="AP313" s="1" t="n">
        <f aca="false">IF(B313="",0,IF(COUNTIF('⚖️ Wahrscheinlichkeit'!$J$17:$J$24,R313)&gt;0,1,0))</f>
        <v>0</v>
      </c>
      <c r="AQ313" s="1" t="n">
        <f aca="false">IF(B313="",0,IF(AND(ISNUMBER(S313),COUNTIF('⚖️ Wahrscheinlichkeit'!$B$6:$B$11,S313)&gt;0),1,0))</f>
        <v>0</v>
      </c>
      <c r="AR313" s="1" t="n">
        <f aca="false">IF(B313="",0,IF(AND(COUNT(J313:M313)=4,SUM(J313:M313)&gt;0),1,0))</f>
        <v>0</v>
      </c>
      <c r="AS313" s="1" t="n">
        <f aca="false">IF(B313="",0,IF(AND(AF313&lt;&gt;"",AG313&lt;&gt;""),1,0))</f>
        <v>0</v>
      </c>
      <c r="AT313" s="1" t="n">
        <f aca="false">IF(AND(R313="WON",AS313=1,AR313=1),1,0)</f>
        <v>0</v>
      </c>
      <c r="AU313" s="1" t="n">
        <f aca="false">IF(B313="",0,IF(AD313="Alternative – zählt nicht",0,1))</f>
        <v>0</v>
      </c>
      <c r="AV313" s="1" t="n">
        <f aca="false">IF(B313="",0,IF(COUNTIF($B$6:$B$860,B313)&gt;1,1,0))</f>
        <v>0</v>
      </c>
      <c r="AX313" s="269" t="str">
        <f aca="false">IF(AY313=1,DATE(YEAR(O313),MONTH(O313),1),"")</f>
        <v/>
      </c>
      <c r="AY313" s="1" t="n">
        <f aca="false">IF(B313="",0,IF(AND(ISNUMBER(O313),ISNUMBER(P313)),IF(P313&gt;=O313,1,0),0))</f>
        <v>0</v>
      </c>
      <c r="AZ313" s="1" t="n">
        <f aca="false">IF(ISNUMBER(Y313),Y313,0)</f>
        <v>0</v>
      </c>
      <c r="BA313" s="1" t="str">
        <f aca="false">IF(B313="","",IF(AND(R313="WON",AS313=0),"⛔ Beleg fehlt · ","")&amp;IF(AND(R313="WON",AR313=0),"⛔ Einstand fehlt · ","")&amp;IF(AND(R313&lt;&gt;"WON",AR313=0),"○ Einstand offen · ","")&amp;IF(AND(R313="WON",AB313=""),"⛔ Vertragsart fehlt · ","")&amp;IF(AND(ISNUMBER(O313),ISNUMBER(P313)),IF(P313&lt;O313,"⚠ Ende vor Start · ",""),"")&amp;IF(AND(R313="WON",AY313=0,NOT(AND(ISNUMBER(O313),ISNUMBER(P313)))),"⛔ Zeitraum fehlt · ","")&amp;IF(AND(R313&lt;&gt;"WON",AY313=0,NOT(AND(ISNUMBER(O313),ISNUMBER(P313)))),"○ Zeitraum offen · ",""))</f>
        <v/>
      </c>
      <c r="BB313" s="1" t="str">
        <f aca="false">IF(B313="","",IF(AND(R313="WON",AS313=0),"⛔ Nachweis fehlt",IF(AND(ISNUMBER(O313),ISNUMBER(P313),P313&lt;O313),"⚠ Ende vor Start",IF(AND(R313="WON",AY313=0),"⛔ Zeitraum fehlt",IF(AR313=0,"○ Einstand offen",IF(AY313=0,"○ Zeitraum offen",IF(R313="WON","✅ belegt","✔ erfasst")))))))</f>
        <v/>
      </c>
    </row>
    <row r="314" customFormat="false" ht="15" hidden="false" customHeight="true" outlineLevel="0" collapsed="false">
      <c r="G314" s="1" t="str">
        <f aca="false">IF(B314="","",IF(AY314=1,P314-O314+1,IF(AW314="","",AW314)))</f>
        <v/>
      </c>
      <c r="I314" s="270"/>
      <c r="J314" s="270"/>
      <c r="K314" s="270"/>
      <c r="L314" s="270"/>
      <c r="M314" s="270"/>
      <c r="N314" s="270"/>
      <c r="O314" s="263"/>
      <c r="P314" s="263"/>
      <c r="Q314" s="270" t="str">
        <f aca="false">IF(AND(ISNUMBER(I314),ISNUMBER(S314)),I314*AJ314,IF(OR(I314&lt;&gt;"",S314&lt;&gt;""),"tbd",""))</f>
        <v/>
      </c>
      <c r="S314" s="268"/>
      <c r="Y314" s="275" t="str">
        <f aca="false">IF(ISNUMBER(I314),I314/Netto_Faktor,"")</f>
        <v/>
      </c>
      <c r="Z314" s="275" t="str">
        <f aca="false">IF(B314="","",IF(COUNT(J314:N314)=0,"",SUM(J314:N314)))</f>
        <v/>
      </c>
      <c r="AA314" s="266"/>
      <c r="AB314" s="266"/>
      <c r="AC314" s="266"/>
      <c r="AD314" s="266"/>
      <c r="AE314" s="266"/>
      <c r="AF314" s="266"/>
      <c r="AG314" s="267"/>
      <c r="AH314" s="266" t="str">
        <f aca="false">IF(B314="","",IF(BA314="",IF(R314="WON","✅ belegt &amp; vollständig","✔ vollständig"),LEFT(BA314,LEN(BA314)-3)))</f>
        <v/>
      </c>
      <c r="AJ314" s="268" t="n">
        <f aca="false">IF(ISNUMBER(S314),IFERROR(LOOKUP(IF(S314&lt;=1,S314,S314/100),'⚖️ Wahrscheinlichkeit'!$B$17:$B$21,'⚖️ Wahrscheinlichkeit'!$D$17:$D$21),0),0)</f>
        <v>0</v>
      </c>
      <c r="AK314" s="1" t="str">
        <f aca="false">IF(AND(R314="WON",ISNUMBER(I314)),AL314+(861-ROW())*0.000001,"")</f>
        <v/>
      </c>
      <c r="AL314" s="1" t="n">
        <f aca="false">IFERROR(I314*1,0)</f>
        <v>0</v>
      </c>
      <c r="AM314" s="1" t="n">
        <f aca="false">N(AM313)+IF(AND(R314="WON",B314&lt;&gt;""),1,0)</f>
        <v>12</v>
      </c>
      <c r="AN314" s="1" t="n">
        <f aca="false">N(AN313)+IF(AND(OR(R314="offered",R314="to be offered",R314="on hold"),B314&lt;&gt;""),1,0)</f>
        <v>33</v>
      </c>
      <c r="AO314" s="1" t="n">
        <f aca="false">N(AO313)+IF(AND(OR(R314="follow-up",R314="Evaluation",R314="tbd",R314="In evaluation"),B314&lt;&gt;""),1,0)</f>
        <v>1</v>
      </c>
      <c r="AP314" s="1" t="n">
        <f aca="false">IF(B314="",0,IF(COUNTIF('⚖️ Wahrscheinlichkeit'!$J$17:$J$24,R314)&gt;0,1,0))</f>
        <v>0</v>
      </c>
      <c r="AQ314" s="1" t="n">
        <f aca="false">IF(B314="",0,IF(AND(ISNUMBER(S314),COUNTIF('⚖️ Wahrscheinlichkeit'!$B$6:$B$11,S314)&gt;0),1,0))</f>
        <v>0</v>
      </c>
      <c r="AR314" s="1" t="n">
        <f aca="false">IF(B314="",0,IF(AND(COUNT(J314:M314)=4,SUM(J314:M314)&gt;0),1,0))</f>
        <v>0</v>
      </c>
      <c r="AS314" s="1" t="n">
        <f aca="false">IF(B314="",0,IF(AND(AF314&lt;&gt;"",AG314&lt;&gt;""),1,0))</f>
        <v>0</v>
      </c>
      <c r="AT314" s="1" t="n">
        <f aca="false">IF(AND(R314="WON",AS314=1,AR314=1),1,0)</f>
        <v>0</v>
      </c>
      <c r="AU314" s="1" t="n">
        <f aca="false">IF(B314="",0,IF(AD314="Alternative – zählt nicht",0,1))</f>
        <v>0</v>
      </c>
      <c r="AV314" s="1" t="n">
        <f aca="false">IF(B314="",0,IF(COUNTIF($B$6:$B$860,B314)&gt;1,1,0))</f>
        <v>0</v>
      </c>
      <c r="AX314" s="269" t="str">
        <f aca="false">IF(AY314=1,DATE(YEAR(O314),MONTH(O314),1),"")</f>
        <v/>
      </c>
      <c r="AY314" s="1" t="n">
        <f aca="false">IF(B314="",0,IF(AND(ISNUMBER(O314),ISNUMBER(P314)),IF(P314&gt;=O314,1,0),0))</f>
        <v>0</v>
      </c>
      <c r="AZ314" s="1" t="n">
        <f aca="false">IF(ISNUMBER(Y314),Y314,0)</f>
        <v>0</v>
      </c>
      <c r="BA314" s="1" t="str">
        <f aca="false">IF(B314="","",IF(AND(R314="WON",AS314=0),"⛔ Beleg fehlt · ","")&amp;IF(AND(R314="WON",AR314=0),"⛔ Einstand fehlt · ","")&amp;IF(AND(R314&lt;&gt;"WON",AR314=0),"○ Einstand offen · ","")&amp;IF(AND(R314="WON",AB314=""),"⛔ Vertragsart fehlt · ","")&amp;IF(AND(ISNUMBER(O314),ISNUMBER(P314)),IF(P314&lt;O314,"⚠ Ende vor Start · ",""),"")&amp;IF(AND(R314="WON",AY314=0,NOT(AND(ISNUMBER(O314),ISNUMBER(P314)))),"⛔ Zeitraum fehlt · ","")&amp;IF(AND(R314&lt;&gt;"WON",AY314=0,NOT(AND(ISNUMBER(O314),ISNUMBER(P314)))),"○ Zeitraum offen · ",""))</f>
        <v/>
      </c>
      <c r="BB314" s="1" t="str">
        <f aca="false">IF(B314="","",IF(AND(R314="WON",AS314=0),"⛔ Nachweis fehlt",IF(AND(ISNUMBER(O314),ISNUMBER(P314),P314&lt;O314),"⚠ Ende vor Start",IF(AND(R314="WON",AY314=0),"⛔ Zeitraum fehlt",IF(AR314=0,"○ Einstand offen",IF(AY314=0,"○ Zeitraum offen",IF(R314="WON","✅ belegt","✔ erfasst")))))))</f>
        <v/>
      </c>
    </row>
    <row r="315" customFormat="false" ht="15" hidden="false" customHeight="true" outlineLevel="0" collapsed="false">
      <c r="G315" s="1" t="str">
        <f aca="false">IF(B315="","",IF(AY315=1,P315-O315+1,IF(AW315="","",AW315)))</f>
        <v/>
      </c>
      <c r="I315" s="270"/>
      <c r="J315" s="270"/>
      <c r="K315" s="270"/>
      <c r="L315" s="270"/>
      <c r="M315" s="270"/>
      <c r="N315" s="270"/>
      <c r="O315" s="263"/>
      <c r="P315" s="263"/>
      <c r="Q315" s="270" t="str">
        <f aca="false">IF(AND(ISNUMBER(I315),ISNUMBER(S315)),I315*AJ315,IF(OR(I315&lt;&gt;"",S315&lt;&gt;""),"tbd",""))</f>
        <v/>
      </c>
      <c r="S315" s="268"/>
      <c r="Y315" s="275" t="str">
        <f aca="false">IF(ISNUMBER(I315),I315/Netto_Faktor,"")</f>
        <v/>
      </c>
      <c r="Z315" s="275" t="str">
        <f aca="false">IF(B315="","",IF(COUNT(J315:N315)=0,"",SUM(J315:N315)))</f>
        <v/>
      </c>
      <c r="AA315" s="266"/>
      <c r="AB315" s="266"/>
      <c r="AC315" s="266"/>
      <c r="AD315" s="266"/>
      <c r="AE315" s="266"/>
      <c r="AF315" s="266"/>
      <c r="AG315" s="267"/>
      <c r="AH315" s="266" t="str">
        <f aca="false">IF(B315="","",IF(BA315="",IF(R315="WON","✅ belegt &amp; vollständig","✔ vollständig"),LEFT(BA315,LEN(BA315)-3)))</f>
        <v/>
      </c>
      <c r="AJ315" s="268" t="n">
        <f aca="false">IF(ISNUMBER(S315),IFERROR(LOOKUP(IF(S315&lt;=1,S315,S315/100),'⚖️ Wahrscheinlichkeit'!$B$17:$B$21,'⚖️ Wahrscheinlichkeit'!$D$17:$D$21),0),0)</f>
        <v>0</v>
      </c>
      <c r="AK315" s="1" t="str">
        <f aca="false">IF(AND(R315="WON",ISNUMBER(I315)),AL315+(861-ROW())*0.000001,"")</f>
        <v/>
      </c>
      <c r="AL315" s="1" t="n">
        <f aca="false">IFERROR(I315*1,0)</f>
        <v>0</v>
      </c>
      <c r="AM315" s="1" t="n">
        <f aca="false">N(AM314)+IF(AND(R315="WON",B315&lt;&gt;""),1,0)</f>
        <v>12</v>
      </c>
      <c r="AN315" s="1" t="n">
        <f aca="false">N(AN314)+IF(AND(OR(R315="offered",R315="to be offered",R315="on hold"),B315&lt;&gt;""),1,0)</f>
        <v>33</v>
      </c>
      <c r="AO315" s="1" t="n">
        <f aca="false">N(AO314)+IF(AND(OR(R315="follow-up",R315="Evaluation",R315="tbd",R315="In evaluation"),B315&lt;&gt;""),1,0)</f>
        <v>1</v>
      </c>
      <c r="AP315" s="1" t="n">
        <f aca="false">IF(B315="",0,IF(COUNTIF('⚖️ Wahrscheinlichkeit'!$J$17:$J$24,R315)&gt;0,1,0))</f>
        <v>0</v>
      </c>
      <c r="AQ315" s="1" t="n">
        <f aca="false">IF(B315="",0,IF(AND(ISNUMBER(S315),COUNTIF('⚖️ Wahrscheinlichkeit'!$B$6:$B$11,S315)&gt;0),1,0))</f>
        <v>0</v>
      </c>
      <c r="AR315" s="1" t="n">
        <f aca="false">IF(B315="",0,IF(AND(COUNT(J315:M315)=4,SUM(J315:M315)&gt;0),1,0))</f>
        <v>0</v>
      </c>
      <c r="AS315" s="1" t="n">
        <f aca="false">IF(B315="",0,IF(AND(AF315&lt;&gt;"",AG315&lt;&gt;""),1,0))</f>
        <v>0</v>
      </c>
      <c r="AT315" s="1" t="n">
        <f aca="false">IF(AND(R315="WON",AS315=1,AR315=1),1,0)</f>
        <v>0</v>
      </c>
      <c r="AU315" s="1" t="n">
        <f aca="false">IF(B315="",0,IF(AD315="Alternative – zählt nicht",0,1))</f>
        <v>0</v>
      </c>
      <c r="AV315" s="1" t="n">
        <f aca="false">IF(B315="",0,IF(COUNTIF($B$6:$B$860,B315)&gt;1,1,0))</f>
        <v>0</v>
      </c>
      <c r="AX315" s="269" t="str">
        <f aca="false">IF(AY315=1,DATE(YEAR(O315),MONTH(O315),1),"")</f>
        <v/>
      </c>
      <c r="AY315" s="1" t="n">
        <f aca="false">IF(B315="",0,IF(AND(ISNUMBER(O315),ISNUMBER(P315)),IF(P315&gt;=O315,1,0),0))</f>
        <v>0</v>
      </c>
      <c r="AZ315" s="1" t="n">
        <f aca="false">IF(ISNUMBER(Y315),Y315,0)</f>
        <v>0</v>
      </c>
      <c r="BA315" s="1" t="str">
        <f aca="false">IF(B315="","",IF(AND(R315="WON",AS315=0),"⛔ Beleg fehlt · ","")&amp;IF(AND(R315="WON",AR315=0),"⛔ Einstand fehlt · ","")&amp;IF(AND(R315&lt;&gt;"WON",AR315=0),"○ Einstand offen · ","")&amp;IF(AND(R315="WON",AB315=""),"⛔ Vertragsart fehlt · ","")&amp;IF(AND(ISNUMBER(O315),ISNUMBER(P315)),IF(P315&lt;O315,"⚠ Ende vor Start · ",""),"")&amp;IF(AND(R315="WON",AY315=0,NOT(AND(ISNUMBER(O315),ISNUMBER(P315)))),"⛔ Zeitraum fehlt · ","")&amp;IF(AND(R315&lt;&gt;"WON",AY315=0,NOT(AND(ISNUMBER(O315),ISNUMBER(P315)))),"○ Zeitraum offen · ",""))</f>
        <v/>
      </c>
      <c r="BB315" s="1" t="str">
        <f aca="false">IF(B315="","",IF(AND(R315="WON",AS315=0),"⛔ Nachweis fehlt",IF(AND(ISNUMBER(O315),ISNUMBER(P315),P315&lt;O315),"⚠ Ende vor Start",IF(AND(R315="WON",AY315=0),"⛔ Zeitraum fehlt",IF(AR315=0,"○ Einstand offen",IF(AY315=0,"○ Zeitraum offen",IF(R315="WON","✅ belegt","✔ erfasst")))))))</f>
        <v/>
      </c>
    </row>
    <row r="316" customFormat="false" ht="15" hidden="false" customHeight="true" outlineLevel="0" collapsed="false">
      <c r="G316" s="1" t="str">
        <f aca="false">IF(B316="","",IF(AY316=1,P316-O316+1,IF(AW316="","",AW316)))</f>
        <v/>
      </c>
      <c r="I316" s="270"/>
      <c r="J316" s="270"/>
      <c r="K316" s="270"/>
      <c r="L316" s="270"/>
      <c r="M316" s="270"/>
      <c r="N316" s="270"/>
      <c r="O316" s="263"/>
      <c r="P316" s="263"/>
      <c r="Q316" s="270" t="str">
        <f aca="false">IF(AND(ISNUMBER(I316),ISNUMBER(S316)),I316*AJ316,IF(OR(I316&lt;&gt;"",S316&lt;&gt;""),"tbd",""))</f>
        <v/>
      </c>
      <c r="S316" s="268"/>
      <c r="Y316" s="275" t="str">
        <f aca="false">IF(ISNUMBER(I316),I316/Netto_Faktor,"")</f>
        <v/>
      </c>
      <c r="Z316" s="275" t="str">
        <f aca="false">IF(B316="","",IF(COUNT(J316:N316)=0,"",SUM(J316:N316)))</f>
        <v/>
      </c>
      <c r="AA316" s="266"/>
      <c r="AB316" s="266"/>
      <c r="AC316" s="266"/>
      <c r="AD316" s="266"/>
      <c r="AE316" s="266"/>
      <c r="AF316" s="266"/>
      <c r="AG316" s="267"/>
      <c r="AH316" s="266" t="str">
        <f aca="false">IF(B316="","",IF(BA316="",IF(R316="WON","✅ belegt &amp; vollständig","✔ vollständig"),LEFT(BA316,LEN(BA316)-3)))</f>
        <v/>
      </c>
      <c r="AJ316" s="268" t="n">
        <f aca="false">IF(ISNUMBER(S316),IFERROR(LOOKUP(IF(S316&lt;=1,S316,S316/100),'⚖️ Wahrscheinlichkeit'!$B$17:$B$21,'⚖️ Wahrscheinlichkeit'!$D$17:$D$21),0),0)</f>
        <v>0</v>
      </c>
      <c r="AK316" s="1" t="str">
        <f aca="false">IF(AND(R316="WON",ISNUMBER(I316)),AL316+(861-ROW())*0.000001,"")</f>
        <v/>
      </c>
      <c r="AL316" s="1" t="n">
        <f aca="false">IFERROR(I316*1,0)</f>
        <v>0</v>
      </c>
      <c r="AM316" s="1" t="n">
        <f aca="false">N(AM315)+IF(AND(R316="WON",B316&lt;&gt;""),1,0)</f>
        <v>12</v>
      </c>
      <c r="AN316" s="1" t="n">
        <f aca="false">N(AN315)+IF(AND(OR(R316="offered",R316="to be offered",R316="on hold"),B316&lt;&gt;""),1,0)</f>
        <v>33</v>
      </c>
      <c r="AO316" s="1" t="n">
        <f aca="false">N(AO315)+IF(AND(OR(R316="follow-up",R316="Evaluation",R316="tbd",R316="In evaluation"),B316&lt;&gt;""),1,0)</f>
        <v>1</v>
      </c>
      <c r="AP316" s="1" t="n">
        <f aca="false">IF(B316="",0,IF(COUNTIF('⚖️ Wahrscheinlichkeit'!$J$17:$J$24,R316)&gt;0,1,0))</f>
        <v>0</v>
      </c>
      <c r="AQ316" s="1" t="n">
        <f aca="false">IF(B316="",0,IF(AND(ISNUMBER(S316),COUNTIF('⚖️ Wahrscheinlichkeit'!$B$6:$B$11,S316)&gt;0),1,0))</f>
        <v>0</v>
      </c>
      <c r="AR316" s="1" t="n">
        <f aca="false">IF(B316="",0,IF(AND(COUNT(J316:M316)=4,SUM(J316:M316)&gt;0),1,0))</f>
        <v>0</v>
      </c>
      <c r="AS316" s="1" t="n">
        <f aca="false">IF(B316="",0,IF(AND(AF316&lt;&gt;"",AG316&lt;&gt;""),1,0))</f>
        <v>0</v>
      </c>
      <c r="AT316" s="1" t="n">
        <f aca="false">IF(AND(R316="WON",AS316=1,AR316=1),1,0)</f>
        <v>0</v>
      </c>
      <c r="AU316" s="1" t="n">
        <f aca="false">IF(B316="",0,IF(AD316="Alternative – zählt nicht",0,1))</f>
        <v>0</v>
      </c>
      <c r="AV316" s="1" t="n">
        <f aca="false">IF(B316="",0,IF(COUNTIF($B$6:$B$860,B316)&gt;1,1,0))</f>
        <v>0</v>
      </c>
      <c r="AX316" s="269" t="str">
        <f aca="false">IF(AY316=1,DATE(YEAR(O316),MONTH(O316),1),"")</f>
        <v/>
      </c>
      <c r="AY316" s="1" t="n">
        <f aca="false">IF(B316="",0,IF(AND(ISNUMBER(O316),ISNUMBER(P316)),IF(P316&gt;=O316,1,0),0))</f>
        <v>0</v>
      </c>
      <c r="AZ316" s="1" t="n">
        <f aca="false">IF(ISNUMBER(Y316),Y316,0)</f>
        <v>0</v>
      </c>
      <c r="BA316" s="1" t="str">
        <f aca="false">IF(B316="","",IF(AND(R316="WON",AS316=0),"⛔ Beleg fehlt · ","")&amp;IF(AND(R316="WON",AR316=0),"⛔ Einstand fehlt · ","")&amp;IF(AND(R316&lt;&gt;"WON",AR316=0),"○ Einstand offen · ","")&amp;IF(AND(R316="WON",AB316=""),"⛔ Vertragsart fehlt · ","")&amp;IF(AND(ISNUMBER(O316),ISNUMBER(P316)),IF(P316&lt;O316,"⚠ Ende vor Start · ",""),"")&amp;IF(AND(R316="WON",AY316=0,NOT(AND(ISNUMBER(O316),ISNUMBER(P316)))),"⛔ Zeitraum fehlt · ","")&amp;IF(AND(R316&lt;&gt;"WON",AY316=0,NOT(AND(ISNUMBER(O316),ISNUMBER(P316)))),"○ Zeitraum offen · ",""))</f>
        <v/>
      </c>
      <c r="BB316" s="1" t="str">
        <f aca="false">IF(B316="","",IF(AND(R316="WON",AS316=0),"⛔ Nachweis fehlt",IF(AND(ISNUMBER(O316),ISNUMBER(P316),P316&lt;O316),"⚠ Ende vor Start",IF(AND(R316="WON",AY316=0),"⛔ Zeitraum fehlt",IF(AR316=0,"○ Einstand offen",IF(AY316=0,"○ Zeitraum offen",IF(R316="WON","✅ belegt","✔ erfasst")))))))</f>
        <v/>
      </c>
    </row>
    <row r="317" customFormat="false" ht="15" hidden="false" customHeight="true" outlineLevel="0" collapsed="false">
      <c r="G317" s="1" t="str">
        <f aca="false">IF(B317="","",IF(AY317=1,P317-O317+1,IF(AW317="","",AW317)))</f>
        <v/>
      </c>
      <c r="I317" s="270"/>
      <c r="J317" s="270"/>
      <c r="K317" s="270"/>
      <c r="L317" s="270"/>
      <c r="M317" s="270"/>
      <c r="N317" s="270"/>
      <c r="O317" s="263"/>
      <c r="P317" s="263"/>
      <c r="Q317" s="270" t="str">
        <f aca="false">IF(AND(ISNUMBER(I317),ISNUMBER(S317)),I317*AJ317,IF(OR(I317&lt;&gt;"",S317&lt;&gt;""),"tbd",""))</f>
        <v/>
      </c>
      <c r="S317" s="268"/>
      <c r="Y317" s="275" t="str">
        <f aca="false">IF(ISNUMBER(I317),I317/Netto_Faktor,"")</f>
        <v/>
      </c>
      <c r="Z317" s="275" t="str">
        <f aca="false">IF(B317="","",IF(COUNT(J317:N317)=0,"",SUM(J317:N317)))</f>
        <v/>
      </c>
      <c r="AA317" s="266"/>
      <c r="AB317" s="266"/>
      <c r="AC317" s="266"/>
      <c r="AD317" s="266"/>
      <c r="AE317" s="266"/>
      <c r="AF317" s="266"/>
      <c r="AG317" s="267"/>
      <c r="AH317" s="266" t="str">
        <f aca="false">IF(B317="","",IF(BA317="",IF(R317="WON","✅ belegt &amp; vollständig","✔ vollständig"),LEFT(BA317,LEN(BA317)-3)))</f>
        <v/>
      </c>
      <c r="AJ317" s="268" t="n">
        <f aca="false">IF(ISNUMBER(S317),IFERROR(LOOKUP(IF(S317&lt;=1,S317,S317/100),'⚖️ Wahrscheinlichkeit'!$B$17:$B$21,'⚖️ Wahrscheinlichkeit'!$D$17:$D$21),0),0)</f>
        <v>0</v>
      </c>
      <c r="AK317" s="1" t="str">
        <f aca="false">IF(AND(R317="WON",ISNUMBER(I317)),AL317+(861-ROW())*0.000001,"")</f>
        <v/>
      </c>
      <c r="AL317" s="1" t="n">
        <f aca="false">IFERROR(I317*1,0)</f>
        <v>0</v>
      </c>
      <c r="AM317" s="1" t="n">
        <f aca="false">N(AM316)+IF(AND(R317="WON",B317&lt;&gt;""),1,0)</f>
        <v>12</v>
      </c>
      <c r="AN317" s="1" t="n">
        <f aca="false">N(AN316)+IF(AND(OR(R317="offered",R317="to be offered",R317="on hold"),B317&lt;&gt;""),1,0)</f>
        <v>33</v>
      </c>
      <c r="AO317" s="1" t="n">
        <f aca="false">N(AO316)+IF(AND(OR(R317="follow-up",R317="Evaluation",R317="tbd",R317="In evaluation"),B317&lt;&gt;""),1,0)</f>
        <v>1</v>
      </c>
      <c r="AP317" s="1" t="n">
        <f aca="false">IF(B317="",0,IF(COUNTIF('⚖️ Wahrscheinlichkeit'!$J$17:$J$24,R317)&gt;0,1,0))</f>
        <v>0</v>
      </c>
      <c r="AQ317" s="1" t="n">
        <f aca="false">IF(B317="",0,IF(AND(ISNUMBER(S317),COUNTIF('⚖️ Wahrscheinlichkeit'!$B$6:$B$11,S317)&gt;0),1,0))</f>
        <v>0</v>
      </c>
      <c r="AR317" s="1" t="n">
        <f aca="false">IF(B317="",0,IF(AND(COUNT(J317:M317)=4,SUM(J317:M317)&gt;0),1,0))</f>
        <v>0</v>
      </c>
      <c r="AS317" s="1" t="n">
        <f aca="false">IF(B317="",0,IF(AND(AF317&lt;&gt;"",AG317&lt;&gt;""),1,0))</f>
        <v>0</v>
      </c>
      <c r="AT317" s="1" t="n">
        <f aca="false">IF(AND(R317="WON",AS317=1,AR317=1),1,0)</f>
        <v>0</v>
      </c>
      <c r="AU317" s="1" t="n">
        <f aca="false">IF(B317="",0,IF(AD317="Alternative – zählt nicht",0,1))</f>
        <v>0</v>
      </c>
      <c r="AV317" s="1" t="n">
        <f aca="false">IF(B317="",0,IF(COUNTIF($B$6:$B$860,B317)&gt;1,1,0))</f>
        <v>0</v>
      </c>
      <c r="AX317" s="269" t="str">
        <f aca="false">IF(AY317=1,DATE(YEAR(O317),MONTH(O317),1),"")</f>
        <v/>
      </c>
      <c r="AY317" s="1" t="n">
        <f aca="false">IF(B317="",0,IF(AND(ISNUMBER(O317),ISNUMBER(P317)),IF(P317&gt;=O317,1,0),0))</f>
        <v>0</v>
      </c>
      <c r="AZ317" s="1" t="n">
        <f aca="false">IF(ISNUMBER(Y317),Y317,0)</f>
        <v>0</v>
      </c>
      <c r="BA317" s="1" t="str">
        <f aca="false">IF(B317="","",IF(AND(R317="WON",AS317=0),"⛔ Beleg fehlt · ","")&amp;IF(AND(R317="WON",AR317=0),"⛔ Einstand fehlt · ","")&amp;IF(AND(R317&lt;&gt;"WON",AR317=0),"○ Einstand offen · ","")&amp;IF(AND(R317="WON",AB317=""),"⛔ Vertragsart fehlt · ","")&amp;IF(AND(ISNUMBER(O317),ISNUMBER(P317)),IF(P317&lt;O317,"⚠ Ende vor Start · ",""),"")&amp;IF(AND(R317="WON",AY317=0,NOT(AND(ISNUMBER(O317),ISNUMBER(P317)))),"⛔ Zeitraum fehlt · ","")&amp;IF(AND(R317&lt;&gt;"WON",AY317=0,NOT(AND(ISNUMBER(O317),ISNUMBER(P317)))),"○ Zeitraum offen · ",""))</f>
        <v/>
      </c>
      <c r="BB317" s="1" t="str">
        <f aca="false">IF(B317="","",IF(AND(R317="WON",AS317=0),"⛔ Nachweis fehlt",IF(AND(ISNUMBER(O317),ISNUMBER(P317),P317&lt;O317),"⚠ Ende vor Start",IF(AND(R317="WON",AY317=0),"⛔ Zeitraum fehlt",IF(AR317=0,"○ Einstand offen",IF(AY317=0,"○ Zeitraum offen",IF(R317="WON","✅ belegt","✔ erfasst")))))))</f>
        <v/>
      </c>
    </row>
    <row r="318" customFormat="false" ht="15" hidden="false" customHeight="true" outlineLevel="0" collapsed="false">
      <c r="G318" s="1" t="str">
        <f aca="false">IF(B318="","",IF(AY318=1,P318-O318+1,IF(AW318="","",AW318)))</f>
        <v/>
      </c>
      <c r="I318" s="270"/>
      <c r="J318" s="270"/>
      <c r="K318" s="270"/>
      <c r="L318" s="270"/>
      <c r="M318" s="270"/>
      <c r="N318" s="270"/>
      <c r="O318" s="263"/>
      <c r="P318" s="263"/>
      <c r="Q318" s="270" t="str">
        <f aca="false">IF(AND(ISNUMBER(I318),ISNUMBER(S318)),I318*AJ318,IF(OR(I318&lt;&gt;"",S318&lt;&gt;""),"tbd",""))</f>
        <v/>
      </c>
      <c r="S318" s="268"/>
      <c r="Y318" s="275" t="str">
        <f aca="false">IF(ISNUMBER(I318),I318/Netto_Faktor,"")</f>
        <v/>
      </c>
      <c r="Z318" s="275" t="str">
        <f aca="false">IF(B318="","",IF(COUNT(J318:N318)=0,"",SUM(J318:N318)))</f>
        <v/>
      </c>
      <c r="AA318" s="266"/>
      <c r="AB318" s="266"/>
      <c r="AC318" s="266"/>
      <c r="AD318" s="266"/>
      <c r="AE318" s="266"/>
      <c r="AF318" s="266"/>
      <c r="AG318" s="267"/>
      <c r="AH318" s="266" t="str">
        <f aca="false">IF(B318="","",IF(BA318="",IF(R318="WON","✅ belegt &amp; vollständig","✔ vollständig"),LEFT(BA318,LEN(BA318)-3)))</f>
        <v/>
      </c>
      <c r="AJ318" s="268" t="n">
        <f aca="false">IF(ISNUMBER(S318),IFERROR(LOOKUP(IF(S318&lt;=1,S318,S318/100),'⚖️ Wahrscheinlichkeit'!$B$17:$B$21,'⚖️ Wahrscheinlichkeit'!$D$17:$D$21),0),0)</f>
        <v>0</v>
      </c>
      <c r="AK318" s="1" t="str">
        <f aca="false">IF(AND(R318="WON",ISNUMBER(I318)),AL318+(861-ROW())*0.000001,"")</f>
        <v/>
      </c>
      <c r="AL318" s="1" t="n">
        <f aca="false">IFERROR(I318*1,0)</f>
        <v>0</v>
      </c>
      <c r="AM318" s="1" t="n">
        <f aca="false">N(AM317)+IF(AND(R318="WON",B318&lt;&gt;""),1,0)</f>
        <v>12</v>
      </c>
      <c r="AN318" s="1" t="n">
        <f aca="false">N(AN317)+IF(AND(OR(R318="offered",R318="to be offered",R318="on hold"),B318&lt;&gt;""),1,0)</f>
        <v>33</v>
      </c>
      <c r="AO318" s="1" t="n">
        <f aca="false">N(AO317)+IF(AND(OR(R318="follow-up",R318="Evaluation",R318="tbd",R318="In evaluation"),B318&lt;&gt;""),1,0)</f>
        <v>1</v>
      </c>
      <c r="AP318" s="1" t="n">
        <f aca="false">IF(B318="",0,IF(COUNTIF('⚖️ Wahrscheinlichkeit'!$J$17:$J$24,R318)&gt;0,1,0))</f>
        <v>0</v>
      </c>
      <c r="AQ318" s="1" t="n">
        <f aca="false">IF(B318="",0,IF(AND(ISNUMBER(S318),COUNTIF('⚖️ Wahrscheinlichkeit'!$B$6:$B$11,S318)&gt;0),1,0))</f>
        <v>0</v>
      </c>
      <c r="AR318" s="1" t="n">
        <f aca="false">IF(B318="",0,IF(AND(COUNT(J318:M318)=4,SUM(J318:M318)&gt;0),1,0))</f>
        <v>0</v>
      </c>
      <c r="AS318" s="1" t="n">
        <f aca="false">IF(B318="",0,IF(AND(AF318&lt;&gt;"",AG318&lt;&gt;""),1,0))</f>
        <v>0</v>
      </c>
      <c r="AT318" s="1" t="n">
        <f aca="false">IF(AND(R318="WON",AS318=1,AR318=1),1,0)</f>
        <v>0</v>
      </c>
      <c r="AU318" s="1" t="n">
        <f aca="false">IF(B318="",0,IF(AD318="Alternative – zählt nicht",0,1))</f>
        <v>0</v>
      </c>
      <c r="AV318" s="1" t="n">
        <f aca="false">IF(B318="",0,IF(COUNTIF($B$6:$B$860,B318)&gt;1,1,0))</f>
        <v>0</v>
      </c>
      <c r="AX318" s="269" t="str">
        <f aca="false">IF(AY318=1,DATE(YEAR(O318),MONTH(O318),1),"")</f>
        <v/>
      </c>
      <c r="AY318" s="1" t="n">
        <f aca="false">IF(B318="",0,IF(AND(ISNUMBER(O318),ISNUMBER(P318)),IF(P318&gt;=O318,1,0),0))</f>
        <v>0</v>
      </c>
      <c r="AZ318" s="1" t="n">
        <f aca="false">IF(ISNUMBER(Y318),Y318,0)</f>
        <v>0</v>
      </c>
      <c r="BA318" s="1" t="str">
        <f aca="false">IF(B318="","",IF(AND(R318="WON",AS318=0),"⛔ Beleg fehlt · ","")&amp;IF(AND(R318="WON",AR318=0),"⛔ Einstand fehlt · ","")&amp;IF(AND(R318&lt;&gt;"WON",AR318=0),"○ Einstand offen · ","")&amp;IF(AND(R318="WON",AB318=""),"⛔ Vertragsart fehlt · ","")&amp;IF(AND(ISNUMBER(O318),ISNUMBER(P318)),IF(P318&lt;O318,"⚠ Ende vor Start · ",""),"")&amp;IF(AND(R318="WON",AY318=0,NOT(AND(ISNUMBER(O318),ISNUMBER(P318)))),"⛔ Zeitraum fehlt · ","")&amp;IF(AND(R318&lt;&gt;"WON",AY318=0,NOT(AND(ISNUMBER(O318),ISNUMBER(P318)))),"○ Zeitraum offen · ",""))</f>
        <v/>
      </c>
      <c r="BB318" s="1" t="str">
        <f aca="false">IF(B318="","",IF(AND(R318="WON",AS318=0),"⛔ Nachweis fehlt",IF(AND(ISNUMBER(O318),ISNUMBER(P318),P318&lt;O318),"⚠ Ende vor Start",IF(AND(R318="WON",AY318=0),"⛔ Zeitraum fehlt",IF(AR318=0,"○ Einstand offen",IF(AY318=0,"○ Zeitraum offen",IF(R318="WON","✅ belegt","✔ erfasst")))))))</f>
        <v/>
      </c>
    </row>
    <row r="319" customFormat="false" ht="15" hidden="false" customHeight="true" outlineLevel="0" collapsed="false">
      <c r="G319" s="1" t="str">
        <f aca="false">IF(B319="","",IF(AY319=1,P319-O319+1,IF(AW319="","",AW319)))</f>
        <v/>
      </c>
      <c r="I319" s="270"/>
      <c r="J319" s="270"/>
      <c r="K319" s="270"/>
      <c r="L319" s="270"/>
      <c r="M319" s="270"/>
      <c r="N319" s="270"/>
      <c r="O319" s="263"/>
      <c r="P319" s="263"/>
      <c r="Q319" s="270" t="str">
        <f aca="false">IF(AND(ISNUMBER(I319),ISNUMBER(S319)),I319*AJ319,IF(OR(I319&lt;&gt;"",S319&lt;&gt;""),"tbd",""))</f>
        <v/>
      </c>
      <c r="S319" s="268"/>
      <c r="Y319" s="275" t="str">
        <f aca="false">IF(ISNUMBER(I319),I319/Netto_Faktor,"")</f>
        <v/>
      </c>
      <c r="Z319" s="275" t="str">
        <f aca="false">IF(B319="","",IF(COUNT(J319:N319)=0,"",SUM(J319:N319)))</f>
        <v/>
      </c>
      <c r="AA319" s="266"/>
      <c r="AB319" s="266"/>
      <c r="AC319" s="266"/>
      <c r="AD319" s="266"/>
      <c r="AE319" s="266"/>
      <c r="AF319" s="266"/>
      <c r="AG319" s="267"/>
      <c r="AH319" s="266" t="str">
        <f aca="false">IF(B319="","",IF(BA319="",IF(R319="WON","✅ belegt &amp; vollständig","✔ vollständig"),LEFT(BA319,LEN(BA319)-3)))</f>
        <v/>
      </c>
      <c r="AJ319" s="268" t="n">
        <f aca="false">IF(ISNUMBER(S319),IFERROR(LOOKUP(IF(S319&lt;=1,S319,S319/100),'⚖️ Wahrscheinlichkeit'!$B$17:$B$21,'⚖️ Wahrscheinlichkeit'!$D$17:$D$21),0),0)</f>
        <v>0</v>
      </c>
      <c r="AK319" s="1" t="str">
        <f aca="false">IF(AND(R319="WON",ISNUMBER(I319)),AL319+(861-ROW())*0.000001,"")</f>
        <v/>
      </c>
      <c r="AL319" s="1" t="n">
        <f aca="false">IFERROR(I319*1,0)</f>
        <v>0</v>
      </c>
      <c r="AM319" s="1" t="n">
        <f aca="false">N(AM318)+IF(AND(R319="WON",B319&lt;&gt;""),1,0)</f>
        <v>12</v>
      </c>
      <c r="AN319" s="1" t="n">
        <f aca="false">N(AN318)+IF(AND(OR(R319="offered",R319="to be offered",R319="on hold"),B319&lt;&gt;""),1,0)</f>
        <v>33</v>
      </c>
      <c r="AO319" s="1" t="n">
        <f aca="false">N(AO318)+IF(AND(OR(R319="follow-up",R319="Evaluation",R319="tbd",R319="In evaluation"),B319&lt;&gt;""),1,0)</f>
        <v>1</v>
      </c>
      <c r="AP319" s="1" t="n">
        <f aca="false">IF(B319="",0,IF(COUNTIF('⚖️ Wahrscheinlichkeit'!$J$17:$J$24,R319)&gt;0,1,0))</f>
        <v>0</v>
      </c>
      <c r="AQ319" s="1" t="n">
        <f aca="false">IF(B319="",0,IF(AND(ISNUMBER(S319),COUNTIF('⚖️ Wahrscheinlichkeit'!$B$6:$B$11,S319)&gt;0),1,0))</f>
        <v>0</v>
      </c>
      <c r="AR319" s="1" t="n">
        <f aca="false">IF(B319="",0,IF(AND(COUNT(J319:M319)=4,SUM(J319:M319)&gt;0),1,0))</f>
        <v>0</v>
      </c>
      <c r="AS319" s="1" t="n">
        <f aca="false">IF(B319="",0,IF(AND(AF319&lt;&gt;"",AG319&lt;&gt;""),1,0))</f>
        <v>0</v>
      </c>
      <c r="AT319" s="1" t="n">
        <f aca="false">IF(AND(R319="WON",AS319=1,AR319=1),1,0)</f>
        <v>0</v>
      </c>
      <c r="AU319" s="1" t="n">
        <f aca="false">IF(B319="",0,IF(AD319="Alternative – zählt nicht",0,1))</f>
        <v>0</v>
      </c>
      <c r="AV319" s="1" t="n">
        <f aca="false">IF(B319="",0,IF(COUNTIF($B$6:$B$860,B319)&gt;1,1,0))</f>
        <v>0</v>
      </c>
      <c r="AX319" s="269" t="str">
        <f aca="false">IF(AY319=1,DATE(YEAR(O319),MONTH(O319),1),"")</f>
        <v/>
      </c>
      <c r="AY319" s="1" t="n">
        <f aca="false">IF(B319="",0,IF(AND(ISNUMBER(O319),ISNUMBER(P319)),IF(P319&gt;=O319,1,0),0))</f>
        <v>0</v>
      </c>
      <c r="AZ319" s="1" t="n">
        <f aca="false">IF(ISNUMBER(Y319),Y319,0)</f>
        <v>0</v>
      </c>
      <c r="BA319" s="1" t="str">
        <f aca="false">IF(B319="","",IF(AND(R319="WON",AS319=0),"⛔ Beleg fehlt · ","")&amp;IF(AND(R319="WON",AR319=0),"⛔ Einstand fehlt · ","")&amp;IF(AND(R319&lt;&gt;"WON",AR319=0),"○ Einstand offen · ","")&amp;IF(AND(R319="WON",AB319=""),"⛔ Vertragsart fehlt · ","")&amp;IF(AND(ISNUMBER(O319),ISNUMBER(P319)),IF(P319&lt;O319,"⚠ Ende vor Start · ",""),"")&amp;IF(AND(R319="WON",AY319=0,NOT(AND(ISNUMBER(O319),ISNUMBER(P319)))),"⛔ Zeitraum fehlt · ","")&amp;IF(AND(R319&lt;&gt;"WON",AY319=0,NOT(AND(ISNUMBER(O319),ISNUMBER(P319)))),"○ Zeitraum offen · ",""))</f>
        <v/>
      </c>
      <c r="BB319" s="1" t="str">
        <f aca="false">IF(B319="","",IF(AND(R319="WON",AS319=0),"⛔ Nachweis fehlt",IF(AND(ISNUMBER(O319),ISNUMBER(P319),P319&lt;O319),"⚠ Ende vor Start",IF(AND(R319="WON",AY319=0),"⛔ Zeitraum fehlt",IF(AR319=0,"○ Einstand offen",IF(AY319=0,"○ Zeitraum offen",IF(R319="WON","✅ belegt","✔ erfasst")))))))</f>
        <v/>
      </c>
    </row>
    <row r="320" customFormat="false" ht="15" hidden="false" customHeight="true" outlineLevel="0" collapsed="false">
      <c r="G320" s="1" t="str">
        <f aca="false">IF(B320="","",IF(AY320=1,P320-O320+1,IF(AW320="","",AW320)))</f>
        <v/>
      </c>
      <c r="I320" s="270"/>
      <c r="J320" s="270"/>
      <c r="K320" s="270"/>
      <c r="L320" s="270"/>
      <c r="M320" s="270"/>
      <c r="N320" s="270"/>
      <c r="O320" s="263"/>
      <c r="P320" s="263"/>
      <c r="Q320" s="270" t="str">
        <f aca="false">IF(AND(ISNUMBER(I320),ISNUMBER(S320)),I320*AJ320,IF(OR(I320&lt;&gt;"",S320&lt;&gt;""),"tbd",""))</f>
        <v/>
      </c>
      <c r="S320" s="268"/>
      <c r="Y320" s="275" t="str">
        <f aca="false">IF(ISNUMBER(I320),I320/Netto_Faktor,"")</f>
        <v/>
      </c>
      <c r="Z320" s="275" t="str">
        <f aca="false">IF(B320="","",IF(COUNT(J320:N320)=0,"",SUM(J320:N320)))</f>
        <v/>
      </c>
      <c r="AA320" s="266"/>
      <c r="AB320" s="266"/>
      <c r="AC320" s="266"/>
      <c r="AD320" s="266"/>
      <c r="AE320" s="266"/>
      <c r="AF320" s="266"/>
      <c r="AG320" s="267"/>
      <c r="AH320" s="266" t="str">
        <f aca="false">IF(B320="","",IF(BA320="",IF(R320="WON","✅ belegt &amp; vollständig","✔ vollständig"),LEFT(BA320,LEN(BA320)-3)))</f>
        <v/>
      </c>
      <c r="AJ320" s="268" t="n">
        <f aca="false">IF(ISNUMBER(S320),IFERROR(LOOKUP(IF(S320&lt;=1,S320,S320/100),'⚖️ Wahrscheinlichkeit'!$B$17:$B$21,'⚖️ Wahrscheinlichkeit'!$D$17:$D$21),0),0)</f>
        <v>0</v>
      </c>
      <c r="AK320" s="1" t="str">
        <f aca="false">IF(AND(R320="WON",ISNUMBER(I320)),AL320+(861-ROW())*0.000001,"")</f>
        <v/>
      </c>
      <c r="AL320" s="1" t="n">
        <f aca="false">IFERROR(I320*1,0)</f>
        <v>0</v>
      </c>
      <c r="AM320" s="1" t="n">
        <f aca="false">N(AM319)+IF(AND(R320="WON",B320&lt;&gt;""),1,0)</f>
        <v>12</v>
      </c>
      <c r="AN320" s="1" t="n">
        <f aca="false">N(AN319)+IF(AND(OR(R320="offered",R320="to be offered",R320="on hold"),B320&lt;&gt;""),1,0)</f>
        <v>33</v>
      </c>
      <c r="AO320" s="1" t="n">
        <f aca="false">N(AO319)+IF(AND(OR(R320="follow-up",R320="Evaluation",R320="tbd",R320="In evaluation"),B320&lt;&gt;""),1,0)</f>
        <v>1</v>
      </c>
      <c r="AP320" s="1" t="n">
        <f aca="false">IF(B320="",0,IF(COUNTIF('⚖️ Wahrscheinlichkeit'!$J$17:$J$24,R320)&gt;0,1,0))</f>
        <v>0</v>
      </c>
      <c r="AQ320" s="1" t="n">
        <f aca="false">IF(B320="",0,IF(AND(ISNUMBER(S320),COUNTIF('⚖️ Wahrscheinlichkeit'!$B$6:$B$11,S320)&gt;0),1,0))</f>
        <v>0</v>
      </c>
      <c r="AR320" s="1" t="n">
        <f aca="false">IF(B320="",0,IF(AND(COUNT(J320:M320)=4,SUM(J320:M320)&gt;0),1,0))</f>
        <v>0</v>
      </c>
      <c r="AS320" s="1" t="n">
        <f aca="false">IF(B320="",0,IF(AND(AF320&lt;&gt;"",AG320&lt;&gt;""),1,0))</f>
        <v>0</v>
      </c>
      <c r="AT320" s="1" t="n">
        <f aca="false">IF(AND(R320="WON",AS320=1,AR320=1),1,0)</f>
        <v>0</v>
      </c>
      <c r="AU320" s="1" t="n">
        <f aca="false">IF(B320="",0,IF(AD320="Alternative – zählt nicht",0,1))</f>
        <v>0</v>
      </c>
      <c r="AV320" s="1" t="n">
        <f aca="false">IF(B320="",0,IF(COUNTIF($B$6:$B$860,B320)&gt;1,1,0))</f>
        <v>0</v>
      </c>
      <c r="AX320" s="269" t="str">
        <f aca="false">IF(AY320=1,DATE(YEAR(O320),MONTH(O320),1),"")</f>
        <v/>
      </c>
      <c r="AY320" s="1" t="n">
        <f aca="false">IF(B320="",0,IF(AND(ISNUMBER(O320),ISNUMBER(P320)),IF(P320&gt;=O320,1,0),0))</f>
        <v>0</v>
      </c>
      <c r="AZ320" s="1" t="n">
        <f aca="false">IF(ISNUMBER(Y320),Y320,0)</f>
        <v>0</v>
      </c>
      <c r="BA320" s="1" t="str">
        <f aca="false">IF(B320="","",IF(AND(R320="WON",AS320=0),"⛔ Beleg fehlt · ","")&amp;IF(AND(R320="WON",AR320=0),"⛔ Einstand fehlt · ","")&amp;IF(AND(R320&lt;&gt;"WON",AR320=0),"○ Einstand offen · ","")&amp;IF(AND(R320="WON",AB320=""),"⛔ Vertragsart fehlt · ","")&amp;IF(AND(ISNUMBER(O320),ISNUMBER(P320)),IF(P320&lt;O320,"⚠ Ende vor Start · ",""),"")&amp;IF(AND(R320="WON",AY320=0,NOT(AND(ISNUMBER(O320),ISNUMBER(P320)))),"⛔ Zeitraum fehlt · ","")&amp;IF(AND(R320&lt;&gt;"WON",AY320=0,NOT(AND(ISNUMBER(O320),ISNUMBER(P320)))),"○ Zeitraum offen · ",""))</f>
        <v/>
      </c>
      <c r="BB320" s="1" t="str">
        <f aca="false">IF(B320="","",IF(AND(R320="WON",AS320=0),"⛔ Nachweis fehlt",IF(AND(ISNUMBER(O320),ISNUMBER(P320),P320&lt;O320),"⚠ Ende vor Start",IF(AND(R320="WON",AY320=0),"⛔ Zeitraum fehlt",IF(AR320=0,"○ Einstand offen",IF(AY320=0,"○ Zeitraum offen",IF(R320="WON","✅ belegt","✔ erfasst")))))))</f>
        <v/>
      </c>
    </row>
    <row r="321" customFormat="false" ht="15" hidden="false" customHeight="true" outlineLevel="0" collapsed="false">
      <c r="G321" s="1" t="str">
        <f aca="false">IF(B321="","",IF(AY321=1,P321-O321+1,IF(AW321="","",AW321)))</f>
        <v/>
      </c>
      <c r="I321" s="270"/>
      <c r="J321" s="270"/>
      <c r="K321" s="270"/>
      <c r="L321" s="270"/>
      <c r="M321" s="270"/>
      <c r="N321" s="270"/>
      <c r="O321" s="263"/>
      <c r="P321" s="263"/>
      <c r="Q321" s="270" t="str">
        <f aca="false">IF(AND(ISNUMBER(I321),ISNUMBER(S321)),I321*AJ321,IF(OR(I321&lt;&gt;"",S321&lt;&gt;""),"tbd",""))</f>
        <v/>
      </c>
      <c r="S321" s="268"/>
      <c r="Y321" s="275" t="str">
        <f aca="false">IF(ISNUMBER(I321),I321/Netto_Faktor,"")</f>
        <v/>
      </c>
      <c r="Z321" s="275" t="str">
        <f aca="false">IF(B321="","",IF(COUNT(J321:N321)=0,"",SUM(J321:N321)))</f>
        <v/>
      </c>
      <c r="AA321" s="266"/>
      <c r="AB321" s="266"/>
      <c r="AC321" s="266"/>
      <c r="AD321" s="266"/>
      <c r="AE321" s="266"/>
      <c r="AF321" s="266"/>
      <c r="AG321" s="267"/>
      <c r="AH321" s="266" t="str">
        <f aca="false">IF(B321="","",IF(BA321="",IF(R321="WON","✅ belegt &amp; vollständig","✔ vollständig"),LEFT(BA321,LEN(BA321)-3)))</f>
        <v/>
      </c>
      <c r="AJ321" s="268" t="n">
        <f aca="false">IF(ISNUMBER(S321),IFERROR(LOOKUP(IF(S321&lt;=1,S321,S321/100),'⚖️ Wahrscheinlichkeit'!$B$17:$B$21,'⚖️ Wahrscheinlichkeit'!$D$17:$D$21),0),0)</f>
        <v>0</v>
      </c>
      <c r="AK321" s="1" t="str">
        <f aca="false">IF(AND(R321="WON",ISNUMBER(I321)),AL321+(861-ROW())*0.000001,"")</f>
        <v/>
      </c>
      <c r="AL321" s="1" t="n">
        <f aca="false">IFERROR(I321*1,0)</f>
        <v>0</v>
      </c>
      <c r="AM321" s="1" t="n">
        <f aca="false">N(AM320)+IF(AND(R321="WON",B321&lt;&gt;""),1,0)</f>
        <v>12</v>
      </c>
      <c r="AN321" s="1" t="n">
        <f aca="false">N(AN320)+IF(AND(OR(R321="offered",R321="to be offered",R321="on hold"),B321&lt;&gt;""),1,0)</f>
        <v>33</v>
      </c>
      <c r="AO321" s="1" t="n">
        <f aca="false">N(AO320)+IF(AND(OR(R321="follow-up",R321="Evaluation",R321="tbd",R321="In evaluation"),B321&lt;&gt;""),1,0)</f>
        <v>1</v>
      </c>
      <c r="AP321" s="1" t="n">
        <f aca="false">IF(B321="",0,IF(COUNTIF('⚖️ Wahrscheinlichkeit'!$J$17:$J$24,R321)&gt;0,1,0))</f>
        <v>0</v>
      </c>
      <c r="AQ321" s="1" t="n">
        <f aca="false">IF(B321="",0,IF(AND(ISNUMBER(S321),COUNTIF('⚖️ Wahrscheinlichkeit'!$B$6:$B$11,S321)&gt;0),1,0))</f>
        <v>0</v>
      </c>
      <c r="AR321" s="1" t="n">
        <f aca="false">IF(B321="",0,IF(AND(COUNT(J321:M321)=4,SUM(J321:M321)&gt;0),1,0))</f>
        <v>0</v>
      </c>
      <c r="AS321" s="1" t="n">
        <f aca="false">IF(B321="",0,IF(AND(AF321&lt;&gt;"",AG321&lt;&gt;""),1,0))</f>
        <v>0</v>
      </c>
      <c r="AT321" s="1" t="n">
        <f aca="false">IF(AND(R321="WON",AS321=1,AR321=1),1,0)</f>
        <v>0</v>
      </c>
      <c r="AU321" s="1" t="n">
        <f aca="false">IF(B321="",0,IF(AD321="Alternative – zählt nicht",0,1))</f>
        <v>0</v>
      </c>
      <c r="AV321" s="1" t="n">
        <f aca="false">IF(B321="",0,IF(COUNTIF($B$6:$B$860,B321)&gt;1,1,0))</f>
        <v>0</v>
      </c>
      <c r="AX321" s="269" t="str">
        <f aca="false">IF(AY321=1,DATE(YEAR(O321),MONTH(O321),1),"")</f>
        <v/>
      </c>
      <c r="AY321" s="1" t="n">
        <f aca="false">IF(B321="",0,IF(AND(ISNUMBER(O321),ISNUMBER(P321)),IF(P321&gt;=O321,1,0),0))</f>
        <v>0</v>
      </c>
      <c r="AZ321" s="1" t="n">
        <f aca="false">IF(ISNUMBER(Y321),Y321,0)</f>
        <v>0</v>
      </c>
      <c r="BA321" s="1" t="str">
        <f aca="false">IF(B321="","",IF(AND(R321="WON",AS321=0),"⛔ Beleg fehlt · ","")&amp;IF(AND(R321="WON",AR321=0),"⛔ Einstand fehlt · ","")&amp;IF(AND(R321&lt;&gt;"WON",AR321=0),"○ Einstand offen · ","")&amp;IF(AND(R321="WON",AB321=""),"⛔ Vertragsart fehlt · ","")&amp;IF(AND(ISNUMBER(O321),ISNUMBER(P321)),IF(P321&lt;O321,"⚠ Ende vor Start · ",""),"")&amp;IF(AND(R321="WON",AY321=0,NOT(AND(ISNUMBER(O321),ISNUMBER(P321)))),"⛔ Zeitraum fehlt · ","")&amp;IF(AND(R321&lt;&gt;"WON",AY321=0,NOT(AND(ISNUMBER(O321),ISNUMBER(P321)))),"○ Zeitraum offen · ",""))</f>
        <v/>
      </c>
      <c r="BB321" s="1" t="str">
        <f aca="false">IF(B321="","",IF(AND(R321="WON",AS321=0),"⛔ Nachweis fehlt",IF(AND(ISNUMBER(O321),ISNUMBER(P321),P321&lt;O321),"⚠ Ende vor Start",IF(AND(R321="WON",AY321=0),"⛔ Zeitraum fehlt",IF(AR321=0,"○ Einstand offen",IF(AY321=0,"○ Zeitraum offen",IF(R321="WON","✅ belegt","✔ erfasst")))))))</f>
        <v/>
      </c>
    </row>
    <row r="322" customFormat="false" ht="15" hidden="false" customHeight="true" outlineLevel="0" collapsed="false">
      <c r="G322" s="1" t="str">
        <f aca="false">IF(B322="","",IF(AY322=1,P322-O322+1,IF(AW322="","",AW322)))</f>
        <v/>
      </c>
      <c r="I322" s="270"/>
      <c r="J322" s="270"/>
      <c r="K322" s="270"/>
      <c r="L322" s="270"/>
      <c r="M322" s="270"/>
      <c r="N322" s="270"/>
      <c r="O322" s="263"/>
      <c r="P322" s="263"/>
      <c r="Q322" s="270" t="str">
        <f aca="false">IF(AND(ISNUMBER(I322),ISNUMBER(S322)),I322*AJ322,IF(OR(I322&lt;&gt;"",S322&lt;&gt;""),"tbd",""))</f>
        <v/>
      </c>
      <c r="S322" s="268"/>
      <c r="Y322" s="275" t="str">
        <f aca="false">IF(ISNUMBER(I322),I322/Netto_Faktor,"")</f>
        <v/>
      </c>
      <c r="Z322" s="275" t="str">
        <f aca="false">IF(B322="","",IF(COUNT(J322:N322)=0,"",SUM(J322:N322)))</f>
        <v/>
      </c>
      <c r="AA322" s="266"/>
      <c r="AB322" s="266"/>
      <c r="AC322" s="266"/>
      <c r="AD322" s="266"/>
      <c r="AE322" s="266"/>
      <c r="AF322" s="266"/>
      <c r="AG322" s="267"/>
      <c r="AH322" s="266" t="str">
        <f aca="false">IF(B322="","",IF(BA322="",IF(R322="WON","✅ belegt &amp; vollständig","✔ vollständig"),LEFT(BA322,LEN(BA322)-3)))</f>
        <v/>
      </c>
      <c r="AJ322" s="268" t="n">
        <f aca="false">IF(ISNUMBER(S322),IFERROR(LOOKUP(IF(S322&lt;=1,S322,S322/100),'⚖️ Wahrscheinlichkeit'!$B$17:$B$21,'⚖️ Wahrscheinlichkeit'!$D$17:$D$21),0),0)</f>
        <v>0</v>
      </c>
      <c r="AK322" s="1" t="str">
        <f aca="false">IF(AND(R322="WON",ISNUMBER(I322)),AL322+(861-ROW())*0.000001,"")</f>
        <v/>
      </c>
      <c r="AL322" s="1" t="n">
        <f aca="false">IFERROR(I322*1,0)</f>
        <v>0</v>
      </c>
      <c r="AM322" s="1" t="n">
        <f aca="false">N(AM321)+IF(AND(R322="WON",B322&lt;&gt;""),1,0)</f>
        <v>12</v>
      </c>
      <c r="AN322" s="1" t="n">
        <f aca="false">N(AN321)+IF(AND(OR(R322="offered",R322="to be offered",R322="on hold"),B322&lt;&gt;""),1,0)</f>
        <v>33</v>
      </c>
      <c r="AO322" s="1" t="n">
        <f aca="false">N(AO321)+IF(AND(OR(R322="follow-up",R322="Evaluation",R322="tbd",R322="In evaluation"),B322&lt;&gt;""),1,0)</f>
        <v>1</v>
      </c>
      <c r="AP322" s="1" t="n">
        <f aca="false">IF(B322="",0,IF(COUNTIF('⚖️ Wahrscheinlichkeit'!$J$17:$J$24,R322)&gt;0,1,0))</f>
        <v>0</v>
      </c>
      <c r="AQ322" s="1" t="n">
        <f aca="false">IF(B322="",0,IF(AND(ISNUMBER(S322),COUNTIF('⚖️ Wahrscheinlichkeit'!$B$6:$B$11,S322)&gt;0),1,0))</f>
        <v>0</v>
      </c>
      <c r="AR322" s="1" t="n">
        <f aca="false">IF(B322="",0,IF(AND(COUNT(J322:M322)=4,SUM(J322:M322)&gt;0),1,0))</f>
        <v>0</v>
      </c>
      <c r="AS322" s="1" t="n">
        <f aca="false">IF(B322="",0,IF(AND(AF322&lt;&gt;"",AG322&lt;&gt;""),1,0))</f>
        <v>0</v>
      </c>
      <c r="AT322" s="1" t="n">
        <f aca="false">IF(AND(R322="WON",AS322=1,AR322=1),1,0)</f>
        <v>0</v>
      </c>
      <c r="AU322" s="1" t="n">
        <f aca="false">IF(B322="",0,IF(AD322="Alternative – zählt nicht",0,1))</f>
        <v>0</v>
      </c>
      <c r="AV322" s="1" t="n">
        <f aca="false">IF(B322="",0,IF(COUNTIF($B$6:$B$860,B322)&gt;1,1,0))</f>
        <v>0</v>
      </c>
      <c r="AX322" s="269" t="str">
        <f aca="false">IF(AY322=1,DATE(YEAR(O322),MONTH(O322),1),"")</f>
        <v/>
      </c>
      <c r="AY322" s="1" t="n">
        <f aca="false">IF(B322="",0,IF(AND(ISNUMBER(O322),ISNUMBER(P322)),IF(P322&gt;=O322,1,0),0))</f>
        <v>0</v>
      </c>
      <c r="AZ322" s="1" t="n">
        <f aca="false">IF(ISNUMBER(Y322),Y322,0)</f>
        <v>0</v>
      </c>
      <c r="BA322" s="1" t="str">
        <f aca="false">IF(B322="","",IF(AND(R322="WON",AS322=0),"⛔ Beleg fehlt · ","")&amp;IF(AND(R322="WON",AR322=0),"⛔ Einstand fehlt · ","")&amp;IF(AND(R322&lt;&gt;"WON",AR322=0),"○ Einstand offen · ","")&amp;IF(AND(R322="WON",AB322=""),"⛔ Vertragsart fehlt · ","")&amp;IF(AND(ISNUMBER(O322),ISNUMBER(P322)),IF(P322&lt;O322,"⚠ Ende vor Start · ",""),"")&amp;IF(AND(R322="WON",AY322=0,NOT(AND(ISNUMBER(O322),ISNUMBER(P322)))),"⛔ Zeitraum fehlt · ","")&amp;IF(AND(R322&lt;&gt;"WON",AY322=0,NOT(AND(ISNUMBER(O322),ISNUMBER(P322)))),"○ Zeitraum offen · ",""))</f>
        <v/>
      </c>
      <c r="BB322" s="1" t="str">
        <f aca="false">IF(B322="","",IF(AND(R322="WON",AS322=0),"⛔ Nachweis fehlt",IF(AND(ISNUMBER(O322),ISNUMBER(P322),P322&lt;O322),"⚠ Ende vor Start",IF(AND(R322="WON",AY322=0),"⛔ Zeitraum fehlt",IF(AR322=0,"○ Einstand offen",IF(AY322=0,"○ Zeitraum offen",IF(R322="WON","✅ belegt","✔ erfasst")))))))</f>
        <v/>
      </c>
    </row>
    <row r="323" customFormat="false" ht="15" hidden="false" customHeight="true" outlineLevel="0" collapsed="false">
      <c r="G323" s="1" t="str">
        <f aca="false">IF(B323="","",IF(AY323=1,P323-O323+1,IF(AW323="","",AW323)))</f>
        <v/>
      </c>
      <c r="I323" s="270"/>
      <c r="J323" s="270"/>
      <c r="K323" s="270"/>
      <c r="L323" s="270"/>
      <c r="M323" s="270"/>
      <c r="N323" s="270"/>
      <c r="O323" s="263"/>
      <c r="P323" s="263"/>
      <c r="Q323" s="270" t="str">
        <f aca="false">IF(AND(ISNUMBER(I323),ISNUMBER(S323)),I323*AJ323,IF(OR(I323&lt;&gt;"",S323&lt;&gt;""),"tbd",""))</f>
        <v/>
      </c>
      <c r="S323" s="268"/>
      <c r="Y323" s="275" t="str">
        <f aca="false">IF(ISNUMBER(I323),I323/Netto_Faktor,"")</f>
        <v/>
      </c>
      <c r="Z323" s="275" t="str">
        <f aca="false">IF(B323="","",IF(COUNT(J323:N323)=0,"",SUM(J323:N323)))</f>
        <v/>
      </c>
      <c r="AA323" s="266"/>
      <c r="AB323" s="266"/>
      <c r="AC323" s="266"/>
      <c r="AD323" s="266"/>
      <c r="AE323" s="266"/>
      <c r="AF323" s="266"/>
      <c r="AG323" s="267"/>
      <c r="AH323" s="266" t="str">
        <f aca="false">IF(B323="","",IF(BA323="",IF(R323="WON","✅ belegt &amp; vollständig","✔ vollständig"),LEFT(BA323,LEN(BA323)-3)))</f>
        <v/>
      </c>
      <c r="AJ323" s="268" t="n">
        <f aca="false">IF(ISNUMBER(S323),IFERROR(LOOKUP(IF(S323&lt;=1,S323,S323/100),'⚖️ Wahrscheinlichkeit'!$B$17:$B$21,'⚖️ Wahrscheinlichkeit'!$D$17:$D$21),0),0)</f>
        <v>0</v>
      </c>
      <c r="AK323" s="1" t="str">
        <f aca="false">IF(AND(R323="WON",ISNUMBER(I323)),AL323+(861-ROW())*0.000001,"")</f>
        <v/>
      </c>
      <c r="AL323" s="1" t="n">
        <f aca="false">IFERROR(I323*1,0)</f>
        <v>0</v>
      </c>
      <c r="AM323" s="1" t="n">
        <f aca="false">N(AM322)+IF(AND(R323="WON",B323&lt;&gt;""),1,0)</f>
        <v>12</v>
      </c>
      <c r="AN323" s="1" t="n">
        <f aca="false">N(AN322)+IF(AND(OR(R323="offered",R323="to be offered",R323="on hold"),B323&lt;&gt;""),1,0)</f>
        <v>33</v>
      </c>
      <c r="AO323" s="1" t="n">
        <f aca="false">N(AO322)+IF(AND(OR(R323="follow-up",R323="Evaluation",R323="tbd",R323="In evaluation"),B323&lt;&gt;""),1,0)</f>
        <v>1</v>
      </c>
      <c r="AP323" s="1" t="n">
        <f aca="false">IF(B323="",0,IF(COUNTIF('⚖️ Wahrscheinlichkeit'!$J$17:$J$24,R323)&gt;0,1,0))</f>
        <v>0</v>
      </c>
      <c r="AQ323" s="1" t="n">
        <f aca="false">IF(B323="",0,IF(AND(ISNUMBER(S323),COUNTIF('⚖️ Wahrscheinlichkeit'!$B$6:$B$11,S323)&gt;0),1,0))</f>
        <v>0</v>
      </c>
      <c r="AR323" s="1" t="n">
        <f aca="false">IF(B323="",0,IF(AND(COUNT(J323:M323)=4,SUM(J323:M323)&gt;0),1,0))</f>
        <v>0</v>
      </c>
      <c r="AS323" s="1" t="n">
        <f aca="false">IF(B323="",0,IF(AND(AF323&lt;&gt;"",AG323&lt;&gt;""),1,0))</f>
        <v>0</v>
      </c>
      <c r="AT323" s="1" t="n">
        <f aca="false">IF(AND(R323="WON",AS323=1,AR323=1),1,0)</f>
        <v>0</v>
      </c>
      <c r="AU323" s="1" t="n">
        <f aca="false">IF(B323="",0,IF(AD323="Alternative – zählt nicht",0,1))</f>
        <v>0</v>
      </c>
      <c r="AV323" s="1" t="n">
        <f aca="false">IF(B323="",0,IF(COUNTIF($B$6:$B$860,B323)&gt;1,1,0))</f>
        <v>0</v>
      </c>
      <c r="AX323" s="269" t="str">
        <f aca="false">IF(AY323=1,DATE(YEAR(O323),MONTH(O323),1),"")</f>
        <v/>
      </c>
      <c r="AY323" s="1" t="n">
        <f aca="false">IF(B323="",0,IF(AND(ISNUMBER(O323),ISNUMBER(P323)),IF(P323&gt;=O323,1,0),0))</f>
        <v>0</v>
      </c>
      <c r="AZ323" s="1" t="n">
        <f aca="false">IF(ISNUMBER(Y323),Y323,0)</f>
        <v>0</v>
      </c>
      <c r="BA323" s="1" t="str">
        <f aca="false">IF(B323="","",IF(AND(R323="WON",AS323=0),"⛔ Beleg fehlt · ","")&amp;IF(AND(R323="WON",AR323=0),"⛔ Einstand fehlt · ","")&amp;IF(AND(R323&lt;&gt;"WON",AR323=0),"○ Einstand offen · ","")&amp;IF(AND(R323="WON",AB323=""),"⛔ Vertragsart fehlt · ","")&amp;IF(AND(ISNUMBER(O323),ISNUMBER(P323)),IF(P323&lt;O323,"⚠ Ende vor Start · ",""),"")&amp;IF(AND(R323="WON",AY323=0,NOT(AND(ISNUMBER(O323),ISNUMBER(P323)))),"⛔ Zeitraum fehlt · ","")&amp;IF(AND(R323&lt;&gt;"WON",AY323=0,NOT(AND(ISNUMBER(O323),ISNUMBER(P323)))),"○ Zeitraum offen · ",""))</f>
        <v/>
      </c>
      <c r="BB323" s="1" t="str">
        <f aca="false">IF(B323="","",IF(AND(R323="WON",AS323=0),"⛔ Nachweis fehlt",IF(AND(ISNUMBER(O323),ISNUMBER(P323),P323&lt;O323),"⚠ Ende vor Start",IF(AND(R323="WON",AY323=0),"⛔ Zeitraum fehlt",IF(AR323=0,"○ Einstand offen",IF(AY323=0,"○ Zeitraum offen",IF(R323="WON","✅ belegt","✔ erfasst")))))))</f>
        <v/>
      </c>
    </row>
    <row r="324" customFormat="false" ht="15" hidden="false" customHeight="true" outlineLevel="0" collapsed="false">
      <c r="G324" s="1" t="str">
        <f aca="false">IF(B324="","",IF(AY324=1,P324-O324+1,IF(AW324="","",AW324)))</f>
        <v/>
      </c>
      <c r="I324" s="270"/>
      <c r="J324" s="270"/>
      <c r="K324" s="270"/>
      <c r="L324" s="270"/>
      <c r="M324" s="270"/>
      <c r="N324" s="270"/>
      <c r="O324" s="263"/>
      <c r="P324" s="263"/>
      <c r="Q324" s="270" t="str">
        <f aca="false">IF(AND(ISNUMBER(I324),ISNUMBER(S324)),I324*AJ324,IF(OR(I324&lt;&gt;"",S324&lt;&gt;""),"tbd",""))</f>
        <v/>
      </c>
      <c r="S324" s="268"/>
      <c r="Y324" s="275" t="str">
        <f aca="false">IF(ISNUMBER(I324),I324/Netto_Faktor,"")</f>
        <v/>
      </c>
      <c r="Z324" s="275" t="str">
        <f aca="false">IF(B324="","",IF(COUNT(J324:N324)=0,"",SUM(J324:N324)))</f>
        <v/>
      </c>
      <c r="AA324" s="266"/>
      <c r="AB324" s="266"/>
      <c r="AC324" s="266"/>
      <c r="AD324" s="266"/>
      <c r="AE324" s="266"/>
      <c r="AF324" s="266"/>
      <c r="AG324" s="267"/>
      <c r="AH324" s="266" t="str">
        <f aca="false">IF(B324="","",IF(BA324="",IF(R324="WON","✅ belegt &amp; vollständig","✔ vollständig"),LEFT(BA324,LEN(BA324)-3)))</f>
        <v/>
      </c>
      <c r="AJ324" s="268" t="n">
        <f aca="false">IF(ISNUMBER(S324),IFERROR(LOOKUP(IF(S324&lt;=1,S324,S324/100),'⚖️ Wahrscheinlichkeit'!$B$17:$B$21,'⚖️ Wahrscheinlichkeit'!$D$17:$D$21),0),0)</f>
        <v>0</v>
      </c>
      <c r="AK324" s="1" t="str">
        <f aca="false">IF(AND(R324="WON",ISNUMBER(I324)),AL324+(861-ROW())*0.000001,"")</f>
        <v/>
      </c>
      <c r="AL324" s="1" t="n">
        <f aca="false">IFERROR(I324*1,0)</f>
        <v>0</v>
      </c>
      <c r="AM324" s="1" t="n">
        <f aca="false">N(AM323)+IF(AND(R324="WON",B324&lt;&gt;""),1,0)</f>
        <v>12</v>
      </c>
      <c r="AN324" s="1" t="n">
        <f aca="false">N(AN323)+IF(AND(OR(R324="offered",R324="to be offered",R324="on hold"),B324&lt;&gt;""),1,0)</f>
        <v>33</v>
      </c>
      <c r="AO324" s="1" t="n">
        <f aca="false">N(AO323)+IF(AND(OR(R324="follow-up",R324="Evaluation",R324="tbd",R324="In evaluation"),B324&lt;&gt;""),1,0)</f>
        <v>1</v>
      </c>
      <c r="AP324" s="1" t="n">
        <f aca="false">IF(B324="",0,IF(COUNTIF('⚖️ Wahrscheinlichkeit'!$J$17:$J$24,R324)&gt;0,1,0))</f>
        <v>0</v>
      </c>
      <c r="AQ324" s="1" t="n">
        <f aca="false">IF(B324="",0,IF(AND(ISNUMBER(S324),COUNTIF('⚖️ Wahrscheinlichkeit'!$B$6:$B$11,S324)&gt;0),1,0))</f>
        <v>0</v>
      </c>
      <c r="AR324" s="1" t="n">
        <f aca="false">IF(B324="",0,IF(AND(COUNT(J324:M324)=4,SUM(J324:M324)&gt;0),1,0))</f>
        <v>0</v>
      </c>
      <c r="AS324" s="1" t="n">
        <f aca="false">IF(B324="",0,IF(AND(AF324&lt;&gt;"",AG324&lt;&gt;""),1,0))</f>
        <v>0</v>
      </c>
      <c r="AT324" s="1" t="n">
        <f aca="false">IF(AND(R324="WON",AS324=1,AR324=1),1,0)</f>
        <v>0</v>
      </c>
      <c r="AU324" s="1" t="n">
        <f aca="false">IF(B324="",0,IF(AD324="Alternative – zählt nicht",0,1))</f>
        <v>0</v>
      </c>
      <c r="AV324" s="1" t="n">
        <f aca="false">IF(B324="",0,IF(COUNTIF($B$6:$B$860,B324)&gt;1,1,0))</f>
        <v>0</v>
      </c>
      <c r="AX324" s="269" t="str">
        <f aca="false">IF(AY324=1,DATE(YEAR(O324),MONTH(O324),1),"")</f>
        <v/>
      </c>
      <c r="AY324" s="1" t="n">
        <f aca="false">IF(B324="",0,IF(AND(ISNUMBER(O324),ISNUMBER(P324)),IF(P324&gt;=O324,1,0),0))</f>
        <v>0</v>
      </c>
      <c r="AZ324" s="1" t="n">
        <f aca="false">IF(ISNUMBER(Y324),Y324,0)</f>
        <v>0</v>
      </c>
      <c r="BA324" s="1" t="str">
        <f aca="false">IF(B324="","",IF(AND(R324="WON",AS324=0),"⛔ Beleg fehlt · ","")&amp;IF(AND(R324="WON",AR324=0),"⛔ Einstand fehlt · ","")&amp;IF(AND(R324&lt;&gt;"WON",AR324=0),"○ Einstand offen · ","")&amp;IF(AND(R324="WON",AB324=""),"⛔ Vertragsart fehlt · ","")&amp;IF(AND(ISNUMBER(O324),ISNUMBER(P324)),IF(P324&lt;O324,"⚠ Ende vor Start · ",""),"")&amp;IF(AND(R324="WON",AY324=0,NOT(AND(ISNUMBER(O324),ISNUMBER(P324)))),"⛔ Zeitraum fehlt · ","")&amp;IF(AND(R324&lt;&gt;"WON",AY324=0,NOT(AND(ISNUMBER(O324),ISNUMBER(P324)))),"○ Zeitraum offen · ",""))</f>
        <v/>
      </c>
      <c r="BB324" s="1" t="str">
        <f aca="false">IF(B324="","",IF(AND(R324="WON",AS324=0),"⛔ Nachweis fehlt",IF(AND(ISNUMBER(O324),ISNUMBER(P324),P324&lt;O324),"⚠ Ende vor Start",IF(AND(R324="WON",AY324=0),"⛔ Zeitraum fehlt",IF(AR324=0,"○ Einstand offen",IF(AY324=0,"○ Zeitraum offen",IF(R324="WON","✅ belegt","✔ erfasst")))))))</f>
        <v/>
      </c>
    </row>
    <row r="325" customFormat="false" ht="15" hidden="false" customHeight="true" outlineLevel="0" collapsed="false">
      <c r="G325" s="1" t="str">
        <f aca="false">IF(B325="","",IF(AY325=1,P325-O325+1,IF(AW325="","",AW325)))</f>
        <v/>
      </c>
      <c r="I325" s="270"/>
      <c r="J325" s="270"/>
      <c r="K325" s="270"/>
      <c r="L325" s="270"/>
      <c r="M325" s="270"/>
      <c r="N325" s="270"/>
      <c r="O325" s="263"/>
      <c r="P325" s="263"/>
      <c r="Q325" s="270" t="str">
        <f aca="false">IF(AND(ISNUMBER(I325),ISNUMBER(S325)),I325*AJ325,IF(OR(I325&lt;&gt;"",S325&lt;&gt;""),"tbd",""))</f>
        <v/>
      </c>
      <c r="S325" s="268"/>
      <c r="Y325" s="275" t="str">
        <f aca="false">IF(ISNUMBER(I325),I325/Netto_Faktor,"")</f>
        <v/>
      </c>
      <c r="Z325" s="275" t="str">
        <f aca="false">IF(B325="","",IF(COUNT(J325:N325)=0,"",SUM(J325:N325)))</f>
        <v/>
      </c>
      <c r="AA325" s="266"/>
      <c r="AB325" s="266"/>
      <c r="AC325" s="266"/>
      <c r="AD325" s="266"/>
      <c r="AE325" s="266"/>
      <c r="AF325" s="266"/>
      <c r="AG325" s="267"/>
      <c r="AH325" s="266" t="str">
        <f aca="false">IF(B325="","",IF(BA325="",IF(R325="WON","✅ belegt &amp; vollständig","✔ vollständig"),LEFT(BA325,LEN(BA325)-3)))</f>
        <v/>
      </c>
      <c r="AJ325" s="268" t="n">
        <f aca="false">IF(ISNUMBER(S325),IFERROR(LOOKUP(IF(S325&lt;=1,S325,S325/100),'⚖️ Wahrscheinlichkeit'!$B$17:$B$21,'⚖️ Wahrscheinlichkeit'!$D$17:$D$21),0),0)</f>
        <v>0</v>
      </c>
      <c r="AK325" s="1" t="str">
        <f aca="false">IF(AND(R325="WON",ISNUMBER(I325)),AL325+(861-ROW())*0.000001,"")</f>
        <v/>
      </c>
      <c r="AL325" s="1" t="n">
        <f aca="false">IFERROR(I325*1,0)</f>
        <v>0</v>
      </c>
      <c r="AM325" s="1" t="n">
        <f aca="false">N(AM324)+IF(AND(R325="WON",B325&lt;&gt;""),1,0)</f>
        <v>12</v>
      </c>
      <c r="AN325" s="1" t="n">
        <f aca="false">N(AN324)+IF(AND(OR(R325="offered",R325="to be offered",R325="on hold"),B325&lt;&gt;""),1,0)</f>
        <v>33</v>
      </c>
      <c r="AO325" s="1" t="n">
        <f aca="false">N(AO324)+IF(AND(OR(R325="follow-up",R325="Evaluation",R325="tbd",R325="In evaluation"),B325&lt;&gt;""),1,0)</f>
        <v>1</v>
      </c>
      <c r="AP325" s="1" t="n">
        <f aca="false">IF(B325="",0,IF(COUNTIF('⚖️ Wahrscheinlichkeit'!$J$17:$J$24,R325)&gt;0,1,0))</f>
        <v>0</v>
      </c>
      <c r="AQ325" s="1" t="n">
        <f aca="false">IF(B325="",0,IF(AND(ISNUMBER(S325),COUNTIF('⚖️ Wahrscheinlichkeit'!$B$6:$B$11,S325)&gt;0),1,0))</f>
        <v>0</v>
      </c>
      <c r="AR325" s="1" t="n">
        <f aca="false">IF(B325="",0,IF(AND(COUNT(J325:M325)=4,SUM(J325:M325)&gt;0),1,0))</f>
        <v>0</v>
      </c>
      <c r="AS325" s="1" t="n">
        <f aca="false">IF(B325="",0,IF(AND(AF325&lt;&gt;"",AG325&lt;&gt;""),1,0))</f>
        <v>0</v>
      </c>
      <c r="AT325" s="1" t="n">
        <f aca="false">IF(AND(R325="WON",AS325=1,AR325=1),1,0)</f>
        <v>0</v>
      </c>
      <c r="AU325" s="1" t="n">
        <f aca="false">IF(B325="",0,IF(AD325="Alternative – zählt nicht",0,1))</f>
        <v>0</v>
      </c>
      <c r="AV325" s="1" t="n">
        <f aca="false">IF(B325="",0,IF(COUNTIF($B$6:$B$860,B325)&gt;1,1,0))</f>
        <v>0</v>
      </c>
      <c r="AX325" s="269" t="str">
        <f aca="false">IF(AY325=1,DATE(YEAR(O325),MONTH(O325),1),"")</f>
        <v/>
      </c>
      <c r="AY325" s="1" t="n">
        <f aca="false">IF(B325="",0,IF(AND(ISNUMBER(O325),ISNUMBER(P325)),IF(P325&gt;=O325,1,0),0))</f>
        <v>0</v>
      </c>
      <c r="AZ325" s="1" t="n">
        <f aca="false">IF(ISNUMBER(Y325),Y325,0)</f>
        <v>0</v>
      </c>
      <c r="BA325" s="1" t="str">
        <f aca="false">IF(B325="","",IF(AND(R325="WON",AS325=0),"⛔ Beleg fehlt · ","")&amp;IF(AND(R325="WON",AR325=0),"⛔ Einstand fehlt · ","")&amp;IF(AND(R325&lt;&gt;"WON",AR325=0),"○ Einstand offen · ","")&amp;IF(AND(R325="WON",AB325=""),"⛔ Vertragsart fehlt · ","")&amp;IF(AND(ISNUMBER(O325),ISNUMBER(P325)),IF(P325&lt;O325,"⚠ Ende vor Start · ",""),"")&amp;IF(AND(R325="WON",AY325=0,NOT(AND(ISNUMBER(O325),ISNUMBER(P325)))),"⛔ Zeitraum fehlt · ","")&amp;IF(AND(R325&lt;&gt;"WON",AY325=0,NOT(AND(ISNUMBER(O325),ISNUMBER(P325)))),"○ Zeitraum offen · ",""))</f>
        <v/>
      </c>
      <c r="BB325" s="1" t="str">
        <f aca="false">IF(B325="","",IF(AND(R325="WON",AS325=0),"⛔ Nachweis fehlt",IF(AND(ISNUMBER(O325),ISNUMBER(P325),P325&lt;O325),"⚠ Ende vor Start",IF(AND(R325="WON",AY325=0),"⛔ Zeitraum fehlt",IF(AR325=0,"○ Einstand offen",IF(AY325=0,"○ Zeitraum offen",IF(R325="WON","✅ belegt","✔ erfasst")))))))</f>
        <v/>
      </c>
    </row>
    <row r="326" customFormat="false" ht="15" hidden="false" customHeight="true" outlineLevel="0" collapsed="false">
      <c r="G326" s="1" t="str">
        <f aca="false">IF(B326="","",IF(AY326=1,P326-O326+1,IF(AW326="","",AW326)))</f>
        <v/>
      </c>
      <c r="I326" s="270"/>
      <c r="J326" s="270"/>
      <c r="K326" s="270"/>
      <c r="L326" s="270"/>
      <c r="M326" s="270"/>
      <c r="N326" s="270"/>
      <c r="O326" s="263"/>
      <c r="P326" s="263"/>
      <c r="Q326" s="270" t="str">
        <f aca="false">IF(AND(ISNUMBER(I326),ISNUMBER(S326)),I326*AJ326,IF(OR(I326&lt;&gt;"",S326&lt;&gt;""),"tbd",""))</f>
        <v/>
      </c>
      <c r="S326" s="268"/>
      <c r="Y326" s="275" t="str">
        <f aca="false">IF(ISNUMBER(I326),I326/Netto_Faktor,"")</f>
        <v/>
      </c>
      <c r="Z326" s="275" t="str">
        <f aca="false">IF(B326="","",IF(COUNT(J326:N326)=0,"",SUM(J326:N326)))</f>
        <v/>
      </c>
      <c r="AA326" s="266"/>
      <c r="AB326" s="266"/>
      <c r="AC326" s="266"/>
      <c r="AD326" s="266"/>
      <c r="AE326" s="266"/>
      <c r="AF326" s="266"/>
      <c r="AG326" s="267"/>
      <c r="AH326" s="266" t="str">
        <f aca="false">IF(B326="","",IF(BA326="",IF(R326="WON","✅ belegt &amp; vollständig","✔ vollständig"),LEFT(BA326,LEN(BA326)-3)))</f>
        <v/>
      </c>
      <c r="AJ326" s="268" t="n">
        <f aca="false">IF(ISNUMBER(S326),IFERROR(LOOKUP(IF(S326&lt;=1,S326,S326/100),'⚖️ Wahrscheinlichkeit'!$B$17:$B$21,'⚖️ Wahrscheinlichkeit'!$D$17:$D$21),0),0)</f>
        <v>0</v>
      </c>
      <c r="AK326" s="1" t="str">
        <f aca="false">IF(AND(R326="WON",ISNUMBER(I326)),AL326+(861-ROW())*0.000001,"")</f>
        <v/>
      </c>
      <c r="AL326" s="1" t="n">
        <f aca="false">IFERROR(I326*1,0)</f>
        <v>0</v>
      </c>
      <c r="AM326" s="1" t="n">
        <f aca="false">N(AM325)+IF(AND(R326="WON",B326&lt;&gt;""),1,0)</f>
        <v>12</v>
      </c>
      <c r="AN326" s="1" t="n">
        <f aca="false">N(AN325)+IF(AND(OR(R326="offered",R326="to be offered",R326="on hold"),B326&lt;&gt;""),1,0)</f>
        <v>33</v>
      </c>
      <c r="AO326" s="1" t="n">
        <f aca="false">N(AO325)+IF(AND(OR(R326="follow-up",R326="Evaluation",R326="tbd",R326="In evaluation"),B326&lt;&gt;""),1,0)</f>
        <v>1</v>
      </c>
      <c r="AP326" s="1" t="n">
        <f aca="false">IF(B326="",0,IF(COUNTIF('⚖️ Wahrscheinlichkeit'!$J$17:$J$24,R326)&gt;0,1,0))</f>
        <v>0</v>
      </c>
      <c r="AQ326" s="1" t="n">
        <f aca="false">IF(B326="",0,IF(AND(ISNUMBER(S326),COUNTIF('⚖️ Wahrscheinlichkeit'!$B$6:$B$11,S326)&gt;0),1,0))</f>
        <v>0</v>
      </c>
      <c r="AR326" s="1" t="n">
        <f aca="false">IF(B326="",0,IF(AND(COUNT(J326:M326)=4,SUM(J326:M326)&gt;0),1,0))</f>
        <v>0</v>
      </c>
      <c r="AS326" s="1" t="n">
        <f aca="false">IF(B326="",0,IF(AND(AF326&lt;&gt;"",AG326&lt;&gt;""),1,0))</f>
        <v>0</v>
      </c>
      <c r="AT326" s="1" t="n">
        <f aca="false">IF(AND(R326="WON",AS326=1,AR326=1),1,0)</f>
        <v>0</v>
      </c>
      <c r="AU326" s="1" t="n">
        <f aca="false">IF(B326="",0,IF(AD326="Alternative – zählt nicht",0,1))</f>
        <v>0</v>
      </c>
      <c r="AV326" s="1" t="n">
        <f aca="false">IF(B326="",0,IF(COUNTIF($B$6:$B$860,B326)&gt;1,1,0))</f>
        <v>0</v>
      </c>
      <c r="AX326" s="269" t="str">
        <f aca="false">IF(AY326=1,DATE(YEAR(O326),MONTH(O326),1),"")</f>
        <v/>
      </c>
      <c r="AY326" s="1" t="n">
        <f aca="false">IF(B326="",0,IF(AND(ISNUMBER(O326),ISNUMBER(P326)),IF(P326&gt;=O326,1,0),0))</f>
        <v>0</v>
      </c>
      <c r="AZ326" s="1" t="n">
        <f aca="false">IF(ISNUMBER(Y326),Y326,0)</f>
        <v>0</v>
      </c>
      <c r="BA326" s="1" t="str">
        <f aca="false">IF(B326="","",IF(AND(R326="WON",AS326=0),"⛔ Beleg fehlt · ","")&amp;IF(AND(R326="WON",AR326=0),"⛔ Einstand fehlt · ","")&amp;IF(AND(R326&lt;&gt;"WON",AR326=0),"○ Einstand offen · ","")&amp;IF(AND(R326="WON",AB326=""),"⛔ Vertragsart fehlt · ","")&amp;IF(AND(ISNUMBER(O326),ISNUMBER(P326)),IF(P326&lt;O326,"⚠ Ende vor Start · ",""),"")&amp;IF(AND(R326="WON",AY326=0,NOT(AND(ISNUMBER(O326),ISNUMBER(P326)))),"⛔ Zeitraum fehlt · ","")&amp;IF(AND(R326&lt;&gt;"WON",AY326=0,NOT(AND(ISNUMBER(O326),ISNUMBER(P326)))),"○ Zeitraum offen · ",""))</f>
        <v/>
      </c>
      <c r="BB326" s="1" t="str">
        <f aca="false">IF(B326="","",IF(AND(R326="WON",AS326=0),"⛔ Nachweis fehlt",IF(AND(ISNUMBER(O326),ISNUMBER(P326),P326&lt;O326),"⚠ Ende vor Start",IF(AND(R326="WON",AY326=0),"⛔ Zeitraum fehlt",IF(AR326=0,"○ Einstand offen",IF(AY326=0,"○ Zeitraum offen",IF(R326="WON","✅ belegt","✔ erfasst")))))))</f>
        <v/>
      </c>
    </row>
    <row r="327" customFormat="false" ht="15" hidden="false" customHeight="true" outlineLevel="0" collapsed="false">
      <c r="G327" s="1" t="str">
        <f aca="false">IF(B327="","",IF(AY327=1,P327-O327+1,IF(AW327="","",AW327)))</f>
        <v/>
      </c>
      <c r="I327" s="270"/>
      <c r="J327" s="270"/>
      <c r="K327" s="270"/>
      <c r="L327" s="270"/>
      <c r="M327" s="270"/>
      <c r="N327" s="270"/>
      <c r="O327" s="263"/>
      <c r="P327" s="263"/>
      <c r="Q327" s="270" t="str">
        <f aca="false">IF(AND(ISNUMBER(I327),ISNUMBER(S327)),I327*AJ327,IF(OR(I327&lt;&gt;"",S327&lt;&gt;""),"tbd",""))</f>
        <v/>
      </c>
      <c r="S327" s="268"/>
      <c r="Y327" s="275" t="str">
        <f aca="false">IF(ISNUMBER(I327),I327/Netto_Faktor,"")</f>
        <v/>
      </c>
      <c r="Z327" s="275" t="str">
        <f aca="false">IF(B327="","",IF(COUNT(J327:N327)=0,"",SUM(J327:N327)))</f>
        <v/>
      </c>
      <c r="AA327" s="266"/>
      <c r="AB327" s="266"/>
      <c r="AC327" s="266"/>
      <c r="AD327" s="266"/>
      <c r="AE327" s="266"/>
      <c r="AF327" s="266"/>
      <c r="AG327" s="267"/>
      <c r="AH327" s="266" t="str">
        <f aca="false">IF(B327="","",IF(BA327="",IF(R327="WON","✅ belegt &amp; vollständig","✔ vollständig"),LEFT(BA327,LEN(BA327)-3)))</f>
        <v/>
      </c>
      <c r="AJ327" s="268" t="n">
        <f aca="false">IF(ISNUMBER(S327),IFERROR(LOOKUP(IF(S327&lt;=1,S327,S327/100),'⚖️ Wahrscheinlichkeit'!$B$17:$B$21,'⚖️ Wahrscheinlichkeit'!$D$17:$D$21),0),0)</f>
        <v>0</v>
      </c>
      <c r="AK327" s="1" t="str">
        <f aca="false">IF(AND(R327="WON",ISNUMBER(I327)),AL327+(861-ROW())*0.000001,"")</f>
        <v/>
      </c>
      <c r="AL327" s="1" t="n">
        <f aca="false">IFERROR(I327*1,0)</f>
        <v>0</v>
      </c>
      <c r="AM327" s="1" t="n">
        <f aca="false">N(AM326)+IF(AND(R327="WON",B327&lt;&gt;""),1,0)</f>
        <v>12</v>
      </c>
      <c r="AN327" s="1" t="n">
        <f aca="false">N(AN326)+IF(AND(OR(R327="offered",R327="to be offered",R327="on hold"),B327&lt;&gt;""),1,0)</f>
        <v>33</v>
      </c>
      <c r="AO327" s="1" t="n">
        <f aca="false">N(AO326)+IF(AND(OR(R327="follow-up",R327="Evaluation",R327="tbd",R327="In evaluation"),B327&lt;&gt;""),1,0)</f>
        <v>1</v>
      </c>
      <c r="AP327" s="1" t="n">
        <f aca="false">IF(B327="",0,IF(COUNTIF('⚖️ Wahrscheinlichkeit'!$J$17:$J$24,R327)&gt;0,1,0))</f>
        <v>0</v>
      </c>
      <c r="AQ327" s="1" t="n">
        <f aca="false">IF(B327="",0,IF(AND(ISNUMBER(S327),COUNTIF('⚖️ Wahrscheinlichkeit'!$B$6:$B$11,S327)&gt;0),1,0))</f>
        <v>0</v>
      </c>
      <c r="AR327" s="1" t="n">
        <f aca="false">IF(B327="",0,IF(AND(COUNT(J327:M327)=4,SUM(J327:M327)&gt;0),1,0))</f>
        <v>0</v>
      </c>
      <c r="AS327" s="1" t="n">
        <f aca="false">IF(B327="",0,IF(AND(AF327&lt;&gt;"",AG327&lt;&gt;""),1,0))</f>
        <v>0</v>
      </c>
      <c r="AT327" s="1" t="n">
        <f aca="false">IF(AND(R327="WON",AS327=1,AR327=1),1,0)</f>
        <v>0</v>
      </c>
      <c r="AU327" s="1" t="n">
        <f aca="false">IF(B327="",0,IF(AD327="Alternative – zählt nicht",0,1))</f>
        <v>0</v>
      </c>
      <c r="AV327" s="1" t="n">
        <f aca="false">IF(B327="",0,IF(COUNTIF($B$6:$B$860,B327)&gt;1,1,0))</f>
        <v>0</v>
      </c>
      <c r="AX327" s="269" t="str">
        <f aca="false">IF(AY327=1,DATE(YEAR(O327),MONTH(O327),1),"")</f>
        <v/>
      </c>
      <c r="AY327" s="1" t="n">
        <f aca="false">IF(B327="",0,IF(AND(ISNUMBER(O327),ISNUMBER(P327)),IF(P327&gt;=O327,1,0),0))</f>
        <v>0</v>
      </c>
      <c r="AZ327" s="1" t="n">
        <f aca="false">IF(ISNUMBER(Y327),Y327,0)</f>
        <v>0</v>
      </c>
      <c r="BA327" s="1" t="str">
        <f aca="false">IF(B327="","",IF(AND(R327="WON",AS327=0),"⛔ Beleg fehlt · ","")&amp;IF(AND(R327="WON",AR327=0),"⛔ Einstand fehlt · ","")&amp;IF(AND(R327&lt;&gt;"WON",AR327=0),"○ Einstand offen · ","")&amp;IF(AND(R327="WON",AB327=""),"⛔ Vertragsart fehlt · ","")&amp;IF(AND(ISNUMBER(O327),ISNUMBER(P327)),IF(P327&lt;O327,"⚠ Ende vor Start · ",""),"")&amp;IF(AND(R327="WON",AY327=0,NOT(AND(ISNUMBER(O327),ISNUMBER(P327)))),"⛔ Zeitraum fehlt · ","")&amp;IF(AND(R327&lt;&gt;"WON",AY327=0,NOT(AND(ISNUMBER(O327),ISNUMBER(P327)))),"○ Zeitraum offen · ",""))</f>
        <v/>
      </c>
      <c r="BB327" s="1" t="str">
        <f aca="false">IF(B327="","",IF(AND(R327="WON",AS327=0),"⛔ Nachweis fehlt",IF(AND(ISNUMBER(O327),ISNUMBER(P327),P327&lt;O327),"⚠ Ende vor Start",IF(AND(R327="WON",AY327=0),"⛔ Zeitraum fehlt",IF(AR327=0,"○ Einstand offen",IF(AY327=0,"○ Zeitraum offen",IF(R327="WON","✅ belegt","✔ erfasst")))))))</f>
        <v/>
      </c>
    </row>
    <row r="328" customFormat="false" ht="15" hidden="false" customHeight="true" outlineLevel="0" collapsed="false">
      <c r="G328" s="1" t="str">
        <f aca="false">IF(B328="","",IF(AY328=1,P328-O328+1,IF(AW328="","",AW328)))</f>
        <v/>
      </c>
      <c r="I328" s="270"/>
      <c r="J328" s="270"/>
      <c r="K328" s="270"/>
      <c r="L328" s="270"/>
      <c r="M328" s="270"/>
      <c r="N328" s="270"/>
      <c r="O328" s="263"/>
      <c r="P328" s="263"/>
      <c r="Q328" s="270" t="str">
        <f aca="false">IF(AND(ISNUMBER(I328),ISNUMBER(S328)),I328*AJ328,IF(OR(I328&lt;&gt;"",S328&lt;&gt;""),"tbd",""))</f>
        <v/>
      </c>
      <c r="S328" s="268"/>
      <c r="Y328" s="275" t="str">
        <f aca="false">IF(ISNUMBER(I328),I328/Netto_Faktor,"")</f>
        <v/>
      </c>
      <c r="Z328" s="275" t="str">
        <f aca="false">IF(B328="","",IF(COUNT(J328:N328)=0,"",SUM(J328:N328)))</f>
        <v/>
      </c>
      <c r="AA328" s="266"/>
      <c r="AB328" s="266"/>
      <c r="AC328" s="266"/>
      <c r="AD328" s="266"/>
      <c r="AE328" s="266"/>
      <c r="AF328" s="266"/>
      <c r="AG328" s="267"/>
      <c r="AH328" s="266" t="str">
        <f aca="false">IF(B328="","",IF(BA328="",IF(R328="WON","✅ belegt &amp; vollständig","✔ vollständig"),LEFT(BA328,LEN(BA328)-3)))</f>
        <v/>
      </c>
      <c r="AJ328" s="268" t="n">
        <f aca="false">IF(ISNUMBER(S328),IFERROR(LOOKUP(IF(S328&lt;=1,S328,S328/100),'⚖️ Wahrscheinlichkeit'!$B$17:$B$21,'⚖️ Wahrscheinlichkeit'!$D$17:$D$21),0),0)</f>
        <v>0</v>
      </c>
      <c r="AK328" s="1" t="str">
        <f aca="false">IF(AND(R328="WON",ISNUMBER(I328)),AL328+(861-ROW())*0.000001,"")</f>
        <v/>
      </c>
      <c r="AL328" s="1" t="n">
        <f aca="false">IFERROR(I328*1,0)</f>
        <v>0</v>
      </c>
      <c r="AM328" s="1" t="n">
        <f aca="false">N(AM327)+IF(AND(R328="WON",B328&lt;&gt;""),1,0)</f>
        <v>12</v>
      </c>
      <c r="AN328" s="1" t="n">
        <f aca="false">N(AN327)+IF(AND(OR(R328="offered",R328="to be offered",R328="on hold"),B328&lt;&gt;""),1,0)</f>
        <v>33</v>
      </c>
      <c r="AO328" s="1" t="n">
        <f aca="false">N(AO327)+IF(AND(OR(R328="follow-up",R328="Evaluation",R328="tbd",R328="In evaluation"),B328&lt;&gt;""),1,0)</f>
        <v>1</v>
      </c>
      <c r="AP328" s="1" t="n">
        <f aca="false">IF(B328="",0,IF(COUNTIF('⚖️ Wahrscheinlichkeit'!$J$17:$J$24,R328)&gt;0,1,0))</f>
        <v>0</v>
      </c>
      <c r="AQ328" s="1" t="n">
        <f aca="false">IF(B328="",0,IF(AND(ISNUMBER(S328),COUNTIF('⚖️ Wahrscheinlichkeit'!$B$6:$B$11,S328)&gt;0),1,0))</f>
        <v>0</v>
      </c>
      <c r="AR328" s="1" t="n">
        <f aca="false">IF(B328="",0,IF(AND(COUNT(J328:M328)=4,SUM(J328:M328)&gt;0),1,0))</f>
        <v>0</v>
      </c>
      <c r="AS328" s="1" t="n">
        <f aca="false">IF(B328="",0,IF(AND(AF328&lt;&gt;"",AG328&lt;&gt;""),1,0))</f>
        <v>0</v>
      </c>
      <c r="AT328" s="1" t="n">
        <f aca="false">IF(AND(R328="WON",AS328=1,AR328=1),1,0)</f>
        <v>0</v>
      </c>
      <c r="AU328" s="1" t="n">
        <f aca="false">IF(B328="",0,IF(AD328="Alternative – zählt nicht",0,1))</f>
        <v>0</v>
      </c>
      <c r="AV328" s="1" t="n">
        <f aca="false">IF(B328="",0,IF(COUNTIF($B$6:$B$860,B328)&gt;1,1,0))</f>
        <v>0</v>
      </c>
      <c r="AX328" s="269" t="str">
        <f aca="false">IF(AY328=1,DATE(YEAR(O328),MONTH(O328),1),"")</f>
        <v/>
      </c>
      <c r="AY328" s="1" t="n">
        <f aca="false">IF(B328="",0,IF(AND(ISNUMBER(O328),ISNUMBER(P328)),IF(P328&gt;=O328,1,0),0))</f>
        <v>0</v>
      </c>
      <c r="AZ328" s="1" t="n">
        <f aca="false">IF(ISNUMBER(Y328),Y328,0)</f>
        <v>0</v>
      </c>
      <c r="BA328" s="1" t="str">
        <f aca="false">IF(B328="","",IF(AND(R328="WON",AS328=0),"⛔ Beleg fehlt · ","")&amp;IF(AND(R328="WON",AR328=0),"⛔ Einstand fehlt · ","")&amp;IF(AND(R328&lt;&gt;"WON",AR328=0),"○ Einstand offen · ","")&amp;IF(AND(R328="WON",AB328=""),"⛔ Vertragsart fehlt · ","")&amp;IF(AND(ISNUMBER(O328),ISNUMBER(P328)),IF(P328&lt;O328,"⚠ Ende vor Start · ",""),"")&amp;IF(AND(R328="WON",AY328=0,NOT(AND(ISNUMBER(O328),ISNUMBER(P328)))),"⛔ Zeitraum fehlt · ","")&amp;IF(AND(R328&lt;&gt;"WON",AY328=0,NOT(AND(ISNUMBER(O328),ISNUMBER(P328)))),"○ Zeitraum offen · ",""))</f>
        <v/>
      </c>
      <c r="BB328" s="1" t="str">
        <f aca="false">IF(B328="","",IF(AND(R328="WON",AS328=0),"⛔ Nachweis fehlt",IF(AND(ISNUMBER(O328),ISNUMBER(P328),P328&lt;O328),"⚠ Ende vor Start",IF(AND(R328="WON",AY328=0),"⛔ Zeitraum fehlt",IF(AR328=0,"○ Einstand offen",IF(AY328=0,"○ Zeitraum offen",IF(R328="WON","✅ belegt","✔ erfasst")))))))</f>
        <v/>
      </c>
    </row>
    <row r="329" customFormat="false" ht="15" hidden="false" customHeight="true" outlineLevel="0" collapsed="false">
      <c r="G329" s="1" t="str">
        <f aca="false">IF(B329="","",IF(AY329=1,P329-O329+1,IF(AW329="","",AW329)))</f>
        <v/>
      </c>
      <c r="I329" s="270"/>
      <c r="J329" s="270"/>
      <c r="K329" s="270"/>
      <c r="L329" s="270"/>
      <c r="M329" s="270"/>
      <c r="N329" s="270"/>
      <c r="O329" s="263"/>
      <c r="P329" s="263"/>
      <c r="Q329" s="270" t="str">
        <f aca="false">IF(AND(ISNUMBER(I329),ISNUMBER(S329)),I329*AJ329,IF(OR(I329&lt;&gt;"",S329&lt;&gt;""),"tbd",""))</f>
        <v/>
      </c>
      <c r="S329" s="268"/>
      <c r="Y329" s="275" t="str">
        <f aca="false">IF(ISNUMBER(I329),I329/Netto_Faktor,"")</f>
        <v/>
      </c>
      <c r="Z329" s="275" t="str">
        <f aca="false">IF(B329="","",IF(COUNT(J329:N329)=0,"",SUM(J329:N329)))</f>
        <v/>
      </c>
      <c r="AA329" s="266"/>
      <c r="AB329" s="266"/>
      <c r="AC329" s="266"/>
      <c r="AD329" s="266"/>
      <c r="AE329" s="266"/>
      <c r="AF329" s="266"/>
      <c r="AG329" s="267"/>
      <c r="AH329" s="266" t="str">
        <f aca="false">IF(B329="","",IF(BA329="",IF(R329="WON","✅ belegt &amp; vollständig","✔ vollständig"),LEFT(BA329,LEN(BA329)-3)))</f>
        <v/>
      </c>
      <c r="AJ329" s="268" t="n">
        <f aca="false">IF(ISNUMBER(S329),IFERROR(LOOKUP(IF(S329&lt;=1,S329,S329/100),'⚖️ Wahrscheinlichkeit'!$B$17:$B$21,'⚖️ Wahrscheinlichkeit'!$D$17:$D$21),0),0)</f>
        <v>0</v>
      </c>
      <c r="AK329" s="1" t="str">
        <f aca="false">IF(AND(R329="WON",ISNUMBER(I329)),AL329+(861-ROW())*0.000001,"")</f>
        <v/>
      </c>
      <c r="AL329" s="1" t="n">
        <f aca="false">IFERROR(I329*1,0)</f>
        <v>0</v>
      </c>
      <c r="AM329" s="1" t="n">
        <f aca="false">N(AM328)+IF(AND(R329="WON",B329&lt;&gt;""),1,0)</f>
        <v>12</v>
      </c>
      <c r="AN329" s="1" t="n">
        <f aca="false">N(AN328)+IF(AND(OR(R329="offered",R329="to be offered",R329="on hold"),B329&lt;&gt;""),1,0)</f>
        <v>33</v>
      </c>
      <c r="AO329" s="1" t="n">
        <f aca="false">N(AO328)+IF(AND(OR(R329="follow-up",R329="Evaluation",R329="tbd",R329="In evaluation"),B329&lt;&gt;""),1,0)</f>
        <v>1</v>
      </c>
      <c r="AP329" s="1" t="n">
        <f aca="false">IF(B329="",0,IF(COUNTIF('⚖️ Wahrscheinlichkeit'!$J$17:$J$24,R329)&gt;0,1,0))</f>
        <v>0</v>
      </c>
      <c r="AQ329" s="1" t="n">
        <f aca="false">IF(B329="",0,IF(AND(ISNUMBER(S329),COUNTIF('⚖️ Wahrscheinlichkeit'!$B$6:$B$11,S329)&gt;0),1,0))</f>
        <v>0</v>
      </c>
      <c r="AR329" s="1" t="n">
        <f aca="false">IF(B329="",0,IF(AND(COUNT(J329:M329)=4,SUM(J329:M329)&gt;0),1,0))</f>
        <v>0</v>
      </c>
      <c r="AS329" s="1" t="n">
        <f aca="false">IF(B329="",0,IF(AND(AF329&lt;&gt;"",AG329&lt;&gt;""),1,0))</f>
        <v>0</v>
      </c>
      <c r="AT329" s="1" t="n">
        <f aca="false">IF(AND(R329="WON",AS329=1,AR329=1),1,0)</f>
        <v>0</v>
      </c>
      <c r="AU329" s="1" t="n">
        <f aca="false">IF(B329="",0,IF(AD329="Alternative – zählt nicht",0,1))</f>
        <v>0</v>
      </c>
      <c r="AV329" s="1" t="n">
        <f aca="false">IF(B329="",0,IF(COUNTIF($B$6:$B$860,B329)&gt;1,1,0))</f>
        <v>0</v>
      </c>
      <c r="AX329" s="269" t="str">
        <f aca="false">IF(AY329=1,DATE(YEAR(O329),MONTH(O329),1),"")</f>
        <v/>
      </c>
      <c r="AY329" s="1" t="n">
        <f aca="false">IF(B329="",0,IF(AND(ISNUMBER(O329),ISNUMBER(P329)),IF(P329&gt;=O329,1,0),0))</f>
        <v>0</v>
      </c>
      <c r="AZ329" s="1" t="n">
        <f aca="false">IF(ISNUMBER(Y329),Y329,0)</f>
        <v>0</v>
      </c>
      <c r="BA329" s="1" t="str">
        <f aca="false">IF(B329="","",IF(AND(R329="WON",AS329=0),"⛔ Beleg fehlt · ","")&amp;IF(AND(R329="WON",AR329=0),"⛔ Einstand fehlt · ","")&amp;IF(AND(R329&lt;&gt;"WON",AR329=0),"○ Einstand offen · ","")&amp;IF(AND(R329="WON",AB329=""),"⛔ Vertragsart fehlt · ","")&amp;IF(AND(ISNUMBER(O329),ISNUMBER(P329)),IF(P329&lt;O329,"⚠ Ende vor Start · ",""),"")&amp;IF(AND(R329="WON",AY329=0,NOT(AND(ISNUMBER(O329),ISNUMBER(P329)))),"⛔ Zeitraum fehlt · ","")&amp;IF(AND(R329&lt;&gt;"WON",AY329=0,NOT(AND(ISNUMBER(O329),ISNUMBER(P329)))),"○ Zeitraum offen · ",""))</f>
        <v/>
      </c>
      <c r="BB329" s="1" t="str">
        <f aca="false">IF(B329="","",IF(AND(R329="WON",AS329=0),"⛔ Nachweis fehlt",IF(AND(ISNUMBER(O329),ISNUMBER(P329),P329&lt;O329),"⚠ Ende vor Start",IF(AND(R329="WON",AY329=0),"⛔ Zeitraum fehlt",IF(AR329=0,"○ Einstand offen",IF(AY329=0,"○ Zeitraum offen",IF(R329="WON","✅ belegt","✔ erfasst")))))))</f>
        <v/>
      </c>
    </row>
    <row r="330" customFormat="false" ht="15" hidden="false" customHeight="true" outlineLevel="0" collapsed="false">
      <c r="G330" s="1" t="str">
        <f aca="false">IF(B330="","",IF(AY330=1,P330-O330+1,IF(AW330="","",AW330)))</f>
        <v/>
      </c>
      <c r="I330" s="270"/>
      <c r="J330" s="270"/>
      <c r="K330" s="270"/>
      <c r="L330" s="270"/>
      <c r="M330" s="270"/>
      <c r="N330" s="270"/>
      <c r="O330" s="263"/>
      <c r="P330" s="263"/>
      <c r="Q330" s="270" t="str">
        <f aca="false">IF(AND(ISNUMBER(I330),ISNUMBER(S330)),I330*AJ330,IF(OR(I330&lt;&gt;"",S330&lt;&gt;""),"tbd",""))</f>
        <v/>
      </c>
      <c r="S330" s="268"/>
      <c r="Y330" s="275" t="str">
        <f aca="false">IF(ISNUMBER(I330),I330/Netto_Faktor,"")</f>
        <v/>
      </c>
      <c r="Z330" s="275" t="str">
        <f aca="false">IF(B330="","",IF(COUNT(J330:N330)=0,"",SUM(J330:N330)))</f>
        <v/>
      </c>
      <c r="AA330" s="266"/>
      <c r="AB330" s="266"/>
      <c r="AC330" s="266"/>
      <c r="AD330" s="266"/>
      <c r="AE330" s="266"/>
      <c r="AF330" s="266"/>
      <c r="AG330" s="267"/>
      <c r="AH330" s="266" t="str">
        <f aca="false">IF(B330="","",IF(BA330="",IF(R330="WON","✅ belegt &amp; vollständig","✔ vollständig"),LEFT(BA330,LEN(BA330)-3)))</f>
        <v/>
      </c>
      <c r="AJ330" s="268" t="n">
        <f aca="false">IF(ISNUMBER(S330),IFERROR(LOOKUP(IF(S330&lt;=1,S330,S330/100),'⚖️ Wahrscheinlichkeit'!$B$17:$B$21,'⚖️ Wahrscheinlichkeit'!$D$17:$D$21),0),0)</f>
        <v>0</v>
      </c>
      <c r="AK330" s="1" t="str">
        <f aca="false">IF(AND(R330="WON",ISNUMBER(I330)),AL330+(861-ROW())*0.000001,"")</f>
        <v/>
      </c>
      <c r="AL330" s="1" t="n">
        <f aca="false">IFERROR(I330*1,0)</f>
        <v>0</v>
      </c>
      <c r="AM330" s="1" t="n">
        <f aca="false">N(AM329)+IF(AND(R330="WON",B330&lt;&gt;""),1,0)</f>
        <v>12</v>
      </c>
      <c r="AN330" s="1" t="n">
        <f aca="false">N(AN329)+IF(AND(OR(R330="offered",R330="to be offered",R330="on hold"),B330&lt;&gt;""),1,0)</f>
        <v>33</v>
      </c>
      <c r="AO330" s="1" t="n">
        <f aca="false">N(AO329)+IF(AND(OR(R330="follow-up",R330="Evaluation",R330="tbd",R330="In evaluation"),B330&lt;&gt;""),1,0)</f>
        <v>1</v>
      </c>
      <c r="AP330" s="1" t="n">
        <f aca="false">IF(B330="",0,IF(COUNTIF('⚖️ Wahrscheinlichkeit'!$J$17:$J$24,R330)&gt;0,1,0))</f>
        <v>0</v>
      </c>
      <c r="AQ330" s="1" t="n">
        <f aca="false">IF(B330="",0,IF(AND(ISNUMBER(S330),COUNTIF('⚖️ Wahrscheinlichkeit'!$B$6:$B$11,S330)&gt;0),1,0))</f>
        <v>0</v>
      </c>
      <c r="AR330" s="1" t="n">
        <f aca="false">IF(B330="",0,IF(AND(COUNT(J330:M330)=4,SUM(J330:M330)&gt;0),1,0))</f>
        <v>0</v>
      </c>
      <c r="AS330" s="1" t="n">
        <f aca="false">IF(B330="",0,IF(AND(AF330&lt;&gt;"",AG330&lt;&gt;""),1,0))</f>
        <v>0</v>
      </c>
      <c r="AT330" s="1" t="n">
        <f aca="false">IF(AND(R330="WON",AS330=1,AR330=1),1,0)</f>
        <v>0</v>
      </c>
      <c r="AU330" s="1" t="n">
        <f aca="false">IF(B330="",0,IF(AD330="Alternative – zählt nicht",0,1))</f>
        <v>0</v>
      </c>
      <c r="AV330" s="1" t="n">
        <f aca="false">IF(B330="",0,IF(COUNTIF($B$6:$B$860,B330)&gt;1,1,0))</f>
        <v>0</v>
      </c>
      <c r="AX330" s="269" t="str">
        <f aca="false">IF(AY330=1,DATE(YEAR(O330),MONTH(O330),1),"")</f>
        <v/>
      </c>
      <c r="AY330" s="1" t="n">
        <f aca="false">IF(B330="",0,IF(AND(ISNUMBER(O330),ISNUMBER(P330)),IF(P330&gt;=O330,1,0),0))</f>
        <v>0</v>
      </c>
      <c r="AZ330" s="1" t="n">
        <f aca="false">IF(ISNUMBER(Y330),Y330,0)</f>
        <v>0</v>
      </c>
      <c r="BA330" s="1" t="str">
        <f aca="false">IF(B330="","",IF(AND(R330="WON",AS330=0),"⛔ Beleg fehlt · ","")&amp;IF(AND(R330="WON",AR330=0),"⛔ Einstand fehlt · ","")&amp;IF(AND(R330&lt;&gt;"WON",AR330=0),"○ Einstand offen · ","")&amp;IF(AND(R330="WON",AB330=""),"⛔ Vertragsart fehlt · ","")&amp;IF(AND(ISNUMBER(O330),ISNUMBER(P330)),IF(P330&lt;O330,"⚠ Ende vor Start · ",""),"")&amp;IF(AND(R330="WON",AY330=0,NOT(AND(ISNUMBER(O330),ISNUMBER(P330)))),"⛔ Zeitraum fehlt · ","")&amp;IF(AND(R330&lt;&gt;"WON",AY330=0,NOT(AND(ISNUMBER(O330),ISNUMBER(P330)))),"○ Zeitraum offen · ",""))</f>
        <v/>
      </c>
      <c r="BB330" s="1" t="str">
        <f aca="false">IF(B330="","",IF(AND(R330="WON",AS330=0),"⛔ Nachweis fehlt",IF(AND(ISNUMBER(O330),ISNUMBER(P330),P330&lt;O330),"⚠ Ende vor Start",IF(AND(R330="WON",AY330=0),"⛔ Zeitraum fehlt",IF(AR330=0,"○ Einstand offen",IF(AY330=0,"○ Zeitraum offen",IF(R330="WON","✅ belegt","✔ erfasst")))))))</f>
        <v/>
      </c>
    </row>
    <row r="331" customFormat="false" ht="15" hidden="false" customHeight="true" outlineLevel="0" collapsed="false">
      <c r="G331" s="1" t="str">
        <f aca="false">IF(B331="","",IF(AY331=1,P331-O331+1,IF(AW331="","",AW331)))</f>
        <v/>
      </c>
      <c r="I331" s="270"/>
      <c r="J331" s="270"/>
      <c r="K331" s="270"/>
      <c r="L331" s="270"/>
      <c r="M331" s="270"/>
      <c r="N331" s="270"/>
      <c r="O331" s="263"/>
      <c r="P331" s="263"/>
      <c r="Q331" s="270" t="str">
        <f aca="false">IF(AND(ISNUMBER(I331),ISNUMBER(S331)),I331*AJ331,IF(OR(I331&lt;&gt;"",S331&lt;&gt;""),"tbd",""))</f>
        <v/>
      </c>
      <c r="S331" s="268"/>
      <c r="Y331" s="275" t="str">
        <f aca="false">IF(ISNUMBER(I331),I331/Netto_Faktor,"")</f>
        <v/>
      </c>
      <c r="Z331" s="275" t="str">
        <f aca="false">IF(B331="","",IF(COUNT(J331:N331)=0,"",SUM(J331:N331)))</f>
        <v/>
      </c>
      <c r="AA331" s="266"/>
      <c r="AB331" s="266"/>
      <c r="AC331" s="266"/>
      <c r="AD331" s="266"/>
      <c r="AE331" s="266"/>
      <c r="AF331" s="266"/>
      <c r="AG331" s="267"/>
      <c r="AH331" s="266" t="str">
        <f aca="false">IF(B331="","",IF(BA331="",IF(R331="WON","✅ belegt &amp; vollständig","✔ vollständig"),LEFT(BA331,LEN(BA331)-3)))</f>
        <v/>
      </c>
      <c r="AJ331" s="268" t="n">
        <f aca="false">IF(ISNUMBER(S331),IFERROR(LOOKUP(IF(S331&lt;=1,S331,S331/100),'⚖️ Wahrscheinlichkeit'!$B$17:$B$21,'⚖️ Wahrscheinlichkeit'!$D$17:$D$21),0),0)</f>
        <v>0</v>
      </c>
      <c r="AK331" s="1" t="str">
        <f aca="false">IF(AND(R331="WON",ISNUMBER(I331)),AL331+(861-ROW())*0.000001,"")</f>
        <v/>
      </c>
      <c r="AL331" s="1" t="n">
        <f aca="false">IFERROR(I331*1,0)</f>
        <v>0</v>
      </c>
      <c r="AM331" s="1" t="n">
        <f aca="false">N(AM330)+IF(AND(R331="WON",B331&lt;&gt;""),1,0)</f>
        <v>12</v>
      </c>
      <c r="AN331" s="1" t="n">
        <f aca="false">N(AN330)+IF(AND(OR(R331="offered",R331="to be offered",R331="on hold"),B331&lt;&gt;""),1,0)</f>
        <v>33</v>
      </c>
      <c r="AO331" s="1" t="n">
        <f aca="false">N(AO330)+IF(AND(OR(R331="follow-up",R331="Evaluation",R331="tbd",R331="In evaluation"),B331&lt;&gt;""),1,0)</f>
        <v>1</v>
      </c>
      <c r="AP331" s="1" t="n">
        <f aca="false">IF(B331="",0,IF(COUNTIF('⚖️ Wahrscheinlichkeit'!$J$17:$J$24,R331)&gt;0,1,0))</f>
        <v>0</v>
      </c>
      <c r="AQ331" s="1" t="n">
        <f aca="false">IF(B331="",0,IF(AND(ISNUMBER(S331),COUNTIF('⚖️ Wahrscheinlichkeit'!$B$6:$B$11,S331)&gt;0),1,0))</f>
        <v>0</v>
      </c>
      <c r="AR331" s="1" t="n">
        <f aca="false">IF(B331="",0,IF(AND(COUNT(J331:M331)=4,SUM(J331:M331)&gt;0),1,0))</f>
        <v>0</v>
      </c>
      <c r="AS331" s="1" t="n">
        <f aca="false">IF(B331="",0,IF(AND(AF331&lt;&gt;"",AG331&lt;&gt;""),1,0))</f>
        <v>0</v>
      </c>
      <c r="AT331" s="1" t="n">
        <f aca="false">IF(AND(R331="WON",AS331=1,AR331=1),1,0)</f>
        <v>0</v>
      </c>
      <c r="AU331" s="1" t="n">
        <f aca="false">IF(B331="",0,IF(AD331="Alternative – zählt nicht",0,1))</f>
        <v>0</v>
      </c>
      <c r="AV331" s="1" t="n">
        <f aca="false">IF(B331="",0,IF(COUNTIF($B$6:$B$860,B331)&gt;1,1,0))</f>
        <v>0</v>
      </c>
      <c r="AX331" s="269" t="str">
        <f aca="false">IF(AY331=1,DATE(YEAR(O331),MONTH(O331),1),"")</f>
        <v/>
      </c>
      <c r="AY331" s="1" t="n">
        <f aca="false">IF(B331="",0,IF(AND(ISNUMBER(O331),ISNUMBER(P331)),IF(P331&gt;=O331,1,0),0))</f>
        <v>0</v>
      </c>
      <c r="AZ331" s="1" t="n">
        <f aca="false">IF(ISNUMBER(Y331),Y331,0)</f>
        <v>0</v>
      </c>
      <c r="BA331" s="1" t="str">
        <f aca="false">IF(B331="","",IF(AND(R331="WON",AS331=0),"⛔ Beleg fehlt · ","")&amp;IF(AND(R331="WON",AR331=0),"⛔ Einstand fehlt · ","")&amp;IF(AND(R331&lt;&gt;"WON",AR331=0),"○ Einstand offen · ","")&amp;IF(AND(R331="WON",AB331=""),"⛔ Vertragsart fehlt · ","")&amp;IF(AND(ISNUMBER(O331),ISNUMBER(P331)),IF(P331&lt;O331,"⚠ Ende vor Start · ",""),"")&amp;IF(AND(R331="WON",AY331=0,NOT(AND(ISNUMBER(O331),ISNUMBER(P331)))),"⛔ Zeitraum fehlt · ","")&amp;IF(AND(R331&lt;&gt;"WON",AY331=0,NOT(AND(ISNUMBER(O331),ISNUMBER(P331)))),"○ Zeitraum offen · ",""))</f>
        <v/>
      </c>
      <c r="BB331" s="1" t="str">
        <f aca="false">IF(B331="","",IF(AND(R331="WON",AS331=0),"⛔ Nachweis fehlt",IF(AND(ISNUMBER(O331),ISNUMBER(P331),P331&lt;O331),"⚠ Ende vor Start",IF(AND(R331="WON",AY331=0),"⛔ Zeitraum fehlt",IF(AR331=0,"○ Einstand offen",IF(AY331=0,"○ Zeitraum offen",IF(R331="WON","✅ belegt","✔ erfasst")))))))</f>
        <v/>
      </c>
    </row>
    <row r="332" customFormat="false" ht="15" hidden="false" customHeight="true" outlineLevel="0" collapsed="false">
      <c r="G332" s="1" t="str">
        <f aca="false">IF(B332="","",IF(AY332=1,P332-O332+1,IF(AW332="","",AW332)))</f>
        <v/>
      </c>
      <c r="I332" s="270"/>
      <c r="J332" s="270"/>
      <c r="K332" s="270"/>
      <c r="L332" s="270"/>
      <c r="M332" s="270"/>
      <c r="N332" s="270"/>
      <c r="O332" s="263"/>
      <c r="P332" s="263"/>
      <c r="Q332" s="270" t="str">
        <f aca="false">IF(AND(ISNUMBER(I332),ISNUMBER(S332)),I332*AJ332,IF(OR(I332&lt;&gt;"",S332&lt;&gt;""),"tbd",""))</f>
        <v/>
      </c>
      <c r="S332" s="268"/>
      <c r="Y332" s="275" t="str">
        <f aca="false">IF(ISNUMBER(I332),I332/Netto_Faktor,"")</f>
        <v/>
      </c>
      <c r="Z332" s="275" t="str">
        <f aca="false">IF(B332="","",IF(COUNT(J332:N332)=0,"",SUM(J332:N332)))</f>
        <v/>
      </c>
      <c r="AA332" s="266"/>
      <c r="AB332" s="266"/>
      <c r="AC332" s="266"/>
      <c r="AD332" s="266"/>
      <c r="AE332" s="266"/>
      <c r="AF332" s="266"/>
      <c r="AG332" s="267"/>
      <c r="AH332" s="266" t="str">
        <f aca="false">IF(B332="","",IF(BA332="",IF(R332="WON","✅ belegt &amp; vollständig","✔ vollständig"),LEFT(BA332,LEN(BA332)-3)))</f>
        <v/>
      </c>
      <c r="AJ332" s="268" t="n">
        <f aca="false">IF(ISNUMBER(S332),IFERROR(LOOKUP(IF(S332&lt;=1,S332,S332/100),'⚖️ Wahrscheinlichkeit'!$B$17:$B$21,'⚖️ Wahrscheinlichkeit'!$D$17:$D$21),0),0)</f>
        <v>0</v>
      </c>
      <c r="AK332" s="1" t="str">
        <f aca="false">IF(AND(R332="WON",ISNUMBER(I332)),AL332+(861-ROW())*0.000001,"")</f>
        <v/>
      </c>
      <c r="AL332" s="1" t="n">
        <f aca="false">IFERROR(I332*1,0)</f>
        <v>0</v>
      </c>
      <c r="AM332" s="1" t="n">
        <f aca="false">N(AM331)+IF(AND(R332="WON",B332&lt;&gt;""),1,0)</f>
        <v>12</v>
      </c>
      <c r="AN332" s="1" t="n">
        <f aca="false">N(AN331)+IF(AND(OR(R332="offered",R332="to be offered",R332="on hold"),B332&lt;&gt;""),1,0)</f>
        <v>33</v>
      </c>
      <c r="AO332" s="1" t="n">
        <f aca="false">N(AO331)+IF(AND(OR(R332="follow-up",R332="Evaluation",R332="tbd",R332="In evaluation"),B332&lt;&gt;""),1,0)</f>
        <v>1</v>
      </c>
      <c r="AP332" s="1" t="n">
        <f aca="false">IF(B332="",0,IF(COUNTIF('⚖️ Wahrscheinlichkeit'!$J$17:$J$24,R332)&gt;0,1,0))</f>
        <v>0</v>
      </c>
      <c r="AQ332" s="1" t="n">
        <f aca="false">IF(B332="",0,IF(AND(ISNUMBER(S332),COUNTIF('⚖️ Wahrscheinlichkeit'!$B$6:$B$11,S332)&gt;0),1,0))</f>
        <v>0</v>
      </c>
      <c r="AR332" s="1" t="n">
        <f aca="false">IF(B332="",0,IF(AND(COUNT(J332:M332)=4,SUM(J332:M332)&gt;0),1,0))</f>
        <v>0</v>
      </c>
      <c r="AS332" s="1" t="n">
        <f aca="false">IF(B332="",0,IF(AND(AF332&lt;&gt;"",AG332&lt;&gt;""),1,0))</f>
        <v>0</v>
      </c>
      <c r="AT332" s="1" t="n">
        <f aca="false">IF(AND(R332="WON",AS332=1,AR332=1),1,0)</f>
        <v>0</v>
      </c>
      <c r="AU332" s="1" t="n">
        <f aca="false">IF(B332="",0,IF(AD332="Alternative – zählt nicht",0,1))</f>
        <v>0</v>
      </c>
      <c r="AV332" s="1" t="n">
        <f aca="false">IF(B332="",0,IF(COUNTIF($B$6:$B$860,B332)&gt;1,1,0))</f>
        <v>0</v>
      </c>
      <c r="AX332" s="269" t="str">
        <f aca="false">IF(AY332=1,DATE(YEAR(O332),MONTH(O332),1),"")</f>
        <v/>
      </c>
      <c r="AY332" s="1" t="n">
        <f aca="false">IF(B332="",0,IF(AND(ISNUMBER(O332),ISNUMBER(P332)),IF(P332&gt;=O332,1,0),0))</f>
        <v>0</v>
      </c>
      <c r="AZ332" s="1" t="n">
        <f aca="false">IF(ISNUMBER(Y332),Y332,0)</f>
        <v>0</v>
      </c>
      <c r="BA332" s="1" t="str">
        <f aca="false">IF(B332="","",IF(AND(R332="WON",AS332=0),"⛔ Beleg fehlt · ","")&amp;IF(AND(R332="WON",AR332=0),"⛔ Einstand fehlt · ","")&amp;IF(AND(R332&lt;&gt;"WON",AR332=0),"○ Einstand offen · ","")&amp;IF(AND(R332="WON",AB332=""),"⛔ Vertragsart fehlt · ","")&amp;IF(AND(ISNUMBER(O332),ISNUMBER(P332)),IF(P332&lt;O332,"⚠ Ende vor Start · ",""),"")&amp;IF(AND(R332="WON",AY332=0,NOT(AND(ISNUMBER(O332),ISNUMBER(P332)))),"⛔ Zeitraum fehlt · ","")&amp;IF(AND(R332&lt;&gt;"WON",AY332=0,NOT(AND(ISNUMBER(O332),ISNUMBER(P332)))),"○ Zeitraum offen · ",""))</f>
        <v/>
      </c>
      <c r="BB332" s="1" t="str">
        <f aca="false">IF(B332="","",IF(AND(R332="WON",AS332=0),"⛔ Nachweis fehlt",IF(AND(ISNUMBER(O332),ISNUMBER(P332),P332&lt;O332),"⚠ Ende vor Start",IF(AND(R332="WON",AY332=0),"⛔ Zeitraum fehlt",IF(AR332=0,"○ Einstand offen",IF(AY332=0,"○ Zeitraum offen",IF(R332="WON","✅ belegt","✔ erfasst")))))))</f>
        <v/>
      </c>
    </row>
    <row r="333" customFormat="false" ht="15" hidden="false" customHeight="true" outlineLevel="0" collapsed="false">
      <c r="G333" s="1" t="str">
        <f aca="false">IF(B333="","",IF(AY333=1,P333-O333+1,IF(AW333="","",AW333)))</f>
        <v/>
      </c>
      <c r="I333" s="270"/>
      <c r="J333" s="270"/>
      <c r="K333" s="270"/>
      <c r="L333" s="270"/>
      <c r="M333" s="270"/>
      <c r="N333" s="270"/>
      <c r="O333" s="263"/>
      <c r="P333" s="263"/>
      <c r="Q333" s="270" t="str">
        <f aca="false">IF(AND(ISNUMBER(I333),ISNUMBER(S333)),I333*AJ333,IF(OR(I333&lt;&gt;"",S333&lt;&gt;""),"tbd",""))</f>
        <v/>
      </c>
      <c r="S333" s="268"/>
      <c r="Y333" s="275" t="str">
        <f aca="false">IF(ISNUMBER(I333),I333/Netto_Faktor,"")</f>
        <v/>
      </c>
      <c r="Z333" s="275" t="str">
        <f aca="false">IF(B333="","",IF(COUNT(J333:N333)=0,"",SUM(J333:N333)))</f>
        <v/>
      </c>
      <c r="AA333" s="266"/>
      <c r="AB333" s="266"/>
      <c r="AC333" s="266"/>
      <c r="AD333" s="266"/>
      <c r="AE333" s="266"/>
      <c r="AF333" s="266"/>
      <c r="AG333" s="267"/>
      <c r="AH333" s="266" t="str">
        <f aca="false">IF(B333="","",IF(BA333="",IF(R333="WON","✅ belegt &amp; vollständig","✔ vollständig"),LEFT(BA333,LEN(BA333)-3)))</f>
        <v/>
      </c>
      <c r="AJ333" s="268" t="n">
        <f aca="false">IF(ISNUMBER(S333),IFERROR(LOOKUP(IF(S333&lt;=1,S333,S333/100),'⚖️ Wahrscheinlichkeit'!$B$17:$B$21,'⚖️ Wahrscheinlichkeit'!$D$17:$D$21),0),0)</f>
        <v>0</v>
      </c>
      <c r="AK333" s="1" t="str">
        <f aca="false">IF(AND(R333="WON",ISNUMBER(I333)),AL333+(861-ROW())*0.000001,"")</f>
        <v/>
      </c>
      <c r="AL333" s="1" t="n">
        <f aca="false">IFERROR(I333*1,0)</f>
        <v>0</v>
      </c>
      <c r="AM333" s="1" t="n">
        <f aca="false">N(AM332)+IF(AND(R333="WON",B333&lt;&gt;""),1,0)</f>
        <v>12</v>
      </c>
      <c r="AN333" s="1" t="n">
        <f aca="false">N(AN332)+IF(AND(OR(R333="offered",R333="to be offered",R333="on hold"),B333&lt;&gt;""),1,0)</f>
        <v>33</v>
      </c>
      <c r="AO333" s="1" t="n">
        <f aca="false">N(AO332)+IF(AND(OR(R333="follow-up",R333="Evaluation",R333="tbd",R333="In evaluation"),B333&lt;&gt;""),1,0)</f>
        <v>1</v>
      </c>
      <c r="AP333" s="1" t="n">
        <f aca="false">IF(B333="",0,IF(COUNTIF('⚖️ Wahrscheinlichkeit'!$J$17:$J$24,R333)&gt;0,1,0))</f>
        <v>0</v>
      </c>
      <c r="AQ333" s="1" t="n">
        <f aca="false">IF(B333="",0,IF(AND(ISNUMBER(S333),COUNTIF('⚖️ Wahrscheinlichkeit'!$B$6:$B$11,S333)&gt;0),1,0))</f>
        <v>0</v>
      </c>
      <c r="AR333" s="1" t="n">
        <f aca="false">IF(B333="",0,IF(AND(COUNT(J333:M333)=4,SUM(J333:M333)&gt;0),1,0))</f>
        <v>0</v>
      </c>
      <c r="AS333" s="1" t="n">
        <f aca="false">IF(B333="",0,IF(AND(AF333&lt;&gt;"",AG333&lt;&gt;""),1,0))</f>
        <v>0</v>
      </c>
      <c r="AT333" s="1" t="n">
        <f aca="false">IF(AND(R333="WON",AS333=1,AR333=1),1,0)</f>
        <v>0</v>
      </c>
      <c r="AU333" s="1" t="n">
        <f aca="false">IF(B333="",0,IF(AD333="Alternative – zählt nicht",0,1))</f>
        <v>0</v>
      </c>
      <c r="AV333" s="1" t="n">
        <f aca="false">IF(B333="",0,IF(COUNTIF($B$6:$B$860,B333)&gt;1,1,0))</f>
        <v>0</v>
      </c>
      <c r="AX333" s="269" t="str">
        <f aca="false">IF(AY333=1,DATE(YEAR(O333),MONTH(O333),1),"")</f>
        <v/>
      </c>
      <c r="AY333" s="1" t="n">
        <f aca="false">IF(B333="",0,IF(AND(ISNUMBER(O333),ISNUMBER(P333)),IF(P333&gt;=O333,1,0),0))</f>
        <v>0</v>
      </c>
      <c r="AZ333" s="1" t="n">
        <f aca="false">IF(ISNUMBER(Y333),Y333,0)</f>
        <v>0</v>
      </c>
      <c r="BA333" s="1" t="str">
        <f aca="false">IF(B333="","",IF(AND(R333="WON",AS333=0),"⛔ Beleg fehlt · ","")&amp;IF(AND(R333="WON",AR333=0),"⛔ Einstand fehlt · ","")&amp;IF(AND(R333&lt;&gt;"WON",AR333=0),"○ Einstand offen · ","")&amp;IF(AND(R333="WON",AB333=""),"⛔ Vertragsart fehlt · ","")&amp;IF(AND(ISNUMBER(O333),ISNUMBER(P333)),IF(P333&lt;O333,"⚠ Ende vor Start · ",""),"")&amp;IF(AND(R333="WON",AY333=0,NOT(AND(ISNUMBER(O333),ISNUMBER(P333)))),"⛔ Zeitraum fehlt · ","")&amp;IF(AND(R333&lt;&gt;"WON",AY333=0,NOT(AND(ISNUMBER(O333),ISNUMBER(P333)))),"○ Zeitraum offen · ",""))</f>
        <v/>
      </c>
      <c r="BB333" s="1" t="str">
        <f aca="false">IF(B333="","",IF(AND(R333="WON",AS333=0),"⛔ Nachweis fehlt",IF(AND(ISNUMBER(O333),ISNUMBER(P333),P333&lt;O333),"⚠ Ende vor Start",IF(AND(R333="WON",AY333=0),"⛔ Zeitraum fehlt",IF(AR333=0,"○ Einstand offen",IF(AY333=0,"○ Zeitraum offen",IF(R333="WON","✅ belegt","✔ erfasst")))))))</f>
        <v/>
      </c>
    </row>
    <row r="334" customFormat="false" ht="15" hidden="false" customHeight="true" outlineLevel="0" collapsed="false">
      <c r="G334" s="1" t="str">
        <f aca="false">IF(B334="","",IF(AY334=1,P334-O334+1,IF(AW334="","",AW334)))</f>
        <v/>
      </c>
      <c r="I334" s="270"/>
      <c r="J334" s="270"/>
      <c r="K334" s="270"/>
      <c r="L334" s="270"/>
      <c r="M334" s="270"/>
      <c r="N334" s="270"/>
      <c r="O334" s="263"/>
      <c r="P334" s="263"/>
      <c r="Q334" s="270" t="str">
        <f aca="false">IF(AND(ISNUMBER(I334),ISNUMBER(S334)),I334*AJ334,IF(OR(I334&lt;&gt;"",S334&lt;&gt;""),"tbd",""))</f>
        <v/>
      </c>
      <c r="S334" s="268"/>
      <c r="Y334" s="275" t="str">
        <f aca="false">IF(ISNUMBER(I334),I334/Netto_Faktor,"")</f>
        <v/>
      </c>
      <c r="Z334" s="275" t="str">
        <f aca="false">IF(B334="","",IF(COUNT(J334:N334)=0,"",SUM(J334:N334)))</f>
        <v/>
      </c>
      <c r="AA334" s="266"/>
      <c r="AB334" s="266"/>
      <c r="AC334" s="266"/>
      <c r="AD334" s="266"/>
      <c r="AE334" s="266"/>
      <c r="AF334" s="266"/>
      <c r="AG334" s="267"/>
      <c r="AH334" s="266" t="str">
        <f aca="false">IF(B334="","",IF(BA334="",IF(R334="WON","✅ belegt &amp; vollständig","✔ vollständig"),LEFT(BA334,LEN(BA334)-3)))</f>
        <v/>
      </c>
      <c r="AJ334" s="268" t="n">
        <f aca="false">IF(ISNUMBER(S334),IFERROR(LOOKUP(IF(S334&lt;=1,S334,S334/100),'⚖️ Wahrscheinlichkeit'!$B$17:$B$21,'⚖️ Wahrscheinlichkeit'!$D$17:$D$21),0),0)</f>
        <v>0</v>
      </c>
      <c r="AK334" s="1" t="str">
        <f aca="false">IF(AND(R334="WON",ISNUMBER(I334)),AL334+(861-ROW())*0.000001,"")</f>
        <v/>
      </c>
      <c r="AL334" s="1" t="n">
        <f aca="false">IFERROR(I334*1,0)</f>
        <v>0</v>
      </c>
      <c r="AM334" s="1" t="n">
        <f aca="false">N(AM333)+IF(AND(R334="WON",B334&lt;&gt;""),1,0)</f>
        <v>12</v>
      </c>
      <c r="AN334" s="1" t="n">
        <f aca="false">N(AN333)+IF(AND(OR(R334="offered",R334="to be offered",R334="on hold"),B334&lt;&gt;""),1,0)</f>
        <v>33</v>
      </c>
      <c r="AO334" s="1" t="n">
        <f aca="false">N(AO333)+IF(AND(OR(R334="follow-up",R334="Evaluation",R334="tbd",R334="In evaluation"),B334&lt;&gt;""),1,0)</f>
        <v>1</v>
      </c>
      <c r="AP334" s="1" t="n">
        <f aca="false">IF(B334="",0,IF(COUNTIF('⚖️ Wahrscheinlichkeit'!$J$17:$J$24,R334)&gt;0,1,0))</f>
        <v>0</v>
      </c>
      <c r="AQ334" s="1" t="n">
        <f aca="false">IF(B334="",0,IF(AND(ISNUMBER(S334),COUNTIF('⚖️ Wahrscheinlichkeit'!$B$6:$B$11,S334)&gt;0),1,0))</f>
        <v>0</v>
      </c>
      <c r="AR334" s="1" t="n">
        <f aca="false">IF(B334="",0,IF(AND(COUNT(J334:M334)=4,SUM(J334:M334)&gt;0),1,0))</f>
        <v>0</v>
      </c>
      <c r="AS334" s="1" t="n">
        <f aca="false">IF(B334="",0,IF(AND(AF334&lt;&gt;"",AG334&lt;&gt;""),1,0))</f>
        <v>0</v>
      </c>
      <c r="AT334" s="1" t="n">
        <f aca="false">IF(AND(R334="WON",AS334=1,AR334=1),1,0)</f>
        <v>0</v>
      </c>
      <c r="AU334" s="1" t="n">
        <f aca="false">IF(B334="",0,IF(AD334="Alternative – zählt nicht",0,1))</f>
        <v>0</v>
      </c>
      <c r="AV334" s="1" t="n">
        <f aca="false">IF(B334="",0,IF(COUNTIF($B$6:$B$860,B334)&gt;1,1,0))</f>
        <v>0</v>
      </c>
      <c r="AX334" s="269" t="str">
        <f aca="false">IF(AY334=1,DATE(YEAR(O334),MONTH(O334),1),"")</f>
        <v/>
      </c>
      <c r="AY334" s="1" t="n">
        <f aca="false">IF(B334="",0,IF(AND(ISNUMBER(O334),ISNUMBER(P334)),IF(P334&gt;=O334,1,0),0))</f>
        <v>0</v>
      </c>
      <c r="AZ334" s="1" t="n">
        <f aca="false">IF(ISNUMBER(Y334),Y334,0)</f>
        <v>0</v>
      </c>
      <c r="BA334" s="1" t="str">
        <f aca="false">IF(B334="","",IF(AND(R334="WON",AS334=0),"⛔ Beleg fehlt · ","")&amp;IF(AND(R334="WON",AR334=0),"⛔ Einstand fehlt · ","")&amp;IF(AND(R334&lt;&gt;"WON",AR334=0),"○ Einstand offen · ","")&amp;IF(AND(R334="WON",AB334=""),"⛔ Vertragsart fehlt · ","")&amp;IF(AND(ISNUMBER(O334),ISNUMBER(P334)),IF(P334&lt;O334,"⚠ Ende vor Start · ",""),"")&amp;IF(AND(R334="WON",AY334=0,NOT(AND(ISNUMBER(O334),ISNUMBER(P334)))),"⛔ Zeitraum fehlt · ","")&amp;IF(AND(R334&lt;&gt;"WON",AY334=0,NOT(AND(ISNUMBER(O334),ISNUMBER(P334)))),"○ Zeitraum offen · ",""))</f>
        <v/>
      </c>
      <c r="BB334" s="1" t="str">
        <f aca="false">IF(B334="","",IF(AND(R334="WON",AS334=0),"⛔ Nachweis fehlt",IF(AND(ISNUMBER(O334),ISNUMBER(P334),P334&lt;O334),"⚠ Ende vor Start",IF(AND(R334="WON",AY334=0),"⛔ Zeitraum fehlt",IF(AR334=0,"○ Einstand offen",IF(AY334=0,"○ Zeitraum offen",IF(R334="WON","✅ belegt","✔ erfasst")))))))</f>
        <v/>
      </c>
    </row>
    <row r="335" customFormat="false" ht="15" hidden="false" customHeight="true" outlineLevel="0" collapsed="false">
      <c r="G335" s="1" t="str">
        <f aca="false">IF(B335="","",IF(AY335=1,P335-O335+1,IF(AW335="","",AW335)))</f>
        <v/>
      </c>
      <c r="I335" s="270"/>
      <c r="J335" s="270"/>
      <c r="K335" s="270"/>
      <c r="L335" s="270"/>
      <c r="M335" s="270"/>
      <c r="N335" s="270"/>
      <c r="O335" s="263"/>
      <c r="P335" s="263"/>
      <c r="Q335" s="270" t="str">
        <f aca="false">IF(AND(ISNUMBER(I335),ISNUMBER(S335)),I335*AJ335,IF(OR(I335&lt;&gt;"",S335&lt;&gt;""),"tbd",""))</f>
        <v/>
      </c>
      <c r="S335" s="268"/>
      <c r="Y335" s="275" t="str">
        <f aca="false">IF(ISNUMBER(I335),I335/Netto_Faktor,"")</f>
        <v/>
      </c>
      <c r="Z335" s="275" t="str">
        <f aca="false">IF(B335="","",IF(COUNT(J335:N335)=0,"",SUM(J335:N335)))</f>
        <v/>
      </c>
      <c r="AA335" s="266"/>
      <c r="AB335" s="266"/>
      <c r="AC335" s="266"/>
      <c r="AD335" s="266"/>
      <c r="AE335" s="266"/>
      <c r="AF335" s="266"/>
      <c r="AG335" s="267"/>
      <c r="AH335" s="266" t="str">
        <f aca="false">IF(B335="","",IF(BA335="",IF(R335="WON","✅ belegt &amp; vollständig","✔ vollständig"),LEFT(BA335,LEN(BA335)-3)))</f>
        <v/>
      </c>
      <c r="AJ335" s="268" t="n">
        <f aca="false">IF(ISNUMBER(S335),IFERROR(LOOKUP(IF(S335&lt;=1,S335,S335/100),'⚖️ Wahrscheinlichkeit'!$B$17:$B$21,'⚖️ Wahrscheinlichkeit'!$D$17:$D$21),0),0)</f>
        <v>0</v>
      </c>
      <c r="AK335" s="1" t="str">
        <f aca="false">IF(AND(R335="WON",ISNUMBER(I335)),AL335+(861-ROW())*0.000001,"")</f>
        <v/>
      </c>
      <c r="AL335" s="1" t="n">
        <f aca="false">IFERROR(I335*1,0)</f>
        <v>0</v>
      </c>
      <c r="AM335" s="1" t="n">
        <f aca="false">N(AM334)+IF(AND(R335="WON",B335&lt;&gt;""),1,0)</f>
        <v>12</v>
      </c>
      <c r="AN335" s="1" t="n">
        <f aca="false">N(AN334)+IF(AND(OR(R335="offered",R335="to be offered",R335="on hold"),B335&lt;&gt;""),1,0)</f>
        <v>33</v>
      </c>
      <c r="AO335" s="1" t="n">
        <f aca="false">N(AO334)+IF(AND(OR(R335="follow-up",R335="Evaluation",R335="tbd",R335="In evaluation"),B335&lt;&gt;""),1,0)</f>
        <v>1</v>
      </c>
      <c r="AP335" s="1" t="n">
        <f aca="false">IF(B335="",0,IF(COUNTIF('⚖️ Wahrscheinlichkeit'!$J$17:$J$24,R335)&gt;0,1,0))</f>
        <v>0</v>
      </c>
      <c r="AQ335" s="1" t="n">
        <f aca="false">IF(B335="",0,IF(AND(ISNUMBER(S335),COUNTIF('⚖️ Wahrscheinlichkeit'!$B$6:$B$11,S335)&gt;0),1,0))</f>
        <v>0</v>
      </c>
      <c r="AR335" s="1" t="n">
        <f aca="false">IF(B335="",0,IF(AND(COUNT(J335:M335)=4,SUM(J335:M335)&gt;0),1,0))</f>
        <v>0</v>
      </c>
      <c r="AS335" s="1" t="n">
        <f aca="false">IF(B335="",0,IF(AND(AF335&lt;&gt;"",AG335&lt;&gt;""),1,0))</f>
        <v>0</v>
      </c>
      <c r="AT335" s="1" t="n">
        <f aca="false">IF(AND(R335="WON",AS335=1,AR335=1),1,0)</f>
        <v>0</v>
      </c>
      <c r="AU335" s="1" t="n">
        <f aca="false">IF(B335="",0,IF(AD335="Alternative – zählt nicht",0,1))</f>
        <v>0</v>
      </c>
      <c r="AV335" s="1" t="n">
        <f aca="false">IF(B335="",0,IF(COUNTIF($B$6:$B$860,B335)&gt;1,1,0))</f>
        <v>0</v>
      </c>
      <c r="AX335" s="269" t="str">
        <f aca="false">IF(AY335=1,DATE(YEAR(O335),MONTH(O335),1),"")</f>
        <v/>
      </c>
      <c r="AY335" s="1" t="n">
        <f aca="false">IF(B335="",0,IF(AND(ISNUMBER(O335),ISNUMBER(P335)),IF(P335&gt;=O335,1,0),0))</f>
        <v>0</v>
      </c>
      <c r="AZ335" s="1" t="n">
        <f aca="false">IF(ISNUMBER(Y335),Y335,0)</f>
        <v>0</v>
      </c>
      <c r="BA335" s="1" t="str">
        <f aca="false">IF(B335="","",IF(AND(R335="WON",AS335=0),"⛔ Beleg fehlt · ","")&amp;IF(AND(R335="WON",AR335=0),"⛔ Einstand fehlt · ","")&amp;IF(AND(R335&lt;&gt;"WON",AR335=0),"○ Einstand offen · ","")&amp;IF(AND(R335="WON",AB335=""),"⛔ Vertragsart fehlt · ","")&amp;IF(AND(ISNUMBER(O335),ISNUMBER(P335)),IF(P335&lt;O335,"⚠ Ende vor Start · ",""),"")&amp;IF(AND(R335="WON",AY335=0,NOT(AND(ISNUMBER(O335),ISNUMBER(P335)))),"⛔ Zeitraum fehlt · ","")&amp;IF(AND(R335&lt;&gt;"WON",AY335=0,NOT(AND(ISNUMBER(O335),ISNUMBER(P335)))),"○ Zeitraum offen · ",""))</f>
        <v/>
      </c>
      <c r="BB335" s="1" t="str">
        <f aca="false">IF(B335="","",IF(AND(R335="WON",AS335=0),"⛔ Nachweis fehlt",IF(AND(ISNUMBER(O335),ISNUMBER(P335),P335&lt;O335),"⚠ Ende vor Start",IF(AND(R335="WON",AY335=0),"⛔ Zeitraum fehlt",IF(AR335=0,"○ Einstand offen",IF(AY335=0,"○ Zeitraum offen",IF(R335="WON","✅ belegt","✔ erfasst")))))))</f>
        <v/>
      </c>
    </row>
    <row r="336" customFormat="false" ht="15" hidden="false" customHeight="true" outlineLevel="0" collapsed="false">
      <c r="G336" s="1" t="str">
        <f aca="false">IF(B336="","",IF(AY336=1,P336-O336+1,IF(AW336="","",AW336)))</f>
        <v/>
      </c>
      <c r="I336" s="270"/>
      <c r="J336" s="270"/>
      <c r="K336" s="270"/>
      <c r="L336" s="270"/>
      <c r="M336" s="270"/>
      <c r="N336" s="270"/>
      <c r="O336" s="263"/>
      <c r="P336" s="263"/>
      <c r="Q336" s="270" t="str">
        <f aca="false">IF(AND(ISNUMBER(I336),ISNUMBER(S336)),I336*AJ336,IF(OR(I336&lt;&gt;"",S336&lt;&gt;""),"tbd",""))</f>
        <v/>
      </c>
      <c r="S336" s="268"/>
      <c r="Y336" s="275" t="str">
        <f aca="false">IF(ISNUMBER(I336),I336/Netto_Faktor,"")</f>
        <v/>
      </c>
      <c r="Z336" s="275" t="str">
        <f aca="false">IF(B336="","",IF(COUNT(J336:N336)=0,"",SUM(J336:N336)))</f>
        <v/>
      </c>
      <c r="AA336" s="266"/>
      <c r="AB336" s="266"/>
      <c r="AC336" s="266"/>
      <c r="AD336" s="266"/>
      <c r="AE336" s="266"/>
      <c r="AF336" s="266"/>
      <c r="AG336" s="267"/>
      <c r="AH336" s="266" t="str">
        <f aca="false">IF(B336="","",IF(BA336="",IF(R336="WON","✅ belegt &amp; vollständig","✔ vollständig"),LEFT(BA336,LEN(BA336)-3)))</f>
        <v/>
      </c>
      <c r="AJ336" s="268" t="n">
        <f aca="false">IF(ISNUMBER(S336),IFERROR(LOOKUP(IF(S336&lt;=1,S336,S336/100),'⚖️ Wahrscheinlichkeit'!$B$17:$B$21,'⚖️ Wahrscheinlichkeit'!$D$17:$D$21),0),0)</f>
        <v>0</v>
      </c>
      <c r="AK336" s="1" t="str">
        <f aca="false">IF(AND(R336="WON",ISNUMBER(I336)),AL336+(861-ROW())*0.000001,"")</f>
        <v/>
      </c>
      <c r="AL336" s="1" t="n">
        <f aca="false">IFERROR(I336*1,0)</f>
        <v>0</v>
      </c>
      <c r="AM336" s="1" t="n">
        <f aca="false">N(AM335)+IF(AND(R336="WON",B336&lt;&gt;""),1,0)</f>
        <v>12</v>
      </c>
      <c r="AN336" s="1" t="n">
        <f aca="false">N(AN335)+IF(AND(OR(R336="offered",R336="to be offered",R336="on hold"),B336&lt;&gt;""),1,0)</f>
        <v>33</v>
      </c>
      <c r="AO336" s="1" t="n">
        <f aca="false">N(AO335)+IF(AND(OR(R336="follow-up",R336="Evaluation",R336="tbd",R336="In evaluation"),B336&lt;&gt;""),1,0)</f>
        <v>1</v>
      </c>
      <c r="AP336" s="1" t="n">
        <f aca="false">IF(B336="",0,IF(COUNTIF('⚖️ Wahrscheinlichkeit'!$J$17:$J$24,R336)&gt;0,1,0))</f>
        <v>0</v>
      </c>
      <c r="AQ336" s="1" t="n">
        <f aca="false">IF(B336="",0,IF(AND(ISNUMBER(S336),COUNTIF('⚖️ Wahrscheinlichkeit'!$B$6:$B$11,S336)&gt;0),1,0))</f>
        <v>0</v>
      </c>
      <c r="AR336" s="1" t="n">
        <f aca="false">IF(B336="",0,IF(AND(COUNT(J336:M336)=4,SUM(J336:M336)&gt;0),1,0))</f>
        <v>0</v>
      </c>
      <c r="AS336" s="1" t="n">
        <f aca="false">IF(B336="",0,IF(AND(AF336&lt;&gt;"",AG336&lt;&gt;""),1,0))</f>
        <v>0</v>
      </c>
      <c r="AT336" s="1" t="n">
        <f aca="false">IF(AND(R336="WON",AS336=1,AR336=1),1,0)</f>
        <v>0</v>
      </c>
      <c r="AU336" s="1" t="n">
        <f aca="false">IF(B336="",0,IF(AD336="Alternative – zählt nicht",0,1))</f>
        <v>0</v>
      </c>
      <c r="AV336" s="1" t="n">
        <f aca="false">IF(B336="",0,IF(COUNTIF($B$6:$B$860,B336)&gt;1,1,0))</f>
        <v>0</v>
      </c>
      <c r="AX336" s="269" t="str">
        <f aca="false">IF(AY336=1,DATE(YEAR(O336),MONTH(O336),1),"")</f>
        <v/>
      </c>
      <c r="AY336" s="1" t="n">
        <f aca="false">IF(B336="",0,IF(AND(ISNUMBER(O336),ISNUMBER(P336)),IF(P336&gt;=O336,1,0),0))</f>
        <v>0</v>
      </c>
      <c r="AZ336" s="1" t="n">
        <f aca="false">IF(ISNUMBER(Y336),Y336,0)</f>
        <v>0</v>
      </c>
      <c r="BA336" s="1" t="str">
        <f aca="false">IF(B336="","",IF(AND(R336="WON",AS336=0),"⛔ Beleg fehlt · ","")&amp;IF(AND(R336="WON",AR336=0),"⛔ Einstand fehlt · ","")&amp;IF(AND(R336&lt;&gt;"WON",AR336=0),"○ Einstand offen · ","")&amp;IF(AND(R336="WON",AB336=""),"⛔ Vertragsart fehlt · ","")&amp;IF(AND(ISNUMBER(O336),ISNUMBER(P336)),IF(P336&lt;O336,"⚠ Ende vor Start · ",""),"")&amp;IF(AND(R336="WON",AY336=0,NOT(AND(ISNUMBER(O336),ISNUMBER(P336)))),"⛔ Zeitraum fehlt · ","")&amp;IF(AND(R336&lt;&gt;"WON",AY336=0,NOT(AND(ISNUMBER(O336),ISNUMBER(P336)))),"○ Zeitraum offen · ",""))</f>
        <v/>
      </c>
      <c r="BB336" s="1" t="str">
        <f aca="false">IF(B336="","",IF(AND(R336="WON",AS336=0),"⛔ Nachweis fehlt",IF(AND(ISNUMBER(O336),ISNUMBER(P336),P336&lt;O336),"⚠ Ende vor Start",IF(AND(R336="WON",AY336=0),"⛔ Zeitraum fehlt",IF(AR336=0,"○ Einstand offen",IF(AY336=0,"○ Zeitraum offen",IF(R336="WON","✅ belegt","✔ erfasst")))))))</f>
        <v/>
      </c>
    </row>
    <row r="337" customFormat="false" ht="15" hidden="false" customHeight="true" outlineLevel="0" collapsed="false">
      <c r="G337" s="1" t="str">
        <f aca="false">IF(B337="","",IF(AY337=1,P337-O337+1,IF(AW337="","",AW337)))</f>
        <v/>
      </c>
      <c r="I337" s="270"/>
      <c r="J337" s="270"/>
      <c r="K337" s="270"/>
      <c r="L337" s="270"/>
      <c r="M337" s="270"/>
      <c r="N337" s="270"/>
      <c r="O337" s="263"/>
      <c r="P337" s="263"/>
      <c r="Q337" s="270" t="str">
        <f aca="false">IF(AND(ISNUMBER(I337),ISNUMBER(S337)),I337*AJ337,IF(OR(I337&lt;&gt;"",S337&lt;&gt;""),"tbd",""))</f>
        <v/>
      </c>
      <c r="S337" s="268"/>
      <c r="Y337" s="275" t="str">
        <f aca="false">IF(ISNUMBER(I337),I337/Netto_Faktor,"")</f>
        <v/>
      </c>
      <c r="Z337" s="275" t="str">
        <f aca="false">IF(B337="","",IF(COUNT(J337:N337)=0,"",SUM(J337:N337)))</f>
        <v/>
      </c>
      <c r="AA337" s="266"/>
      <c r="AB337" s="266"/>
      <c r="AC337" s="266"/>
      <c r="AD337" s="266"/>
      <c r="AE337" s="266"/>
      <c r="AF337" s="266"/>
      <c r="AG337" s="267"/>
      <c r="AH337" s="266" t="str">
        <f aca="false">IF(B337="","",IF(BA337="",IF(R337="WON","✅ belegt &amp; vollständig","✔ vollständig"),LEFT(BA337,LEN(BA337)-3)))</f>
        <v/>
      </c>
      <c r="AJ337" s="268" t="n">
        <f aca="false">IF(ISNUMBER(S337),IFERROR(LOOKUP(IF(S337&lt;=1,S337,S337/100),'⚖️ Wahrscheinlichkeit'!$B$17:$B$21,'⚖️ Wahrscheinlichkeit'!$D$17:$D$21),0),0)</f>
        <v>0</v>
      </c>
      <c r="AK337" s="1" t="str">
        <f aca="false">IF(AND(R337="WON",ISNUMBER(I337)),AL337+(861-ROW())*0.000001,"")</f>
        <v/>
      </c>
      <c r="AL337" s="1" t="n">
        <f aca="false">IFERROR(I337*1,0)</f>
        <v>0</v>
      </c>
      <c r="AM337" s="1" t="n">
        <f aca="false">N(AM336)+IF(AND(R337="WON",B337&lt;&gt;""),1,0)</f>
        <v>12</v>
      </c>
      <c r="AN337" s="1" t="n">
        <f aca="false">N(AN336)+IF(AND(OR(R337="offered",R337="to be offered",R337="on hold"),B337&lt;&gt;""),1,0)</f>
        <v>33</v>
      </c>
      <c r="AO337" s="1" t="n">
        <f aca="false">N(AO336)+IF(AND(OR(R337="follow-up",R337="Evaluation",R337="tbd",R337="In evaluation"),B337&lt;&gt;""),1,0)</f>
        <v>1</v>
      </c>
      <c r="AP337" s="1" t="n">
        <f aca="false">IF(B337="",0,IF(COUNTIF('⚖️ Wahrscheinlichkeit'!$J$17:$J$24,R337)&gt;0,1,0))</f>
        <v>0</v>
      </c>
      <c r="AQ337" s="1" t="n">
        <f aca="false">IF(B337="",0,IF(AND(ISNUMBER(S337),COUNTIF('⚖️ Wahrscheinlichkeit'!$B$6:$B$11,S337)&gt;0),1,0))</f>
        <v>0</v>
      </c>
      <c r="AR337" s="1" t="n">
        <f aca="false">IF(B337="",0,IF(AND(COUNT(J337:M337)=4,SUM(J337:M337)&gt;0),1,0))</f>
        <v>0</v>
      </c>
      <c r="AS337" s="1" t="n">
        <f aca="false">IF(B337="",0,IF(AND(AF337&lt;&gt;"",AG337&lt;&gt;""),1,0))</f>
        <v>0</v>
      </c>
      <c r="AT337" s="1" t="n">
        <f aca="false">IF(AND(R337="WON",AS337=1,AR337=1),1,0)</f>
        <v>0</v>
      </c>
      <c r="AU337" s="1" t="n">
        <f aca="false">IF(B337="",0,IF(AD337="Alternative – zählt nicht",0,1))</f>
        <v>0</v>
      </c>
      <c r="AV337" s="1" t="n">
        <f aca="false">IF(B337="",0,IF(COUNTIF($B$6:$B$860,B337)&gt;1,1,0))</f>
        <v>0</v>
      </c>
      <c r="AX337" s="269" t="str">
        <f aca="false">IF(AY337=1,DATE(YEAR(O337),MONTH(O337),1),"")</f>
        <v/>
      </c>
      <c r="AY337" s="1" t="n">
        <f aca="false">IF(B337="",0,IF(AND(ISNUMBER(O337),ISNUMBER(P337)),IF(P337&gt;=O337,1,0),0))</f>
        <v>0</v>
      </c>
      <c r="AZ337" s="1" t="n">
        <f aca="false">IF(ISNUMBER(Y337),Y337,0)</f>
        <v>0</v>
      </c>
      <c r="BA337" s="1" t="str">
        <f aca="false">IF(B337="","",IF(AND(R337="WON",AS337=0),"⛔ Beleg fehlt · ","")&amp;IF(AND(R337="WON",AR337=0),"⛔ Einstand fehlt · ","")&amp;IF(AND(R337&lt;&gt;"WON",AR337=0),"○ Einstand offen · ","")&amp;IF(AND(R337="WON",AB337=""),"⛔ Vertragsart fehlt · ","")&amp;IF(AND(ISNUMBER(O337),ISNUMBER(P337)),IF(P337&lt;O337,"⚠ Ende vor Start · ",""),"")&amp;IF(AND(R337="WON",AY337=0,NOT(AND(ISNUMBER(O337),ISNUMBER(P337)))),"⛔ Zeitraum fehlt · ","")&amp;IF(AND(R337&lt;&gt;"WON",AY337=0,NOT(AND(ISNUMBER(O337),ISNUMBER(P337)))),"○ Zeitraum offen · ",""))</f>
        <v/>
      </c>
      <c r="BB337" s="1" t="str">
        <f aca="false">IF(B337="","",IF(AND(R337="WON",AS337=0),"⛔ Nachweis fehlt",IF(AND(ISNUMBER(O337),ISNUMBER(P337),P337&lt;O337),"⚠ Ende vor Start",IF(AND(R337="WON",AY337=0),"⛔ Zeitraum fehlt",IF(AR337=0,"○ Einstand offen",IF(AY337=0,"○ Zeitraum offen",IF(R337="WON","✅ belegt","✔ erfasst")))))))</f>
        <v/>
      </c>
    </row>
    <row r="338" customFormat="false" ht="15" hidden="false" customHeight="true" outlineLevel="0" collapsed="false">
      <c r="G338" s="1" t="str">
        <f aca="false">IF(B338="","",IF(AY338=1,P338-O338+1,IF(AW338="","",AW338)))</f>
        <v/>
      </c>
      <c r="I338" s="270"/>
      <c r="J338" s="270"/>
      <c r="K338" s="270"/>
      <c r="L338" s="270"/>
      <c r="M338" s="270"/>
      <c r="N338" s="270"/>
      <c r="O338" s="263"/>
      <c r="P338" s="263"/>
      <c r="Q338" s="270" t="str">
        <f aca="false">IF(AND(ISNUMBER(I338),ISNUMBER(S338)),I338*AJ338,IF(OR(I338&lt;&gt;"",S338&lt;&gt;""),"tbd",""))</f>
        <v/>
      </c>
      <c r="S338" s="268"/>
      <c r="Y338" s="275" t="str">
        <f aca="false">IF(ISNUMBER(I338),I338/Netto_Faktor,"")</f>
        <v/>
      </c>
      <c r="Z338" s="275" t="str">
        <f aca="false">IF(B338="","",IF(COUNT(J338:N338)=0,"",SUM(J338:N338)))</f>
        <v/>
      </c>
      <c r="AA338" s="266"/>
      <c r="AB338" s="266"/>
      <c r="AC338" s="266"/>
      <c r="AD338" s="266"/>
      <c r="AE338" s="266"/>
      <c r="AF338" s="266"/>
      <c r="AG338" s="267"/>
      <c r="AH338" s="266" t="str">
        <f aca="false">IF(B338="","",IF(BA338="",IF(R338="WON","✅ belegt &amp; vollständig","✔ vollständig"),LEFT(BA338,LEN(BA338)-3)))</f>
        <v/>
      </c>
      <c r="AJ338" s="268" t="n">
        <f aca="false">IF(ISNUMBER(S338),IFERROR(LOOKUP(IF(S338&lt;=1,S338,S338/100),'⚖️ Wahrscheinlichkeit'!$B$17:$B$21,'⚖️ Wahrscheinlichkeit'!$D$17:$D$21),0),0)</f>
        <v>0</v>
      </c>
      <c r="AK338" s="1" t="str">
        <f aca="false">IF(AND(R338="WON",ISNUMBER(I338)),AL338+(861-ROW())*0.000001,"")</f>
        <v/>
      </c>
      <c r="AL338" s="1" t="n">
        <f aca="false">IFERROR(I338*1,0)</f>
        <v>0</v>
      </c>
      <c r="AM338" s="1" t="n">
        <f aca="false">N(AM337)+IF(AND(R338="WON",B338&lt;&gt;""),1,0)</f>
        <v>12</v>
      </c>
      <c r="AN338" s="1" t="n">
        <f aca="false">N(AN337)+IF(AND(OR(R338="offered",R338="to be offered",R338="on hold"),B338&lt;&gt;""),1,0)</f>
        <v>33</v>
      </c>
      <c r="AO338" s="1" t="n">
        <f aca="false">N(AO337)+IF(AND(OR(R338="follow-up",R338="Evaluation",R338="tbd",R338="In evaluation"),B338&lt;&gt;""),1,0)</f>
        <v>1</v>
      </c>
      <c r="AP338" s="1" t="n">
        <f aca="false">IF(B338="",0,IF(COUNTIF('⚖️ Wahrscheinlichkeit'!$J$17:$J$24,R338)&gt;0,1,0))</f>
        <v>0</v>
      </c>
      <c r="AQ338" s="1" t="n">
        <f aca="false">IF(B338="",0,IF(AND(ISNUMBER(S338),COUNTIF('⚖️ Wahrscheinlichkeit'!$B$6:$B$11,S338)&gt;0),1,0))</f>
        <v>0</v>
      </c>
      <c r="AR338" s="1" t="n">
        <f aca="false">IF(B338="",0,IF(AND(COUNT(J338:M338)=4,SUM(J338:M338)&gt;0),1,0))</f>
        <v>0</v>
      </c>
      <c r="AS338" s="1" t="n">
        <f aca="false">IF(B338="",0,IF(AND(AF338&lt;&gt;"",AG338&lt;&gt;""),1,0))</f>
        <v>0</v>
      </c>
      <c r="AT338" s="1" t="n">
        <f aca="false">IF(AND(R338="WON",AS338=1,AR338=1),1,0)</f>
        <v>0</v>
      </c>
      <c r="AU338" s="1" t="n">
        <f aca="false">IF(B338="",0,IF(AD338="Alternative – zählt nicht",0,1))</f>
        <v>0</v>
      </c>
      <c r="AV338" s="1" t="n">
        <f aca="false">IF(B338="",0,IF(COUNTIF($B$6:$B$860,B338)&gt;1,1,0))</f>
        <v>0</v>
      </c>
      <c r="AX338" s="269" t="str">
        <f aca="false">IF(AY338=1,DATE(YEAR(O338),MONTH(O338),1),"")</f>
        <v/>
      </c>
      <c r="AY338" s="1" t="n">
        <f aca="false">IF(B338="",0,IF(AND(ISNUMBER(O338),ISNUMBER(P338)),IF(P338&gt;=O338,1,0),0))</f>
        <v>0</v>
      </c>
      <c r="AZ338" s="1" t="n">
        <f aca="false">IF(ISNUMBER(Y338),Y338,0)</f>
        <v>0</v>
      </c>
      <c r="BA338" s="1" t="str">
        <f aca="false">IF(B338="","",IF(AND(R338="WON",AS338=0),"⛔ Beleg fehlt · ","")&amp;IF(AND(R338="WON",AR338=0),"⛔ Einstand fehlt · ","")&amp;IF(AND(R338&lt;&gt;"WON",AR338=0),"○ Einstand offen · ","")&amp;IF(AND(R338="WON",AB338=""),"⛔ Vertragsart fehlt · ","")&amp;IF(AND(ISNUMBER(O338),ISNUMBER(P338)),IF(P338&lt;O338,"⚠ Ende vor Start · ",""),"")&amp;IF(AND(R338="WON",AY338=0,NOT(AND(ISNUMBER(O338),ISNUMBER(P338)))),"⛔ Zeitraum fehlt · ","")&amp;IF(AND(R338&lt;&gt;"WON",AY338=0,NOT(AND(ISNUMBER(O338),ISNUMBER(P338)))),"○ Zeitraum offen · ",""))</f>
        <v/>
      </c>
      <c r="BB338" s="1" t="str">
        <f aca="false">IF(B338="","",IF(AND(R338="WON",AS338=0),"⛔ Nachweis fehlt",IF(AND(ISNUMBER(O338),ISNUMBER(P338),P338&lt;O338),"⚠ Ende vor Start",IF(AND(R338="WON",AY338=0),"⛔ Zeitraum fehlt",IF(AR338=0,"○ Einstand offen",IF(AY338=0,"○ Zeitraum offen",IF(R338="WON","✅ belegt","✔ erfasst")))))))</f>
        <v/>
      </c>
    </row>
    <row r="339" customFormat="false" ht="15" hidden="false" customHeight="true" outlineLevel="0" collapsed="false">
      <c r="G339" s="1" t="str">
        <f aca="false">IF(B339="","",IF(AY339=1,P339-O339+1,IF(AW339="","",AW339)))</f>
        <v/>
      </c>
      <c r="I339" s="270"/>
      <c r="J339" s="270"/>
      <c r="K339" s="270"/>
      <c r="L339" s="270"/>
      <c r="M339" s="270"/>
      <c r="N339" s="270"/>
      <c r="O339" s="263"/>
      <c r="P339" s="263"/>
      <c r="Q339" s="270" t="str">
        <f aca="false">IF(AND(ISNUMBER(I339),ISNUMBER(S339)),I339*AJ339,IF(OR(I339&lt;&gt;"",S339&lt;&gt;""),"tbd",""))</f>
        <v/>
      </c>
      <c r="S339" s="268"/>
      <c r="Y339" s="275" t="str">
        <f aca="false">IF(ISNUMBER(I339),I339/Netto_Faktor,"")</f>
        <v/>
      </c>
      <c r="Z339" s="275" t="str">
        <f aca="false">IF(B339="","",IF(COUNT(J339:N339)=0,"",SUM(J339:N339)))</f>
        <v/>
      </c>
      <c r="AA339" s="266"/>
      <c r="AB339" s="266"/>
      <c r="AC339" s="266"/>
      <c r="AD339" s="266"/>
      <c r="AE339" s="266"/>
      <c r="AF339" s="266"/>
      <c r="AG339" s="267"/>
      <c r="AH339" s="266" t="str">
        <f aca="false">IF(B339="","",IF(BA339="",IF(R339="WON","✅ belegt &amp; vollständig","✔ vollständig"),LEFT(BA339,LEN(BA339)-3)))</f>
        <v/>
      </c>
      <c r="AJ339" s="268" t="n">
        <f aca="false">IF(ISNUMBER(S339),IFERROR(LOOKUP(IF(S339&lt;=1,S339,S339/100),'⚖️ Wahrscheinlichkeit'!$B$17:$B$21,'⚖️ Wahrscheinlichkeit'!$D$17:$D$21),0),0)</f>
        <v>0</v>
      </c>
      <c r="AK339" s="1" t="str">
        <f aca="false">IF(AND(R339="WON",ISNUMBER(I339)),AL339+(861-ROW())*0.000001,"")</f>
        <v/>
      </c>
      <c r="AL339" s="1" t="n">
        <f aca="false">IFERROR(I339*1,0)</f>
        <v>0</v>
      </c>
      <c r="AM339" s="1" t="n">
        <f aca="false">N(AM338)+IF(AND(R339="WON",B339&lt;&gt;""),1,0)</f>
        <v>12</v>
      </c>
      <c r="AN339" s="1" t="n">
        <f aca="false">N(AN338)+IF(AND(OR(R339="offered",R339="to be offered",R339="on hold"),B339&lt;&gt;""),1,0)</f>
        <v>33</v>
      </c>
      <c r="AO339" s="1" t="n">
        <f aca="false">N(AO338)+IF(AND(OR(R339="follow-up",R339="Evaluation",R339="tbd",R339="In evaluation"),B339&lt;&gt;""),1,0)</f>
        <v>1</v>
      </c>
      <c r="AP339" s="1" t="n">
        <f aca="false">IF(B339="",0,IF(COUNTIF('⚖️ Wahrscheinlichkeit'!$J$17:$J$24,R339)&gt;0,1,0))</f>
        <v>0</v>
      </c>
      <c r="AQ339" s="1" t="n">
        <f aca="false">IF(B339="",0,IF(AND(ISNUMBER(S339),COUNTIF('⚖️ Wahrscheinlichkeit'!$B$6:$B$11,S339)&gt;0),1,0))</f>
        <v>0</v>
      </c>
      <c r="AR339" s="1" t="n">
        <f aca="false">IF(B339="",0,IF(AND(COUNT(J339:M339)=4,SUM(J339:M339)&gt;0),1,0))</f>
        <v>0</v>
      </c>
      <c r="AS339" s="1" t="n">
        <f aca="false">IF(B339="",0,IF(AND(AF339&lt;&gt;"",AG339&lt;&gt;""),1,0))</f>
        <v>0</v>
      </c>
      <c r="AT339" s="1" t="n">
        <f aca="false">IF(AND(R339="WON",AS339=1,AR339=1),1,0)</f>
        <v>0</v>
      </c>
      <c r="AU339" s="1" t="n">
        <f aca="false">IF(B339="",0,IF(AD339="Alternative – zählt nicht",0,1))</f>
        <v>0</v>
      </c>
      <c r="AV339" s="1" t="n">
        <f aca="false">IF(B339="",0,IF(COUNTIF($B$6:$B$860,B339)&gt;1,1,0))</f>
        <v>0</v>
      </c>
      <c r="AX339" s="269" t="str">
        <f aca="false">IF(AY339=1,DATE(YEAR(O339),MONTH(O339),1),"")</f>
        <v/>
      </c>
      <c r="AY339" s="1" t="n">
        <f aca="false">IF(B339="",0,IF(AND(ISNUMBER(O339),ISNUMBER(P339)),IF(P339&gt;=O339,1,0),0))</f>
        <v>0</v>
      </c>
      <c r="AZ339" s="1" t="n">
        <f aca="false">IF(ISNUMBER(Y339),Y339,0)</f>
        <v>0</v>
      </c>
      <c r="BA339" s="1" t="str">
        <f aca="false">IF(B339="","",IF(AND(R339="WON",AS339=0),"⛔ Beleg fehlt · ","")&amp;IF(AND(R339="WON",AR339=0),"⛔ Einstand fehlt · ","")&amp;IF(AND(R339&lt;&gt;"WON",AR339=0),"○ Einstand offen · ","")&amp;IF(AND(R339="WON",AB339=""),"⛔ Vertragsart fehlt · ","")&amp;IF(AND(ISNUMBER(O339),ISNUMBER(P339)),IF(P339&lt;O339,"⚠ Ende vor Start · ",""),"")&amp;IF(AND(R339="WON",AY339=0,NOT(AND(ISNUMBER(O339),ISNUMBER(P339)))),"⛔ Zeitraum fehlt · ","")&amp;IF(AND(R339&lt;&gt;"WON",AY339=0,NOT(AND(ISNUMBER(O339),ISNUMBER(P339)))),"○ Zeitraum offen · ",""))</f>
        <v/>
      </c>
      <c r="BB339" s="1" t="str">
        <f aca="false">IF(B339="","",IF(AND(R339="WON",AS339=0),"⛔ Nachweis fehlt",IF(AND(ISNUMBER(O339),ISNUMBER(P339),P339&lt;O339),"⚠ Ende vor Start",IF(AND(R339="WON",AY339=0),"⛔ Zeitraum fehlt",IF(AR339=0,"○ Einstand offen",IF(AY339=0,"○ Zeitraum offen",IF(R339="WON","✅ belegt","✔ erfasst")))))))</f>
        <v/>
      </c>
    </row>
    <row r="340" customFormat="false" ht="15" hidden="false" customHeight="true" outlineLevel="0" collapsed="false">
      <c r="G340" s="1" t="str">
        <f aca="false">IF(B340="","",IF(AY340=1,P340-O340+1,IF(AW340="","",AW340)))</f>
        <v/>
      </c>
      <c r="I340" s="270"/>
      <c r="J340" s="270"/>
      <c r="K340" s="270"/>
      <c r="L340" s="270"/>
      <c r="M340" s="270"/>
      <c r="N340" s="270"/>
      <c r="O340" s="263"/>
      <c r="P340" s="263"/>
      <c r="Q340" s="270" t="str">
        <f aca="false">IF(AND(ISNUMBER(I340),ISNUMBER(S340)),I340*AJ340,IF(OR(I340&lt;&gt;"",S340&lt;&gt;""),"tbd",""))</f>
        <v/>
      </c>
      <c r="S340" s="268"/>
      <c r="Y340" s="275" t="str">
        <f aca="false">IF(ISNUMBER(I340),I340/Netto_Faktor,"")</f>
        <v/>
      </c>
      <c r="Z340" s="275" t="str">
        <f aca="false">IF(B340="","",IF(COUNT(J340:N340)=0,"",SUM(J340:N340)))</f>
        <v/>
      </c>
      <c r="AA340" s="266"/>
      <c r="AB340" s="266"/>
      <c r="AC340" s="266"/>
      <c r="AD340" s="266"/>
      <c r="AE340" s="266"/>
      <c r="AF340" s="266"/>
      <c r="AG340" s="267"/>
      <c r="AH340" s="266" t="str">
        <f aca="false">IF(B340="","",IF(BA340="",IF(R340="WON","✅ belegt &amp; vollständig","✔ vollständig"),LEFT(BA340,LEN(BA340)-3)))</f>
        <v/>
      </c>
      <c r="AJ340" s="268" t="n">
        <f aca="false">IF(ISNUMBER(S340),IFERROR(LOOKUP(IF(S340&lt;=1,S340,S340/100),'⚖️ Wahrscheinlichkeit'!$B$17:$B$21,'⚖️ Wahrscheinlichkeit'!$D$17:$D$21),0),0)</f>
        <v>0</v>
      </c>
      <c r="AK340" s="1" t="str">
        <f aca="false">IF(AND(R340="WON",ISNUMBER(I340)),AL340+(861-ROW())*0.000001,"")</f>
        <v/>
      </c>
      <c r="AL340" s="1" t="n">
        <f aca="false">IFERROR(I340*1,0)</f>
        <v>0</v>
      </c>
      <c r="AM340" s="1" t="n">
        <f aca="false">N(AM339)+IF(AND(R340="WON",B340&lt;&gt;""),1,0)</f>
        <v>12</v>
      </c>
      <c r="AN340" s="1" t="n">
        <f aca="false">N(AN339)+IF(AND(OR(R340="offered",R340="to be offered",R340="on hold"),B340&lt;&gt;""),1,0)</f>
        <v>33</v>
      </c>
      <c r="AO340" s="1" t="n">
        <f aca="false">N(AO339)+IF(AND(OR(R340="follow-up",R340="Evaluation",R340="tbd",R340="In evaluation"),B340&lt;&gt;""),1,0)</f>
        <v>1</v>
      </c>
      <c r="AP340" s="1" t="n">
        <f aca="false">IF(B340="",0,IF(COUNTIF('⚖️ Wahrscheinlichkeit'!$J$17:$J$24,R340)&gt;0,1,0))</f>
        <v>0</v>
      </c>
      <c r="AQ340" s="1" t="n">
        <f aca="false">IF(B340="",0,IF(AND(ISNUMBER(S340),COUNTIF('⚖️ Wahrscheinlichkeit'!$B$6:$B$11,S340)&gt;0),1,0))</f>
        <v>0</v>
      </c>
      <c r="AR340" s="1" t="n">
        <f aca="false">IF(B340="",0,IF(AND(COUNT(J340:M340)=4,SUM(J340:M340)&gt;0),1,0))</f>
        <v>0</v>
      </c>
      <c r="AS340" s="1" t="n">
        <f aca="false">IF(B340="",0,IF(AND(AF340&lt;&gt;"",AG340&lt;&gt;""),1,0))</f>
        <v>0</v>
      </c>
      <c r="AT340" s="1" t="n">
        <f aca="false">IF(AND(R340="WON",AS340=1,AR340=1),1,0)</f>
        <v>0</v>
      </c>
      <c r="AU340" s="1" t="n">
        <f aca="false">IF(B340="",0,IF(AD340="Alternative – zählt nicht",0,1))</f>
        <v>0</v>
      </c>
      <c r="AV340" s="1" t="n">
        <f aca="false">IF(B340="",0,IF(COUNTIF($B$6:$B$860,B340)&gt;1,1,0))</f>
        <v>0</v>
      </c>
      <c r="AX340" s="269" t="str">
        <f aca="false">IF(AY340=1,DATE(YEAR(O340),MONTH(O340),1),"")</f>
        <v/>
      </c>
      <c r="AY340" s="1" t="n">
        <f aca="false">IF(B340="",0,IF(AND(ISNUMBER(O340),ISNUMBER(P340)),IF(P340&gt;=O340,1,0),0))</f>
        <v>0</v>
      </c>
      <c r="AZ340" s="1" t="n">
        <f aca="false">IF(ISNUMBER(Y340),Y340,0)</f>
        <v>0</v>
      </c>
      <c r="BA340" s="1" t="str">
        <f aca="false">IF(B340="","",IF(AND(R340="WON",AS340=0),"⛔ Beleg fehlt · ","")&amp;IF(AND(R340="WON",AR340=0),"⛔ Einstand fehlt · ","")&amp;IF(AND(R340&lt;&gt;"WON",AR340=0),"○ Einstand offen · ","")&amp;IF(AND(R340="WON",AB340=""),"⛔ Vertragsart fehlt · ","")&amp;IF(AND(ISNUMBER(O340),ISNUMBER(P340)),IF(P340&lt;O340,"⚠ Ende vor Start · ",""),"")&amp;IF(AND(R340="WON",AY340=0,NOT(AND(ISNUMBER(O340),ISNUMBER(P340)))),"⛔ Zeitraum fehlt · ","")&amp;IF(AND(R340&lt;&gt;"WON",AY340=0,NOT(AND(ISNUMBER(O340),ISNUMBER(P340)))),"○ Zeitraum offen · ",""))</f>
        <v/>
      </c>
      <c r="BB340" s="1" t="str">
        <f aca="false">IF(B340="","",IF(AND(R340="WON",AS340=0),"⛔ Nachweis fehlt",IF(AND(ISNUMBER(O340),ISNUMBER(P340),P340&lt;O340),"⚠ Ende vor Start",IF(AND(R340="WON",AY340=0),"⛔ Zeitraum fehlt",IF(AR340=0,"○ Einstand offen",IF(AY340=0,"○ Zeitraum offen",IF(R340="WON","✅ belegt","✔ erfasst")))))))</f>
        <v/>
      </c>
    </row>
    <row r="341" customFormat="false" ht="15" hidden="false" customHeight="true" outlineLevel="0" collapsed="false">
      <c r="G341" s="1" t="str">
        <f aca="false">IF(B341="","",IF(AY341=1,P341-O341+1,IF(AW341="","",AW341)))</f>
        <v/>
      </c>
      <c r="I341" s="270"/>
      <c r="J341" s="270"/>
      <c r="K341" s="270"/>
      <c r="L341" s="270"/>
      <c r="M341" s="270"/>
      <c r="N341" s="270"/>
      <c r="O341" s="263"/>
      <c r="P341" s="263"/>
      <c r="Q341" s="270" t="str">
        <f aca="false">IF(AND(ISNUMBER(I341),ISNUMBER(S341)),I341*AJ341,IF(OR(I341&lt;&gt;"",S341&lt;&gt;""),"tbd",""))</f>
        <v/>
      </c>
      <c r="S341" s="268"/>
      <c r="Y341" s="275" t="str">
        <f aca="false">IF(ISNUMBER(I341),I341/Netto_Faktor,"")</f>
        <v/>
      </c>
      <c r="Z341" s="275" t="str">
        <f aca="false">IF(B341="","",IF(COUNT(J341:N341)=0,"",SUM(J341:N341)))</f>
        <v/>
      </c>
      <c r="AA341" s="266"/>
      <c r="AB341" s="266"/>
      <c r="AC341" s="266"/>
      <c r="AD341" s="266"/>
      <c r="AE341" s="266"/>
      <c r="AF341" s="266"/>
      <c r="AG341" s="267"/>
      <c r="AH341" s="266" t="str">
        <f aca="false">IF(B341="","",IF(BA341="",IF(R341="WON","✅ belegt &amp; vollständig","✔ vollständig"),LEFT(BA341,LEN(BA341)-3)))</f>
        <v/>
      </c>
      <c r="AJ341" s="268" t="n">
        <f aca="false">IF(ISNUMBER(S341),IFERROR(LOOKUP(IF(S341&lt;=1,S341,S341/100),'⚖️ Wahrscheinlichkeit'!$B$17:$B$21,'⚖️ Wahrscheinlichkeit'!$D$17:$D$21),0),0)</f>
        <v>0</v>
      </c>
      <c r="AK341" s="1" t="str">
        <f aca="false">IF(AND(R341="WON",ISNUMBER(I341)),AL341+(861-ROW())*0.000001,"")</f>
        <v/>
      </c>
      <c r="AL341" s="1" t="n">
        <f aca="false">IFERROR(I341*1,0)</f>
        <v>0</v>
      </c>
      <c r="AM341" s="1" t="n">
        <f aca="false">N(AM340)+IF(AND(R341="WON",B341&lt;&gt;""),1,0)</f>
        <v>12</v>
      </c>
      <c r="AN341" s="1" t="n">
        <f aca="false">N(AN340)+IF(AND(OR(R341="offered",R341="to be offered",R341="on hold"),B341&lt;&gt;""),1,0)</f>
        <v>33</v>
      </c>
      <c r="AO341" s="1" t="n">
        <f aca="false">N(AO340)+IF(AND(OR(R341="follow-up",R341="Evaluation",R341="tbd",R341="In evaluation"),B341&lt;&gt;""),1,0)</f>
        <v>1</v>
      </c>
      <c r="AP341" s="1" t="n">
        <f aca="false">IF(B341="",0,IF(COUNTIF('⚖️ Wahrscheinlichkeit'!$J$17:$J$24,R341)&gt;0,1,0))</f>
        <v>0</v>
      </c>
      <c r="AQ341" s="1" t="n">
        <f aca="false">IF(B341="",0,IF(AND(ISNUMBER(S341),COUNTIF('⚖️ Wahrscheinlichkeit'!$B$6:$B$11,S341)&gt;0),1,0))</f>
        <v>0</v>
      </c>
      <c r="AR341" s="1" t="n">
        <f aca="false">IF(B341="",0,IF(AND(COUNT(J341:M341)=4,SUM(J341:M341)&gt;0),1,0))</f>
        <v>0</v>
      </c>
      <c r="AS341" s="1" t="n">
        <f aca="false">IF(B341="",0,IF(AND(AF341&lt;&gt;"",AG341&lt;&gt;""),1,0))</f>
        <v>0</v>
      </c>
      <c r="AT341" s="1" t="n">
        <f aca="false">IF(AND(R341="WON",AS341=1,AR341=1),1,0)</f>
        <v>0</v>
      </c>
      <c r="AU341" s="1" t="n">
        <f aca="false">IF(B341="",0,IF(AD341="Alternative – zählt nicht",0,1))</f>
        <v>0</v>
      </c>
      <c r="AV341" s="1" t="n">
        <f aca="false">IF(B341="",0,IF(COUNTIF($B$6:$B$860,B341)&gt;1,1,0))</f>
        <v>0</v>
      </c>
      <c r="AX341" s="269" t="str">
        <f aca="false">IF(AY341=1,DATE(YEAR(O341),MONTH(O341),1),"")</f>
        <v/>
      </c>
      <c r="AY341" s="1" t="n">
        <f aca="false">IF(B341="",0,IF(AND(ISNUMBER(O341),ISNUMBER(P341)),IF(P341&gt;=O341,1,0),0))</f>
        <v>0</v>
      </c>
      <c r="AZ341" s="1" t="n">
        <f aca="false">IF(ISNUMBER(Y341),Y341,0)</f>
        <v>0</v>
      </c>
      <c r="BA341" s="1" t="str">
        <f aca="false">IF(B341="","",IF(AND(R341="WON",AS341=0),"⛔ Beleg fehlt · ","")&amp;IF(AND(R341="WON",AR341=0),"⛔ Einstand fehlt · ","")&amp;IF(AND(R341&lt;&gt;"WON",AR341=0),"○ Einstand offen · ","")&amp;IF(AND(R341="WON",AB341=""),"⛔ Vertragsart fehlt · ","")&amp;IF(AND(ISNUMBER(O341),ISNUMBER(P341)),IF(P341&lt;O341,"⚠ Ende vor Start · ",""),"")&amp;IF(AND(R341="WON",AY341=0,NOT(AND(ISNUMBER(O341),ISNUMBER(P341)))),"⛔ Zeitraum fehlt · ","")&amp;IF(AND(R341&lt;&gt;"WON",AY341=0,NOT(AND(ISNUMBER(O341),ISNUMBER(P341)))),"○ Zeitraum offen · ",""))</f>
        <v/>
      </c>
      <c r="BB341" s="1" t="str">
        <f aca="false">IF(B341="","",IF(AND(R341="WON",AS341=0),"⛔ Nachweis fehlt",IF(AND(ISNUMBER(O341),ISNUMBER(P341),P341&lt;O341),"⚠ Ende vor Start",IF(AND(R341="WON",AY341=0),"⛔ Zeitraum fehlt",IF(AR341=0,"○ Einstand offen",IF(AY341=0,"○ Zeitraum offen",IF(R341="WON","✅ belegt","✔ erfasst")))))))</f>
        <v/>
      </c>
    </row>
    <row r="342" customFormat="false" ht="15" hidden="false" customHeight="true" outlineLevel="0" collapsed="false">
      <c r="G342" s="1" t="str">
        <f aca="false">IF(B342="","",IF(AY342=1,P342-O342+1,IF(AW342="","",AW342)))</f>
        <v/>
      </c>
      <c r="I342" s="270"/>
      <c r="J342" s="270"/>
      <c r="K342" s="270"/>
      <c r="L342" s="270"/>
      <c r="M342" s="270"/>
      <c r="N342" s="270"/>
      <c r="O342" s="263"/>
      <c r="P342" s="263"/>
      <c r="Q342" s="270" t="str">
        <f aca="false">IF(AND(ISNUMBER(I342),ISNUMBER(S342)),I342*AJ342,IF(OR(I342&lt;&gt;"",S342&lt;&gt;""),"tbd",""))</f>
        <v/>
      </c>
      <c r="S342" s="268"/>
      <c r="Y342" s="275" t="str">
        <f aca="false">IF(ISNUMBER(I342),I342/Netto_Faktor,"")</f>
        <v/>
      </c>
      <c r="Z342" s="275" t="str">
        <f aca="false">IF(B342="","",IF(COUNT(J342:N342)=0,"",SUM(J342:N342)))</f>
        <v/>
      </c>
      <c r="AA342" s="266"/>
      <c r="AB342" s="266"/>
      <c r="AC342" s="266"/>
      <c r="AD342" s="266"/>
      <c r="AE342" s="266"/>
      <c r="AF342" s="266"/>
      <c r="AG342" s="267"/>
      <c r="AH342" s="266" t="str">
        <f aca="false">IF(B342="","",IF(BA342="",IF(R342="WON","✅ belegt &amp; vollständig","✔ vollständig"),LEFT(BA342,LEN(BA342)-3)))</f>
        <v/>
      </c>
      <c r="AJ342" s="268" t="n">
        <f aca="false">IF(ISNUMBER(S342),IFERROR(LOOKUP(IF(S342&lt;=1,S342,S342/100),'⚖️ Wahrscheinlichkeit'!$B$17:$B$21,'⚖️ Wahrscheinlichkeit'!$D$17:$D$21),0),0)</f>
        <v>0</v>
      </c>
      <c r="AK342" s="1" t="str">
        <f aca="false">IF(AND(R342="WON",ISNUMBER(I342)),AL342+(861-ROW())*0.000001,"")</f>
        <v/>
      </c>
      <c r="AL342" s="1" t="n">
        <f aca="false">IFERROR(I342*1,0)</f>
        <v>0</v>
      </c>
      <c r="AM342" s="1" t="n">
        <f aca="false">N(AM341)+IF(AND(R342="WON",B342&lt;&gt;""),1,0)</f>
        <v>12</v>
      </c>
      <c r="AN342" s="1" t="n">
        <f aca="false">N(AN341)+IF(AND(OR(R342="offered",R342="to be offered",R342="on hold"),B342&lt;&gt;""),1,0)</f>
        <v>33</v>
      </c>
      <c r="AO342" s="1" t="n">
        <f aca="false">N(AO341)+IF(AND(OR(R342="follow-up",R342="Evaluation",R342="tbd",R342="In evaluation"),B342&lt;&gt;""),1,0)</f>
        <v>1</v>
      </c>
      <c r="AP342" s="1" t="n">
        <f aca="false">IF(B342="",0,IF(COUNTIF('⚖️ Wahrscheinlichkeit'!$J$17:$J$24,R342)&gt;0,1,0))</f>
        <v>0</v>
      </c>
      <c r="AQ342" s="1" t="n">
        <f aca="false">IF(B342="",0,IF(AND(ISNUMBER(S342),COUNTIF('⚖️ Wahrscheinlichkeit'!$B$6:$B$11,S342)&gt;0),1,0))</f>
        <v>0</v>
      </c>
      <c r="AR342" s="1" t="n">
        <f aca="false">IF(B342="",0,IF(AND(COUNT(J342:M342)=4,SUM(J342:M342)&gt;0),1,0))</f>
        <v>0</v>
      </c>
      <c r="AS342" s="1" t="n">
        <f aca="false">IF(B342="",0,IF(AND(AF342&lt;&gt;"",AG342&lt;&gt;""),1,0))</f>
        <v>0</v>
      </c>
      <c r="AT342" s="1" t="n">
        <f aca="false">IF(AND(R342="WON",AS342=1,AR342=1),1,0)</f>
        <v>0</v>
      </c>
      <c r="AU342" s="1" t="n">
        <f aca="false">IF(B342="",0,IF(AD342="Alternative – zählt nicht",0,1))</f>
        <v>0</v>
      </c>
      <c r="AV342" s="1" t="n">
        <f aca="false">IF(B342="",0,IF(COUNTIF($B$6:$B$860,B342)&gt;1,1,0))</f>
        <v>0</v>
      </c>
      <c r="AX342" s="269" t="str">
        <f aca="false">IF(AY342=1,DATE(YEAR(O342),MONTH(O342),1),"")</f>
        <v/>
      </c>
      <c r="AY342" s="1" t="n">
        <f aca="false">IF(B342="",0,IF(AND(ISNUMBER(O342),ISNUMBER(P342)),IF(P342&gt;=O342,1,0),0))</f>
        <v>0</v>
      </c>
      <c r="AZ342" s="1" t="n">
        <f aca="false">IF(ISNUMBER(Y342),Y342,0)</f>
        <v>0</v>
      </c>
      <c r="BA342" s="1" t="str">
        <f aca="false">IF(B342="","",IF(AND(R342="WON",AS342=0),"⛔ Beleg fehlt · ","")&amp;IF(AND(R342="WON",AR342=0),"⛔ Einstand fehlt · ","")&amp;IF(AND(R342&lt;&gt;"WON",AR342=0),"○ Einstand offen · ","")&amp;IF(AND(R342="WON",AB342=""),"⛔ Vertragsart fehlt · ","")&amp;IF(AND(ISNUMBER(O342),ISNUMBER(P342)),IF(P342&lt;O342,"⚠ Ende vor Start · ",""),"")&amp;IF(AND(R342="WON",AY342=0,NOT(AND(ISNUMBER(O342),ISNUMBER(P342)))),"⛔ Zeitraum fehlt · ","")&amp;IF(AND(R342&lt;&gt;"WON",AY342=0,NOT(AND(ISNUMBER(O342),ISNUMBER(P342)))),"○ Zeitraum offen · ",""))</f>
        <v/>
      </c>
      <c r="BB342" s="1" t="str">
        <f aca="false">IF(B342="","",IF(AND(R342="WON",AS342=0),"⛔ Nachweis fehlt",IF(AND(ISNUMBER(O342),ISNUMBER(P342),P342&lt;O342),"⚠ Ende vor Start",IF(AND(R342="WON",AY342=0),"⛔ Zeitraum fehlt",IF(AR342=0,"○ Einstand offen",IF(AY342=0,"○ Zeitraum offen",IF(R342="WON","✅ belegt","✔ erfasst")))))))</f>
        <v/>
      </c>
    </row>
    <row r="343" customFormat="false" ht="15" hidden="false" customHeight="true" outlineLevel="0" collapsed="false">
      <c r="G343" s="1" t="str">
        <f aca="false">IF(B343="","",IF(AY343=1,P343-O343+1,IF(AW343="","",AW343)))</f>
        <v/>
      </c>
      <c r="I343" s="270"/>
      <c r="J343" s="270"/>
      <c r="K343" s="270"/>
      <c r="L343" s="270"/>
      <c r="M343" s="270"/>
      <c r="N343" s="270"/>
      <c r="O343" s="263"/>
      <c r="P343" s="263"/>
      <c r="Q343" s="270" t="str">
        <f aca="false">IF(AND(ISNUMBER(I343),ISNUMBER(S343)),I343*AJ343,IF(OR(I343&lt;&gt;"",S343&lt;&gt;""),"tbd",""))</f>
        <v/>
      </c>
      <c r="S343" s="268"/>
      <c r="Y343" s="275" t="str">
        <f aca="false">IF(ISNUMBER(I343),I343/Netto_Faktor,"")</f>
        <v/>
      </c>
      <c r="Z343" s="275" t="str">
        <f aca="false">IF(B343="","",IF(COUNT(J343:N343)=0,"",SUM(J343:N343)))</f>
        <v/>
      </c>
      <c r="AA343" s="266"/>
      <c r="AB343" s="266"/>
      <c r="AC343" s="266"/>
      <c r="AD343" s="266"/>
      <c r="AE343" s="266"/>
      <c r="AF343" s="266"/>
      <c r="AG343" s="267"/>
      <c r="AH343" s="266" t="str">
        <f aca="false">IF(B343="","",IF(BA343="",IF(R343="WON","✅ belegt &amp; vollständig","✔ vollständig"),LEFT(BA343,LEN(BA343)-3)))</f>
        <v/>
      </c>
      <c r="AJ343" s="268" t="n">
        <f aca="false">IF(ISNUMBER(S343),IFERROR(LOOKUP(IF(S343&lt;=1,S343,S343/100),'⚖️ Wahrscheinlichkeit'!$B$17:$B$21,'⚖️ Wahrscheinlichkeit'!$D$17:$D$21),0),0)</f>
        <v>0</v>
      </c>
      <c r="AK343" s="1" t="str">
        <f aca="false">IF(AND(R343="WON",ISNUMBER(I343)),AL343+(861-ROW())*0.000001,"")</f>
        <v/>
      </c>
      <c r="AL343" s="1" t="n">
        <f aca="false">IFERROR(I343*1,0)</f>
        <v>0</v>
      </c>
      <c r="AM343" s="1" t="n">
        <f aca="false">N(AM342)+IF(AND(R343="WON",B343&lt;&gt;""),1,0)</f>
        <v>12</v>
      </c>
      <c r="AN343" s="1" t="n">
        <f aca="false">N(AN342)+IF(AND(OR(R343="offered",R343="to be offered",R343="on hold"),B343&lt;&gt;""),1,0)</f>
        <v>33</v>
      </c>
      <c r="AO343" s="1" t="n">
        <f aca="false">N(AO342)+IF(AND(OR(R343="follow-up",R343="Evaluation",R343="tbd",R343="In evaluation"),B343&lt;&gt;""),1,0)</f>
        <v>1</v>
      </c>
      <c r="AP343" s="1" t="n">
        <f aca="false">IF(B343="",0,IF(COUNTIF('⚖️ Wahrscheinlichkeit'!$J$17:$J$24,R343)&gt;0,1,0))</f>
        <v>0</v>
      </c>
      <c r="AQ343" s="1" t="n">
        <f aca="false">IF(B343="",0,IF(AND(ISNUMBER(S343),COUNTIF('⚖️ Wahrscheinlichkeit'!$B$6:$B$11,S343)&gt;0),1,0))</f>
        <v>0</v>
      </c>
      <c r="AR343" s="1" t="n">
        <f aca="false">IF(B343="",0,IF(AND(COUNT(J343:M343)=4,SUM(J343:M343)&gt;0),1,0))</f>
        <v>0</v>
      </c>
      <c r="AS343" s="1" t="n">
        <f aca="false">IF(B343="",0,IF(AND(AF343&lt;&gt;"",AG343&lt;&gt;""),1,0))</f>
        <v>0</v>
      </c>
      <c r="AT343" s="1" t="n">
        <f aca="false">IF(AND(R343="WON",AS343=1,AR343=1),1,0)</f>
        <v>0</v>
      </c>
      <c r="AU343" s="1" t="n">
        <f aca="false">IF(B343="",0,IF(AD343="Alternative – zählt nicht",0,1))</f>
        <v>0</v>
      </c>
      <c r="AV343" s="1" t="n">
        <f aca="false">IF(B343="",0,IF(COUNTIF($B$6:$B$860,B343)&gt;1,1,0))</f>
        <v>0</v>
      </c>
      <c r="AX343" s="269" t="str">
        <f aca="false">IF(AY343=1,DATE(YEAR(O343),MONTH(O343),1),"")</f>
        <v/>
      </c>
      <c r="AY343" s="1" t="n">
        <f aca="false">IF(B343="",0,IF(AND(ISNUMBER(O343),ISNUMBER(P343)),IF(P343&gt;=O343,1,0),0))</f>
        <v>0</v>
      </c>
      <c r="AZ343" s="1" t="n">
        <f aca="false">IF(ISNUMBER(Y343),Y343,0)</f>
        <v>0</v>
      </c>
      <c r="BA343" s="1" t="str">
        <f aca="false">IF(B343="","",IF(AND(R343="WON",AS343=0),"⛔ Beleg fehlt · ","")&amp;IF(AND(R343="WON",AR343=0),"⛔ Einstand fehlt · ","")&amp;IF(AND(R343&lt;&gt;"WON",AR343=0),"○ Einstand offen · ","")&amp;IF(AND(R343="WON",AB343=""),"⛔ Vertragsart fehlt · ","")&amp;IF(AND(ISNUMBER(O343),ISNUMBER(P343)),IF(P343&lt;O343,"⚠ Ende vor Start · ",""),"")&amp;IF(AND(R343="WON",AY343=0,NOT(AND(ISNUMBER(O343),ISNUMBER(P343)))),"⛔ Zeitraum fehlt · ","")&amp;IF(AND(R343&lt;&gt;"WON",AY343=0,NOT(AND(ISNUMBER(O343),ISNUMBER(P343)))),"○ Zeitraum offen · ",""))</f>
        <v/>
      </c>
      <c r="BB343" s="1" t="str">
        <f aca="false">IF(B343="","",IF(AND(R343="WON",AS343=0),"⛔ Nachweis fehlt",IF(AND(ISNUMBER(O343),ISNUMBER(P343),P343&lt;O343),"⚠ Ende vor Start",IF(AND(R343="WON",AY343=0),"⛔ Zeitraum fehlt",IF(AR343=0,"○ Einstand offen",IF(AY343=0,"○ Zeitraum offen",IF(R343="WON","✅ belegt","✔ erfasst")))))))</f>
        <v/>
      </c>
    </row>
    <row r="344" customFormat="false" ht="15" hidden="false" customHeight="true" outlineLevel="0" collapsed="false">
      <c r="G344" s="1" t="str">
        <f aca="false">IF(B344="","",IF(AY344=1,P344-O344+1,IF(AW344="","",AW344)))</f>
        <v/>
      </c>
      <c r="I344" s="270"/>
      <c r="J344" s="270"/>
      <c r="K344" s="270"/>
      <c r="L344" s="270"/>
      <c r="M344" s="270"/>
      <c r="N344" s="270"/>
      <c r="O344" s="263"/>
      <c r="P344" s="263"/>
      <c r="Q344" s="270" t="str">
        <f aca="false">IF(AND(ISNUMBER(I344),ISNUMBER(S344)),I344*AJ344,IF(OR(I344&lt;&gt;"",S344&lt;&gt;""),"tbd",""))</f>
        <v/>
      </c>
      <c r="S344" s="268"/>
      <c r="Y344" s="275" t="str">
        <f aca="false">IF(ISNUMBER(I344),I344/Netto_Faktor,"")</f>
        <v/>
      </c>
      <c r="Z344" s="275" t="str">
        <f aca="false">IF(B344="","",IF(COUNT(J344:N344)=0,"",SUM(J344:N344)))</f>
        <v/>
      </c>
      <c r="AA344" s="266"/>
      <c r="AB344" s="266"/>
      <c r="AC344" s="266"/>
      <c r="AD344" s="266"/>
      <c r="AE344" s="266"/>
      <c r="AF344" s="266"/>
      <c r="AG344" s="267"/>
      <c r="AH344" s="266" t="str">
        <f aca="false">IF(B344="","",IF(BA344="",IF(R344="WON","✅ belegt &amp; vollständig","✔ vollständig"),LEFT(BA344,LEN(BA344)-3)))</f>
        <v/>
      </c>
      <c r="AJ344" s="268" t="n">
        <f aca="false">IF(ISNUMBER(S344),IFERROR(LOOKUP(IF(S344&lt;=1,S344,S344/100),'⚖️ Wahrscheinlichkeit'!$B$17:$B$21,'⚖️ Wahrscheinlichkeit'!$D$17:$D$21),0),0)</f>
        <v>0</v>
      </c>
      <c r="AK344" s="1" t="str">
        <f aca="false">IF(AND(R344="WON",ISNUMBER(I344)),AL344+(861-ROW())*0.000001,"")</f>
        <v/>
      </c>
      <c r="AL344" s="1" t="n">
        <f aca="false">IFERROR(I344*1,0)</f>
        <v>0</v>
      </c>
      <c r="AM344" s="1" t="n">
        <f aca="false">N(AM343)+IF(AND(R344="WON",B344&lt;&gt;""),1,0)</f>
        <v>12</v>
      </c>
      <c r="AN344" s="1" t="n">
        <f aca="false">N(AN343)+IF(AND(OR(R344="offered",R344="to be offered",R344="on hold"),B344&lt;&gt;""),1,0)</f>
        <v>33</v>
      </c>
      <c r="AO344" s="1" t="n">
        <f aca="false">N(AO343)+IF(AND(OR(R344="follow-up",R344="Evaluation",R344="tbd",R344="In evaluation"),B344&lt;&gt;""),1,0)</f>
        <v>1</v>
      </c>
      <c r="AP344" s="1" t="n">
        <f aca="false">IF(B344="",0,IF(COUNTIF('⚖️ Wahrscheinlichkeit'!$J$17:$J$24,R344)&gt;0,1,0))</f>
        <v>0</v>
      </c>
      <c r="AQ344" s="1" t="n">
        <f aca="false">IF(B344="",0,IF(AND(ISNUMBER(S344),COUNTIF('⚖️ Wahrscheinlichkeit'!$B$6:$B$11,S344)&gt;0),1,0))</f>
        <v>0</v>
      </c>
      <c r="AR344" s="1" t="n">
        <f aca="false">IF(B344="",0,IF(AND(COUNT(J344:M344)=4,SUM(J344:M344)&gt;0),1,0))</f>
        <v>0</v>
      </c>
      <c r="AS344" s="1" t="n">
        <f aca="false">IF(B344="",0,IF(AND(AF344&lt;&gt;"",AG344&lt;&gt;""),1,0))</f>
        <v>0</v>
      </c>
      <c r="AT344" s="1" t="n">
        <f aca="false">IF(AND(R344="WON",AS344=1,AR344=1),1,0)</f>
        <v>0</v>
      </c>
      <c r="AU344" s="1" t="n">
        <f aca="false">IF(B344="",0,IF(AD344="Alternative – zählt nicht",0,1))</f>
        <v>0</v>
      </c>
      <c r="AV344" s="1" t="n">
        <f aca="false">IF(B344="",0,IF(COUNTIF($B$6:$B$860,B344)&gt;1,1,0))</f>
        <v>0</v>
      </c>
      <c r="AX344" s="269" t="str">
        <f aca="false">IF(AY344=1,DATE(YEAR(O344),MONTH(O344),1),"")</f>
        <v/>
      </c>
      <c r="AY344" s="1" t="n">
        <f aca="false">IF(B344="",0,IF(AND(ISNUMBER(O344),ISNUMBER(P344)),IF(P344&gt;=O344,1,0),0))</f>
        <v>0</v>
      </c>
      <c r="AZ344" s="1" t="n">
        <f aca="false">IF(ISNUMBER(Y344),Y344,0)</f>
        <v>0</v>
      </c>
      <c r="BA344" s="1" t="str">
        <f aca="false">IF(B344="","",IF(AND(R344="WON",AS344=0),"⛔ Beleg fehlt · ","")&amp;IF(AND(R344="WON",AR344=0),"⛔ Einstand fehlt · ","")&amp;IF(AND(R344&lt;&gt;"WON",AR344=0),"○ Einstand offen · ","")&amp;IF(AND(R344="WON",AB344=""),"⛔ Vertragsart fehlt · ","")&amp;IF(AND(ISNUMBER(O344),ISNUMBER(P344)),IF(P344&lt;O344,"⚠ Ende vor Start · ",""),"")&amp;IF(AND(R344="WON",AY344=0,NOT(AND(ISNUMBER(O344),ISNUMBER(P344)))),"⛔ Zeitraum fehlt · ","")&amp;IF(AND(R344&lt;&gt;"WON",AY344=0,NOT(AND(ISNUMBER(O344),ISNUMBER(P344)))),"○ Zeitraum offen · ",""))</f>
        <v/>
      </c>
      <c r="BB344" s="1" t="str">
        <f aca="false">IF(B344="","",IF(AND(R344="WON",AS344=0),"⛔ Nachweis fehlt",IF(AND(ISNUMBER(O344),ISNUMBER(P344),P344&lt;O344),"⚠ Ende vor Start",IF(AND(R344="WON",AY344=0),"⛔ Zeitraum fehlt",IF(AR344=0,"○ Einstand offen",IF(AY344=0,"○ Zeitraum offen",IF(R344="WON","✅ belegt","✔ erfasst")))))))</f>
        <v/>
      </c>
    </row>
    <row r="345" customFormat="false" ht="15" hidden="false" customHeight="true" outlineLevel="0" collapsed="false">
      <c r="G345" s="1" t="str">
        <f aca="false">IF(B345="","",IF(AY345=1,P345-O345+1,IF(AW345="","",AW345)))</f>
        <v/>
      </c>
      <c r="I345" s="270"/>
      <c r="J345" s="270"/>
      <c r="K345" s="270"/>
      <c r="L345" s="270"/>
      <c r="M345" s="270"/>
      <c r="N345" s="270"/>
      <c r="O345" s="263"/>
      <c r="P345" s="263"/>
      <c r="Q345" s="270" t="str">
        <f aca="false">IF(AND(ISNUMBER(I345),ISNUMBER(S345)),I345*AJ345,IF(OR(I345&lt;&gt;"",S345&lt;&gt;""),"tbd",""))</f>
        <v/>
      </c>
      <c r="S345" s="268"/>
      <c r="Y345" s="275" t="str">
        <f aca="false">IF(ISNUMBER(I345),I345/Netto_Faktor,"")</f>
        <v/>
      </c>
      <c r="Z345" s="275" t="str">
        <f aca="false">IF(B345="","",IF(COUNT(J345:N345)=0,"",SUM(J345:N345)))</f>
        <v/>
      </c>
      <c r="AA345" s="266"/>
      <c r="AB345" s="266"/>
      <c r="AC345" s="266"/>
      <c r="AD345" s="266"/>
      <c r="AE345" s="266"/>
      <c r="AF345" s="266"/>
      <c r="AG345" s="267"/>
      <c r="AH345" s="266" t="str">
        <f aca="false">IF(B345="","",IF(BA345="",IF(R345="WON","✅ belegt &amp; vollständig","✔ vollständig"),LEFT(BA345,LEN(BA345)-3)))</f>
        <v/>
      </c>
      <c r="AJ345" s="268" t="n">
        <f aca="false">IF(ISNUMBER(S345),IFERROR(LOOKUP(IF(S345&lt;=1,S345,S345/100),'⚖️ Wahrscheinlichkeit'!$B$17:$B$21,'⚖️ Wahrscheinlichkeit'!$D$17:$D$21),0),0)</f>
        <v>0</v>
      </c>
      <c r="AK345" s="1" t="str">
        <f aca="false">IF(AND(R345="WON",ISNUMBER(I345)),AL345+(861-ROW())*0.000001,"")</f>
        <v/>
      </c>
      <c r="AL345" s="1" t="n">
        <f aca="false">IFERROR(I345*1,0)</f>
        <v>0</v>
      </c>
      <c r="AM345" s="1" t="n">
        <f aca="false">N(AM344)+IF(AND(R345="WON",B345&lt;&gt;""),1,0)</f>
        <v>12</v>
      </c>
      <c r="AN345" s="1" t="n">
        <f aca="false">N(AN344)+IF(AND(OR(R345="offered",R345="to be offered",R345="on hold"),B345&lt;&gt;""),1,0)</f>
        <v>33</v>
      </c>
      <c r="AO345" s="1" t="n">
        <f aca="false">N(AO344)+IF(AND(OR(R345="follow-up",R345="Evaluation",R345="tbd",R345="In evaluation"),B345&lt;&gt;""),1,0)</f>
        <v>1</v>
      </c>
      <c r="AP345" s="1" t="n">
        <f aca="false">IF(B345="",0,IF(COUNTIF('⚖️ Wahrscheinlichkeit'!$J$17:$J$24,R345)&gt;0,1,0))</f>
        <v>0</v>
      </c>
      <c r="AQ345" s="1" t="n">
        <f aca="false">IF(B345="",0,IF(AND(ISNUMBER(S345),COUNTIF('⚖️ Wahrscheinlichkeit'!$B$6:$B$11,S345)&gt;0),1,0))</f>
        <v>0</v>
      </c>
      <c r="AR345" s="1" t="n">
        <f aca="false">IF(B345="",0,IF(AND(COUNT(J345:M345)=4,SUM(J345:M345)&gt;0),1,0))</f>
        <v>0</v>
      </c>
      <c r="AS345" s="1" t="n">
        <f aca="false">IF(B345="",0,IF(AND(AF345&lt;&gt;"",AG345&lt;&gt;""),1,0))</f>
        <v>0</v>
      </c>
      <c r="AT345" s="1" t="n">
        <f aca="false">IF(AND(R345="WON",AS345=1,AR345=1),1,0)</f>
        <v>0</v>
      </c>
      <c r="AU345" s="1" t="n">
        <f aca="false">IF(B345="",0,IF(AD345="Alternative – zählt nicht",0,1))</f>
        <v>0</v>
      </c>
      <c r="AV345" s="1" t="n">
        <f aca="false">IF(B345="",0,IF(COUNTIF($B$6:$B$860,B345)&gt;1,1,0))</f>
        <v>0</v>
      </c>
      <c r="AX345" s="269" t="str">
        <f aca="false">IF(AY345=1,DATE(YEAR(O345),MONTH(O345),1),"")</f>
        <v/>
      </c>
      <c r="AY345" s="1" t="n">
        <f aca="false">IF(B345="",0,IF(AND(ISNUMBER(O345),ISNUMBER(P345)),IF(P345&gt;=O345,1,0),0))</f>
        <v>0</v>
      </c>
      <c r="AZ345" s="1" t="n">
        <f aca="false">IF(ISNUMBER(Y345),Y345,0)</f>
        <v>0</v>
      </c>
      <c r="BA345" s="1" t="str">
        <f aca="false">IF(B345="","",IF(AND(R345="WON",AS345=0),"⛔ Beleg fehlt · ","")&amp;IF(AND(R345="WON",AR345=0),"⛔ Einstand fehlt · ","")&amp;IF(AND(R345&lt;&gt;"WON",AR345=0),"○ Einstand offen · ","")&amp;IF(AND(R345="WON",AB345=""),"⛔ Vertragsart fehlt · ","")&amp;IF(AND(ISNUMBER(O345),ISNUMBER(P345)),IF(P345&lt;O345,"⚠ Ende vor Start · ",""),"")&amp;IF(AND(R345="WON",AY345=0,NOT(AND(ISNUMBER(O345),ISNUMBER(P345)))),"⛔ Zeitraum fehlt · ","")&amp;IF(AND(R345&lt;&gt;"WON",AY345=0,NOT(AND(ISNUMBER(O345),ISNUMBER(P345)))),"○ Zeitraum offen · ",""))</f>
        <v/>
      </c>
      <c r="BB345" s="1" t="str">
        <f aca="false">IF(B345="","",IF(AND(R345="WON",AS345=0),"⛔ Nachweis fehlt",IF(AND(ISNUMBER(O345),ISNUMBER(P345),P345&lt;O345),"⚠ Ende vor Start",IF(AND(R345="WON",AY345=0),"⛔ Zeitraum fehlt",IF(AR345=0,"○ Einstand offen",IF(AY345=0,"○ Zeitraum offen",IF(R345="WON","✅ belegt","✔ erfasst")))))))</f>
        <v/>
      </c>
    </row>
    <row r="346" customFormat="false" ht="15" hidden="false" customHeight="true" outlineLevel="0" collapsed="false">
      <c r="G346" s="1" t="str">
        <f aca="false">IF(B346="","",IF(AY346=1,P346-O346+1,IF(AW346="","",AW346)))</f>
        <v/>
      </c>
      <c r="I346" s="270"/>
      <c r="J346" s="270"/>
      <c r="K346" s="270"/>
      <c r="L346" s="270"/>
      <c r="M346" s="270"/>
      <c r="N346" s="270"/>
      <c r="O346" s="263"/>
      <c r="P346" s="263"/>
      <c r="Q346" s="270" t="str">
        <f aca="false">IF(AND(ISNUMBER(I346),ISNUMBER(S346)),I346*AJ346,IF(OR(I346&lt;&gt;"",S346&lt;&gt;""),"tbd",""))</f>
        <v/>
      </c>
      <c r="S346" s="268"/>
      <c r="Y346" s="275" t="str">
        <f aca="false">IF(ISNUMBER(I346),I346/Netto_Faktor,"")</f>
        <v/>
      </c>
      <c r="Z346" s="275" t="str">
        <f aca="false">IF(B346="","",IF(COUNT(J346:N346)=0,"",SUM(J346:N346)))</f>
        <v/>
      </c>
      <c r="AA346" s="266"/>
      <c r="AB346" s="266"/>
      <c r="AC346" s="266"/>
      <c r="AD346" s="266"/>
      <c r="AE346" s="266"/>
      <c r="AF346" s="266"/>
      <c r="AG346" s="267"/>
      <c r="AH346" s="266" t="str">
        <f aca="false">IF(B346="","",IF(BA346="",IF(R346="WON","✅ belegt &amp; vollständig","✔ vollständig"),LEFT(BA346,LEN(BA346)-3)))</f>
        <v/>
      </c>
      <c r="AJ346" s="268" t="n">
        <f aca="false">IF(ISNUMBER(S346),IFERROR(LOOKUP(IF(S346&lt;=1,S346,S346/100),'⚖️ Wahrscheinlichkeit'!$B$17:$B$21,'⚖️ Wahrscheinlichkeit'!$D$17:$D$21),0),0)</f>
        <v>0</v>
      </c>
      <c r="AK346" s="1" t="str">
        <f aca="false">IF(AND(R346="WON",ISNUMBER(I346)),AL346+(861-ROW())*0.000001,"")</f>
        <v/>
      </c>
      <c r="AL346" s="1" t="n">
        <f aca="false">IFERROR(I346*1,0)</f>
        <v>0</v>
      </c>
      <c r="AM346" s="1" t="n">
        <f aca="false">N(AM345)+IF(AND(R346="WON",B346&lt;&gt;""),1,0)</f>
        <v>12</v>
      </c>
      <c r="AN346" s="1" t="n">
        <f aca="false">N(AN345)+IF(AND(OR(R346="offered",R346="to be offered",R346="on hold"),B346&lt;&gt;""),1,0)</f>
        <v>33</v>
      </c>
      <c r="AO346" s="1" t="n">
        <f aca="false">N(AO345)+IF(AND(OR(R346="follow-up",R346="Evaluation",R346="tbd",R346="In evaluation"),B346&lt;&gt;""),1,0)</f>
        <v>1</v>
      </c>
      <c r="AP346" s="1" t="n">
        <f aca="false">IF(B346="",0,IF(COUNTIF('⚖️ Wahrscheinlichkeit'!$J$17:$J$24,R346)&gt;0,1,0))</f>
        <v>0</v>
      </c>
      <c r="AQ346" s="1" t="n">
        <f aca="false">IF(B346="",0,IF(AND(ISNUMBER(S346),COUNTIF('⚖️ Wahrscheinlichkeit'!$B$6:$B$11,S346)&gt;0),1,0))</f>
        <v>0</v>
      </c>
      <c r="AR346" s="1" t="n">
        <f aca="false">IF(B346="",0,IF(AND(COUNT(J346:M346)=4,SUM(J346:M346)&gt;0),1,0))</f>
        <v>0</v>
      </c>
      <c r="AS346" s="1" t="n">
        <f aca="false">IF(B346="",0,IF(AND(AF346&lt;&gt;"",AG346&lt;&gt;""),1,0))</f>
        <v>0</v>
      </c>
      <c r="AT346" s="1" t="n">
        <f aca="false">IF(AND(R346="WON",AS346=1,AR346=1),1,0)</f>
        <v>0</v>
      </c>
      <c r="AU346" s="1" t="n">
        <f aca="false">IF(B346="",0,IF(AD346="Alternative – zählt nicht",0,1))</f>
        <v>0</v>
      </c>
      <c r="AV346" s="1" t="n">
        <f aca="false">IF(B346="",0,IF(COUNTIF($B$6:$B$860,B346)&gt;1,1,0))</f>
        <v>0</v>
      </c>
      <c r="AX346" s="269" t="str">
        <f aca="false">IF(AY346=1,DATE(YEAR(O346),MONTH(O346),1),"")</f>
        <v/>
      </c>
      <c r="AY346" s="1" t="n">
        <f aca="false">IF(B346="",0,IF(AND(ISNUMBER(O346),ISNUMBER(P346)),IF(P346&gt;=O346,1,0),0))</f>
        <v>0</v>
      </c>
      <c r="AZ346" s="1" t="n">
        <f aca="false">IF(ISNUMBER(Y346),Y346,0)</f>
        <v>0</v>
      </c>
      <c r="BA346" s="1" t="str">
        <f aca="false">IF(B346="","",IF(AND(R346="WON",AS346=0),"⛔ Beleg fehlt · ","")&amp;IF(AND(R346="WON",AR346=0),"⛔ Einstand fehlt · ","")&amp;IF(AND(R346&lt;&gt;"WON",AR346=0),"○ Einstand offen · ","")&amp;IF(AND(R346="WON",AB346=""),"⛔ Vertragsart fehlt · ","")&amp;IF(AND(ISNUMBER(O346),ISNUMBER(P346)),IF(P346&lt;O346,"⚠ Ende vor Start · ",""),"")&amp;IF(AND(R346="WON",AY346=0,NOT(AND(ISNUMBER(O346),ISNUMBER(P346)))),"⛔ Zeitraum fehlt · ","")&amp;IF(AND(R346&lt;&gt;"WON",AY346=0,NOT(AND(ISNUMBER(O346),ISNUMBER(P346)))),"○ Zeitraum offen · ",""))</f>
        <v/>
      </c>
      <c r="BB346" s="1" t="str">
        <f aca="false">IF(B346="","",IF(AND(R346="WON",AS346=0),"⛔ Nachweis fehlt",IF(AND(ISNUMBER(O346),ISNUMBER(P346),P346&lt;O346),"⚠ Ende vor Start",IF(AND(R346="WON",AY346=0),"⛔ Zeitraum fehlt",IF(AR346=0,"○ Einstand offen",IF(AY346=0,"○ Zeitraum offen",IF(R346="WON","✅ belegt","✔ erfasst")))))))</f>
        <v/>
      </c>
    </row>
    <row r="347" customFormat="false" ht="15" hidden="false" customHeight="true" outlineLevel="0" collapsed="false">
      <c r="G347" s="1" t="str">
        <f aca="false">IF(B347="","",IF(AY347=1,P347-O347+1,IF(AW347="","",AW347)))</f>
        <v/>
      </c>
      <c r="I347" s="270"/>
      <c r="J347" s="270"/>
      <c r="K347" s="270"/>
      <c r="L347" s="270"/>
      <c r="M347" s="270"/>
      <c r="N347" s="270"/>
      <c r="O347" s="263"/>
      <c r="P347" s="263"/>
      <c r="Q347" s="270" t="str">
        <f aca="false">IF(AND(ISNUMBER(I347),ISNUMBER(S347)),I347*AJ347,IF(OR(I347&lt;&gt;"",S347&lt;&gt;""),"tbd",""))</f>
        <v/>
      </c>
      <c r="S347" s="268"/>
      <c r="Y347" s="275" t="str">
        <f aca="false">IF(ISNUMBER(I347),I347/Netto_Faktor,"")</f>
        <v/>
      </c>
      <c r="Z347" s="275" t="str">
        <f aca="false">IF(B347="","",IF(COUNT(J347:N347)=0,"",SUM(J347:N347)))</f>
        <v/>
      </c>
      <c r="AA347" s="266"/>
      <c r="AB347" s="266"/>
      <c r="AC347" s="266"/>
      <c r="AD347" s="266"/>
      <c r="AE347" s="266"/>
      <c r="AF347" s="266"/>
      <c r="AG347" s="267"/>
      <c r="AH347" s="266" t="str">
        <f aca="false">IF(B347="","",IF(BA347="",IF(R347="WON","✅ belegt &amp; vollständig","✔ vollständig"),LEFT(BA347,LEN(BA347)-3)))</f>
        <v/>
      </c>
      <c r="AJ347" s="268" t="n">
        <f aca="false">IF(ISNUMBER(S347),IFERROR(LOOKUP(IF(S347&lt;=1,S347,S347/100),'⚖️ Wahrscheinlichkeit'!$B$17:$B$21,'⚖️ Wahrscheinlichkeit'!$D$17:$D$21),0),0)</f>
        <v>0</v>
      </c>
      <c r="AK347" s="1" t="str">
        <f aca="false">IF(AND(R347="WON",ISNUMBER(I347)),AL347+(861-ROW())*0.000001,"")</f>
        <v/>
      </c>
      <c r="AL347" s="1" t="n">
        <f aca="false">IFERROR(I347*1,0)</f>
        <v>0</v>
      </c>
      <c r="AM347" s="1" t="n">
        <f aca="false">N(AM346)+IF(AND(R347="WON",B347&lt;&gt;""),1,0)</f>
        <v>12</v>
      </c>
      <c r="AN347" s="1" t="n">
        <f aca="false">N(AN346)+IF(AND(OR(R347="offered",R347="to be offered",R347="on hold"),B347&lt;&gt;""),1,0)</f>
        <v>33</v>
      </c>
      <c r="AO347" s="1" t="n">
        <f aca="false">N(AO346)+IF(AND(OR(R347="follow-up",R347="Evaluation",R347="tbd",R347="In evaluation"),B347&lt;&gt;""),1,0)</f>
        <v>1</v>
      </c>
      <c r="AP347" s="1" t="n">
        <f aca="false">IF(B347="",0,IF(COUNTIF('⚖️ Wahrscheinlichkeit'!$J$17:$J$24,R347)&gt;0,1,0))</f>
        <v>0</v>
      </c>
      <c r="AQ347" s="1" t="n">
        <f aca="false">IF(B347="",0,IF(AND(ISNUMBER(S347),COUNTIF('⚖️ Wahrscheinlichkeit'!$B$6:$B$11,S347)&gt;0),1,0))</f>
        <v>0</v>
      </c>
      <c r="AR347" s="1" t="n">
        <f aca="false">IF(B347="",0,IF(AND(COUNT(J347:M347)=4,SUM(J347:M347)&gt;0),1,0))</f>
        <v>0</v>
      </c>
      <c r="AS347" s="1" t="n">
        <f aca="false">IF(B347="",0,IF(AND(AF347&lt;&gt;"",AG347&lt;&gt;""),1,0))</f>
        <v>0</v>
      </c>
      <c r="AT347" s="1" t="n">
        <f aca="false">IF(AND(R347="WON",AS347=1,AR347=1),1,0)</f>
        <v>0</v>
      </c>
      <c r="AU347" s="1" t="n">
        <f aca="false">IF(B347="",0,IF(AD347="Alternative – zählt nicht",0,1))</f>
        <v>0</v>
      </c>
      <c r="AV347" s="1" t="n">
        <f aca="false">IF(B347="",0,IF(COUNTIF($B$6:$B$860,B347)&gt;1,1,0))</f>
        <v>0</v>
      </c>
      <c r="AX347" s="269" t="str">
        <f aca="false">IF(AY347=1,DATE(YEAR(O347),MONTH(O347),1),"")</f>
        <v/>
      </c>
      <c r="AY347" s="1" t="n">
        <f aca="false">IF(B347="",0,IF(AND(ISNUMBER(O347),ISNUMBER(P347)),IF(P347&gt;=O347,1,0),0))</f>
        <v>0</v>
      </c>
      <c r="AZ347" s="1" t="n">
        <f aca="false">IF(ISNUMBER(Y347),Y347,0)</f>
        <v>0</v>
      </c>
      <c r="BA347" s="1" t="str">
        <f aca="false">IF(B347="","",IF(AND(R347="WON",AS347=0),"⛔ Beleg fehlt · ","")&amp;IF(AND(R347="WON",AR347=0),"⛔ Einstand fehlt · ","")&amp;IF(AND(R347&lt;&gt;"WON",AR347=0),"○ Einstand offen · ","")&amp;IF(AND(R347="WON",AB347=""),"⛔ Vertragsart fehlt · ","")&amp;IF(AND(ISNUMBER(O347),ISNUMBER(P347)),IF(P347&lt;O347,"⚠ Ende vor Start · ",""),"")&amp;IF(AND(R347="WON",AY347=0,NOT(AND(ISNUMBER(O347),ISNUMBER(P347)))),"⛔ Zeitraum fehlt · ","")&amp;IF(AND(R347&lt;&gt;"WON",AY347=0,NOT(AND(ISNUMBER(O347),ISNUMBER(P347)))),"○ Zeitraum offen · ",""))</f>
        <v/>
      </c>
      <c r="BB347" s="1" t="str">
        <f aca="false">IF(B347="","",IF(AND(R347="WON",AS347=0),"⛔ Nachweis fehlt",IF(AND(ISNUMBER(O347),ISNUMBER(P347),P347&lt;O347),"⚠ Ende vor Start",IF(AND(R347="WON",AY347=0),"⛔ Zeitraum fehlt",IF(AR347=0,"○ Einstand offen",IF(AY347=0,"○ Zeitraum offen",IF(R347="WON","✅ belegt","✔ erfasst")))))))</f>
        <v/>
      </c>
    </row>
    <row r="348" customFormat="false" ht="15" hidden="false" customHeight="true" outlineLevel="0" collapsed="false">
      <c r="G348" s="1" t="str">
        <f aca="false">IF(B348="","",IF(AY348=1,P348-O348+1,IF(AW348="","",AW348)))</f>
        <v/>
      </c>
      <c r="I348" s="270"/>
      <c r="J348" s="270"/>
      <c r="K348" s="270"/>
      <c r="L348" s="270"/>
      <c r="M348" s="270"/>
      <c r="N348" s="270"/>
      <c r="O348" s="263"/>
      <c r="P348" s="263"/>
      <c r="Q348" s="270" t="str">
        <f aca="false">IF(AND(ISNUMBER(I348),ISNUMBER(S348)),I348*AJ348,IF(OR(I348&lt;&gt;"",S348&lt;&gt;""),"tbd",""))</f>
        <v/>
      </c>
      <c r="S348" s="268"/>
      <c r="Y348" s="275" t="str">
        <f aca="false">IF(ISNUMBER(I348),I348/Netto_Faktor,"")</f>
        <v/>
      </c>
      <c r="Z348" s="275" t="str">
        <f aca="false">IF(B348="","",IF(COUNT(J348:N348)=0,"",SUM(J348:N348)))</f>
        <v/>
      </c>
      <c r="AA348" s="266"/>
      <c r="AB348" s="266"/>
      <c r="AC348" s="266"/>
      <c r="AD348" s="266"/>
      <c r="AE348" s="266"/>
      <c r="AF348" s="266"/>
      <c r="AG348" s="267"/>
      <c r="AH348" s="266" t="str">
        <f aca="false">IF(B348="","",IF(BA348="",IF(R348="WON","✅ belegt &amp; vollständig","✔ vollständig"),LEFT(BA348,LEN(BA348)-3)))</f>
        <v/>
      </c>
      <c r="AJ348" s="268" t="n">
        <f aca="false">IF(ISNUMBER(S348),IFERROR(LOOKUP(IF(S348&lt;=1,S348,S348/100),'⚖️ Wahrscheinlichkeit'!$B$17:$B$21,'⚖️ Wahrscheinlichkeit'!$D$17:$D$21),0),0)</f>
        <v>0</v>
      </c>
      <c r="AK348" s="1" t="str">
        <f aca="false">IF(AND(R348="WON",ISNUMBER(I348)),AL348+(861-ROW())*0.000001,"")</f>
        <v/>
      </c>
      <c r="AL348" s="1" t="n">
        <f aca="false">IFERROR(I348*1,0)</f>
        <v>0</v>
      </c>
      <c r="AM348" s="1" t="n">
        <f aca="false">N(AM347)+IF(AND(R348="WON",B348&lt;&gt;""),1,0)</f>
        <v>12</v>
      </c>
      <c r="AN348" s="1" t="n">
        <f aca="false">N(AN347)+IF(AND(OR(R348="offered",R348="to be offered",R348="on hold"),B348&lt;&gt;""),1,0)</f>
        <v>33</v>
      </c>
      <c r="AO348" s="1" t="n">
        <f aca="false">N(AO347)+IF(AND(OR(R348="follow-up",R348="Evaluation",R348="tbd",R348="In evaluation"),B348&lt;&gt;""),1,0)</f>
        <v>1</v>
      </c>
      <c r="AP348" s="1" t="n">
        <f aca="false">IF(B348="",0,IF(COUNTIF('⚖️ Wahrscheinlichkeit'!$J$17:$J$24,R348)&gt;0,1,0))</f>
        <v>0</v>
      </c>
      <c r="AQ348" s="1" t="n">
        <f aca="false">IF(B348="",0,IF(AND(ISNUMBER(S348),COUNTIF('⚖️ Wahrscheinlichkeit'!$B$6:$B$11,S348)&gt;0),1,0))</f>
        <v>0</v>
      </c>
      <c r="AR348" s="1" t="n">
        <f aca="false">IF(B348="",0,IF(AND(COUNT(J348:M348)=4,SUM(J348:M348)&gt;0),1,0))</f>
        <v>0</v>
      </c>
      <c r="AS348" s="1" t="n">
        <f aca="false">IF(B348="",0,IF(AND(AF348&lt;&gt;"",AG348&lt;&gt;""),1,0))</f>
        <v>0</v>
      </c>
      <c r="AT348" s="1" t="n">
        <f aca="false">IF(AND(R348="WON",AS348=1,AR348=1),1,0)</f>
        <v>0</v>
      </c>
      <c r="AU348" s="1" t="n">
        <f aca="false">IF(B348="",0,IF(AD348="Alternative – zählt nicht",0,1))</f>
        <v>0</v>
      </c>
      <c r="AV348" s="1" t="n">
        <f aca="false">IF(B348="",0,IF(COUNTIF($B$6:$B$860,B348)&gt;1,1,0))</f>
        <v>0</v>
      </c>
      <c r="AX348" s="269" t="str">
        <f aca="false">IF(AY348=1,DATE(YEAR(O348),MONTH(O348),1),"")</f>
        <v/>
      </c>
      <c r="AY348" s="1" t="n">
        <f aca="false">IF(B348="",0,IF(AND(ISNUMBER(O348),ISNUMBER(P348)),IF(P348&gt;=O348,1,0),0))</f>
        <v>0</v>
      </c>
      <c r="AZ348" s="1" t="n">
        <f aca="false">IF(ISNUMBER(Y348),Y348,0)</f>
        <v>0</v>
      </c>
      <c r="BA348" s="1" t="str">
        <f aca="false">IF(B348="","",IF(AND(R348="WON",AS348=0),"⛔ Beleg fehlt · ","")&amp;IF(AND(R348="WON",AR348=0),"⛔ Einstand fehlt · ","")&amp;IF(AND(R348&lt;&gt;"WON",AR348=0),"○ Einstand offen · ","")&amp;IF(AND(R348="WON",AB348=""),"⛔ Vertragsart fehlt · ","")&amp;IF(AND(ISNUMBER(O348),ISNUMBER(P348)),IF(P348&lt;O348,"⚠ Ende vor Start · ",""),"")&amp;IF(AND(R348="WON",AY348=0,NOT(AND(ISNUMBER(O348),ISNUMBER(P348)))),"⛔ Zeitraum fehlt · ","")&amp;IF(AND(R348&lt;&gt;"WON",AY348=0,NOT(AND(ISNUMBER(O348),ISNUMBER(P348)))),"○ Zeitraum offen · ",""))</f>
        <v/>
      </c>
      <c r="BB348" s="1" t="str">
        <f aca="false">IF(B348="","",IF(AND(R348="WON",AS348=0),"⛔ Nachweis fehlt",IF(AND(ISNUMBER(O348),ISNUMBER(P348),P348&lt;O348),"⚠ Ende vor Start",IF(AND(R348="WON",AY348=0),"⛔ Zeitraum fehlt",IF(AR348=0,"○ Einstand offen",IF(AY348=0,"○ Zeitraum offen",IF(R348="WON","✅ belegt","✔ erfasst")))))))</f>
        <v/>
      </c>
    </row>
    <row r="349" customFormat="false" ht="15" hidden="false" customHeight="true" outlineLevel="0" collapsed="false">
      <c r="G349" s="1" t="str">
        <f aca="false">IF(B349="","",IF(AY349=1,P349-O349+1,IF(AW349="","",AW349)))</f>
        <v/>
      </c>
      <c r="I349" s="270"/>
      <c r="J349" s="270"/>
      <c r="K349" s="270"/>
      <c r="L349" s="270"/>
      <c r="M349" s="270"/>
      <c r="N349" s="270"/>
      <c r="O349" s="263"/>
      <c r="P349" s="263"/>
      <c r="Q349" s="270" t="str">
        <f aca="false">IF(AND(ISNUMBER(I349),ISNUMBER(S349)),I349*AJ349,IF(OR(I349&lt;&gt;"",S349&lt;&gt;""),"tbd",""))</f>
        <v/>
      </c>
      <c r="S349" s="268"/>
      <c r="Y349" s="275" t="str">
        <f aca="false">IF(ISNUMBER(I349),I349/Netto_Faktor,"")</f>
        <v/>
      </c>
      <c r="Z349" s="275" t="str">
        <f aca="false">IF(B349="","",IF(COUNT(J349:N349)=0,"",SUM(J349:N349)))</f>
        <v/>
      </c>
      <c r="AA349" s="266"/>
      <c r="AB349" s="266"/>
      <c r="AC349" s="266"/>
      <c r="AD349" s="266"/>
      <c r="AE349" s="266"/>
      <c r="AF349" s="266"/>
      <c r="AG349" s="267"/>
      <c r="AH349" s="266" t="str">
        <f aca="false">IF(B349="","",IF(BA349="",IF(R349="WON","✅ belegt &amp; vollständig","✔ vollständig"),LEFT(BA349,LEN(BA349)-3)))</f>
        <v/>
      </c>
      <c r="AJ349" s="268" t="n">
        <f aca="false">IF(ISNUMBER(S349),IFERROR(LOOKUP(IF(S349&lt;=1,S349,S349/100),'⚖️ Wahrscheinlichkeit'!$B$17:$B$21,'⚖️ Wahrscheinlichkeit'!$D$17:$D$21),0),0)</f>
        <v>0</v>
      </c>
      <c r="AK349" s="1" t="str">
        <f aca="false">IF(AND(R349="WON",ISNUMBER(I349)),AL349+(861-ROW())*0.000001,"")</f>
        <v/>
      </c>
      <c r="AL349" s="1" t="n">
        <f aca="false">IFERROR(I349*1,0)</f>
        <v>0</v>
      </c>
      <c r="AM349" s="1" t="n">
        <f aca="false">N(AM348)+IF(AND(R349="WON",B349&lt;&gt;""),1,0)</f>
        <v>12</v>
      </c>
      <c r="AN349" s="1" t="n">
        <f aca="false">N(AN348)+IF(AND(OR(R349="offered",R349="to be offered",R349="on hold"),B349&lt;&gt;""),1,0)</f>
        <v>33</v>
      </c>
      <c r="AO349" s="1" t="n">
        <f aca="false">N(AO348)+IF(AND(OR(R349="follow-up",R349="Evaluation",R349="tbd",R349="In evaluation"),B349&lt;&gt;""),1,0)</f>
        <v>1</v>
      </c>
      <c r="AP349" s="1" t="n">
        <f aca="false">IF(B349="",0,IF(COUNTIF('⚖️ Wahrscheinlichkeit'!$J$17:$J$24,R349)&gt;0,1,0))</f>
        <v>0</v>
      </c>
      <c r="AQ349" s="1" t="n">
        <f aca="false">IF(B349="",0,IF(AND(ISNUMBER(S349),COUNTIF('⚖️ Wahrscheinlichkeit'!$B$6:$B$11,S349)&gt;0),1,0))</f>
        <v>0</v>
      </c>
      <c r="AR349" s="1" t="n">
        <f aca="false">IF(B349="",0,IF(AND(COUNT(J349:M349)=4,SUM(J349:M349)&gt;0),1,0))</f>
        <v>0</v>
      </c>
      <c r="AS349" s="1" t="n">
        <f aca="false">IF(B349="",0,IF(AND(AF349&lt;&gt;"",AG349&lt;&gt;""),1,0))</f>
        <v>0</v>
      </c>
      <c r="AT349" s="1" t="n">
        <f aca="false">IF(AND(R349="WON",AS349=1,AR349=1),1,0)</f>
        <v>0</v>
      </c>
      <c r="AU349" s="1" t="n">
        <f aca="false">IF(B349="",0,IF(AD349="Alternative – zählt nicht",0,1))</f>
        <v>0</v>
      </c>
      <c r="AV349" s="1" t="n">
        <f aca="false">IF(B349="",0,IF(COUNTIF($B$6:$B$860,B349)&gt;1,1,0))</f>
        <v>0</v>
      </c>
      <c r="AX349" s="269" t="str">
        <f aca="false">IF(AY349=1,DATE(YEAR(O349),MONTH(O349),1),"")</f>
        <v/>
      </c>
      <c r="AY349" s="1" t="n">
        <f aca="false">IF(B349="",0,IF(AND(ISNUMBER(O349),ISNUMBER(P349)),IF(P349&gt;=O349,1,0),0))</f>
        <v>0</v>
      </c>
      <c r="AZ349" s="1" t="n">
        <f aca="false">IF(ISNUMBER(Y349),Y349,0)</f>
        <v>0</v>
      </c>
      <c r="BA349" s="1" t="str">
        <f aca="false">IF(B349="","",IF(AND(R349="WON",AS349=0),"⛔ Beleg fehlt · ","")&amp;IF(AND(R349="WON",AR349=0),"⛔ Einstand fehlt · ","")&amp;IF(AND(R349&lt;&gt;"WON",AR349=0),"○ Einstand offen · ","")&amp;IF(AND(R349="WON",AB349=""),"⛔ Vertragsart fehlt · ","")&amp;IF(AND(ISNUMBER(O349),ISNUMBER(P349)),IF(P349&lt;O349,"⚠ Ende vor Start · ",""),"")&amp;IF(AND(R349="WON",AY349=0,NOT(AND(ISNUMBER(O349),ISNUMBER(P349)))),"⛔ Zeitraum fehlt · ","")&amp;IF(AND(R349&lt;&gt;"WON",AY349=0,NOT(AND(ISNUMBER(O349),ISNUMBER(P349)))),"○ Zeitraum offen · ",""))</f>
        <v/>
      </c>
      <c r="BB349" s="1" t="str">
        <f aca="false">IF(B349="","",IF(AND(R349="WON",AS349=0),"⛔ Nachweis fehlt",IF(AND(ISNUMBER(O349),ISNUMBER(P349),P349&lt;O349),"⚠ Ende vor Start",IF(AND(R349="WON",AY349=0),"⛔ Zeitraum fehlt",IF(AR349=0,"○ Einstand offen",IF(AY349=0,"○ Zeitraum offen",IF(R349="WON","✅ belegt","✔ erfasst")))))))</f>
        <v/>
      </c>
    </row>
    <row r="350" customFormat="false" ht="15" hidden="false" customHeight="true" outlineLevel="0" collapsed="false">
      <c r="G350" s="1" t="str">
        <f aca="false">IF(B350="","",IF(AY350=1,P350-O350+1,IF(AW350="","",AW350)))</f>
        <v/>
      </c>
      <c r="I350" s="270"/>
      <c r="J350" s="270"/>
      <c r="K350" s="270"/>
      <c r="L350" s="270"/>
      <c r="M350" s="270"/>
      <c r="N350" s="270"/>
      <c r="O350" s="263"/>
      <c r="P350" s="263"/>
      <c r="Q350" s="270" t="str">
        <f aca="false">IF(AND(ISNUMBER(I350),ISNUMBER(S350)),I350*AJ350,IF(OR(I350&lt;&gt;"",S350&lt;&gt;""),"tbd",""))</f>
        <v/>
      </c>
      <c r="S350" s="268"/>
      <c r="Y350" s="275" t="str">
        <f aca="false">IF(ISNUMBER(I350),I350/Netto_Faktor,"")</f>
        <v/>
      </c>
      <c r="Z350" s="275" t="str">
        <f aca="false">IF(B350="","",IF(COUNT(J350:N350)=0,"",SUM(J350:N350)))</f>
        <v/>
      </c>
      <c r="AA350" s="266"/>
      <c r="AB350" s="266"/>
      <c r="AC350" s="266"/>
      <c r="AD350" s="266"/>
      <c r="AE350" s="266"/>
      <c r="AF350" s="266"/>
      <c r="AG350" s="267"/>
      <c r="AH350" s="266" t="str">
        <f aca="false">IF(B350="","",IF(BA350="",IF(R350="WON","✅ belegt &amp; vollständig","✔ vollständig"),LEFT(BA350,LEN(BA350)-3)))</f>
        <v/>
      </c>
      <c r="AJ350" s="268" t="n">
        <f aca="false">IF(ISNUMBER(S350),IFERROR(LOOKUP(IF(S350&lt;=1,S350,S350/100),'⚖️ Wahrscheinlichkeit'!$B$17:$B$21,'⚖️ Wahrscheinlichkeit'!$D$17:$D$21),0),0)</f>
        <v>0</v>
      </c>
      <c r="AK350" s="1" t="str">
        <f aca="false">IF(AND(R350="WON",ISNUMBER(I350)),AL350+(861-ROW())*0.000001,"")</f>
        <v/>
      </c>
      <c r="AL350" s="1" t="n">
        <f aca="false">IFERROR(I350*1,0)</f>
        <v>0</v>
      </c>
      <c r="AM350" s="1" t="n">
        <f aca="false">N(AM349)+IF(AND(R350="WON",B350&lt;&gt;""),1,0)</f>
        <v>12</v>
      </c>
      <c r="AN350" s="1" t="n">
        <f aca="false">N(AN349)+IF(AND(OR(R350="offered",R350="to be offered",R350="on hold"),B350&lt;&gt;""),1,0)</f>
        <v>33</v>
      </c>
      <c r="AO350" s="1" t="n">
        <f aca="false">N(AO349)+IF(AND(OR(R350="follow-up",R350="Evaluation",R350="tbd",R350="In evaluation"),B350&lt;&gt;""),1,0)</f>
        <v>1</v>
      </c>
      <c r="AP350" s="1" t="n">
        <f aca="false">IF(B350="",0,IF(COUNTIF('⚖️ Wahrscheinlichkeit'!$J$17:$J$24,R350)&gt;0,1,0))</f>
        <v>0</v>
      </c>
      <c r="AQ350" s="1" t="n">
        <f aca="false">IF(B350="",0,IF(AND(ISNUMBER(S350),COUNTIF('⚖️ Wahrscheinlichkeit'!$B$6:$B$11,S350)&gt;0),1,0))</f>
        <v>0</v>
      </c>
      <c r="AR350" s="1" t="n">
        <f aca="false">IF(B350="",0,IF(AND(COUNT(J350:M350)=4,SUM(J350:M350)&gt;0),1,0))</f>
        <v>0</v>
      </c>
      <c r="AS350" s="1" t="n">
        <f aca="false">IF(B350="",0,IF(AND(AF350&lt;&gt;"",AG350&lt;&gt;""),1,0))</f>
        <v>0</v>
      </c>
      <c r="AT350" s="1" t="n">
        <f aca="false">IF(AND(R350="WON",AS350=1,AR350=1),1,0)</f>
        <v>0</v>
      </c>
      <c r="AU350" s="1" t="n">
        <f aca="false">IF(B350="",0,IF(AD350="Alternative – zählt nicht",0,1))</f>
        <v>0</v>
      </c>
      <c r="AV350" s="1" t="n">
        <f aca="false">IF(B350="",0,IF(COUNTIF($B$6:$B$860,B350)&gt;1,1,0))</f>
        <v>0</v>
      </c>
      <c r="AX350" s="269" t="str">
        <f aca="false">IF(AY350=1,DATE(YEAR(O350),MONTH(O350),1),"")</f>
        <v/>
      </c>
      <c r="AY350" s="1" t="n">
        <f aca="false">IF(B350="",0,IF(AND(ISNUMBER(O350),ISNUMBER(P350)),IF(P350&gt;=O350,1,0),0))</f>
        <v>0</v>
      </c>
      <c r="AZ350" s="1" t="n">
        <f aca="false">IF(ISNUMBER(Y350),Y350,0)</f>
        <v>0</v>
      </c>
      <c r="BA350" s="1" t="str">
        <f aca="false">IF(B350="","",IF(AND(R350="WON",AS350=0),"⛔ Beleg fehlt · ","")&amp;IF(AND(R350="WON",AR350=0),"⛔ Einstand fehlt · ","")&amp;IF(AND(R350&lt;&gt;"WON",AR350=0),"○ Einstand offen · ","")&amp;IF(AND(R350="WON",AB350=""),"⛔ Vertragsart fehlt · ","")&amp;IF(AND(ISNUMBER(O350),ISNUMBER(P350)),IF(P350&lt;O350,"⚠ Ende vor Start · ",""),"")&amp;IF(AND(R350="WON",AY350=0,NOT(AND(ISNUMBER(O350),ISNUMBER(P350)))),"⛔ Zeitraum fehlt · ","")&amp;IF(AND(R350&lt;&gt;"WON",AY350=0,NOT(AND(ISNUMBER(O350),ISNUMBER(P350)))),"○ Zeitraum offen · ",""))</f>
        <v/>
      </c>
      <c r="BB350" s="1" t="str">
        <f aca="false">IF(B350="","",IF(AND(R350="WON",AS350=0),"⛔ Nachweis fehlt",IF(AND(ISNUMBER(O350),ISNUMBER(P350),P350&lt;O350),"⚠ Ende vor Start",IF(AND(R350="WON",AY350=0),"⛔ Zeitraum fehlt",IF(AR350=0,"○ Einstand offen",IF(AY350=0,"○ Zeitraum offen",IF(R350="WON","✅ belegt","✔ erfasst")))))))</f>
        <v/>
      </c>
    </row>
    <row r="351" customFormat="false" ht="15" hidden="false" customHeight="true" outlineLevel="0" collapsed="false">
      <c r="G351" s="1" t="str">
        <f aca="false">IF(B351="","",IF(AY351=1,P351-O351+1,IF(AW351="","",AW351)))</f>
        <v/>
      </c>
      <c r="I351" s="270"/>
      <c r="J351" s="270"/>
      <c r="K351" s="270"/>
      <c r="L351" s="270"/>
      <c r="M351" s="270"/>
      <c r="N351" s="270"/>
      <c r="O351" s="263"/>
      <c r="P351" s="263"/>
      <c r="Q351" s="270" t="str">
        <f aca="false">IF(AND(ISNUMBER(I351),ISNUMBER(S351)),I351*AJ351,IF(OR(I351&lt;&gt;"",S351&lt;&gt;""),"tbd",""))</f>
        <v/>
      </c>
      <c r="S351" s="268"/>
      <c r="Y351" s="275" t="str">
        <f aca="false">IF(ISNUMBER(I351),I351/Netto_Faktor,"")</f>
        <v/>
      </c>
      <c r="Z351" s="275" t="str">
        <f aca="false">IF(B351="","",IF(COUNT(J351:N351)=0,"",SUM(J351:N351)))</f>
        <v/>
      </c>
      <c r="AA351" s="266"/>
      <c r="AB351" s="266"/>
      <c r="AC351" s="266"/>
      <c r="AD351" s="266"/>
      <c r="AE351" s="266"/>
      <c r="AF351" s="266"/>
      <c r="AG351" s="267"/>
      <c r="AH351" s="266" t="str">
        <f aca="false">IF(B351="","",IF(BA351="",IF(R351="WON","✅ belegt &amp; vollständig","✔ vollständig"),LEFT(BA351,LEN(BA351)-3)))</f>
        <v/>
      </c>
      <c r="AJ351" s="268" t="n">
        <f aca="false">IF(ISNUMBER(S351),IFERROR(LOOKUP(IF(S351&lt;=1,S351,S351/100),'⚖️ Wahrscheinlichkeit'!$B$17:$B$21,'⚖️ Wahrscheinlichkeit'!$D$17:$D$21),0),0)</f>
        <v>0</v>
      </c>
      <c r="AK351" s="1" t="str">
        <f aca="false">IF(AND(R351="WON",ISNUMBER(I351)),AL351+(861-ROW())*0.000001,"")</f>
        <v/>
      </c>
      <c r="AL351" s="1" t="n">
        <f aca="false">IFERROR(I351*1,0)</f>
        <v>0</v>
      </c>
      <c r="AM351" s="1" t="n">
        <f aca="false">N(AM350)+IF(AND(R351="WON",B351&lt;&gt;""),1,0)</f>
        <v>12</v>
      </c>
      <c r="AN351" s="1" t="n">
        <f aca="false">N(AN350)+IF(AND(OR(R351="offered",R351="to be offered",R351="on hold"),B351&lt;&gt;""),1,0)</f>
        <v>33</v>
      </c>
      <c r="AO351" s="1" t="n">
        <f aca="false">N(AO350)+IF(AND(OR(R351="follow-up",R351="Evaluation",R351="tbd",R351="In evaluation"),B351&lt;&gt;""),1,0)</f>
        <v>1</v>
      </c>
      <c r="AP351" s="1" t="n">
        <f aca="false">IF(B351="",0,IF(COUNTIF('⚖️ Wahrscheinlichkeit'!$J$17:$J$24,R351)&gt;0,1,0))</f>
        <v>0</v>
      </c>
      <c r="AQ351" s="1" t="n">
        <f aca="false">IF(B351="",0,IF(AND(ISNUMBER(S351),COUNTIF('⚖️ Wahrscheinlichkeit'!$B$6:$B$11,S351)&gt;0),1,0))</f>
        <v>0</v>
      </c>
      <c r="AR351" s="1" t="n">
        <f aca="false">IF(B351="",0,IF(AND(COUNT(J351:M351)=4,SUM(J351:M351)&gt;0),1,0))</f>
        <v>0</v>
      </c>
      <c r="AS351" s="1" t="n">
        <f aca="false">IF(B351="",0,IF(AND(AF351&lt;&gt;"",AG351&lt;&gt;""),1,0))</f>
        <v>0</v>
      </c>
      <c r="AT351" s="1" t="n">
        <f aca="false">IF(AND(R351="WON",AS351=1,AR351=1),1,0)</f>
        <v>0</v>
      </c>
      <c r="AU351" s="1" t="n">
        <f aca="false">IF(B351="",0,IF(AD351="Alternative – zählt nicht",0,1))</f>
        <v>0</v>
      </c>
      <c r="AV351" s="1" t="n">
        <f aca="false">IF(B351="",0,IF(COUNTIF($B$6:$B$860,B351)&gt;1,1,0))</f>
        <v>0</v>
      </c>
      <c r="AX351" s="269" t="str">
        <f aca="false">IF(AY351=1,DATE(YEAR(O351),MONTH(O351),1),"")</f>
        <v/>
      </c>
      <c r="AY351" s="1" t="n">
        <f aca="false">IF(B351="",0,IF(AND(ISNUMBER(O351),ISNUMBER(P351)),IF(P351&gt;=O351,1,0),0))</f>
        <v>0</v>
      </c>
      <c r="AZ351" s="1" t="n">
        <f aca="false">IF(ISNUMBER(Y351),Y351,0)</f>
        <v>0</v>
      </c>
      <c r="BA351" s="1" t="str">
        <f aca="false">IF(B351="","",IF(AND(R351="WON",AS351=0),"⛔ Beleg fehlt · ","")&amp;IF(AND(R351="WON",AR351=0),"⛔ Einstand fehlt · ","")&amp;IF(AND(R351&lt;&gt;"WON",AR351=0),"○ Einstand offen · ","")&amp;IF(AND(R351="WON",AB351=""),"⛔ Vertragsart fehlt · ","")&amp;IF(AND(ISNUMBER(O351),ISNUMBER(P351)),IF(P351&lt;O351,"⚠ Ende vor Start · ",""),"")&amp;IF(AND(R351="WON",AY351=0,NOT(AND(ISNUMBER(O351),ISNUMBER(P351)))),"⛔ Zeitraum fehlt · ","")&amp;IF(AND(R351&lt;&gt;"WON",AY351=0,NOT(AND(ISNUMBER(O351),ISNUMBER(P351)))),"○ Zeitraum offen · ",""))</f>
        <v/>
      </c>
      <c r="BB351" s="1" t="str">
        <f aca="false">IF(B351="","",IF(AND(R351="WON",AS351=0),"⛔ Nachweis fehlt",IF(AND(ISNUMBER(O351),ISNUMBER(P351),P351&lt;O351),"⚠ Ende vor Start",IF(AND(R351="WON",AY351=0),"⛔ Zeitraum fehlt",IF(AR351=0,"○ Einstand offen",IF(AY351=0,"○ Zeitraum offen",IF(R351="WON","✅ belegt","✔ erfasst")))))))</f>
        <v/>
      </c>
    </row>
    <row r="352" customFormat="false" ht="15" hidden="false" customHeight="true" outlineLevel="0" collapsed="false">
      <c r="G352" s="1" t="str">
        <f aca="false">IF(B352="","",IF(AY352=1,P352-O352+1,IF(AW352="","",AW352)))</f>
        <v/>
      </c>
      <c r="I352" s="270"/>
      <c r="J352" s="270"/>
      <c r="K352" s="270"/>
      <c r="L352" s="270"/>
      <c r="M352" s="270"/>
      <c r="N352" s="270"/>
      <c r="O352" s="263"/>
      <c r="P352" s="263"/>
      <c r="Q352" s="270" t="str">
        <f aca="false">IF(AND(ISNUMBER(I352),ISNUMBER(S352)),I352*AJ352,IF(OR(I352&lt;&gt;"",S352&lt;&gt;""),"tbd",""))</f>
        <v/>
      </c>
      <c r="S352" s="268"/>
      <c r="Y352" s="275" t="str">
        <f aca="false">IF(ISNUMBER(I352),I352/Netto_Faktor,"")</f>
        <v/>
      </c>
      <c r="Z352" s="275" t="str">
        <f aca="false">IF(B352="","",IF(COUNT(J352:N352)=0,"",SUM(J352:N352)))</f>
        <v/>
      </c>
      <c r="AA352" s="266"/>
      <c r="AB352" s="266"/>
      <c r="AC352" s="266"/>
      <c r="AD352" s="266"/>
      <c r="AE352" s="266"/>
      <c r="AF352" s="266"/>
      <c r="AG352" s="267"/>
      <c r="AH352" s="266" t="str">
        <f aca="false">IF(B352="","",IF(BA352="",IF(R352="WON","✅ belegt &amp; vollständig","✔ vollständig"),LEFT(BA352,LEN(BA352)-3)))</f>
        <v/>
      </c>
      <c r="AJ352" s="268" t="n">
        <f aca="false">IF(ISNUMBER(S352),IFERROR(LOOKUP(IF(S352&lt;=1,S352,S352/100),'⚖️ Wahrscheinlichkeit'!$B$17:$B$21,'⚖️ Wahrscheinlichkeit'!$D$17:$D$21),0),0)</f>
        <v>0</v>
      </c>
      <c r="AK352" s="1" t="str">
        <f aca="false">IF(AND(R352="WON",ISNUMBER(I352)),AL352+(861-ROW())*0.000001,"")</f>
        <v/>
      </c>
      <c r="AL352" s="1" t="n">
        <f aca="false">IFERROR(I352*1,0)</f>
        <v>0</v>
      </c>
      <c r="AM352" s="1" t="n">
        <f aca="false">N(AM351)+IF(AND(R352="WON",B352&lt;&gt;""),1,0)</f>
        <v>12</v>
      </c>
      <c r="AN352" s="1" t="n">
        <f aca="false">N(AN351)+IF(AND(OR(R352="offered",R352="to be offered",R352="on hold"),B352&lt;&gt;""),1,0)</f>
        <v>33</v>
      </c>
      <c r="AO352" s="1" t="n">
        <f aca="false">N(AO351)+IF(AND(OR(R352="follow-up",R352="Evaluation",R352="tbd",R352="In evaluation"),B352&lt;&gt;""),1,0)</f>
        <v>1</v>
      </c>
      <c r="AP352" s="1" t="n">
        <f aca="false">IF(B352="",0,IF(COUNTIF('⚖️ Wahrscheinlichkeit'!$J$17:$J$24,R352)&gt;0,1,0))</f>
        <v>0</v>
      </c>
      <c r="AQ352" s="1" t="n">
        <f aca="false">IF(B352="",0,IF(AND(ISNUMBER(S352),COUNTIF('⚖️ Wahrscheinlichkeit'!$B$6:$B$11,S352)&gt;0),1,0))</f>
        <v>0</v>
      </c>
      <c r="AR352" s="1" t="n">
        <f aca="false">IF(B352="",0,IF(AND(COUNT(J352:M352)=4,SUM(J352:M352)&gt;0),1,0))</f>
        <v>0</v>
      </c>
      <c r="AS352" s="1" t="n">
        <f aca="false">IF(B352="",0,IF(AND(AF352&lt;&gt;"",AG352&lt;&gt;""),1,0))</f>
        <v>0</v>
      </c>
      <c r="AT352" s="1" t="n">
        <f aca="false">IF(AND(R352="WON",AS352=1,AR352=1),1,0)</f>
        <v>0</v>
      </c>
      <c r="AU352" s="1" t="n">
        <f aca="false">IF(B352="",0,IF(AD352="Alternative – zählt nicht",0,1))</f>
        <v>0</v>
      </c>
      <c r="AV352" s="1" t="n">
        <f aca="false">IF(B352="",0,IF(COUNTIF($B$6:$B$860,B352)&gt;1,1,0))</f>
        <v>0</v>
      </c>
      <c r="AX352" s="269" t="str">
        <f aca="false">IF(AY352=1,DATE(YEAR(O352),MONTH(O352),1),"")</f>
        <v/>
      </c>
      <c r="AY352" s="1" t="n">
        <f aca="false">IF(B352="",0,IF(AND(ISNUMBER(O352),ISNUMBER(P352)),IF(P352&gt;=O352,1,0),0))</f>
        <v>0</v>
      </c>
      <c r="AZ352" s="1" t="n">
        <f aca="false">IF(ISNUMBER(Y352),Y352,0)</f>
        <v>0</v>
      </c>
      <c r="BA352" s="1" t="str">
        <f aca="false">IF(B352="","",IF(AND(R352="WON",AS352=0),"⛔ Beleg fehlt · ","")&amp;IF(AND(R352="WON",AR352=0),"⛔ Einstand fehlt · ","")&amp;IF(AND(R352&lt;&gt;"WON",AR352=0),"○ Einstand offen · ","")&amp;IF(AND(R352="WON",AB352=""),"⛔ Vertragsart fehlt · ","")&amp;IF(AND(ISNUMBER(O352),ISNUMBER(P352)),IF(P352&lt;O352,"⚠ Ende vor Start · ",""),"")&amp;IF(AND(R352="WON",AY352=0,NOT(AND(ISNUMBER(O352),ISNUMBER(P352)))),"⛔ Zeitraum fehlt · ","")&amp;IF(AND(R352&lt;&gt;"WON",AY352=0,NOT(AND(ISNUMBER(O352),ISNUMBER(P352)))),"○ Zeitraum offen · ",""))</f>
        <v/>
      </c>
      <c r="BB352" s="1" t="str">
        <f aca="false">IF(B352="","",IF(AND(R352="WON",AS352=0),"⛔ Nachweis fehlt",IF(AND(ISNUMBER(O352),ISNUMBER(P352),P352&lt;O352),"⚠ Ende vor Start",IF(AND(R352="WON",AY352=0),"⛔ Zeitraum fehlt",IF(AR352=0,"○ Einstand offen",IF(AY352=0,"○ Zeitraum offen",IF(R352="WON","✅ belegt","✔ erfasst")))))))</f>
        <v/>
      </c>
    </row>
    <row r="353" customFormat="false" ht="15" hidden="false" customHeight="true" outlineLevel="0" collapsed="false">
      <c r="G353" s="1" t="str">
        <f aca="false">IF(B353="","",IF(AY353=1,P353-O353+1,IF(AW353="","",AW353)))</f>
        <v/>
      </c>
      <c r="I353" s="270"/>
      <c r="J353" s="270"/>
      <c r="K353" s="270"/>
      <c r="L353" s="270"/>
      <c r="M353" s="270"/>
      <c r="N353" s="270"/>
      <c r="O353" s="263"/>
      <c r="P353" s="263"/>
      <c r="Q353" s="270" t="str">
        <f aca="false">IF(AND(ISNUMBER(I353),ISNUMBER(S353)),I353*AJ353,IF(OR(I353&lt;&gt;"",S353&lt;&gt;""),"tbd",""))</f>
        <v/>
      </c>
      <c r="S353" s="268"/>
      <c r="Y353" s="275" t="str">
        <f aca="false">IF(ISNUMBER(I353),I353/Netto_Faktor,"")</f>
        <v/>
      </c>
      <c r="Z353" s="275" t="str">
        <f aca="false">IF(B353="","",IF(COUNT(J353:N353)=0,"",SUM(J353:N353)))</f>
        <v/>
      </c>
      <c r="AA353" s="266"/>
      <c r="AB353" s="266"/>
      <c r="AC353" s="266"/>
      <c r="AD353" s="266"/>
      <c r="AE353" s="266"/>
      <c r="AF353" s="266"/>
      <c r="AG353" s="267"/>
      <c r="AH353" s="266" t="str">
        <f aca="false">IF(B353="","",IF(BA353="",IF(R353="WON","✅ belegt &amp; vollständig","✔ vollständig"),LEFT(BA353,LEN(BA353)-3)))</f>
        <v/>
      </c>
      <c r="AJ353" s="268" t="n">
        <f aca="false">IF(ISNUMBER(S353),IFERROR(LOOKUP(IF(S353&lt;=1,S353,S353/100),'⚖️ Wahrscheinlichkeit'!$B$17:$B$21,'⚖️ Wahrscheinlichkeit'!$D$17:$D$21),0),0)</f>
        <v>0</v>
      </c>
      <c r="AK353" s="1" t="str">
        <f aca="false">IF(AND(R353="WON",ISNUMBER(I353)),AL353+(861-ROW())*0.000001,"")</f>
        <v/>
      </c>
      <c r="AL353" s="1" t="n">
        <f aca="false">IFERROR(I353*1,0)</f>
        <v>0</v>
      </c>
      <c r="AM353" s="1" t="n">
        <f aca="false">N(AM352)+IF(AND(R353="WON",B353&lt;&gt;""),1,0)</f>
        <v>12</v>
      </c>
      <c r="AN353" s="1" t="n">
        <f aca="false">N(AN352)+IF(AND(OR(R353="offered",R353="to be offered",R353="on hold"),B353&lt;&gt;""),1,0)</f>
        <v>33</v>
      </c>
      <c r="AO353" s="1" t="n">
        <f aca="false">N(AO352)+IF(AND(OR(R353="follow-up",R353="Evaluation",R353="tbd",R353="In evaluation"),B353&lt;&gt;""),1,0)</f>
        <v>1</v>
      </c>
      <c r="AP353" s="1" t="n">
        <f aca="false">IF(B353="",0,IF(COUNTIF('⚖️ Wahrscheinlichkeit'!$J$17:$J$24,R353)&gt;0,1,0))</f>
        <v>0</v>
      </c>
      <c r="AQ353" s="1" t="n">
        <f aca="false">IF(B353="",0,IF(AND(ISNUMBER(S353),COUNTIF('⚖️ Wahrscheinlichkeit'!$B$6:$B$11,S353)&gt;0),1,0))</f>
        <v>0</v>
      </c>
      <c r="AR353" s="1" t="n">
        <f aca="false">IF(B353="",0,IF(AND(COUNT(J353:M353)=4,SUM(J353:M353)&gt;0),1,0))</f>
        <v>0</v>
      </c>
      <c r="AS353" s="1" t="n">
        <f aca="false">IF(B353="",0,IF(AND(AF353&lt;&gt;"",AG353&lt;&gt;""),1,0))</f>
        <v>0</v>
      </c>
      <c r="AT353" s="1" t="n">
        <f aca="false">IF(AND(R353="WON",AS353=1,AR353=1),1,0)</f>
        <v>0</v>
      </c>
      <c r="AU353" s="1" t="n">
        <f aca="false">IF(B353="",0,IF(AD353="Alternative – zählt nicht",0,1))</f>
        <v>0</v>
      </c>
      <c r="AV353" s="1" t="n">
        <f aca="false">IF(B353="",0,IF(COUNTIF($B$6:$B$860,B353)&gt;1,1,0))</f>
        <v>0</v>
      </c>
      <c r="AX353" s="269" t="str">
        <f aca="false">IF(AY353=1,DATE(YEAR(O353),MONTH(O353),1),"")</f>
        <v/>
      </c>
      <c r="AY353" s="1" t="n">
        <f aca="false">IF(B353="",0,IF(AND(ISNUMBER(O353),ISNUMBER(P353)),IF(P353&gt;=O353,1,0),0))</f>
        <v>0</v>
      </c>
      <c r="AZ353" s="1" t="n">
        <f aca="false">IF(ISNUMBER(Y353),Y353,0)</f>
        <v>0</v>
      </c>
      <c r="BA353" s="1" t="str">
        <f aca="false">IF(B353="","",IF(AND(R353="WON",AS353=0),"⛔ Beleg fehlt · ","")&amp;IF(AND(R353="WON",AR353=0),"⛔ Einstand fehlt · ","")&amp;IF(AND(R353&lt;&gt;"WON",AR353=0),"○ Einstand offen · ","")&amp;IF(AND(R353="WON",AB353=""),"⛔ Vertragsart fehlt · ","")&amp;IF(AND(ISNUMBER(O353),ISNUMBER(P353)),IF(P353&lt;O353,"⚠ Ende vor Start · ",""),"")&amp;IF(AND(R353="WON",AY353=0,NOT(AND(ISNUMBER(O353),ISNUMBER(P353)))),"⛔ Zeitraum fehlt · ","")&amp;IF(AND(R353&lt;&gt;"WON",AY353=0,NOT(AND(ISNUMBER(O353),ISNUMBER(P353)))),"○ Zeitraum offen · ",""))</f>
        <v/>
      </c>
      <c r="BB353" s="1" t="str">
        <f aca="false">IF(B353="","",IF(AND(R353="WON",AS353=0),"⛔ Nachweis fehlt",IF(AND(ISNUMBER(O353),ISNUMBER(P353),P353&lt;O353),"⚠ Ende vor Start",IF(AND(R353="WON",AY353=0),"⛔ Zeitraum fehlt",IF(AR353=0,"○ Einstand offen",IF(AY353=0,"○ Zeitraum offen",IF(R353="WON","✅ belegt","✔ erfasst")))))))</f>
        <v/>
      </c>
    </row>
    <row r="354" customFormat="false" ht="15" hidden="false" customHeight="true" outlineLevel="0" collapsed="false">
      <c r="G354" s="1" t="str">
        <f aca="false">IF(B354="","",IF(AY354=1,P354-O354+1,IF(AW354="","",AW354)))</f>
        <v/>
      </c>
      <c r="I354" s="270"/>
      <c r="J354" s="270"/>
      <c r="K354" s="270"/>
      <c r="L354" s="270"/>
      <c r="M354" s="270"/>
      <c r="N354" s="270"/>
      <c r="O354" s="263"/>
      <c r="P354" s="263"/>
      <c r="Q354" s="270" t="str">
        <f aca="false">IF(AND(ISNUMBER(I354),ISNUMBER(S354)),I354*AJ354,IF(OR(I354&lt;&gt;"",S354&lt;&gt;""),"tbd",""))</f>
        <v/>
      </c>
      <c r="S354" s="268"/>
      <c r="Y354" s="275" t="str">
        <f aca="false">IF(ISNUMBER(I354),I354/Netto_Faktor,"")</f>
        <v/>
      </c>
      <c r="Z354" s="275" t="str">
        <f aca="false">IF(B354="","",IF(COUNT(J354:N354)=0,"",SUM(J354:N354)))</f>
        <v/>
      </c>
      <c r="AA354" s="266"/>
      <c r="AB354" s="266"/>
      <c r="AC354" s="266"/>
      <c r="AD354" s="266"/>
      <c r="AE354" s="266"/>
      <c r="AF354" s="266"/>
      <c r="AG354" s="267"/>
      <c r="AH354" s="266" t="str">
        <f aca="false">IF(B354="","",IF(BA354="",IF(R354="WON","✅ belegt &amp; vollständig","✔ vollständig"),LEFT(BA354,LEN(BA354)-3)))</f>
        <v/>
      </c>
      <c r="AJ354" s="268" t="n">
        <f aca="false">IF(ISNUMBER(S354),IFERROR(LOOKUP(IF(S354&lt;=1,S354,S354/100),'⚖️ Wahrscheinlichkeit'!$B$17:$B$21,'⚖️ Wahrscheinlichkeit'!$D$17:$D$21),0),0)</f>
        <v>0</v>
      </c>
      <c r="AK354" s="1" t="str">
        <f aca="false">IF(AND(R354="WON",ISNUMBER(I354)),AL354+(861-ROW())*0.000001,"")</f>
        <v/>
      </c>
      <c r="AL354" s="1" t="n">
        <f aca="false">IFERROR(I354*1,0)</f>
        <v>0</v>
      </c>
      <c r="AM354" s="1" t="n">
        <f aca="false">N(AM353)+IF(AND(R354="WON",B354&lt;&gt;""),1,0)</f>
        <v>12</v>
      </c>
      <c r="AN354" s="1" t="n">
        <f aca="false">N(AN353)+IF(AND(OR(R354="offered",R354="to be offered",R354="on hold"),B354&lt;&gt;""),1,0)</f>
        <v>33</v>
      </c>
      <c r="AO354" s="1" t="n">
        <f aca="false">N(AO353)+IF(AND(OR(R354="follow-up",R354="Evaluation",R354="tbd",R354="In evaluation"),B354&lt;&gt;""),1,0)</f>
        <v>1</v>
      </c>
      <c r="AP354" s="1" t="n">
        <f aca="false">IF(B354="",0,IF(COUNTIF('⚖️ Wahrscheinlichkeit'!$J$17:$J$24,R354)&gt;0,1,0))</f>
        <v>0</v>
      </c>
      <c r="AQ354" s="1" t="n">
        <f aca="false">IF(B354="",0,IF(AND(ISNUMBER(S354),COUNTIF('⚖️ Wahrscheinlichkeit'!$B$6:$B$11,S354)&gt;0),1,0))</f>
        <v>0</v>
      </c>
      <c r="AR354" s="1" t="n">
        <f aca="false">IF(B354="",0,IF(AND(COUNT(J354:M354)=4,SUM(J354:M354)&gt;0),1,0))</f>
        <v>0</v>
      </c>
      <c r="AS354" s="1" t="n">
        <f aca="false">IF(B354="",0,IF(AND(AF354&lt;&gt;"",AG354&lt;&gt;""),1,0))</f>
        <v>0</v>
      </c>
      <c r="AT354" s="1" t="n">
        <f aca="false">IF(AND(R354="WON",AS354=1,AR354=1),1,0)</f>
        <v>0</v>
      </c>
      <c r="AU354" s="1" t="n">
        <f aca="false">IF(B354="",0,IF(AD354="Alternative – zählt nicht",0,1))</f>
        <v>0</v>
      </c>
      <c r="AV354" s="1" t="n">
        <f aca="false">IF(B354="",0,IF(COUNTIF($B$6:$B$860,B354)&gt;1,1,0))</f>
        <v>0</v>
      </c>
      <c r="AX354" s="269" t="str">
        <f aca="false">IF(AY354=1,DATE(YEAR(O354),MONTH(O354),1),"")</f>
        <v/>
      </c>
      <c r="AY354" s="1" t="n">
        <f aca="false">IF(B354="",0,IF(AND(ISNUMBER(O354),ISNUMBER(P354)),IF(P354&gt;=O354,1,0),0))</f>
        <v>0</v>
      </c>
      <c r="AZ354" s="1" t="n">
        <f aca="false">IF(ISNUMBER(Y354),Y354,0)</f>
        <v>0</v>
      </c>
      <c r="BA354" s="1" t="str">
        <f aca="false">IF(B354="","",IF(AND(R354="WON",AS354=0),"⛔ Beleg fehlt · ","")&amp;IF(AND(R354="WON",AR354=0),"⛔ Einstand fehlt · ","")&amp;IF(AND(R354&lt;&gt;"WON",AR354=0),"○ Einstand offen · ","")&amp;IF(AND(R354="WON",AB354=""),"⛔ Vertragsart fehlt · ","")&amp;IF(AND(ISNUMBER(O354),ISNUMBER(P354)),IF(P354&lt;O354,"⚠ Ende vor Start · ",""),"")&amp;IF(AND(R354="WON",AY354=0,NOT(AND(ISNUMBER(O354),ISNUMBER(P354)))),"⛔ Zeitraum fehlt · ","")&amp;IF(AND(R354&lt;&gt;"WON",AY354=0,NOT(AND(ISNUMBER(O354),ISNUMBER(P354)))),"○ Zeitraum offen · ",""))</f>
        <v/>
      </c>
      <c r="BB354" s="1" t="str">
        <f aca="false">IF(B354="","",IF(AND(R354="WON",AS354=0),"⛔ Nachweis fehlt",IF(AND(ISNUMBER(O354),ISNUMBER(P354),P354&lt;O354),"⚠ Ende vor Start",IF(AND(R354="WON",AY354=0),"⛔ Zeitraum fehlt",IF(AR354=0,"○ Einstand offen",IF(AY354=0,"○ Zeitraum offen",IF(R354="WON","✅ belegt","✔ erfasst")))))))</f>
        <v/>
      </c>
    </row>
    <row r="355" customFormat="false" ht="15" hidden="false" customHeight="true" outlineLevel="0" collapsed="false">
      <c r="G355" s="1" t="str">
        <f aca="false">IF(B355="","",IF(AY355=1,P355-O355+1,IF(AW355="","",AW355)))</f>
        <v/>
      </c>
      <c r="I355" s="270"/>
      <c r="J355" s="270"/>
      <c r="K355" s="270"/>
      <c r="L355" s="270"/>
      <c r="M355" s="270"/>
      <c r="N355" s="270"/>
      <c r="O355" s="263"/>
      <c r="P355" s="263"/>
      <c r="Q355" s="270" t="str">
        <f aca="false">IF(AND(ISNUMBER(I355),ISNUMBER(S355)),I355*AJ355,IF(OR(I355&lt;&gt;"",S355&lt;&gt;""),"tbd",""))</f>
        <v/>
      </c>
      <c r="S355" s="268"/>
      <c r="Y355" s="275" t="str">
        <f aca="false">IF(ISNUMBER(I355),I355/Netto_Faktor,"")</f>
        <v/>
      </c>
      <c r="Z355" s="275" t="str">
        <f aca="false">IF(B355="","",IF(COUNT(J355:N355)=0,"",SUM(J355:N355)))</f>
        <v/>
      </c>
      <c r="AA355" s="266"/>
      <c r="AB355" s="266"/>
      <c r="AC355" s="266"/>
      <c r="AD355" s="266"/>
      <c r="AE355" s="266"/>
      <c r="AF355" s="266"/>
      <c r="AG355" s="267"/>
      <c r="AH355" s="266" t="str">
        <f aca="false">IF(B355="","",IF(BA355="",IF(R355="WON","✅ belegt &amp; vollständig","✔ vollständig"),LEFT(BA355,LEN(BA355)-3)))</f>
        <v/>
      </c>
      <c r="AJ355" s="268" t="n">
        <f aca="false">IF(ISNUMBER(S355),IFERROR(LOOKUP(IF(S355&lt;=1,S355,S355/100),'⚖️ Wahrscheinlichkeit'!$B$17:$B$21,'⚖️ Wahrscheinlichkeit'!$D$17:$D$21),0),0)</f>
        <v>0</v>
      </c>
      <c r="AK355" s="1" t="str">
        <f aca="false">IF(AND(R355="WON",ISNUMBER(I355)),AL355+(861-ROW())*0.000001,"")</f>
        <v/>
      </c>
      <c r="AL355" s="1" t="n">
        <f aca="false">IFERROR(I355*1,0)</f>
        <v>0</v>
      </c>
      <c r="AM355" s="1" t="n">
        <f aca="false">N(AM354)+IF(AND(R355="WON",B355&lt;&gt;""),1,0)</f>
        <v>12</v>
      </c>
      <c r="AN355" s="1" t="n">
        <f aca="false">N(AN354)+IF(AND(OR(R355="offered",R355="to be offered",R355="on hold"),B355&lt;&gt;""),1,0)</f>
        <v>33</v>
      </c>
      <c r="AO355" s="1" t="n">
        <f aca="false">N(AO354)+IF(AND(OR(R355="follow-up",R355="Evaluation",R355="tbd",R355="In evaluation"),B355&lt;&gt;""),1,0)</f>
        <v>1</v>
      </c>
      <c r="AP355" s="1" t="n">
        <f aca="false">IF(B355="",0,IF(COUNTIF('⚖️ Wahrscheinlichkeit'!$J$17:$J$24,R355)&gt;0,1,0))</f>
        <v>0</v>
      </c>
      <c r="AQ355" s="1" t="n">
        <f aca="false">IF(B355="",0,IF(AND(ISNUMBER(S355),COUNTIF('⚖️ Wahrscheinlichkeit'!$B$6:$B$11,S355)&gt;0),1,0))</f>
        <v>0</v>
      </c>
      <c r="AR355" s="1" t="n">
        <f aca="false">IF(B355="",0,IF(AND(COUNT(J355:M355)=4,SUM(J355:M355)&gt;0),1,0))</f>
        <v>0</v>
      </c>
      <c r="AS355" s="1" t="n">
        <f aca="false">IF(B355="",0,IF(AND(AF355&lt;&gt;"",AG355&lt;&gt;""),1,0))</f>
        <v>0</v>
      </c>
      <c r="AT355" s="1" t="n">
        <f aca="false">IF(AND(R355="WON",AS355=1,AR355=1),1,0)</f>
        <v>0</v>
      </c>
      <c r="AU355" s="1" t="n">
        <f aca="false">IF(B355="",0,IF(AD355="Alternative – zählt nicht",0,1))</f>
        <v>0</v>
      </c>
      <c r="AV355" s="1" t="n">
        <f aca="false">IF(B355="",0,IF(COUNTIF($B$6:$B$860,B355)&gt;1,1,0))</f>
        <v>0</v>
      </c>
      <c r="AX355" s="269" t="str">
        <f aca="false">IF(AY355=1,DATE(YEAR(O355),MONTH(O355),1),"")</f>
        <v/>
      </c>
      <c r="AY355" s="1" t="n">
        <f aca="false">IF(B355="",0,IF(AND(ISNUMBER(O355),ISNUMBER(P355)),IF(P355&gt;=O355,1,0),0))</f>
        <v>0</v>
      </c>
      <c r="AZ355" s="1" t="n">
        <f aca="false">IF(ISNUMBER(Y355),Y355,0)</f>
        <v>0</v>
      </c>
      <c r="BA355" s="1" t="str">
        <f aca="false">IF(B355="","",IF(AND(R355="WON",AS355=0),"⛔ Beleg fehlt · ","")&amp;IF(AND(R355="WON",AR355=0),"⛔ Einstand fehlt · ","")&amp;IF(AND(R355&lt;&gt;"WON",AR355=0),"○ Einstand offen · ","")&amp;IF(AND(R355="WON",AB355=""),"⛔ Vertragsart fehlt · ","")&amp;IF(AND(ISNUMBER(O355),ISNUMBER(P355)),IF(P355&lt;O355,"⚠ Ende vor Start · ",""),"")&amp;IF(AND(R355="WON",AY355=0,NOT(AND(ISNUMBER(O355),ISNUMBER(P355)))),"⛔ Zeitraum fehlt · ","")&amp;IF(AND(R355&lt;&gt;"WON",AY355=0,NOT(AND(ISNUMBER(O355),ISNUMBER(P355)))),"○ Zeitraum offen · ",""))</f>
        <v/>
      </c>
      <c r="BB355" s="1" t="str">
        <f aca="false">IF(B355="","",IF(AND(R355="WON",AS355=0),"⛔ Nachweis fehlt",IF(AND(ISNUMBER(O355),ISNUMBER(P355),P355&lt;O355),"⚠ Ende vor Start",IF(AND(R355="WON",AY355=0),"⛔ Zeitraum fehlt",IF(AR355=0,"○ Einstand offen",IF(AY355=0,"○ Zeitraum offen",IF(R355="WON","✅ belegt","✔ erfasst")))))))</f>
        <v/>
      </c>
    </row>
    <row r="356" customFormat="false" ht="15" hidden="false" customHeight="true" outlineLevel="0" collapsed="false">
      <c r="G356" s="1" t="str">
        <f aca="false">IF(B356="","",IF(AY356=1,P356-O356+1,IF(AW356="","",AW356)))</f>
        <v/>
      </c>
      <c r="I356" s="270"/>
      <c r="J356" s="270"/>
      <c r="K356" s="270"/>
      <c r="L356" s="270"/>
      <c r="M356" s="270"/>
      <c r="N356" s="270"/>
      <c r="O356" s="263"/>
      <c r="P356" s="263"/>
      <c r="Q356" s="270" t="str">
        <f aca="false">IF(AND(ISNUMBER(I356),ISNUMBER(S356)),I356*AJ356,IF(OR(I356&lt;&gt;"",S356&lt;&gt;""),"tbd",""))</f>
        <v/>
      </c>
      <c r="S356" s="268"/>
      <c r="Y356" s="275" t="str">
        <f aca="false">IF(ISNUMBER(I356),I356/Netto_Faktor,"")</f>
        <v/>
      </c>
      <c r="Z356" s="275" t="str">
        <f aca="false">IF(B356="","",IF(COUNT(J356:N356)=0,"",SUM(J356:N356)))</f>
        <v/>
      </c>
      <c r="AA356" s="266"/>
      <c r="AB356" s="266"/>
      <c r="AC356" s="266"/>
      <c r="AD356" s="266"/>
      <c r="AE356" s="266"/>
      <c r="AF356" s="266"/>
      <c r="AG356" s="267"/>
      <c r="AH356" s="266" t="str">
        <f aca="false">IF(B356="","",IF(BA356="",IF(R356="WON","✅ belegt &amp; vollständig","✔ vollständig"),LEFT(BA356,LEN(BA356)-3)))</f>
        <v/>
      </c>
      <c r="AJ356" s="268" t="n">
        <f aca="false">IF(ISNUMBER(S356),IFERROR(LOOKUP(IF(S356&lt;=1,S356,S356/100),'⚖️ Wahrscheinlichkeit'!$B$17:$B$21,'⚖️ Wahrscheinlichkeit'!$D$17:$D$21),0),0)</f>
        <v>0</v>
      </c>
      <c r="AK356" s="1" t="str">
        <f aca="false">IF(AND(R356="WON",ISNUMBER(I356)),AL356+(861-ROW())*0.000001,"")</f>
        <v/>
      </c>
      <c r="AL356" s="1" t="n">
        <f aca="false">IFERROR(I356*1,0)</f>
        <v>0</v>
      </c>
      <c r="AM356" s="1" t="n">
        <f aca="false">N(AM355)+IF(AND(R356="WON",B356&lt;&gt;""),1,0)</f>
        <v>12</v>
      </c>
      <c r="AN356" s="1" t="n">
        <f aca="false">N(AN355)+IF(AND(OR(R356="offered",R356="to be offered",R356="on hold"),B356&lt;&gt;""),1,0)</f>
        <v>33</v>
      </c>
      <c r="AO356" s="1" t="n">
        <f aca="false">N(AO355)+IF(AND(OR(R356="follow-up",R356="Evaluation",R356="tbd",R356="In evaluation"),B356&lt;&gt;""),1,0)</f>
        <v>1</v>
      </c>
      <c r="AP356" s="1" t="n">
        <f aca="false">IF(B356="",0,IF(COUNTIF('⚖️ Wahrscheinlichkeit'!$J$17:$J$24,R356)&gt;0,1,0))</f>
        <v>0</v>
      </c>
      <c r="AQ356" s="1" t="n">
        <f aca="false">IF(B356="",0,IF(AND(ISNUMBER(S356),COUNTIF('⚖️ Wahrscheinlichkeit'!$B$6:$B$11,S356)&gt;0),1,0))</f>
        <v>0</v>
      </c>
      <c r="AR356" s="1" t="n">
        <f aca="false">IF(B356="",0,IF(AND(COUNT(J356:M356)=4,SUM(J356:M356)&gt;0),1,0))</f>
        <v>0</v>
      </c>
      <c r="AS356" s="1" t="n">
        <f aca="false">IF(B356="",0,IF(AND(AF356&lt;&gt;"",AG356&lt;&gt;""),1,0))</f>
        <v>0</v>
      </c>
      <c r="AT356" s="1" t="n">
        <f aca="false">IF(AND(R356="WON",AS356=1,AR356=1),1,0)</f>
        <v>0</v>
      </c>
      <c r="AU356" s="1" t="n">
        <f aca="false">IF(B356="",0,IF(AD356="Alternative – zählt nicht",0,1))</f>
        <v>0</v>
      </c>
      <c r="AV356" s="1" t="n">
        <f aca="false">IF(B356="",0,IF(COUNTIF($B$6:$B$860,B356)&gt;1,1,0))</f>
        <v>0</v>
      </c>
      <c r="AX356" s="269" t="str">
        <f aca="false">IF(AY356=1,DATE(YEAR(O356),MONTH(O356),1),"")</f>
        <v/>
      </c>
      <c r="AY356" s="1" t="n">
        <f aca="false">IF(B356="",0,IF(AND(ISNUMBER(O356),ISNUMBER(P356)),IF(P356&gt;=O356,1,0),0))</f>
        <v>0</v>
      </c>
      <c r="AZ356" s="1" t="n">
        <f aca="false">IF(ISNUMBER(Y356),Y356,0)</f>
        <v>0</v>
      </c>
      <c r="BA356" s="1" t="str">
        <f aca="false">IF(B356="","",IF(AND(R356="WON",AS356=0),"⛔ Beleg fehlt · ","")&amp;IF(AND(R356="WON",AR356=0),"⛔ Einstand fehlt · ","")&amp;IF(AND(R356&lt;&gt;"WON",AR356=0),"○ Einstand offen · ","")&amp;IF(AND(R356="WON",AB356=""),"⛔ Vertragsart fehlt · ","")&amp;IF(AND(ISNUMBER(O356),ISNUMBER(P356)),IF(P356&lt;O356,"⚠ Ende vor Start · ",""),"")&amp;IF(AND(R356="WON",AY356=0,NOT(AND(ISNUMBER(O356),ISNUMBER(P356)))),"⛔ Zeitraum fehlt · ","")&amp;IF(AND(R356&lt;&gt;"WON",AY356=0,NOT(AND(ISNUMBER(O356),ISNUMBER(P356)))),"○ Zeitraum offen · ",""))</f>
        <v/>
      </c>
      <c r="BB356" s="1" t="str">
        <f aca="false">IF(B356="","",IF(AND(R356="WON",AS356=0),"⛔ Nachweis fehlt",IF(AND(ISNUMBER(O356),ISNUMBER(P356),P356&lt;O356),"⚠ Ende vor Start",IF(AND(R356="WON",AY356=0),"⛔ Zeitraum fehlt",IF(AR356=0,"○ Einstand offen",IF(AY356=0,"○ Zeitraum offen",IF(R356="WON","✅ belegt","✔ erfasst")))))))</f>
        <v/>
      </c>
    </row>
    <row r="357" customFormat="false" ht="15" hidden="false" customHeight="true" outlineLevel="0" collapsed="false">
      <c r="G357" s="1" t="str">
        <f aca="false">IF(B357="","",IF(AY357=1,P357-O357+1,IF(AW357="","",AW357)))</f>
        <v/>
      </c>
      <c r="I357" s="270"/>
      <c r="J357" s="270"/>
      <c r="K357" s="270"/>
      <c r="L357" s="270"/>
      <c r="M357" s="270"/>
      <c r="N357" s="270"/>
      <c r="O357" s="263"/>
      <c r="P357" s="263"/>
      <c r="Q357" s="270" t="str">
        <f aca="false">IF(AND(ISNUMBER(I357),ISNUMBER(S357)),I357*AJ357,IF(OR(I357&lt;&gt;"",S357&lt;&gt;""),"tbd",""))</f>
        <v/>
      </c>
      <c r="S357" s="268"/>
      <c r="Y357" s="275" t="str">
        <f aca="false">IF(ISNUMBER(I357),I357/Netto_Faktor,"")</f>
        <v/>
      </c>
      <c r="Z357" s="275" t="str">
        <f aca="false">IF(B357="","",IF(COUNT(J357:N357)=0,"",SUM(J357:N357)))</f>
        <v/>
      </c>
      <c r="AA357" s="266"/>
      <c r="AB357" s="266"/>
      <c r="AC357" s="266"/>
      <c r="AD357" s="266"/>
      <c r="AE357" s="266"/>
      <c r="AF357" s="266"/>
      <c r="AG357" s="267"/>
      <c r="AH357" s="266" t="str">
        <f aca="false">IF(B357="","",IF(BA357="",IF(R357="WON","✅ belegt &amp; vollständig","✔ vollständig"),LEFT(BA357,LEN(BA357)-3)))</f>
        <v/>
      </c>
      <c r="AJ357" s="268" t="n">
        <f aca="false">IF(ISNUMBER(S357),IFERROR(LOOKUP(IF(S357&lt;=1,S357,S357/100),'⚖️ Wahrscheinlichkeit'!$B$17:$B$21,'⚖️ Wahrscheinlichkeit'!$D$17:$D$21),0),0)</f>
        <v>0</v>
      </c>
      <c r="AK357" s="1" t="str">
        <f aca="false">IF(AND(R357="WON",ISNUMBER(I357)),AL357+(861-ROW())*0.000001,"")</f>
        <v/>
      </c>
      <c r="AL357" s="1" t="n">
        <f aca="false">IFERROR(I357*1,0)</f>
        <v>0</v>
      </c>
      <c r="AM357" s="1" t="n">
        <f aca="false">N(AM356)+IF(AND(R357="WON",B357&lt;&gt;""),1,0)</f>
        <v>12</v>
      </c>
      <c r="AN357" s="1" t="n">
        <f aca="false">N(AN356)+IF(AND(OR(R357="offered",R357="to be offered",R357="on hold"),B357&lt;&gt;""),1,0)</f>
        <v>33</v>
      </c>
      <c r="AO357" s="1" t="n">
        <f aca="false">N(AO356)+IF(AND(OR(R357="follow-up",R357="Evaluation",R357="tbd",R357="In evaluation"),B357&lt;&gt;""),1,0)</f>
        <v>1</v>
      </c>
      <c r="AP357" s="1" t="n">
        <f aca="false">IF(B357="",0,IF(COUNTIF('⚖️ Wahrscheinlichkeit'!$J$17:$J$24,R357)&gt;0,1,0))</f>
        <v>0</v>
      </c>
      <c r="AQ357" s="1" t="n">
        <f aca="false">IF(B357="",0,IF(AND(ISNUMBER(S357),COUNTIF('⚖️ Wahrscheinlichkeit'!$B$6:$B$11,S357)&gt;0),1,0))</f>
        <v>0</v>
      </c>
      <c r="AR357" s="1" t="n">
        <f aca="false">IF(B357="",0,IF(AND(COUNT(J357:M357)=4,SUM(J357:M357)&gt;0),1,0))</f>
        <v>0</v>
      </c>
      <c r="AS357" s="1" t="n">
        <f aca="false">IF(B357="",0,IF(AND(AF357&lt;&gt;"",AG357&lt;&gt;""),1,0))</f>
        <v>0</v>
      </c>
      <c r="AT357" s="1" t="n">
        <f aca="false">IF(AND(R357="WON",AS357=1,AR357=1),1,0)</f>
        <v>0</v>
      </c>
      <c r="AU357" s="1" t="n">
        <f aca="false">IF(B357="",0,IF(AD357="Alternative – zählt nicht",0,1))</f>
        <v>0</v>
      </c>
      <c r="AV357" s="1" t="n">
        <f aca="false">IF(B357="",0,IF(COUNTIF($B$6:$B$860,B357)&gt;1,1,0))</f>
        <v>0</v>
      </c>
      <c r="AX357" s="269" t="str">
        <f aca="false">IF(AY357=1,DATE(YEAR(O357),MONTH(O357),1),"")</f>
        <v/>
      </c>
      <c r="AY357" s="1" t="n">
        <f aca="false">IF(B357="",0,IF(AND(ISNUMBER(O357),ISNUMBER(P357)),IF(P357&gt;=O357,1,0),0))</f>
        <v>0</v>
      </c>
      <c r="AZ357" s="1" t="n">
        <f aca="false">IF(ISNUMBER(Y357),Y357,0)</f>
        <v>0</v>
      </c>
      <c r="BA357" s="1" t="str">
        <f aca="false">IF(B357="","",IF(AND(R357="WON",AS357=0),"⛔ Beleg fehlt · ","")&amp;IF(AND(R357="WON",AR357=0),"⛔ Einstand fehlt · ","")&amp;IF(AND(R357&lt;&gt;"WON",AR357=0),"○ Einstand offen · ","")&amp;IF(AND(R357="WON",AB357=""),"⛔ Vertragsart fehlt · ","")&amp;IF(AND(ISNUMBER(O357),ISNUMBER(P357)),IF(P357&lt;O357,"⚠ Ende vor Start · ",""),"")&amp;IF(AND(R357="WON",AY357=0,NOT(AND(ISNUMBER(O357),ISNUMBER(P357)))),"⛔ Zeitraum fehlt · ","")&amp;IF(AND(R357&lt;&gt;"WON",AY357=0,NOT(AND(ISNUMBER(O357),ISNUMBER(P357)))),"○ Zeitraum offen · ",""))</f>
        <v/>
      </c>
      <c r="BB357" s="1" t="str">
        <f aca="false">IF(B357="","",IF(AND(R357="WON",AS357=0),"⛔ Nachweis fehlt",IF(AND(ISNUMBER(O357),ISNUMBER(P357),P357&lt;O357),"⚠ Ende vor Start",IF(AND(R357="WON",AY357=0),"⛔ Zeitraum fehlt",IF(AR357=0,"○ Einstand offen",IF(AY357=0,"○ Zeitraum offen",IF(R357="WON","✅ belegt","✔ erfasst")))))))</f>
        <v/>
      </c>
    </row>
    <row r="358" customFormat="false" ht="15" hidden="false" customHeight="true" outlineLevel="0" collapsed="false">
      <c r="G358" s="1" t="str">
        <f aca="false">IF(B358="","",IF(AY358=1,P358-O358+1,IF(AW358="","",AW358)))</f>
        <v/>
      </c>
      <c r="I358" s="270"/>
      <c r="J358" s="270"/>
      <c r="K358" s="270"/>
      <c r="L358" s="270"/>
      <c r="M358" s="270"/>
      <c r="N358" s="270"/>
      <c r="O358" s="263"/>
      <c r="P358" s="263"/>
      <c r="Q358" s="270" t="str">
        <f aca="false">IF(AND(ISNUMBER(I358),ISNUMBER(S358)),I358*AJ358,IF(OR(I358&lt;&gt;"",S358&lt;&gt;""),"tbd",""))</f>
        <v/>
      </c>
      <c r="S358" s="268"/>
      <c r="Y358" s="275" t="str">
        <f aca="false">IF(ISNUMBER(I358),I358/Netto_Faktor,"")</f>
        <v/>
      </c>
      <c r="Z358" s="275" t="str">
        <f aca="false">IF(B358="","",IF(COUNT(J358:N358)=0,"",SUM(J358:N358)))</f>
        <v/>
      </c>
      <c r="AA358" s="266"/>
      <c r="AB358" s="266"/>
      <c r="AC358" s="266"/>
      <c r="AD358" s="266"/>
      <c r="AE358" s="266"/>
      <c r="AF358" s="266"/>
      <c r="AG358" s="267"/>
      <c r="AH358" s="266" t="str">
        <f aca="false">IF(B358="","",IF(BA358="",IF(R358="WON","✅ belegt &amp; vollständig","✔ vollständig"),LEFT(BA358,LEN(BA358)-3)))</f>
        <v/>
      </c>
      <c r="AJ358" s="268" t="n">
        <f aca="false">IF(ISNUMBER(S358),IFERROR(LOOKUP(IF(S358&lt;=1,S358,S358/100),'⚖️ Wahrscheinlichkeit'!$B$17:$B$21,'⚖️ Wahrscheinlichkeit'!$D$17:$D$21),0),0)</f>
        <v>0</v>
      </c>
      <c r="AK358" s="1" t="str">
        <f aca="false">IF(AND(R358="WON",ISNUMBER(I358)),AL358+(861-ROW())*0.000001,"")</f>
        <v/>
      </c>
      <c r="AL358" s="1" t="n">
        <f aca="false">IFERROR(I358*1,0)</f>
        <v>0</v>
      </c>
      <c r="AM358" s="1" t="n">
        <f aca="false">N(AM357)+IF(AND(R358="WON",B358&lt;&gt;""),1,0)</f>
        <v>12</v>
      </c>
      <c r="AN358" s="1" t="n">
        <f aca="false">N(AN357)+IF(AND(OR(R358="offered",R358="to be offered",R358="on hold"),B358&lt;&gt;""),1,0)</f>
        <v>33</v>
      </c>
      <c r="AO358" s="1" t="n">
        <f aca="false">N(AO357)+IF(AND(OR(R358="follow-up",R358="Evaluation",R358="tbd",R358="In evaluation"),B358&lt;&gt;""),1,0)</f>
        <v>1</v>
      </c>
      <c r="AP358" s="1" t="n">
        <f aca="false">IF(B358="",0,IF(COUNTIF('⚖️ Wahrscheinlichkeit'!$J$17:$J$24,R358)&gt;0,1,0))</f>
        <v>0</v>
      </c>
      <c r="AQ358" s="1" t="n">
        <f aca="false">IF(B358="",0,IF(AND(ISNUMBER(S358),COUNTIF('⚖️ Wahrscheinlichkeit'!$B$6:$B$11,S358)&gt;0),1,0))</f>
        <v>0</v>
      </c>
      <c r="AR358" s="1" t="n">
        <f aca="false">IF(B358="",0,IF(AND(COUNT(J358:M358)=4,SUM(J358:M358)&gt;0),1,0))</f>
        <v>0</v>
      </c>
      <c r="AS358" s="1" t="n">
        <f aca="false">IF(B358="",0,IF(AND(AF358&lt;&gt;"",AG358&lt;&gt;""),1,0))</f>
        <v>0</v>
      </c>
      <c r="AT358" s="1" t="n">
        <f aca="false">IF(AND(R358="WON",AS358=1,AR358=1),1,0)</f>
        <v>0</v>
      </c>
      <c r="AU358" s="1" t="n">
        <f aca="false">IF(B358="",0,IF(AD358="Alternative – zählt nicht",0,1))</f>
        <v>0</v>
      </c>
      <c r="AV358" s="1" t="n">
        <f aca="false">IF(B358="",0,IF(COUNTIF($B$6:$B$860,B358)&gt;1,1,0))</f>
        <v>0</v>
      </c>
      <c r="AX358" s="269" t="str">
        <f aca="false">IF(AY358=1,DATE(YEAR(O358),MONTH(O358),1),"")</f>
        <v/>
      </c>
      <c r="AY358" s="1" t="n">
        <f aca="false">IF(B358="",0,IF(AND(ISNUMBER(O358),ISNUMBER(P358)),IF(P358&gt;=O358,1,0),0))</f>
        <v>0</v>
      </c>
      <c r="AZ358" s="1" t="n">
        <f aca="false">IF(ISNUMBER(Y358),Y358,0)</f>
        <v>0</v>
      </c>
      <c r="BA358" s="1" t="str">
        <f aca="false">IF(B358="","",IF(AND(R358="WON",AS358=0),"⛔ Beleg fehlt · ","")&amp;IF(AND(R358="WON",AR358=0),"⛔ Einstand fehlt · ","")&amp;IF(AND(R358&lt;&gt;"WON",AR358=0),"○ Einstand offen · ","")&amp;IF(AND(R358="WON",AB358=""),"⛔ Vertragsart fehlt · ","")&amp;IF(AND(ISNUMBER(O358),ISNUMBER(P358)),IF(P358&lt;O358,"⚠ Ende vor Start · ",""),"")&amp;IF(AND(R358="WON",AY358=0,NOT(AND(ISNUMBER(O358),ISNUMBER(P358)))),"⛔ Zeitraum fehlt · ","")&amp;IF(AND(R358&lt;&gt;"WON",AY358=0,NOT(AND(ISNUMBER(O358),ISNUMBER(P358)))),"○ Zeitraum offen · ",""))</f>
        <v/>
      </c>
      <c r="BB358" s="1" t="str">
        <f aca="false">IF(B358="","",IF(AND(R358="WON",AS358=0),"⛔ Nachweis fehlt",IF(AND(ISNUMBER(O358),ISNUMBER(P358),P358&lt;O358),"⚠ Ende vor Start",IF(AND(R358="WON",AY358=0),"⛔ Zeitraum fehlt",IF(AR358=0,"○ Einstand offen",IF(AY358=0,"○ Zeitraum offen",IF(R358="WON","✅ belegt","✔ erfasst")))))))</f>
        <v/>
      </c>
    </row>
    <row r="359" customFormat="false" ht="15" hidden="false" customHeight="true" outlineLevel="0" collapsed="false">
      <c r="G359" s="1" t="str">
        <f aca="false">IF(B359="","",IF(AY359=1,P359-O359+1,IF(AW359="","",AW359)))</f>
        <v/>
      </c>
      <c r="I359" s="270"/>
      <c r="J359" s="270"/>
      <c r="K359" s="270"/>
      <c r="L359" s="270"/>
      <c r="M359" s="270"/>
      <c r="N359" s="270"/>
      <c r="O359" s="263"/>
      <c r="P359" s="263"/>
      <c r="Q359" s="270" t="str">
        <f aca="false">IF(AND(ISNUMBER(I359),ISNUMBER(S359)),I359*AJ359,IF(OR(I359&lt;&gt;"",S359&lt;&gt;""),"tbd",""))</f>
        <v/>
      </c>
      <c r="S359" s="268"/>
      <c r="Y359" s="275" t="str">
        <f aca="false">IF(ISNUMBER(I359),I359/Netto_Faktor,"")</f>
        <v/>
      </c>
      <c r="Z359" s="275" t="str">
        <f aca="false">IF(B359="","",IF(COUNT(J359:N359)=0,"",SUM(J359:N359)))</f>
        <v/>
      </c>
      <c r="AA359" s="266"/>
      <c r="AB359" s="266"/>
      <c r="AC359" s="266"/>
      <c r="AD359" s="266"/>
      <c r="AE359" s="266"/>
      <c r="AF359" s="266"/>
      <c r="AG359" s="267"/>
      <c r="AH359" s="266" t="str">
        <f aca="false">IF(B359="","",IF(BA359="",IF(R359="WON","✅ belegt &amp; vollständig","✔ vollständig"),LEFT(BA359,LEN(BA359)-3)))</f>
        <v/>
      </c>
      <c r="AJ359" s="268" t="n">
        <f aca="false">IF(ISNUMBER(S359),IFERROR(LOOKUP(IF(S359&lt;=1,S359,S359/100),'⚖️ Wahrscheinlichkeit'!$B$17:$B$21,'⚖️ Wahrscheinlichkeit'!$D$17:$D$21),0),0)</f>
        <v>0</v>
      </c>
      <c r="AK359" s="1" t="str">
        <f aca="false">IF(AND(R359="WON",ISNUMBER(I359)),AL359+(861-ROW())*0.000001,"")</f>
        <v/>
      </c>
      <c r="AL359" s="1" t="n">
        <f aca="false">IFERROR(I359*1,0)</f>
        <v>0</v>
      </c>
      <c r="AM359" s="1" t="n">
        <f aca="false">N(AM358)+IF(AND(R359="WON",B359&lt;&gt;""),1,0)</f>
        <v>12</v>
      </c>
      <c r="AN359" s="1" t="n">
        <f aca="false">N(AN358)+IF(AND(OR(R359="offered",R359="to be offered",R359="on hold"),B359&lt;&gt;""),1,0)</f>
        <v>33</v>
      </c>
      <c r="AO359" s="1" t="n">
        <f aca="false">N(AO358)+IF(AND(OR(R359="follow-up",R359="Evaluation",R359="tbd",R359="In evaluation"),B359&lt;&gt;""),1,0)</f>
        <v>1</v>
      </c>
      <c r="AP359" s="1" t="n">
        <f aca="false">IF(B359="",0,IF(COUNTIF('⚖️ Wahrscheinlichkeit'!$J$17:$J$24,R359)&gt;0,1,0))</f>
        <v>0</v>
      </c>
      <c r="AQ359" s="1" t="n">
        <f aca="false">IF(B359="",0,IF(AND(ISNUMBER(S359),COUNTIF('⚖️ Wahrscheinlichkeit'!$B$6:$B$11,S359)&gt;0),1,0))</f>
        <v>0</v>
      </c>
      <c r="AR359" s="1" t="n">
        <f aca="false">IF(B359="",0,IF(AND(COUNT(J359:M359)=4,SUM(J359:M359)&gt;0),1,0))</f>
        <v>0</v>
      </c>
      <c r="AS359" s="1" t="n">
        <f aca="false">IF(B359="",0,IF(AND(AF359&lt;&gt;"",AG359&lt;&gt;""),1,0))</f>
        <v>0</v>
      </c>
      <c r="AT359" s="1" t="n">
        <f aca="false">IF(AND(R359="WON",AS359=1,AR359=1),1,0)</f>
        <v>0</v>
      </c>
      <c r="AU359" s="1" t="n">
        <f aca="false">IF(B359="",0,IF(AD359="Alternative – zählt nicht",0,1))</f>
        <v>0</v>
      </c>
      <c r="AV359" s="1" t="n">
        <f aca="false">IF(B359="",0,IF(COUNTIF($B$6:$B$860,B359)&gt;1,1,0))</f>
        <v>0</v>
      </c>
      <c r="AX359" s="269" t="str">
        <f aca="false">IF(AY359=1,DATE(YEAR(O359),MONTH(O359),1),"")</f>
        <v/>
      </c>
      <c r="AY359" s="1" t="n">
        <f aca="false">IF(B359="",0,IF(AND(ISNUMBER(O359),ISNUMBER(P359)),IF(P359&gt;=O359,1,0),0))</f>
        <v>0</v>
      </c>
      <c r="AZ359" s="1" t="n">
        <f aca="false">IF(ISNUMBER(Y359),Y359,0)</f>
        <v>0</v>
      </c>
      <c r="BA359" s="1" t="str">
        <f aca="false">IF(B359="","",IF(AND(R359="WON",AS359=0),"⛔ Beleg fehlt · ","")&amp;IF(AND(R359="WON",AR359=0),"⛔ Einstand fehlt · ","")&amp;IF(AND(R359&lt;&gt;"WON",AR359=0),"○ Einstand offen · ","")&amp;IF(AND(R359="WON",AB359=""),"⛔ Vertragsart fehlt · ","")&amp;IF(AND(ISNUMBER(O359),ISNUMBER(P359)),IF(P359&lt;O359,"⚠ Ende vor Start · ",""),"")&amp;IF(AND(R359="WON",AY359=0,NOT(AND(ISNUMBER(O359),ISNUMBER(P359)))),"⛔ Zeitraum fehlt · ","")&amp;IF(AND(R359&lt;&gt;"WON",AY359=0,NOT(AND(ISNUMBER(O359),ISNUMBER(P359)))),"○ Zeitraum offen · ",""))</f>
        <v/>
      </c>
      <c r="BB359" s="1" t="str">
        <f aca="false">IF(B359="","",IF(AND(R359="WON",AS359=0),"⛔ Nachweis fehlt",IF(AND(ISNUMBER(O359),ISNUMBER(P359),P359&lt;O359),"⚠ Ende vor Start",IF(AND(R359="WON",AY359=0),"⛔ Zeitraum fehlt",IF(AR359=0,"○ Einstand offen",IF(AY359=0,"○ Zeitraum offen",IF(R359="WON","✅ belegt","✔ erfasst")))))))</f>
        <v/>
      </c>
    </row>
    <row r="360" customFormat="false" ht="15" hidden="false" customHeight="true" outlineLevel="0" collapsed="false">
      <c r="G360" s="1" t="str">
        <f aca="false">IF(B360="","",IF(AY360=1,P360-O360+1,IF(AW360="","",AW360)))</f>
        <v/>
      </c>
      <c r="I360" s="270"/>
      <c r="J360" s="270"/>
      <c r="K360" s="270"/>
      <c r="L360" s="270"/>
      <c r="M360" s="270"/>
      <c r="N360" s="270"/>
      <c r="O360" s="263"/>
      <c r="P360" s="263"/>
      <c r="Q360" s="270" t="str">
        <f aca="false">IF(AND(ISNUMBER(I360),ISNUMBER(S360)),I360*AJ360,IF(OR(I360&lt;&gt;"",S360&lt;&gt;""),"tbd",""))</f>
        <v/>
      </c>
      <c r="S360" s="268"/>
      <c r="Y360" s="275" t="str">
        <f aca="false">IF(ISNUMBER(I360),I360/Netto_Faktor,"")</f>
        <v/>
      </c>
      <c r="Z360" s="275" t="str">
        <f aca="false">IF(B360="","",IF(COUNT(J360:N360)=0,"",SUM(J360:N360)))</f>
        <v/>
      </c>
      <c r="AA360" s="266"/>
      <c r="AB360" s="266"/>
      <c r="AC360" s="266"/>
      <c r="AD360" s="266"/>
      <c r="AE360" s="266"/>
      <c r="AF360" s="266"/>
      <c r="AG360" s="267"/>
      <c r="AH360" s="266" t="str">
        <f aca="false">IF(B360="","",IF(BA360="",IF(R360="WON","✅ belegt &amp; vollständig","✔ vollständig"),LEFT(BA360,LEN(BA360)-3)))</f>
        <v/>
      </c>
      <c r="AJ360" s="268" t="n">
        <f aca="false">IF(ISNUMBER(S360),IFERROR(LOOKUP(IF(S360&lt;=1,S360,S360/100),'⚖️ Wahrscheinlichkeit'!$B$17:$B$21,'⚖️ Wahrscheinlichkeit'!$D$17:$D$21),0),0)</f>
        <v>0</v>
      </c>
      <c r="AK360" s="1" t="str">
        <f aca="false">IF(AND(R360="WON",ISNUMBER(I360)),AL360+(861-ROW())*0.000001,"")</f>
        <v/>
      </c>
      <c r="AL360" s="1" t="n">
        <f aca="false">IFERROR(I360*1,0)</f>
        <v>0</v>
      </c>
      <c r="AM360" s="1" t="n">
        <f aca="false">N(AM359)+IF(AND(R360="WON",B360&lt;&gt;""),1,0)</f>
        <v>12</v>
      </c>
      <c r="AN360" s="1" t="n">
        <f aca="false">N(AN359)+IF(AND(OR(R360="offered",R360="to be offered",R360="on hold"),B360&lt;&gt;""),1,0)</f>
        <v>33</v>
      </c>
      <c r="AO360" s="1" t="n">
        <f aca="false">N(AO359)+IF(AND(OR(R360="follow-up",R360="Evaluation",R360="tbd",R360="In evaluation"),B360&lt;&gt;""),1,0)</f>
        <v>1</v>
      </c>
      <c r="AP360" s="1" t="n">
        <f aca="false">IF(B360="",0,IF(COUNTIF('⚖️ Wahrscheinlichkeit'!$J$17:$J$24,R360)&gt;0,1,0))</f>
        <v>0</v>
      </c>
      <c r="AQ360" s="1" t="n">
        <f aca="false">IF(B360="",0,IF(AND(ISNUMBER(S360),COUNTIF('⚖️ Wahrscheinlichkeit'!$B$6:$B$11,S360)&gt;0),1,0))</f>
        <v>0</v>
      </c>
      <c r="AR360" s="1" t="n">
        <f aca="false">IF(B360="",0,IF(AND(COUNT(J360:M360)=4,SUM(J360:M360)&gt;0),1,0))</f>
        <v>0</v>
      </c>
      <c r="AS360" s="1" t="n">
        <f aca="false">IF(B360="",0,IF(AND(AF360&lt;&gt;"",AG360&lt;&gt;""),1,0))</f>
        <v>0</v>
      </c>
      <c r="AT360" s="1" t="n">
        <f aca="false">IF(AND(R360="WON",AS360=1,AR360=1),1,0)</f>
        <v>0</v>
      </c>
      <c r="AU360" s="1" t="n">
        <f aca="false">IF(B360="",0,IF(AD360="Alternative – zählt nicht",0,1))</f>
        <v>0</v>
      </c>
      <c r="AV360" s="1" t="n">
        <f aca="false">IF(B360="",0,IF(COUNTIF($B$6:$B$860,B360)&gt;1,1,0))</f>
        <v>0</v>
      </c>
      <c r="AX360" s="269" t="str">
        <f aca="false">IF(AY360=1,DATE(YEAR(O360),MONTH(O360),1),"")</f>
        <v/>
      </c>
      <c r="AY360" s="1" t="n">
        <f aca="false">IF(B360="",0,IF(AND(ISNUMBER(O360),ISNUMBER(P360)),IF(P360&gt;=O360,1,0),0))</f>
        <v>0</v>
      </c>
      <c r="AZ360" s="1" t="n">
        <f aca="false">IF(ISNUMBER(Y360),Y360,0)</f>
        <v>0</v>
      </c>
      <c r="BA360" s="1" t="str">
        <f aca="false">IF(B360="","",IF(AND(R360="WON",AS360=0),"⛔ Beleg fehlt · ","")&amp;IF(AND(R360="WON",AR360=0),"⛔ Einstand fehlt · ","")&amp;IF(AND(R360&lt;&gt;"WON",AR360=0),"○ Einstand offen · ","")&amp;IF(AND(R360="WON",AB360=""),"⛔ Vertragsart fehlt · ","")&amp;IF(AND(ISNUMBER(O360),ISNUMBER(P360)),IF(P360&lt;O360,"⚠ Ende vor Start · ",""),"")&amp;IF(AND(R360="WON",AY360=0,NOT(AND(ISNUMBER(O360),ISNUMBER(P360)))),"⛔ Zeitraum fehlt · ","")&amp;IF(AND(R360&lt;&gt;"WON",AY360=0,NOT(AND(ISNUMBER(O360),ISNUMBER(P360)))),"○ Zeitraum offen · ",""))</f>
        <v/>
      </c>
      <c r="BB360" s="1" t="str">
        <f aca="false">IF(B360="","",IF(AND(R360="WON",AS360=0),"⛔ Nachweis fehlt",IF(AND(ISNUMBER(O360),ISNUMBER(P360),P360&lt;O360),"⚠ Ende vor Start",IF(AND(R360="WON",AY360=0),"⛔ Zeitraum fehlt",IF(AR360=0,"○ Einstand offen",IF(AY360=0,"○ Zeitraum offen",IF(R360="WON","✅ belegt","✔ erfasst")))))))</f>
        <v/>
      </c>
    </row>
    <row r="361" customFormat="false" ht="15" hidden="false" customHeight="true" outlineLevel="0" collapsed="false">
      <c r="G361" s="1" t="str">
        <f aca="false">IF(B361="","",IF(AY361=1,P361-O361+1,IF(AW361="","",AW361)))</f>
        <v/>
      </c>
      <c r="I361" s="270"/>
      <c r="J361" s="270"/>
      <c r="K361" s="270"/>
      <c r="L361" s="270"/>
      <c r="M361" s="270"/>
      <c r="N361" s="270"/>
      <c r="O361" s="263"/>
      <c r="P361" s="263"/>
      <c r="Q361" s="270" t="str">
        <f aca="false">IF(AND(ISNUMBER(I361),ISNUMBER(S361)),I361*AJ361,IF(OR(I361&lt;&gt;"",S361&lt;&gt;""),"tbd",""))</f>
        <v/>
      </c>
      <c r="S361" s="268"/>
      <c r="Y361" s="275" t="str">
        <f aca="false">IF(ISNUMBER(I361),I361/Netto_Faktor,"")</f>
        <v/>
      </c>
      <c r="Z361" s="275" t="str">
        <f aca="false">IF(B361="","",IF(COUNT(J361:N361)=0,"",SUM(J361:N361)))</f>
        <v/>
      </c>
      <c r="AA361" s="266"/>
      <c r="AB361" s="266"/>
      <c r="AC361" s="266"/>
      <c r="AD361" s="266"/>
      <c r="AE361" s="266"/>
      <c r="AF361" s="266"/>
      <c r="AG361" s="267"/>
      <c r="AH361" s="266" t="str">
        <f aca="false">IF(B361="","",IF(BA361="",IF(R361="WON","✅ belegt &amp; vollständig","✔ vollständig"),LEFT(BA361,LEN(BA361)-3)))</f>
        <v/>
      </c>
      <c r="AJ361" s="268" t="n">
        <f aca="false">IF(ISNUMBER(S361),IFERROR(LOOKUP(IF(S361&lt;=1,S361,S361/100),'⚖️ Wahrscheinlichkeit'!$B$17:$B$21,'⚖️ Wahrscheinlichkeit'!$D$17:$D$21),0),0)</f>
        <v>0</v>
      </c>
      <c r="AK361" s="1" t="str">
        <f aca="false">IF(AND(R361="WON",ISNUMBER(I361)),AL361+(861-ROW())*0.000001,"")</f>
        <v/>
      </c>
      <c r="AL361" s="1" t="n">
        <f aca="false">IFERROR(I361*1,0)</f>
        <v>0</v>
      </c>
      <c r="AM361" s="1" t="n">
        <f aca="false">N(AM360)+IF(AND(R361="WON",B361&lt;&gt;""),1,0)</f>
        <v>12</v>
      </c>
      <c r="AN361" s="1" t="n">
        <f aca="false">N(AN360)+IF(AND(OR(R361="offered",R361="to be offered",R361="on hold"),B361&lt;&gt;""),1,0)</f>
        <v>33</v>
      </c>
      <c r="AO361" s="1" t="n">
        <f aca="false">N(AO360)+IF(AND(OR(R361="follow-up",R361="Evaluation",R361="tbd",R361="In evaluation"),B361&lt;&gt;""),1,0)</f>
        <v>1</v>
      </c>
      <c r="AP361" s="1" t="n">
        <f aca="false">IF(B361="",0,IF(COUNTIF('⚖️ Wahrscheinlichkeit'!$J$17:$J$24,R361)&gt;0,1,0))</f>
        <v>0</v>
      </c>
      <c r="AQ361" s="1" t="n">
        <f aca="false">IF(B361="",0,IF(AND(ISNUMBER(S361),COUNTIF('⚖️ Wahrscheinlichkeit'!$B$6:$B$11,S361)&gt;0),1,0))</f>
        <v>0</v>
      </c>
      <c r="AR361" s="1" t="n">
        <f aca="false">IF(B361="",0,IF(AND(COUNT(J361:M361)=4,SUM(J361:M361)&gt;0),1,0))</f>
        <v>0</v>
      </c>
      <c r="AS361" s="1" t="n">
        <f aca="false">IF(B361="",0,IF(AND(AF361&lt;&gt;"",AG361&lt;&gt;""),1,0))</f>
        <v>0</v>
      </c>
      <c r="AT361" s="1" t="n">
        <f aca="false">IF(AND(R361="WON",AS361=1,AR361=1),1,0)</f>
        <v>0</v>
      </c>
      <c r="AU361" s="1" t="n">
        <f aca="false">IF(B361="",0,IF(AD361="Alternative – zählt nicht",0,1))</f>
        <v>0</v>
      </c>
      <c r="AV361" s="1" t="n">
        <f aca="false">IF(B361="",0,IF(COUNTIF($B$6:$B$860,B361)&gt;1,1,0))</f>
        <v>0</v>
      </c>
      <c r="AX361" s="269" t="str">
        <f aca="false">IF(AY361=1,DATE(YEAR(O361),MONTH(O361),1),"")</f>
        <v/>
      </c>
      <c r="AY361" s="1" t="n">
        <f aca="false">IF(B361="",0,IF(AND(ISNUMBER(O361),ISNUMBER(P361)),IF(P361&gt;=O361,1,0),0))</f>
        <v>0</v>
      </c>
      <c r="AZ361" s="1" t="n">
        <f aca="false">IF(ISNUMBER(Y361),Y361,0)</f>
        <v>0</v>
      </c>
      <c r="BA361" s="1" t="str">
        <f aca="false">IF(B361="","",IF(AND(R361="WON",AS361=0),"⛔ Beleg fehlt · ","")&amp;IF(AND(R361="WON",AR361=0),"⛔ Einstand fehlt · ","")&amp;IF(AND(R361&lt;&gt;"WON",AR361=0),"○ Einstand offen · ","")&amp;IF(AND(R361="WON",AB361=""),"⛔ Vertragsart fehlt · ","")&amp;IF(AND(ISNUMBER(O361),ISNUMBER(P361)),IF(P361&lt;O361,"⚠ Ende vor Start · ",""),"")&amp;IF(AND(R361="WON",AY361=0,NOT(AND(ISNUMBER(O361),ISNUMBER(P361)))),"⛔ Zeitraum fehlt · ","")&amp;IF(AND(R361&lt;&gt;"WON",AY361=0,NOT(AND(ISNUMBER(O361),ISNUMBER(P361)))),"○ Zeitraum offen · ",""))</f>
        <v/>
      </c>
      <c r="BB361" s="1" t="str">
        <f aca="false">IF(B361="","",IF(AND(R361="WON",AS361=0),"⛔ Nachweis fehlt",IF(AND(ISNUMBER(O361),ISNUMBER(P361),P361&lt;O361),"⚠ Ende vor Start",IF(AND(R361="WON",AY361=0),"⛔ Zeitraum fehlt",IF(AR361=0,"○ Einstand offen",IF(AY361=0,"○ Zeitraum offen",IF(R361="WON","✅ belegt","✔ erfasst")))))))</f>
        <v/>
      </c>
    </row>
    <row r="362" customFormat="false" ht="15" hidden="false" customHeight="true" outlineLevel="0" collapsed="false">
      <c r="G362" s="1" t="str">
        <f aca="false">IF(B362="","",IF(AY362=1,P362-O362+1,IF(AW362="","",AW362)))</f>
        <v/>
      </c>
      <c r="I362" s="270"/>
      <c r="J362" s="270"/>
      <c r="K362" s="270"/>
      <c r="L362" s="270"/>
      <c r="M362" s="270"/>
      <c r="N362" s="270"/>
      <c r="O362" s="263"/>
      <c r="P362" s="263"/>
      <c r="Q362" s="270" t="str">
        <f aca="false">IF(AND(ISNUMBER(I362),ISNUMBER(S362)),I362*AJ362,IF(OR(I362&lt;&gt;"",S362&lt;&gt;""),"tbd",""))</f>
        <v/>
      </c>
      <c r="S362" s="268"/>
      <c r="Y362" s="275" t="str">
        <f aca="false">IF(ISNUMBER(I362),I362/Netto_Faktor,"")</f>
        <v/>
      </c>
      <c r="Z362" s="275" t="str">
        <f aca="false">IF(B362="","",IF(COUNT(J362:N362)=0,"",SUM(J362:N362)))</f>
        <v/>
      </c>
      <c r="AA362" s="266"/>
      <c r="AB362" s="266"/>
      <c r="AC362" s="266"/>
      <c r="AD362" s="266"/>
      <c r="AE362" s="266"/>
      <c r="AF362" s="266"/>
      <c r="AG362" s="267"/>
      <c r="AH362" s="266" t="str">
        <f aca="false">IF(B362="","",IF(BA362="",IF(R362="WON","✅ belegt &amp; vollständig","✔ vollständig"),LEFT(BA362,LEN(BA362)-3)))</f>
        <v/>
      </c>
      <c r="AJ362" s="268" t="n">
        <f aca="false">IF(ISNUMBER(S362),IFERROR(LOOKUP(IF(S362&lt;=1,S362,S362/100),'⚖️ Wahrscheinlichkeit'!$B$17:$B$21,'⚖️ Wahrscheinlichkeit'!$D$17:$D$21),0),0)</f>
        <v>0</v>
      </c>
      <c r="AK362" s="1" t="str">
        <f aca="false">IF(AND(R362="WON",ISNUMBER(I362)),AL362+(861-ROW())*0.000001,"")</f>
        <v/>
      </c>
      <c r="AL362" s="1" t="n">
        <f aca="false">IFERROR(I362*1,0)</f>
        <v>0</v>
      </c>
      <c r="AM362" s="1" t="n">
        <f aca="false">N(AM361)+IF(AND(R362="WON",B362&lt;&gt;""),1,0)</f>
        <v>12</v>
      </c>
      <c r="AN362" s="1" t="n">
        <f aca="false">N(AN361)+IF(AND(OR(R362="offered",R362="to be offered",R362="on hold"),B362&lt;&gt;""),1,0)</f>
        <v>33</v>
      </c>
      <c r="AO362" s="1" t="n">
        <f aca="false">N(AO361)+IF(AND(OR(R362="follow-up",R362="Evaluation",R362="tbd",R362="In evaluation"),B362&lt;&gt;""),1,0)</f>
        <v>1</v>
      </c>
      <c r="AP362" s="1" t="n">
        <f aca="false">IF(B362="",0,IF(COUNTIF('⚖️ Wahrscheinlichkeit'!$J$17:$J$24,R362)&gt;0,1,0))</f>
        <v>0</v>
      </c>
      <c r="AQ362" s="1" t="n">
        <f aca="false">IF(B362="",0,IF(AND(ISNUMBER(S362),COUNTIF('⚖️ Wahrscheinlichkeit'!$B$6:$B$11,S362)&gt;0),1,0))</f>
        <v>0</v>
      </c>
      <c r="AR362" s="1" t="n">
        <f aca="false">IF(B362="",0,IF(AND(COUNT(J362:M362)=4,SUM(J362:M362)&gt;0),1,0))</f>
        <v>0</v>
      </c>
      <c r="AS362" s="1" t="n">
        <f aca="false">IF(B362="",0,IF(AND(AF362&lt;&gt;"",AG362&lt;&gt;""),1,0))</f>
        <v>0</v>
      </c>
      <c r="AT362" s="1" t="n">
        <f aca="false">IF(AND(R362="WON",AS362=1,AR362=1),1,0)</f>
        <v>0</v>
      </c>
      <c r="AU362" s="1" t="n">
        <f aca="false">IF(B362="",0,IF(AD362="Alternative – zählt nicht",0,1))</f>
        <v>0</v>
      </c>
      <c r="AV362" s="1" t="n">
        <f aca="false">IF(B362="",0,IF(COUNTIF($B$6:$B$860,B362)&gt;1,1,0))</f>
        <v>0</v>
      </c>
      <c r="AX362" s="269" t="str">
        <f aca="false">IF(AY362=1,DATE(YEAR(O362),MONTH(O362),1),"")</f>
        <v/>
      </c>
      <c r="AY362" s="1" t="n">
        <f aca="false">IF(B362="",0,IF(AND(ISNUMBER(O362),ISNUMBER(P362)),IF(P362&gt;=O362,1,0),0))</f>
        <v>0</v>
      </c>
      <c r="AZ362" s="1" t="n">
        <f aca="false">IF(ISNUMBER(Y362),Y362,0)</f>
        <v>0</v>
      </c>
      <c r="BA362" s="1" t="str">
        <f aca="false">IF(B362="","",IF(AND(R362="WON",AS362=0),"⛔ Beleg fehlt · ","")&amp;IF(AND(R362="WON",AR362=0),"⛔ Einstand fehlt · ","")&amp;IF(AND(R362&lt;&gt;"WON",AR362=0),"○ Einstand offen · ","")&amp;IF(AND(R362="WON",AB362=""),"⛔ Vertragsart fehlt · ","")&amp;IF(AND(ISNUMBER(O362),ISNUMBER(P362)),IF(P362&lt;O362,"⚠ Ende vor Start · ",""),"")&amp;IF(AND(R362="WON",AY362=0,NOT(AND(ISNUMBER(O362),ISNUMBER(P362)))),"⛔ Zeitraum fehlt · ","")&amp;IF(AND(R362&lt;&gt;"WON",AY362=0,NOT(AND(ISNUMBER(O362),ISNUMBER(P362)))),"○ Zeitraum offen · ",""))</f>
        <v/>
      </c>
      <c r="BB362" s="1" t="str">
        <f aca="false">IF(B362="","",IF(AND(R362="WON",AS362=0),"⛔ Nachweis fehlt",IF(AND(ISNUMBER(O362),ISNUMBER(P362),P362&lt;O362),"⚠ Ende vor Start",IF(AND(R362="WON",AY362=0),"⛔ Zeitraum fehlt",IF(AR362=0,"○ Einstand offen",IF(AY362=0,"○ Zeitraum offen",IF(R362="WON","✅ belegt","✔ erfasst")))))))</f>
        <v/>
      </c>
    </row>
    <row r="363" customFormat="false" ht="15" hidden="false" customHeight="true" outlineLevel="0" collapsed="false">
      <c r="G363" s="1" t="str">
        <f aca="false">IF(B363="","",IF(AY363=1,P363-O363+1,IF(AW363="","",AW363)))</f>
        <v/>
      </c>
      <c r="I363" s="270"/>
      <c r="J363" s="270"/>
      <c r="K363" s="270"/>
      <c r="L363" s="270"/>
      <c r="M363" s="270"/>
      <c r="N363" s="270"/>
      <c r="O363" s="263"/>
      <c r="P363" s="263"/>
      <c r="Q363" s="270" t="str">
        <f aca="false">IF(AND(ISNUMBER(I363),ISNUMBER(S363)),I363*AJ363,IF(OR(I363&lt;&gt;"",S363&lt;&gt;""),"tbd",""))</f>
        <v/>
      </c>
      <c r="S363" s="268"/>
      <c r="Y363" s="275" t="str">
        <f aca="false">IF(ISNUMBER(I363),I363/Netto_Faktor,"")</f>
        <v/>
      </c>
      <c r="Z363" s="275" t="str">
        <f aca="false">IF(B363="","",IF(COUNT(J363:N363)=0,"",SUM(J363:N363)))</f>
        <v/>
      </c>
      <c r="AA363" s="266"/>
      <c r="AB363" s="266"/>
      <c r="AC363" s="266"/>
      <c r="AD363" s="266"/>
      <c r="AE363" s="266"/>
      <c r="AF363" s="266"/>
      <c r="AG363" s="267"/>
      <c r="AH363" s="266" t="str">
        <f aca="false">IF(B363="","",IF(BA363="",IF(R363="WON","✅ belegt &amp; vollständig","✔ vollständig"),LEFT(BA363,LEN(BA363)-3)))</f>
        <v/>
      </c>
      <c r="AJ363" s="268" t="n">
        <f aca="false">IF(ISNUMBER(S363),IFERROR(LOOKUP(IF(S363&lt;=1,S363,S363/100),'⚖️ Wahrscheinlichkeit'!$B$17:$B$21,'⚖️ Wahrscheinlichkeit'!$D$17:$D$21),0),0)</f>
        <v>0</v>
      </c>
      <c r="AK363" s="1" t="str">
        <f aca="false">IF(AND(R363="WON",ISNUMBER(I363)),AL363+(861-ROW())*0.000001,"")</f>
        <v/>
      </c>
      <c r="AL363" s="1" t="n">
        <f aca="false">IFERROR(I363*1,0)</f>
        <v>0</v>
      </c>
      <c r="AM363" s="1" t="n">
        <f aca="false">N(AM362)+IF(AND(R363="WON",B363&lt;&gt;""),1,0)</f>
        <v>12</v>
      </c>
      <c r="AN363" s="1" t="n">
        <f aca="false">N(AN362)+IF(AND(OR(R363="offered",R363="to be offered",R363="on hold"),B363&lt;&gt;""),1,0)</f>
        <v>33</v>
      </c>
      <c r="AO363" s="1" t="n">
        <f aca="false">N(AO362)+IF(AND(OR(R363="follow-up",R363="Evaluation",R363="tbd",R363="In evaluation"),B363&lt;&gt;""),1,0)</f>
        <v>1</v>
      </c>
      <c r="AP363" s="1" t="n">
        <f aca="false">IF(B363="",0,IF(COUNTIF('⚖️ Wahrscheinlichkeit'!$J$17:$J$24,R363)&gt;0,1,0))</f>
        <v>0</v>
      </c>
      <c r="AQ363" s="1" t="n">
        <f aca="false">IF(B363="",0,IF(AND(ISNUMBER(S363),COUNTIF('⚖️ Wahrscheinlichkeit'!$B$6:$B$11,S363)&gt;0),1,0))</f>
        <v>0</v>
      </c>
      <c r="AR363" s="1" t="n">
        <f aca="false">IF(B363="",0,IF(AND(COUNT(J363:M363)=4,SUM(J363:M363)&gt;0),1,0))</f>
        <v>0</v>
      </c>
      <c r="AS363" s="1" t="n">
        <f aca="false">IF(B363="",0,IF(AND(AF363&lt;&gt;"",AG363&lt;&gt;""),1,0))</f>
        <v>0</v>
      </c>
      <c r="AT363" s="1" t="n">
        <f aca="false">IF(AND(R363="WON",AS363=1,AR363=1),1,0)</f>
        <v>0</v>
      </c>
      <c r="AU363" s="1" t="n">
        <f aca="false">IF(B363="",0,IF(AD363="Alternative – zählt nicht",0,1))</f>
        <v>0</v>
      </c>
      <c r="AV363" s="1" t="n">
        <f aca="false">IF(B363="",0,IF(COUNTIF($B$6:$B$860,B363)&gt;1,1,0))</f>
        <v>0</v>
      </c>
      <c r="AX363" s="269" t="str">
        <f aca="false">IF(AY363=1,DATE(YEAR(O363),MONTH(O363),1),"")</f>
        <v/>
      </c>
      <c r="AY363" s="1" t="n">
        <f aca="false">IF(B363="",0,IF(AND(ISNUMBER(O363),ISNUMBER(P363)),IF(P363&gt;=O363,1,0),0))</f>
        <v>0</v>
      </c>
      <c r="AZ363" s="1" t="n">
        <f aca="false">IF(ISNUMBER(Y363),Y363,0)</f>
        <v>0</v>
      </c>
      <c r="BA363" s="1" t="str">
        <f aca="false">IF(B363="","",IF(AND(R363="WON",AS363=0),"⛔ Beleg fehlt · ","")&amp;IF(AND(R363="WON",AR363=0),"⛔ Einstand fehlt · ","")&amp;IF(AND(R363&lt;&gt;"WON",AR363=0),"○ Einstand offen · ","")&amp;IF(AND(R363="WON",AB363=""),"⛔ Vertragsart fehlt · ","")&amp;IF(AND(ISNUMBER(O363),ISNUMBER(P363)),IF(P363&lt;O363,"⚠ Ende vor Start · ",""),"")&amp;IF(AND(R363="WON",AY363=0,NOT(AND(ISNUMBER(O363),ISNUMBER(P363)))),"⛔ Zeitraum fehlt · ","")&amp;IF(AND(R363&lt;&gt;"WON",AY363=0,NOT(AND(ISNUMBER(O363),ISNUMBER(P363)))),"○ Zeitraum offen · ",""))</f>
        <v/>
      </c>
      <c r="BB363" s="1" t="str">
        <f aca="false">IF(B363="","",IF(AND(R363="WON",AS363=0),"⛔ Nachweis fehlt",IF(AND(ISNUMBER(O363),ISNUMBER(P363),P363&lt;O363),"⚠ Ende vor Start",IF(AND(R363="WON",AY363=0),"⛔ Zeitraum fehlt",IF(AR363=0,"○ Einstand offen",IF(AY363=0,"○ Zeitraum offen",IF(R363="WON","✅ belegt","✔ erfasst")))))))</f>
        <v/>
      </c>
    </row>
    <row r="364" customFormat="false" ht="15" hidden="false" customHeight="true" outlineLevel="0" collapsed="false">
      <c r="G364" s="1" t="str">
        <f aca="false">IF(B364="","",IF(AY364=1,P364-O364+1,IF(AW364="","",AW364)))</f>
        <v/>
      </c>
      <c r="I364" s="270"/>
      <c r="J364" s="270"/>
      <c r="K364" s="270"/>
      <c r="L364" s="270"/>
      <c r="M364" s="270"/>
      <c r="N364" s="270"/>
      <c r="O364" s="263"/>
      <c r="P364" s="263"/>
      <c r="Q364" s="270" t="str">
        <f aca="false">IF(AND(ISNUMBER(I364),ISNUMBER(S364)),I364*AJ364,IF(OR(I364&lt;&gt;"",S364&lt;&gt;""),"tbd",""))</f>
        <v/>
      </c>
      <c r="S364" s="268"/>
      <c r="Y364" s="275" t="str">
        <f aca="false">IF(ISNUMBER(I364),I364/Netto_Faktor,"")</f>
        <v/>
      </c>
      <c r="Z364" s="275" t="str">
        <f aca="false">IF(B364="","",IF(COUNT(J364:N364)=0,"",SUM(J364:N364)))</f>
        <v/>
      </c>
      <c r="AA364" s="266"/>
      <c r="AB364" s="266"/>
      <c r="AC364" s="266"/>
      <c r="AD364" s="266"/>
      <c r="AE364" s="266"/>
      <c r="AF364" s="266"/>
      <c r="AG364" s="267"/>
      <c r="AH364" s="266" t="str">
        <f aca="false">IF(B364="","",IF(BA364="",IF(R364="WON","✅ belegt &amp; vollständig","✔ vollständig"),LEFT(BA364,LEN(BA364)-3)))</f>
        <v/>
      </c>
      <c r="AJ364" s="268" t="n">
        <f aca="false">IF(ISNUMBER(S364),IFERROR(LOOKUP(IF(S364&lt;=1,S364,S364/100),'⚖️ Wahrscheinlichkeit'!$B$17:$B$21,'⚖️ Wahrscheinlichkeit'!$D$17:$D$21),0),0)</f>
        <v>0</v>
      </c>
      <c r="AK364" s="1" t="str">
        <f aca="false">IF(AND(R364="WON",ISNUMBER(I364)),AL364+(861-ROW())*0.000001,"")</f>
        <v/>
      </c>
      <c r="AL364" s="1" t="n">
        <f aca="false">IFERROR(I364*1,0)</f>
        <v>0</v>
      </c>
      <c r="AM364" s="1" t="n">
        <f aca="false">N(AM363)+IF(AND(R364="WON",B364&lt;&gt;""),1,0)</f>
        <v>12</v>
      </c>
      <c r="AN364" s="1" t="n">
        <f aca="false">N(AN363)+IF(AND(OR(R364="offered",R364="to be offered",R364="on hold"),B364&lt;&gt;""),1,0)</f>
        <v>33</v>
      </c>
      <c r="AO364" s="1" t="n">
        <f aca="false">N(AO363)+IF(AND(OR(R364="follow-up",R364="Evaluation",R364="tbd",R364="In evaluation"),B364&lt;&gt;""),1,0)</f>
        <v>1</v>
      </c>
      <c r="AP364" s="1" t="n">
        <f aca="false">IF(B364="",0,IF(COUNTIF('⚖️ Wahrscheinlichkeit'!$J$17:$J$24,R364)&gt;0,1,0))</f>
        <v>0</v>
      </c>
      <c r="AQ364" s="1" t="n">
        <f aca="false">IF(B364="",0,IF(AND(ISNUMBER(S364),COUNTIF('⚖️ Wahrscheinlichkeit'!$B$6:$B$11,S364)&gt;0),1,0))</f>
        <v>0</v>
      </c>
      <c r="AR364" s="1" t="n">
        <f aca="false">IF(B364="",0,IF(AND(COUNT(J364:M364)=4,SUM(J364:M364)&gt;0),1,0))</f>
        <v>0</v>
      </c>
      <c r="AS364" s="1" t="n">
        <f aca="false">IF(B364="",0,IF(AND(AF364&lt;&gt;"",AG364&lt;&gt;""),1,0))</f>
        <v>0</v>
      </c>
      <c r="AT364" s="1" t="n">
        <f aca="false">IF(AND(R364="WON",AS364=1,AR364=1),1,0)</f>
        <v>0</v>
      </c>
      <c r="AU364" s="1" t="n">
        <f aca="false">IF(B364="",0,IF(AD364="Alternative – zählt nicht",0,1))</f>
        <v>0</v>
      </c>
      <c r="AV364" s="1" t="n">
        <f aca="false">IF(B364="",0,IF(COUNTIF($B$6:$B$860,B364)&gt;1,1,0))</f>
        <v>0</v>
      </c>
      <c r="AX364" s="269" t="str">
        <f aca="false">IF(AY364=1,DATE(YEAR(O364),MONTH(O364),1),"")</f>
        <v/>
      </c>
      <c r="AY364" s="1" t="n">
        <f aca="false">IF(B364="",0,IF(AND(ISNUMBER(O364),ISNUMBER(P364)),IF(P364&gt;=O364,1,0),0))</f>
        <v>0</v>
      </c>
      <c r="AZ364" s="1" t="n">
        <f aca="false">IF(ISNUMBER(Y364),Y364,0)</f>
        <v>0</v>
      </c>
      <c r="BA364" s="1" t="str">
        <f aca="false">IF(B364="","",IF(AND(R364="WON",AS364=0),"⛔ Beleg fehlt · ","")&amp;IF(AND(R364="WON",AR364=0),"⛔ Einstand fehlt · ","")&amp;IF(AND(R364&lt;&gt;"WON",AR364=0),"○ Einstand offen · ","")&amp;IF(AND(R364="WON",AB364=""),"⛔ Vertragsart fehlt · ","")&amp;IF(AND(ISNUMBER(O364),ISNUMBER(P364)),IF(P364&lt;O364,"⚠ Ende vor Start · ",""),"")&amp;IF(AND(R364="WON",AY364=0,NOT(AND(ISNUMBER(O364),ISNUMBER(P364)))),"⛔ Zeitraum fehlt · ","")&amp;IF(AND(R364&lt;&gt;"WON",AY364=0,NOT(AND(ISNUMBER(O364),ISNUMBER(P364)))),"○ Zeitraum offen · ",""))</f>
        <v/>
      </c>
      <c r="BB364" s="1" t="str">
        <f aca="false">IF(B364="","",IF(AND(R364="WON",AS364=0),"⛔ Nachweis fehlt",IF(AND(ISNUMBER(O364),ISNUMBER(P364),P364&lt;O364),"⚠ Ende vor Start",IF(AND(R364="WON",AY364=0),"⛔ Zeitraum fehlt",IF(AR364=0,"○ Einstand offen",IF(AY364=0,"○ Zeitraum offen",IF(R364="WON","✅ belegt","✔ erfasst")))))))</f>
        <v/>
      </c>
    </row>
    <row r="365" customFormat="false" ht="15" hidden="false" customHeight="true" outlineLevel="0" collapsed="false">
      <c r="G365" s="1" t="str">
        <f aca="false">IF(B365="","",IF(AY365=1,P365-O365+1,IF(AW365="","",AW365)))</f>
        <v/>
      </c>
      <c r="I365" s="270"/>
      <c r="J365" s="270"/>
      <c r="K365" s="270"/>
      <c r="L365" s="270"/>
      <c r="M365" s="270"/>
      <c r="N365" s="270"/>
      <c r="O365" s="263"/>
      <c r="P365" s="263"/>
      <c r="Q365" s="270" t="str">
        <f aca="false">IF(AND(ISNUMBER(I365),ISNUMBER(S365)),I365*AJ365,IF(OR(I365&lt;&gt;"",S365&lt;&gt;""),"tbd",""))</f>
        <v/>
      </c>
      <c r="S365" s="268"/>
      <c r="Y365" s="275" t="str">
        <f aca="false">IF(ISNUMBER(I365),I365/Netto_Faktor,"")</f>
        <v/>
      </c>
      <c r="Z365" s="275" t="str">
        <f aca="false">IF(B365="","",IF(COUNT(J365:N365)=0,"",SUM(J365:N365)))</f>
        <v/>
      </c>
      <c r="AA365" s="266"/>
      <c r="AB365" s="266"/>
      <c r="AC365" s="266"/>
      <c r="AD365" s="266"/>
      <c r="AE365" s="266"/>
      <c r="AF365" s="266"/>
      <c r="AG365" s="267"/>
      <c r="AH365" s="266" t="str">
        <f aca="false">IF(B365="","",IF(BA365="",IF(R365="WON","✅ belegt &amp; vollständig","✔ vollständig"),LEFT(BA365,LEN(BA365)-3)))</f>
        <v/>
      </c>
      <c r="AJ365" s="268" t="n">
        <f aca="false">IF(ISNUMBER(S365),IFERROR(LOOKUP(IF(S365&lt;=1,S365,S365/100),'⚖️ Wahrscheinlichkeit'!$B$17:$B$21,'⚖️ Wahrscheinlichkeit'!$D$17:$D$21),0),0)</f>
        <v>0</v>
      </c>
      <c r="AK365" s="1" t="str">
        <f aca="false">IF(AND(R365="WON",ISNUMBER(I365)),AL365+(861-ROW())*0.000001,"")</f>
        <v/>
      </c>
      <c r="AL365" s="1" t="n">
        <f aca="false">IFERROR(I365*1,0)</f>
        <v>0</v>
      </c>
      <c r="AM365" s="1" t="n">
        <f aca="false">N(AM364)+IF(AND(R365="WON",B365&lt;&gt;""),1,0)</f>
        <v>12</v>
      </c>
      <c r="AN365" s="1" t="n">
        <f aca="false">N(AN364)+IF(AND(OR(R365="offered",R365="to be offered",R365="on hold"),B365&lt;&gt;""),1,0)</f>
        <v>33</v>
      </c>
      <c r="AO365" s="1" t="n">
        <f aca="false">N(AO364)+IF(AND(OR(R365="follow-up",R365="Evaluation",R365="tbd",R365="In evaluation"),B365&lt;&gt;""),1,0)</f>
        <v>1</v>
      </c>
      <c r="AP365" s="1" t="n">
        <f aca="false">IF(B365="",0,IF(COUNTIF('⚖️ Wahrscheinlichkeit'!$J$17:$J$24,R365)&gt;0,1,0))</f>
        <v>0</v>
      </c>
      <c r="AQ365" s="1" t="n">
        <f aca="false">IF(B365="",0,IF(AND(ISNUMBER(S365),COUNTIF('⚖️ Wahrscheinlichkeit'!$B$6:$B$11,S365)&gt;0),1,0))</f>
        <v>0</v>
      </c>
      <c r="AR365" s="1" t="n">
        <f aca="false">IF(B365="",0,IF(AND(COUNT(J365:M365)=4,SUM(J365:M365)&gt;0),1,0))</f>
        <v>0</v>
      </c>
      <c r="AS365" s="1" t="n">
        <f aca="false">IF(B365="",0,IF(AND(AF365&lt;&gt;"",AG365&lt;&gt;""),1,0))</f>
        <v>0</v>
      </c>
      <c r="AT365" s="1" t="n">
        <f aca="false">IF(AND(R365="WON",AS365=1,AR365=1),1,0)</f>
        <v>0</v>
      </c>
      <c r="AU365" s="1" t="n">
        <f aca="false">IF(B365="",0,IF(AD365="Alternative – zählt nicht",0,1))</f>
        <v>0</v>
      </c>
      <c r="AV365" s="1" t="n">
        <f aca="false">IF(B365="",0,IF(COUNTIF($B$6:$B$860,B365)&gt;1,1,0))</f>
        <v>0</v>
      </c>
      <c r="AX365" s="269" t="str">
        <f aca="false">IF(AY365=1,DATE(YEAR(O365),MONTH(O365),1),"")</f>
        <v/>
      </c>
      <c r="AY365" s="1" t="n">
        <f aca="false">IF(B365="",0,IF(AND(ISNUMBER(O365),ISNUMBER(P365)),IF(P365&gt;=O365,1,0),0))</f>
        <v>0</v>
      </c>
      <c r="AZ365" s="1" t="n">
        <f aca="false">IF(ISNUMBER(Y365),Y365,0)</f>
        <v>0</v>
      </c>
      <c r="BA365" s="1" t="str">
        <f aca="false">IF(B365="","",IF(AND(R365="WON",AS365=0),"⛔ Beleg fehlt · ","")&amp;IF(AND(R365="WON",AR365=0),"⛔ Einstand fehlt · ","")&amp;IF(AND(R365&lt;&gt;"WON",AR365=0),"○ Einstand offen · ","")&amp;IF(AND(R365="WON",AB365=""),"⛔ Vertragsart fehlt · ","")&amp;IF(AND(ISNUMBER(O365),ISNUMBER(P365)),IF(P365&lt;O365,"⚠ Ende vor Start · ",""),"")&amp;IF(AND(R365="WON",AY365=0,NOT(AND(ISNUMBER(O365),ISNUMBER(P365)))),"⛔ Zeitraum fehlt · ","")&amp;IF(AND(R365&lt;&gt;"WON",AY365=0,NOT(AND(ISNUMBER(O365),ISNUMBER(P365)))),"○ Zeitraum offen · ",""))</f>
        <v/>
      </c>
      <c r="BB365" s="1" t="str">
        <f aca="false">IF(B365="","",IF(AND(R365="WON",AS365=0),"⛔ Nachweis fehlt",IF(AND(ISNUMBER(O365),ISNUMBER(P365),P365&lt;O365),"⚠ Ende vor Start",IF(AND(R365="WON",AY365=0),"⛔ Zeitraum fehlt",IF(AR365=0,"○ Einstand offen",IF(AY365=0,"○ Zeitraum offen",IF(R365="WON","✅ belegt","✔ erfasst")))))))</f>
        <v/>
      </c>
    </row>
    <row r="366" customFormat="false" ht="15" hidden="false" customHeight="true" outlineLevel="0" collapsed="false">
      <c r="G366" s="1" t="str">
        <f aca="false">IF(B366="","",IF(AY366=1,P366-O366+1,IF(AW366="","",AW366)))</f>
        <v/>
      </c>
      <c r="I366" s="270"/>
      <c r="J366" s="270"/>
      <c r="K366" s="270"/>
      <c r="L366" s="270"/>
      <c r="M366" s="270"/>
      <c r="N366" s="270"/>
      <c r="O366" s="263"/>
      <c r="P366" s="263"/>
      <c r="Q366" s="270" t="str">
        <f aca="false">IF(AND(ISNUMBER(I366),ISNUMBER(S366)),I366*AJ366,IF(OR(I366&lt;&gt;"",S366&lt;&gt;""),"tbd",""))</f>
        <v/>
      </c>
      <c r="S366" s="268"/>
      <c r="Y366" s="275" t="str">
        <f aca="false">IF(ISNUMBER(I366),I366/Netto_Faktor,"")</f>
        <v/>
      </c>
      <c r="Z366" s="275" t="str">
        <f aca="false">IF(B366="","",IF(COUNT(J366:N366)=0,"",SUM(J366:N366)))</f>
        <v/>
      </c>
      <c r="AA366" s="266"/>
      <c r="AB366" s="266"/>
      <c r="AC366" s="266"/>
      <c r="AD366" s="266"/>
      <c r="AE366" s="266"/>
      <c r="AF366" s="266"/>
      <c r="AG366" s="267"/>
      <c r="AH366" s="266" t="str">
        <f aca="false">IF(B366="","",IF(BA366="",IF(R366="WON","✅ belegt &amp; vollständig","✔ vollständig"),LEFT(BA366,LEN(BA366)-3)))</f>
        <v/>
      </c>
      <c r="AJ366" s="268" t="n">
        <f aca="false">IF(ISNUMBER(S366),IFERROR(LOOKUP(IF(S366&lt;=1,S366,S366/100),'⚖️ Wahrscheinlichkeit'!$B$17:$B$21,'⚖️ Wahrscheinlichkeit'!$D$17:$D$21),0),0)</f>
        <v>0</v>
      </c>
      <c r="AK366" s="1" t="str">
        <f aca="false">IF(AND(R366="WON",ISNUMBER(I366)),AL366+(861-ROW())*0.000001,"")</f>
        <v/>
      </c>
      <c r="AL366" s="1" t="n">
        <f aca="false">IFERROR(I366*1,0)</f>
        <v>0</v>
      </c>
      <c r="AM366" s="1" t="n">
        <f aca="false">N(AM365)+IF(AND(R366="WON",B366&lt;&gt;""),1,0)</f>
        <v>12</v>
      </c>
      <c r="AN366" s="1" t="n">
        <f aca="false">N(AN365)+IF(AND(OR(R366="offered",R366="to be offered",R366="on hold"),B366&lt;&gt;""),1,0)</f>
        <v>33</v>
      </c>
      <c r="AO366" s="1" t="n">
        <f aca="false">N(AO365)+IF(AND(OR(R366="follow-up",R366="Evaluation",R366="tbd",R366="In evaluation"),B366&lt;&gt;""),1,0)</f>
        <v>1</v>
      </c>
      <c r="AP366" s="1" t="n">
        <f aca="false">IF(B366="",0,IF(COUNTIF('⚖️ Wahrscheinlichkeit'!$J$17:$J$24,R366)&gt;0,1,0))</f>
        <v>0</v>
      </c>
      <c r="AQ366" s="1" t="n">
        <f aca="false">IF(B366="",0,IF(AND(ISNUMBER(S366),COUNTIF('⚖️ Wahrscheinlichkeit'!$B$6:$B$11,S366)&gt;0),1,0))</f>
        <v>0</v>
      </c>
      <c r="AR366" s="1" t="n">
        <f aca="false">IF(B366="",0,IF(AND(COUNT(J366:M366)=4,SUM(J366:M366)&gt;0),1,0))</f>
        <v>0</v>
      </c>
      <c r="AS366" s="1" t="n">
        <f aca="false">IF(B366="",0,IF(AND(AF366&lt;&gt;"",AG366&lt;&gt;""),1,0))</f>
        <v>0</v>
      </c>
      <c r="AT366" s="1" t="n">
        <f aca="false">IF(AND(R366="WON",AS366=1,AR366=1),1,0)</f>
        <v>0</v>
      </c>
      <c r="AU366" s="1" t="n">
        <f aca="false">IF(B366="",0,IF(AD366="Alternative – zählt nicht",0,1))</f>
        <v>0</v>
      </c>
      <c r="AV366" s="1" t="n">
        <f aca="false">IF(B366="",0,IF(COUNTIF($B$6:$B$860,B366)&gt;1,1,0))</f>
        <v>0</v>
      </c>
      <c r="AX366" s="269" t="str">
        <f aca="false">IF(AY366=1,DATE(YEAR(O366),MONTH(O366),1),"")</f>
        <v/>
      </c>
      <c r="AY366" s="1" t="n">
        <f aca="false">IF(B366="",0,IF(AND(ISNUMBER(O366),ISNUMBER(P366)),IF(P366&gt;=O366,1,0),0))</f>
        <v>0</v>
      </c>
      <c r="AZ366" s="1" t="n">
        <f aca="false">IF(ISNUMBER(Y366),Y366,0)</f>
        <v>0</v>
      </c>
      <c r="BA366" s="1" t="str">
        <f aca="false">IF(B366="","",IF(AND(R366="WON",AS366=0),"⛔ Beleg fehlt · ","")&amp;IF(AND(R366="WON",AR366=0),"⛔ Einstand fehlt · ","")&amp;IF(AND(R366&lt;&gt;"WON",AR366=0),"○ Einstand offen · ","")&amp;IF(AND(R366="WON",AB366=""),"⛔ Vertragsart fehlt · ","")&amp;IF(AND(ISNUMBER(O366),ISNUMBER(P366)),IF(P366&lt;O366,"⚠ Ende vor Start · ",""),"")&amp;IF(AND(R366="WON",AY366=0,NOT(AND(ISNUMBER(O366),ISNUMBER(P366)))),"⛔ Zeitraum fehlt · ","")&amp;IF(AND(R366&lt;&gt;"WON",AY366=0,NOT(AND(ISNUMBER(O366),ISNUMBER(P366)))),"○ Zeitraum offen · ",""))</f>
        <v/>
      </c>
      <c r="BB366" s="1" t="str">
        <f aca="false">IF(B366="","",IF(AND(R366="WON",AS366=0),"⛔ Nachweis fehlt",IF(AND(ISNUMBER(O366),ISNUMBER(P366),P366&lt;O366),"⚠ Ende vor Start",IF(AND(R366="WON",AY366=0),"⛔ Zeitraum fehlt",IF(AR366=0,"○ Einstand offen",IF(AY366=0,"○ Zeitraum offen",IF(R366="WON","✅ belegt","✔ erfasst")))))))</f>
        <v/>
      </c>
    </row>
    <row r="367" customFormat="false" ht="15" hidden="false" customHeight="true" outlineLevel="0" collapsed="false">
      <c r="G367" s="1" t="str">
        <f aca="false">IF(B367="","",IF(AY367=1,P367-O367+1,IF(AW367="","",AW367)))</f>
        <v/>
      </c>
      <c r="I367" s="270"/>
      <c r="J367" s="270"/>
      <c r="K367" s="270"/>
      <c r="L367" s="270"/>
      <c r="M367" s="270"/>
      <c r="N367" s="270"/>
      <c r="O367" s="263"/>
      <c r="P367" s="263"/>
      <c r="Q367" s="270" t="str">
        <f aca="false">IF(AND(ISNUMBER(I367),ISNUMBER(S367)),I367*AJ367,IF(OR(I367&lt;&gt;"",S367&lt;&gt;""),"tbd",""))</f>
        <v/>
      </c>
      <c r="S367" s="268"/>
      <c r="Y367" s="275" t="str">
        <f aca="false">IF(ISNUMBER(I367),I367/Netto_Faktor,"")</f>
        <v/>
      </c>
      <c r="Z367" s="275" t="str">
        <f aca="false">IF(B367="","",IF(COUNT(J367:N367)=0,"",SUM(J367:N367)))</f>
        <v/>
      </c>
      <c r="AA367" s="266"/>
      <c r="AB367" s="266"/>
      <c r="AC367" s="266"/>
      <c r="AD367" s="266"/>
      <c r="AE367" s="266"/>
      <c r="AF367" s="266"/>
      <c r="AG367" s="267"/>
      <c r="AH367" s="266" t="str">
        <f aca="false">IF(B367="","",IF(BA367="",IF(R367="WON","✅ belegt &amp; vollständig","✔ vollständig"),LEFT(BA367,LEN(BA367)-3)))</f>
        <v/>
      </c>
      <c r="AJ367" s="268" t="n">
        <f aca="false">IF(ISNUMBER(S367),IFERROR(LOOKUP(IF(S367&lt;=1,S367,S367/100),'⚖️ Wahrscheinlichkeit'!$B$17:$B$21,'⚖️ Wahrscheinlichkeit'!$D$17:$D$21),0),0)</f>
        <v>0</v>
      </c>
      <c r="AK367" s="1" t="str">
        <f aca="false">IF(AND(R367="WON",ISNUMBER(I367)),AL367+(861-ROW())*0.000001,"")</f>
        <v/>
      </c>
      <c r="AL367" s="1" t="n">
        <f aca="false">IFERROR(I367*1,0)</f>
        <v>0</v>
      </c>
      <c r="AM367" s="1" t="n">
        <f aca="false">N(AM366)+IF(AND(R367="WON",B367&lt;&gt;""),1,0)</f>
        <v>12</v>
      </c>
      <c r="AN367" s="1" t="n">
        <f aca="false">N(AN366)+IF(AND(OR(R367="offered",R367="to be offered",R367="on hold"),B367&lt;&gt;""),1,0)</f>
        <v>33</v>
      </c>
      <c r="AO367" s="1" t="n">
        <f aca="false">N(AO366)+IF(AND(OR(R367="follow-up",R367="Evaluation",R367="tbd",R367="In evaluation"),B367&lt;&gt;""),1,0)</f>
        <v>1</v>
      </c>
      <c r="AP367" s="1" t="n">
        <f aca="false">IF(B367="",0,IF(COUNTIF('⚖️ Wahrscheinlichkeit'!$J$17:$J$24,R367)&gt;0,1,0))</f>
        <v>0</v>
      </c>
      <c r="AQ367" s="1" t="n">
        <f aca="false">IF(B367="",0,IF(AND(ISNUMBER(S367),COUNTIF('⚖️ Wahrscheinlichkeit'!$B$6:$B$11,S367)&gt;0),1,0))</f>
        <v>0</v>
      </c>
      <c r="AR367" s="1" t="n">
        <f aca="false">IF(B367="",0,IF(AND(COUNT(J367:M367)=4,SUM(J367:M367)&gt;0),1,0))</f>
        <v>0</v>
      </c>
      <c r="AS367" s="1" t="n">
        <f aca="false">IF(B367="",0,IF(AND(AF367&lt;&gt;"",AG367&lt;&gt;""),1,0))</f>
        <v>0</v>
      </c>
      <c r="AT367" s="1" t="n">
        <f aca="false">IF(AND(R367="WON",AS367=1,AR367=1),1,0)</f>
        <v>0</v>
      </c>
      <c r="AU367" s="1" t="n">
        <f aca="false">IF(B367="",0,IF(AD367="Alternative – zählt nicht",0,1))</f>
        <v>0</v>
      </c>
      <c r="AV367" s="1" t="n">
        <f aca="false">IF(B367="",0,IF(COUNTIF($B$6:$B$860,B367)&gt;1,1,0))</f>
        <v>0</v>
      </c>
      <c r="AX367" s="269" t="str">
        <f aca="false">IF(AY367=1,DATE(YEAR(O367),MONTH(O367),1),"")</f>
        <v/>
      </c>
      <c r="AY367" s="1" t="n">
        <f aca="false">IF(B367="",0,IF(AND(ISNUMBER(O367),ISNUMBER(P367)),IF(P367&gt;=O367,1,0),0))</f>
        <v>0</v>
      </c>
      <c r="AZ367" s="1" t="n">
        <f aca="false">IF(ISNUMBER(Y367),Y367,0)</f>
        <v>0</v>
      </c>
      <c r="BA367" s="1" t="str">
        <f aca="false">IF(B367="","",IF(AND(R367="WON",AS367=0),"⛔ Beleg fehlt · ","")&amp;IF(AND(R367="WON",AR367=0),"⛔ Einstand fehlt · ","")&amp;IF(AND(R367&lt;&gt;"WON",AR367=0),"○ Einstand offen · ","")&amp;IF(AND(R367="WON",AB367=""),"⛔ Vertragsart fehlt · ","")&amp;IF(AND(ISNUMBER(O367),ISNUMBER(P367)),IF(P367&lt;O367,"⚠ Ende vor Start · ",""),"")&amp;IF(AND(R367="WON",AY367=0,NOT(AND(ISNUMBER(O367),ISNUMBER(P367)))),"⛔ Zeitraum fehlt · ","")&amp;IF(AND(R367&lt;&gt;"WON",AY367=0,NOT(AND(ISNUMBER(O367),ISNUMBER(P367)))),"○ Zeitraum offen · ",""))</f>
        <v/>
      </c>
      <c r="BB367" s="1" t="str">
        <f aca="false">IF(B367="","",IF(AND(R367="WON",AS367=0),"⛔ Nachweis fehlt",IF(AND(ISNUMBER(O367),ISNUMBER(P367),P367&lt;O367),"⚠ Ende vor Start",IF(AND(R367="WON",AY367=0),"⛔ Zeitraum fehlt",IF(AR367=0,"○ Einstand offen",IF(AY367=0,"○ Zeitraum offen",IF(R367="WON","✅ belegt","✔ erfasst")))))))</f>
        <v/>
      </c>
    </row>
    <row r="368" customFormat="false" ht="15" hidden="false" customHeight="true" outlineLevel="0" collapsed="false">
      <c r="G368" s="1" t="str">
        <f aca="false">IF(B368="","",IF(AY368=1,P368-O368+1,IF(AW368="","",AW368)))</f>
        <v/>
      </c>
      <c r="I368" s="270"/>
      <c r="J368" s="270"/>
      <c r="K368" s="270"/>
      <c r="L368" s="270"/>
      <c r="M368" s="270"/>
      <c r="N368" s="270"/>
      <c r="O368" s="263"/>
      <c r="P368" s="263"/>
      <c r="Q368" s="270" t="str">
        <f aca="false">IF(AND(ISNUMBER(I368),ISNUMBER(S368)),I368*AJ368,IF(OR(I368&lt;&gt;"",S368&lt;&gt;""),"tbd",""))</f>
        <v/>
      </c>
      <c r="S368" s="268"/>
      <c r="Y368" s="275" t="str">
        <f aca="false">IF(ISNUMBER(I368),I368/Netto_Faktor,"")</f>
        <v/>
      </c>
      <c r="Z368" s="275" t="str">
        <f aca="false">IF(B368="","",IF(COUNT(J368:N368)=0,"",SUM(J368:N368)))</f>
        <v/>
      </c>
      <c r="AA368" s="266"/>
      <c r="AB368" s="266"/>
      <c r="AC368" s="266"/>
      <c r="AD368" s="266"/>
      <c r="AE368" s="266"/>
      <c r="AF368" s="266"/>
      <c r="AG368" s="267"/>
      <c r="AH368" s="266" t="str">
        <f aca="false">IF(B368="","",IF(BA368="",IF(R368="WON","✅ belegt &amp; vollständig","✔ vollständig"),LEFT(BA368,LEN(BA368)-3)))</f>
        <v/>
      </c>
      <c r="AJ368" s="268" t="n">
        <f aca="false">IF(ISNUMBER(S368),IFERROR(LOOKUP(IF(S368&lt;=1,S368,S368/100),'⚖️ Wahrscheinlichkeit'!$B$17:$B$21,'⚖️ Wahrscheinlichkeit'!$D$17:$D$21),0),0)</f>
        <v>0</v>
      </c>
      <c r="AK368" s="1" t="str">
        <f aca="false">IF(AND(R368="WON",ISNUMBER(I368)),AL368+(861-ROW())*0.000001,"")</f>
        <v/>
      </c>
      <c r="AL368" s="1" t="n">
        <f aca="false">IFERROR(I368*1,0)</f>
        <v>0</v>
      </c>
      <c r="AM368" s="1" t="n">
        <f aca="false">N(AM367)+IF(AND(R368="WON",B368&lt;&gt;""),1,0)</f>
        <v>12</v>
      </c>
      <c r="AN368" s="1" t="n">
        <f aca="false">N(AN367)+IF(AND(OR(R368="offered",R368="to be offered",R368="on hold"),B368&lt;&gt;""),1,0)</f>
        <v>33</v>
      </c>
      <c r="AO368" s="1" t="n">
        <f aca="false">N(AO367)+IF(AND(OR(R368="follow-up",R368="Evaluation",R368="tbd",R368="In evaluation"),B368&lt;&gt;""),1,0)</f>
        <v>1</v>
      </c>
      <c r="AP368" s="1" t="n">
        <f aca="false">IF(B368="",0,IF(COUNTIF('⚖️ Wahrscheinlichkeit'!$J$17:$J$24,R368)&gt;0,1,0))</f>
        <v>0</v>
      </c>
      <c r="AQ368" s="1" t="n">
        <f aca="false">IF(B368="",0,IF(AND(ISNUMBER(S368),COUNTIF('⚖️ Wahrscheinlichkeit'!$B$6:$B$11,S368)&gt;0),1,0))</f>
        <v>0</v>
      </c>
      <c r="AR368" s="1" t="n">
        <f aca="false">IF(B368="",0,IF(AND(COUNT(J368:M368)=4,SUM(J368:M368)&gt;0),1,0))</f>
        <v>0</v>
      </c>
      <c r="AS368" s="1" t="n">
        <f aca="false">IF(B368="",0,IF(AND(AF368&lt;&gt;"",AG368&lt;&gt;""),1,0))</f>
        <v>0</v>
      </c>
      <c r="AT368" s="1" t="n">
        <f aca="false">IF(AND(R368="WON",AS368=1,AR368=1),1,0)</f>
        <v>0</v>
      </c>
      <c r="AU368" s="1" t="n">
        <f aca="false">IF(B368="",0,IF(AD368="Alternative – zählt nicht",0,1))</f>
        <v>0</v>
      </c>
      <c r="AV368" s="1" t="n">
        <f aca="false">IF(B368="",0,IF(COUNTIF($B$6:$B$860,B368)&gt;1,1,0))</f>
        <v>0</v>
      </c>
      <c r="AX368" s="269" t="str">
        <f aca="false">IF(AY368=1,DATE(YEAR(O368),MONTH(O368),1),"")</f>
        <v/>
      </c>
      <c r="AY368" s="1" t="n">
        <f aca="false">IF(B368="",0,IF(AND(ISNUMBER(O368),ISNUMBER(P368)),IF(P368&gt;=O368,1,0),0))</f>
        <v>0</v>
      </c>
      <c r="AZ368" s="1" t="n">
        <f aca="false">IF(ISNUMBER(Y368),Y368,0)</f>
        <v>0</v>
      </c>
      <c r="BA368" s="1" t="str">
        <f aca="false">IF(B368="","",IF(AND(R368="WON",AS368=0),"⛔ Beleg fehlt · ","")&amp;IF(AND(R368="WON",AR368=0),"⛔ Einstand fehlt · ","")&amp;IF(AND(R368&lt;&gt;"WON",AR368=0),"○ Einstand offen · ","")&amp;IF(AND(R368="WON",AB368=""),"⛔ Vertragsart fehlt · ","")&amp;IF(AND(ISNUMBER(O368),ISNUMBER(P368)),IF(P368&lt;O368,"⚠ Ende vor Start · ",""),"")&amp;IF(AND(R368="WON",AY368=0,NOT(AND(ISNUMBER(O368),ISNUMBER(P368)))),"⛔ Zeitraum fehlt · ","")&amp;IF(AND(R368&lt;&gt;"WON",AY368=0,NOT(AND(ISNUMBER(O368),ISNUMBER(P368)))),"○ Zeitraum offen · ",""))</f>
        <v/>
      </c>
      <c r="BB368" s="1" t="str">
        <f aca="false">IF(B368="","",IF(AND(R368="WON",AS368=0),"⛔ Nachweis fehlt",IF(AND(ISNUMBER(O368),ISNUMBER(P368),P368&lt;O368),"⚠ Ende vor Start",IF(AND(R368="WON",AY368=0),"⛔ Zeitraum fehlt",IF(AR368=0,"○ Einstand offen",IF(AY368=0,"○ Zeitraum offen",IF(R368="WON","✅ belegt","✔ erfasst")))))))</f>
        <v/>
      </c>
    </row>
    <row r="369" customFormat="false" ht="15" hidden="false" customHeight="true" outlineLevel="0" collapsed="false">
      <c r="G369" s="1" t="str">
        <f aca="false">IF(B369="","",IF(AY369=1,P369-O369+1,IF(AW369="","",AW369)))</f>
        <v/>
      </c>
      <c r="I369" s="270"/>
      <c r="J369" s="270"/>
      <c r="K369" s="270"/>
      <c r="L369" s="270"/>
      <c r="M369" s="270"/>
      <c r="N369" s="270"/>
      <c r="O369" s="263"/>
      <c r="P369" s="263"/>
      <c r="Q369" s="270" t="str">
        <f aca="false">IF(AND(ISNUMBER(I369),ISNUMBER(S369)),I369*AJ369,IF(OR(I369&lt;&gt;"",S369&lt;&gt;""),"tbd",""))</f>
        <v/>
      </c>
      <c r="S369" s="268"/>
      <c r="Y369" s="275" t="str">
        <f aca="false">IF(ISNUMBER(I369),I369/Netto_Faktor,"")</f>
        <v/>
      </c>
      <c r="Z369" s="275" t="str">
        <f aca="false">IF(B369="","",IF(COUNT(J369:N369)=0,"",SUM(J369:N369)))</f>
        <v/>
      </c>
      <c r="AA369" s="266"/>
      <c r="AB369" s="266"/>
      <c r="AC369" s="266"/>
      <c r="AD369" s="266"/>
      <c r="AE369" s="266"/>
      <c r="AF369" s="266"/>
      <c r="AG369" s="267"/>
      <c r="AH369" s="266" t="str">
        <f aca="false">IF(B369="","",IF(BA369="",IF(R369="WON","✅ belegt &amp; vollständig","✔ vollständig"),LEFT(BA369,LEN(BA369)-3)))</f>
        <v/>
      </c>
      <c r="AJ369" s="268" t="n">
        <f aca="false">IF(ISNUMBER(S369),IFERROR(LOOKUP(IF(S369&lt;=1,S369,S369/100),'⚖️ Wahrscheinlichkeit'!$B$17:$B$21,'⚖️ Wahrscheinlichkeit'!$D$17:$D$21),0),0)</f>
        <v>0</v>
      </c>
      <c r="AK369" s="1" t="str">
        <f aca="false">IF(AND(R369="WON",ISNUMBER(I369)),AL369+(861-ROW())*0.000001,"")</f>
        <v/>
      </c>
      <c r="AL369" s="1" t="n">
        <f aca="false">IFERROR(I369*1,0)</f>
        <v>0</v>
      </c>
      <c r="AM369" s="1" t="n">
        <f aca="false">N(AM368)+IF(AND(R369="WON",B369&lt;&gt;""),1,0)</f>
        <v>12</v>
      </c>
      <c r="AN369" s="1" t="n">
        <f aca="false">N(AN368)+IF(AND(OR(R369="offered",R369="to be offered",R369="on hold"),B369&lt;&gt;""),1,0)</f>
        <v>33</v>
      </c>
      <c r="AO369" s="1" t="n">
        <f aca="false">N(AO368)+IF(AND(OR(R369="follow-up",R369="Evaluation",R369="tbd",R369="In evaluation"),B369&lt;&gt;""),1,0)</f>
        <v>1</v>
      </c>
      <c r="AP369" s="1" t="n">
        <f aca="false">IF(B369="",0,IF(COUNTIF('⚖️ Wahrscheinlichkeit'!$J$17:$J$24,R369)&gt;0,1,0))</f>
        <v>0</v>
      </c>
      <c r="AQ369" s="1" t="n">
        <f aca="false">IF(B369="",0,IF(AND(ISNUMBER(S369),COUNTIF('⚖️ Wahrscheinlichkeit'!$B$6:$B$11,S369)&gt;0),1,0))</f>
        <v>0</v>
      </c>
      <c r="AR369" s="1" t="n">
        <f aca="false">IF(B369="",0,IF(AND(COUNT(J369:M369)=4,SUM(J369:M369)&gt;0),1,0))</f>
        <v>0</v>
      </c>
      <c r="AS369" s="1" t="n">
        <f aca="false">IF(B369="",0,IF(AND(AF369&lt;&gt;"",AG369&lt;&gt;""),1,0))</f>
        <v>0</v>
      </c>
      <c r="AT369" s="1" t="n">
        <f aca="false">IF(AND(R369="WON",AS369=1,AR369=1),1,0)</f>
        <v>0</v>
      </c>
      <c r="AU369" s="1" t="n">
        <f aca="false">IF(B369="",0,IF(AD369="Alternative – zählt nicht",0,1))</f>
        <v>0</v>
      </c>
      <c r="AV369" s="1" t="n">
        <f aca="false">IF(B369="",0,IF(COUNTIF($B$6:$B$860,B369)&gt;1,1,0))</f>
        <v>0</v>
      </c>
      <c r="AX369" s="269" t="str">
        <f aca="false">IF(AY369=1,DATE(YEAR(O369),MONTH(O369),1),"")</f>
        <v/>
      </c>
      <c r="AY369" s="1" t="n">
        <f aca="false">IF(B369="",0,IF(AND(ISNUMBER(O369),ISNUMBER(P369)),IF(P369&gt;=O369,1,0),0))</f>
        <v>0</v>
      </c>
      <c r="AZ369" s="1" t="n">
        <f aca="false">IF(ISNUMBER(Y369),Y369,0)</f>
        <v>0</v>
      </c>
      <c r="BA369" s="1" t="str">
        <f aca="false">IF(B369="","",IF(AND(R369="WON",AS369=0),"⛔ Beleg fehlt · ","")&amp;IF(AND(R369="WON",AR369=0),"⛔ Einstand fehlt · ","")&amp;IF(AND(R369&lt;&gt;"WON",AR369=0),"○ Einstand offen · ","")&amp;IF(AND(R369="WON",AB369=""),"⛔ Vertragsart fehlt · ","")&amp;IF(AND(ISNUMBER(O369),ISNUMBER(P369)),IF(P369&lt;O369,"⚠ Ende vor Start · ",""),"")&amp;IF(AND(R369="WON",AY369=0,NOT(AND(ISNUMBER(O369),ISNUMBER(P369)))),"⛔ Zeitraum fehlt · ","")&amp;IF(AND(R369&lt;&gt;"WON",AY369=0,NOT(AND(ISNUMBER(O369),ISNUMBER(P369)))),"○ Zeitraum offen · ",""))</f>
        <v/>
      </c>
      <c r="BB369" s="1" t="str">
        <f aca="false">IF(B369="","",IF(AND(R369="WON",AS369=0),"⛔ Nachweis fehlt",IF(AND(ISNUMBER(O369),ISNUMBER(P369),P369&lt;O369),"⚠ Ende vor Start",IF(AND(R369="WON",AY369=0),"⛔ Zeitraum fehlt",IF(AR369=0,"○ Einstand offen",IF(AY369=0,"○ Zeitraum offen",IF(R369="WON","✅ belegt","✔ erfasst")))))))</f>
        <v/>
      </c>
    </row>
    <row r="370" customFormat="false" ht="15" hidden="false" customHeight="true" outlineLevel="0" collapsed="false">
      <c r="G370" s="1" t="str">
        <f aca="false">IF(B370="","",IF(AY370=1,P370-O370+1,IF(AW370="","",AW370)))</f>
        <v/>
      </c>
      <c r="I370" s="270"/>
      <c r="J370" s="270"/>
      <c r="K370" s="270"/>
      <c r="L370" s="270"/>
      <c r="M370" s="270"/>
      <c r="N370" s="270"/>
      <c r="O370" s="263"/>
      <c r="P370" s="263"/>
      <c r="Q370" s="270" t="str">
        <f aca="false">IF(AND(ISNUMBER(I370),ISNUMBER(S370)),I370*AJ370,IF(OR(I370&lt;&gt;"",S370&lt;&gt;""),"tbd",""))</f>
        <v/>
      </c>
      <c r="S370" s="268"/>
      <c r="Y370" s="275" t="str">
        <f aca="false">IF(ISNUMBER(I370),I370/Netto_Faktor,"")</f>
        <v/>
      </c>
      <c r="Z370" s="275" t="str">
        <f aca="false">IF(B370="","",IF(COUNT(J370:N370)=0,"",SUM(J370:N370)))</f>
        <v/>
      </c>
      <c r="AA370" s="266"/>
      <c r="AB370" s="266"/>
      <c r="AC370" s="266"/>
      <c r="AD370" s="266"/>
      <c r="AE370" s="266"/>
      <c r="AF370" s="266"/>
      <c r="AG370" s="267"/>
      <c r="AH370" s="266" t="str">
        <f aca="false">IF(B370="","",IF(BA370="",IF(R370="WON","✅ belegt &amp; vollständig","✔ vollständig"),LEFT(BA370,LEN(BA370)-3)))</f>
        <v/>
      </c>
      <c r="AJ370" s="268" t="n">
        <f aca="false">IF(ISNUMBER(S370),IFERROR(LOOKUP(IF(S370&lt;=1,S370,S370/100),'⚖️ Wahrscheinlichkeit'!$B$17:$B$21,'⚖️ Wahrscheinlichkeit'!$D$17:$D$21),0),0)</f>
        <v>0</v>
      </c>
      <c r="AK370" s="1" t="str">
        <f aca="false">IF(AND(R370="WON",ISNUMBER(I370)),AL370+(861-ROW())*0.000001,"")</f>
        <v/>
      </c>
      <c r="AL370" s="1" t="n">
        <f aca="false">IFERROR(I370*1,0)</f>
        <v>0</v>
      </c>
      <c r="AM370" s="1" t="n">
        <f aca="false">N(AM369)+IF(AND(R370="WON",B370&lt;&gt;""),1,0)</f>
        <v>12</v>
      </c>
      <c r="AN370" s="1" t="n">
        <f aca="false">N(AN369)+IF(AND(OR(R370="offered",R370="to be offered",R370="on hold"),B370&lt;&gt;""),1,0)</f>
        <v>33</v>
      </c>
      <c r="AO370" s="1" t="n">
        <f aca="false">N(AO369)+IF(AND(OR(R370="follow-up",R370="Evaluation",R370="tbd",R370="In evaluation"),B370&lt;&gt;""),1,0)</f>
        <v>1</v>
      </c>
      <c r="AP370" s="1" t="n">
        <f aca="false">IF(B370="",0,IF(COUNTIF('⚖️ Wahrscheinlichkeit'!$J$17:$J$24,R370)&gt;0,1,0))</f>
        <v>0</v>
      </c>
      <c r="AQ370" s="1" t="n">
        <f aca="false">IF(B370="",0,IF(AND(ISNUMBER(S370),COUNTIF('⚖️ Wahrscheinlichkeit'!$B$6:$B$11,S370)&gt;0),1,0))</f>
        <v>0</v>
      </c>
      <c r="AR370" s="1" t="n">
        <f aca="false">IF(B370="",0,IF(AND(COUNT(J370:M370)=4,SUM(J370:M370)&gt;0),1,0))</f>
        <v>0</v>
      </c>
      <c r="AS370" s="1" t="n">
        <f aca="false">IF(B370="",0,IF(AND(AF370&lt;&gt;"",AG370&lt;&gt;""),1,0))</f>
        <v>0</v>
      </c>
      <c r="AT370" s="1" t="n">
        <f aca="false">IF(AND(R370="WON",AS370=1,AR370=1),1,0)</f>
        <v>0</v>
      </c>
      <c r="AU370" s="1" t="n">
        <f aca="false">IF(B370="",0,IF(AD370="Alternative – zählt nicht",0,1))</f>
        <v>0</v>
      </c>
      <c r="AV370" s="1" t="n">
        <f aca="false">IF(B370="",0,IF(COUNTIF($B$6:$B$860,B370)&gt;1,1,0))</f>
        <v>0</v>
      </c>
      <c r="AX370" s="269" t="str">
        <f aca="false">IF(AY370=1,DATE(YEAR(O370),MONTH(O370),1),"")</f>
        <v/>
      </c>
      <c r="AY370" s="1" t="n">
        <f aca="false">IF(B370="",0,IF(AND(ISNUMBER(O370),ISNUMBER(P370)),IF(P370&gt;=O370,1,0),0))</f>
        <v>0</v>
      </c>
      <c r="AZ370" s="1" t="n">
        <f aca="false">IF(ISNUMBER(Y370),Y370,0)</f>
        <v>0</v>
      </c>
      <c r="BA370" s="1" t="str">
        <f aca="false">IF(B370="","",IF(AND(R370="WON",AS370=0),"⛔ Beleg fehlt · ","")&amp;IF(AND(R370="WON",AR370=0),"⛔ Einstand fehlt · ","")&amp;IF(AND(R370&lt;&gt;"WON",AR370=0),"○ Einstand offen · ","")&amp;IF(AND(R370="WON",AB370=""),"⛔ Vertragsart fehlt · ","")&amp;IF(AND(ISNUMBER(O370),ISNUMBER(P370)),IF(P370&lt;O370,"⚠ Ende vor Start · ",""),"")&amp;IF(AND(R370="WON",AY370=0,NOT(AND(ISNUMBER(O370),ISNUMBER(P370)))),"⛔ Zeitraum fehlt · ","")&amp;IF(AND(R370&lt;&gt;"WON",AY370=0,NOT(AND(ISNUMBER(O370),ISNUMBER(P370)))),"○ Zeitraum offen · ",""))</f>
        <v/>
      </c>
      <c r="BB370" s="1" t="str">
        <f aca="false">IF(B370="","",IF(AND(R370="WON",AS370=0),"⛔ Nachweis fehlt",IF(AND(ISNUMBER(O370),ISNUMBER(P370),P370&lt;O370),"⚠ Ende vor Start",IF(AND(R370="WON",AY370=0),"⛔ Zeitraum fehlt",IF(AR370=0,"○ Einstand offen",IF(AY370=0,"○ Zeitraum offen",IF(R370="WON","✅ belegt","✔ erfasst")))))))</f>
        <v/>
      </c>
    </row>
    <row r="371" customFormat="false" ht="15" hidden="false" customHeight="true" outlineLevel="0" collapsed="false">
      <c r="G371" s="1" t="str">
        <f aca="false">IF(B371="","",IF(AY371=1,P371-O371+1,IF(AW371="","",AW371)))</f>
        <v/>
      </c>
      <c r="I371" s="270"/>
      <c r="J371" s="270"/>
      <c r="K371" s="270"/>
      <c r="L371" s="270"/>
      <c r="M371" s="270"/>
      <c r="N371" s="270"/>
      <c r="O371" s="263"/>
      <c r="P371" s="263"/>
      <c r="Q371" s="270" t="str">
        <f aca="false">IF(AND(ISNUMBER(I371),ISNUMBER(S371)),I371*AJ371,IF(OR(I371&lt;&gt;"",S371&lt;&gt;""),"tbd",""))</f>
        <v/>
      </c>
      <c r="S371" s="268"/>
      <c r="Y371" s="275" t="str">
        <f aca="false">IF(ISNUMBER(I371),I371/Netto_Faktor,"")</f>
        <v/>
      </c>
      <c r="Z371" s="275" t="str">
        <f aca="false">IF(B371="","",IF(COUNT(J371:N371)=0,"",SUM(J371:N371)))</f>
        <v/>
      </c>
      <c r="AA371" s="266"/>
      <c r="AB371" s="266"/>
      <c r="AC371" s="266"/>
      <c r="AD371" s="266"/>
      <c r="AE371" s="266"/>
      <c r="AF371" s="266"/>
      <c r="AG371" s="267"/>
      <c r="AH371" s="266" t="str">
        <f aca="false">IF(B371="","",IF(BA371="",IF(R371="WON","✅ belegt &amp; vollständig","✔ vollständig"),LEFT(BA371,LEN(BA371)-3)))</f>
        <v/>
      </c>
      <c r="AJ371" s="268" t="n">
        <f aca="false">IF(ISNUMBER(S371),IFERROR(LOOKUP(IF(S371&lt;=1,S371,S371/100),'⚖️ Wahrscheinlichkeit'!$B$17:$B$21,'⚖️ Wahrscheinlichkeit'!$D$17:$D$21),0),0)</f>
        <v>0</v>
      </c>
      <c r="AK371" s="1" t="str">
        <f aca="false">IF(AND(R371="WON",ISNUMBER(I371)),AL371+(861-ROW())*0.000001,"")</f>
        <v/>
      </c>
      <c r="AL371" s="1" t="n">
        <f aca="false">IFERROR(I371*1,0)</f>
        <v>0</v>
      </c>
      <c r="AM371" s="1" t="n">
        <f aca="false">N(AM370)+IF(AND(R371="WON",B371&lt;&gt;""),1,0)</f>
        <v>12</v>
      </c>
      <c r="AN371" s="1" t="n">
        <f aca="false">N(AN370)+IF(AND(OR(R371="offered",R371="to be offered",R371="on hold"),B371&lt;&gt;""),1,0)</f>
        <v>33</v>
      </c>
      <c r="AO371" s="1" t="n">
        <f aca="false">N(AO370)+IF(AND(OR(R371="follow-up",R371="Evaluation",R371="tbd",R371="In evaluation"),B371&lt;&gt;""),1,0)</f>
        <v>1</v>
      </c>
      <c r="AP371" s="1" t="n">
        <f aca="false">IF(B371="",0,IF(COUNTIF('⚖️ Wahrscheinlichkeit'!$J$17:$J$24,R371)&gt;0,1,0))</f>
        <v>0</v>
      </c>
      <c r="AQ371" s="1" t="n">
        <f aca="false">IF(B371="",0,IF(AND(ISNUMBER(S371),COUNTIF('⚖️ Wahrscheinlichkeit'!$B$6:$B$11,S371)&gt;0),1,0))</f>
        <v>0</v>
      </c>
      <c r="AR371" s="1" t="n">
        <f aca="false">IF(B371="",0,IF(AND(COUNT(J371:M371)=4,SUM(J371:M371)&gt;0),1,0))</f>
        <v>0</v>
      </c>
      <c r="AS371" s="1" t="n">
        <f aca="false">IF(B371="",0,IF(AND(AF371&lt;&gt;"",AG371&lt;&gt;""),1,0))</f>
        <v>0</v>
      </c>
      <c r="AT371" s="1" t="n">
        <f aca="false">IF(AND(R371="WON",AS371=1,AR371=1),1,0)</f>
        <v>0</v>
      </c>
      <c r="AU371" s="1" t="n">
        <f aca="false">IF(B371="",0,IF(AD371="Alternative – zählt nicht",0,1))</f>
        <v>0</v>
      </c>
      <c r="AV371" s="1" t="n">
        <f aca="false">IF(B371="",0,IF(COUNTIF($B$6:$B$860,B371)&gt;1,1,0))</f>
        <v>0</v>
      </c>
      <c r="AX371" s="269" t="str">
        <f aca="false">IF(AY371=1,DATE(YEAR(O371),MONTH(O371),1),"")</f>
        <v/>
      </c>
      <c r="AY371" s="1" t="n">
        <f aca="false">IF(B371="",0,IF(AND(ISNUMBER(O371),ISNUMBER(P371)),IF(P371&gt;=O371,1,0),0))</f>
        <v>0</v>
      </c>
      <c r="AZ371" s="1" t="n">
        <f aca="false">IF(ISNUMBER(Y371),Y371,0)</f>
        <v>0</v>
      </c>
      <c r="BA371" s="1" t="str">
        <f aca="false">IF(B371="","",IF(AND(R371="WON",AS371=0),"⛔ Beleg fehlt · ","")&amp;IF(AND(R371="WON",AR371=0),"⛔ Einstand fehlt · ","")&amp;IF(AND(R371&lt;&gt;"WON",AR371=0),"○ Einstand offen · ","")&amp;IF(AND(R371="WON",AB371=""),"⛔ Vertragsart fehlt · ","")&amp;IF(AND(ISNUMBER(O371),ISNUMBER(P371)),IF(P371&lt;O371,"⚠ Ende vor Start · ",""),"")&amp;IF(AND(R371="WON",AY371=0,NOT(AND(ISNUMBER(O371),ISNUMBER(P371)))),"⛔ Zeitraum fehlt · ","")&amp;IF(AND(R371&lt;&gt;"WON",AY371=0,NOT(AND(ISNUMBER(O371),ISNUMBER(P371)))),"○ Zeitraum offen · ",""))</f>
        <v/>
      </c>
      <c r="BB371" s="1" t="str">
        <f aca="false">IF(B371="","",IF(AND(R371="WON",AS371=0),"⛔ Nachweis fehlt",IF(AND(ISNUMBER(O371),ISNUMBER(P371),P371&lt;O371),"⚠ Ende vor Start",IF(AND(R371="WON",AY371=0),"⛔ Zeitraum fehlt",IF(AR371=0,"○ Einstand offen",IF(AY371=0,"○ Zeitraum offen",IF(R371="WON","✅ belegt","✔ erfasst")))))))</f>
        <v/>
      </c>
    </row>
    <row r="372" customFormat="false" ht="15" hidden="false" customHeight="true" outlineLevel="0" collapsed="false">
      <c r="G372" s="1" t="str">
        <f aca="false">IF(B372="","",IF(AY372=1,P372-O372+1,IF(AW372="","",AW372)))</f>
        <v/>
      </c>
      <c r="I372" s="270"/>
      <c r="J372" s="270"/>
      <c r="K372" s="270"/>
      <c r="L372" s="270"/>
      <c r="M372" s="270"/>
      <c r="N372" s="270"/>
      <c r="O372" s="263"/>
      <c r="P372" s="263"/>
      <c r="Q372" s="270" t="str">
        <f aca="false">IF(AND(ISNUMBER(I372),ISNUMBER(S372)),I372*AJ372,IF(OR(I372&lt;&gt;"",S372&lt;&gt;""),"tbd",""))</f>
        <v/>
      </c>
      <c r="S372" s="268"/>
      <c r="Y372" s="275" t="str">
        <f aca="false">IF(ISNUMBER(I372),I372/Netto_Faktor,"")</f>
        <v/>
      </c>
      <c r="Z372" s="275" t="str">
        <f aca="false">IF(B372="","",IF(COUNT(J372:N372)=0,"",SUM(J372:N372)))</f>
        <v/>
      </c>
      <c r="AA372" s="266"/>
      <c r="AB372" s="266"/>
      <c r="AC372" s="266"/>
      <c r="AD372" s="266"/>
      <c r="AE372" s="266"/>
      <c r="AF372" s="266"/>
      <c r="AG372" s="267"/>
      <c r="AH372" s="266" t="str">
        <f aca="false">IF(B372="","",IF(BA372="",IF(R372="WON","✅ belegt &amp; vollständig","✔ vollständig"),LEFT(BA372,LEN(BA372)-3)))</f>
        <v/>
      </c>
      <c r="AJ372" s="268" t="n">
        <f aca="false">IF(ISNUMBER(S372),IFERROR(LOOKUP(IF(S372&lt;=1,S372,S372/100),'⚖️ Wahrscheinlichkeit'!$B$17:$B$21,'⚖️ Wahrscheinlichkeit'!$D$17:$D$21),0),0)</f>
        <v>0</v>
      </c>
      <c r="AK372" s="1" t="str">
        <f aca="false">IF(AND(R372="WON",ISNUMBER(I372)),AL372+(861-ROW())*0.000001,"")</f>
        <v/>
      </c>
      <c r="AL372" s="1" t="n">
        <f aca="false">IFERROR(I372*1,0)</f>
        <v>0</v>
      </c>
      <c r="AM372" s="1" t="n">
        <f aca="false">N(AM371)+IF(AND(R372="WON",B372&lt;&gt;""),1,0)</f>
        <v>12</v>
      </c>
      <c r="AN372" s="1" t="n">
        <f aca="false">N(AN371)+IF(AND(OR(R372="offered",R372="to be offered",R372="on hold"),B372&lt;&gt;""),1,0)</f>
        <v>33</v>
      </c>
      <c r="AO372" s="1" t="n">
        <f aca="false">N(AO371)+IF(AND(OR(R372="follow-up",R372="Evaluation",R372="tbd",R372="In evaluation"),B372&lt;&gt;""),1,0)</f>
        <v>1</v>
      </c>
      <c r="AP372" s="1" t="n">
        <f aca="false">IF(B372="",0,IF(COUNTIF('⚖️ Wahrscheinlichkeit'!$J$17:$J$24,R372)&gt;0,1,0))</f>
        <v>0</v>
      </c>
      <c r="AQ372" s="1" t="n">
        <f aca="false">IF(B372="",0,IF(AND(ISNUMBER(S372),COUNTIF('⚖️ Wahrscheinlichkeit'!$B$6:$B$11,S372)&gt;0),1,0))</f>
        <v>0</v>
      </c>
      <c r="AR372" s="1" t="n">
        <f aca="false">IF(B372="",0,IF(AND(COUNT(J372:M372)=4,SUM(J372:M372)&gt;0),1,0))</f>
        <v>0</v>
      </c>
      <c r="AS372" s="1" t="n">
        <f aca="false">IF(B372="",0,IF(AND(AF372&lt;&gt;"",AG372&lt;&gt;""),1,0))</f>
        <v>0</v>
      </c>
      <c r="AT372" s="1" t="n">
        <f aca="false">IF(AND(R372="WON",AS372=1,AR372=1),1,0)</f>
        <v>0</v>
      </c>
      <c r="AU372" s="1" t="n">
        <f aca="false">IF(B372="",0,IF(AD372="Alternative – zählt nicht",0,1))</f>
        <v>0</v>
      </c>
      <c r="AV372" s="1" t="n">
        <f aca="false">IF(B372="",0,IF(COUNTIF($B$6:$B$860,B372)&gt;1,1,0))</f>
        <v>0</v>
      </c>
      <c r="AX372" s="269" t="str">
        <f aca="false">IF(AY372=1,DATE(YEAR(O372),MONTH(O372),1),"")</f>
        <v/>
      </c>
      <c r="AY372" s="1" t="n">
        <f aca="false">IF(B372="",0,IF(AND(ISNUMBER(O372),ISNUMBER(P372)),IF(P372&gt;=O372,1,0),0))</f>
        <v>0</v>
      </c>
      <c r="AZ372" s="1" t="n">
        <f aca="false">IF(ISNUMBER(Y372),Y372,0)</f>
        <v>0</v>
      </c>
      <c r="BA372" s="1" t="str">
        <f aca="false">IF(B372="","",IF(AND(R372="WON",AS372=0),"⛔ Beleg fehlt · ","")&amp;IF(AND(R372="WON",AR372=0),"⛔ Einstand fehlt · ","")&amp;IF(AND(R372&lt;&gt;"WON",AR372=0),"○ Einstand offen · ","")&amp;IF(AND(R372="WON",AB372=""),"⛔ Vertragsart fehlt · ","")&amp;IF(AND(ISNUMBER(O372),ISNUMBER(P372)),IF(P372&lt;O372,"⚠ Ende vor Start · ",""),"")&amp;IF(AND(R372="WON",AY372=0,NOT(AND(ISNUMBER(O372),ISNUMBER(P372)))),"⛔ Zeitraum fehlt · ","")&amp;IF(AND(R372&lt;&gt;"WON",AY372=0,NOT(AND(ISNUMBER(O372),ISNUMBER(P372)))),"○ Zeitraum offen · ",""))</f>
        <v/>
      </c>
      <c r="BB372" s="1" t="str">
        <f aca="false">IF(B372="","",IF(AND(R372="WON",AS372=0),"⛔ Nachweis fehlt",IF(AND(ISNUMBER(O372),ISNUMBER(P372),P372&lt;O372),"⚠ Ende vor Start",IF(AND(R372="WON",AY372=0),"⛔ Zeitraum fehlt",IF(AR372=0,"○ Einstand offen",IF(AY372=0,"○ Zeitraum offen",IF(R372="WON","✅ belegt","✔ erfasst")))))))</f>
        <v/>
      </c>
    </row>
    <row r="373" customFormat="false" ht="15" hidden="false" customHeight="true" outlineLevel="0" collapsed="false">
      <c r="G373" s="1" t="str">
        <f aca="false">IF(B373="","",IF(AY373=1,P373-O373+1,IF(AW373="","",AW373)))</f>
        <v/>
      </c>
      <c r="I373" s="270"/>
      <c r="J373" s="270"/>
      <c r="K373" s="270"/>
      <c r="L373" s="270"/>
      <c r="M373" s="270"/>
      <c r="N373" s="270"/>
      <c r="O373" s="263"/>
      <c r="P373" s="263"/>
      <c r="Q373" s="270" t="str">
        <f aca="false">IF(AND(ISNUMBER(I373),ISNUMBER(S373)),I373*AJ373,IF(OR(I373&lt;&gt;"",S373&lt;&gt;""),"tbd",""))</f>
        <v/>
      </c>
      <c r="S373" s="268"/>
      <c r="Y373" s="275" t="str">
        <f aca="false">IF(ISNUMBER(I373),I373/Netto_Faktor,"")</f>
        <v/>
      </c>
      <c r="Z373" s="275" t="str">
        <f aca="false">IF(B373="","",IF(COUNT(J373:N373)=0,"",SUM(J373:N373)))</f>
        <v/>
      </c>
      <c r="AA373" s="266"/>
      <c r="AB373" s="266"/>
      <c r="AC373" s="266"/>
      <c r="AD373" s="266"/>
      <c r="AE373" s="266"/>
      <c r="AF373" s="266"/>
      <c r="AG373" s="267"/>
      <c r="AH373" s="266" t="str">
        <f aca="false">IF(B373="","",IF(BA373="",IF(R373="WON","✅ belegt &amp; vollständig","✔ vollständig"),LEFT(BA373,LEN(BA373)-3)))</f>
        <v/>
      </c>
      <c r="AJ373" s="268" t="n">
        <f aca="false">IF(ISNUMBER(S373),IFERROR(LOOKUP(IF(S373&lt;=1,S373,S373/100),'⚖️ Wahrscheinlichkeit'!$B$17:$B$21,'⚖️ Wahrscheinlichkeit'!$D$17:$D$21),0),0)</f>
        <v>0</v>
      </c>
      <c r="AK373" s="1" t="str">
        <f aca="false">IF(AND(R373="WON",ISNUMBER(I373)),AL373+(861-ROW())*0.000001,"")</f>
        <v/>
      </c>
      <c r="AL373" s="1" t="n">
        <f aca="false">IFERROR(I373*1,0)</f>
        <v>0</v>
      </c>
      <c r="AM373" s="1" t="n">
        <f aca="false">N(AM372)+IF(AND(R373="WON",B373&lt;&gt;""),1,0)</f>
        <v>12</v>
      </c>
      <c r="AN373" s="1" t="n">
        <f aca="false">N(AN372)+IF(AND(OR(R373="offered",R373="to be offered",R373="on hold"),B373&lt;&gt;""),1,0)</f>
        <v>33</v>
      </c>
      <c r="AO373" s="1" t="n">
        <f aca="false">N(AO372)+IF(AND(OR(R373="follow-up",R373="Evaluation",R373="tbd",R373="In evaluation"),B373&lt;&gt;""),1,0)</f>
        <v>1</v>
      </c>
      <c r="AP373" s="1" t="n">
        <f aca="false">IF(B373="",0,IF(COUNTIF('⚖️ Wahrscheinlichkeit'!$J$17:$J$24,R373)&gt;0,1,0))</f>
        <v>0</v>
      </c>
      <c r="AQ373" s="1" t="n">
        <f aca="false">IF(B373="",0,IF(AND(ISNUMBER(S373),COUNTIF('⚖️ Wahrscheinlichkeit'!$B$6:$B$11,S373)&gt;0),1,0))</f>
        <v>0</v>
      </c>
      <c r="AR373" s="1" t="n">
        <f aca="false">IF(B373="",0,IF(AND(COUNT(J373:M373)=4,SUM(J373:M373)&gt;0),1,0))</f>
        <v>0</v>
      </c>
      <c r="AS373" s="1" t="n">
        <f aca="false">IF(B373="",0,IF(AND(AF373&lt;&gt;"",AG373&lt;&gt;""),1,0))</f>
        <v>0</v>
      </c>
      <c r="AT373" s="1" t="n">
        <f aca="false">IF(AND(R373="WON",AS373=1,AR373=1),1,0)</f>
        <v>0</v>
      </c>
      <c r="AU373" s="1" t="n">
        <f aca="false">IF(B373="",0,IF(AD373="Alternative – zählt nicht",0,1))</f>
        <v>0</v>
      </c>
      <c r="AV373" s="1" t="n">
        <f aca="false">IF(B373="",0,IF(COUNTIF($B$6:$B$860,B373)&gt;1,1,0))</f>
        <v>0</v>
      </c>
      <c r="AX373" s="269" t="str">
        <f aca="false">IF(AY373=1,DATE(YEAR(O373),MONTH(O373),1),"")</f>
        <v/>
      </c>
      <c r="AY373" s="1" t="n">
        <f aca="false">IF(B373="",0,IF(AND(ISNUMBER(O373),ISNUMBER(P373)),IF(P373&gt;=O373,1,0),0))</f>
        <v>0</v>
      </c>
      <c r="AZ373" s="1" t="n">
        <f aca="false">IF(ISNUMBER(Y373),Y373,0)</f>
        <v>0</v>
      </c>
      <c r="BA373" s="1" t="str">
        <f aca="false">IF(B373="","",IF(AND(R373="WON",AS373=0),"⛔ Beleg fehlt · ","")&amp;IF(AND(R373="WON",AR373=0),"⛔ Einstand fehlt · ","")&amp;IF(AND(R373&lt;&gt;"WON",AR373=0),"○ Einstand offen · ","")&amp;IF(AND(R373="WON",AB373=""),"⛔ Vertragsart fehlt · ","")&amp;IF(AND(ISNUMBER(O373),ISNUMBER(P373)),IF(P373&lt;O373,"⚠ Ende vor Start · ",""),"")&amp;IF(AND(R373="WON",AY373=0,NOT(AND(ISNUMBER(O373),ISNUMBER(P373)))),"⛔ Zeitraum fehlt · ","")&amp;IF(AND(R373&lt;&gt;"WON",AY373=0,NOT(AND(ISNUMBER(O373),ISNUMBER(P373)))),"○ Zeitraum offen · ",""))</f>
        <v/>
      </c>
      <c r="BB373" s="1" t="str">
        <f aca="false">IF(B373="","",IF(AND(R373="WON",AS373=0),"⛔ Nachweis fehlt",IF(AND(ISNUMBER(O373),ISNUMBER(P373),P373&lt;O373),"⚠ Ende vor Start",IF(AND(R373="WON",AY373=0),"⛔ Zeitraum fehlt",IF(AR373=0,"○ Einstand offen",IF(AY373=0,"○ Zeitraum offen",IF(R373="WON","✅ belegt","✔ erfasst")))))))</f>
        <v/>
      </c>
    </row>
    <row r="374" customFormat="false" ht="15" hidden="false" customHeight="true" outlineLevel="0" collapsed="false">
      <c r="G374" s="1" t="str">
        <f aca="false">IF(B374="","",IF(AY374=1,P374-O374+1,IF(AW374="","",AW374)))</f>
        <v/>
      </c>
      <c r="I374" s="270"/>
      <c r="J374" s="270"/>
      <c r="K374" s="270"/>
      <c r="L374" s="270"/>
      <c r="M374" s="270"/>
      <c r="N374" s="270"/>
      <c r="O374" s="263"/>
      <c r="P374" s="263"/>
      <c r="Q374" s="270" t="str">
        <f aca="false">IF(AND(ISNUMBER(I374),ISNUMBER(S374)),I374*AJ374,IF(OR(I374&lt;&gt;"",S374&lt;&gt;""),"tbd",""))</f>
        <v/>
      </c>
      <c r="S374" s="268"/>
      <c r="Y374" s="275" t="str">
        <f aca="false">IF(ISNUMBER(I374),I374/Netto_Faktor,"")</f>
        <v/>
      </c>
      <c r="Z374" s="275" t="str">
        <f aca="false">IF(B374="","",IF(COUNT(J374:N374)=0,"",SUM(J374:N374)))</f>
        <v/>
      </c>
      <c r="AA374" s="266"/>
      <c r="AB374" s="266"/>
      <c r="AC374" s="266"/>
      <c r="AD374" s="266"/>
      <c r="AE374" s="266"/>
      <c r="AF374" s="266"/>
      <c r="AG374" s="267"/>
      <c r="AH374" s="266" t="str">
        <f aca="false">IF(B374="","",IF(BA374="",IF(R374="WON","✅ belegt &amp; vollständig","✔ vollständig"),LEFT(BA374,LEN(BA374)-3)))</f>
        <v/>
      </c>
      <c r="AJ374" s="268" t="n">
        <f aca="false">IF(ISNUMBER(S374),IFERROR(LOOKUP(IF(S374&lt;=1,S374,S374/100),'⚖️ Wahrscheinlichkeit'!$B$17:$B$21,'⚖️ Wahrscheinlichkeit'!$D$17:$D$21),0),0)</f>
        <v>0</v>
      </c>
      <c r="AK374" s="1" t="str">
        <f aca="false">IF(AND(R374="WON",ISNUMBER(I374)),AL374+(861-ROW())*0.000001,"")</f>
        <v/>
      </c>
      <c r="AL374" s="1" t="n">
        <f aca="false">IFERROR(I374*1,0)</f>
        <v>0</v>
      </c>
      <c r="AM374" s="1" t="n">
        <f aca="false">N(AM373)+IF(AND(R374="WON",B374&lt;&gt;""),1,0)</f>
        <v>12</v>
      </c>
      <c r="AN374" s="1" t="n">
        <f aca="false">N(AN373)+IF(AND(OR(R374="offered",R374="to be offered",R374="on hold"),B374&lt;&gt;""),1,0)</f>
        <v>33</v>
      </c>
      <c r="AO374" s="1" t="n">
        <f aca="false">N(AO373)+IF(AND(OR(R374="follow-up",R374="Evaluation",R374="tbd",R374="In evaluation"),B374&lt;&gt;""),1,0)</f>
        <v>1</v>
      </c>
      <c r="AP374" s="1" t="n">
        <f aca="false">IF(B374="",0,IF(COUNTIF('⚖️ Wahrscheinlichkeit'!$J$17:$J$24,R374)&gt;0,1,0))</f>
        <v>0</v>
      </c>
      <c r="AQ374" s="1" t="n">
        <f aca="false">IF(B374="",0,IF(AND(ISNUMBER(S374),COUNTIF('⚖️ Wahrscheinlichkeit'!$B$6:$B$11,S374)&gt;0),1,0))</f>
        <v>0</v>
      </c>
      <c r="AR374" s="1" t="n">
        <f aca="false">IF(B374="",0,IF(AND(COUNT(J374:M374)=4,SUM(J374:M374)&gt;0),1,0))</f>
        <v>0</v>
      </c>
      <c r="AS374" s="1" t="n">
        <f aca="false">IF(B374="",0,IF(AND(AF374&lt;&gt;"",AG374&lt;&gt;""),1,0))</f>
        <v>0</v>
      </c>
      <c r="AT374" s="1" t="n">
        <f aca="false">IF(AND(R374="WON",AS374=1,AR374=1),1,0)</f>
        <v>0</v>
      </c>
      <c r="AU374" s="1" t="n">
        <f aca="false">IF(B374="",0,IF(AD374="Alternative – zählt nicht",0,1))</f>
        <v>0</v>
      </c>
      <c r="AV374" s="1" t="n">
        <f aca="false">IF(B374="",0,IF(COUNTIF($B$6:$B$860,B374)&gt;1,1,0))</f>
        <v>0</v>
      </c>
      <c r="AX374" s="269" t="str">
        <f aca="false">IF(AY374=1,DATE(YEAR(O374),MONTH(O374),1),"")</f>
        <v/>
      </c>
      <c r="AY374" s="1" t="n">
        <f aca="false">IF(B374="",0,IF(AND(ISNUMBER(O374),ISNUMBER(P374)),IF(P374&gt;=O374,1,0),0))</f>
        <v>0</v>
      </c>
      <c r="AZ374" s="1" t="n">
        <f aca="false">IF(ISNUMBER(Y374),Y374,0)</f>
        <v>0</v>
      </c>
      <c r="BA374" s="1" t="str">
        <f aca="false">IF(B374="","",IF(AND(R374="WON",AS374=0),"⛔ Beleg fehlt · ","")&amp;IF(AND(R374="WON",AR374=0),"⛔ Einstand fehlt · ","")&amp;IF(AND(R374&lt;&gt;"WON",AR374=0),"○ Einstand offen · ","")&amp;IF(AND(R374="WON",AB374=""),"⛔ Vertragsart fehlt · ","")&amp;IF(AND(ISNUMBER(O374),ISNUMBER(P374)),IF(P374&lt;O374,"⚠ Ende vor Start · ",""),"")&amp;IF(AND(R374="WON",AY374=0,NOT(AND(ISNUMBER(O374),ISNUMBER(P374)))),"⛔ Zeitraum fehlt · ","")&amp;IF(AND(R374&lt;&gt;"WON",AY374=0,NOT(AND(ISNUMBER(O374),ISNUMBER(P374)))),"○ Zeitraum offen · ",""))</f>
        <v/>
      </c>
      <c r="BB374" s="1" t="str">
        <f aca="false">IF(B374="","",IF(AND(R374="WON",AS374=0),"⛔ Nachweis fehlt",IF(AND(ISNUMBER(O374),ISNUMBER(P374),P374&lt;O374),"⚠ Ende vor Start",IF(AND(R374="WON",AY374=0),"⛔ Zeitraum fehlt",IF(AR374=0,"○ Einstand offen",IF(AY374=0,"○ Zeitraum offen",IF(R374="WON","✅ belegt","✔ erfasst")))))))</f>
        <v/>
      </c>
    </row>
    <row r="375" customFormat="false" ht="15" hidden="false" customHeight="true" outlineLevel="0" collapsed="false">
      <c r="G375" s="1" t="str">
        <f aca="false">IF(B375="","",IF(AY375=1,P375-O375+1,IF(AW375="","",AW375)))</f>
        <v/>
      </c>
      <c r="I375" s="270"/>
      <c r="J375" s="270"/>
      <c r="K375" s="270"/>
      <c r="L375" s="270"/>
      <c r="M375" s="270"/>
      <c r="N375" s="270"/>
      <c r="O375" s="263"/>
      <c r="P375" s="263"/>
      <c r="Q375" s="270" t="str">
        <f aca="false">IF(AND(ISNUMBER(I375),ISNUMBER(S375)),I375*AJ375,IF(OR(I375&lt;&gt;"",S375&lt;&gt;""),"tbd",""))</f>
        <v/>
      </c>
      <c r="S375" s="268"/>
      <c r="Y375" s="275" t="str">
        <f aca="false">IF(ISNUMBER(I375),I375/Netto_Faktor,"")</f>
        <v/>
      </c>
      <c r="Z375" s="275" t="str">
        <f aca="false">IF(B375="","",IF(COUNT(J375:N375)=0,"",SUM(J375:N375)))</f>
        <v/>
      </c>
      <c r="AA375" s="266"/>
      <c r="AB375" s="266"/>
      <c r="AC375" s="266"/>
      <c r="AD375" s="266"/>
      <c r="AE375" s="266"/>
      <c r="AF375" s="266"/>
      <c r="AG375" s="267"/>
      <c r="AH375" s="266" t="str">
        <f aca="false">IF(B375="","",IF(BA375="",IF(R375="WON","✅ belegt &amp; vollständig","✔ vollständig"),LEFT(BA375,LEN(BA375)-3)))</f>
        <v/>
      </c>
      <c r="AJ375" s="268" t="n">
        <f aca="false">IF(ISNUMBER(S375),IFERROR(LOOKUP(IF(S375&lt;=1,S375,S375/100),'⚖️ Wahrscheinlichkeit'!$B$17:$B$21,'⚖️ Wahrscheinlichkeit'!$D$17:$D$21),0),0)</f>
        <v>0</v>
      </c>
      <c r="AK375" s="1" t="str">
        <f aca="false">IF(AND(R375="WON",ISNUMBER(I375)),AL375+(861-ROW())*0.000001,"")</f>
        <v/>
      </c>
      <c r="AL375" s="1" t="n">
        <f aca="false">IFERROR(I375*1,0)</f>
        <v>0</v>
      </c>
      <c r="AM375" s="1" t="n">
        <f aca="false">N(AM374)+IF(AND(R375="WON",B375&lt;&gt;""),1,0)</f>
        <v>12</v>
      </c>
      <c r="AN375" s="1" t="n">
        <f aca="false">N(AN374)+IF(AND(OR(R375="offered",R375="to be offered",R375="on hold"),B375&lt;&gt;""),1,0)</f>
        <v>33</v>
      </c>
      <c r="AO375" s="1" t="n">
        <f aca="false">N(AO374)+IF(AND(OR(R375="follow-up",R375="Evaluation",R375="tbd",R375="In evaluation"),B375&lt;&gt;""),1,0)</f>
        <v>1</v>
      </c>
      <c r="AP375" s="1" t="n">
        <f aca="false">IF(B375="",0,IF(COUNTIF('⚖️ Wahrscheinlichkeit'!$J$17:$J$24,R375)&gt;0,1,0))</f>
        <v>0</v>
      </c>
      <c r="AQ375" s="1" t="n">
        <f aca="false">IF(B375="",0,IF(AND(ISNUMBER(S375),COUNTIF('⚖️ Wahrscheinlichkeit'!$B$6:$B$11,S375)&gt;0),1,0))</f>
        <v>0</v>
      </c>
      <c r="AR375" s="1" t="n">
        <f aca="false">IF(B375="",0,IF(AND(COUNT(J375:M375)=4,SUM(J375:M375)&gt;0),1,0))</f>
        <v>0</v>
      </c>
      <c r="AS375" s="1" t="n">
        <f aca="false">IF(B375="",0,IF(AND(AF375&lt;&gt;"",AG375&lt;&gt;""),1,0))</f>
        <v>0</v>
      </c>
      <c r="AT375" s="1" t="n">
        <f aca="false">IF(AND(R375="WON",AS375=1,AR375=1),1,0)</f>
        <v>0</v>
      </c>
      <c r="AU375" s="1" t="n">
        <f aca="false">IF(B375="",0,IF(AD375="Alternative – zählt nicht",0,1))</f>
        <v>0</v>
      </c>
      <c r="AV375" s="1" t="n">
        <f aca="false">IF(B375="",0,IF(COUNTIF($B$6:$B$860,B375)&gt;1,1,0))</f>
        <v>0</v>
      </c>
      <c r="AX375" s="269" t="str">
        <f aca="false">IF(AY375=1,DATE(YEAR(O375),MONTH(O375),1),"")</f>
        <v/>
      </c>
      <c r="AY375" s="1" t="n">
        <f aca="false">IF(B375="",0,IF(AND(ISNUMBER(O375),ISNUMBER(P375)),IF(P375&gt;=O375,1,0),0))</f>
        <v>0</v>
      </c>
      <c r="AZ375" s="1" t="n">
        <f aca="false">IF(ISNUMBER(Y375),Y375,0)</f>
        <v>0</v>
      </c>
      <c r="BA375" s="1" t="str">
        <f aca="false">IF(B375="","",IF(AND(R375="WON",AS375=0),"⛔ Beleg fehlt · ","")&amp;IF(AND(R375="WON",AR375=0),"⛔ Einstand fehlt · ","")&amp;IF(AND(R375&lt;&gt;"WON",AR375=0),"○ Einstand offen · ","")&amp;IF(AND(R375="WON",AB375=""),"⛔ Vertragsart fehlt · ","")&amp;IF(AND(ISNUMBER(O375),ISNUMBER(P375)),IF(P375&lt;O375,"⚠ Ende vor Start · ",""),"")&amp;IF(AND(R375="WON",AY375=0,NOT(AND(ISNUMBER(O375),ISNUMBER(P375)))),"⛔ Zeitraum fehlt · ","")&amp;IF(AND(R375&lt;&gt;"WON",AY375=0,NOT(AND(ISNUMBER(O375),ISNUMBER(P375)))),"○ Zeitraum offen · ",""))</f>
        <v/>
      </c>
      <c r="BB375" s="1" t="str">
        <f aca="false">IF(B375="","",IF(AND(R375="WON",AS375=0),"⛔ Nachweis fehlt",IF(AND(ISNUMBER(O375),ISNUMBER(P375),P375&lt;O375),"⚠ Ende vor Start",IF(AND(R375="WON",AY375=0),"⛔ Zeitraum fehlt",IF(AR375=0,"○ Einstand offen",IF(AY375=0,"○ Zeitraum offen",IF(R375="WON","✅ belegt","✔ erfasst")))))))</f>
        <v/>
      </c>
    </row>
    <row r="376" customFormat="false" ht="15" hidden="false" customHeight="true" outlineLevel="0" collapsed="false">
      <c r="G376" s="1" t="str">
        <f aca="false">IF(B376="","",IF(AY376=1,P376-O376+1,IF(AW376="","",AW376)))</f>
        <v/>
      </c>
      <c r="I376" s="270"/>
      <c r="J376" s="270"/>
      <c r="K376" s="270"/>
      <c r="L376" s="270"/>
      <c r="M376" s="270"/>
      <c r="N376" s="270"/>
      <c r="O376" s="263"/>
      <c r="P376" s="263"/>
      <c r="Q376" s="270" t="str">
        <f aca="false">IF(AND(ISNUMBER(I376),ISNUMBER(S376)),I376*AJ376,IF(OR(I376&lt;&gt;"",S376&lt;&gt;""),"tbd",""))</f>
        <v/>
      </c>
      <c r="S376" s="268"/>
      <c r="Y376" s="275" t="str">
        <f aca="false">IF(ISNUMBER(I376),I376/Netto_Faktor,"")</f>
        <v/>
      </c>
      <c r="Z376" s="275" t="str">
        <f aca="false">IF(B376="","",IF(COUNT(J376:N376)=0,"",SUM(J376:N376)))</f>
        <v/>
      </c>
      <c r="AA376" s="266"/>
      <c r="AB376" s="266"/>
      <c r="AC376" s="266"/>
      <c r="AD376" s="266"/>
      <c r="AE376" s="266"/>
      <c r="AF376" s="266"/>
      <c r="AG376" s="267"/>
      <c r="AH376" s="266" t="str">
        <f aca="false">IF(B376="","",IF(BA376="",IF(R376="WON","✅ belegt &amp; vollständig","✔ vollständig"),LEFT(BA376,LEN(BA376)-3)))</f>
        <v/>
      </c>
      <c r="AJ376" s="268" t="n">
        <f aca="false">IF(ISNUMBER(S376),IFERROR(LOOKUP(IF(S376&lt;=1,S376,S376/100),'⚖️ Wahrscheinlichkeit'!$B$17:$B$21,'⚖️ Wahrscheinlichkeit'!$D$17:$D$21),0),0)</f>
        <v>0</v>
      </c>
      <c r="AK376" s="1" t="str">
        <f aca="false">IF(AND(R376="WON",ISNUMBER(I376)),AL376+(861-ROW())*0.000001,"")</f>
        <v/>
      </c>
      <c r="AL376" s="1" t="n">
        <f aca="false">IFERROR(I376*1,0)</f>
        <v>0</v>
      </c>
      <c r="AM376" s="1" t="n">
        <f aca="false">N(AM375)+IF(AND(R376="WON",B376&lt;&gt;""),1,0)</f>
        <v>12</v>
      </c>
      <c r="AN376" s="1" t="n">
        <f aca="false">N(AN375)+IF(AND(OR(R376="offered",R376="to be offered",R376="on hold"),B376&lt;&gt;""),1,0)</f>
        <v>33</v>
      </c>
      <c r="AO376" s="1" t="n">
        <f aca="false">N(AO375)+IF(AND(OR(R376="follow-up",R376="Evaluation",R376="tbd",R376="In evaluation"),B376&lt;&gt;""),1,0)</f>
        <v>1</v>
      </c>
      <c r="AP376" s="1" t="n">
        <f aca="false">IF(B376="",0,IF(COUNTIF('⚖️ Wahrscheinlichkeit'!$J$17:$J$24,R376)&gt;0,1,0))</f>
        <v>0</v>
      </c>
      <c r="AQ376" s="1" t="n">
        <f aca="false">IF(B376="",0,IF(AND(ISNUMBER(S376),COUNTIF('⚖️ Wahrscheinlichkeit'!$B$6:$B$11,S376)&gt;0),1,0))</f>
        <v>0</v>
      </c>
      <c r="AR376" s="1" t="n">
        <f aca="false">IF(B376="",0,IF(AND(COUNT(J376:M376)=4,SUM(J376:M376)&gt;0),1,0))</f>
        <v>0</v>
      </c>
      <c r="AS376" s="1" t="n">
        <f aca="false">IF(B376="",0,IF(AND(AF376&lt;&gt;"",AG376&lt;&gt;""),1,0))</f>
        <v>0</v>
      </c>
      <c r="AT376" s="1" t="n">
        <f aca="false">IF(AND(R376="WON",AS376=1,AR376=1),1,0)</f>
        <v>0</v>
      </c>
      <c r="AU376" s="1" t="n">
        <f aca="false">IF(B376="",0,IF(AD376="Alternative – zählt nicht",0,1))</f>
        <v>0</v>
      </c>
      <c r="AV376" s="1" t="n">
        <f aca="false">IF(B376="",0,IF(COUNTIF($B$6:$B$860,B376)&gt;1,1,0))</f>
        <v>0</v>
      </c>
      <c r="AX376" s="269" t="str">
        <f aca="false">IF(AY376=1,DATE(YEAR(O376),MONTH(O376),1),"")</f>
        <v/>
      </c>
      <c r="AY376" s="1" t="n">
        <f aca="false">IF(B376="",0,IF(AND(ISNUMBER(O376),ISNUMBER(P376)),IF(P376&gt;=O376,1,0),0))</f>
        <v>0</v>
      </c>
      <c r="AZ376" s="1" t="n">
        <f aca="false">IF(ISNUMBER(Y376),Y376,0)</f>
        <v>0</v>
      </c>
      <c r="BA376" s="1" t="str">
        <f aca="false">IF(B376="","",IF(AND(R376="WON",AS376=0),"⛔ Beleg fehlt · ","")&amp;IF(AND(R376="WON",AR376=0),"⛔ Einstand fehlt · ","")&amp;IF(AND(R376&lt;&gt;"WON",AR376=0),"○ Einstand offen · ","")&amp;IF(AND(R376="WON",AB376=""),"⛔ Vertragsart fehlt · ","")&amp;IF(AND(ISNUMBER(O376),ISNUMBER(P376)),IF(P376&lt;O376,"⚠ Ende vor Start · ",""),"")&amp;IF(AND(R376="WON",AY376=0,NOT(AND(ISNUMBER(O376),ISNUMBER(P376)))),"⛔ Zeitraum fehlt · ","")&amp;IF(AND(R376&lt;&gt;"WON",AY376=0,NOT(AND(ISNUMBER(O376),ISNUMBER(P376)))),"○ Zeitraum offen · ",""))</f>
        <v/>
      </c>
      <c r="BB376" s="1" t="str">
        <f aca="false">IF(B376="","",IF(AND(R376="WON",AS376=0),"⛔ Nachweis fehlt",IF(AND(ISNUMBER(O376),ISNUMBER(P376),P376&lt;O376),"⚠ Ende vor Start",IF(AND(R376="WON",AY376=0),"⛔ Zeitraum fehlt",IF(AR376=0,"○ Einstand offen",IF(AY376=0,"○ Zeitraum offen",IF(R376="WON","✅ belegt","✔ erfasst")))))))</f>
        <v/>
      </c>
    </row>
    <row r="377" customFormat="false" ht="15" hidden="false" customHeight="true" outlineLevel="0" collapsed="false">
      <c r="G377" s="1" t="str">
        <f aca="false">IF(B377="","",IF(AY377=1,P377-O377+1,IF(AW377="","",AW377)))</f>
        <v/>
      </c>
      <c r="I377" s="270"/>
      <c r="J377" s="270"/>
      <c r="K377" s="270"/>
      <c r="L377" s="270"/>
      <c r="M377" s="270"/>
      <c r="N377" s="270"/>
      <c r="O377" s="263"/>
      <c r="P377" s="263"/>
      <c r="Q377" s="270" t="str">
        <f aca="false">IF(AND(ISNUMBER(I377),ISNUMBER(S377)),I377*AJ377,IF(OR(I377&lt;&gt;"",S377&lt;&gt;""),"tbd",""))</f>
        <v/>
      </c>
      <c r="S377" s="268"/>
      <c r="Y377" s="275" t="str">
        <f aca="false">IF(ISNUMBER(I377),I377/Netto_Faktor,"")</f>
        <v/>
      </c>
      <c r="Z377" s="275" t="str">
        <f aca="false">IF(B377="","",IF(COUNT(J377:N377)=0,"",SUM(J377:N377)))</f>
        <v/>
      </c>
      <c r="AA377" s="266"/>
      <c r="AB377" s="266"/>
      <c r="AC377" s="266"/>
      <c r="AD377" s="266"/>
      <c r="AE377" s="266"/>
      <c r="AF377" s="266"/>
      <c r="AG377" s="267"/>
      <c r="AH377" s="266" t="str">
        <f aca="false">IF(B377="","",IF(BA377="",IF(R377="WON","✅ belegt &amp; vollständig","✔ vollständig"),LEFT(BA377,LEN(BA377)-3)))</f>
        <v/>
      </c>
      <c r="AJ377" s="268" t="n">
        <f aca="false">IF(ISNUMBER(S377),IFERROR(LOOKUP(IF(S377&lt;=1,S377,S377/100),'⚖️ Wahrscheinlichkeit'!$B$17:$B$21,'⚖️ Wahrscheinlichkeit'!$D$17:$D$21),0),0)</f>
        <v>0</v>
      </c>
      <c r="AK377" s="1" t="str">
        <f aca="false">IF(AND(R377="WON",ISNUMBER(I377)),AL377+(861-ROW())*0.000001,"")</f>
        <v/>
      </c>
      <c r="AL377" s="1" t="n">
        <f aca="false">IFERROR(I377*1,0)</f>
        <v>0</v>
      </c>
      <c r="AM377" s="1" t="n">
        <f aca="false">N(AM376)+IF(AND(R377="WON",B377&lt;&gt;""),1,0)</f>
        <v>12</v>
      </c>
      <c r="AN377" s="1" t="n">
        <f aca="false">N(AN376)+IF(AND(OR(R377="offered",R377="to be offered",R377="on hold"),B377&lt;&gt;""),1,0)</f>
        <v>33</v>
      </c>
      <c r="AO377" s="1" t="n">
        <f aca="false">N(AO376)+IF(AND(OR(R377="follow-up",R377="Evaluation",R377="tbd",R377="In evaluation"),B377&lt;&gt;""),1,0)</f>
        <v>1</v>
      </c>
      <c r="AP377" s="1" t="n">
        <f aca="false">IF(B377="",0,IF(COUNTIF('⚖️ Wahrscheinlichkeit'!$J$17:$J$24,R377)&gt;0,1,0))</f>
        <v>0</v>
      </c>
      <c r="AQ377" s="1" t="n">
        <f aca="false">IF(B377="",0,IF(AND(ISNUMBER(S377),COUNTIF('⚖️ Wahrscheinlichkeit'!$B$6:$B$11,S377)&gt;0),1,0))</f>
        <v>0</v>
      </c>
      <c r="AR377" s="1" t="n">
        <f aca="false">IF(B377="",0,IF(AND(COUNT(J377:M377)=4,SUM(J377:M377)&gt;0),1,0))</f>
        <v>0</v>
      </c>
      <c r="AS377" s="1" t="n">
        <f aca="false">IF(B377="",0,IF(AND(AF377&lt;&gt;"",AG377&lt;&gt;""),1,0))</f>
        <v>0</v>
      </c>
      <c r="AT377" s="1" t="n">
        <f aca="false">IF(AND(R377="WON",AS377=1,AR377=1),1,0)</f>
        <v>0</v>
      </c>
      <c r="AU377" s="1" t="n">
        <f aca="false">IF(B377="",0,IF(AD377="Alternative – zählt nicht",0,1))</f>
        <v>0</v>
      </c>
      <c r="AV377" s="1" t="n">
        <f aca="false">IF(B377="",0,IF(COUNTIF($B$6:$B$860,B377)&gt;1,1,0))</f>
        <v>0</v>
      </c>
      <c r="AX377" s="269" t="str">
        <f aca="false">IF(AY377=1,DATE(YEAR(O377),MONTH(O377),1),"")</f>
        <v/>
      </c>
      <c r="AY377" s="1" t="n">
        <f aca="false">IF(B377="",0,IF(AND(ISNUMBER(O377),ISNUMBER(P377)),IF(P377&gt;=O377,1,0),0))</f>
        <v>0</v>
      </c>
      <c r="AZ377" s="1" t="n">
        <f aca="false">IF(ISNUMBER(Y377),Y377,0)</f>
        <v>0</v>
      </c>
      <c r="BA377" s="1" t="str">
        <f aca="false">IF(B377="","",IF(AND(R377="WON",AS377=0),"⛔ Beleg fehlt · ","")&amp;IF(AND(R377="WON",AR377=0),"⛔ Einstand fehlt · ","")&amp;IF(AND(R377&lt;&gt;"WON",AR377=0),"○ Einstand offen · ","")&amp;IF(AND(R377="WON",AB377=""),"⛔ Vertragsart fehlt · ","")&amp;IF(AND(ISNUMBER(O377),ISNUMBER(P377)),IF(P377&lt;O377,"⚠ Ende vor Start · ",""),"")&amp;IF(AND(R377="WON",AY377=0,NOT(AND(ISNUMBER(O377),ISNUMBER(P377)))),"⛔ Zeitraum fehlt · ","")&amp;IF(AND(R377&lt;&gt;"WON",AY377=0,NOT(AND(ISNUMBER(O377),ISNUMBER(P377)))),"○ Zeitraum offen · ",""))</f>
        <v/>
      </c>
      <c r="BB377" s="1" t="str">
        <f aca="false">IF(B377="","",IF(AND(R377="WON",AS377=0),"⛔ Nachweis fehlt",IF(AND(ISNUMBER(O377),ISNUMBER(P377),P377&lt;O377),"⚠ Ende vor Start",IF(AND(R377="WON",AY377=0),"⛔ Zeitraum fehlt",IF(AR377=0,"○ Einstand offen",IF(AY377=0,"○ Zeitraum offen",IF(R377="WON","✅ belegt","✔ erfasst")))))))</f>
        <v/>
      </c>
    </row>
    <row r="378" customFormat="false" ht="15" hidden="false" customHeight="true" outlineLevel="0" collapsed="false">
      <c r="G378" s="1" t="str">
        <f aca="false">IF(B378="","",IF(AY378=1,P378-O378+1,IF(AW378="","",AW378)))</f>
        <v/>
      </c>
      <c r="I378" s="270"/>
      <c r="J378" s="270"/>
      <c r="K378" s="270"/>
      <c r="L378" s="270"/>
      <c r="M378" s="270"/>
      <c r="N378" s="270"/>
      <c r="O378" s="263"/>
      <c r="P378" s="263"/>
      <c r="Q378" s="270" t="str">
        <f aca="false">IF(AND(ISNUMBER(I378),ISNUMBER(S378)),I378*AJ378,IF(OR(I378&lt;&gt;"",S378&lt;&gt;""),"tbd",""))</f>
        <v/>
      </c>
      <c r="S378" s="268"/>
      <c r="Y378" s="275" t="str">
        <f aca="false">IF(ISNUMBER(I378),I378/Netto_Faktor,"")</f>
        <v/>
      </c>
      <c r="Z378" s="275" t="str">
        <f aca="false">IF(B378="","",IF(COUNT(J378:N378)=0,"",SUM(J378:N378)))</f>
        <v/>
      </c>
      <c r="AA378" s="266"/>
      <c r="AB378" s="266"/>
      <c r="AC378" s="266"/>
      <c r="AD378" s="266"/>
      <c r="AE378" s="266"/>
      <c r="AF378" s="266"/>
      <c r="AG378" s="267"/>
      <c r="AH378" s="266" t="str">
        <f aca="false">IF(B378="","",IF(BA378="",IF(R378="WON","✅ belegt &amp; vollständig","✔ vollständig"),LEFT(BA378,LEN(BA378)-3)))</f>
        <v/>
      </c>
      <c r="AJ378" s="268" t="n">
        <f aca="false">IF(ISNUMBER(S378),IFERROR(LOOKUP(IF(S378&lt;=1,S378,S378/100),'⚖️ Wahrscheinlichkeit'!$B$17:$B$21,'⚖️ Wahrscheinlichkeit'!$D$17:$D$21),0),0)</f>
        <v>0</v>
      </c>
      <c r="AK378" s="1" t="str">
        <f aca="false">IF(AND(R378="WON",ISNUMBER(I378)),AL378+(861-ROW())*0.000001,"")</f>
        <v/>
      </c>
      <c r="AL378" s="1" t="n">
        <f aca="false">IFERROR(I378*1,0)</f>
        <v>0</v>
      </c>
      <c r="AM378" s="1" t="n">
        <f aca="false">N(AM377)+IF(AND(R378="WON",B378&lt;&gt;""),1,0)</f>
        <v>12</v>
      </c>
      <c r="AN378" s="1" t="n">
        <f aca="false">N(AN377)+IF(AND(OR(R378="offered",R378="to be offered",R378="on hold"),B378&lt;&gt;""),1,0)</f>
        <v>33</v>
      </c>
      <c r="AO378" s="1" t="n">
        <f aca="false">N(AO377)+IF(AND(OR(R378="follow-up",R378="Evaluation",R378="tbd",R378="In evaluation"),B378&lt;&gt;""),1,0)</f>
        <v>1</v>
      </c>
      <c r="AP378" s="1" t="n">
        <f aca="false">IF(B378="",0,IF(COUNTIF('⚖️ Wahrscheinlichkeit'!$J$17:$J$24,R378)&gt;0,1,0))</f>
        <v>0</v>
      </c>
      <c r="AQ378" s="1" t="n">
        <f aca="false">IF(B378="",0,IF(AND(ISNUMBER(S378),COUNTIF('⚖️ Wahrscheinlichkeit'!$B$6:$B$11,S378)&gt;0),1,0))</f>
        <v>0</v>
      </c>
      <c r="AR378" s="1" t="n">
        <f aca="false">IF(B378="",0,IF(AND(COUNT(J378:M378)=4,SUM(J378:M378)&gt;0),1,0))</f>
        <v>0</v>
      </c>
      <c r="AS378" s="1" t="n">
        <f aca="false">IF(B378="",0,IF(AND(AF378&lt;&gt;"",AG378&lt;&gt;""),1,0))</f>
        <v>0</v>
      </c>
      <c r="AT378" s="1" t="n">
        <f aca="false">IF(AND(R378="WON",AS378=1,AR378=1),1,0)</f>
        <v>0</v>
      </c>
      <c r="AU378" s="1" t="n">
        <f aca="false">IF(B378="",0,IF(AD378="Alternative – zählt nicht",0,1))</f>
        <v>0</v>
      </c>
      <c r="AV378" s="1" t="n">
        <f aca="false">IF(B378="",0,IF(COUNTIF($B$6:$B$860,B378)&gt;1,1,0))</f>
        <v>0</v>
      </c>
      <c r="AX378" s="269" t="str">
        <f aca="false">IF(AY378=1,DATE(YEAR(O378),MONTH(O378),1),"")</f>
        <v/>
      </c>
      <c r="AY378" s="1" t="n">
        <f aca="false">IF(B378="",0,IF(AND(ISNUMBER(O378),ISNUMBER(P378)),IF(P378&gt;=O378,1,0),0))</f>
        <v>0</v>
      </c>
      <c r="AZ378" s="1" t="n">
        <f aca="false">IF(ISNUMBER(Y378),Y378,0)</f>
        <v>0</v>
      </c>
      <c r="BA378" s="1" t="str">
        <f aca="false">IF(B378="","",IF(AND(R378="WON",AS378=0),"⛔ Beleg fehlt · ","")&amp;IF(AND(R378="WON",AR378=0),"⛔ Einstand fehlt · ","")&amp;IF(AND(R378&lt;&gt;"WON",AR378=0),"○ Einstand offen · ","")&amp;IF(AND(R378="WON",AB378=""),"⛔ Vertragsart fehlt · ","")&amp;IF(AND(ISNUMBER(O378),ISNUMBER(P378)),IF(P378&lt;O378,"⚠ Ende vor Start · ",""),"")&amp;IF(AND(R378="WON",AY378=0,NOT(AND(ISNUMBER(O378),ISNUMBER(P378)))),"⛔ Zeitraum fehlt · ","")&amp;IF(AND(R378&lt;&gt;"WON",AY378=0,NOT(AND(ISNUMBER(O378),ISNUMBER(P378)))),"○ Zeitraum offen · ",""))</f>
        <v/>
      </c>
      <c r="BB378" s="1" t="str">
        <f aca="false">IF(B378="","",IF(AND(R378="WON",AS378=0),"⛔ Nachweis fehlt",IF(AND(ISNUMBER(O378),ISNUMBER(P378),P378&lt;O378),"⚠ Ende vor Start",IF(AND(R378="WON",AY378=0),"⛔ Zeitraum fehlt",IF(AR378=0,"○ Einstand offen",IF(AY378=0,"○ Zeitraum offen",IF(R378="WON","✅ belegt","✔ erfasst")))))))</f>
        <v/>
      </c>
    </row>
    <row r="379" customFormat="false" ht="15" hidden="false" customHeight="true" outlineLevel="0" collapsed="false">
      <c r="G379" s="1" t="str">
        <f aca="false">IF(B379="","",IF(AY379=1,P379-O379+1,IF(AW379="","",AW379)))</f>
        <v/>
      </c>
      <c r="I379" s="270"/>
      <c r="J379" s="270"/>
      <c r="K379" s="270"/>
      <c r="L379" s="270"/>
      <c r="M379" s="270"/>
      <c r="N379" s="270"/>
      <c r="O379" s="263"/>
      <c r="P379" s="263"/>
      <c r="Q379" s="270" t="str">
        <f aca="false">IF(AND(ISNUMBER(I379),ISNUMBER(S379)),I379*AJ379,IF(OR(I379&lt;&gt;"",S379&lt;&gt;""),"tbd",""))</f>
        <v/>
      </c>
      <c r="S379" s="268"/>
      <c r="Y379" s="275" t="str">
        <f aca="false">IF(ISNUMBER(I379),I379/Netto_Faktor,"")</f>
        <v/>
      </c>
      <c r="Z379" s="275" t="str">
        <f aca="false">IF(B379="","",IF(COUNT(J379:N379)=0,"",SUM(J379:N379)))</f>
        <v/>
      </c>
      <c r="AA379" s="266"/>
      <c r="AB379" s="266"/>
      <c r="AC379" s="266"/>
      <c r="AD379" s="266"/>
      <c r="AE379" s="266"/>
      <c r="AF379" s="266"/>
      <c r="AG379" s="267"/>
      <c r="AH379" s="266" t="str">
        <f aca="false">IF(B379="","",IF(BA379="",IF(R379="WON","✅ belegt &amp; vollständig","✔ vollständig"),LEFT(BA379,LEN(BA379)-3)))</f>
        <v/>
      </c>
      <c r="AJ379" s="268" t="n">
        <f aca="false">IF(ISNUMBER(S379),IFERROR(LOOKUP(IF(S379&lt;=1,S379,S379/100),'⚖️ Wahrscheinlichkeit'!$B$17:$B$21,'⚖️ Wahrscheinlichkeit'!$D$17:$D$21),0),0)</f>
        <v>0</v>
      </c>
      <c r="AK379" s="1" t="str">
        <f aca="false">IF(AND(R379="WON",ISNUMBER(I379)),AL379+(861-ROW())*0.000001,"")</f>
        <v/>
      </c>
      <c r="AL379" s="1" t="n">
        <f aca="false">IFERROR(I379*1,0)</f>
        <v>0</v>
      </c>
      <c r="AM379" s="1" t="n">
        <f aca="false">N(AM378)+IF(AND(R379="WON",B379&lt;&gt;""),1,0)</f>
        <v>12</v>
      </c>
      <c r="AN379" s="1" t="n">
        <f aca="false">N(AN378)+IF(AND(OR(R379="offered",R379="to be offered",R379="on hold"),B379&lt;&gt;""),1,0)</f>
        <v>33</v>
      </c>
      <c r="AO379" s="1" t="n">
        <f aca="false">N(AO378)+IF(AND(OR(R379="follow-up",R379="Evaluation",R379="tbd",R379="In evaluation"),B379&lt;&gt;""),1,0)</f>
        <v>1</v>
      </c>
      <c r="AP379" s="1" t="n">
        <f aca="false">IF(B379="",0,IF(COUNTIF('⚖️ Wahrscheinlichkeit'!$J$17:$J$24,R379)&gt;0,1,0))</f>
        <v>0</v>
      </c>
      <c r="AQ379" s="1" t="n">
        <f aca="false">IF(B379="",0,IF(AND(ISNUMBER(S379),COUNTIF('⚖️ Wahrscheinlichkeit'!$B$6:$B$11,S379)&gt;0),1,0))</f>
        <v>0</v>
      </c>
      <c r="AR379" s="1" t="n">
        <f aca="false">IF(B379="",0,IF(AND(COUNT(J379:M379)=4,SUM(J379:M379)&gt;0),1,0))</f>
        <v>0</v>
      </c>
      <c r="AS379" s="1" t="n">
        <f aca="false">IF(B379="",0,IF(AND(AF379&lt;&gt;"",AG379&lt;&gt;""),1,0))</f>
        <v>0</v>
      </c>
      <c r="AT379" s="1" t="n">
        <f aca="false">IF(AND(R379="WON",AS379=1,AR379=1),1,0)</f>
        <v>0</v>
      </c>
      <c r="AU379" s="1" t="n">
        <f aca="false">IF(B379="",0,IF(AD379="Alternative – zählt nicht",0,1))</f>
        <v>0</v>
      </c>
      <c r="AV379" s="1" t="n">
        <f aca="false">IF(B379="",0,IF(COUNTIF($B$6:$B$860,B379)&gt;1,1,0))</f>
        <v>0</v>
      </c>
      <c r="AX379" s="269" t="str">
        <f aca="false">IF(AY379=1,DATE(YEAR(O379),MONTH(O379),1),"")</f>
        <v/>
      </c>
      <c r="AY379" s="1" t="n">
        <f aca="false">IF(B379="",0,IF(AND(ISNUMBER(O379),ISNUMBER(P379)),IF(P379&gt;=O379,1,0),0))</f>
        <v>0</v>
      </c>
      <c r="AZ379" s="1" t="n">
        <f aca="false">IF(ISNUMBER(Y379),Y379,0)</f>
        <v>0</v>
      </c>
      <c r="BA379" s="1" t="str">
        <f aca="false">IF(B379="","",IF(AND(R379="WON",AS379=0),"⛔ Beleg fehlt · ","")&amp;IF(AND(R379="WON",AR379=0),"⛔ Einstand fehlt · ","")&amp;IF(AND(R379&lt;&gt;"WON",AR379=0),"○ Einstand offen · ","")&amp;IF(AND(R379="WON",AB379=""),"⛔ Vertragsart fehlt · ","")&amp;IF(AND(ISNUMBER(O379),ISNUMBER(P379)),IF(P379&lt;O379,"⚠ Ende vor Start · ",""),"")&amp;IF(AND(R379="WON",AY379=0,NOT(AND(ISNUMBER(O379),ISNUMBER(P379)))),"⛔ Zeitraum fehlt · ","")&amp;IF(AND(R379&lt;&gt;"WON",AY379=0,NOT(AND(ISNUMBER(O379),ISNUMBER(P379)))),"○ Zeitraum offen · ",""))</f>
        <v/>
      </c>
      <c r="BB379" s="1" t="str">
        <f aca="false">IF(B379="","",IF(AND(R379="WON",AS379=0),"⛔ Nachweis fehlt",IF(AND(ISNUMBER(O379),ISNUMBER(P379),P379&lt;O379),"⚠ Ende vor Start",IF(AND(R379="WON",AY379=0),"⛔ Zeitraum fehlt",IF(AR379=0,"○ Einstand offen",IF(AY379=0,"○ Zeitraum offen",IF(R379="WON","✅ belegt","✔ erfasst")))))))</f>
        <v/>
      </c>
    </row>
    <row r="380" customFormat="false" ht="15" hidden="false" customHeight="true" outlineLevel="0" collapsed="false">
      <c r="G380" s="1" t="str">
        <f aca="false">IF(B380="","",IF(AY380=1,P380-O380+1,IF(AW380="","",AW380)))</f>
        <v/>
      </c>
      <c r="I380" s="270"/>
      <c r="J380" s="270"/>
      <c r="K380" s="270"/>
      <c r="L380" s="270"/>
      <c r="M380" s="270"/>
      <c r="N380" s="270"/>
      <c r="O380" s="263"/>
      <c r="P380" s="263"/>
      <c r="Q380" s="270" t="str">
        <f aca="false">IF(AND(ISNUMBER(I380),ISNUMBER(S380)),I380*AJ380,IF(OR(I380&lt;&gt;"",S380&lt;&gt;""),"tbd",""))</f>
        <v/>
      </c>
      <c r="S380" s="268"/>
      <c r="Y380" s="275" t="str">
        <f aca="false">IF(ISNUMBER(I380),I380/Netto_Faktor,"")</f>
        <v/>
      </c>
      <c r="Z380" s="275" t="str">
        <f aca="false">IF(B380="","",IF(COUNT(J380:N380)=0,"",SUM(J380:N380)))</f>
        <v/>
      </c>
      <c r="AA380" s="266"/>
      <c r="AB380" s="266"/>
      <c r="AC380" s="266"/>
      <c r="AD380" s="266"/>
      <c r="AE380" s="266"/>
      <c r="AF380" s="266"/>
      <c r="AG380" s="267"/>
      <c r="AH380" s="266" t="str">
        <f aca="false">IF(B380="","",IF(BA380="",IF(R380="WON","✅ belegt &amp; vollständig","✔ vollständig"),LEFT(BA380,LEN(BA380)-3)))</f>
        <v/>
      </c>
      <c r="AJ380" s="268" t="n">
        <f aca="false">IF(ISNUMBER(S380),IFERROR(LOOKUP(IF(S380&lt;=1,S380,S380/100),'⚖️ Wahrscheinlichkeit'!$B$17:$B$21,'⚖️ Wahrscheinlichkeit'!$D$17:$D$21),0),0)</f>
        <v>0</v>
      </c>
      <c r="AK380" s="1" t="str">
        <f aca="false">IF(AND(R380="WON",ISNUMBER(I380)),AL380+(861-ROW())*0.000001,"")</f>
        <v/>
      </c>
      <c r="AL380" s="1" t="n">
        <f aca="false">IFERROR(I380*1,0)</f>
        <v>0</v>
      </c>
      <c r="AM380" s="1" t="n">
        <f aca="false">N(AM379)+IF(AND(R380="WON",B380&lt;&gt;""),1,0)</f>
        <v>12</v>
      </c>
      <c r="AN380" s="1" t="n">
        <f aca="false">N(AN379)+IF(AND(OR(R380="offered",R380="to be offered",R380="on hold"),B380&lt;&gt;""),1,0)</f>
        <v>33</v>
      </c>
      <c r="AO380" s="1" t="n">
        <f aca="false">N(AO379)+IF(AND(OR(R380="follow-up",R380="Evaluation",R380="tbd",R380="In evaluation"),B380&lt;&gt;""),1,0)</f>
        <v>1</v>
      </c>
      <c r="AP380" s="1" t="n">
        <f aca="false">IF(B380="",0,IF(COUNTIF('⚖️ Wahrscheinlichkeit'!$J$17:$J$24,R380)&gt;0,1,0))</f>
        <v>0</v>
      </c>
      <c r="AQ380" s="1" t="n">
        <f aca="false">IF(B380="",0,IF(AND(ISNUMBER(S380),COUNTIF('⚖️ Wahrscheinlichkeit'!$B$6:$B$11,S380)&gt;0),1,0))</f>
        <v>0</v>
      </c>
      <c r="AR380" s="1" t="n">
        <f aca="false">IF(B380="",0,IF(AND(COUNT(J380:M380)=4,SUM(J380:M380)&gt;0),1,0))</f>
        <v>0</v>
      </c>
      <c r="AS380" s="1" t="n">
        <f aca="false">IF(B380="",0,IF(AND(AF380&lt;&gt;"",AG380&lt;&gt;""),1,0))</f>
        <v>0</v>
      </c>
      <c r="AT380" s="1" t="n">
        <f aca="false">IF(AND(R380="WON",AS380=1,AR380=1),1,0)</f>
        <v>0</v>
      </c>
      <c r="AU380" s="1" t="n">
        <f aca="false">IF(B380="",0,IF(AD380="Alternative – zählt nicht",0,1))</f>
        <v>0</v>
      </c>
      <c r="AV380" s="1" t="n">
        <f aca="false">IF(B380="",0,IF(COUNTIF($B$6:$B$860,B380)&gt;1,1,0))</f>
        <v>0</v>
      </c>
      <c r="AX380" s="269" t="str">
        <f aca="false">IF(AY380=1,DATE(YEAR(O380),MONTH(O380),1),"")</f>
        <v/>
      </c>
      <c r="AY380" s="1" t="n">
        <f aca="false">IF(B380="",0,IF(AND(ISNUMBER(O380),ISNUMBER(P380)),IF(P380&gt;=O380,1,0),0))</f>
        <v>0</v>
      </c>
      <c r="AZ380" s="1" t="n">
        <f aca="false">IF(ISNUMBER(Y380),Y380,0)</f>
        <v>0</v>
      </c>
      <c r="BA380" s="1" t="str">
        <f aca="false">IF(B380="","",IF(AND(R380="WON",AS380=0),"⛔ Beleg fehlt · ","")&amp;IF(AND(R380="WON",AR380=0),"⛔ Einstand fehlt · ","")&amp;IF(AND(R380&lt;&gt;"WON",AR380=0),"○ Einstand offen · ","")&amp;IF(AND(R380="WON",AB380=""),"⛔ Vertragsart fehlt · ","")&amp;IF(AND(ISNUMBER(O380),ISNUMBER(P380)),IF(P380&lt;O380,"⚠ Ende vor Start · ",""),"")&amp;IF(AND(R380="WON",AY380=0,NOT(AND(ISNUMBER(O380),ISNUMBER(P380)))),"⛔ Zeitraum fehlt · ","")&amp;IF(AND(R380&lt;&gt;"WON",AY380=0,NOT(AND(ISNUMBER(O380),ISNUMBER(P380)))),"○ Zeitraum offen · ",""))</f>
        <v/>
      </c>
      <c r="BB380" s="1" t="str">
        <f aca="false">IF(B380="","",IF(AND(R380="WON",AS380=0),"⛔ Nachweis fehlt",IF(AND(ISNUMBER(O380),ISNUMBER(P380),P380&lt;O380),"⚠ Ende vor Start",IF(AND(R380="WON",AY380=0),"⛔ Zeitraum fehlt",IF(AR380=0,"○ Einstand offen",IF(AY380=0,"○ Zeitraum offen",IF(R380="WON","✅ belegt","✔ erfasst")))))))</f>
        <v/>
      </c>
    </row>
    <row r="381" customFormat="false" ht="15" hidden="false" customHeight="true" outlineLevel="0" collapsed="false">
      <c r="G381" s="1" t="str">
        <f aca="false">IF(B381="","",IF(AY381=1,P381-O381+1,IF(AW381="","",AW381)))</f>
        <v/>
      </c>
      <c r="I381" s="270"/>
      <c r="J381" s="270"/>
      <c r="K381" s="270"/>
      <c r="L381" s="270"/>
      <c r="M381" s="270"/>
      <c r="N381" s="270"/>
      <c r="O381" s="263"/>
      <c r="P381" s="263"/>
      <c r="Q381" s="270" t="str">
        <f aca="false">IF(AND(ISNUMBER(I381),ISNUMBER(S381)),I381*AJ381,IF(OR(I381&lt;&gt;"",S381&lt;&gt;""),"tbd",""))</f>
        <v/>
      </c>
      <c r="S381" s="268"/>
      <c r="Y381" s="275" t="str">
        <f aca="false">IF(ISNUMBER(I381),I381/Netto_Faktor,"")</f>
        <v/>
      </c>
      <c r="Z381" s="275" t="str">
        <f aca="false">IF(B381="","",IF(COUNT(J381:N381)=0,"",SUM(J381:N381)))</f>
        <v/>
      </c>
      <c r="AA381" s="266"/>
      <c r="AB381" s="266"/>
      <c r="AC381" s="266"/>
      <c r="AD381" s="266"/>
      <c r="AE381" s="266"/>
      <c r="AF381" s="266"/>
      <c r="AG381" s="267"/>
      <c r="AH381" s="266" t="str">
        <f aca="false">IF(B381="","",IF(BA381="",IF(R381="WON","✅ belegt &amp; vollständig","✔ vollständig"),LEFT(BA381,LEN(BA381)-3)))</f>
        <v/>
      </c>
      <c r="AJ381" s="268" t="n">
        <f aca="false">IF(ISNUMBER(S381),IFERROR(LOOKUP(IF(S381&lt;=1,S381,S381/100),'⚖️ Wahrscheinlichkeit'!$B$17:$B$21,'⚖️ Wahrscheinlichkeit'!$D$17:$D$21),0),0)</f>
        <v>0</v>
      </c>
      <c r="AK381" s="1" t="str">
        <f aca="false">IF(AND(R381="WON",ISNUMBER(I381)),AL381+(861-ROW())*0.000001,"")</f>
        <v/>
      </c>
      <c r="AL381" s="1" t="n">
        <f aca="false">IFERROR(I381*1,0)</f>
        <v>0</v>
      </c>
      <c r="AM381" s="1" t="n">
        <f aca="false">N(AM380)+IF(AND(R381="WON",B381&lt;&gt;""),1,0)</f>
        <v>12</v>
      </c>
      <c r="AN381" s="1" t="n">
        <f aca="false">N(AN380)+IF(AND(OR(R381="offered",R381="to be offered",R381="on hold"),B381&lt;&gt;""),1,0)</f>
        <v>33</v>
      </c>
      <c r="AO381" s="1" t="n">
        <f aca="false">N(AO380)+IF(AND(OR(R381="follow-up",R381="Evaluation",R381="tbd",R381="In evaluation"),B381&lt;&gt;""),1,0)</f>
        <v>1</v>
      </c>
      <c r="AP381" s="1" t="n">
        <f aca="false">IF(B381="",0,IF(COUNTIF('⚖️ Wahrscheinlichkeit'!$J$17:$J$24,R381)&gt;0,1,0))</f>
        <v>0</v>
      </c>
      <c r="AQ381" s="1" t="n">
        <f aca="false">IF(B381="",0,IF(AND(ISNUMBER(S381),COUNTIF('⚖️ Wahrscheinlichkeit'!$B$6:$B$11,S381)&gt;0),1,0))</f>
        <v>0</v>
      </c>
      <c r="AR381" s="1" t="n">
        <f aca="false">IF(B381="",0,IF(AND(COUNT(J381:M381)=4,SUM(J381:M381)&gt;0),1,0))</f>
        <v>0</v>
      </c>
      <c r="AS381" s="1" t="n">
        <f aca="false">IF(B381="",0,IF(AND(AF381&lt;&gt;"",AG381&lt;&gt;""),1,0))</f>
        <v>0</v>
      </c>
      <c r="AT381" s="1" t="n">
        <f aca="false">IF(AND(R381="WON",AS381=1,AR381=1),1,0)</f>
        <v>0</v>
      </c>
      <c r="AU381" s="1" t="n">
        <f aca="false">IF(B381="",0,IF(AD381="Alternative – zählt nicht",0,1))</f>
        <v>0</v>
      </c>
      <c r="AV381" s="1" t="n">
        <f aca="false">IF(B381="",0,IF(COUNTIF($B$6:$B$860,B381)&gt;1,1,0))</f>
        <v>0</v>
      </c>
      <c r="AX381" s="269" t="str">
        <f aca="false">IF(AY381=1,DATE(YEAR(O381),MONTH(O381),1),"")</f>
        <v/>
      </c>
      <c r="AY381" s="1" t="n">
        <f aca="false">IF(B381="",0,IF(AND(ISNUMBER(O381),ISNUMBER(P381)),IF(P381&gt;=O381,1,0),0))</f>
        <v>0</v>
      </c>
      <c r="AZ381" s="1" t="n">
        <f aca="false">IF(ISNUMBER(Y381),Y381,0)</f>
        <v>0</v>
      </c>
      <c r="BA381" s="1" t="str">
        <f aca="false">IF(B381="","",IF(AND(R381="WON",AS381=0),"⛔ Beleg fehlt · ","")&amp;IF(AND(R381="WON",AR381=0),"⛔ Einstand fehlt · ","")&amp;IF(AND(R381&lt;&gt;"WON",AR381=0),"○ Einstand offen · ","")&amp;IF(AND(R381="WON",AB381=""),"⛔ Vertragsart fehlt · ","")&amp;IF(AND(ISNUMBER(O381),ISNUMBER(P381)),IF(P381&lt;O381,"⚠ Ende vor Start · ",""),"")&amp;IF(AND(R381="WON",AY381=0,NOT(AND(ISNUMBER(O381),ISNUMBER(P381)))),"⛔ Zeitraum fehlt · ","")&amp;IF(AND(R381&lt;&gt;"WON",AY381=0,NOT(AND(ISNUMBER(O381),ISNUMBER(P381)))),"○ Zeitraum offen · ",""))</f>
        <v/>
      </c>
      <c r="BB381" s="1" t="str">
        <f aca="false">IF(B381="","",IF(AND(R381="WON",AS381=0),"⛔ Nachweis fehlt",IF(AND(ISNUMBER(O381),ISNUMBER(P381),P381&lt;O381),"⚠ Ende vor Start",IF(AND(R381="WON",AY381=0),"⛔ Zeitraum fehlt",IF(AR381=0,"○ Einstand offen",IF(AY381=0,"○ Zeitraum offen",IF(R381="WON","✅ belegt","✔ erfasst")))))))</f>
        <v/>
      </c>
    </row>
    <row r="382" customFormat="false" ht="15" hidden="false" customHeight="true" outlineLevel="0" collapsed="false">
      <c r="G382" s="1" t="str">
        <f aca="false">IF(B382="","",IF(AY382=1,P382-O382+1,IF(AW382="","",AW382)))</f>
        <v/>
      </c>
      <c r="I382" s="270"/>
      <c r="J382" s="270"/>
      <c r="K382" s="270"/>
      <c r="L382" s="270"/>
      <c r="M382" s="270"/>
      <c r="N382" s="270"/>
      <c r="O382" s="263"/>
      <c r="P382" s="263"/>
      <c r="Q382" s="270" t="str">
        <f aca="false">IF(AND(ISNUMBER(I382),ISNUMBER(S382)),I382*AJ382,IF(OR(I382&lt;&gt;"",S382&lt;&gt;""),"tbd",""))</f>
        <v/>
      </c>
      <c r="S382" s="268"/>
      <c r="Y382" s="275" t="str">
        <f aca="false">IF(ISNUMBER(I382),I382/Netto_Faktor,"")</f>
        <v/>
      </c>
      <c r="Z382" s="275" t="str">
        <f aca="false">IF(B382="","",IF(COUNT(J382:N382)=0,"",SUM(J382:N382)))</f>
        <v/>
      </c>
      <c r="AA382" s="266"/>
      <c r="AB382" s="266"/>
      <c r="AC382" s="266"/>
      <c r="AD382" s="266"/>
      <c r="AE382" s="266"/>
      <c r="AF382" s="266"/>
      <c r="AG382" s="267"/>
      <c r="AH382" s="266" t="str">
        <f aca="false">IF(B382="","",IF(BA382="",IF(R382="WON","✅ belegt &amp; vollständig","✔ vollständig"),LEFT(BA382,LEN(BA382)-3)))</f>
        <v/>
      </c>
      <c r="AJ382" s="268" t="n">
        <f aca="false">IF(ISNUMBER(S382),IFERROR(LOOKUP(IF(S382&lt;=1,S382,S382/100),'⚖️ Wahrscheinlichkeit'!$B$17:$B$21,'⚖️ Wahrscheinlichkeit'!$D$17:$D$21),0),0)</f>
        <v>0</v>
      </c>
      <c r="AK382" s="1" t="str">
        <f aca="false">IF(AND(R382="WON",ISNUMBER(I382)),AL382+(861-ROW())*0.000001,"")</f>
        <v/>
      </c>
      <c r="AL382" s="1" t="n">
        <f aca="false">IFERROR(I382*1,0)</f>
        <v>0</v>
      </c>
      <c r="AM382" s="1" t="n">
        <f aca="false">N(AM381)+IF(AND(R382="WON",B382&lt;&gt;""),1,0)</f>
        <v>12</v>
      </c>
      <c r="AN382" s="1" t="n">
        <f aca="false">N(AN381)+IF(AND(OR(R382="offered",R382="to be offered",R382="on hold"),B382&lt;&gt;""),1,0)</f>
        <v>33</v>
      </c>
      <c r="AO382" s="1" t="n">
        <f aca="false">N(AO381)+IF(AND(OR(R382="follow-up",R382="Evaluation",R382="tbd",R382="In evaluation"),B382&lt;&gt;""),1,0)</f>
        <v>1</v>
      </c>
      <c r="AP382" s="1" t="n">
        <f aca="false">IF(B382="",0,IF(COUNTIF('⚖️ Wahrscheinlichkeit'!$J$17:$J$24,R382)&gt;0,1,0))</f>
        <v>0</v>
      </c>
      <c r="AQ382" s="1" t="n">
        <f aca="false">IF(B382="",0,IF(AND(ISNUMBER(S382),COUNTIF('⚖️ Wahrscheinlichkeit'!$B$6:$B$11,S382)&gt;0),1,0))</f>
        <v>0</v>
      </c>
      <c r="AR382" s="1" t="n">
        <f aca="false">IF(B382="",0,IF(AND(COUNT(J382:M382)=4,SUM(J382:M382)&gt;0),1,0))</f>
        <v>0</v>
      </c>
      <c r="AS382" s="1" t="n">
        <f aca="false">IF(B382="",0,IF(AND(AF382&lt;&gt;"",AG382&lt;&gt;""),1,0))</f>
        <v>0</v>
      </c>
      <c r="AT382" s="1" t="n">
        <f aca="false">IF(AND(R382="WON",AS382=1,AR382=1),1,0)</f>
        <v>0</v>
      </c>
      <c r="AU382" s="1" t="n">
        <f aca="false">IF(B382="",0,IF(AD382="Alternative – zählt nicht",0,1))</f>
        <v>0</v>
      </c>
      <c r="AV382" s="1" t="n">
        <f aca="false">IF(B382="",0,IF(COUNTIF($B$6:$B$860,B382)&gt;1,1,0))</f>
        <v>0</v>
      </c>
      <c r="AX382" s="269" t="str">
        <f aca="false">IF(AY382=1,DATE(YEAR(O382),MONTH(O382),1),"")</f>
        <v/>
      </c>
      <c r="AY382" s="1" t="n">
        <f aca="false">IF(B382="",0,IF(AND(ISNUMBER(O382),ISNUMBER(P382)),IF(P382&gt;=O382,1,0),0))</f>
        <v>0</v>
      </c>
      <c r="AZ382" s="1" t="n">
        <f aca="false">IF(ISNUMBER(Y382),Y382,0)</f>
        <v>0</v>
      </c>
      <c r="BA382" s="1" t="str">
        <f aca="false">IF(B382="","",IF(AND(R382="WON",AS382=0),"⛔ Beleg fehlt · ","")&amp;IF(AND(R382="WON",AR382=0),"⛔ Einstand fehlt · ","")&amp;IF(AND(R382&lt;&gt;"WON",AR382=0),"○ Einstand offen · ","")&amp;IF(AND(R382="WON",AB382=""),"⛔ Vertragsart fehlt · ","")&amp;IF(AND(ISNUMBER(O382),ISNUMBER(P382)),IF(P382&lt;O382,"⚠ Ende vor Start · ",""),"")&amp;IF(AND(R382="WON",AY382=0,NOT(AND(ISNUMBER(O382),ISNUMBER(P382)))),"⛔ Zeitraum fehlt · ","")&amp;IF(AND(R382&lt;&gt;"WON",AY382=0,NOT(AND(ISNUMBER(O382),ISNUMBER(P382)))),"○ Zeitraum offen · ",""))</f>
        <v/>
      </c>
      <c r="BB382" s="1" t="str">
        <f aca="false">IF(B382="","",IF(AND(R382="WON",AS382=0),"⛔ Nachweis fehlt",IF(AND(ISNUMBER(O382),ISNUMBER(P382),P382&lt;O382),"⚠ Ende vor Start",IF(AND(R382="WON",AY382=0),"⛔ Zeitraum fehlt",IF(AR382=0,"○ Einstand offen",IF(AY382=0,"○ Zeitraum offen",IF(R382="WON","✅ belegt","✔ erfasst")))))))</f>
        <v/>
      </c>
    </row>
    <row r="383" customFormat="false" ht="15" hidden="false" customHeight="true" outlineLevel="0" collapsed="false">
      <c r="G383" s="1" t="str">
        <f aca="false">IF(B383="","",IF(AY383=1,P383-O383+1,IF(AW383="","",AW383)))</f>
        <v/>
      </c>
      <c r="I383" s="270"/>
      <c r="J383" s="270"/>
      <c r="K383" s="270"/>
      <c r="L383" s="270"/>
      <c r="M383" s="270"/>
      <c r="N383" s="270"/>
      <c r="O383" s="263"/>
      <c r="P383" s="263"/>
      <c r="Q383" s="270" t="str">
        <f aca="false">IF(AND(ISNUMBER(I383),ISNUMBER(S383)),I383*AJ383,IF(OR(I383&lt;&gt;"",S383&lt;&gt;""),"tbd",""))</f>
        <v/>
      </c>
      <c r="S383" s="268"/>
      <c r="Y383" s="275" t="str">
        <f aca="false">IF(ISNUMBER(I383),I383/Netto_Faktor,"")</f>
        <v/>
      </c>
      <c r="Z383" s="275" t="str">
        <f aca="false">IF(B383="","",IF(COUNT(J383:N383)=0,"",SUM(J383:N383)))</f>
        <v/>
      </c>
      <c r="AA383" s="266"/>
      <c r="AB383" s="266"/>
      <c r="AC383" s="266"/>
      <c r="AD383" s="266"/>
      <c r="AE383" s="266"/>
      <c r="AF383" s="266"/>
      <c r="AG383" s="267"/>
      <c r="AH383" s="266" t="str">
        <f aca="false">IF(B383="","",IF(BA383="",IF(R383="WON","✅ belegt &amp; vollständig","✔ vollständig"),LEFT(BA383,LEN(BA383)-3)))</f>
        <v/>
      </c>
      <c r="AJ383" s="268" t="n">
        <f aca="false">IF(ISNUMBER(S383),IFERROR(LOOKUP(IF(S383&lt;=1,S383,S383/100),'⚖️ Wahrscheinlichkeit'!$B$17:$B$21,'⚖️ Wahrscheinlichkeit'!$D$17:$D$21),0),0)</f>
        <v>0</v>
      </c>
      <c r="AK383" s="1" t="str">
        <f aca="false">IF(AND(R383="WON",ISNUMBER(I383)),AL383+(861-ROW())*0.000001,"")</f>
        <v/>
      </c>
      <c r="AL383" s="1" t="n">
        <f aca="false">IFERROR(I383*1,0)</f>
        <v>0</v>
      </c>
      <c r="AM383" s="1" t="n">
        <f aca="false">N(AM382)+IF(AND(R383="WON",B383&lt;&gt;""),1,0)</f>
        <v>12</v>
      </c>
      <c r="AN383" s="1" t="n">
        <f aca="false">N(AN382)+IF(AND(OR(R383="offered",R383="to be offered",R383="on hold"),B383&lt;&gt;""),1,0)</f>
        <v>33</v>
      </c>
      <c r="AO383" s="1" t="n">
        <f aca="false">N(AO382)+IF(AND(OR(R383="follow-up",R383="Evaluation",R383="tbd",R383="In evaluation"),B383&lt;&gt;""),1,0)</f>
        <v>1</v>
      </c>
      <c r="AP383" s="1" t="n">
        <f aca="false">IF(B383="",0,IF(COUNTIF('⚖️ Wahrscheinlichkeit'!$J$17:$J$24,R383)&gt;0,1,0))</f>
        <v>0</v>
      </c>
      <c r="AQ383" s="1" t="n">
        <f aca="false">IF(B383="",0,IF(AND(ISNUMBER(S383),COUNTIF('⚖️ Wahrscheinlichkeit'!$B$6:$B$11,S383)&gt;0),1,0))</f>
        <v>0</v>
      </c>
      <c r="AR383" s="1" t="n">
        <f aca="false">IF(B383="",0,IF(AND(COUNT(J383:M383)=4,SUM(J383:M383)&gt;0),1,0))</f>
        <v>0</v>
      </c>
      <c r="AS383" s="1" t="n">
        <f aca="false">IF(B383="",0,IF(AND(AF383&lt;&gt;"",AG383&lt;&gt;""),1,0))</f>
        <v>0</v>
      </c>
      <c r="AT383" s="1" t="n">
        <f aca="false">IF(AND(R383="WON",AS383=1,AR383=1),1,0)</f>
        <v>0</v>
      </c>
      <c r="AU383" s="1" t="n">
        <f aca="false">IF(B383="",0,IF(AD383="Alternative – zählt nicht",0,1))</f>
        <v>0</v>
      </c>
      <c r="AV383" s="1" t="n">
        <f aca="false">IF(B383="",0,IF(COUNTIF($B$6:$B$860,B383)&gt;1,1,0))</f>
        <v>0</v>
      </c>
      <c r="AX383" s="269" t="str">
        <f aca="false">IF(AY383=1,DATE(YEAR(O383),MONTH(O383),1),"")</f>
        <v/>
      </c>
      <c r="AY383" s="1" t="n">
        <f aca="false">IF(B383="",0,IF(AND(ISNUMBER(O383),ISNUMBER(P383)),IF(P383&gt;=O383,1,0),0))</f>
        <v>0</v>
      </c>
      <c r="AZ383" s="1" t="n">
        <f aca="false">IF(ISNUMBER(Y383),Y383,0)</f>
        <v>0</v>
      </c>
      <c r="BA383" s="1" t="str">
        <f aca="false">IF(B383="","",IF(AND(R383="WON",AS383=0),"⛔ Beleg fehlt · ","")&amp;IF(AND(R383="WON",AR383=0),"⛔ Einstand fehlt · ","")&amp;IF(AND(R383&lt;&gt;"WON",AR383=0),"○ Einstand offen · ","")&amp;IF(AND(R383="WON",AB383=""),"⛔ Vertragsart fehlt · ","")&amp;IF(AND(ISNUMBER(O383),ISNUMBER(P383)),IF(P383&lt;O383,"⚠ Ende vor Start · ",""),"")&amp;IF(AND(R383="WON",AY383=0,NOT(AND(ISNUMBER(O383),ISNUMBER(P383)))),"⛔ Zeitraum fehlt · ","")&amp;IF(AND(R383&lt;&gt;"WON",AY383=0,NOT(AND(ISNUMBER(O383),ISNUMBER(P383)))),"○ Zeitraum offen · ",""))</f>
        <v/>
      </c>
      <c r="BB383" s="1" t="str">
        <f aca="false">IF(B383="","",IF(AND(R383="WON",AS383=0),"⛔ Nachweis fehlt",IF(AND(ISNUMBER(O383),ISNUMBER(P383),P383&lt;O383),"⚠ Ende vor Start",IF(AND(R383="WON",AY383=0),"⛔ Zeitraum fehlt",IF(AR383=0,"○ Einstand offen",IF(AY383=0,"○ Zeitraum offen",IF(R383="WON","✅ belegt","✔ erfasst")))))))</f>
        <v/>
      </c>
    </row>
    <row r="384" customFormat="false" ht="15" hidden="false" customHeight="true" outlineLevel="0" collapsed="false">
      <c r="G384" s="1" t="str">
        <f aca="false">IF(B384="","",IF(AY384=1,P384-O384+1,IF(AW384="","",AW384)))</f>
        <v/>
      </c>
      <c r="I384" s="270"/>
      <c r="J384" s="270"/>
      <c r="K384" s="270"/>
      <c r="L384" s="270"/>
      <c r="M384" s="270"/>
      <c r="N384" s="270"/>
      <c r="O384" s="263"/>
      <c r="P384" s="263"/>
      <c r="Q384" s="270" t="str">
        <f aca="false">IF(AND(ISNUMBER(I384),ISNUMBER(S384)),I384*AJ384,IF(OR(I384&lt;&gt;"",S384&lt;&gt;""),"tbd",""))</f>
        <v/>
      </c>
      <c r="S384" s="268"/>
      <c r="Y384" s="275" t="str">
        <f aca="false">IF(ISNUMBER(I384),I384/Netto_Faktor,"")</f>
        <v/>
      </c>
      <c r="Z384" s="275" t="str">
        <f aca="false">IF(B384="","",IF(COUNT(J384:N384)=0,"",SUM(J384:N384)))</f>
        <v/>
      </c>
      <c r="AA384" s="266"/>
      <c r="AB384" s="266"/>
      <c r="AC384" s="266"/>
      <c r="AD384" s="266"/>
      <c r="AE384" s="266"/>
      <c r="AF384" s="266"/>
      <c r="AG384" s="267"/>
      <c r="AH384" s="266" t="str">
        <f aca="false">IF(B384="","",IF(BA384="",IF(R384="WON","✅ belegt &amp; vollständig","✔ vollständig"),LEFT(BA384,LEN(BA384)-3)))</f>
        <v/>
      </c>
      <c r="AJ384" s="268" t="n">
        <f aca="false">IF(ISNUMBER(S384),IFERROR(LOOKUP(IF(S384&lt;=1,S384,S384/100),'⚖️ Wahrscheinlichkeit'!$B$17:$B$21,'⚖️ Wahrscheinlichkeit'!$D$17:$D$21),0),0)</f>
        <v>0</v>
      </c>
      <c r="AK384" s="1" t="str">
        <f aca="false">IF(AND(R384="WON",ISNUMBER(I384)),AL384+(861-ROW())*0.000001,"")</f>
        <v/>
      </c>
      <c r="AL384" s="1" t="n">
        <f aca="false">IFERROR(I384*1,0)</f>
        <v>0</v>
      </c>
      <c r="AM384" s="1" t="n">
        <f aca="false">N(AM383)+IF(AND(R384="WON",B384&lt;&gt;""),1,0)</f>
        <v>12</v>
      </c>
      <c r="AN384" s="1" t="n">
        <f aca="false">N(AN383)+IF(AND(OR(R384="offered",R384="to be offered",R384="on hold"),B384&lt;&gt;""),1,0)</f>
        <v>33</v>
      </c>
      <c r="AO384" s="1" t="n">
        <f aca="false">N(AO383)+IF(AND(OR(R384="follow-up",R384="Evaluation",R384="tbd",R384="In evaluation"),B384&lt;&gt;""),1,0)</f>
        <v>1</v>
      </c>
      <c r="AP384" s="1" t="n">
        <f aca="false">IF(B384="",0,IF(COUNTIF('⚖️ Wahrscheinlichkeit'!$J$17:$J$24,R384)&gt;0,1,0))</f>
        <v>0</v>
      </c>
      <c r="AQ384" s="1" t="n">
        <f aca="false">IF(B384="",0,IF(AND(ISNUMBER(S384),COUNTIF('⚖️ Wahrscheinlichkeit'!$B$6:$B$11,S384)&gt;0),1,0))</f>
        <v>0</v>
      </c>
      <c r="AR384" s="1" t="n">
        <f aca="false">IF(B384="",0,IF(AND(COUNT(J384:M384)=4,SUM(J384:M384)&gt;0),1,0))</f>
        <v>0</v>
      </c>
      <c r="AS384" s="1" t="n">
        <f aca="false">IF(B384="",0,IF(AND(AF384&lt;&gt;"",AG384&lt;&gt;""),1,0))</f>
        <v>0</v>
      </c>
      <c r="AT384" s="1" t="n">
        <f aca="false">IF(AND(R384="WON",AS384=1,AR384=1),1,0)</f>
        <v>0</v>
      </c>
      <c r="AU384" s="1" t="n">
        <f aca="false">IF(B384="",0,IF(AD384="Alternative – zählt nicht",0,1))</f>
        <v>0</v>
      </c>
      <c r="AV384" s="1" t="n">
        <f aca="false">IF(B384="",0,IF(COUNTIF($B$6:$B$860,B384)&gt;1,1,0))</f>
        <v>0</v>
      </c>
      <c r="AX384" s="269" t="str">
        <f aca="false">IF(AY384=1,DATE(YEAR(O384),MONTH(O384),1),"")</f>
        <v/>
      </c>
      <c r="AY384" s="1" t="n">
        <f aca="false">IF(B384="",0,IF(AND(ISNUMBER(O384),ISNUMBER(P384)),IF(P384&gt;=O384,1,0),0))</f>
        <v>0</v>
      </c>
      <c r="AZ384" s="1" t="n">
        <f aca="false">IF(ISNUMBER(Y384),Y384,0)</f>
        <v>0</v>
      </c>
      <c r="BA384" s="1" t="str">
        <f aca="false">IF(B384="","",IF(AND(R384="WON",AS384=0),"⛔ Beleg fehlt · ","")&amp;IF(AND(R384="WON",AR384=0),"⛔ Einstand fehlt · ","")&amp;IF(AND(R384&lt;&gt;"WON",AR384=0),"○ Einstand offen · ","")&amp;IF(AND(R384="WON",AB384=""),"⛔ Vertragsart fehlt · ","")&amp;IF(AND(ISNUMBER(O384),ISNUMBER(P384)),IF(P384&lt;O384,"⚠ Ende vor Start · ",""),"")&amp;IF(AND(R384="WON",AY384=0,NOT(AND(ISNUMBER(O384),ISNUMBER(P384)))),"⛔ Zeitraum fehlt · ","")&amp;IF(AND(R384&lt;&gt;"WON",AY384=0,NOT(AND(ISNUMBER(O384),ISNUMBER(P384)))),"○ Zeitraum offen · ",""))</f>
        <v/>
      </c>
      <c r="BB384" s="1" t="str">
        <f aca="false">IF(B384="","",IF(AND(R384="WON",AS384=0),"⛔ Nachweis fehlt",IF(AND(ISNUMBER(O384),ISNUMBER(P384),P384&lt;O384),"⚠ Ende vor Start",IF(AND(R384="WON",AY384=0),"⛔ Zeitraum fehlt",IF(AR384=0,"○ Einstand offen",IF(AY384=0,"○ Zeitraum offen",IF(R384="WON","✅ belegt","✔ erfasst")))))))</f>
        <v/>
      </c>
    </row>
    <row r="385" customFormat="false" ht="15" hidden="false" customHeight="true" outlineLevel="0" collapsed="false">
      <c r="G385" s="1" t="str">
        <f aca="false">IF(B385="","",IF(AY385=1,P385-O385+1,IF(AW385="","",AW385)))</f>
        <v/>
      </c>
      <c r="I385" s="270"/>
      <c r="J385" s="270"/>
      <c r="K385" s="270"/>
      <c r="L385" s="270"/>
      <c r="M385" s="270"/>
      <c r="N385" s="270"/>
      <c r="O385" s="263"/>
      <c r="P385" s="263"/>
      <c r="Q385" s="270" t="str">
        <f aca="false">IF(AND(ISNUMBER(I385),ISNUMBER(S385)),I385*AJ385,IF(OR(I385&lt;&gt;"",S385&lt;&gt;""),"tbd",""))</f>
        <v/>
      </c>
      <c r="S385" s="268"/>
      <c r="Y385" s="275" t="str">
        <f aca="false">IF(ISNUMBER(I385),I385/Netto_Faktor,"")</f>
        <v/>
      </c>
      <c r="Z385" s="275" t="str">
        <f aca="false">IF(B385="","",IF(COUNT(J385:N385)=0,"",SUM(J385:N385)))</f>
        <v/>
      </c>
      <c r="AA385" s="266"/>
      <c r="AB385" s="266"/>
      <c r="AC385" s="266"/>
      <c r="AD385" s="266"/>
      <c r="AE385" s="266"/>
      <c r="AF385" s="266"/>
      <c r="AG385" s="267"/>
      <c r="AH385" s="266" t="str">
        <f aca="false">IF(B385="","",IF(BA385="",IF(R385="WON","✅ belegt &amp; vollständig","✔ vollständig"),LEFT(BA385,LEN(BA385)-3)))</f>
        <v/>
      </c>
      <c r="AJ385" s="268" t="n">
        <f aca="false">IF(ISNUMBER(S385),IFERROR(LOOKUP(IF(S385&lt;=1,S385,S385/100),'⚖️ Wahrscheinlichkeit'!$B$17:$B$21,'⚖️ Wahrscheinlichkeit'!$D$17:$D$21),0),0)</f>
        <v>0</v>
      </c>
      <c r="AK385" s="1" t="str">
        <f aca="false">IF(AND(R385="WON",ISNUMBER(I385)),AL385+(861-ROW())*0.000001,"")</f>
        <v/>
      </c>
      <c r="AL385" s="1" t="n">
        <f aca="false">IFERROR(I385*1,0)</f>
        <v>0</v>
      </c>
      <c r="AM385" s="1" t="n">
        <f aca="false">N(AM384)+IF(AND(R385="WON",B385&lt;&gt;""),1,0)</f>
        <v>12</v>
      </c>
      <c r="AN385" s="1" t="n">
        <f aca="false">N(AN384)+IF(AND(OR(R385="offered",R385="to be offered",R385="on hold"),B385&lt;&gt;""),1,0)</f>
        <v>33</v>
      </c>
      <c r="AO385" s="1" t="n">
        <f aca="false">N(AO384)+IF(AND(OR(R385="follow-up",R385="Evaluation",R385="tbd",R385="In evaluation"),B385&lt;&gt;""),1,0)</f>
        <v>1</v>
      </c>
      <c r="AP385" s="1" t="n">
        <f aca="false">IF(B385="",0,IF(COUNTIF('⚖️ Wahrscheinlichkeit'!$J$17:$J$24,R385)&gt;0,1,0))</f>
        <v>0</v>
      </c>
      <c r="AQ385" s="1" t="n">
        <f aca="false">IF(B385="",0,IF(AND(ISNUMBER(S385),COUNTIF('⚖️ Wahrscheinlichkeit'!$B$6:$B$11,S385)&gt;0),1,0))</f>
        <v>0</v>
      </c>
      <c r="AR385" s="1" t="n">
        <f aca="false">IF(B385="",0,IF(AND(COUNT(J385:M385)=4,SUM(J385:M385)&gt;0),1,0))</f>
        <v>0</v>
      </c>
      <c r="AS385" s="1" t="n">
        <f aca="false">IF(B385="",0,IF(AND(AF385&lt;&gt;"",AG385&lt;&gt;""),1,0))</f>
        <v>0</v>
      </c>
      <c r="AT385" s="1" t="n">
        <f aca="false">IF(AND(R385="WON",AS385=1,AR385=1),1,0)</f>
        <v>0</v>
      </c>
      <c r="AU385" s="1" t="n">
        <f aca="false">IF(B385="",0,IF(AD385="Alternative – zählt nicht",0,1))</f>
        <v>0</v>
      </c>
      <c r="AV385" s="1" t="n">
        <f aca="false">IF(B385="",0,IF(COUNTIF($B$6:$B$860,B385)&gt;1,1,0))</f>
        <v>0</v>
      </c>
      <c r="AX385" s="269" t="str">
        <f aca="false">IF(AY385=1,DATE(YEAR(O385),MONTH(O385),1),"")</f>
        <v/>
      </c>
      <c r="AY385" s="1" t="n">
        <f aca="false">IF(B385="",0,IF(AND(ISNUMBER(O385),ISNUMBER(P385)),IF(P385&gt;=O385,1,0),0))</f>
        <v>0</v>
      </c>
      <c r="AZ385" s="1" t="n">
        <f aca="false">IF(ISNUMBER(Y385),Y385,0)</f>
        <v>0</v>
      </c>
      <c r="BA385" s="1" t="str">
        <f aca="false">IF(B385="","",IF(AND(R385="WON",AS385=0),"⛔ Beleg fehlt · ","")&amp;IF(AND(R385="WON",AR385=0),"⛔ Einstand fehlt · ","")&amp;IF(AND(R385&lt;&gt;"WON",AR385=0),"○ Einstand offen · ","")&amp;IF(AND(R385="WON",AB385=""),"⛔ Vertragsart fehlt · ","")&amp;IF(AND(ISNUMBER(O385),ISNUMBER(P385)),IF(P385&lt;O385,"⚠ Ende vor Start · ",""),"")&amp;IF(AND(R385="WON",AY385=0,NOT(AND(ISNUMBER(O385),ISNUMBER(P385)))),"⛔ Zeitraum fehlt · ","")&amp;IF(AND(R385&lt;&gt;"WON",AY385=0,NOT(AND(ISNUMBER(O385),ISNUMBER(P385)))),"○ Zeitraum offen · ",""))</f>
        <v/>
      </c>
      <c r="BB385" s="1" t="str">
        <f aca="false">IF(B385="","",IF(AND(R385="WON",AS385=0),"⛔ Nachweis fehlt",IF(AND(ISNUMBER(O385),ISNUMBER(P385),P385&lt;O385),"⚠ Ende vor Start",IF(AND(R385="WON",AY385=0),"⛔ Zeitraum fehlt",IF(AR385=0,"○ Einstand offen",IF(AY385=0,"○ Zeitraum offen",IF(R385="WON","✅ belegt","✔ erfasst")))))))</f>
        <v/>
      </c>
    </row>
    <row r="386" customFormat="false" ht="15" hidden="false" customHeight="true" outlineLevel="0" collapsed="false">
      <c r="G386" s="1" t="str">
        <f aca="false">IF(B386="","",IF(AY386=1,P386-O386+1,IF(AW386="","",AW386)))</f>
        <v/>
      </c>
      <c r="I386" s="270"/>
      <c r="J386" s="270"/>
      <c r="K386" s="270"/>
      <c r="L386" s="270"/>
      <c r="M386" s="270"/>
      <c r="N386" s="270"/>
      <c r="O386" s="263"/>
      <c r="P386" s="263"/>
      <c r="Q386" s="270" t="str">
        <f aca="false">IF(AND(ISNUMBER(I386),ISNUMBER(S386)),I386*AJ386,IF(OR(I386&lt;&gt;"",S386&lt;&gt;""),"tbd",""))</f>
        <v/>
      </c>
      <c r="S386" s="268"/>
      <c r="Y386" s="275" t="str">
        <f aca="false">IF(ISNUMBER(I386),I386/Netto_Faktor,"")</f>
        <v/>
      </c>
      <c r="Z386" s="275" t="str">
        <f aca="false">IF(B386="","",IF(COUNT(J386:N386)=0,"",SUM(J386:N386)))</f>
        <v/>
      </c>
      <c r="AA386" s="266"/>
      <c r="AB386" s="266"/>
      <c r="AC386" s="266"/>
      <c r="AD386" s="266"/>
      <c r="AE386" s="266"/>
      <c r="AF386" s="266"/>
      <c r="AG386" s="267"/>
      <c r="AH386" s="266" t="str">
        <f aca="false">IF(B386="","",IF(BA386="",IF(R386="WON","✅ belegt &amp; vollständig","✔ vollständig"),LEFT(BA386,LEN(BA386)-3)))</f>
        <v/>
      </c>
      <c r="AJ386" s="268" t="n">
        <f aca="false">IF(ISNUMBER(S386),IFERROR(LOOKUP(IF(S386&lt;=1,S386,S386/100),'⚖️ Wahrscheinlichkeit'!$B$17:$B$21,'⚖️ Wahrscheinlichkeit'!$D$17:$D$21),0),0)</f>
        <v>0</v>
      </c>
      <c r="AK386" s="1" t="str">
        <f aca="false">IF(AND(R386="WON",ISNUMBER(I386)),AL386+(861-ROW())*0.000001,"")</f>
        <v/>
      </c>
      <c r="AL386" s="1" t="n">
        <f aca="false">IFERROR(I386*1,0)</f>
        <v>0</v>
      </c>
      <c r="AM386" s="1" t="n">
        <f aca="false">N(AM385)+IF(AND(R386="WON",B386&lt;&gt;""),1,0)</f>
        <v>12</v>
      </c>
      <c r="AN386" s="1" t="n">
        <f aca="false">N(AN385)+IF(AND(OR(R386="offered",R386="to be offered",R386="on hold"),B386&lt;&gt;""),1,0)</f>
        <v>33</v>
      </c>
      <c r="AO386" s="1" t="n">
        <f aca="false">N(AO385)+IF(AND(OR(R386="follow-up",R386="Evaluation",R386="tbd",R386="In evaluation"),B386&lt;&gt;""),1,0)</f>
        <v>1</v>
      </c>
      <c r="AP386" s="1" t="n">
        <f aca="false">IF(B386="",0,IF(COUNTIF('⚖️ Wahrscheinlichkeit'!$J$17:$J$24,R386)&gt;0,1,0))</f>
        <v>0</v>
      </c>
      <c r="AQ386" s="1" t="n">
        <f aca="false">IF(B386="",0,IF(AND(ISNUMBER(S386),COUNTIF('⚖️ Wahrscheinlichkeit'!$B$6:$B$11,S386)&gt;0),1,0))</f>
        <v>0</v>
      </c>
      <c r="AR386" s="1" t="n">
        <f aca="false">IF(B386="",0,IF(AND(COUNT(J386:M386)=4,SUM(J386:M386)&gt;0),1,0))</f>
        <v>0</v>
      </c>
      <c r="AS386" s="1" t="n">
        <f aca="false">IF(B386="",0,IF(AND(AF386&lt;&gt;"",AG386&lt;&gt;""),1,0))</f>
        <v>0</v>
      </c>
      <c r="AT386" s="1" t="n">
        <f aca="false">IF(AND(R386="WON",AS386=1,AR386=1),1,0)</f>
        <v>0</v>
      </c>
      <c r="AU386" s="1" t="n">
        <f aca="false">IF(B386="",0,IF(AD386="Alternative – zählt nicht",0,1))</f>
        <v>0</v>
      </c>
      <c r="AV386" s="1" t="n">
        <f aca="false">IF(B386="",0,IF(COUNTIF($B$6:$B$860,B386)&gt;1,1,0))</f>
        <v>0</v>
      </c>
      <c r="AX386" s="269" t="str">
        <f aca="false">IF(AY386=1,DATE(YEAR(O386),MONTH(O386),1),"")</f>
        <v/>
      </c>
      <c r="AY386" s="1" t="n">
        <f aca="false">IF(B386="",0,IF(AND(ISNUMBER(O386),ISNUMBER(P386)),IF(P386&gt;=O386,1,0),0))</f>
        <v>0</v>
      </c>
      <c r="AZ386" s="1" t="n">
        <f aca="false">IF(ISNUMBER(Y386),Y386,0)</f>
        <v>0</v>
      </c>
      <c r="BA386" s="1" t="str">
        <f aca="false">IF(B386="","",IF(AND(R386="WON",AS386=0),"⛔ Beleg fehlt · ","")&amp;IF(AND(R386="WON",AR386=0),"⛔ Einstand fehlt · ","")&amp;IF(AND(R386&lt;&gt;"WON",AR386=0),"○ Einstand offen · ","")&amp;IF(AND(R386="WON",AB386=""),"⛔ Vertragsart fehlt · ","")&amp;IF(AND(ISNUMBER(O386),ISNUMBER(P386)),IF(P386&lt;O386,"⚠ Ende vor Start · ",""),"")&amp;IF(AND(R386="WON",AY386=0,NOT(AND(ISNUMBER(O386),ISNUMBER(P386)))),"⛔ Zeitraum fehlt · ","")&amp;IF(AND(R386&lt;&gt;"WON",AY386=0,NOT(AND(ISNUMBER(O386),ISNUMBER(P386)))),"○ Zeitraum offen · ",""))</f>
        <v/>
      </c>
      <c r="BB386" s="1" t="str">
        <f aca="false">IF(B386="","",IF(AND(R386="WON",AS386=0),"⛔ Nachweis fehlt",IF(AND(ISNUMBER(O386),ISNUMBER(P386),P386&lt;O386),"⚠ Ende vor Start",IF(AND(R386="WON",AY386=0),"⛔ Zeitraum fehlt",IF(AR386=0,"○ Einstand offen",IF(AY386=0,"○ Zeitraum offen",IF(R386="WON","✅ belegt","✔ erfasst")))))))</f>
        <v/>
      </c>
    </row>
    <row r="387" customFormat="false" ht="15" hidden="false" customHeight="true" outlineLevel="0" collapsed="false">
      <c r="G387" s="1" t="str">
        <f aca="false">IF(B387="","",IF(AY387=1,P387-O387+1,IF(AW387="","",AW387)))</f>
        <v/>
      </c>
      <c r="I387" s="270"/>
      <c r="J387" s="270"/>
      <c r="K387" s="270"/>
      <c r="L387" s="270"/>
      <c r="M387" s="270"/>
      <c r="N387" s="270"/>
      <c r="O387" s="263"/>
      <c r="P387" s="263"/>
      <c r="Q387" s="270" t="str">
        <f aca="false">IF(AND(ISNUMBER(I387),ISNUMBER(S387)),I387*AJ387,IF(OR(I387&lt;&gt;"",S387&lt;&gt;""),"tbd",""))</f>
        <v/>
      </c>
      <c r="S387" s="268"/>
      <c r="Y387" s="275" t="str">
        <f aca="false">IF(ISNUMBER(I387),I387/Netto_Faktor,"")</f>
        <v/>
      </c>
      <c r="Z387" s="275" t="str">
        <f aca="false">IF(B387="","",IF(COUNT(J387:N387)=0,"",SUM(J387:N387)))</f>
        <v/>
      </c>
      <c r="AA387" s="266"/>
      <c r="AB387" s="266"/>
      <c r="AC387" s="266"/>
      <c r="AD387" s="266"/>
      <c r="AE387" s="266"/>
      <c r="AF387" s="266"/>
      <c r="AG387" s="267"/>
      <c r="AH387" s="266" t="str">
        <f aca="false">IF(B387="","",IF(BA387="",IF(R387="WON","✅ belegt &amp; vollständig","✔ vollständig"),LEFT(BA387,LEN(BA387)-3)))</f>
        <v/>
      </c>
      <c r="AJ387" s="268" t="n">
        <f aca="false">IF(ISNUMBER(S387),IFERROR(LOOKUP(IF(S387&lt;=1,S387,S387/100),'⚖️ Wahrscheinlichkeit'!$B$17:$B$21,'⚖️ Wahrscheinlichkeit'!$D$17:$D$21),0),0)</f>
        <v>0</v>
      </c>
      <c r="AK387" s="1" t="str">
        <f aca="false">IF(AND(R387="WON",ISNUMBER(I387)),AL387+(861-ROW())*0.000001,"")</f>
        <v/>
      </c>
      <c r="AL387" s="1" t="n">
        <f aca="false">IFERROR(I387*1,0)</f>
        <v>0</v>
      </c>
      <c r="AM387" s="1" t="n">
        <f aca="false">N(AM386)+IF(AND(R387="WON",B387&lt;&gt;""),1,0)</f>
        <v>12</v>
      </c>
      <c r="AN387" s="1" t="n">
        <f aca="false">N(AN386)+IF(AND(OR(R387="offered",R387="to be offered",R387="on hold"),B387&lt;&gt;""),1,0)</f>
        <v>33</v>
      </c>
      <c r="AO387" s="1" t="n">
        <f aca="false">N(AO386)+IF(AND(OR(R387="follow-up",R387="Evaluation",R387="tbd",R387="In evaluation"),B387&lt;&gt;""),1,0)</f>
        <v>1</v>
      </c>
      <c r="AP387" s="1" t="n">
        <f aca="false">IF(B387="",0,IF(COUNTIF('⚖️ Wahrscheinlichkeit'!$J$17:$J$24,R387)&gt;0,1,0))</f>
        <v>0</v>
      </c>
      <c r="AQ387" s="1" t="n">
        <f aca="false">IF(B387="",0,IF(AND(ISNUMBER(S387),COUNTIF('⚖️ Wahrscheinlichkeit'!$B$6:$B$11,S387)&gt;0),1,0))</f>
        <v>0</v>
      </c>
      <c r="AR387" s="1" t="n">
        <f aca="false">IF(B387="",0,IF(AND(COUNT(J387:M387)=4,SUM(J387:M387)&gt;0),1,0))</f>
        <v>0</v>
      </c>
      <c r="AS387" s="1" t="n">
        <f aca="false">IF(B387="",0,IF(AND(AF387&lt;&gt;"",AG387&lt;&gt;""),1,0))</f>
        <v>0</v>
      </c>
      <c r="AT387" s="1" t="n">
        <f aca="false">IF(AND(R387="WON",AS387=1,AR387=1),1,0)</f>
        <v>0</v>
      </c>
      <c r="AU387" s="1" t="n">
        <f aca="false">IF(B387="",0,IF(AD387="Alternative – zählt nicht",0,1))</f>
        <v>0</v>
      </c>
      <c r="AV387" s="1" t="n">
        <f aca="false">IF(B387="",0,IF(COUNTIF($B$6:$B$860,B387)&gt;1,1,0))</f>
        <v>0</v>
      </c>
      <c r="AX387" s="269" t="str">
        <f aca="false">IF(AY387=1,DATE(YEAR(O387),MONTH(O387),1),"")</f>
        <v/>
      </c>
      <c r="AY387" s="1" t="n">
        <f aca="false">IF(B387="",0,IF(AND(ISNUMBER(O387),ISNUMBER(P387)),IF(P387&gt;=O387,1,0),0))</f>
        <v>0</v>
      </c>
      <c r="AZ387" s="1" t="n">
        <f aca="false">IF(ISNUMBER(Y387),Y387,0)</f>
        <v>0</v>
      </c>
      <c r="BA387" s="1" t="str">
        <f aca="false">IF(B387="","",IF(AND(R387="WON",AS387=0),"⛔ Beleg fehlt · ","")&amp;IF(AND(R387="WON",AR387=0),"⛔ Einstand fehlt · ","")&amp;IF(AND(R387&lt;&gt;"WON",AR387=0),"○ Einstand offen · ","")&amp;IF(AND(R387="WON",AB387=""),"⛔ Vertragsart fehlt · ","")&amp;IF(AND(ISNUMBER(O387),ISNUMBER(P387)),IF(P387&lt;O387,"⚠ Ende vor Start · ",""),"")&amp;IF(AND(R387="WON",AY387=0,NOT(AND(ISNUMBER(O387),ISNUMBER(P387)))),"⛔ Zeitraum fehlt · ","")&amp;IF(AND(R387&lt;&gt;"WON",AY387=0,NOT(AND(ISNUMBER(O387),ISNUMBER(P387)))),"○ Zeitraum offen · ",""))</f>
        <v/>
      </c>
      <c r="BB387" s="1" t="str">
        <f aca="false">IF(B387="","",IF(AND(R387="WON",AS387=0),"⛔ Nachweis fehlt",IF(AND(ISNUMBER(O387),ISNUMBER(P387),P387&lt;O387),"⚠ Ende vor Start",IF(AND(R387="WON",AY387=0),"⛔ Zeitraum fehlt",IF(AR387=0,"○ Einstand offen",IF(AY387=0,"○ Zeitraum offen",IF(R387="WON","✅ belegt","✔ erfasst")))))))</f>
        <v/>
      </c>
    </row>
    <row r="388" customFormat="false" ht="15" hidden="false" customHeight="true" outlineLevel="0" collapsed="false">
      <c r="G388" s="1" t="str">
        <f aca="false">IF(B388="","",IF(AY388=1,P388-O388+1,IF(AW388="","",AW388)))</f>
        <v/>
      </c>
      <c r="I388" s="270"/>
      <c r="J388" s="270"/>
      <c r="K388" s="270"/>
      <c r="L388" s="270"/>
      <c r="M388" s="270"/>
      <c r="N388" s="270"/>
      <c r="O388" s="263"/>
      <c r="P388" s="263"/>
      <c r="Q388" s="270" t="str">
        <f aca="false">IF(AND(ISNUMBER(I388),ISNUMBER(S388)),I388*AJ388,IF(OR(I388&lt;&gt;"",S388&lt;&gt;""),"tbd",""))</f>
        <v/>
      </c>
      <c r="S388" s="268"/>
      <c r="Y388" s="275" t="str">
        <f aca="false">IF(ISNUMBER(I388),I388/Netto_Faktor,"")</f>
        <v/>
      </c>
      <c r="Z388" s="275" t="str">
        <f aca="false">IF(B388="","",IF(COUNT(J388:N388)=0,"",SUM(J388:N388)))</f>
        <v/>
      </c>
      <c r="AA388" s="266"/>
      <c r="AB388" s="266"/>
      <c r="AC388" s="266"/>
      <c r="AD388" s="266"/>
      <c r="AE388" s="266"/>
      <c r="AF388" s="266"/>
      <c r="AG388" s="267"/>
      <c r="AH388" s="266" t="str">
        <f aca="false">IF(B388="","",IF(BA388="",IF(R388="WON","✅ belegt &amp; vollständig","✔ vollständig"),LEFT(BA388,LEN(BA388)-3)))</f>
        <v/>
      </c>
      <c r="AJ388" s="268" t="n">
        <f aca="false">IF(ISNUMBER(S388),IFERROR(LOOKUP(IF(S388&lt;=1,S388,S388/100),'⚖️ Wahrscheinlichkeit'!$B$17:$B$21,'⚖️ Wahrscheinlichkeit'!$D$17:$D$21),0),0)</f>
        <v>0</v>
      </c>
      <c r="AK388" s="1" t="str">
        <f aca="false">IF(AND(R388="WON",ISNUMBER(I388)),AL388+(861-ROW())*0.000001,"")</f>
        <v/>
      </c>
      <c r="AL388" s="1" t="n">
        <f aca="false">IFERROR(I388*1,0)</f>
        <v>0</v>
      </c>
      <c r="AM388" s="1" t="n">
        <f aca="false">N(AM387)+IF(AND(R388="WON",B388&lt;&gt;""),1,0)</f>
        <v>12</v>
      </c>
      <c r="AN388" s="1" t="n">
        <f aca="false">N(AN387)+IF(AND(OR(R388="offered",R388="to be offered",R388="on hold"),B388&lt;&gt;""),1,0)</f>
        <v>33</v>
      </c>
      <c r="AO388" s="1" t="n">
        <f aca="false">N(AO387)+IF(AND(OR(R388="follow-up",R388="Evaluation",R388="tbd",R388="In evaluation"),B388&lt;&gt;""),1,0)</f>
        <v>1</v>
      </c>
      <c r="AP388" s="1" t="n">
        <f aca="false">IF(B388="",0,IF(COUNTIF('⚖️ Wahrscheinlichkeit'!$J$17:$J$24,R388)&gt;0,1,0))</f>
        <v>0</v>
      </c>
      <c r="AQ388" s="1" t="n">
        <f aca="false">IF(B388="",0,IF(AND(ISNUMBER(S388),COUNTIF('⚖️ Wahrscheinlichkeit'!$B$6:$B$11,S388)&gt;0),1,0))</f>
        <v>0</v>
      </c>
      <c r="AR388" s="1" t="n">
        <f aca="false">IF(B388="",0,IF(AND(COUNT(J388:M388)=4,SUM(J388:M388)&gt;0),1,0))</f>
        <v>0</v>
      </c>
      <c r="AS388" s="1" t="n">
        <f aca="false">IF(B388="",0,IF(AND(AF388&lt;&gt;"",AG388&lt;&gt;""),1,0))</f>
        <v>0</v>
      </c>
      <c r="AT388" s="1" t="n">
        <f aca="false">IF(AND(R388="WON",AS388=1,AR388=1),1,0)</f>
        <v>0</v>
      </c>
      <c r="AU388" s="1" t="n">
        <f aca="false">IF(B388="",0,IF(AD388="Alternative – zählt nicht",0,1))</f>
        <v>0</v>
      </c>
      <c r="AV388" s="1" t="n">
        <f aca="false">IF(B388="",0,IF(COUNTIF($B$6:$B$860,B388)&gt;1,1,0))</f>
        <v>0</v>
      </c>
      <c r="AX388" s="269" t="str">
        <f aca="false">IF(AY388=1,DATE(YEAR(O388),MONTH(O388),1),"")</f>
        <v/>
      </c>
      <c r="AY388" s="1" t="n">
        <f aca="false">IF(B388="",0,IF(AND(ISNUMBER(O388),ISNUMBER(P388)),IF(P388&gt;=O388,1,0),0))</f>
        <v>0</v>
      </c>
      <c r="AZ388" s="1" t="n">
        <f aca="false">IF(ISNUMBER(Y388),Y388,0)</f>
        <v>0</v>
      </c>
      <c r="BA388" s="1" t="str">
        <f aca="false">IF(B388="","",IF(AND(R388="WON",AS388=0),"⛔ Beleg fehlt · ","")&amp;IF(AND(R388="WON",AR388=0),"⛔ Einstand fehlt · ","")&amp;IF(AND(R388&lt;&gt;"WON",AR388=0),"○ Einstand offen · ","")&amp;IF(AND(R388="WON",AB388=""),"⛔ Vertragsart fehlt · ","")&amp;IF(AND(ISNUMBER(O388),ISNUMBER(P388)),IF(P388&lt;O388,"⚠ Ende vor Start · ",""),"")&amp;IF(AND(R388="WON",AY388=0,NOT(AND(ISNUMBER(O388),ISNUMBER(P388)))),"⛔ Zeitraum fehlt · ","")&amp;IF(AND(R388&lt;&gt;"WON",AY388=0,NOT(AND(ISNUMBER(O388),ISNUMBER(P388)))),"○ Zeitraum offen · ",""))</f>
        <v/>
      </c>
      <c r="BB388" s="1" t="str">
        <f aca="false">IF(B388="","",IF(AND(R388="WON",AS388=0),"⛔ Nachweis fehlt",IF(AND(ISNUMBER(O388),ISNUMBER(P388),P388&lt;O388),"⚠ Ende vor Start",IF(AND(R388="WON",AY388=0),"⛔ Zeitraum fehlt",IF(AR388=0,"○ Einstand offen",IF(AY388=0,"○ Zeitraum offen",IF(R388="WON","✅ belegt","✔ erfasst")))))))</f>
        <v/>
      </c>
    </row>
    <row r="389" customFormat="false" ht="15" hidden="false" customHeight="true" outlineLevel="0" collapsed="false">
      <c r="G389" s="1" t="str">
        <f aca="false">IF(B389="","",IF(AY389=1,P389-O389+1,IF(AW389="","",AW389)))</f>
        <v/>
      </c>
      <c r="I389" s="270"/>
      <c r="J389" s="270"/>
      <c r="K389" s="270"/>
      <c r="L389" s="270"/>
      <c r="M389" s="270"/>
      <c r="N389" s="270"/>
      <c r="O389" s="263"/>
      <c r="P389" s="263"/>
      <c r="Q389" s="270" t="str">
        <f aca="false">IF(AND(ISNUMBER(I389),ISNUMBER(S389)),I389*AJ389,IF(OR(I389&lt;&gt;"",S389&lt;&gt;""),"tbd",""))</f>
        <v/>
      </c>
      <c r="S389" s="268"/>
      <c r="Y389" s="275" t="str">
        <f aca="false">IF(ISNUMBER(I389),I389/Netto_Faktor,"")</f>
        <v/>
      </c>
      <c r="Z389" s="275" t="str">
        <f aca="false">IF(B389="","",IF(COUNT(J389:N389)=0,"",SUM(J389:N389)))</f>
        <v/>
      </c>
      <c r="AA389" s="266"/>
      <c r="AB389" s="266"/>
      <c r="AC389" s="266"/>
      <c r="AD389" s="266"/>
      <c r="AE389" s="266"/>
      <c r="AF389" s="266"/>
      <c r="AG389" s="267"/>
      <c r="AH389" s="266" t="str">
        <f aca="false">IF(B389="","",IF(BA389="",IF(R389="WON","✅ belegt &amp; vollständig","✔ vollständig"),LEFT(BA389,LEN(BA389)-3)))</f>
        <v/>
      </c>
      <c r="AJ389" s="268" t="n">
        <f aca="false">IF(ISNUMBER(S389),IFERROR(LOOKUP(IF(S389&lt;=1,S389,S389/100),'⚖️ Wahrscheinlichkeit'!$B$17:$B$21,'⚖️ Wahrscheinlichkeit'!$D$17:$D$21),0),0)</f>
        <v>0</v>
      </c>
      <c r="AK389" s="1" t="str">
        <f aca="false">IF(AND(R389="WON",ISNUMBER(I389)),AL389+(861-ROW())*0.000001,"")</f>
        <v/>
      </c>
      <c r="AL389" s="1" t="n">
        <f aca="false">IFERROR(I389*1,0)</f>
        <v>0</v>
      </c>
      <c r="AM389" s="1" t="n">
        <f aca="false">N(AM388)+IF(AND(R389="WON",B389&lt;&gt;""),1,0)</f>
        <v>12</v>
      </c>
      <c r="AN389" s="1" t="n">
        <f aca="false">N(AN388)+IF(AND(OR(R389="offered",R389="to be offered",R389="on hold"),B389&lt;&gt;""),1,0)</f>
        <v>33</v>
      </c>
      <c r="AO389" s="1" t="n">
        <f aca="false">N(AO388)+IF(AND(OR(R389="follow-up",R389="Evaluation",R389="tbd",R389="In evaluation"),B389&lt;&gt;""),1,0)</f>
        <v>1</v>
      </c>
      <c r="AP389" s="1" t="n">
        <f aca="false">IF(B389="",0,IF(COUNTIF('⚖️ Wahrscheinlichkeit'!$J$17:$J$24,R389)&gt;0,1,0))</f>
        <v>0</v>
      </c>
      <c r="AQ389" s="1" t="n">
        <f aca="false">IF(B389="",0,IF(AND(ISNUMBER(S389),COUNTIF('⚖️ Wahrscheinlichkeit'!$B$6:$B$11,S389)&gt;0),1,0))</f>
        <v>0</v>
      </c>
      <c r="AR389" s="1" t="n">
        <f aca="false">IF(B389="",0,IF(AND(COUNT(J389:M389)=4,SUM(J389:M389)&gt;0),1,0))</f>
        <v>0</v>
      </c>
      <c r="AS389" s="1" t="n">
        <f aca="false">IF(B389="",0,IF(AND(AF389&lt;&gt;"",AG389&lt;&gt;""),1,0))</f>
        <v>0</v>
      </c>
      <c r="AT389" s="1" t="n">
        <f aca="false">IF(AND(R389="WON",AS389=1,AR389=1),1,0)</f>
        <v>0</v>
      </c>
      <c r="AU389" s="1" t="n">
        <f aca="false">IF(B389="",0,IF(AD389="Alternative – zählt nicht",0,1))</f>
        <v>0</v>
      </c>
      <c r="AV389" s="1" t="n">
        <f aca="false">IF(B389="",0,IF(COUNTIF($B$6:$B$860,B389)&gt;1,1,0))</f>
        <v>0</v>
      </c>
      <c r="AX389" s="269" t="str">
        <f aca="false">IF(AY389=1,DATE(YEAR(O389),MONTH(O389),1),"")</f>
        <v/>
      </c>
      <c r="AY389" s="1" t="n">
        <f aca="false">IF(B389="",0,IF(AND(ISNUMBER(O389),ISNUMBER(P389)),IF(P389&gt;=O389,1,0),0))</f>
        <v>0</v>
      </c>
      <c r="AZ389" s="1" t="n">
        <f aca="false">IF(ISNUMBER(Y389),Y389,0)</f>
        <v>0</v>
      </c>
      <c r="BA389" s="1" t="str">
        <f aca="false">IF(B389="","",IF(AND(R389="WON",AS389=0),"⛔ Beleg fehlt · ","")&amp;IF(AND(R389="WON",AR389=0),"⛔ Einstand fehlt · ","")&amp;IF(AND(R389&lt;&gt;"WON",AR389=0),"○ Einstand offen · ","")&amp;IF(AND(R389="WON",AB389=""),"⛔ Vertragsart fehlt · ","")&amp;IF(AND(ISNUMBER(O389),ISNUMBER(P389)),IF(P389&lt;O389,"⚠ Ende vor Start · ",""),"")&amp;IF(AND(R389="WON",AY389=0,NOT(AND(ISNUMBER(O389),ISNUMBER(P389)))),"⛔ Zeitraum fehlt · ","")&amp;IF(AND(R389&lt;&gt;"WON",AY389=0,NOT(AND(ISNUMBER(O389),ISNUMBER(P389)))),"○ Zeitraum offen · ",""))</f>
        <v/>
      </c>
      <c r="BB389" s="1" t="str">
        <f aca="false">IF(B389="","",IF(AND(R389="WON",AS389=0),"⛔ Nachweis fehlt",IF(AND(ISNUMBER(O389),ISNUMBER(P389),P389&lt;O389),"⚠ Ende vor Start",IF(AND(R389="WON",AY389=0),"⛔ Zeitraum fehlt",IF(AR389=0,"○ Einstand offen",IF(AY389=0,"○ Zeitraum offen",IF(R389="WON","✅ belegt","✔ erfasst")))))))</f>
        <v/>
      </c>
    </row>
    <row r="390" customFormat="false" ht="15" hidden="false" customHeight="true" outlineLevel="0" collapsed="false">
      <c r="G390" s="1" t="str">
        <f aca="false">IF(B390="","",IF(AY390=1,P390-O390+1,IF(AW390="","",AW390)))</f>
        <v/>
      </c>
      <c r="I390" s="270"/>
      <c r="J390" s="270"/>
      <c r="K390" s="270"/>
      <c r="L390" s="270"/>
      <c r="M390" s="270"/>
      <c r="N390" s="270"/>
      <c r="O390" s="263"/>
      <c r="P390" s="263"/>
      <c r="Q390" s="270" t="str">
        <f aca="false">IF(AND(ISNUMBER(I390),ISNUMBER(S390)),I390*AJ390,IF(OR(I390&lt;&gt;"",S390&lt;&gt;""),"tbd",""))</f>
        <v/>
      </c>
      <c r="S390" s="268"/>
      <c r="Y390" s="275" t="str">
        <f aca="false">IF(ISNUMBER(I390),I390/Netto_Faktor,"")</f>
        <v/>
      </c>
      <c r="Z390" s="275" t="str">
        <f aca="false">IF(B390="","",IF(COUNT(J390:N390)=0,"",SUM(J390:N390)))</f>
        <v/>
      </c>
      <c r="AA390" s="266"/>
      <c r="AB390" s="266"/>
      <c r="AC390" s="266"/>
      <c r="AD390" s="266"/>
      <c r="AE390" s="266"/>
      <c r="AF390" s="266"/>
      <c r="AG390" s="267"/>
      <c r="AH390" s="266" t="str">
        <f aca="false">IF(B390="","",IF(BA390="",IF(R390="WON","✅ belegt &amp; vollständig","✔ vollständig"),LEFT(BA390,LEN(BA390)-3)))</f>
        <v/>
      </c>
      <c r="AJ390" s="268" t="n">
        <f aca="false">IF(ISNUMBER(S390),IFERROR(LOOKUP(IF(S390&lt;=1,S390,S390/100),'⚖️ Wahrscheinlichkeit'!$B$17:$B$21,'⚖️ Wahrscheinlichkeit'!$D$17:$D$21),0),0)</f>
        <v>0</v>
      </c>
      <c r="AK390" s="1" t="str">
        <f aca="false">IF(AND(R390="WON",ISNUMBER(I390)),AL390+(861-ROW())*0.000001,"")</f>
        <v/>
      </c>
      <c r="AL390" s="1" t="n">
        <f aca="false">IFERROR(I390*1,0)</f>
        <v>0</v>
      </c>
      <c r="AM390" s="1" t="n">
        <f aca="false">N(AM389)+IF(AND(R390="WON",B390&lt;&gt;""),1,0)</f>
        <v>12</v>
      </c>
      <c r="AN390" s="1" t="n">
        <f aca="false">N(AN389)+IF(AND(OR(R390="offered",R390="to be offered",R390="on hold"),B390&lt;&gt;""),1,0)</f>
        <v>33</v>
      </c>
      <c r="AO390" s="1" t="n">
        <f aca="false">N(AO389)+IF(AND(OR(R390="follow-up",R390="Evaluation",R390="tbd",R390="In evaluation"),B390&lt;&gt;""),1,0)</f>
        <v>1</v>
      </c>
      <c r="AP390" s="1" t="n">
        <f aca="false">IF(B390="",0,IF(COUNTIF('⚖️ Wahrscheinlichkeit'!$J$17:$J$24,R390)&gt;0,1,0))</f>
        <v>0</v>
      </c>
      <c r="AQ390" s="1" t="n">
        <f aca="false">IF(B390="",0,IF(AND(ISNUMBER(S390),COUNTIF('⚖️ Wahrscheinlichkeit'!$B$6:$B$11,S390)&gt;0),1,0))</f>
        <v>0</v>
      </c>
      <c r="AR390" s="1" t="n">
        <f aca="false">IF(B390="",0,IF(AND(COUNT(J390:M390)=4,SUM(J390:M390)&gt;0),1,0))</f>
        <v>0</v>
      </c>
      <c r="AS390" s="1" t="n">
        <f aca="false">IF(B390="",0,IF(AND(AF390&lt;&gt;"",AG390&lt;&gt;""),1,0))</f>
        <v>0</v>
      </c>
      <c r="AT390" s="1" t="n">
        <f aca="false">IF(AND(R390="WON",AS390=1,AR390=1),1,0)</f>
        <v>0</v>
      </c>
      <c r="AU390" s="1" t="n">
        <f aca="false">IF(B390="",0,IF(AD390="Alternative – zählt nicht",0,1))</f>
        <v>0</v>
      </c>
      <c r="AV390" s="1" t="n">
        <f aca="false">IF(B390="",0,IF(COUNTIF($B$6:$B$860,B390)&gt;1,1,0))</f>
        <v>0</v>
      </c>
      <c r="AX390" s="269" t="str">
        <f aca="false">IF(AY390=1,DATE(YEAR(O390),MONTH(O390),1),"")</f>
        <v/>
      </c>
      <c r="AY390" s="1" t="n">
        <f aca="false">IF(B390="",0,IF(AND(ISNUMBER(O390),ISNUMBER(P390)),IF(P390&gt;=O390,1,0),0))</f>
        <v>0</v>
      </c>
      <c r="AZ390" s="1" t="n">
        <f aca="false">IF(ISNUMBER(Y390),Y390,0)</f>
        <v>0</v>
      </c>
      <c r="BA390" s="1" t="str">
        <f aca="false">IF(B390="","",IF(AND(R390="WON",AS390=0),"⛔ Beleg fehlt · ","")&amp;IF(AND(R390="WON",AR390=0),"⛔ Einstand fehlt · ","")&amp;IF(AND(R390&lt;&gt;"WON",AR390=0),"○ Einstand offen · ","")&amp;IF(AND(R390="WON",AB390=""),"⛔ Vertragsart fehlt · ","")&amp;IF(AND(ISNUMBER(O390),ISNUMBER(P390)),IF(P390&lt;O390,"⚠ Ende vor Start · ",""),"")&amp;IF(AND(R390="WON",AY390=0,NOT(AND(ISNUMBER(O390),ISNUMBER(P390)))),"⛔ Zeitraum fehlt · ","")&amp;IF(AND(R390&lt;&gt;"WON",AY390=0,NOT(AND(ISNUMBER(O390),ISNUMBER(P390)))),"○ Zeitraum offen · ",""))</f>
        <v/>
      </c>
      <c r="BB390" s="1" t="str">
        <f aca="false">IF(B390="","",IF(AND(R390="WON",AS390=0),"⛔ Nachweis fehlt",IF(AND(ISNUMBER(O390),ISNUMBER(P390),P390&lt;O390),"⚠ Ende vor Start",IF(AND(R390="WON",AY390=0),"⛔ Zeitraum fehlt",IF(AR390=0,"○ Einstand offen",IF(AY390=0,"○ Zeitraum offen",IF(R390="WON","✅ belegt","✔ erfasst")))))))</f>
        <v/>
      </c>
    </row>
    <row r="391" customFormat="false" ht="15" hidden="false" customHeight="true" outlineLevel="0" collapsed="false">
      <c r="G391" s="1" t="str">
        <f aca="false">IF(B391="","",IF(AY391=1,P391-O391+1,IF(AW391="","",AW391)))</f>
        <v/>
      </c>
      <c r="I391" s="270"/>
      <c r="J391" s="270"/>
      <c r="K391" s="270"/>
      <c r="L391" s="270"/>
      <c r="M391" s="270"/>
      <c r="N391" s="270"/>
      <c r="O391" s="263"/>
      <c r="P391" s="263"/>
      <c r="Q391" s="270" t="str">
        <f aca="false">IF(AND(ISNUMBER(I391),ISNUMBER(S391)),I391*AJ391,IF(OR(I391&lt;&gt;"",S391&lt;&gt;""),"tbd",""))</f>
        <v/>
      </c>
      <c r="S391" s="268"/>
      <c r="Y391" s="275" t="str">
        <f aca="false">IF(ISNUMBER(I391),I391/Netto_Faktor,"")</f>
        <v/>
      </c>
      <c r="Z391" s="275" t="str">
        <f aca="false">IF(B391="","",IF(COUNT(J391:N391)=0,"",SUM(J391:N391)))</f>
        <v/>
      </c>
      <c r="AA391" s="266"/>
      <c r="AB391" s="266"/>
      <c r="AC391" s="266"/>
      <c r="AD391" s="266"/>
      <c r="AE391" s="266"/>
      <c r="AF391" s="266"/>
      <c r="AG391" s="267"/>
      <c r="AH391" s="266" t="str">
        <f aca="false">IF(B391="","",IF(BA391="",IF(R391="WON","✅ belegt &amp; vollständig","✔ vollständig"),LEFT(BA391,LEN(BA391)-3)))</f>
        <v/>
      </c>
      <c r="AJ391" s="268" t="n">
        <f aca="false">IF(ISNUMBER(S391),IFERROR(LOOKUP(IF(S391&lt;=1,S391,S391/100),'⚖️ Wahrscheinlichkeit'!$B$17:$B$21,'⚖️ Wahrscheinlichkeit'!$D$17:$D$21),0),0)</f>
        <v>0</v>
      </c>
      <c r="AK391" s="1" t="str">
        <f aca="false">IF(AND(R391="WON",ISNUMBER(I391)),AL391+(861-ROW())*0.000001,"")</f>
        <v/>
      </c>
      <c r="AL391" s="1" t="n">
        <f aca="false">IFERROR(I391*1,0)</f>
        <v>0</v>
      </c>
      <c r="AM391" s="1" t="n">
        <f aca="false">N(AM390)+IF(AND(R391="WON",B391&lt;&gt;""),1,0)</f>
        <v>12</v>
      </c>
      <c r="AN391" s="1" t="n">
        <f aca="false">N(AN390)+IF(AND(OR(R391="offered",R391="to be offered",R391="on hold"),B391&lt;&gt;""),1,0)</f>
        <v>33</v>
      </c>
      <c r="AO391" s="1" t="n">
        <f aca="false">N(AO390)+IF(AND(OR(R391="follow-up",R391="Evaluation",R391="tbd",R391="In evaluation"),B391&lt;&gt;""),1,0)</f>
        <v>1</v>
      </c>
      <c r="AP391" s="1" t="n">
        <f aca="false">IF(B391="",0,IF(COUNTIF('⚖️ Wahrscheinlichkeit'!$J$17:$J$24,R391)&gt;0,1,0))</f>
        <v>0</v>
      </c>
      <c r="AQ391" s="1" t="n">
        <f aca="false">IF(B391="",0,IF(AND(ISNUMBER(S391),COUNTIF('⚖️ Wahrscheinlichkeit'!$B$6:$B$11,S391)&gt;0),1,0))</f>
        <v>0</v>
      </c>
      <c r="AR391" s="1" t="n">
        <f aca="false">IF(B391="",0,IF(AND(COUNT(J391:M391)=4,SUM(J391:M391)&gt;0),1,0))</f>
        <v>0</v>
      </c>
      <c r="AS391" s="1" t="n">
        <f aca="false">IF(B391="",0,IF(AND(AF391&lt;&gt;"",AG391&lt;&gt;""),1,0))</f>
        <v>0</v>
      </c>
      <c r="AT391" s="1" t="n">
        <f aca="false">IF(AND(R391="WON",AS391=1,AR391=1),1,0)</f>
        <v>0</v>
      </c>
      <c r="AU391" s="1" t="n">
        <f aca="false">IF(B391="",0,IF(AD391="Alternative – zählt nicht",0,1))</f>
        <v>0</v>
      </c>
      <c r="AV391" s="1" t="n">
        <f aca="false">IF(B391="",0,IF(COUNTIF($B$6:$B$860,B391)&gt;1,1,0))</f>
        <v>0</v>
      </c>
      <c r="AX391" s="269" t="str">
        <f aca="false">IF(AY391=1,DATE(YEAR(O391),MONTH(O391),1),"")</f>
        <v/>
      </c>
      <c r="AY391" s="1" t="n">
        <f aca="false">IF(B391="",0,IF(AND(ISNUMBER(O391),ISNUMBER(P391)),IF(P391&gt;=O391,1,0),0))</f>
        <v>0</v>
      </c>
      <c r="AZ391" s="1" t="n">
        <f aca="false">IF(ISNUMBER(Y391),Y391,0)</f>
        <v>0</v>
      </c>
      <c r="BA391" s="1" t="str">
        <f aca="false">IF(B391="","",IF(AND(R391="WON",AS391=0),"⛔ Beleg fehlt · ","")&amp;IF(AND(R391="WON",AR391=0),"⛔ Einstand fehlt · ","")&amp;IF(AND(R391&lt;&gt;"WON",AR391=0),"○ Einstand offen · ","")&amp;IF(AND(R391="WON",AB391=""),"⛔ Vertragsart fehlt · ","")&amp;IF(AND(ISNUMBER(O391),ISNUMBER(P391)),IF(P391&lt;O391,"⚠ Ende vor Start · ",""),"")&amp;IF(AND(R391="WON",AY391=0,NOT(AND(ISNUMBER(O391),ISNUMBER(P391)))),"⛔ Zeitraum fehlt · ","")&amp;IF(AND(R391&lt;&gt;"WON",AY391=0,NOT(AND(ISNUMBER(O391),ISNUMBER(P391)))),"○ Zeitraum offen · ",""))</f>
        <v/>
      </c>
      <c r="BB391" s="1" t="str">
        <f aca="false">IF(B391="","",IF(AND(R391="WON",AS391=0),"⛔ Nachweis fehlt",IF(AND(ISNUMBER(O391),ISNUMBER(P391),P391&lt;O391),"⚠ Ende vor Start",IF(AND(R391="WON",AY391=0),"⛔ Zeitraum fehlt",IF(AR391=0,"○ Einstand offen",IF(AY391=0,"○ Zeitraum offen",IF(R391="WON","✅ belegt","✔ erfasst")))))))</f>
        <v/>
      </c>
    </row>
    <row r="392" customFormat="false" ht="15" hidden="false" customHeight="true" outlineLevel="0" collapsed="false">
      <c r="G392" s="1" t="str">
        <f aca="false">IF(B392="","",IF(AY392=1,P392-O392+1,IF(AW392="","",AW392)))</f>
        <v/>
      </c>
      <c r="I392" s="270"/>
      <c r="J392" s="270"/>
      <c r="K392" s="270"/>
      <c r="L392" s="270"/>
      <c r="M392" s="270"/>
      <c r="N392" s="270"/>
      <c r="O392" s="263"/>
      <c r="P392" s="263"/>
      <c r="Q392" s="270" t="str">
        <f aca="false">IF(AND(ISNUMBER(I392),ISNUMBER(S392)),I392*AJ392,IF(OR(I392&lt;&gt;"",S392&lt;&gt;""),"tbd",""))</f>
        <v/>
      </c>
      <c r="S392" s="268"/>
      <c r="Y392" s="275" t="str">
        <f aca="false">IF(ISNUMBER(I392),I392/Netto_Faktor,"")</f>
        <v/>
      </c>
      <c r="Z392" s="275" t="str">
        <f aca="false">IF(B392="","",IF(COUNT(J392:N392)=0,"",SUM(J392:N392)))</f>
        <v/>
      </c>
      <c r="AA392" s="266"/>
      <c r="AB392" s="266"/>
      <c r="AC392" s="266"/>
      <c r="AD392" s="266"/>
      <c r="AE392" s="266"/>
      <c r="AF392" s="266"/>
      <c r="AG392" s="267"/>
      <c r="AH392" s="266" t="str">
        <f aca="false">IF(B392="","",IF(BA392="",IF(R392="WON","✅ belegt &amp; vollständig","✔ vollständig"),LEFT(BA392,LEN(BA392)-3)))</f>
        <v/>
      </c>
      <c r="AJ392" s="268" t="n">
        <f aca="false">IF(ISNUMBER(S392),IFERROR(LOOKUP(IF(S392&lt;=1,S392,S392/100),'⚖️ Wahrscheinlichkeit'!$B$17:$B$21,'⚖️ Wahrscheinlichkeit'!$D$17:$D$21),0),0)</f>
        <v>0</v>
      </c>
      <c r="AK392" s="1" t="str">
        <f aca="false">IF(AND(R392="WON",ISNUMBER(I392)),AL392+(861-ROW())*0.000001,"")</f>
        <v/>
      </c>
      <c r="AL392" s="1" t="n">
        <f aca="false">IFERROR(I392*1,0)</f>
        <v>0</v>
      </c>
      <c r="AM392" s="1" t="n">
        <f aca="false">N(AM391)+IF(AND(R392="WON",B392&lt;&gt;""),1,0)</f>
        <v>12</v>
      </c>
      <c r="AN392" s="1" t="n">
        <f aca="false">N(AN391)+IF(AND(OR(R392="offered",R392="to be offered",R392="on hold"),B392&lt;&gt;""),1,0)</f>
        <v>33</v>
      </c>
      <c r="AO392" s="1" t="n">
        <f aca="false">N(AO391)+IF(AND(OR(R392="follow-up",R392="Evaluation",R392="tbd",R392="In evaluation"),B392&lt;&gt;""),1,0)</f>
        <v>1</v>
      </c>
      <c r="AP392" s="1" t="n">
        <f aca="false">IF(B392="",0,IF(COUNTIF('⚖️ Wahrscheinlichkeit'!$J$17:$J$24,R392)&gt;0,1,0))</f>
        <v>0</v>
      </c>
      <c r="AQ392" s="1" t="n">
        <f aca="false">IF(B392="",0,IF(AND(ISNUMBER(S392),COUNTIF('⚖️ Wahrscheinlichkeit'!$B$6:$B$11,S392)&gt;0),1,0))</f>
        <v>0</v>
      </c>
      <c r="AR392" s="1" t="n">
        <f aca="false">IF(B392="",0,IF(AND(COUNT(J392:M392)=4,SUM(J392:M392)&gt;0),1,0))</f>
        <v>0</v>
      </c>
      <c r="AS392" s="1" t="n">
        <f aca="false">IF(B392="",0,IF(AND(AF392&lt;&gt;"",AG392&lt;&gt;""),1,0))</f>
        <v>0</v>
      </c>
      <c r="AT392" s="1" t="n">
        <f aca="false">IF(AND(R392="WON",AS392=1,AR392=1),1,0)</f>
        <v>0</v>
      </c>
      <c r="AU392" s="1" t="n">
        <f aca="false">IF(B392="",0,IF(AD392="Alternative – zählt nicht",0,1))</f>
        <v>0</v>
      </c>
      <c r="AV392" s="1" t="n">
        <f aca="false">IF(B392="",0,IF(COUNTIF($B$6:$B$860,B392)&gt;1,1,0))</f>
        <v>0</v>
      </c>
      <c r="AX392" s="269" t="str">
        <f aca="false">IF(AY392=1,DATE(YEAR(O392),MONTH(O392),1),"")</f>
        <v/>
      </c>
      <c r="AY392" s="1" t="n">
        <f aca="false">IF(B392="",0,IF(AND(ISNUMBER(O392),ISNUMBER(P392)),IF(P392&gt;=O392,1,0),0))</f>
        <v>0</v>
      </c>
      <c r="AZ392" s="1" t="n">
        <f aca="false">IF(ISNUMBER(Y392),Y392,0)</f>
        <v>0</v>
      </c>
      <c r="BA392" s="1" t="str">
        <f aca="false">IF(B392="","",IF(AND(R392="WON",AS392=0),"⛔ Beleg fehlt · ","")&amp;IF(AND(R392="WON",AR392=0),"⛔ Einstand fehlt · ","")&amp;IF(AND(R392&lt;&gt;"WON",AR392=0),"○ Einstand offen · ","")&amp;IF(AND(R392="WON",AB392=""),"⛔ Vertragsart fehlt · ","")&amp;IF(AND(ISNUMBER(O392),ISNUMBER(P392)),IF(P392&lt;O392,"⚠ Ende vor Start · ",""),"")&amp;IF(AND(R392="WON",AY392=0,NOT(AND(ISNUMBER(O392),ISNUMBER(P392)))),"⛔ Zeitraum fehlt · ","")&amp;IF(AND(R392&lt;&gt;"WON",AY392=0,NOT(AND(ISNUMBER(O392),ISNUMBER(P392)))),"○ Zeitraum offen · ",""))</f>
        <v/>
      </c>
      <c r="BB392" s="1" t="str">
        <f aca="false">IF(B392="","",IF(AND(R392="WON",AS392=0),"⛔ Nachweis fehlt",IF(AND(ISNUMBER(O392),ISNUMBER(P392),P392&lt;O392),"⚠ Ende vor Start",IF(AND(R392="WON",AY392=0),"⛔ Zeitraum fehlt",IF(AR392=0,"○ Einstand offen",IF(AY392=0,"○ Zeitraum offen",IF(R392="WON","✅ belegt","✔ erfasst")))))))</f>
        <v/>
      </c>
    </row>
    <row r="393" customFormat="false" ht="15" hidden="false" customHeight="true" outlineLevel="0" collapsed="false">
      <c r="G393" s="1" t="str">
        <f aca="false">IF(B393="","",IF(AY393=1,P393-O393+1,IF(AW393="","",AW393)))</f>
        <v/>
      </c>
      <c r="I393" s="270"/>
      <c r="J393" s="270"/>
      <c r="K393" s="270"/>
      <c r="L393" s="270"/>
      <c r="M393" s="270"/>
      <c r="N393" s="270"/>
      <c r="O393" s="263"/>
      <c r="P393" s="263"/>
      <c r="Q393" s="270" t="str">
        <f aca="false">IF(AND(ISNUMBER(I393),ISNUMBER(S393)),I393*AJ393,IF(OR(I393&lt;&gt;"",S393&lt;&gt;""),"tbd",""))</f>
        <v/>
      </c>
      <c r="S393" s="268"/>
      <c r="Y393" s="275" t="str">
        <f aca="false">IF(ISNUMBER(I393),I393/Netto_Faktor,"")</f>
        <v/>
      </c>
      <c r="Z393" s="275" t="str">
        <f aca="false">IF(B393="","",IF(COUNT(J393:N393)=0,"",SUM(J393:N393)))</f>
        <v/>
      </c>
      <c r="AA393" s="266"/>
      <c r="AB393" s="266"/>
      <c r="AC393" s="266"/>
      <c r="AD393" s="266"/>
      <c r="AE393" s="266"/>
      <c r="AF393" s="266"/>
      <c r="AG393" s="267"/>
      <c r="AH393" s="266" t="str">
        <f aca="false">IF(B393="","",IF(BA393="",IF(R393="WON","✅ belegt &amp; vollständig","✔ vollständig"),LEFT(BA393,LEN(BA393)-3)))</f>
        <v/>
      </c>
      <c r="AJ393" s="268" t="n">
        <f aca="false">IF(ISNUMBER(S393),IFERROR(LOOKUP(IF(S393&lt;=1,S393,S393/100),'⚖️ Wahrscheinlichkeit'!$B$17:$B$21,'⚖️ Wahrscheinlichkeit'!$D$17:$D$21),0),0)</f>
        <v>0</v>
      </c>
      <c r="AK393" s="1" t="str">
        <f aca="false">IF(AND(R393="WON",ISNUMBER(I393)),AL393+(861-ROW())*0.000001,"")</f>
        <v/>
      </c>
      <c r="AL393" s="1" t="n">
        <f aca="false">IFERROR(I393*1,0)</f>
        <v>0</v>
      </c>
      <c r="AM393" s="1" t="n">
        <f aca="false">N(AM392)+IF(AND(R393="WON",B393&lt;&gt;""),1,0)</f>
        <v>12</v>
      </c>
      <c r="AN393" s="1" t="n">
        <f aca="false">N(AN392)+IF(AND(OR(R393="offered",R393="to be offered",R393="on hold"),B393&lt;&gt;""),1,0)</f>
        <v>33</v>
      </c>
      <c r="AO393" s="1" t="n">
        <f aca="false">N(AO392)+IF(AND(OR(R393="follow-up",R393="Evaluation",R393="tbd",R393="In evaluation"),B393&lt;&gt;""),1,0)</f>
        <v>1</v>
      </c>
      <c r="AP393" s="1" t="n">
        <f aca="false">IF(B393="",0,IF(COUNTIF('⚖️ Wahrscheinlichkeit'!$J$17:$J$24,R393)&gt;0,1,0))</f>
        <v>0</v>
      </c>
      <c r="AQ393" s="1" t="n">
        <f aca="false">IF(B393="",0,IF(AND(ISNUMBER(S393),COUNTIF('⚖️ Wahrscheinlichkeit'!$B$6:$B$11,S393)&gt;0),1,0))</f>
        <v>0</v>
      </c>
      <c r="AR393" s="1" t="n">
        <f aca="false">IF(B393="",0,IF(AND(COUNT(J393:M393)=4,SUM(J393:M393)&gt;0),1,0))</f>
        <v>0</v>
      </c>
      <c r="AS393" s="1" t="n">
        <f aca="false">IF(B393="",0,IF(AND(AF393&lt;&gt;"",AG393&lt;&gt;""),1,0))</f>
        <v>0</v>
      </c>
      <c r="AT393" s="1" t="n">
        <f aca="false">IF(AND(R393="WON",AS393=1,AR393=1),1,0)</f>
        <v>0</v>
      </c>
      <c r="AU393" s="1" t="n">
        <f aca="false">IF(B393="",0,IF(AD393="Alternative – zählt nicht",0,1))</f>
        <v>0</v>
      </c>
      <c r="AV393" s="1" t="n">
        <f aca="false">IF(B393="",0,IF(COUNTIF($B$6:$B$860,B393)&gt;1,1,0))</f>
        <v>0</v>
      </c>
      <c r="AX393" s="269" t="str">
        <f aca="false">IF(AY393=1,DATE(YEAR(O393),MONTH(O393),1),"")</f>
        <v/>
      </c>
      <c r="AY393" s="1" t="n">
        <f aca="false">IF(B393="",0,IF(AND(ISNUMBER(O393),ISNUMBER(P393)),IF(P393&gt;=O393,1,0),0))</f>
        <v>0</v>
      </c>
      <c r="AZ393" s="1" t="n">
        <f aca="false">IF(ISNUMBER(Y393),Y393,0)</f>
        <v>0</v>
      </c>
      <c r="BA393" s="1" t="str">
        <f aca="false">IF(B393="","",IF(AND(R393="WON",AS393=0),"⛔ Beleg fehlt · ","")&amp;IF(AND(R393="WON",AR393=0),"⛔ Einstand fehlt · ","")&amp;IF(AND(R393&lt;&gt;"WON",AR393=0),"○ Einstand offen · ","")&amp;IF(AND(R393="WON",AB393=""),"⛔ Vertragsart fehlt · ","")&amp;IF(AND(ISNUMBER(O393),ISNUMBER(P393)),IF(P393&lt;O393,"⚠ Ende vor Start · ",""),"")&amp;IF(AND(R393="WON",AY393=0,NOT(AND(ISNUMBER(O393),ISNUMBER(P393)))),"⛔ Zeitraum fehlt · ","")&amp;IF(AND(R393&lt;&gt;"WON",AY393=0,NOT(AND(ISNUMBER(O393),ISNUMBER(P393)))),"○ Zeitraum offen · ",""))</f>
        <v/>
      </c>
      <c r="BB393" s="1" t="str">
        <f aca="false">IF(B393="","",IF(AND(R393="WON",AS393=0),"⛔ Nachweis fehlt",IF(AND(ISNUMBER(O393),ISNUMBER(P393),P393&lt;O393),"⚠ Ende vor Start",IF(AND(R393="WON",AY393=0),"⛔ Zeitraum fehlt",IF(AR393=0,"○ Einstand offen",IF(AY393=0,"○ Zeitraum offen",IF(R393="WON","✅ belegt","✔ erfasst")))))))</f>
        <v/>
      </c>
    </row>
    <row r="394" customFormat="false" ht="15" hidden="false" customHeight="true" outlineLevel="0" collapsed="false">
      <c r="G394" s="1" t="str">
        <f aca="false">IF(B394="","",IF(AY394=1,P394-O394+1,IF(AW394="","",AW394)))</f>
        <v/>
      </c>
      <c r="I394" s="270"/>
      <c r="J394" s="270"/>
      <c r="K394" s="270"/>
      <c r="L394" s="270"/>
      <c r="M394" s="270"/>
      <c r="N394" s="270"/>
      <c r="O394" s="263"/>
      <c r="P394" s="263"/>
      <c r="Q394" s="270" t="str">
        <f aca="false">IF(AND(ISNUMBER(I394),ISNUMBER(S394)),I394*AJ394,IF(OR(I394&lt;&gt;"",S394&lt;&gt;""),"tbd",""))</f>
        <v/>
      </c>
      <c r="S394" s="268"/>
      <c r="Y394" s="275" t="str">
        <f aca="false">IF(ISNUMBER(I394),I394/Netto_Faktor,"")</f>
        <v/>
      </c>
      <c r="Z394" s="275" t="str">
        <f aca="false">IF(B394="","",IF(COUNT(J394:N394)=0,"",SUM(J394:N394)))</f>
        <v/>
      </c>
      <c r="AA394" s="266"/>
      <c r="AB394" s="266"/>
      <c r="AC394" s="266"/>
      <c r="AD394" s="266"/>
      <c r="AE394" s="266"/>
      <c r="AF394" s="266"/>
      <c r="AG394" s="267"/>
      <c r="AH394" s="266" t="str">
        <f aca="false">IF(B394="","",IF(BA394="",IF(R394="WON","✅ belegt &amp; vollständig","✔ vollständig"),LEFT(BA394,LEN(BA394)-3)))</f>
        <v/>
      </c>
      <c r="AJ394" s="268" t="n">
        <f aca="false">IF(ISNUMBER(S394),IFERROR(LOOKUP(IF(S394&lt;=1,S394,S394/100),'⚖️ Wahrscheinlichkeit'!$B$17:$B$21,'⚖️ Wahrscheinlichkeit'!$D$17:$D$21),0),0)</f>
        <v>0</v>
      </c>
      <c r="AK394" s="1" t="str">
        <f aca="false">IF(AND(R394="WON",ISNUMBER(I394)),AL394+(861-ROW())*0.000001,"")</f>
        <v/>
      </c>
      <c r="AL394" s="1" t="n">
        <f aca="false">IFERROR(I394*1,0)</f>
        <v>0</v>
      </c>
      <c r="AM394" s="1" t="n">
        <f aca="false">N(AM393)+IF(AND(R394="WON",B394&lt;&gt;""),1,0)</f>
        <v>12</v>
      </c>
      <c r="AN394" s="1" t="n">
        <f aca="false">N(AN393)+IF(AND(OR(R394="offered",R394="to be offered",R394="on hold"),B394&lt;&gt;""),1,0)</f>
        <v>33</v>
      </c>
      <c r="AO394" s="1" t="n">
        <f aca="false">N(AO393)+IF(AND(OR(R394="follow-up",R394="Evaluation",R394="tbd",R394="In evaluation"),B394&lt;&gt;""),1,0)</f>
        <v>1</v>
      </c>
      <c r="AP394" s="1" t="n">
        <f aca="false">IF(B394="",0,IF(COUNTIF('⚖️ Wahrscheinlichkeit'!$J$17:$J$24,R394)&gt;0,1,0))</f>
        <v>0</v>
      </c>
      <c r="AQ394" s="1" t="n">
        <f aca="false">IF(B394="",0,IF(AND(ISNUMBER(S394),COUNTIF('⚖️ Wahrscheinlichkeit'!$B$6:$B$11,S394)&gt;0),1,0))</f>
        <v>0</v>
      </c>
      <c r="AR394" s="1" t="n">
        <f aca="false">IF(B394="",0,IF(AND(COUNT(J394:M394)=4,SUM(J394:M394)&gt;0),1,0))</f>
        <v>0</v>
      </c>
      <c r="AS394" s="1" t="n">
        <f aca="false">IF(B394="",0,IF(AND(AF394&lt;&gt;"",AG394&lt;&gt;""),1,0))</f>
        <v>0</v>
      </c>
      <c r="AT394" s="1" t="n">
        <f aca="false">IF(AND(R394="WON",AS394=1,AR394=1),1,0)</f>
        <v>0</v>
      </c>
      <c r="AU394" s="1" t="n">
        <f aca="false">IF(B394="",0,IF(AD394="Alternative – zählt nicht",0,1))</f>
        <v>0</v>
      </c>
      <c r="AV394" s="1" t="n">
        <f aca="false">IF(B394="",0,IF(COUNTIF($B$6:$B$860,B394)&gt;1,1,0))</f>
        <v>0</v>
      </c>
      <c r="AX394" s="269" t="str">
        <f aca="false">IF(AY394=1,DATE(YEAR(O394),MONTH(O394),1),"")</f>
        <v/>
      </c>
      <c r="AY394" s="1" t="n">
        <f aca="false">IF(B394="",0,IF(AND(ISNUMBER(O394),ISNUMBER(P394)),IF(P394&gt;=O394,1,0),0))</f>
        <v>0</v>
      </c>
      <c r="AZ394" s="1" t="n">
        <f aca="false">IF(ISNUMBER(Y394),Y394,0)</f>
        <v>0</v>
      </c>
      <c r="BA394" s="1" t="str">
        <f aca="false">IF(B394="","",IF(AND(R394="WON",AS394=0),"⛔ Beleg fehlt · ","")&amp;IF(AND(R394="WON",AR394=0),"⛔ Einstand fehlt · ","")&amp;IF(AND(R394&lt;&gt;"WON",AR394=0),"○ Einstand offen · ","")&amp;IF(AND(R394="WON",AB394=""),"⛔ Vertragsart fehlt · ","")&amp;IF(AND(ISNUMBER(O394),ISNUMBER(P394)),IF(P394&lt;O394,"⚠ Ende vor Start · ",""),"")&amp;IF(AND(R394="WON",AY394=0,NOT(AND(ISNUMBER(O394),ISNUMBER(P394)))),"⛔ Zeitraum fehlt · ","")&amp;IF(AND(R394&lt;&gt;"WON",AY394=0,NOT(AND(ISNUMBER(O394),ISNUMBER(P394)))),"○ Zeitraum offen · ",""))</f>
        <v/>
      </c>
      <c r="BB394" s="1" t="str">
        <f aca="false">IF(B394="","",IF(AND(R394="WON",AS394=0),"⛔ Nachweis fehlt",IF(AND(ISNUMBER(O394),ISNUMBER(P394),P394&lt;O394),"⚠ Ende vor Start",IF(AND(R394="WON",AY394=0),"⛔ Zeitraum fehlt",IF(AR394=0,"○ Einstand offen",IF(AY394=0,"○ Zeitraum offen",IF(R394="WON","✅ belegt","✔ erfasst")))))))</f>
        <v/>
      </c>
    </row>
    <row r="395" customFormat="false" ht="15" hidden="false" customHeight="true" outlineLevel="0" collapsed="false">
      <c r="G395" s="1" t="str">
        <f aca="false">IF(B395="","",IF(AY395=1,P395-O395+1,IF(AW395="","",AW395)))</f>
        <v/>
      </c>
      <c r="I395" s="270"/>
      <c r="J395" s="270"/>
      <c r="K395" s="270"/>
      <c r="L395" s="270"/>
      <c r="M395" s="270"/>
      <c r="N395" s="270"/>
      <c r="O395" s="263"/>
      <c r="P395" s="263"/>
      <c r="Q395" s="270" t="str">
        <f aca="false">IF(AND(ISNUMBER(I395),ISNUMBER(S395)),I395*AJ395,IF(OR(I395&lt;&gt;"",S395&lt;&gt;""),"tbd",""))</f>
        <v/>
      </c>
      <c r="S395" s="268"/>
      <c r="Y395" s="275" t="str">
        <f aca="false">IF(ISNUMBER(I395),I395/Netto_Faktor,"")</f>
        <v/>
      </c>
      <c r="Z395" s="275" t="str">
        <f aca="false">IF(B395="","",IF(COUNT(J395:N395)=0,"",SUM(J395:N395)))</f>
        <v/>
      </c>
      <c r="AA395" s="266"/>
      <c r="AB395" s="266"/>
      <c r="AC395" s="266"/>
      <c r="AD395" s="266"/>
      <c r="AE395" s="266"/>
      <c r="AF395" s="266"/>
      <c r="AG395" s="267"/>
      <c r="AH395" s="266" t="str">
        <f aca="false">IF(B395="","",IF(BA395="",IF(R395="WON","✅ belegt &amp; vollständig","✔ vollständig"),LEFT(BA395,LEN(BA395)-3)))</f>
        <v/>
      </c>
      <c r="AJ395" s="268" t="n">
        <f aca="false">IF(ISNUMBER(S395),IFERROR(LOOKUP(IF(S395&lt;=1,S395,S395/100),'⚖️ Wahrscheinlichkeit'!$B$17:$B$21,'⚖️ Wahrscheinlichkeit'!$D$17:$D$21),0),0)</f>
        <v>0</v>
      </c>
      <c r="AK395" s="1" t="str">
        <f aca="false">IF(AND(R395="WON",ISNUMBER(I395)),AL395+(861-ROW())*0.000001,"")</f>
        <v/>
      </c>
      <c r="AL395" s="1" t="n">
        <f aca="false">IFERROR(I395*1,0)</f>
        <v>0</v>
      </c>
      <c r="AM395" s="1" t="n">
        <f aca="false">N(AM394)+IF(AND(R395="WON",B395&lt;&gt;""),1,0)</f>
        <v>12</v>
      </c>
      <c r="AN395" s="1" t="n">
        <f aca="false">N(AN394)+IF(AND(OR(R395="offered",R395="to be offered",R395="on hold"),B395&lt;&gt;""),1,0)</f>
        <v>33</v>
      </c>
      <c r="AO395" s="1" t="n">
        <f aca="false">N(AO394)+IF(AND(OR(R395="follow-up",R395="Evaluation",R395="tbd",R395="In evaluation"),B395&lt;&gt;""),1,0)</f>
        <v>1</v>
      </c>
      <c r="AP395" s="1" t="n">
        <f aca="false">IF(B395="",0,IF(COUNTIF('⚖️ Wahrscheinlichkeit'!$J$17:$J$24,R395)&gt;0,1,0))</f>
        <v>0</v>
      </c>
      <c r="AQ395" s="1" t="n">
        <f aca="false">IF(B395="",0,IF(AND(ISNUMBER(S395),COUNTIF('⚖️ Wahrscheinlichkeit'!$B$6:$B$11,S395)&gt;0),1,0))</f>
        <v>0</v>
      </c>
      <c r="AR395" s="1" t="n">
        <f aca="false">IF(B395="",0,IF(AND(COUNT(J395:M395)=4,SUM(J395:M395)&gt;0),1,0))</f>
        <v>0</v>
      </c>
      <c r="AS395" s="1" t="n">
        <f aca="false">IF(B395="",0,IF(AND(AF395&lt;&gt;"",AG395&lt;&gt;""),1,0))</f>
        <v>0</v>
      </c>
      <c r="AT395" s="1" t="n">
        <f aca="false">IF(AND(R395="WON",AS395=1,AR395=1),1,0)</f>
        <v>0</v>
      </c>
      <c r="AU395" s="1" t="n">
        <f aca="false">IF(B395="",0,IF(AD395="Alternative – zählt nicht",0,1))</f>
        <v>0</v>
      </c>
      <c r="AV395" s="1" t="n">
        <f aca="false">IF(B395="",0,IF(COUNTIF($B$6:$B$860,B395)&gt;1,1,0))</f>
        <v>0</v>
      </c>
      <c r="AX395" s="269" t="str">
        <f aca="false">IF(AY395=1,DATE(YEAR(O395),MONTH(O395),1),"")</f>
        <v/>
      </c>
      <c r="AY395" s="1" t="n">
        <f aca="false">IF(B395="",0,IF(AND(ISNUMBER(O395),ISNUMBER(P395)),IF(P395&gt;=O395,1,0),0))</f>
        <v>0</v>
      </c>
      <c r="AZ395" s="1" t="n">
        <f aca="false">IF(ISNUMBER(Y395),Y395,0)</f>
        <v>0</v>
      </c>
      <c r="BA395" s="1" t="str">
        <f aca="false">IF(B395="","",IF(AND(R395="WON",AS395=0),"⛔ Beleg fehlt · ","")&amp;IF(AND(R395="WON",AR395=0),"⛔ Einstand fehlt · ","")&amp;IF(AND(R395&lt;&gt;"WON",AR395=0),"○ Einstand offen · ","")&amp;IF(AND(R395="WON",AB395=""),"⛔ Vertragsart fehlt · ","")&amp;IF(AND(ISNUMBER(O395),ISNUMBER(P395)),IF(P395&lt;O395,"⚠ Ende vor Start · ",""),"")&amp;IF(AND(R395="WON",AY395=0,NOT(AND(ISNUMBER(O395),ISNUMBER(P395)))),"⛔ Zeitraum fehlt · ","")&amp;IF(AND(R395&lt;&gt;"WON",AY395=0,NOT(AND(ISNUMBER(O395),ISNUMBER(P395)))),"○ Zeitraum offen · ",""))</f>
        <v/>
      </c>
      <c r="BB395" s="1" t="str">
        <f aca="false">IF(B395="","",IF(AND(R395="WON",AS395=0),"⛔ Nachweis fehlt",IF(AND(ISNUMBER(O395),ISNUMBER(P395),P395&lt;O395),"⚠ Ende vor Start",IF(AND(R395="WON",AY395=0),"⛔ Zeitraum fehlt",IF(AR395=0,"○ Einstand offen",IF(AY395=0,"○ Zeitraum offen",IF(R395="WON","✅ belegt","✔ erfasst")))))))</f>
        <v/>
      </c>
    </row>
    <row r="396" customFormat="false" ht="15" hidden="false" customHeight="true" outlineLevel="0" collapsed="false">
      <c r="G396" s="1" t="str">
        <f aca="false">IF(B396="","",IF(AY396=1,P396-O396+1,IF(AW396="","",AW396)))</f>
        <v/>
      </c>
      <c r="I396" s="270"/>
      <c r="J396" s="270"/>
      <c r="K396" s="270"/>
      <c r="L396" s="270"/>
      <c r="M396" s="270"/>
      <c r="N396" s="270"/>
      <c r="O396" s="263"/>
      <c r="P396" s="263"/>
      <c r="Q396" s="270" t="str">
        <f aca="false">IF(AND(ISNUMBER(I396),ISNUMBER(S396)),I396*AJ396,IF(OR(I396&lt;&gt;"",S396&lt;&gt;""),"tbd",""))</f>
        <v/>
      </c>
      <c r="S396" s="268"/>
      <c r="Y396" s="275" t="str">
        <f aca="false">IF(ISNUMBER(I396),I396/Netto_Faktor,"")</f>
        <v/>
      </c>
      <c r="Z396" s="275" t="str">
        <f aca="false">IF(B396="","",IF(COUNT(J396:N396)=0,"",SUM(J396:N396)))</f>
        <v/>
      </c>
      <c r="AA396" s="266"/>
      <c r="AB396" s="266"/>
      <c r="AC396" s="266"/>
      <c r="AD396" s="266"/>
      <c r="AE396" s="266"/>
      <c r="AF396" s="266"/>
      <c r="AG396" s="267"/>
      <c r="AH396" s="266" t="str">
        <f aca="false">IF(B396="","",IF(BA396="",IF(R396="WON","✅ belegt &amp; vollständig","✔ vollständig"),LEFT(BA396,LEN(BA396)-3)))</f>
        <v/>
      </c>
      <c r="AJ396" s="268" t="n">
        <f aca="false">IF(ISNUMBER(S396),IFERROR(LOOKUP(IF(S396&lt;=1,S396,S396/100),'⚖️ Wahrscheinlichkeit'!$B$17:$B$21,'⚖️ Wahrscheinlichkeit'!$D$17:$D$21),0),0)</f>
        <v>0</v>
      </c>
      <c r="AK396" s="1" t="str">
        <f aca="false">IF(AND(R396="WON",ISNUMBER(I396)),AL396+(861-ROW())*0.000001,"")</f>
        <v/>
      </c>
      <c r="AL396" s="1" t="n">
        <f aca="false">IFERROR(I396*1,0)</f>
        <v>0</v>
      </c>
      <c r="AM396" s="1" t="n">
        <f aca="false">N(AM395)+IF(AND(R396="WON",B396&lt;&gt;""),1,0)</f>
        <v>12</v>
      </c>
      <c r="AN396" s="1" t="n">
        <f aca="false">N(AN395)+IF(AND(OR(R396="offered",R396="to be offered",R396="on hold"),B396&lt;&gt;""),1,0)</f>
        <v>33</v>
      </c>
      <c r="AO396" s="1" t="n">
        <f aca="false">N(AO395)+IF(AND(OR(R396="follow-up",R396="Evaluation",R396="tbd",R396="In evaluation"),B396&lt;&gt;""),1,0)</f>
        <v>1</v>
      </c>
      <c r="AP396" s="1" t="n">
        <f aca="false">IF(B396="",0,IF(COUNTIF('⚖️ Wahrscheinlichkeit'!$J$17:$J$24,R396)&gt;0,1,0))</f>
        <v>0</v>
      </c>
      <c r="AQ396" s="1" t="n">
        <f aca="false">IF(B396="",0,IF(AND(ISNUMBER(S396),COUNTIF('⚖️ Wahrscheinlichkeit'!$B$6:$B$11,S396)&gt;0),1,0))</f>
        <v>0</v>
      </c>
      <c r="AR396" s="1" t="n">
        <f aca="false">IF(B396="",0,IF(AND(COUNT(J396:M396)=4,SUM(J396:M396)&gt;0),1,0))</f>
        <v>0</v>
      </c>
      <c r="AS396" s="1" t="n">
        <f aca="false">IF(B396="",0,IF(AND(AF396&lt;&gt;"",AG396&lt;&gt;""),1,0))</f>
        <v>0</v>
      </c>
      <c r="AT396" s="1" t="n">
        <f aca="false">IF(AND(R396="WON",AS396=1,AR396=1),1,0)</f>
        <v>0</v>
      </c>
      <c r="AU396" s="1" t="n">
        <f aca="false">IF(B396="",0,IF(AD396="Alternative – zählt nicht",0,1))</f>
        <v>0</v>
      </c>
      <c r="AV396" s="1" t="n">
        <f aca="false">IF(B396="",0,IF(COUNTIF($B$6:$B$860,B396)&gt;1,1,0))</f>
        <v>0</v>
      </c>
      <c r="AX396" s="269" t="str">
        <f aca="false">IF(AY396=1,DATE(YEAR(O396),MONTH(O396),1),"")</f>
        <v/>
      </c>
      <c r="AY396" s="1" t="n">
        <f aca="false">IF(B396="",0,IF(AND(ISNUMBER(O396),ISNUMBER(P396)),IF(P396&gt;=O396,1,0),0))</f>
        <v>0</v>
      </c>
      <c r="AZ396" s="1" t="n">
        <f aca="false">IF(ISNUMBER(Y396),Y396,0)</f>
        <v>0</v>
      </c>
      <c r="BA396" s="1" t="str">
        <f aca="false">IF(B396="","",IF(AND(R396="WON",AS396=0),"⛔ Beleg fehlt · ","")&amp;IF(AND(R396="WON",AR396=0),"⛔ Einstand fehlt · ","")&amp;IF(AND(R396&lt;&gt;"WON",AR396=0),"○ Einstand offen · ","")&amp;IF(AND(R396="WON",AB396=""),"⛔ Vertragsart fehlt · ","")&amp;IF(AND(ISNUMBER(O396),ISNUMBER(P396)),IF(P396&lt;O396,"⚠ Ende vor Start · ",""),"")&amp;IF(AND(R396="WON",AY396=0,NOT(AND(ISNUMBER(O396),ISNUMBER(P396)))),"⛔ Zeitraum fehlt · ","")&amp;IF(AND(R396&lt;&gt;"WON",AY396=0,NOT(AND(ISNUMBER(O396),ISNUMBER(P396)))),"○ Zeitraum offen · ",""))</f>
        <v/>
      </c>
      <c r="BB396" s="1" t="str">
        <f aca="false">IF(B396="","",IF(AND(R396="WON",AS396=0),"⛔ Nachweis fehlt",IF(AND(ISNUMBER(O396),ISNUMBER(P396),P396&lt;O396),"⚠ Ende vor Start",IF(AND(R396="WON",AY396=0),"⛔ Zeitraum fehlt",IF(AR396=0,"○ Einstand offen",IF(AY396=0,"○ Zeitraum offen",IF(R396="WON","✅ belegt","✔ erfasst")))))))</f>
        <v/>
      </c>
    </row>
    <row r="397" customFormat="false" ht="15" hidden="false" customHeight="true" outlineLevel="0" collapsed="false">
      <c r="G397" s="1" t="str">
        <f aca="false">IF(B397="","",IF(AY397=1,P397-O397+1,IF(AW397="","",AW397)))</f>
        <v/>
      </c>
      <c r="I397" s="270"/>
      <c r="J397" s="270"/>
      <c r="K397" s="270"/>
      <c r="L397" s="270"/>
      <c r="M397" s="270"/>
      <c r="N397" s="270"/>
      <c r="O397" s="263"/>
      <c r="P397" s="263"/>
      <c r="Q397" s="270" t="str">
        <f aca="false">IF(AND(ISNUMBER(I397),ISNUMBER(S397)),I397*AJ397,IF(OR(I397&lt;&gt;"",S397&lt;&gt;""),"tbd",""))</f>
        <v/>
      </c>
      <c r="S397" s="268"/>
      <c r="Y397" s="275" t="str">
        <f aca="false">IF(ISNUMBER(I397),I397/Netto_Faktor,"")</f>
        <v/>
      </c>
      <c r="Z397" s="275" t="str">
        <f aca="false">IF(B397="","",IF(COUNT(J397:N397)=0,"",SUM(J397:N397)))</f>
        <v/>
      </c>
      <c r="AA397" s="266"/>
      <c r="AB397" s="266"/>
      <c r="AC397" s="266"/>
      <c r="AD397" s="266"/>
      <c r="AE397" s="266"/>
      <c r="AF397" s="266"/>
      <c r="AG397" s="267"/>
      <c r="AH397" s="266" t="str">
        <f aca="false">IF(B397="","",IF(BA397="",IF(R397="WON","✅ belegt &amp; vollständig","✔ vollständig"),LEFT(BA397,LEN(BA397)-3)))</f>
        <v/>
      </c>
      <c r="AJ397" s="268" t="n">
        <f aca="false">IF(ISNUMBER(S397),IFERROR(LOOKUP(IF(S397&lt;=1,S397,S397/100),'⚖️ Wahrscheinlichkeit'!$B$17:$B$21,'⚖️ Wahrscheinlichkeit'!$D$17:$D$21),0),0)</f>
        <v>0</v>
      </c>
      <c r="AK397" s="1" t="str">
        <f aca="false">IF(AND(R397="WON",ISNUMBER(I397)),AL397+(861-ROW())*0.000001,"")</f>
        <v/>
      </c>
      <c r="AL397" s="1" t="n">
        <f aca="false">IFERROR(I397*1,0)</f>
        <v>0</v>
      </c>
      <c r="AM397" s="1" t="n">
        <f aca="false">N(AM396)+IF(AND(R397="WON",B397&lt;&gt;""),1,0)</f>
        <v>12</v>
      </c>
      <c r="AN397" s="1" t="n">
        <f aca="false">N(AN396)+IF(AND(OR(R397="offered",R397="to be offered",R397="on hold"),B397&lt;&gt;""),1,0)</f>
        <v>33</v>
      </c>
      <c r="AO397" s="1" t="n">
        <f aca="false">N(AO396)+IF(AND(OR(R397="follow-up",R397="Evaluation",R397="tbd",R397="In evaluation"),B397&lt;&gt;""),1,0)</f>
        <v>1</v>
      </c>
      <c r="AP397" s="1" t="n">
        <f aca="false">IF(B397="",0,IF(COUNTIF('⚖️ Wahrscheinlichkeit'!$J$17:$J$24,R397)&gt;0,1,0))</f>
        <v>0</v>
      </c>
      <c r="AQ397" s="1" t="n">
        <f aca="false">IF(B397="",0,IF(AND(ISNUMBER(S397),COUNTIF('⚖️ Wahrscheinlichkeit'!$B$6:$B$11,S397)&gt;0),1,0))</f>
        <v>0</v>
      </c>
      <c r="AR397" s="1" t="n">
        <f aca="false">IF(B397="",0,IF(AND(COUNT(J397:M397)=4,SUM(J397:M397)&gt;0),1,0))</f>
        <v>0</v>
      </c>
      <c r="AS397" s="1" t="n">
        <f aca="false">IF(B397="",0,IF(AND(AF397&lt;&gt;"",AG397&lt;&gt;""),1,0))</f>
        <v>0</v>
      </c>
      <c r="AT397" s="1" t="n">
        <f aca="false">IF(AND(R397="WON",AS397=1,AR397=1),1,0)</f>
        <v>0</v>
      </c>
      <c r="AU397" s="1" t="n">
        <f aca="false">IF(B397="",0,IF(AD397="Alternative – zählt nicht",0,1))</f>
        <v>0</v>
      </c>
      <c r="AV397" s="1" t="n">
        <f aca="false">IF(B397="",0,IF(COUNTIF($B$6:$B$860,B397)&gt;1,1,0))</f>
        <v>0</v>
      </c>
      <c r="AX397" s="269" t="str">
        <f aca="false">IF(AY397=1,DATE(YEAR(O397),MONTH(O397),1),"")</f>
        <v/>
      </c>
      <c r="AY397" s="1" t="n">
        <f aca="false">IF(B397="",0,IF(AND(ISNUMBER(O397),ISNUMBER(P397)),IF(P397&gt;=O397,1,0),0))</f>
        <v>0</v>
      </c>
      <c r="AZ397" s="1" t="n">
        <f aca="false">IF(ISNUMBER(Y397),Y397,0)</f>
        <v>0</v>
      </c>
      <c r="BA397" s="1" t="str">
        <f aca="false">IF(B397="","",IF(AND(R397="WON",AS397=0),"⛔ Beleg fehlt · ","")&amp;IF(AND(R397="WON",AR397=0),"⛔ Einstand fehlt · ","")&amp;IF(AND(R397&lt;&gt;"WON",AR397=0),"○ Einstand offen · ","")&amp;IF(AND(R397="WON",AB397=""),"⛔ Vertragsart fehlt · ","")&amp;IF(AND(ISNUMBER(O397),ISNUMBER(P397)),IF(P397&lt;O397,"⚠ Ende vor Start · ",""),"")&amp;IF(AND(R397="WON",AY397=0,NOT(AND(ISNUMBER(O397),ISNUMBER(P397)))),"⛔ Zeitraum fehlt · ","")&amp;IF(AND(R397&lt;&gt;"WON",AY397=0,NOT(AND(ISNUMBER(O397),ISNUMBER(P397)))),"○ Zeitraum offen · ",""))</f>
        <v/>
      </c>
      <c r="BB397" s="1" t="str">
        <f aca="false">IF(B397="","",IF(AND(R397="WON",AS397=0),"⛔ Nachweis fehlt",IF(AND(ISNUMBER(O397),ISNUMBER(P397),P397&lt;O397),"⚠ Ende vor Start",IF(AND(R397="WON",AY397=0),"⛔ Zeitraum fehlt",IF(AR397=0,"○ Einstand offen",IF(AY397=0,"○ Zeitraum offen",IF(R397="WON","✅ belegt","✔ erfasst")))))))</f>
        <v/>
      </c>
    </row>
    <row r="398" customFormat="false" ht="15" hidden="false" customHeight="true" outlineLevel="0" collapsed="false">
      <c r="G398" s="1" t="str">
        <f aca="false">IF(B398="","",IF(AY398=1,P398-O398+1,IF(AW398="","",AW398)))</f>
        <v/>
      </c>
      <c r="I398" s="270"/>
      <c r="J398" s="270"/>
      <c r="K398" s="270"/>
      <c r="L398" s="270"/>
      <c r="M398" s="270"/>
      <c r="N398" s="270"/>
      <c r="O398" s="263"/>
      <c r="P398" s="263"/>
      <c r="Q398" s="270" t="str">
        <f aca="false">IF(AND(ISNUMBER(I398),ISNUMBER(S398)),I398*AJ398,IF(OR(I398&lt;&gt;"",S398&lt;&gt;""),"tbd",""))</f>
        <v/>
      </c>
      <c r="S398" s="268"/>
      <c r="Y398" s="275" t="str">
        <f aca="false">IF(ISNUMBER(I398),I398/Netto_Faktor,"")</f>
        <v/>
      </c>
      <c r="Z398" s="275" t="str">
        <f aca="false">IF(B398="","",IF(COUNT(J398:N398)=0,"",SUM(J398:N398)))</f>
        <v/>
      </c>
      <c r="AA398" s="266"/>
      <c r="AB398" s="266"/>
      <c r="AC398" s="266"/>
      <c r="AD398" s="266"/>
      <c r="AE398" s="266"/>
      <c r="AF398" s="266"/>
      <c r="AG398" s="267"/>
      <c r="AH398" s="266" t="str">
        <f aca="false">IF(B398="","",IF(BA398="",IF(R398="WON","✅ belegt &amp; vollständig","✔ vollständig"),LEFT(BA398,LEN(BA398)-3)))</f>
        <v/>
      </c>
      <c r="AJ398" s="268" t="n">
        <f aca="false">IF(ISNUMBER(S398),IFERROR(LOOKUP(IF(S398&lt;=1,S398,S398/100),'⚖️ Wahrscheinlichkeit'!$B$17:$B$21,'⚖️ Wahrscheinlichkeit'!$D$17:$D$21),0),0)</f>
        <v>0</v>
      </c>
      <c r="AK398" s="1" t="str">
        <f aca="false">IF(AND(R398="WON",ISNUMBER(I398)),AL398+(861-ROW())*0.000001,"")</f>
        <v/>
      </c>
      <c r="AL398" s="1" t="n">
        <f aca="false">IFERROR(I398*1,0)</f>
        <v>0</v>
      </c>
      <c r="AM398" s="1" t="n">
        <f aca="false">N(AM397)+IF(AND(R398="WON",B398&lt;&gt;""),1,0)</f>
        <v>12</v>
      </c>
      <c r="AN398" s="1" t="n">
        <f aca="false">N(AN397)+IF(AND(OR(R398="offered",R398="to be offered",R398="on hold"),B398&lt;&gt;""),1,0)</f>
        <v>33</v>
      </c>
      <c r="AO398" s="1" t="n">
        <f aca="false">N(AO397)+IF(AND(OR(R398="follow-up",R398="Evaluation",R398="tbd",R398="In evaluation"),B398&lt;&gt;""),1,0)</f>
        <v>1</v>
      </c>
      <c r="AP398" s="1" t="n">
        <f aca="false">IF(B398="",0,IF(COUNTIF('⚖️ Wahrscheinlichkeit'!$J$17:$J$24,R398)&gt;0,1,0))</f>
        <v>0</v>
      </c>
      <c r="AQ398" s="1" t="n">
        <f aca="false">IF(B398="",0,IF(AND(ISNUMBER(S398),COUNTIF('⚖️ Wahrscheinlichkeit'!$B$6:$B$11,S398)&gt;0),1,0))</f>
        <v>0</v>
      </c>
      <c r="AR398" s="1" t="n">
        <f aca="false">IF(B398="",0,IF(AND(COUNT(J398:M398)=4,SUM(J398:M398)&gt;0),1,0))</f>
        <v>0</v>
      </c>
      <c r="AS398" s="1" t="n">
        <f aca="false">IF(B398="",0,IF(AND(AF398&lt;&gt;"",AG398&lt;&gt;""),1,0))</f>
        <v>0</v>
      </c>
      <c r="AT398" s="1" t="n">
        <f aca="false">IF(AND(R398="WON",AS398=1,AR398=1),1,0)</f>
        <v>0</v>
      </c>
      <c r="AU398" s="1" t="n">
        <f aca="false">IF(B398="",0,IF(AD398="Alternative – zählt nicht",0,1))</f>
        <v>0</v>
      </c>
      <c r="AV398" s="1" t="n">
        <f aca="false">IF(B398="",0,IF(COUNTIF($B$6:$B$860,B398)&gt;1,1,0))</f>
        <v>0</v>
      </c>
      <c r="AX398" s="269" t="str">
        <f aca="false">IF(AY398=1,DATE(YEAR(O398),MONTH(O398),1),"")</f>
        <v/>
      </c>
      <c r="AY398" s="1" t="n">
        <f aca="false">IF(B398="",0,IF(AND(ISNUMBER(O398),ISNUMBER(P398)),IF(P398&gt;=O398,1,0),0))</f>
        <v>0</v>
      </c>
      <c r="AZ398" s="1" t="n">
        <f aca="false">IF(ISNUMBER(Y398),Y398,0)</f>
        <v>0</v>
      </c>
      <c r="BA398" s="1" t="str">
        <f aca="false">IF(B398="","",IF(AND(R398="WON",AS398=0),"⛔ Beleg fehlt · ","")&amp;IF(AND(R398="WON",AR398=0),"⛔ Einstand fehlt · ","")&amp;IF(AND(R398&lt;&gt;"WON",AR398=0),"○ Einstand offen · ","")&amp;IF(AND(R398="WON",AB398=""),"⛔ Vertragsart fehlt · ","")&amp;IF(AND(ISNUMBER(O398),ISNUMBER(P398)),IF(P398&lt;O398,"⚠ Ende vor Start · ",""),"")&amp;IF(AND(R398="WON",AY398=0,NOT(AND(ISNUMBER(O398),ISNUMBER(P398)))),"⛔ Zeitraum fehlt · ","")&amp;IF(AND(R398&lt;&gt;"WON",AY398=0,NOT(AND(ISNUMBER(O398),ISNUMBER(P398)))),"○ Zeitraum offen · ",""))</f>
        <v/>
      </c>
      <c r="BB398" s="1" t="str">
        <f aca="false">IF(B398="","",IF(AND(R398="WON",AS398=0),"⛔ Nachweis fehlt",IF(AND(ISNUMBER(O398),ISNUMBER(P398),P398&lt;O398),"⚠ Ende vor Start",IF(AND(R398="WON",AY398=0),"⛔ Zeitraum fehlt",IF(AR398=0,"○ Einstand offen",IF(AY398=0,"○ Zeitraum offen",IF(R398="WON","✅ belegt","✔ erfasst")))))))</f>
        <v/>
      </c>
    </row>
    <row r="399" customFormat="false" ht="15" hidden="false" customHeight="true" outlineLevel="0" collapsed="false">
      <c r="G399" s="1" t="str">
        <f aca="false">IF(B399="","",IF(AY399=1,P399-O399+1,IF(AW399="","",AW399)))</f>
        <v/>
      </c>
      <c r="I399" s="270"/>
      <c r="J399" s="270"/>
      <c r="K399" s="270"/>
      <c r="L399" s="270"/>
      <c r="M399" s="270"/>
      <c r="N399" s="270"/>
      <c r="O399" s="263"/>
      <c r="P399" s="263"/>
      <c r="Q399" s="270" t="str">
        <f aca="false">IF(AND(ISNUMBER(I399),ISNUMBER(S399)),I399*AJ399,IF(OR(I399&lt;&gt;"",S399&lt;&gt;""),"tbd",""))</f>
        <v/>
      </c>
      <c r="S399" s="268"/>
      <c r="Y399" s="275" t="str">
        <f aca="false">IF(ISNUMBER(I399),I399/Netto_Faktor,"")</f>
        <v/>
      </c>
      <c r="Z399" s="275" t="str">
        <f aca="false">IF(B399="","",IF(COUNT(J399:N399)=0,"",SUM(J399:N399)))</f>
        <v/>
      </c>
      <c r="AA399" s="266"/>
      <c r="AB399" s="266"/>
      <c r="AC399" s="266"/>
      <c r="AD399" s="266"/>
      <c r="AE399" s="266"/>
      <c r="AF399" s="266"/>
      <c r="AG399" s="267"/>
      <c r="AH399" s="266" t="str">
        <f aca="false">IF(B399="","",IF(BA399="",IF(R399="WON","✅ belegt &amp; vollständig","✔ vollständig"),LEFT(BA399,LEN(BA399)-3)))</f>
        <v/>
      </c>
      <c r="AJ399" s="268" t="n">
        <f aca="false">IF(ISNUMBER(S399),IFERROR(LOOKUP(IF(S399&lt;=1,S399,S399/100),'⚖️ Wahrscheinlichkeit'!$B$17:$B$21,'⚖️ Wahrscheinlichkeit'!$D$17:$D$21),0),0)</f>
        <v>0</v>
      </c>
      <c r="AK399" s="1" t="str">
        <f aca="false">IF(AND(R399="WON",ISNUMBER(I399)),AL399+(861-ROW())*0.000001,"")</f>
        <v/>
      </c>
      <c r="AL399" s="1" t="n">
        <f aca="false">IFERROR(I399*1,0)</f>
        <v>0</v>
      </c>
      <c r="AM399" s="1" t="n">
        <f aca="false">N(AM398)+IF(AND(R399="WON",B399&lt;&gt;""),1,0)</f>
        <v>12</v>
      </c>
      <c r="AN399" s="1" t="n">
        <f aca="false">N(AN398)+IF(AND(OR(R399="offered",R399="to be offered",R399="on hold"),B399&lt;&gt;""),1,0)</f>
        <v>33</v>
      </c>
      <c r="AO399" s="1" t="n">
        <f aca="false">N(AO398)+IF(AND(OR(R399="follow-up",R399="Evaluation",R399="tbd",R399="In evaluation"),B399&lt;&gt;""),1,0)</f>
        <v>1</v>
      </c>
      <c r="AP399" s="1" t="n">
        <f aca="false">IF(B399="",0,IF(COUNTIF('⚖️ Wahrscheinlichkeit'!$J$17:$J$24,R399)&gt;0,1,0))</f>
        <v>0</v>
      </c>
      <c r="AQ399" s="1" t="n">
        <f aca="false">IF(B399="",0,IF(AND(ISNUMBER(S399),COUNTIF('⚖️ Wahrscheinlichkeit'!$B$6:$B$11,S399)&gt;0),1,0))</f>
        <v>0</v>
      </c>
      <c r="AR399" s="1" t="n">
        <f aca="false">IF(B399="",0,IF(AND(COUNT(J399:M399)=4,SUM(J399:M399)&gt;0),1,0))</f>
        <v>0</v>
      </c>
      <c r="AS399" s="1" t="n">
        <f aca="false">IF(B399="",0,IF(AND(AF399&lt;&gt;"",AG399&lt;&gt;""),1,0))</f>
        <v>0</v>
      </c>
      <c r="AT399" s="1" t="n">
        <f aca="false">IF(AND(R399="WON",AS399=1,AR399=1),1,0)</f>
        <v>0</v>
      </c>
      <c r="AU399" s="1" t="n">
        <f aca="false">IF(B399="",0,IF(AD399="Alternative – zählt nicht",0,1))</f>
        <v>0</v>
      </c>
      <c r="AV399" s="1" t="n">
        <f aca="false">IF(B399="",0,IF(COUNTIF($B$6:$B$860,B399)&gt;1,1,0))</f>
        <v>0</v>
      </c>
      <c r="AX399" s="269" t="str">
        <f aca="false">IF(AY399=1,DATE(YEAR(O399),MONTH(O399),1),"")</f>
        <v/>
      </c>
      <c r="AY399" s="1" t="n">
        <f aca="false">IF(B399="",0,IF(AND(ISNUMBER(O399),ISNUMBER(P399)),IF(P399&gt;=O399,1,0),0))</f>
        <v>0</v>
      </c>
      <c r="AZ399" s="1" t="n">
        <f aca="false">IF(ISNUMBER(Y399),Y399,0)</f>
        <v>0</v>
      </c>
      <c r="BA399" s="1" t="str">
        <f aca="false">IF(B399="","",IF(AND(R399="WON",AS399=0),"⛔ Beleg fehlt · ","")&amp;IF(AND(R399="WON",AR399=0),"⛔ Einstand fehlt · ","")&amp;IF(AND(R399&lt;&gt;"WON",AR399=0),"○ Einstand offen · ","")&amp;IF(AND(R399="WON",AB399=""),"⛔ Vertragsart fehlt · ","")&amp;IF(AND(ISNUMBER(O399),ISNUMBER(P399)),IF(P399&lt;O399,"⚠ Ende vor Start · ",""),"")&amp;IF(AND(R399="WON",AY399=0,NOT(AND(ISNUMBER(O399),ISNUMBER(P399)))),"⛔ Zeitraum fehlt · ","")&amp;IF(AND(R399&lt;&gt;"WON",AY399=0,NOT(AND(ISNUMBER(O399),ISNUMBER(P399)))),"○ Zeitraum offen · ",""))</f>
        <v/>
      </c>
      <c r="BB399" s="1" t="str">
        <f aca="false">IF(B399="","",IF(AND(R399="WON",AS399=0),"⛔ Nachweis fehlt",IF(AND(ISNUMBER(O399),ISNUMBER(P399),P399&lt;O399),"⚠ Ende vor Start",IF(AND(R399="WON",AY399=0),"⛔ Zeitraum fehlt",IF(AR399=0,"○ Einstand offen",IF(AY399=0,"○ Zeitraum offen",IF(R399="WON","✅ belegt","✔ erfasst")))))))</f>
        <v/>
      </c>
    </row>
    <row r="400" customFormat="false" ht="15" hidden="false" customHeight="true" outlineLevel="0" collapsed="false">
      <c r="G400" s="1" t="str">
        <f aca="false">IF(B400="","",IF(AY400=1,P400-O400+1,IF(AW400="","",AW400)))</f>
        <v/>
      </c>
      <c r="I400" s="270"/>
      <c r="J400" s="270"/>
      <c r="K400" s="270"/>
      <c r="L400" s="270"/>
      <c r="M400" s="270"/>
      <c r="N400" s="270"/>
      <c r="O400" s="263"/>
      <c r="P400" s="263"/>
      <c r="Q400" s="270" t="str">
        <f aca="false">IF(AND(ISNUMBER(I400),ISNUMBER(S400)),I400*AJ400,IF(OR(I400&lt;&gt;"",S400&lt;&gt;""),"tbd",""))</f>
        <v/>
      </c>
      <c r="S400" s="268"/>
      <c r="Y400" s="275" t="str">
        <f aca="false">IF(ISNUMBER(I400),I400/Netto_Faktor,"")</f>
        <v/>
      </c>
      <c r="Z400" s="275" t="str">
        <f aca="false">IF(B400="","",IF(COUNT(J400:N400)=0,"",SUM(J400:N400)))</f>
        <v/>
      </c>
      <c r="AA400" s="266"/>
      <c r="AB400" s="266"/>
      <c r="AC400" s="266"/>
      <c r="AD400" s="266"/>
      <c r="AE400" s="266"/>
      <c r="AF400" s="266"/>
      <c r="AG400" s="267"/>
      <c r="AH400" s="266" t="str">
        <f aca="false">IF(B400="","",IF(BA400="",IF(R400="WON","✅ belegt &amp; vollständig","✔ vollständig"),LEFT(BA400,LEN(BA400)-3)))</f>
        <v/>
      </c>
      <c r="AJ400" s="268" t="n">
        <f aca="false">IF(ISNUMBER(S400),IFERROR(LOOKUP(IF(S400&lt;=1,S400,S400/100),'⚖️ Wahrscheinlichkeit'!$B$17:$B$21,'⚖️ Wahrscheinlichkeit'!$D$17:$D$21),0),0)</f>
        <v>0</v>
      </c>
      <c r="AK400" s="1" t="str">
        <f aca="false">IF(AND(R400="WON",ISNUMBER(I400)),AL400+(861-ROW())*0.000001,"")</f>
        <v/>
      </c>
      <c r="AL400" s="1" t="n">
        <f aca="false">IFERROR(I400*1,0)</f>
        <v>0</v>
      </c>
      <c r="AM400" s="1" t="n">
        <f aca="false">N(AM399)+IF(AND(R400="WON",B400&lt;&gt;""),1,0)</f>
        <v>12</v>
      </c>
      <c r="AN400" s="1" t="n">
        <f aca="false">N(AN399)+IF(AND(OR(R400="offered",R400="to be offered",R400="on hold"),B400&lt;&gt;""),1,0)</f>
        <v>33</v>
      </c>
      <c r="AO400" s="1" t="n">
        <f aca="false">N(AO399)+IF(AND(OR(R400="follow-up",R400="Evaluation",R400="tbd",R400="In evaluation"),B400&lt;&gt;""),1,0)</f>
        <v>1</v>
      </c>
      <c r="AP400" s="1" t="n">
        <f aca="false">IF(B400="",0,IF(COUNTIF('⚖️ Wahrscheinlichkeit'!$J$17:$J$24,R400)&gt;0,1,0))</f>
        <v>0</v>
      </c>
      <c r="AQ400" s="1" t="n">
        <f aca="false">IF(B400="",0,IF(AND(ISNUMBER(S400),COUNTIF('⚖️ Wahrscheinlichkeit'!$B$6:$B$11,S400)&gt;0),1,0))</f>
        <v>0</v>
      </c>
      <c r="AR400" s="1" t="n">
        <f aca="false">IF(B400="",0,IF(AND(COUNT(J400:M400)=4,SUM(J400:M400)&gt;0),1,0))</f>
        <v>0</v>
      </c>
      <c r="AS400" s="1" t="n">
        <f aca="false">IF(B400="",0,IF(AND(AF400&lt;&gt;"",AG400&lt;&gt;""),1,0))</f>
        <v>0</v>
      </c>
      <c r="AT400" s="1" t="n">
        <f aca="false">IF(AND(R400="WON",AS400=1,AR400=1),1,0)</f>
        <v>0</v>
      </c>
      <c r="AU400" s="1" t="n">
        <f aca="false">IF(B400="",0,IF(AD400="Alternative – zählt nicht",0,1))</f>
        <v>0</v>
      </c>
      <c r="AV400" s="1" t="n">
        <f aca="false">IF(B400="",0,IF(COUNTIF($B$6:$B$860,B400)&gt;1,1,0))</f>
        <v>0</v>
      </c>
      <c r="AX400" s="269" t="str">
        <f aca="false">IF(AY400=1,DATE(YEAR(O400),MONTH(O400),1),"")</f>
        <v/>
      </c>
      <c r="AY400" s="1" t="n">
        <f aca="false">IF(B400="",0,IF(AND(ISNUMBER(O400),ISNUMBER(P400)),IF(P400&gt;=O400,1,0),0))</f>
        <v>0</v>
      </c>
      <c r="AZ400" s="1" t="n">
        <f aca="false">IF(ISNUMBER(Y400),Y400,0)</f>
        <v>0</v>
      </c>
      <c r="BA400" s="1" t="str">
        <f aca="false">IF(B400="","",IF(AND(R400="WON",AS400=0),"⛔ Beleg fehlt · ","")&amp;IF(AND(R400="WON",AR400=0),"⛔ Einstand fehlt · ","")&amp;IF(AND(R400&lt;&gt;"WON",AR400=0),"○ Einstand offen · ","")&amp;IF(AND(R400="WON",AB400=""),"⛔ Vertragsart fehlt · ","")&amp;IF(AND(ISNUMBER(O400),ISNUMBER(P400)),IF(P400&lt;O400,"⚠ Ende vor Start · ",""),"")&amp;IF(AND(R400="WON",AY400=0,NOT(AND(ISNUMBER(O400),ISNUMBER(P400)))),"⛔ Zeitraum fehlt · ","")&amp;IF(AND(R400&lt;&gt;"WON",AY400=0,NOT(AND(ISNUMBER(O400),ISNUMBER(P400)))),"○ Zeitraum offen · ",""))</f>
        <v/>
      </c>
      <c r="BB400" s="1" t="str">
        <f aca="false">IF(B400="","",IF(AND(R400="WON",AS400=0),"⛔ Nachweis fehlt",IF(AND(ISNUMBER(O400),ISNUMBER(P400),P400&lt;O400),"⚠ Ende vor Start",IF(AND(R400="WON",AY400=0),"⛔ Zeitraum fehlt",IF(AR400=0,"○ Einstand offen",IF(AY400=0,"○ Zeitraum offen",IF(R400="WON","✅ belegt","✔ erfasst")))))))</f>
        <v/>
      </c>
    </row>
    <row r="401" customFormat="false" ht="15" hidden="false" customHeight="true" outlineLevel="0" collapsed="false">
      <c r="G401" s="1" t="str">
        <f aca="false">IF(B401="","",IF(AY401=1,P401-O401+1,IF(AW401="","",AW401)))</f>
        <v/>
      </c>
      <c r="I401" s="270"/>
      <c r="J401" s="270"/>
      <c r="K401" s="270"/>
      <c r="L401" s="270"/>
      <c r="M401" s="270"/>
      <c r="N401" s="270"/>
      <c r="O401" s="263"/>
      <c r="P401" s="263"/>
      <c r="Q401" s="270" t="str">
        <f aca="false">IF(AND(ISNUMBER(I401),ISNUMBER(S401)),I401*AJ401,IF(OR(I401&lt;&gt;"",S401&lt;&gt;""),"tbd",""))</f>
        <v/>
      </c>
      <c r="S401" s="268"/>
      <c r="Y401" s="275" t="str">
        <f aca="false">IF(ISNUMBER(I401),I401/Netto_Faktor,"")</f>
        <v/>
      </c>
      <c r="Z401" s="275" t="str">
        <f aca="false">IF(B401="","",IF(COUNT(J401:N401)=0,"",SUM(J401:N401)))</f>
        <v/>
      </c>
      <c r="AA401" s="266"/>
      <c r="AB401" s="266"/>
      <c r="AC401" s="266"/>
      <c r="AD401" s="266"/>
      <c r="AE401" s="266"/>
      <c r="AF401" s="266"/>
      <c r="AG401" s="267"/>
      <c r="AH401" s="266" t="str">
        <f aca="false">IF(B401="","",IF(BA401="",IF(R401="WON","✅ belegt &amp; vollständig","✔ vollständig"),LEFT(BA401,LEN(BA401)-3)))</f>
        <v/>
      </c>
      <c r="AJ401" s="268" t="n">
        <f aca="false">IF(ISNUMBER(S401),IFERROR(LOOKUP(IF(S401&lt;=1,S401,S401/100),'⚖️ Wahrscheinlichkeit'!$B$17:$B$21,'⚖️ Wahrscheinlichkeit'!$D$17:$D$21),0),0)</f>
        <v>0</v>
      </c>
      <c r="AK401" s="1" t="str">
        <f aca="false">IF(AND(R401="WON",ISNUMBER(I401)),AL401+(861-ROW())*0.000001,"")</f>
        <v/>
      </c>
      <c r="AL401" s="1" t="n">
        <f aca="false">IFERROR(I401*1,0)</f>
        <v>0</v>
      </c>
      <c r="AM401" s="1" t="n">
        <f aca="false">N(AM400)+IF(AND(R401="WON",B401&lt;&gt;""),1,0)</f>
        <v>12</v>
      </c>
      <c r="AN401" s="1" t="n">
        <f aca="false">N(AN400)+IF(AND(OR(R401="offered",R401="to be offered",R401="on hold"),B401&lt;&gt;""),1,0)</f>
        <v>33</v>
      </c>
      <c r="AO401" s="1" t="n">
        <f aca="false">N(AO400)+IF(AND(OR(R401="follow-up",R401="Evaluation",R401="tbd",R401="In evaluation"),B401&lt;&gt;""),1,0)</f>
        <v>1</v>
      </c>
      <c r="AP401" s="1" t="n">
        <f aca="false">IF(B401="",0,IF(COUNTIF('⚖️ Wahrscheinlichkeit'!$J$17:$J$24,R401)&gt;0,1,0))</f>
        <v>0</v>
      </c>
      <c r="AQ401" s="1" t="n">
        <f aca="false">IF(B401="",0,IF(AND(ISNUMBER(S401),COUNTIF('⚖️ Wahrscheinlichkeit'!$B$6:$B$11,S401)&gt;0),1,0))</f>
        <v>0</v>
      </c>
      <c r="AR401" s="1" t="n">
        <f aca="false">IF(B401="",0,IF(AND(COUNT(J401:M401)=4,SUM(J401:M401)&gt;0),1,0))</f>
        <v>0</v>
      </c>
      <c r="AS401" s="1" t="n">
        <f aca="false">IF(B401="",0,IF(AND(AF401&lt;&gt;"",AG401&lt;&gt;""),1,0))</f>
        <v>0</v>
      </c>
      <c r="AT401" s="1" t="n">
        <f aca="false">IF(AND(R401="WON",AS401=1,AR401=1),1,0)</f>
        <v>0</v>
      </c>
      <c r="AU401" s="1" t="n">
        <f aca="false">IF(B401="",0,IF(AD401="Alternative – zählt nicht",0,1))</f>
        <v>0</v>
      </c>
      <c r="AV401" s="1" t="n">
        <f aca="false">IF(B401="",0,IF(COUNTIF($B$6:$B$860,B401)&gt;1,1,0))</f>
        <v>0</v>
      </c>
      <c r="AX401" s="269" t="str">
        <f aca="false">IF(AY401=1,DATE(YEAR(O401),MONTH(O401),1),"")</f>
        <v/>
      </c>
      <c r="AY401" s="1" t="n">
        <f aca="false">IF(B401="",0,IF(AND(ISNUMBER(O401),ISNUMBER(P401)),IF(P401&gt;=O401,1,0),0))</f>
        <v>0</v>
      </c>
      <c r="AZ401" s="1" t="n">
        <f aca="false">IF(ISNUMBER(Y401),Y401,0)</f>
        <v>0</v>
      </c>
      <c r="BA401" s="1" t="str">
        <f aca="false">IF(B401="","",IF(AND(R401="WON",AS401=0),"⛔ Beleg fehlt · ","")&amp;IF(AND(R401="WON",AR401=0),"⛔ Einstand fehlt · ","")&amp;IF(AND(R401&lt;&gt;"WON",AR401=0),"○ Einstand offen · ","")&amp;IF(AND(R401="WON",AB401=""),"⛔ Vertragsart fehlt · ","")&amp;IF(AND(ISNUMBER(O401),ISNUMBER(P401)),IF(P401&lt;O401,"⚠ Ende vor Start · ",""),"")&amp;IF(AND(R401="WON",AY401=0,NOT(AND(ISNUMBER(O401),ISNUMBER(P401)))),"⛔ Zeitraum fehlt · ","")&amp;IF(AND(R401&lt;&gt;"WON",AY401=0,NOT(AND(ISNUMBER(O401),ISNUMBER(P401)))),"○ Zeitraum offen · ",""))</f>
        <v/>
      </c>
      <c r="BB401" s="1" t="str">
        <f aca="false">IF(B401="","",IF(AND(R401="WON",AS401=0),"⛔ Nachweis fehlt",IF(AND(ISNUMBER(O401),ISNUMBER(P401),P401&lt;O401),"⚠ Ende vor Start",IF(AND(R401="WON",AY401=0),"⛔ Zeitraum fehlt",IF(AR401=0,"○ Einstand offen",IF(AY401=0,"○ Zeitraum offen",IF(R401="WON","✅ belegt","✔ erfasst")))))))</f>
        <v/>
      </c>
    </row>
    <row r="402" customFormat="false" ht="15" hidden="false" customHeight="true" outlineLevel="0" collapsed="false">
      <c r="G402" s="1" t="str">
        <f aca="false">IF(B402="","",IF(AY402=1,P402-O402+1,IF(AW402="","",AW402)))</f>
        <v/>
      </c>
      <c r="I402" s="270"/>
      <c r="J402" s="270"/>
      <c r="K402" s="270"/>
      <c r="L402" s="270"/>
      <c r="M402" s="270"/>
      <c r="N402" s="270"/>
      <c r="O402" s="263"/>
      <c r="P402" s="263"/>
      <c r="Q402" s="270" t="str">
        <f aca="false">IF(AND(ISNUMBER(I402),ISNUMBER(S402)),I402*AJ402,IF(OR(I402&lt;&gt;"",S402&lt;&gt;""),"tbd",""))</f>
        <v/>
      </c>
      <c r="S402" s="268"/>
      <c r="Y402" s="275" t="str">
        <f aca="false">IF(ISNUMBER(I402),I402/Netto_Faktor,"")</f>
        <v/>
      </c>
      <c r="Z402" s="275" t="str">
        <f aca="false">IF(B402="","",IF(COUNT(J402:N402)=0,"",SUM(J402:N402)))</f>
        <v/>
      </c>
      <c r="AA402" s="266"/>
      <c r="AB402" s="266"/>
      <c r="AC402" s="266"/>
      <c r="AD402" s="266"/>
      <c r="AE402" s="266"/>
      <c r="AF402" s="266"/>
      <c r="AG402" s="267"/>
      <c r="AH402" s="266" t="str">
        <f aca="false">IF(B402="","",IF(BA402="",IF(R402="WON","✅ belegt &amp; vollständig","✔ vollständig"),LEFT(BA402,LEN(BA402)-3)))</f>
        <v/>
      </c>
      <c r="AJ402" s="268" t="n">
        <f aca="false">IF(ISNUMBER(S402),IFERROR(LOOKUP(IF(S402&lt;=1,S402,S402/100),'⚖️ Wahrscheinlichkeit'!$B$17:$B$21,'⚖️ Wahrscheinlichkeit'!$D$17:$D$21),0),0)</f>
        <v>0</v>
      </c>
      <c r="AK402" s="1" t="str">
        <f aca="false">IF(AND(R402="WON",ISNUMBER(I402)),AL402+(861-ROW())*0.000001,"")</f>
        <v/>
      </c>
      <c r="AL402" s="1" t="n">
        <f aca="false">IFERROR(I402*1,0)</f>
        <v>0</v>
      </c>
      <c r="AM402" s="1" t="n">
        <f aca="false">N(AM401)+IF(AND(R402="WON",B402&lt;&gt;""),1,0)</f>
        <v>12</v>
      </c>
      <c r="AN402" s="1" t="n">
        <f aca="false">N(AN401)+IF(AND(OR(R402="offered",R402="to be offered",R402="on hold"),B402&lt;&gt;""),1,0)</f>
        <v>33</v>
      </c>
      <c r="AO402" s="1" t="n">
        <f aca="false">N(AO401)+IF(AND(OR(R402="follow-up",R402="Evaluation",R402="tbd",R402="In evaluation"),B402&lt;&gt;""),1,0)</f>
        <v>1</v>
      </c>
      <c r="AP402" s="1" t="n">
        <f aca="false">IF(B402="",0,IF(COUNTIF('⚖️ Wahrscheinlichkeit'!$J$17:$J$24,R402)&gt;0,1,0))</f>
        <v>0</v>
      </c>
      <c r="AQ402" s="1" t="n">
        <f aca="false">IF(B402="",0,IF(AND(ISNUMBER(S402),COUNTIF('⚖️ Wahrscheinlichkeit'!$B$6:$B$11,S402)&gt;0),1,0))</f>
        <v>0</v>
      </c>
      <c r="AR402" s="1" t="n">
        <f aca="false">IF(B402="",0,IF(AND(COUNT(J402:M402)=4,SUM(J402:M402)&gt;0),1,0))</f>
        <v>0</v>
      </c>
      <c r="AS402" s="1" t="n">
        <f aca="false">IF(B402="",0,IF(AND(AF402&lt;&gt;"",AG402&lt;&gt;""),1,0))</f>
        <v>0</v>
      </c>
      <c r="AT402" s="1" t="n">
        <f aca="false">IF(AND(R402="WON",AS402=1,AR402=1),1,0)</f>
        <v>0</v>
      </c>
      <c r="AU402" s="1" t="n">
        <f aca="false">IF(B402="",0,IF(AD402="Alternative – zählt nicht",0,1))</f>
        <v>0</v>
      </c>
      <c r="AV402" s="1" t="n">
        <f aca="false">IF(B402="",0,IF(COUNTIF($B$6:$B$860,B402)&gt;1,1,0))</f>
        <v>0</v>
      </c>
      <c r="AX402" s="269" t="str">
        <f aca="false">IF(AY402=1,DATE(YEAR(O402),MONTH(O402),1),"")</f>
        <v/>
      </c>
      <c r="AY402" s="1" t="n">
        <f aca="false">IF(B402="",0,IF(AND(ISNUMBER(O402),ISNUMBER(P402)),IF(P402&gt;=O402,1,0),0))</f>
        <v>0</v>
      </c>
      <c r="AZ402" s="1" t="n">
        <f aca="false">IF(ISNUMBER(Y402),Y402,0)</f>
        <v>0</v>
      </c>
      <c r="BA402" s="1" t="str">
        <f aca="false">IF(B402="","",IF(AND(R402="WON",AS402=0),"⛔ Beleg fehlt · ","")&amp;IF(AND(R402="WON",AR402=0),"⛔ Einstand fehlt · ","")&amp;IF(AND(R402&lt;&gt;"WON",AR402=0),"○ Einstand offen · ","")&amp;IF(AND(R402="WON",AB402=""),"⛔ Vertragsart fehlt · ","")&amp;IF(AND(ISNUMBER(O402),ISNUMBER(P402)),IF(P402&lt;O402,"⚠ Ende vor Start · ",""),"")&amp;IF(AND(R402="WON",AY402=0,NOT(AND(ISNUMBER(O402),ISNUMBER(P402)))),"⛔ Zeitraum fehlt · ","")&amp;IF(AND(R402&lt;&gt;"WON",AY402=0,NOT(AND(ISNUMBER(O402),ISNUMBER(P402)))),"○ Zeitraum offen · ",""))</f>
        <v/>
      </c>
      <c r="BB402" s="1" t="str">
        <f aca="false">IF(B402="","",IF(AND(R402="WON",AS402=0),"⛔ Nachweis fehlt",IF(AND(ISNUMBER(O402),ISNUMBER(P402),P402&lt;O402),"⚠ Ende vor Start",IF(AND(R402="WON",AY402=0),"⛔ Zeitraum fehlt",IF(AR402=0,"○ Einstand offen",IF(AY402=0,"○ Zeitraum offen",IF(R402="WON","✅ belegt","✔ erfasst")))))))</f>
        <v/>
      </c>
    </row>
    <row r="403" customFormat="false" ht="15" hidden="false" customHeight="true" outlineLevel="0" collapsed="false">
      <c r="G403" s="1" t="str">
        <f aca="false">IF(B403="","",IF(AY403=1,P403-O403+1,IF(AW403="","",AW403)))</f>
        <v/>
      </c>
      <c r="I403" s="270"/>
      <c r="J403" s="270"/>
      <c r="K403" s="270"/>
      <c r="L403" s="270"/>
      <c r="M403" s="270"/>
      <c r="N403" s="270"/>
      <c r="O403" s="263"/>
      <c r="P403" s="263"/>
      <c r="Q403" s="270" t="str">
        <f aca="false">IF(AND(ISNUMBER(I403),ISNUMBER(S403)),I403*AJ403,IF(OR(I403&lt;&gt;"",S403&lt;&gt;""),"tbd",""))</f>
        <v/>
      </c>
      <c r="S403" s="268"/>
      <c r="Y403" s="275" t="str">
        <f aca="false">IF(ISNUMBER(I403),I403/Netto_Faktor,"")</f>
        <v/>
      </c>
      <c r="Z403" s="275" t="str">
        <f aca="false">IF(B403="","",IF(COUNT(J403:N403)=0,"",SUM(J403:N403)))</f>
        <v/>
      </c>
      <c r="AA403" s="266"/>
      <c r="AB403" s="266"/>
      <c r="AC403" s="266"/>
      <c r="AD403" s="266"/>
      <c r="AE403" s="266"/>
      <c r="AF403" s="266"/>
      <c r="AG403" s="267"/>
      <c r="AH403" s="266" t="str">
        <f aca="false">IF(B403="","",IF(BA403="",IF(R403="WON","✅ belegt &amp; vollständig","✔ vollständig"),LEFT(BA403,LEN(BA403)-3)))</f>
        <v/>
      </c>
      <c r="AJ403" s="268" t="n">
        <f aca="false">IF(ISNUMBER(S403),IFERROR(LOOKUP(IF(S403&lt;=1,S403,S403/100),'⚖️ Wahrscheinlichkeit'!$B$17:$B$21,'⚖️ Wahrscheinlichkeit'!$D$17:$D$21),0),0)</f>
        <v>0</v>
      </c>
      <c r="AK403" s="1" t="str">
        <f aca="false">IF(AND(R403="WON",ISNUMBER(I403)),AL403+(861-ROW())*0.000001,"")</f>
        <v/>
      </c>
      <c r="AL403" s="1" t="n">
        <f aca="false">IFERROR(I403*1,0)</f>
        <v>0</v>
      </c>
      <c r="AM403" s="1" t="n">
        <f aca="false">N(AM402)+IF(AND(R403="WON",B403&lt;&gt;""),1,0)</f>
        <v>12</v>
      </c>
      <c r="AN403" s="1" t="n">
        <f aca="false">N(AN402)+IF(AND(OR(R403="offered",R403="to be offered",R403="on hold"),B403&lt;&gt;""),1,0)</f>
        <v>33</v>
      </c>
      <c r="AO403" s="1" t="n">
        <f aca="false">N(AO402)+IF(AND(OR(R403="follow-up",R403="Evaluation",R403="tbd",R403="In evaluation"),B403&lt;&gt;""),1,0)</f>
        <v>1</v>
      </c>
      <c r="AP403" s="1" t="n">
        <f aca="false">IF(B403="",0,IF(COUNTIF('⚖️ Wahrscheinlichkeit'!$J$17:$J$24,R403)&gt;0,1,0))</f>
        <v>0</v>
      </c>
      <c r="AQ403" s="1" t="n">
        <f aca="false">IF(B403="",0,IF(AND(ISNUMBER(S403),COUNTIF('⚖️ Wahrscheinlichkeit'!$B$6:$B$11,S403)&gt;0),1,0))</f>
        <v>0</v>
      </c>
      <c r="AR403" s="1" t="n">
        <f aca="false">IF(B403="",0,IF(AND(COUNT(J403:M403)=4,SUM(J403:M403)&gt;0),1,0))</f>
        <v>0</v>
      </c>
      <c r="AS403" s="1" t="n">
        <f aca="false">IF(B403="",0,IF(AND(AF403&lt;&gt;"",AG403&lt;&gt;""),1,0))</f>
        <v>0</v>
      </c>
      <c r="AT403" s="1" t="n">
        <f aca="false">IF(AND(R403="WON",AS403=1,AR403=1),1,0)</f>
        <v>0</v>
      </c>
      <c r="AU403" s="1" t="n">
        <f aca="false">IF(B403="",0,IF(AD403="Alternative – zählt nicht",0,1))</f>
        <v>0</v>
      </c>
      <c r="AV403" s="1" t="n">
        <f aca="false">IF(B403="",0,IF(COUNTIF($B$6:$B$860,B403)&gt;1,1,0))</f>
        <v>0</v>
      </c>
      <c r="AX403" s="269" t="str">
        <f aca="false">IF(AY403=1,DATE(YEAR(O403),MONTH(O403),1),"")</f>
        <v/>
      </c>
      <c r="AY403" s="1" t="n">
        <f aca="false">IF(B403="",0,IF(AND(ISNUMBER(O403),ISNUMBER(P403)),IF(P403&gt;=O403,1,0),0))</f>
        <v>0</v>
      </c>
      <c r="AZ403" s="1" t="n">
        <f aca="false">IF(ISNUMBER(Y403),Y403,0)</f>
        <v>0</v>
      </c>
      <c r="BA403" s="1" t="str">
        <f aca="false">IF(B403="","",IF(AND(R403="WON",AS403=0),"⛔ Beleg fehlt · ","")&amp;IF(AND(R403="WON",AR403=0),"⛔ Einstand fehlt · ","")&amp;IF(AND(R403&lt;&gt;"WON",AR403=0),"○ Einstand offen · ","")&amp;IF(AND(R403="WON",AB403=""),"⛔ Vertragsart fehlt · ","")&amp;IF(AND(ISNUMBER(O403),ISNUMBER(P403)),IF(P403&lt;O403,"⚠ Ende vor Start · ",""),"")&amp;IF(AND(R403="WON",AY403=0,NOT(AND(ISNUMBER(O403),ISNUMBER(P403)))),"⛔ Zeitraum fehlt · ","")&amp;IF(AND(R403&lt;&gt;"WON",AY403=0,NOT(AND(ISNUMBER(O403),ISNUMBER(P403)))),"○ Zeitraum offen · ",""))</f>
        <v/>
      </c>
      <c r="BB403" s="1" t="str">
        <f aca="false">IF(B403="","",IF(AND(R403="WON",AS403=0),"⛔ Nachweis fehlt",IF(AND(ISNUMBER(O403),ISNUMBER(P403),P403&lt;O403),"⚠ Ende vor Start",IF(AND(R403="WON",AY403=0),"⛔ Zeitraum fehlt",IF(AR403=0,"○ Einstand offen",IF(AY403=0,"○ Zeitraum offen",IF(R403="WON","✅ belegt","✔ erfasst")))))))</f>
        <v/>
      </c>
    </row>
    <row r="404" customFormat="false" ht="15" hidden="false" customHeight="true" outlineLevel="0" collapsed="false">
      <c r="G404" s="1" t="str">
        <f aca="false">IF(B404="","",IF(AY404=1,P404-O404+1,IF(AW404="","",AW404)))</f>
        <v/>
      </c>
      <c r="I404" s="270"/>
      <c r="J404" s="270"/>
      <c r="K404" s="270"/>
      <c r="L404" s="270"/>
      <c r="M404" s="270"/>
      <c r="N404" s="270"/>
      <c r="O404" s="263"/>
      <c r="P404" s="263"/>
      <c r="Q404" s="270" t="str">
        <f aca="false">IF(AND(ISNUMBER(I404),ISNUMBER(S404)),I404*AJ404,IF(OR(I404&lt;&gt;"",S404&lt;&gt;""),"tbd",""))</f>
        <v/>
      </c>
      <c r="S404" s="268"/>
      <c r="Y404" s="275" t="str">
        <f aca="false">IF(ISNUMBER(I404),I404/Netto_Faktor,"")</f>
        <v/>
      </c>
      <c r="Z404" s="275" t="str">
        <f aca="false">IF(B404="","",IF(COUNT(J404:N404)=0,"",SUM(J404:N404)))</f>
        <v/>
      </c>
      <c r="AA404" s="266"/>
      <c r="AB404" s="266"/>
      <c r="AC404" s="266"/>
      <c r="AD404" s="266"/>
      <c r="AE404" s="266"/>
      <c r="AF404" s="266"/>
      <c r="AG404" s="267"/>
      <c r="AH404" s="266" t="str">
        <f aca="false">IF(B404="","",IF(BA404="",IF(R404="WON","✅ belegt &amp; vollständig","✔ vollständig"),LEFT(BA404,LEN(BA404)-3)))</f>
        <v/>
      </c>
      <c r="AJ404" s="268" t="n">
        <f aca="false">IF(ISNUMBER(S404),IFERROR(LOOKUP(IF(S404&lt;=1,S404,S404/100),'⚖️ Wahrscheinlichkeit'!$B$17:$B$21,'⚖️ Wahrscheinlichkeit'!$D$17:$D$21),0),0)</f>
        <v>0</v>
      </c>
      <c r="AK404" s="1" t="str">
        <f aca="false">IF(AND(R404="WON",ISNUMBER(I404)),AL404+(861-ROW())*0.000001,"")</f>
        <v/>
      </c>
      <c r="AL404" s="1" t="n">
        <f aca="false">IFERROR(I404*1,0)</f>
        <v>0</v>
      </c>
      <c r="AM404" s="1" t="n">
        <f aca="false">N(AM403)+IF(AND(R404="WON",B404&lt;&gt;""),1,0)</f>
        <v>12</v>
      </c>
      <c r="AN404" s="1" t="n">
        <f aca="false">N(AN403)+IF(AND(OR(R404="offered",R404="to be offered",R404="on hold"),B404&lt;&gt;""),1,0)</f>
        <v>33</v>
      </c>
      <c r="AO404" s="1" t="n">
        <f aca="false">N(AO403)+IF(AND(OR(R404="follow-up",R404="Evaluation",R404="tbd",R404="In evaluation"),B404&lt;&gt;""),1,0)</f>
        <v>1</v>
      </c>
      <c r="AP404" s="1" t="n">
        <f aca="false">IF(B404="",0,IF(COUNTIF('⚖️ Wahrscheinlichkeit'!$J$17:$J$24,R404)&gt;0,1,0))</f>
        <v>0</v>
      </c>
      <c r="AQ404" s="1" t="n">
        <f aca="false">IF(B404="",0,IF(AND(ISNUMBER(S404),COUNTIF('⚖️ Wahrscheinlichkeit'!$B$6:$B$11,S404)&gt;0),1,0))</f>
        <v>0</v>
      </c>
      <c r="AR404" s="1" t="n">
        <f aca="false">IF(B404="",0,IF(AND(COUNT(J404:M404)=4,SUM(J404:M404)&gt;0),1,0))</f>
        <v>0</v>
      </c>
      <c r="AS404" s="1" t="n">
        <f aca="false">IF(B404="",0,IF(AND(AF404&lt;&gt;"",AG404&lt;&gt;""),1,0))</f>
        <v>0</v>
      </c>
      <c r="AT404" s="1" t="n">
        <f aca="false">IF(AND(R404="WON",AS404=1,AR404=1),1,0)</f>
        <v>0</v>
      </c>
      <c r="AU404" s="1" t="n">
        <f aca="false">IF(B404="",0,IF(AD404="Alternative – zählt nicht",0,1))</f>
        <v>0</v>
      </c>
      <c r="AV404" s="1" t="n">
        <f aca="false">IF(B404="",0,IF(COUNTIF($B$6:$B$860,B404)&gt;1,1,0))</f>
        <v>0</v>
      </c>
      <c r="AX404" s="269" t="str">
        <f aca="false">IF(AY404=1,DATE(YEAR(O404),MONTH(O404),1),"")</f>
        <v/>
      </c>
      <c r="AY404" s="1" t="n">
        <f aca="false">IF(B404="",0,IF(AND(ISNUMBER(O404),ISNUMBER(P404)),IF(P404&gt;=O404,1,0),0))</f>
        <v>0</v>
      </c>
      <c r="AZ404" s="1" t="n">
        <f aca="false">IF(ISNUMBER(Y404),Y404,0)</f>
        <v>0</v>
      </c>
      <c r="BA404" s="1" t="str">
        <f aca="false">IF(B404="","",IF(AND(R404="WON",AS404=0),"⛔ Beleg fehlt · ","")&amp;IF(AND(R404="WON",AR404=0),"⛔ Einstand fehlt · ","")&amp;IF(AND(R404&lt;&gt;"WON",AR404=0),"○ Einstand offen · ","")&amp;IF(AND(R404="WON",AB404=""),"⛔ Vertragsart fehlt · ","")&amp;IF(AND(ISNUMBER(O404),ISNUMBER(P404)),IF(P404&lt;O404,"⚠ Ende vor Start · ",""),"")&amp;IF(AND(R404="WON",AY404=0,NOT(AND(ISNUMBER(O404),ISNUMBER(P404)))),"⛔ Zeitraum fehlt · ","")&amp;IF(AND(R404&lt;&gt;"WON",AY404=0,NOT(AND(ISNUMBER(O404),ISNUMBER(P404)))),"○ Zeitraum offen · ",""))</f>
        <v/>
      </c>
      <c r="BB404" s="1" t="str">
        <f aca="false">IF(B404="","",IF(AND(R404="WON",AS404=0),"⛔ Nachweis fehlt",IF(AND(ISNUMBER(O404),ISNUMBER(P404),P404&lt;O404),"⚠ Ende vor Start",IF(AND(R404="WON",AY404=0),"⛔ Zeitraum fehlt",IF(AR404=0,"○ Einstand offen",IF(AY404=0,"○ Zeitraum offen",IF(R404="WON","✅ belegt","✔ erfasst")))))))</f>
        <v/>
      </c>
    </row>
    <row r="405" customFormat="false" ht="15" hidden="false" customHeight="true" outlineLevel="0" collapsed="false">
      <c r="G405" s="1" t="str">
        <f aca="false">IF(B405="","",IF(AY405=1,P405-O405+1,IF(AW405="","",AW405)))</f>
        <v/>
      </c>
      <c r="I405" s="270"/>
      <c r="J405" s="270"/>
      <c r="K405" s="270"/>
      <c r="L405" s="270"/>
      <c r="M405" s="270"/>
      <c r="N405" s="270"/>
      <c r="O405" s="263"/>
      <c r="P405" s="263"/>
      <c r="Q405" s="270" t="str">
        <f aca="false">IF(AND(ISNUMBER(I405),ISNUMBER(S405)),I405*AJ405,IF(OR(I405&lt;&gt;"",S405&lt;&gt;""),"tbd",""))</f>
        <v/>
      </c>
      <c r="S405" s="268"/>
      <c r="Y405" s="275" t="str">
        <f aca="false">IF(ISNUMBER(I405),I405/Netto_Faktor,"")</f>
        <v/>
      </c>
      <c r="Z405" s="275" t="str">
        <f aca="false">IF(B405="","",IF(COUNT(J405:N405)=0,"",SUM(J405:N405)))</f>
        <v/>
      </c>
      <c r="AA405" s="266"/>
      <c r="AB405" s="266"/>
      <c r="AC405" s="266"/>
      <c r="AD405" s="266"/>
      <c r="AE405" s="266"/>
      <c r="AF405" s="266"/>
      <c r="AG405" s="267"/>
      <c r="AH405" s="266" t="str">
        <f aca="false">IF(B405="","",IF(BA405="",IF(R405="WON","✅ belegt &amp; vollständig","✔ vollständig"),LEFT(BA405,LEN(BA405)-3)))</f>
        <v/>
      </c>
      <c r="AJ405" s="268" t="n">
        <f aca="false">IF(ISNUMBER(S405),IFERROR(LOOKUP(IF(S405&lt;=1,S405,S405/100),'⚖️ Wahrscheinlichkeit'!$B$17:$B$21,'⚖️ Wahrscheinlichkeit'!$D$17:$D$21),0),0)</f>
        <v>0</v>
      </c>
      <c r="AK405" s="1" t="str">
        <f aca="false">IF(AND(R405="WON",ISNUMBER(I405)),AL405+(861-ROW())*0.000001,"")</f>
        <v/>
      </c>
      <c r="AL405" s="1" t="n">
        <f aca="false">IFERROR(I405*1,0)</f>
        <v>0</v>
      </c>
      <c r="AM405" s="1" t="n">
        <f aca="false">N(AM404)+IF(AND(R405="WON",B405&lt;&gt;""),1,0)</f>
        <v>12</v>
      </c>
      <c r="AN405" s="1" t="n">
        <f aca="false">N(AN404)+IF(AND(OR(R405="offered",R405="to be offered",R405="on hold"),B405&lt;&gt;""),1,0)</f>
        <v>33</v>
      </c>
      <c r="AO405" s="1" t="n">
        <f aca="false">N(AO404)+IF(AND(OR(R405="follow-up",R405="Evaluation",R405="tbd",R405="In evaluation"),B405&lt;&gt;""),1,0)</f>
        <v>1</v>
      </c>
      <c r="AP405" s="1" t="n">
        <f aca="false">IF(B405="",0,IF(COUNTIF('⚖️ Wahrscheinlichkeit'!$J$17:$J$24,R405)&gt;0,1,0))</f>
        <v>0</v>
      </c>
      <c r="AQ405" s="1" t="n">
        <f aca="false">IF(B405="",0,IF(AND(ISNUMBER(S405),COUNTIF('⚖️ Wahrscheinlichkeit'!$B$6:$B$11,S405)&gt;0),1,0))</f>
        <v>0</v>
      </c>
      <c r="AR405" s="1" t="n">
        <f aca="false">IF(B405="",0,IF(AND(COUNT(J405:M405)=4,SUM(J405:M405)&gt;0),1,0))</f>
        <v>0</v>
      </c>
      <c r="AS405" s="1" t="n">
        <f aca="false">IF(B405="",0,IF(AND(AF405&lt;&gt;"",AG405&lt;&gt;""),1,0))</f>
        <v>0</v>
      </c>
      <c r="AT405" s="1" t="n">
        <f aca="false">IF(AND(R405="WON",AS405=1,AR405=1),1,0)</f>
        <v>0</v>
      </c>
      <c r="AU405" s="1" t="n">
        <f aca="false">IF(B405="",0,IF(AD405="Alternative – zählt nicht",0,1))</f>
        <v>0</v>
      </c>
      <c r="AV405" s="1" t="n">
        <f aca="false">IF(B405="",0,IF(COUNTIF($B$6:$B$860,B405)&gt;1,1,0))</f>
        <v>0</v>
      </c>
      <c r="AX405" s="269" t="str">
        <f aca="false">IF(AY405=1,DATE(YEAR(O405),MONTH(O405),1),"")</f>
        <v/>
      </c>
      <c r="AY405" s="1" t="n">
        <f aca="false">IF(B405="",0,IF(AND(ISNUMBER(O405),ISNUMBER(P405)),IF(P405&gt;=O405,1,0),0))</f>
        <v>0</v>
      </c>
      <c r="AZ405" s="1" t="n">
        <f aca="false">IF(ISNUMBER(Y405),Y405,0)</f>
        <v>0</v>
      </c>
      <c r="BA405" s="1" t="str">
        <f aca="false">IF(B405="","",IF(AND(R405="WON",AS405=0),"⛔ Beleg fehlt · ","")&amp;IF(AND(R405="WON",AR405=0),"⛔ Einstand fehlt · ","")&amp;IF(AND(R405&lt;&gt;"WON",AR405=0),"○ Einstand offen · ","")&amp;IF(AND(R405="WON",AB405=""),"⛔ Vertragsart fehlt · ","")&amp;IF(AND(ISNUMBER(O405),ISNUMBER(P405)),IF(P405&lt;O405,"⚠ Ende vor Start · ",""),"")&amp;IF(AND(R405="WON",AY405=0,NOT(AND(ISNUMBER(O405),ISNUMBER(P405)))),"⛔ Zeitraum fehlt · ","")&amp;IF(AND(R405&lt;&gt;"WON",AY405=0,NOT(AND(ISNUMBER(O405),ISNUMBER(P405)))),"○ Zeitraum offen · ",""))</f>
        <v/>
      </c>
      <c r="BB405" s="1" t="str">
        <f aca="false">IF(B405="","",IF(AND(R405="WON",AS405=0),"⛔ Nachweis fehlt",IF(AND(ISNUMBER(O405),ISNUMBER(P405),P405&lt;O405),"⚠ Ende vor Start",IF(AND(R405="WON",AY405=0),"⛔ Zeitraum fehlt",IF(AR405=0,"○ Einstand offen",IF(AY405=0,"○ Zeitraum offen",IF(R405="WON","✅ belegt","✔ erfasst")))))))</f>
        <v/>
      </c>
    </row>
    <row r="406" customFormat="false" ht="15" hidden="false" customHeight="true" outlineLevel="0" collapsed="false">
      <c r="G406" s="1" t="str">
        <f aca="false">IF(B406="","",IF(AY406=1,P406-O406+1,IF(AW406="","",AW406)))</f>
        <v/>
      </c>
      <c r="I406" s="270"/>
      <c r="J406" s="270"/>
      <c r="K406" s="270"/>
      <c r="L406" s="270"/>
      <c r="M406" s="270"/>
      <c r="N406" s="270"/>
      <c r="O406" s="263"/>
      <c r="P406" s="263"/>
      <c r="Q406" s="270" t="str">
        <f aca="false">IF(AND(ISNUMBER(I406),ISNUMBER(S406)),I406*AJ406,IF(OR(I406&lt;&gt;"",S406&lt;&gt;""),"tbd",""))</f>
        <v/>
      </c>
      <c r="S406" s="268"/>
      <c r="Y406" s="275" t="str">
        <f aca="false">IF(ISNUMBER(I406),I406/Netto_Faktor,"")</f>
        <v/>
      </c>
      <c r="Z406" s="275" t="str">
        <f aca="false">IF(B406="","",IF(COUNT(J406:N406)=0,"",SUM(J406:N406)))</f>
        <v/>
      </c>
      <c r="AA406" s="266"/>
      <c r="AB406" s="266"/>
      <c r="AC406" s="266"/>
      <c r="AD406" s="266"/>
      <c r="AE406" s="266"/>
      <c r="AF406" s="266"/>
      <c r="AG406" s="267"/>
      <c r="AH406" s="266" t="str">
        <f aca="false">IF(B406="","",IF(BA406="",IF(R406="WON","✅ belegt &amp; vollständig","✔ vollständig"),LEFT(BA406,LEN(BA406)-3)))</f>
        <v/>
      </c>
      <c r="AJ406" s="268" t="n">
        <f aca="false">IF(ISNUMBER(S406),IFERROR(LOOKUP(IF(S406&lt;=1,S406,S406/100),'⚖️ Wahrscheinlichkeit'!$B$17:$B$21,'⚖️ Wahrscheinlichkeit'!$D$17:$D$21),0),0)</f>
        <v>0</v>
      </c>
      <c r="AK406" s="1" t="str">
        <f aca="false">IF(AND(R406="WON",ISNUMBER(I406)),AL406+(861-ROW())*0.000001,"")</f>
        <v/>
      </c>
      <c r="AL406" s="1" t="n">
        <f aca="false">IFERROR(I406*1,0)</f>
        <v>0</v>
      </c>
      <c r="AM406" s="1" t="n">
        <f aca="false">N(AM405)+IF(AND(R406="WON",B406&lt;&gt;""),1,0)</f>
        <v>12</v>
      </c>
      <c r="AN406" s="1" t="n">
        <f aca="false">N(AN405)+IF(AND(OR(R406="offered",R406="to be offered",R406="on hold"),B406&lt;&gt;""),1,0)</f>
        <v>33</v>
      </c>
      <c r="AO406" s="1" t="n">
        <f aca="false">N(AO405)+IF(AND(OR(R406="follow-up",R406="Evaluation",R406="tbd",R406="In evaluation"),B406&lt;&gt;""),1,0)</f>
        <v>1</v>
      </c>
      <c r="AP406" s="1" t="n">
        <f aca="false">IF(B406="",0,IF(COUNTIF('⚖️ Wahrscheinlichkeit'!$J$17:$J$24,R406)&gt;0,1,0))</f>
        <v>0</v>
      </c>
      <c r="AQ406" s="1" t="n">
        <f aca="false">IF(B406="",0,IF(AND(ISNUMBER(S406),COUNTIF('⚖️ Wahrscheinlichkeit'!$B$6:$B$11,S406)&gt;0),1,0))</f>
        <v>0</v>
      </c>
      <c r="AR406" s="1" t="n">
        <f aca="false">IF(B406="",0,IF(AND(COUNT(J406:M406)=4,SUM(J406:M406)&gt;0),1,0))</f>
        <v>0</v>
      </c>
      <c r="AS406" s="1" t="n">
        <f aca="false">IF(B406="",0,IF(AND(AF406&lt;&gt;"",AG406&lt;&gt;""),1,0))</f>
        <v>0</v>
      </c>
      <c r="AT406" s="1" t="n">
        <f aca="false">IF(AND(R406="WON",AS406=1,AR406=1),1,0)</f>
        <v>0</v>
      </c>
      <c r="AU406" s="1" t="n">
        <f aca="false">IF(B406="",0,IF(AD406="Alternative – zählt nicht",0,1))</f>
        <v>0</v>
      </c>
      <c r="AV406" s="1" t="n">
        <f aca="false">IF(B406="",0,IF(COUNTIF($B$6:$B$860,B406)&gt;1,1,0))</f>
        <v>0</v>
      </c>
      <c r="AX406" s="269" t="str">
        <f aca="false">IF(AY406=1,DATE(YEAR(O406),MONTH(O406),1),"")</f>
        <v/>
      </c>
      <c r="AY406" s="1" t="n">
        <f aca="false">IF(B406="",0,IF(AND(ISNUMBER(O406),ISNUMBER(P406)),IF(P406&gt;=O406,1,0),0))</f>
        <v>0</v>
      </c>
      <c r="AZ406" s="1" t="n">
        <f aca="false">IF(ISNUMBER(Y406),Y406,0)</f>
        <v>0</v>
      </c>
      <c r="BA406" s="1" t="str">
        <f aca="false">IF(B406="","",IF(AND(R406="WON",AS406=0),"⛔ Beleg fehlt · ","")&amp;IF(AND(R406="WON",AR406=0),"⛔ Einstand fehlt · ","")&amp;IF(AND(R406&lt;&gt;"WON",AR406=0),"○ Einstand offen · ","")&amp;IF(AND(R406="WON",AB406=""),"⛔ Vertragsart fehlt · ","")&amp;IF(AND(ISNUMBER(O406),ISNUMBER(P406)),IF(P406&lt;O406,"⚠ Ende vor Start · ",""),"")&amp;IF(AND(R406="WON",AY406=0,NOT(AND(ISNUMBER(O406),ISNUMBER(P406)))),"⛔ Zeitraum fehlt · ","")&amp;IF(AND(R406&lt;&gt;"WON",AY406=0,NOT(AND(ISNUMBER(O406),ISNUMBER(P406)))),"○ Zeitraum offen · ",""))</f>
        <v/>
      </c>
      <c r="BB406" s="1" t="str">
        <f aca="false">IF(B406="","",IF(AND(R406="WON",AS406=0),"⛔ Nachweis fehlt",IF(AND(ISNUMBER(O406),ISNUMBER(P406),P406&lt;O406),"⚠ Ende vor Start",IF(AND(R406="WON",AY406=0),"⛔ Zeitraum fehlt",IF(AR406=0,"○ Einstand offen",IF(AY406=0,"○ Zeitraum offen",IF(R406="WON","✅ belegt","✔ erfasst")))))))</f>
        <v/>
      </c>
    </row>
    <row r="407" customFormat="false" ht="15" hidden="false" customHeight="true" outlineLevel="0" collapsed="false">
      <c r="G407" s="1" t="str">
        <f aca="false">IF(B407="","",IF(AY407=1,P407-O407+1,IF(AW407="","",AW407)))</f>
        <v/>
      </c>
      <c r="I407" s="270"/>
      <c r="J407" s="270"/>
      <c r="K407" s="270"/>
      <c r="L407" s="270"/>
      <c r="M407" s="270"/>
      <c r="N407" s="270"/>
      <c r="O407" s="263"/>
      <c r="P407" s="263"/>
      <c r="Q407" s="270" t="str">
        <f aca="false">IF(AND(ISNUMBER(I407),ISNUMBER(S407)),I407*AJ407,IF(OR(I407&lt;&gt;"",S407&lt;&gt;""),"tbd",""))</f>
        <v/>
      </c>
      <c r="S407" s="268"/>
      <c r="Y407" s="275" t="str">
        <f aca="false">IF(ISNUMBER(I407),I407/Netto_Faktor,"")</f>
        <v/>
      </c>
      <c r="Z407" s="275" t="str">
        <f aca="false">IF(B407="","",IF(COUNT(J407:N407)=0,"",SUM(J407:N407)))</f>
        <v/>
      </c>
      <c r="AA407" s="266"/>
      <c r="AB407" s="266"/>
      <c r="AC407" s="266"/>
      <c r="AD407" s="266"/>
      <c r="AE407" s="266"/>
      <c r="AF407" s="266"/>
      <c r="AG407" s="267"/>
      <c r="AH407" s="266" t="str">
        <f aca="false">IF(B407="","",IF(BA407="",IF(R407="WON","✅ belegt &amp; vollständig","✔ vollständig"),LEFT(BA407,LEN(BA407)-3)))</f>
        <v/>
      </c>
      <c r="AJ407" s="268" t="n">
        <f aca="false">IF(ISNUMBER(S407),IFERROR(LOOKUP(IF(S407&lt;=1,S407,S407/100),'⚖️ Wahrscheinlichkeit'!$B$17:$B$21,'⚖️ Wahrscheinlichkeit'!$D$17:$D$21),0),0)</f>
        <v>0</v>
      </c>
      <c r="AK407" s="1" t="str">
        <f aca="false">IF(AND(R407="WON",ISNUMBER(I407)),AL407+(861-ROW())*0.000001,"")</f>
        <v/>
      </c>
      <c r="AL407" s="1" t="n">
        <f aca="false">IFERROR(I407*1,0)</f>
        <v>0</v>
      </c>
      <c r="AM407" s="1" t="n">
        <f aca="false">N(AM406)+IF(AND(R407="WON",B407&lt;&gt;""),1,0)</f>
        <v>12</v>
      </c>
      <c r="AN407" s="1" t="n">
        <f aca="false">N(AN406)+IF(AND(OR(R407="offered",R407="to be offered",R407="on hold"),B407&lt;&gt;""),1,0)</f>
        <v>33</v>
      </c>
      <c r="AO407" s="1" t="n">
        <f aca="false">N(AO406)+IF(AND(OR(R407="follow-up",R407="Evaluation",R407="tbd",R407="In evaluation"),B407&lt;&gt;""),1,0)</f>
        <v>1</v>
      </c>
      <c r="AP407" s="1" t="n">
        <f aca="false">IF(B407="",0,IF(COUNTIF('⚖️ Wahrscheinlichkeit'!$J$17:$J$24,R407)&gt;0,1,0))</f>
        <v>0</v>
      </c>
      <c r="AQ407" s="1" t="n">
        <f aca="false">IF(B407="",0,IF(AND(ISNUMBER(S407),COUNTIF('⚖️ Wahrscheinlichkeit'!$B$6:$B$11,S407)&gt;0),1,0))</f>
        <v>0</v>
      </c>
      <c r="AR407" s="1" t="n">
        <f aca="false">IF(B407="",0,IF(AND(COUNT(J407:M407)=4,SUM(J407:M407)&gt;0),1,0))</f>
        <v>0</v>
      </c>
      <c r="AS407" s="1" t="n">
        <f aca="false">IF(B407="",0,IF(AND(AF407&lt;&gt;"",AG407&lt;&gt;""),1,0))</f>
        <v>0</v>
      </c>
      <c r="AT407" s="1" t="n">
        <f aca="false">IF(AND(R407="WON",AS407=1,AR407=1),1,0)</f>
        <v>0</v>
      </c>
      <c r="AU407" s="1" t="n">
        <f aca="false">IF(B407="",0,IF(AD407="Alternative – zählt nicht",0,1))</f>
        <v>0</v>
      </c>
      <c r="AV407" s="1" t="n">
        <f aca="false">IF(B407="",0,IF(COUNTIF($B$6:$B$860,B407)&gt;1,1,0))</f>
        <v>0</v>
      </c>
      <c r="AX407" s="269" t="str">
        <f aca="false">IF(AY407=1,DATE(YEAR(O407),MONTH(O407),1),"")</f>
        <v/>
      </c>
      <c r="AY407" s="1" t="n">
        <f aca="false">IF(B407="",0,IF(AND(ISNUMBER(O407),ISNUMBER(P407)),IF(P407&gt;=O407,1,0),0))</f>
        <v>0</v>
      </c>
      <c r="AZ407" s="1" t="n">
        <f aca="false">IF(ISNUMBER(Y407),Y407,0)</f>
        <v>0</v>
      </c>
      <c r="BA407" s="1" t="str">
        <f aca="false">IF(B407="","",IF(AND(R407="WON",AS407=0),"⛔ Beleg fehlt · ","")&amp;IF(AND(R407="WON",AR407=0),"⛔ Einstand fehlt · ","")&amp;IF(AND(R407&lt;&gt;"WON",AR407=0),"○ Einstand offen · ","")&amp;IF(AND(R407="WON",AB407=""),"⛔ Vertragsart fehlt · ","")&amp;IF(AND(ISNUMBER(O407),ISNUMBER(P407)),IF(P407&lt;O407,"⚠ Ende vor Start · ",""),"")&amp;IF(AND(R407="WON",AY407=0,NOT(AND(ISNUMBER(O407),ISNUMBER(P407)))),"⛔ Zeitraum fehlt · ","")&amp;IF(AND(R407&lt;&gt;"WON",AY407=0,NOT(AND(ISNUMBER(O407),ISNUMBER(P407)))),"○ Zeitraum offen · ",""))</f>
        <v/>
      </c>
      <c r="BB407" s="1" t="str">
        <f aca="false">IF(B407="","",IF(AND(R407="WON",AS407=0),"⛔ Nachweis fehlt",IF(AND(ISNUMBER(O407),ISNUMBER(P407),P407&lt;O407),"⚠ Ende vor Start",IF(AND(R407="WON",AY407=0),"⛔ Zeitraum fehlt",IF(AR407=0,"○ Einstand offen",IF(AY407=0,"○ Zeitraum offen",IF(R407="WON","✅ belegt","✔ erfasst")))))))</f>
        <v/>
      </c>
    </row>
    <row r="408" customFormat="false" ht="15" hidden="false" customHeight="true" outlineLevel="0" collapsed="false">
      <c r="G408" s="1" t="str">
        <f aca="false">IF(B408="","",IF(AY408=1,P408-O408+1,IF(AW408="","",AW408)))</f>
        <v/>
      </c>
      <c r="I408" s="270"/>
      <c r="J408" s="270"/>
      <c r="K408" s="270"/>
      <c r="L408" s="270"/>
      <c r="M408" s="270"/>
      <c r="N408" s="270"/>
      <c r="O408" s="263"/>
      <c r="P408" s="263"/>
      <c r="Q408" s="270" t="str">
        <f aca="false">IF(AND(ISNUMBER(I408),ISNUMBER(S408)),I408*AJ408,IF(OR(I408&lt;&gt;"",S408&lt;&gt;""),"tbd",""))</f>
        <v/>
      </c>
      <c r="S408" s="268"/>
      <c r="Y408" s="275" t="str">
        <f aca="false">IF(ISNUMBER(I408),I408/Netto_Faktor,"")</f>
        <v/>
      </c>
      <c r="Z408" s="275" t="str">
        <f aca="false">IF(B408="","",IF(COUNT(J408:N408)=0,"",SUM(J408:N408)))</f>
        <v/>
      </c>
      <c r="AA408" s="266"/>
      <c r="AB408" s="266"/>
      <c r="AC408" s="266"/>
      <c r="AD408" s="266"/>
      <c r="AE408" s="266"/>
      <c r="AF408" s="266"/>
      <c r="AG408" s="267"/>
      <c r="AH408" s="266" t="str">
        <f aca="false">IF(B408="","",IF(BA408="",IF(R408="WON","✅ belegt &amp; vollständig","✔ vollständig"),LEFT(BA408,LEN(BA408)-3)))</f>
        <v/>
      </c>
      <c r="AJ408" s="268" t="n">
        <f aca="false">IF(ISNUMBER(S408),IFERROR(LOOKUP(IF(S408&lt;=1,S408,S408/100),'⚖️ Wahrscheinlichkeit'!$B$17:$B$21,'⚖️ Wahrscheinlichkeit'!$D$17:$D$21),0),0)</f>
        <v>0</v>
      </c>
      <c r="AK408" s="1" t="str">
        <f aca="false">IF(AND(R408="WON",ISNUMBER(I408)),AL408+(861-ROW())*0.000001,"")</f>
        <v/>
      </c>
      <c r="AL408" s="1" t="n">
        <f aca="false">IFERROR(I408*1,0)</f>
        <v>0</v>
      </c>
      <c r="AM408" s="1" t="n">
        <f aca="false">N(AM407)+IF(AND(R408="WON",B408&lt;&gt;""),1,0)</f>
        <v>12</v>
      </c>
      <c r="AN408" s="1" t="n">
        <f aca="false">N(AN407)+IF(AND(OR(R408="offered",R408="to be offered",R408="on hold"),B408&lt;&gt;""),1,0)</f>
        <v>33</v>
      </c>
      <c r="AO408" s="1" t="n">
        <f aca="false">N(AO407)+IF(AND(OR(R408="follow-up",R408="Evaluation",R408="tbd",R408="In evaluation"),B408&lt;&gt;""),1,0)</f>
        <v>1</v>
      </c>
      <c r="AP408" s="1" t="n">
        <f aca="false">IF(B408="",0,IF(COUNTIF('⚖️ Wahrscheinlichkeit'!$J$17:$J$24,R408)&gt;0,1,0))</f>
        <v>0</v>
      </c>
      <c r="AQ408" s="1" t="n">
        <f aca="false">IF(B408="",0,IF(AND(ISNUMBER(S408),COUNTIF('⚖️ Wahrscheinlichkeit'!$B$6:$B$11,S408)&gt;0),1,0))</f>
        <v>0</v>
      </c>
      <c r="AR408" s="1" t="n">
        <f aca="false">IF(B408="",0,IF(AND(COUNT(J408:M408)=4,SUM(J408:M408)&gt;0),1,0))</f>
        <v>0</v>
      </c>
      <c r="AS408" s="1" t="n">
        <f aca="false">IF(B408="",0,IF(AND(AF408&lt;&gt;"",AG408&lt;&gt;""),1,0))</f>
        <v>0</v>
      </c>
      <c r="AT408" s="1" t="n">
        <f aca="false">IF(AND(R408="WON",AS408=1,AR408=1),1,0)</f>
        <v>0</v>
      </c>
      <c r="AU408" s="1" t="n">
        <f aca="false">IF(B408="",0,IF(AD408="Alternative – zählt nicht",0,1))</f>
        <v>0</v>
      </c>
      <c r="AV408" s="1" t="n">
        <f aca="false">IF(B408="",0,IF(COUNTIF($B$6:$B$860,B408)&gt;1,1,0))</f>
        <v>0</v>
      </c>
      <c r="AX408" s="269" t="str">
        <f aca="false">IF(AY408=1,DATE(YEAR(O408),MONTH(O408),1),"")</f>
        <v/>
      </c>
      <c r="AY408" s="1" t="n">
        <f aca="false">IF(B408="",0,IF(AND(ISNUMBER(O408),ISNUMBER(P408)),IF(P408&gt;=O408,1,0),0))</f>
        <v>0</v>
      </c>
      <c r="AZ408" s="1" t="n">
        <f aca="false">IF(ISNUMBER(Y408),Y408,0)</f>
        <v>0</v>
      </c>
      <c r="BA408" s="1" t="str">
        <f aca="false">IF(B408="","",IF(AND(R408="WON",AS408=0),"⛔ Beleg fehlt · ","")&amp;IF(AND(R408="WON",AR408=0),"⛔ Einstand fehlt · ","")&amp;IF(AND(R408&lt;&gt;"WON",AR408=0),"○ Einstand offen · ","")&amp;IF(AND(R408="WON",AB408=""),"⛔ Vertragsart fehlt · ","")&amp;IF(AND(ISNUMBER(O408),ISNUMBER(P408)),IF(P408&lt;O408,"⚠ Ende vor Start · ",""),"")&amp;IF(AND(R408="WON",AY408=0,NOT(AND(ISNUMBER(O408),ISNUMBER(P408)))),"⛔ Zeitraum fehlt · ","")&amp;IF(AND(R408&lt;&gt;"WON",AY408=0,NOT(AND(ISNUMBER(O408),ISNUMBER(P408)))),"○ Zeitraum offen · ",""))</f>
        <v/>
      </c>
      <c r="BB408" s="1" t="str">
        <f aca="false">IF(B408="","",IF(AND(R408="WON",AS408=0),"⛔ Nachweis fehlt",IF(AND(ISNUMBER(O408),ISNUMBER(P408),P408&lt;O408),"⚠ Ende vor Start",IF(AND(R408="WON",AY408=0),"⛔ Zeitraum fehlt",IF(AR408=0,"○ Einstand offen",IF(AY408=0,"○ Zeitraum offen",IF(R408="WON","✅ belegt","✔ erfasst")))))))</f>
        <v/>
      </c>
    </row>
    <row r="409" customFormat="false" ht="15" hidden="false" customHeight="true" outlineLevel="0" collapsed="false">
      <c r="G409" s="1" t="str">
        <f aca="false">IF(B409="","",IF(AY409=1,P409-O409+1,IF(AW409="","",AW409)))</f>
        <v/>
      </c>
      <c r="I409" s="270"/>
      <c r="J409" s="270"/>
      <c r="K409" s="270"/>
      <c r="L409" s="270"/>
      <c r="M409" s="270"/>
      <c r="N409" s="270"/>
      <c r="O409" s="263"/>
      <c r="P409" s="263"/>
      <c r="Q409" s="270" t="str">
        <f aca="false">IF(AND(ISNUMBER(I409),ISNUMBER(S409)),I409*AJ409,IF(OR(I409&lt;&gt;"",S409&lt;&gt;""),"tbd",""))</f>
        <v/>
      </c>
      <c r="S409" s="268"/>
      <c r="Y409" s="275" t="str">
        <f aca="false">IF(ISNUMBER(I409),I409/Netto_Faktor,"")</f>
        <v/>
      </c>
      <c r="Z409" s="275" t="str">
        <f aca="false">IF(B409="","",IF(COUNT(J409:N409)=0,"",SUM(J409:N409)))</f>
        <v/>
      </c>
      <c r="AA409" s="266"/>
      <c r="AB409" s="266"/>
      <c r="AC409" s="266"/>
      <c r="AD409" s="266"/>
      <c r="AE409" s="266"/>
      <c r="AF409" s="266"/>
      <c r="AG409" s="267"/>
      <c r="AH409" s="266" t="str">
        <f aca="false">IF(B409="","",IF(BA409="",IF(R409="WON","✅ belegt &amp; vollständig","✔ vollständig"),LEFT(BA409,LEN(BA409)-3)))</f>
        <v/>
      </c>
      <c r="AJ409" s="268" t="n">
        <f aca="false">IF(ISNUMBER(S409),IFERROR(LOOKUP(IF(S409&lt;=1,S409,S409/100),'⚖️ Wahrscheinlichkeit'!$B$17:$B$21,'⚖️ Wahrscheinlichkeit'!$D$17:$D$21),0),0)</f>
        <v>0</v>
      </c>
      <c r="AK409" s="1" t="str">
        <f aca="false">IF(AND(R409="WON",ISNUMBER(I409)),AL409+(861-ROW())*0.000001,"")</f>
        <v/>
      </c>
      <c r="AL409" s="1" t="n">
        <f aca="false">IFERROR(I409*1,0)</f>
        <v>0</v>
      </c>
      <c r="AM409" s="1" t="n">
        <f aca="false">N(AM408)+IF(AND(R409="WON",B409&lt;&gt;""),1,0)</f>
        <v>12</v>
      </c>
      <c r="AN409" s="1" t="n">
        <f aca="false">N(AN408)+IF(AND(OR(R409="offered",R409="to be offered",R409="on hold"),B409&lt;&gt;""),1,0)</f>
        <v>33</v>
      </c>
      <c r="AO409" s="1" t="n">
        <f aca="false">N(AO408)+IF(AND(OR(R409="follow-up",R409="Evaluation",R409="tbd",R409="In evaluation"),B409&lt;&gt;""),1,0)</f>
        <v>1</v>
      </c>
      <c r="AP409" s="1" t="n">
        <f aca="false">IF(B409="",0,IF(COUNTIF('⚖️ Wahrscheinlichkeit'!$J$17:$J$24,R409)&gt;0,1,0))</f>
        <v>0</v>
      </c>
      <c r="AQ409" s="1" t="n">
        <f aca="false">IF(B409="",0,IF(AND(ISNUMBER(S409),COUNTIF('⚖️ Wahrscheinlichkeit'!$B$6:$B$11,S409)&gt;0),1,0))</f>
        <v>0</v>
      </c>
      <c r="AR409" s="1" t="n">
        <f aca="false">IF(B409="",0,IF(AND(COUNT(J409:M409)=4,SUM(J409:M409)&gt;0),1,0))</f>
        <v>0</v>
      </c>
      <c r="AS409" s="1" t="n">
        <f aca="false">IF(B409="",0,IF(AND(AF409&lt;&gt;"",AG409&lt;&gt;""),1,0))</f>
        <v>0</v>
      </c>
      <c r="AT409" s="1" t="n">
        <f aca="false">IF(AND(R409="WON",AS409=1,AR409=1),1,0)</f>
        <v>0</v>
      </c>
      <c r="AU409" s="1" t="n">
        <f aca="false">IF(B409="",0,IF(AD409="Alternative – zählt nicht",0,1))</f>
        <v>0</v>
      </c>
      <c r="AV409" s="1" t="n">
        <f aca="false">IF(B409="",0,IF(COUNTIF($B$6:$B$860,B409)&gt;1,1,0))</f>
        <v>0</v>
      </c>
      <c r="AX409" s="269" t="str">
        <f aca="false">IF(AY409=1,DATE(YEAR(O409),MONTH(O409),1),"")</f>
        <v/>
      </c>
      <c r="AY409" s="1" t="n">
        <f aca="false">IF(B409="",0,IF(AND(ISNUMBER(O409),ISNUMBER(P409)),IF(P409&gt;=O409,1,0),0))</f>
        <v>0</v>
      </c>
      <c r="AZ409" s="1" t="n">
        <f aca="false">IF(ISNUMBER(Y409),Y409,0)</f>
        <v>0</v>
      </c>
      <c r="BA409" s="1" t="str">
        <f aca="false">IF(B409="","",IF(AND(R409="WON",AS409=0),"⛔ Beleg fehlt · ","")&amp;IF(AND(R409="WON",AR409=0),"⛔ Einstand fehlt · ","")&amp;IF(AND(R409&lt;&gt;"WON",AR409=0),"○ Einstand offen · ","")&amp;IF(AND(R409="WON",AB409=""),"⛔ Vertragsart fehlt · ","")&amp;IF(AND(ISNUMBER(O409),ISNUMBER(P409)),IF(P409&lt;O409,"⚠ Ende vor Start · ",""),"")&amp;IF(AND(R409="WON",AY409=0,NOT(AND(ISNUMBER(O409),ISNUMBER(P409)))),"⛔ Zeitraum fehlt · ","")&amp;IF(AND(R409&lt;&gt;"WON",AY409=0,NOT(AND(ISNUMBER(O409),ISNUMBER(P409)))),"○ Zeitraum offen · ",""))</f>
        <v/>
      </c>
      <c r="BB409" s="1" t="str">
        <f aca="false">IF(B409="","",IF(AND(R409="WON",AS409=0),"⛔ Nachweis fehlt",IF(AND(ISNUMBER(O409),ISNUMBER(P409),P409&lt;O409),"⚠ Ende vor Start",IF(AND(R409="WON",AY409=0),"⛔ Zeitraum fehlt",IF(AR409=0,"○ Einstand offen",IF(AY409=0,"○ Zeitraum offen",IF(R409="WON","✅ belegt","✔ erfasst")))))))</f>
        <v/>
      </c>
    </row>
    <row r="410" customFormat="false" ht="15" hidden="false" customHeight="true" outlineLevel="0" collapsed="false">
      <c r="G410" s="1" t="str">
        <f aca="false">IF(B410="","",IF(AY410=1,P410-O410+1,IF(AW410="","",AW410)))</f>
        <v/>
      </c>
      <c r="I410" s="270"/>
      <c r="J410" s="270"/>
      <c r="K410" s="270"/>
      <c r="L410" s="270"/>
      <c r="M410" s="270"/>
      <c r="N410" s="270"/>
      <c r="O410" s="263"/>
      <c r="P410" s="263"/>
      <c r="Q410" s="270" t="str">
        <f aca="false">IF(AND(ISNUMBER(I410),ISNUMBER(S410)),I410*AJ410,IF(OR(I410&lt;&gt;"",S410&lt;&gt;""),"tbd",""))</f>
        <v/>
      </c>
      <c r="S410" s="268"/>
      <c r="Y410" s="275" t="str">
        <f aca="false">IF(ISNUMBER(I410),I410/Netto_Faktor,"")</f>
        <v/>
      </c>
      <c r="Z410" s="275" t="str">
        <f aca="false">IF(B410="","",IF(COUNT(J410:N410)=0,"",SUM(J410:N410)))</f>
        <v/>
      </c>
      <c r="AA410" s="266"/>
      <c r="AB410" s="266"/>
      <c r="AC410" s="266"/>
      <c r="AD410" s="266"/>
      <c r="AE410" s="266"/>
      <c r="AF410" s="266"/>
      <c r="AG410" s="267"/>
      <c r="AH410" s="266" t="str">
        <f aca="false">IF(B410="","",IF(BA410="",IF(R410="WON","✅ belegt &amp; vollständig","✔ vollständig"),LEFT(BA410,LEN(BA410)-3)))</f>
        <v/>
      </c>
      <c r="AJ410" s="268" t="n">
        <f aca="false">IF(ISNUMBER(S410),IFERROR(LOOKUP(IF(S410&lt;=1,S410,S410/100),'⚖️ Wahrscheinlichkeit'!$B$17:$B$21,'⚖️ Wahrscheinlichkeit'!$D$17:$D$21),0),0)</f>
        <v>0</v>
      </c>
      <c r="AK410" s="1" t="str">
        <f aca="false">IF(AND(R410="WON",ISNUMBER(I410)),AL410+(861-ROW())*0.000001,"")</f>
        <v/>
      </c>
      <c r="AL410" s="1" t="n">
        <f aca="false">IFERROR(I410*1,0)</f>
        <v>0</v>
      </c>
      <c r="AM410" s="1" t="n">
        <f aca="false">N(AM409)+IF(AND(R410="WON",B410&lt;&gt;""),1,0)</f>
        <v>12</v>
      </c>
      <c r="AN410" s="1" t="n">
        <f aca="false">N(AN409)+IF(AND(OR(R410="offered",R410="to be offered",R410="on hold"),B410&lt;&gt;""),1,0)</f>
        <v>33</v>
      </c>
      <c r="AO410" s="1" t="n">
        <f aca="false">N(AO409)+IF(AND(OR(R410="follow-up",R410="Evaluation",R410="tbd",R410="In evaluation"),B410&lt;&gt;""),1,0)</f>
        <v>1</v>
      </c>
      <c r="AP410" s="1" t="n">
        <f aca="false">IF(B410="",0,IF(COUNTIF('⚖️ Wahrscheinlichkeit'!$J$17:$J$24,R410)&gt;0,1,0))</f>
        <v>0</v>
      </c>
      <c r="AQ410" s="1" t="n">
        <f aca="false">IF(B410="",0,IF(AND(ISNUMBER(S410),COUNTIF('⚖️ Wahrscheinlichkeit'!$B$6:$B$11,S410)&gt;0),1,0))</f>
        <v>0</v>
      </c>
      <c r="AR410" s="1" t="n">
        <f aca="false">IF(B410="",0,IF(AND(COUNT(J410:M410)=4,SUM(J410:M410)&gt;0),1,0))</f>
        <v>0</v>
      </c>
      <c r="AS410" s="1" t="n">
        <f aca="false">IF(B410="",0,IF(AND(AF410&lt;&gt;"",AG410&lt;&gt;""),1,0))</f>
        <v>0</v>
      </c>
      <c r="AT410" s="1" t="n">
        <f aca="false">IF(AND(R410="WON",AS410=1,AR410=1),1,0)</f>
        <v>0</v>
      </c>
      <c r="AU410" s="1" t="n">
        <f aca="false">IF(B410="",0,IF(AD410="Alternative – zählt nicht",0,1))</f>
        <v>0</v>
      </c>
      <c r="AV410" s="1" t="n">
        <f aca="false">IF(B410="",0,IF(COUNTIF($B$6:$B$860,B410)&gt;1,1,0))</f>
        <v>0</v>
      </c>
      <c r="AX410" s="269" t="str">
        <f aca="false">IF(AY410=1,DATE(YEAR(O410),MONTH(O410),1),"")</f>
        <v/>
      </c>
      <c r="AY410" s="1" t="n">
        <f aca="false">IF(B410="",0,IF(AND(ISNUMBER(O410),ISNUMBER(P410)),IF(P410&gt;=O410,1,0),0))</f>
        <v>0</v>
      </c>
      <c r="AZ410" s="1" t="n">
        <f aca="false">IF(ISNUMBER(Y410),Y410,0)</f>
        <v>0</v>
      </c>
      <c r="BA410" s="1" t="str">
        <f aca="false">IF(B410="","",IF(AND(R410="WON",AS410=0),"⛔ Beleg fehlt · ","")&amp;IF(AND(R410="WON",AR410=0),"⛔ Einstand fehlt · ","")&amp;IF(AND(R410&lt;&gt;"WON",AR410=0),"○ Einstand offen · ","")&amp;IF(AND(R410="WON",AB410=""),"⛔ Vertragsart fehlt · ","")&amp;IF(AND(ISNUMBER(O410),ISNUMBER(P410)),IF(P410&lt;O410,"⚠ Ende vor Start · ",""),"")&amp;IF(AND(R410="WON",AY410=0,NOT(AND(ISNUMBER(O410),ISNUMBER(P410)))),"⛔ Zeitraum fehlt · ","")&amp;IF(AND(R410&lt;&gt;"WON",AY410=0,NOT(AND(ISNUMBER(O410),ISNUMBER(P410)))),"○ Zeitraum offen · ",""))</f>
        <v/>
      </c>
      <c r="BB410" s="1" t="str">
        <f aca="false">IF(B410="","",IF(AND(R410="WON",AS410=0),"⛔ Nachweis fehlt",IF(AND(ISNUMBER(O410),ISNUMBER(P410),P410&lt;O410),"⚠ Ende vor Start",IF(AND(R410="WON",AY410=0),"⛔ Zeitraum fehlt",IF(AR410=0,"○ Einstand offen",IF(AY410=0,"○ Zeitraum offen",IF(R410="WON","✅ belegt","✔ erfasst")))))))</f>
        <v/>
      </c>
    </row>
    <row r="411" customFormat="false" ht="15" hidden="false" customHeight="true" outlineLevel="0" collapsed="false">
      <c r="G411" s="1" t="str">
        <f aca="false">IF(B411="","",IF(AY411=1,P411-O411+1,IF(AW411="","",AW411)))</f>
        <v/>
      </c>
      <c r="I411" s="270"/>
      <c r="J411" s="270"/>
      <c r="K411" s="270"/>
      <c r="L411" s="270"/>
      <c r="M411" s="270"/>
      <c r="N411" s="270"/>
      <c r="O411" s="263"/>
      <c r="P411" s="263"/>
      <c r="Q411" s="270" t="str">
        <f aca="false">IF(AND(ISNUMBER(I411),ISNUMBER(S411)),I411*AJ411,IF(OR(I411&lt;&gt;"",S411&lt;&gt;""),"tbd",""))</f>
        <v/>
      </c>
      <c r="S411" s="268"/>
      <c r="Y411" s="275" t="str">
        <f aca="false">IF(ISNUMBER(I411),I411/Netto_Faktor,"")</f>
        <v/>
      </c>
      <c r="Z411" s="275" t="str">
        <f aca="false">IF(B411="","",IF(COUNT(J411:N411)=0,"",SUM(J411:N411)))</f>
        <v/>
      </c>
      <c r="AA411" s="266"/>
      <c r="AB411" s="266"/>
      <c r="AC411" s="266"/>
      <c r="AD411" s="266"/>
      <c r="AE411" s="266"/>
      <c r="AF411" s="266"/>
      <c r="AG411" s="267"/>
      <c r="AH411" s="266" t="str">
        <f aca="false">IF(B411="","",IF(BA411="",IF(R411="WON","✅ belegt &amp; vollständig","✔ vollständig"),LEFT(BA411,LEN(BA411)-3)))</f>
        <v/>
      </c>
      <c r="AJ411" s="268" t="n">
        <f aca="false">IF(ISNUMBER(S411),IFERROR(LOOKUP(IF(S411&lt;=1,S411,S411/100),'⚖️ Wahrscheinlichkeit'!$B$17:$B$21,'⚖️ Wahrscheinlichkeit'!$D$17:$D$21),0),0)</f>
        <v>0</v>
      </c>
      <c r="AK411" s="1" t="str">
        <f aca="false">IF(AND(R411="WON",ISNUMBER(I411)),AL411+(861-ROW())*0.000001,"")</f>
        <v/>
      </c>
      <c r="AL411" s="1" t="n">
        <f aca="false">IFERROR(I411*1,0)</f>
        <v>0</v>
      </c>
      <c r="AM411" s="1" t="n">
        <f aca="false">N(AM410)+IF(AND(R411="WON",B411&lt;&gt;""),1,0)</f>
        <v>12</v>
      </c>
      <c r="AN411" s="1" t="n">
        <f aca="false">N(AN410)+IF(AND(OR(R411="offered",R411="to be offered",R411="on hold"),B411&lt;&gt;""),1,0)</f>
        <v>33</v>
      </c>
      <c r="AO411" s="1" t="n">
        <f aca="false">N(AO410)+IF(AND(OR(R411="follow-up",R411="Evaluation",R411="tbd",R411="In evaluation"),B411&lt;&gt;""),1,0)</f>
        <v>1</v>
      </c>
      <c r="AP411" s="1" t="n">
        <f aca="false">IF(B411="",0,IF(COUNTIF('⚖️ Wahrscheinlichkeit'!$J$17:$J$24,R411)&gt;0,1,0))</f>
        <v>0</v>
      </c>
      <c r="AQ411" s="1" t="n">
        <f aca="false">IF(B411="",0,IF(AND(ISNUMBER(S411),COUNTIF('⚖️ Wahrscheinlichkeit'!$B$6:$B$11,S411)&gt;0),1,0))</f>
        <v>0</v>
      </c>
      <c r="AR411" s="1" t="n">
        <f aca="false">IF(B411="",0,IF(AND(COUNT(J411:M411)=4,SUM(J411:M411)&gt;0),1,0))</f>
        <v>0</v>
      </c>
      <c r="AS411" s="1" t="n">
        <f aca="false">IF(B411="",0,IF(AND(AF411&lt;&gt;"",AG411&lt;&gt;""),1,0))</f>
        <v>0</v>
      </c>
      <c r="AT411" s="1" t="n">
        <f aca="false">IF(AND(R411="WON",AS411=1,AR411=1),1,0)</f>
        <v>0</v>
      </c>
      <c r="AU411" s="1" t="n">
        <f aca="false">IF(B411="",0,IF(AD411="Alternative – zählt nicht",0,1))</f>
        <v>0</v>
      </c>
      <c r="AV411" s="1" t="n">
        <f aca="false">IF(B411="",0,IF(COUNTIF($B$6:$B$860,B411)&gt;1,1,0))</f>
        <v>0</v>
      </c>
      <c r="AX411" s="269" t="str">
        <f aca="false">IF(AY411=1,DATE(YEAR(O411),MONTH(O411),1),"")</f>
        <v/>
      </c>
      <c r="AY411" s="1" t="n">
        <f aca="false">IF(B411="",0,IF(AND(ISNUMBER(O411),ISNUMBER(P411)),IF(P411&gt;=O411,1,0),0))</f>
        <v>0</v>
      </c>
      <c r="AZ411" s="1" t="n">
        <f aca="false">IF(ISNUMBER(Y411),Y411,0)</f>
        <v>0</v>
      </c>
      <c r="BA411" s="1" t="str">
        <f aca="false">IF(B411="","",IF(AND(R411="WON",AS411=0),"⛔ Beleg fehlt · ","")&amp;IF(AND(R411="WON",AR411=0),"⛔ Einstand fehlt · ","")&amp;IF(AND(R411&lt;&gt;"WON",AR411=0),"○ Einstand offen · ","")&amp;IF(AND(R411="WON",AB411=""),"⛔ Vertragsart fehlt · ","")&amp;IF(AND(ISNUMBER(O411),ISNUMBER(P411)),IF(P411&lt;O411,"⚠ Ende vor Start · ",""),"")&amp;IF(AND(R411="WON",AY411=0,NOT(AND(ISNUMBER(O411),ISNUMBER(P411)))),"⛔ Zeitraum fehlt · ","")&amp;IF(AND(R411&lt;&gt;"WON",AY411=0,NOT(AND(ISNUMBER(O411),ISNUMBER(P411)))),"○ Zeitraum offen · ",""))</f>
        <v/>
      </c>
      <c r="BB411" s="1" t="str">
        <f aca="false">IF(B411="","",IF(AND(R411="WON",AS411=0),"⛔ Nachweis fehlt",IF(AND(ISNUMBER(O411),ISNUMBER(P411),P411&lt;O411),"⚠ Ende vor Start",IF(AND(R411="WON",AY411=0),"⛔ Zeitraum fehlt",IF(AR411=0,"○ Einstand offen",IF(AY411=0,"○ Zeitraum offen",IF(R411="WON","✅ belegt","✔ erfasst")))))))</f>
        <v/>
      </c>
    </row>
    <row r="412" customFormat="false" ht="15" hidden="false" customHeight="true" outlineLevel="0" collapsed="false">
      <c r="G412" s="1" t="str">
        <f aca="false">IF(B412="","",IF(AY412=1,P412-O412+1,IF(AW412="","",AW412)))</f>
        <v/>
      </c>
      <c r="I412" s="270"/>
      <c r="J412" s="270"/>
      <c r="K412" s="270"/>
      <c r="L412" s="270"/>
      <c r="M412" s="270"/>
      <c r="N412" s="270"/>
      <c r="O412" s="263"/>
      <c r="P412" s="263"/>
      <c r="Q412" s="270" t="str">
        <f aca="false">IF(AND(ISNUMBER(I412),ISNUMBER(S412)),I412*AJ412,IF(OR(I412&lt;&gt;"",S412&lt;&gt;""),"tbd",""))</f>
        <v/>
      </c>
      <c r="S412" s="268"/>
      <c r="Y412" s="275" t="str">
        <f aca="false">IF(ISNUMBER(I412),I412/Netto_Faktor,"")</f>
        <v/>
      </c>
      <c r="Z412" s="275" t="str">
        <f aca="false">IF(B412="","",IF(COUNT(J412:N412)=0,"",SUM(J412:N412)))</f>
        <v/>
      </c>
      <c r="AA412" s="266"/>
      <c r="AB412" s="266"/>
      <c r="AC412" s="266"/>
      <c r="AD412" s="266"/>
      <c r="AE412" s="266"/>
      <c r="AF412" s="266"/>
      <c r="AG412" s="267"/>
      <c r="AH412" s="266" t="str">
        <f aca="false">IF(B412="","",IF(BA412="",IF(R412="WON","✅ belegt &amp; vollständig","✔ vollständig"),LEFT(BA412,LEN(BA412)-3)))</f>
        <v/>
      </c>
      <c r="AJ412" s="268" t="n">
        <f aca="false">IF(ISNUMBER(S412),IFERROR(LOOKUP(IF(S412&lt;=1,S412,S412/100),'⚖️ Wahrscheinlichkeit'!$B$17:$B$21,'⚖️ Wahrscheinlichkeit'!$D$17:$D$21),0),0)</f>
        <v>0</v>
      </c>
      <c r="AK412" s="1" t="str">
        <f aca="false">IF(AND(R412="WON",ISNUMBER(I412)),AL412+(861-ROW())*0.000001,"")</f>
        <v/>
      </c>
      <c r="AL412" s="1" t="n">
        <f aca="false">IFERROR(I412*1,0)</f>
        <v>0</v>
      </c>
      <c r="AM412" s="1" t="n">
        <f aca="false">N(AM411)+IF(AND(R412="WON",B412&lt;&gt;""),1,0)</f>
        <v>12</v>
      </c>
      <c r="AN412" s="1" t="n">
        <f aca="false">N(AN411)+IF(AND(OR(R412="offered",R412="to be offered",R412="on hold"),B412&lt;&gt;""),1,0)</f>
        <v>33</v>
      </c>
      <c r="AO412" s="1" t="n">
        <f aca="false">N(AO411)+IF(AND(OR(R412="follow-up",R412="Evaluation",R412="tbd",R412="In evaluation"),B412&lt;&gt;""),1,0)</f>
        <v>1</v>
      </c>
      <c r="AP412" s="1" t="n">
        <f aca="false">IF(B412="",0,IF(COUNTIF('⚖️ Wahrscheinlichkeit'!$J$17:$J$24,R412)&gt;0,1,0))</f>
        <v>0</v>
      </c>
      <c r="AQ412" s="1" t="n">
        <f aca="false">IF(B412="",0,IF(AND(ISNUMBER(S412),COUNTIF('⚖️ Wahrscheinlichkeit'!$B$6:$B$11,S412)&gt;0),1,0))</f>
        <v>0</v>
      </c>
      <c r="AR412" s="1" t="n">
        <f aca="false">IF(B412="",0,IF(AND(COUNT(J412:M412)=4,SUM(J412:M412)&gt;0),1,0))</f>
        <v>0</v>
      </c>
      <c r="AS412" s="1" t="n">
        <f aca="false">IF(B412="",0,IF(AND(AF412&lt;&gt;"",AG412&lt;&gt;""),1,0))</f>
        <v>0</v>
      </c>
      <c r="AT412" s="1" t="n">
        <f aca="false">IF(AND(R412="WON",AS412=1,AR412=1),1,0)</f>
        <v>0</v>
      </c>
      <c r="AU412" s="1" t="n">
        <f aca="false">IF(B412="",0,IF(AD412="Alternative – zählt nicht",0,1))</f>
        <v>0</v>
      </c>
      <c r="AV412" s="1" t="n">
        <f aca="false">IF(B412="",0,IF(COUNTIF($B$6:$B$860,B412)&gt;1,1,0))</f>
        <v>0</v>
      </c>
      <c r="AX412" s="269" t="str">
        <f aca="false">IF(AY412=1,DATE(YEAR(O412),MONTH(O412),1),"")</f>
        <v/>
      </c>
      <c r="AY412" s="1" t="n">
        <f aca="false">IF(B412="",0,IF(AND(ISNUMBER(O412),ISNUMBER(P412)),IF(P412&gt;=O412,1,0),0))</f>
        <v>0</v>
      </c>
      <c r="AZ412" s="1" t="n">
        <f aca="false">IF(ISNUMBER(Y412),Y412,0)</f>
        <v>0</v>
      </c>
      <c r="BA412" s="1" t="str">
        <f aca="false">IF(B412="","",IF(AND(R412="WON",AS412=0),"⛔ Beleg fehlt · ","")&amp;IF(AND(R412="WON",AR412=0),"⛔ Einstand fehlt · ","")&amp;IF(AND(R412&lt;&gt;"WON",AR412=0),"○ Einstand offen · ","")&amp;IF(AND(R412="WON",AB412=""),"⛔ Vertragsart fehlt · ","")&amp;IF(AND(ISNUMBER(O412),ISNUMBER(P412)),IF(P412&lt;O412,"⚠ Ende vor Start · ",""),"")&amp;IF(AND(R412="WON",AY412=0,NOT(AND(ISNUMBER(O412),ISNUMBER(P412)))),"⛔ Zeitraum fehlt · ","")&amp;IF(AND(R412&lt;&gt;"WON",AY412=0,NOT(AND(ISNUMBER(O412),ISNUMBER(P412)))),"○ Zeitraum offen · ",""))</f>
        <v/>
      </c>
      <c r="BB412" s="1" t="str">
        <f aca="false">IF(B412="","",IF(AND(R412="WON",AS412=0),"⛔ Nachweis fehlt",IF(AND(ISNUMBER(O412),ISNUMBER(P412),P412&lt;O412),"⚠ Ende vor Start",IF(AND(R412="WON",AY412=0),"⛔ Zeitraum fehlt",IF(AR412=0,"○ Einstand offen",IF(AY412=0,"○ Zeitraum offen",IF(R412="WON","✅ belegt","✔ erfasst")))))))</f>
        <v/>
      </c>
    </row>
    <row r="413" customFormat="false" ht="15" hidden="false" customHeight="true" outlineLevel="0" collapsed="false">
      <c r="G413" s="1" t="str">
        <f aca="false">IF(B413="","",IF(AY413=1,P413-O413+1,IF(AW413="","",AW413)))</f>
        <v/>
      </c>
      <c r="I413" s="270"/>
      <c r="J413" s="270"/>
      <c r="K413" s="270"/>
      <c r="L413" s="270"/>
      <c r="M413" s="270"/>
      <c r="N413" s="270"/>
      <c r="O413" s="263"/>
      <c r="P413" s="263"/>
      <c r="Q413" s="270" t="str">
        <f aca="false">IF(AND(ISNUMBER(I413),ISNUMBER(S413)),I413*AJ413,IF(OR(I413&lt;&gt;"",S413&lt;&gt;""),"tbd",""))</f>
        <v/>
      </c>
      <c r="S413" s="268"/>
      <c r="Y413" s="275" t="str">
        <f aca="false">IF(ISNUMBER(I413),I413/Netto_Faktor,"")</f>
        <v/>
      </c>
      <c r="Z413" s="275" t="str">
        <f aca="false">IF(B413="","",IF(COUNT(J413:N413)=0,"",SUM(J413:N413)))</f>
        <v/>
      </c>
      <c r="AA413" s="266"/>
      <c r="AB413" s="266"/>
      <c r="AC413" s="266"/>
      <c r="AD413" s="266"/>
      <c r="AE413" s="266"/>
      <c r="AF413" s="266"/>
      <c r="AG413" s="267"/>
      <c r="AH413" s="266" t="str">
        <f aca="false">IF(B413="","",IF(BA413="",IF(R413="WON","✅ belegt &amp; vollständig","✔ vollständig"),LEFT(BA413,LEN(BA413)-3)))</f>
        <v/>
      </c>
      <c r="AJ413" s="268" t="n">
        <f aca="false">IF(ISNUMBER(S413),IFERROR(LOOKUP(IF(S413&lt;=1,S413,S413/100),'⚖️ Wahrscheinlichkeit'!$B$17:$B$21,'⚖️ Wahrscheinlichkeit'!$D$17:$D$21),0),0)</f>
        <v>0</v>
      </c>
      <c r="AK413" s="1" t="str">
        <f aca="false">IF(AND(R413="WON",ISNUMBER(I413)),AL413+(861-ROW())*0.000001,"")</f>
        <v/>
      </c>
      <c r="AL413" s="1" t="n">
        <f aca="false">IFERROR(I413*1,0)</f>
        <v>0</v>
      </c>
      <c r="AM413" s="1" t="n">
        <f aca="false">N(AM412)+IF(AND(R413="WON",B413&lt;&gt;""),1,0)</f>
        <v>12</v>
      </c>
      <c r="AN413" s="1" t="n">
        <f aca="false">N(AN412)+IF(AND(OR(R413="offered",R413="to be offered",R413="on hold"),B413&lt;&gt;""),1,0)</f>
        <v>33</v>
      </c>
      <c r="AO413" s="1" t="n">
        <f aca="false">N(AO412)+IF(AND(OR(R413="follow-up",R413="Evaluation",R413="tbd",R413="In evaluation"),B413&lt;&gt;""),1,0)</f>
        <v>1</v>
      </c>
      <c r="AP413" s="1" t="n">
        <f aca="false">IF(B413="",0,IF(COUNTIF('⚖️ Wahrscheinlichkeit'!$J$17:$J$24,R413)&gt;0,1,0))</f>
        <v>0</v>
      </c>
      <c r="AQ413" s="1" t="n">
        <f aca="false">IF(B413="",0,IF(AND(ISNUMBER(S413),COUNTIF('⚖️ Wahrscheinlichkeit'!$B$6:$B$11,S413)&gt;0),1,0))</f>
        <v>0</v>
      </c>
      <c r="AR413" s="1" t="n">
        <f aca="false">IF(B413="",0,IF(AND(COUNT(J413:M413)=4,SUM(J413:M413)&gt;0),1,0))</f>
        <v>0</v>
      </c>
      <c r="AS413" s="1" t="n">
        <f aca="false">IF(B413="",0,IF(AND(AF413&lt;&gt;"",AG413&lt;&gt;""),1,0))</f>
        <v>0</v>
      </c>
      <c r="AT413" s="1" t="n">
        <f aca="false">IF(AND(R413="WON",AS413=1,AR413=1),1,0)</f>
        <v>0</v>
      </c>
      <c r="AU413" s="1" t="n">
        <f aca="false">IF(B413="",0,IF(AD413="Alternative – zählt nicht",0,1))</f>
        <v>0</v>
      </c>
      <c r="AV413" s="1" t="n">
        <f aca="false">IF(B413="",0,IF(COUNTIF($B$6:$B$860,B413)&gt;1,1,0))</f>
        <v>0</v>
      </c>
      <c r="AX413" s="269" t="str">
        <f aca="false">IF(AY413=1,DATE(YEAR(O413),MONTH(O413),1),"")</f>
        <v/>
      </c>
      <c r="AY413" s="1" t="n">
        <f aca="false">IF(B413="",0,IF(AND(ISNUMBER(O413),ISNUMBER(P413)),IF(P413&gt;=O413,1,0),0))</f>
        <v>0</v>
      </c>
      <c r="AZ413" s="1" t="n">
        <f aca="false">IF(ISNUMBER(Y413),Y413,0)</f>
        <v>0</v>
      </c>
      <c r="BA413" s="1" t="str">
        <f aca="false">IF(B413="","",IF(AND(R413="WON",AS413=0),"⛔ Beleg fehlt · ","")&amp;IF(AND(R413="WON",AR413=0),"⛔ Einstand fehlt · ","")&amp;IF(AND(R413&lt;&gt;"WON",AR413=0),"○ Einstand offen · ","")&amp;IF(AND(R413="WON",AB413=""),"⛔ Vertragsart fehlt · ","")&amp;IF(AND(ISNUMBER(O413),ISNUMBER(P413)),IF(P413&lt;O413,"⚠ Ende vor Start · ",""),"")&amp;IF(AND(R413="WON",AY413=0,NOT(AND(ISNUMBER(O413),ISNUMBER(P413)))),"⛔ Zeitraum fehlt · ","")&amp;IF(AND(R413&lt;&gt;"WON",AY413=0,NOT(AND(ISNUMBER(O413),ISNUMBER(P413)))),"○ Zeitraum offen · ",""))</f>
        <v/>
      </c>
      <c r="BB413" s="1" t="str">
        <f aca="false">IF(B413="","",IF(AND(R413="WON",AS413=0),"⛔ Nachweis fehlt",IF(AND(ISNUMBER(O413),ISNUMBER(P413),P413&lt;O413),"⚠ Ende vor Start",IF(AND(R413="WON",AY413=0),"⛔ Zeitraum fehlt",IF(AR413=0,"○ Einstand offen",IF(AY413=0,"○ Zeitraum offen",IF(R413="WON","✅ belegt","✔ erfasst")))))))</f>
        <v/>
      </c>
    </row>
    <row r="414" customFormat="false" ht="15" hidden="false" customHeight="true" outlineLevel="0" collapsed="false">
      <c r="G414" s="1" t="str">
        <f aca="false">IF(B414="","",IF(AY414=1,P414-O414+1,IF(AW414="","",AW414)))</f>
        <v/>
      </c>
      <c r="I414" s="270"/>
      <c r="J414" s="270"/>
      <c r="K414" s="270"/>
      <c r="L414" s="270"/>
      <c r="M414" s="270"/>
      <c r="N414" s="270"/>
      <c r="O414" s="263"/>
      <c r="P414" s="263"/>
      <c r="Q414" s="270" t="str">
        <f aca="false">IF(AND(ISNUMBER(I414),ISNUMBER(S414)),I414*AJ414,IF(OR(I414&lt;&gt;"",S414&lt;&gt;""),"tbd",""))</f>
        <v/>
      </c>
      <c r="S414" s="268"/>
      <c r="Y414" s="275" t="str">
        <f aca="false">IF(ISNUMBER(I414),I414/Netto_Faktor,"")</f>
        <v/>
      </c>
      <c r="Z414" s="275" t="str">
        <f aca="false">IF(B414="","",IF(COUNT(J414:N414)=0,"",SUM(J414:N414)))</f>
        <v/>
      </c>
      <c r="AA414" s="266"/>
      <c r="AB414" s="266"/>
      <c r="AC414" s="266"/>
      <c r="AD414" s="266"/>
      <c r="AE414" s="266"/>
      <c r="AF414" s="266"/>
      <c r="AG414" s="267"/>
      <c r="AH414" s="266" t="str">
        <f aca="false">IF(B414="","",IF(BA414="",IF(R414="WON","✅ belegt &amp; vollständig","✔ vollständig"),LEFT(BA414,LEN(BA414)-3)))</f>
        <v/>
      </c>
      <c r="AJ414" s="268" t="n">
        <f aca="false">IF(ISNUMBER(S414),IFERROR(LOOKUP(IF(S414&lt;=1,S414,S414/100),'⚖️ Wahrscheinlichkeit'!$B$17:$B$21,'⚖️ Wahrscheinlichkeit'!$D$17:$D$21),0),0)</f>
        <v>0</v>
      </c>
      <c r="AK414" s="1" t="str">
        <f aca="false">IF(AND(R414="WON",ISNUMBER(I414)),AL414+(861-ROW())*0.000001,"")</f>
        <v/>
      </c>
      <c r="AL414" s="1" t="n">
        <f aca="false">IFERROR(I414*1,0)</f>
        <v>0</v>
      </c>
      <c r="AM414" s="1" t="n">
        <f aca="false">N(AM413)+IF(AND(R414="WON",B414&lt;&gt;""),1,0)</f>
        <v>12</v>
      </c>
      <c r="AN414" s="1" t="n">
        <f aca="false">N(AN413)+IF(AND(OR(R414="offered",R414="to be offered",R414="on hold"),B414&lt;&gt;""),1,0)</f>
        <v>33</v>
      </c>
      <c r="AO414" s="1" t="n">
        <f aca="false">N(AO413)+IF(AND(OR(R414="follow-up",R414="Evaluation",R414="tbd",R414="In evaluation"),B414&lt;&gt;""),1,0)</f>
        <v>1</v>
      </c>
      <c r="AP414" s="1" t="n">
        <f aca="false">IF(B414="",0,IF(COUNTIF('⚖️ Wahrscheinlichkeit'!$J$17:$J$24,R414)&gt;0,1,0))</f>
        <v>0</v>
      </c>
      <c r="AQ414" s="1" t="n">
        <f aca="false">IF(B414="",0,IF(AND(ISNUMBER(S414),COUNTIF('⚖️ Wahrscheinlichkeit'!$B$6:$B$11,S414)&gt;0),1,0))</f>
        <v>0</v>
      </c>
      <c r="AR414" s="1" t="n">
        <f aca="false">IF(B414="",0,IF(AND(COUNT(J414:M414)=4,SUM(J414:M414)&gt;0),1,0))</f>
        <v>0</v>
      </c>
      <c r="AS414" s="1" t="n">
        <f aca="false">IF(B414="",0,IF(AND(AF414&lt;&gt;"",AG414&lt;&gt;""),1,0))</f>
        <v>0</v>
      </c>
      <c r="AT414" s="1" t="n">
        <f aca="false">IF(AND(R414="WON",AS414=1,AR414=1),1,0)</f>
        <v>0</v>
      </c>
      <c r="AU414" s="1" t="n">
        <f aca="false">IF(B414="",0,IF(AD414="Alternative – zählt nicht",0,1))</f>
        <v>0</v>
      </c>
      <c r="AV414" s="1" t="n">
        <f aca="false">IF(B414="",0,IF(COUNTIF($B$6:$B$860,B414)&gt;1,1,0))</f>
        <v>0</v>
      </c>
      <c r="AX414" s="269" t="str">
        <f aca="false">IF(AY414=1,DATE(YEAR(O414),MONTH(O414),1),"")</f>
        <v/>
      </c>
      <c r="AY414" s="1" t="n">
        <f aca="false">IF(B414="",0,IF(AND(ISNUMBER(O414),ISNUMBER(P414)),IF(P414&gt;=O414,1,0),0))</f>
        <v>0</v>
      </c>
      <c r="AZ414" s="1" t="n">
        <f aca="false">IF(ISNUMBER(Y414),Y414,0)</f>
        <v>0</v>
      </c>
      <c r="BA414" s="1" t="str">
        <f aca="false">IF(B414="","",IF(AND(R414="WON",AS414=0),"⛔ Beleg fehlt · ","")&amp;IF(AND(R414="WON",AR414=0),"⛔ Einstand fehlt · ","")&amp;IF(AND(R414&lt;&gt;"WON",AR414=0),"○ Einstand offen · ","")&amp;IF(AND(R414="WON",AB414=""),"⛔ Vertragsart fehlt · ","")&amp;IF(AND(ISNUMBER(O414),ISNUMBER(P414)),IF(P414&lt;O414,"⚠ Ende vor Start · ",""),"")&amp;IF(AND(R414="WON",AY414=0,NOT(AND(ISNUMBER(O414),ISNUMBER(P414)))),"⛔ Zeitraum fehlt · ","")&amp;IF(AND(R414&lt;&gt;"WON",AY414=0,NOT(AND(ISNUMBER(O414),ISNUMBER(P414)))),"○ Zeitraum offen · ",""))</f>
        <v/>
      </c>
      <c r="BB414" s="1" t="str">
        <f aca="false">IF(B414="","",IF(AND(R414="WON",AS414=0),"⛔ Nachweis fehlt",IF(AND(ISNUMBER(O414),ISNUMBER(P414),P414&lt;O414),"⚠ Ende vor Start",IF(AND(R414="WON",AY414=0),"⛔ Zeitraum fehlt",IF(AR414=0,"○ Einstand offen",IF(AY414=0,"○ Zeitraum offen",IF(R414="WON","✅ belegt","✔ erfasst")))))))</f>
        <v/>
      </c>
    </row>
    <row r="415" customFormat="false" ht="15" hidden="false" customHeight="true" outlineLevel="0" collapsed="false">
      <c r="G415" s="1" t="str">
        <f aca="false">IF(B415="","",IF(AY415=1,P415-O415+1,IF(AW415="","",AW415)))</f>
        <v/>
      </c>
      <c r="I415" s="270"/>
      <c r="J415" s="270"/>
      <c r="K415" s="270"/>
      <c r="L415" s="270"/>
      <c r="M415" s="270"/>
      <c r="N415" s="270"/>
      <c r="O415" s="263"/>
      <c r="P415" s="263"/>
      <c r="Q415" s="270" t="str">
        <f aca="false">IF(AND(ISNUMBER(I415),ISNUMBER(S415)),I415*AJ415,IF(OR(I415&lt;&gt;"",S415&lt;&gt;""),"tbd",""))</f>
        <v/>
      </c>
      <c r="S415" s="268"/>
      <c r="Y415" s="275" t="str">
        <f aca="false">IF(ISNUMBER(I415),I415/Netto_Faktor,"")</f>
        <v/>
      </c>
      <c r="Z415" s="275" t="str">
        <f aca="false">IF(B415="","",IF(COUNT(J415:N415)=0,"",SUM(J415:N415)))</f>
        <v/>
      </c>
      <c r="AA415" s="266"/>
      <c r="AB415" s="266"/>
      <c r="AC415" s="266"/>
      <c r="AD415" s="266"/>
      <c r="AE415" s="266"/>
      <c r="AF415" s="266"/>
      <c r="AG415" s="267"/>
      <c r="AH415" s="266" t="str">
        <f aca="false">IF(B415="","",IF(BA415="",IF(R415="WON","✅ belegt &amp; vollständig","✔ vollständig"),LEFT(BA415,LEN(BA415)-3)))</f>
        <v/>
      </c>
      <c r="AJ415" s="268" t="n">
        <f aca="false">IF(ISNUMBER(S415),IFERROR(LOOKUP(IF(S415&lt;=1,S415,S415/100),'⚖️ Wahrscheinlichkeit'!$B$17:$B$21,'⚖️ Wahrscheinlichkeit'!$D$17:$D$21),0),0)</f>
        <v>0</v>
      </c>
      <c r="AK415" s="1" t="str">
        <f aca="false">IF(AND(R415="WON",ISNUMBER(I415)),AL415+(861-ROW())*0.000001,"")</f>
        <v/>
      </c>
      <c r="AL415" s="1" t="n">
        <f aca="false">IFERROR(I415*1,0)</f>
        <v>0</v>
      </c>
      <c r="AM415" s="1" t="n">
        <f aca="false">N(AM414)+IF(AND(R415="WON",B415&lt;&gt;""),1,0)</f>
        <v>12</v>
      </c>
      <c r="AN415" s="1" t="n">
        <f aca="false">N(AN414)+IF(AND(OR(R415="offered",R415="to be offered",R415="on hold"),B415&lt;&gt;""),1,0)</f>
        <v>33</v>
      </c>
      <c r="AO415" s="1" t="n">
        <f aca="false">N(AO414)+IF(AND(OR(R415="follow-up",R415="Evaluation",R415="tbd",R415="In evaluation"),B415&lt;&gt;""),1,0)</f>
        <v>1</v>
      </c>
      <c r="AP415" s="1" t="n">
        <f aca="false">IF(B415="",0,IF(COUNTIF('⚖️ Wahrscheinlichkeit'!$J$17:$J$24,R415)&gt;0,1,0))</f>
        <v>0</v>
      </c>
      <c r="AQ415" s="1" t="n">
        <f aca="false">IF(B415="",0,IF(AND(ISNUMBER(S415),COUNTIF('⚖️ Wahrscheinlichkeit'!$B$6:$B$11,S415)&gt;0),1,0))</f>
        <v>0</v>
      </c>
      <c r="AR415" s="1" t="n">
        <f aca="false">IF(B415="",0,IF(AND(COUNT(J415:M415)=4,SUM(J415:M415)&gt;0),1,0))</f>
        <v>0</v>
      </c>
      <c r="AS415" s="1" t="n">
        <f aca="false">IF(B415="",0,IF(AND(AF415&lt;&gt;"",AG415&lt;&gt;""),1,0))</f>
        <v>0</v>
      </c>
      <c r="AT415" s="1" t="n">
        <f aca="false">IF(AND(R415="WON",AS415=1,AR415=1),1,0)</f>
        <v>0</v>
      </c>
      <c r="AU415" s="1" t="n">
        <f aca="false">IF(B415="",0,IF(AD415="Alternative – zählt nicht",0,1))</f>
        <v>0</v>
      </c>
      <c r="AV415" s="1" t="n">
        <f aca="false">IF(B415="",0,IF(COUNTIF($B$6:$B$860,B415)&gt;1,1,0))</f>
        <v>0</v>
      </c>
      <c r="AX415" s="269" t="str">
        <f aca="false">IF(AY415=1,DATE(YEAR(O415),MONTH(O415),1),"")</f>
        <v/>
      </c>
      <c r="AY415" s="1" t="n">
        <f aca="false">IF(B415="",0,IF(AND(ISNUMBER(O415),ISNUMBER(P415)),IF(P415&gt;=O415,1,0),0))</f>
        <v>0</v>
      </c>
      <c r="AZ415" s="1" t="n">
        <f aca="false">IF(ISNUMBER(Y415),Y415,0)</f>
        <v>0</v>
      </c>
      <c r="BA415" s="1" t="str">
        <f aca="false">IF(B415="","",IF(AND(R415="WON",AS415=0),"⛔ Beleg fehlt · ","")&amp;IF(AND(R415="WON",AR415=0),"⛔ Einstand fehlt · ","")&amp;IF(AND(R415&lt;&gt;"WON",AR415=0),"○ Einstand offen · ","")&amp;IF(AND(R415="WON",AB415=""),"⛔ Vertragsart fehlt · ","")&amp;IF(AND(ISNUMBER(O415),ISNUMBER(P415)),IF(P415&lt;O415,"⚠ Ende vor Start · ",""),"")&amp;IF(AND(R415="WON",AY415=0,NOT(AND(ISNUMBER(O415),ISNUMBER(P415)))),"⛔ Zeitraum fehlt · ","")&amp;IF(AND(R415&lt;&gt;"WON",AY415=0,NOT(AND(ISNUMBER(O415),ISNUMBER(P415)))),"○ Zeitraum offen · ",""))</f>
        <v/>
      </c>
      <c r="BB415" s="1" t="str">
        <f aca="false">IF(B415="","",IF(AND(R415="WON",AS415=0),"⛔ Nachweis fehlt",IF(AND(ISNUMBER(O415),ISNUMBER(P415),P415&lt;O415),"⚠ Ende vor Start",IF(AND(R415="WON",AY415=0),"⛔ Zeitraum fehlt",IF(AR415=0,"○ Einstand offen",IF(AY415=0,"○ Zeitraum offen",IF(R415="WON","✅ belegt","✔ erfasst")))))))</f>
        <v/>
      </c>
    </row>
    <row r="416" customFormat="false" ht="15" hidden="false" customHeight="true" outlineLevel="0" collapsed="false">
      <c r="G416" s="1" t="str">
        <f aca="false">IF(B416="","",IF(AY416=1,P416-O416+1,IF(AW416="","",AW416)))</f>
        <v/>
      </c>
      <c r="I416" s="270"/>
      <c r="J416" s="270"/>
      <c r="K416" s="270"/>
      <c r="L416" s="270"/>
      <c r="M416" s="270"/>
      <c r="N416" s="270"/>
      <c r="O416" s="263"/>
      <c r="P416" s="263"/>
      <c r="Q416" s="270" t="str">
        <f aca="false">IF(AND(ISNUMBER(I416),ISNUMBER(S416)),I416*AJ416,IF(OR(I416&lt;&gt;"",S416&lt;&gt;""),"tbd",""))</f>
        <v/>
      </c>
      <c r="S416" s="268"/>
      <c r="Y416" s="275" t="str">
        <f aca="false">IF(ISNUMBER(I416),I416/Netto_Faktor,"")</f>
        <v/>
      </c>
      <c r="Z416" s="275" t="str">
        <f aca="false">IF(B416="","",IF(COUNT(J416:N416)=0,"",SUM(J416:N416)))</f>
        <v/>
      </c>
      <c r="AA416" s="266"/>
      <c r="AB416" s="266"/>
      <c r="AC416" s="266"/>
      <c r="AD416" s="266"/>
      <c r="AE416" s="266"/>
      <c r="AF416" s="266"/>
      <c r="AG416" s="267"/>
      <c r="AH416" s="266" t="str">
        <f aca="false">IF(B416="","",IF(BA416="",IF(R416="WON","✅ belegt &amp; vollständig","✔ vollständig"),LEFT(BA416,LEN(BA416)-3)))</f>
        <v/>
      </c>
      <c r="AJ416" s="268" t="n">
        <f aca="false">IF(ISNUMBER(S416),IFERROR(LOOKUP(IF(S416&lt;=1,S416,S416/100),'⚖️ Wahrscheinlichkeit'!$B$17:$B$21,'⚖️ Wahrscheinlichkeit'!$D$17:$D$21),0),0)</f>
        <v>0</v>
      </c>
      <c r="AK416" s="1" t="str">
        <f aca="false">IF(AND(R416="WON",ISNUMBER(I416)),AL416+(861-ROW())*0.000001,"")</f>
        <v/>
      </c>
      <c r="AL416" s="1" t="n">
        <f aca="false">IFERROR(I416*1,0)</f>
        <v>0</v>
      </c>
      <c r="AM416" s="1" t="n">
        <f aca="false">N(AM415)+IF(AND(R416="WON",B416&lt;&gt;""),1,0)</f>
        <v>12</v>
      </c>
      <c r="AN416" s="1" t="n">
        <f aca="false">N(AN415)+IF(AND(OR(R416="offered",R416="to be offered",R416="on hold"),B416&lt;&gt;""),1,0)</f>
        <v>33</v>
      </c>
      <c r="AO416" s="1" t="n">
        <f aca="false">N(AO415)+IF(AND(OR(R416="follow-up",R416="Evaluation",R416="tbd",R416="In evaluation"),B416&lt;&gt;""),1,0)</f>
        <v>1</v>
      </c>
      <c r="AP416" s="1" t="n">
        <f aca="false">IF(B416="",0,IF(COUNTIF('⚖️ Wahrscheinlichkeit'!$J$17:$J$24,R416)&gt;0,1,0))</f>
        <v>0</v>
      </c>
      <c r="AQ416" s="1" t="n">
        <f aca="false">IF(B416="",0,IF(AND(ISNUMBER(S416),COUNTIF('⚖️ Wahrscheinlichkeit'!$B$6:$B$11,S416)&gt;0),1,0))</f>
        <v>0</v>
      </c>
      <c r="AR416" s="1" t="n">
        <f aca="false">IF(B416="",0,IF(AND(COUNT(J416:M416)=4,SUM(J416:M416)&gt;0),1,0))</f>
        <v>0</v>
      </c>
      <c r="AS416" s="1" t="n">
        <f aca="false">IF(B416="",0,IF(AND(AF416&lt;&gt;"",AG416&lt;&gt;""),1,0))</f>
        <v>0</v>
      </c>
      <c r="AT416" s="1" t="n">
        <f aca="false">IF(AND(R416="WON",AS416=1,AR416=1),1,0)</f>
        <v>0</v>
      </c>
      <c r="AU416" s="1" t="n">
        <f aca="false">IF(B416="",0,IF(AD416="Alternative – zählt nicht",0,1))</f>
        <v>0</v>
      </c>
      <c r="AV416" s="1" t="n">
        <f aca="false">IF(B416="",0,IF(COUNTIF($B$6:$B$860,B416)&gt;1,1,0))</f>
        <v>0</v>
      </c>
      <c r="AX416" s="269" t="str">
        <f aca="false">IF(AY416=1,DATE(YEAR(O416),MONTH(O416),1),"")</f>
        <v/>
      </c>
      <c r="AY416" s="1" t="n">
        <f aca="false">IF(B416="",0,IF(AND(ISNUMBER(O416),ISNUMBER(P416)),IF(P416&gt;=O416,1,0),0))</f>
        <v>0</v>
      </c>
      <c r="AZ416" s="1" t="n">
        <f aca="false">IF(ISNUMBER(Y416),Y416,0)</f>
        <v>0</v>
      </c>
      <c r="BA416" s="1" t="str">
        <f aca="false">IF(B416="","",IF(AND(R416="WON",AS416=0),"⛔ Beleg fehlt · ","")&amp;IF(AND(R416="WON",AR416=0),"⛔ Einstand fehlt · ","")&amp;IF(AND(R416&lt;&gt;"WON",AR416=0),"○ Einstand offen · ","")&amp;IF(AND(R416="WON",AB416=""),"⛔ Vertragsart fehlt · ","")&amp;IF(AND(ISNUMBER(O416),ISNUMBER(P416)),IF(P416&lt;O416,"⚠ Ende vor Start · ",""),"")&amp;IF(AND(R416="WON",AY416=0,NOT(AND(ISNUMBER(O416),ISNUMBER(P416)))),"⛔ Zeitraum fehlt · ","")&amp;IF(AND(R416&lt;&gt;"WON",AY416=0,NOT(AND(ISNUMBER(O416),ISNUMBER(P416)))),"○ Zeitraum offen · ",""))</f>
        <v/>
      </c>
      <c r="BB416" s="1" t="str">
        <f aca="false">IF(B416="","",IF(AND(R416="WON",AS416=0),"⛔ Nachweis fehlt",IF(AND(ISNUMBER(O416),ISNUMBER(P416),P416&lt;O416),"⚠ Ende vor Start",IF(AND(R416="WON",AY416=0),"⛔ Zeitraum fehlt",IF(AR416=0,"○ Einstand offen",IF(AY416=0,"○ Zeitraum offen",IF(R416="WON","✅ belegt","✔ erfasst")))))))</f>
        <v/>
      </c>
    </row>
    <row r="417" customFormat="false" ht="15" hidden="false" customHeight="true" outlineLevel="0" collapsed="false">
      <c r="G417" s="1" t="str">
        <f aca="false">IF(B417="","",IF(AY417=1,P417-O417+1,IF(AW417="","",AW417)))</f>
        <v/>
      </c>
      <c r="I417" s="270"/>
      <c r="J417" s="270"/>
      <c r="K417" s="270"/>
      <c r="L417" s="270"/>
      <c r="M417" s="270"/>
      <c r="N417" s="270"/>
      <c r="O417" s="263"/>
      <c r="P417" s="263"/>
      <c r="Q417" s="270" t="str">
        <f aca="false">IF(AND(ISNUMBER(I417),ISNUMBER(S417)),I417*AJ417,IF(OR(I417&lt;&gt;"",S417&lt;&gt;""),"tbd",""))</f>
        <v/>
      </c>
      <c r="S417" s="268"/>
      <c r="Y417" s="275" t="str">
        <f aca="false">IF(ISNUMBER(I417),I417/Netto_Faktor,"")</f>
        <v/>
      </c>
      <c r="Z417" s="275" t="str">
        <f aca="false">IF(B417="","",IF(COUNT(J417:N417)=0,"",SUM(J417:N417)))</f>
        <v/>
      </c>
      <c r="AA417" s="266"/>
      <c r="AB417" s="266"/>
      <c r="AC417" s="266"/>
      <c r="AD417" s="266"/>
      <c r="AE417" s="266"/>
      <c r="AF417" s="266"/>
      <c r="AG417" s="267"/>
      <c r="AH417" s="266" t="str">
        <f aca="false">IF(B417="","",IF(BA417="",IF(R417="WON","✅ belegt &amp; vollständig","✔ vollständig"),LEFT(BA417,LEN(BA417)-3)))</f>
        <v/>
      </c>
      <c r="AJ417" s="268" t="n">
        <f aca="false">IF(ISNUMBER(S417),IFERROR(LOOKUP(IF(S417&lt;=1,S417,S417/100),'⚖️ Wahrscheinlichkeit'!$B$17:$B$21,'⚖️ Wahrscheinlichkeit'!$D$17:$D$21),0),0)</f>
        <v>0</v>
      </c>
      <c r="AK417" s="1" t="str">
        <f aca="false">IF(AND(R417="WON",ISNUMBER(I417)),AL417+(861-ROW())*0.000001,"")</f>
        <v/>
      </c>
      <c r="AL417" s="1" t="n">
        <f aca="false">IFERROR(I417*1,0)</f>
        <v>0</v>
      </c>
      <c r="AM417" s="1" t="n">
        <f aca="false">N(AM416)+IF(AND(R417="WON",B417&lt;&gt;""),1,0)</f>
        <v>12</v>
      </c>
      <c r="AN417" s="1" t="n">
        <f aca="false">N(AN416)+IF(AND(OR(R417="offered",R417="to be offered",R417="on hold"),B417&lt;&gt;""),1,0)</f>
        <v>33</v>
      </c>
      <c r="AO417" s="1" t="n">
        <f aca="false">N(AO416)+IF(AND(OR(R417="follow-up",R417="Evaluation",R417="tbd",R417="In evaluation"),B417&lt;&gt;""),1,0)</f>
        <v>1</v>
      </c>
      <c r="AP417" s="1" t="n">
        <f aca="false">IF(B417="",0,IF(COUNTIF('⚖️ Wahrscheinlichkeit'!$J$17:$J$24,R417)&gt;0,1,0))</f>
        <v>0</v>
      </c>
      <c r="AQ417" s="1" t="n">
        <f aca="false">IF(B417="",0,IF(AND(ISNUMBER(S417),COUNTIF('⚖️ Wahrscheinlichkeit'!$B$6:$B$11,S417)&gt;0),1,0))</f>
        <v>0</v>
      </c>
      <c r="AR417" s="1" t="n">
        <f aca="false">IF(B417="",0,IF(AND(COUNT(J417:M417)=4,SUM(J417:M417)&gt;0),1,0))</f>
        <v>0</v>
      </c>
      <c r="AS417" s="1" t="n">
        <f aca="false">IF(B417="",0,IF(AND(AF417&lt;&gt;"",AG417&lt;&gt;""),1,0))</f>
        <v>0</v>
      </c>
      <c r="AT417" s="1" t="n">
        <f aca="false">IF(AND(R417="WON",AS417=1,AR417=1),1,0)</f>
        <v>0</v>
      </c>
      <c r="AU417" s="1" t="n">
        <f aca="false">IF(B417="",0,IF(AD417="Alternative – zählt nicht",0,1))</f>
        <v>0</v>
      </c>
      <c r="AV417" s="1" t="n">
        <f aca="false">IF(B417="",0,IF(COUNTIF($B$6:$B$860,B417)&gt;1,1,0))</f>
        <v>0</v>
      </c>
      <c r="AX417" s="269" t="str">
        <f aca="false">IF(AY417=1,DATE(YEAR(O417),MONTH(O417),1),"")</f>
        <v/>
      </c>
      <c r="AY417" s="1" t="n">
        <f aca="false">IF(B417="",0,IF(AND(ISNUMBER(O417),ISNUMBER(P417)),IF(P417&gt;=O417,1,0),0))</f>
        <v>0</v>
      </c>
      <c r="AZ417" s="1" t="n">
        <f aca="false">IF(ISNUMBER(Y417),Y417,0)</f>
        <v>0</v>
      </c>
      <c r="BA417" s="1" t="str">
        <f aca="false">IF(B417="","",IF(AND(R417="WON",AS417=0),"⛔ Beleg fehlt · ","")&amp;IF(AND(R417="WON",AR417=0),"⛔ Einstand fehlt · ","")&amp;IF(AND(R417&lt;&gt;"WON",AR417=0),"○ Einstand offen · ","")&amp;IF(AND(R417="WON",AB417=""),"⛔ Vertragsart fehlt · ","")&amp;IF(AND(ISNUMBER(O417),ISNUMBER(P417)),IF(P417&lt;O417,"⚠ Ende vor Start · ",""),"")&amp;IF(AND(R417="WON",AY417=0,NOT(AND(ISNUMBER(O417),ISNUMBER(P417)))),"⛔ Zeitraum fehlt · ","")&amp;IF(AND(R417&lt;&gt;"WON",AY417=0,NOT(AND(ISNUMBER(O417),ISNUMBER(P417)))),"○ Zeitraum offen · ",""))</f>
        <v/>
      </c>
      <c r="BB417" s="1" t="str">
        <f aca="false">IF(B417="","",IF(AND(R417="WON",AS417=0),"⛔ Nachweis fehlt",IF(AND(ISNUMBER(O417),ISNUMBER(P417),P417&lt;O417),"⚠ Ende vor Start",IF(AND(R417="WON",AY417=0),"⛔ Zeitraum fehlt",IF(AR417=0,"○ Einstand offen",IF(AY417=0,"○ Zeitraum offen",IF(R417="WON","✅ belegt","✔ erfasst")))))))</f>
        <v/>
      </c>
    </row>
    <row r="418" customFormat="false" ht="15" hidden="false" customHeight="true" outlineLevel="0" collapsed="false">
      <c r="G418" s="1" t="str">
        <f aca="false">IF(B418="","",IF(AY418=1,P418-O418+1,IF(AW418="","",AW418)))</f>
        <v/>
      </c>
      <c r="I418" s="270"/>
      <c r="J418" s="270"/>
      <c r="K418" s="270"/>
      <c r="L418" s="270"/>
      <c r="M418" s="270"/>
      <c r="N418" s="270"/>
      <c r="O418" s="263"/>
      <c r="P418" s="263"/>
      <c r="Q418" s="270" t="str">
        <f aca="false">IF(AND(ISNUMBER(I418),ISNUMBER(S418)),I418*AJ418,IF(OR(I418&lt;&gt;"",S418&lt;&gt;""),"tbd",""))</f>
        <v/>
      </c>
      <c r="S418" s="268"/>
      <c r="Y418" s="275" t="str">
        <f aca="false">IF(ISNUMBER(I418),I418/Netto_Faktor,"")</f>
        <v/>
      </c>
      <c r="Z418" s="275" t="str">
        <f aca="false">IF(B418="","",IF(COUNT(J418:N418)=0,"",SUM(J418:N418)))</f>
        <v/>
      </c>
      <c r="AA418" s="266"/>
      <c r="AB418" s="266"/>
      <c r="AC418" s="266"/>
      <c r="AD418" s="266"/>
      <c r="AE418" s="266"/>
      <c r="AF418" s="266"/>
      <c r="AG418" s="267"/>
      <c r="AH418" s="266" t="str">
        <f aca="false">IF(B418="","",IF(BA418="",IF(R418="WON","✅ belegt &amp; vollständig","✔ vollständig"),LEFT(BA418,LEN(BA418)-3)))</f>
        <v/>
      </c>
      <c r="AJ418" s="268" t="n">
        <f aca="false">IF(ISNUMBER(S418),IFERROR(LOOKUP(IF(S418&lt;=1,S418,S418/100),'⚖️ Wahrscheinlichkeit'!$B$17:$B$21,'⚖️ Wahrscheinlichkeit'!$D$17:$D$21),0),0)</f>
        <v>0</v>
      </c>
      <c r="AK418" s="1" t="str">
        <f aca="false">IF(AND(R418="WON",ISNUMBER(I418)),AL418+(861-ROW())*0.000001,"")</f>
        <v/>
      </c>
      <c r="AL418" s="1" t="n">
        <f aca="false">IFERROR(I418*1,0)</f>
        <v>0</v>
      </c>
      <c r="AM418" s="1" t="n">
        <f aca="false">N(AM417)+IF(AND(R418="WON",B418&lt;&gt;""),1,0)</f>
        <v>12</v>
      </c>
      <c r="AN418" s="1" t="n">
        <f aca="false">N(AN417)+IF(AND(OR(R418="offered",R418="to be offered",R418="on hold"),B418&lt;&gt;""),1,0)</f>
        <v>33</v>
      </c>
      <c r="AO418" s="1" t="n">
        <f aca="false">N(AO417)+IF(AND(OR(R418="follow-up",R418="Evaluation",R418="tbd",R418="In evaluation"),B418&lt;&gt;""),1,0)</f>
        <v>1</v>
      </c>
      <c r="AP418" s="1" t="n">
        <f aca="false">IF(B418="",0,IF(COUNTIF('⚖️ Wahrscheinlichkeit'!$J$17:$J$24,R418)&gt;0,1,0))</f>
        <v>0</v>
      </c>
      <c r="AQ418" s="1" t="n">
        <f aca="false">IF(B418="",0,IF(AND(ISNUMBER(S418),COUNTIF('⚖️ Wahrscheinlichkeit'!$B$6:$B$11,S418)&gt;0),1,0))</f>
        <v>0</v>
      </c>
      <c r="AR418" s="1" t="n">
        <f aca="false">IF(B418="",0,IF(AND(COUNT(J418:M418)=4,SUM(J418:M418)&gt;0),1,0))</f>
        <v>0</v>
      </c>
      <c r="AS418" s="1" t="n">
        <f aca="false">IF(B418="",0,IF(AND(AF418&lt;&gt;"",AG418&lt;&gt;""),1,0))</f>
        <v>0</v>
      </c>
      <c r="AT418" s="1" t="n">
        <f aca="false">IF(AND(R418="WON",AS418=1,AR418=1),1,0)</f>
        <v>0</v>
      </c>
      <c r="AU418" s="1" t="n">
        <f aca="false">IF(B418="",0,IF(AD418="Alternative – zählt nicht",0,1))</f>
        <v>0</v>
      </c>
      <c r="AV418" s="1" t="n">
        <f aca="false">IF(B418="",0,IF(COUNTIF($B$6:$B$860,B418)&gt;1,1,0))</f>
        <v>0</v>
      </c>
      <c r="AX418" s="269" t="str">
        <f aca="false">IF(AY418=1,DATE(YEAR(O418),MONTH(O418),1),"")</f>
        <v/>
      </c>
      <c r="AY418" s="1" t="n">
        <f aca="false">IF(B418="",0,IF(AND(ISNUMBER(O418),ISNUMBER(P418)),IF(P418&gt;=O418,1,0),0))</f>
        <v>0</v>
      </c>
      <c r="AZ418" s="1" t="n">
        <f aca="false">IF(ISNUMBER(Y418),Y418,0)</f>
        <v>0</v>
      </c>
      <c r="BA418" s="1" t="str">
        <f aca="false">IF(B418="","",IF(AND(R418="WON",AS418=0),"⛔ Beleg fehlt · ","")&amp;IF(AND(R418="WON",AR418=0),"⛔ Einstand fehlt · ","")&amp;IF(AND(R418&lt;&gt;"WON",AR418=0),"○ Einstand offen · ","")&amp;IF(AND(R418="WON",AB418=""),"⛔ Vertragsart fehlt · ","")&amp;IF(AND(ISNUMBER(O418),ISNUMBER(P418)),IF(P418&lt;O418,"⚠ Ende vor Start · ",""),"")&amp;IF(AND(R418="WON",AY418=0,NOT(AND(ISNUMBER(O418),ISNUMBER(P418)))),"⛔ Zeitraum fehlt · ","")&amp;IF(AND(R418&lt;&gt;"WON",AY418=0,NOT(AND(ISNUMBER(O418),ISNUMBER(P418)))),"○ Zeitraum offen · ",""))</f>
        <v/>
      </c>
      <c r="BB418" s="1" t="str">
        <f aca="false">IF(B418="","",IF(AND(R418="WON",AS418=0),"⛔ Nachweis fehlt",IF(AND(ISNUMBER(O418),ISNUMBER(P418),P418&lt;O418),"⚠ Ende vor Start",IF(AND(R418="WON",AY418=0),"⛔ Zeitraum fehlt",IF(AR418=0,"○ Einstand offen",IF(AY418=0,"○ Zeitraum offen",IF(R418="WON","✅ belegt","✔ erfasst")))))))</f>
        <v/>
      </c>
    </row>
    <row r="419" customFormat="false" ht="15" hidden="false" customHeight="true" outlineLevel="0" collapsed="false">
      <c r="G419" s="1" t="str">
        <f aca="false">IF(B419="","",IF(AY419=1,P419-O419+1,IF(AW419="","",AW419)))</f>
        <v/>
      </c>
      <c r="I419" s="270"/>
      <c r="J419" s="270"/>
      <c r="K419" s="270"/>
      <c r="L419" s="270"/>
      <c r="M419" s="270"/>
      <c r="N419" s="270"/>
      <c r="O419" s="263"/>
      <c r="P419" s="263"/>
      <c r="Q419" s="270" t="str">
        <f aca="false">IF(AND(ISNUMBER(I419),ISNUMBER(S419)),I419*AJ419,IF(OR(I419&lt;&gt;"",S419&lt;&gt;""),"tbd",""))</f>
        <v/>
      </c>
      <c r="S419" s="268"/>
      <c r="Y419" s="275" t="str">
        <f aca="false">IF(ISNUMBER(I419),I419/Netto_Faktor,"")</f>
        <v/>
      </c>
      <c r="Z419" s="275" t="str">
        <f aca="false">IF(B419="","",IF(COUNT(J419:N419)=0,"",SUM(J419:N419)))</f>
        <v/>
      </c>
      <c r="AA419" s="266"/>
      <c r="AB419" s="266"/>
      <c r="AC419" s="266"/>
      <c r="AD419" s="266"/>
      <c r="AE419" s="266"/>
      <c r="AF419" s="266"/>
      <c r="AG419" s="267"/>
      <c r="AH419" s="266" t="str">
        <f aca="false">IF(B419="","",IF(BA419="",IF(R419="WON","✅ belegt &amp; vollständig","✔ vollständig"),LEFT(BA419,LEN(BA419)-3)))</f>
        <v/>
      </c>
      <c r="AJ419" s="268" t="n">
        <f aca="false">IF(ISNUMBER(S419),IFERROR(LOOKUP(IF(S419&lt;=1,S419,S419/100),'⚖️ Wahrscheinlichkeit'!$B$17:$B$21,'⚖️ Wahrscheinlichkeit'!$D$17:$D$21),0),0)</f>
        <v>0</v>
      </c>
      <c r="AK419" s="1" t="str">
        <f aca="false">IF(AND(R419="WON",ISNUMBER(I419)),AL419+(861-ROW())*0.000001,"")</f>
        <v/>
      </c>
      <c r="AL419" s="1" t="n">
        <f aca="false">IFERROR(I419*1,0)</f>
        <v>0</v>
      </c>
      <c r="AM419" s="1" t="n">
        <f aca="false">N(AM418)+IF(AND(R419="WON",B419&lt;&gt;""),1,0)</f>
        <v>12</v>
      </c>
      <c r="AN419" s="1" t="n">
        <f aca="false">N(AN418)+IF(AND(OR(R419="offered",R419="to be offered",R419="on hold"),B419&lt;&gt;""),1,0)</f>
        <v>33</v>
      </c>
      <c r="AO419" s="1" t="n">
        <f aca="false">N(AO418)+IF(AND(OR(R419="follow-up",R419="Evaluation",R419="tbd",R419="In evaluation"),B419&lt;&gt;""),1,0)</f>
        <v>1</v>
      </c>
      <c r="AP419" s="1" t="n">
        <f aca="false">IF(B419="",0,IF(COUNTIF('⚖️ Wahrscheinlichkeit'!$J$17:$J$24,R419)&gt;0,1,0))</f>
        <v>0</v>
      </c>
      <c r="AQ419" s="1" t="n">
        <f aca="false">IF(B419="",0,IF(AND(ISNUMBER(S419),COUNTIF('⚖️ Wahrscheinlichkeit'!$B$6:$B$11,S419)&gt;0),1,0))</f>
        <v>0</v>
      </c>
      <c r="AR419" s="1" t="n">
        <f aca="false">IF(B419="",0,IF(AND(COUNT(J419:M419)=4,SUM(J419:M419)&gt;0),1,0))</f>
        <v>0</v>
      </c>
      <c r="AS419" s="1" t="n">
        <f aca="false">IF(B419="",0,IF(AND(AF419&lt;&gt;"",AG419&lt;&gt;""),1,0))</f>
        <v>0</v>
      </c>
      <c r="AT419" s="1" t="n">
        <f aca="false">IF(AND(R419="WON",AS419=1,AR419=1),1,0)</f>
        <v>0</v>
      </c>
      <c r="AU419" s="1" t="n">
        <f aca="false">IF(B419="",0,IF(AD419="Alternative – zählt nicht",0,1))</f>
        <v>0</v>
      </c>
      <c r="AV419" s="1" t="n">
        <f aca="false">IF(B419="",0,IF(COUNTIF($B$6:$B$860,B419)&gt;1,1,0))</f>
        <v>0</v>
      </c>
      <c r="AX419" s="269" t="str">
        <f aca="false">IF(AY419=1,DATE(YEAR(O419),MONTH(O419),1),"")</f>
        <v/>
      </c>
      <c r="AY419" s="1" t="n">
        <f aca="false">IF(B419="",0,IF(AND(ISNUMBER(O419),ISNUMBER(P419)),IF(P419&gt;=O419,1,0),0))</f>
        <v>0</v>
      </c>
      <c r="AZ419" s="1" t="n">
        <f aca="false">IF(ISNUMBER(Y419),Y419,0)</f>
        <v>0</v>
      </c>
      <c r="BA419" s="1" t="str">
        <f aca="false">IF(B419="","",IF(AND(R419="WON",AS419=0),"⛔ Beleg fehlt · ","")&amp;IF(AND(R419="WON",AR419=0),"⛔ Einstand fehlt · ","")&amp;IF(AND(R419&lt;&gt;"WON",AR419=0),"○ Einstand offen · ","")&amp;IF(AND(R419="WON",AB419=""),"⛔ Vertragsart fehlt · ","")&amp;IF(AND(ISNUMBER(O419),ISNUMBER(P419)),IF(P419&lt;O419,"⚠ Ende vor Start · ",""),"")&amp;IF(AND(R419="WON",AY419=0,NOT(AND(ISNUMBER(O419),ISNUMBER(P419)))),"⛔ Zeitraum fehlt · ","")&amp;IF(AND(R419&lt;&gt;"WON",AY419=0,NOT(AND(ISNUMBER(O419),ISNUMBER(P419)))),"○ Zeitraum offen · ",""))</f>
        <v/>
      </c>
      <c r="BB419" s="1" t="str">
        <f aca="false">IF(B419="","",IF(AND(R419="WON",AS419=0),"⛔ Nachweis fehlt",IF(AND(ISNUMBER(O419),ISNUMBER(P419),P419&lt;O419),"⚠ Ende vor Start",IF(AND(R419="WON",AY419=0),"⛔ Zeitraum fehlt",IF(AR419=0,"○ Einstand offen",IF(AY419=0,"○ Zeitraum offen",IF(R419="WON","✅ belegt","✔ erfasst")))))))</f>
        <v/>
      </c>
    </row>
    <row r="420" customFormat="false" ht="15" hidden="false" customHeight="true" outlineLevel="0" collapsed="false">
      <c r="G420" s="1" t="str">
        <f aca="false">IF(B420="","",IF(AY420=1,P420-O420+1,IF(AW420="","",AW420)))</f>
        <v/>
      </c>
      <c r="I420" s="270"/>
      <c r="J420" s="270"/>
      <c r="K420" s="270"/>
      <c r="L420" s="270"/>
      <c r="M420" s="270"/>
      <c r="N420" s="270"/>
      <c r="O420" s="263"/>
      <c r="P420" s="263"/>
      <c r="Q420" s="270" t="str">
        <f aca="false">IF(AND(ISNUMBER(I420),ISNUMBER(S420)),I420*AJ420,IF(OR(I420&lt;&gt;"",S420&lt;&gt;""),"tbd",""))</f>
        <v/>
      </c>
      <c r="S420" s="268"/>
      <c r="Y420" s="275" t="str">
        <f aca="false">IF(ISNUMBER(I420),I420/Netto_Faktor,"")</f>
        <v/>
      </c>
      <c r="Z420" s="275" t="str">
        <f aca="false">IF(B420="","",IF(COUNT(J420:N420)=0,"",SUM(J420:N420)))</f>
        <v/>
      </c>
      <c r="AA420" s="266"/>
      <c r="AB420" s="266"/>
      <c r="AC420" s="266"/>
      <c r="AD420" s="266"/>
      <c r="AE420" s="266"/>
      <c r="AF420" s="266"/>
      <c r="AG420" s="267"/>
      <c r="AH420" s="266" t="str">
        <f aca="false">IF(B420="","",IF(BA420="",IF(R420="WON","✅ belegt &amp; vollständig","✔ vollständig"),LEFT(BA420,LEN(BA420)-3)))</f>
        <v/>
      </c>
      <c r="AJ420" s="268" t="n">
        <f aca="false">IF(ISNUMBER(S420),IFERROR(LOOKUP(IF(S420&lt;=1,S420,S420/100),'⚖️ Wahrscheinlichkeit'!$B$17:$B$21,'⚖️ Wahrscheinlichkeit'!$D$17:$D$21),0),0)</f>
        <v>0</v>
      </c>
      <c r="AK420" s="1" t="str">
        <f aca="false">IF(AND(R420="WON",ISNUMBER(I420)),AL420+(861-ROW())*0.000001,"")</f>
        <v/>
      </c>
      <c r="AL420" s="1" t="n">
        <f aca="false">IFERROR(I420*1,0)</f>
        <v>0</v>
      </c>
      <c r="AM420" s="1" t="n">
        <f aca="false">N(AM419)+IF(AND(R420="WON",B420&lt;&gt;""),1,0)</f>
        <v>12</v>
      </c>
      <c r="AN420" s="1" t="n">
        <f aca="false">N(AN419)+IF(AND(OR(R420="offered",R420="to be offered",R420="on hold"),B420&lt;&gt;""),1,0)</f>
        <v>33</v>
      </c>
      <c r="AO420" s="1" t="n">
        <f aca="false">N(AO419)+IF(AND(OR(R420="follow-up",R420="Evaluation",R420="tbd",R420="In evaluation"),B420&lt;&gt;""),1,0)</f>
        <v>1</v>
      </c>
      <c r="AP420" s="1" t="n">
        <f aca="false">IF(B420="",0,IF(COUNTIF('⚖️ Wahrscheinlichkeit'!$J$17:$J$24,R420)&gt;0,1,0))</f>
        <v>0</v>
      </c>
      <c r="AQ420" s="1" t="n">
        <f aca="false">IF(B420="",0,IF(AND(ISNUMBER(S420),COUNTIF('⚖️ Wahrscheinlichkeit'!$B$6:$B$11,S420)&gt;0),1,0))</f>
        <v>0</v>
      </c>
      <c r="AR420" s="1" t="n">
        <f aca="false">IF(B420="",0,IF(AND(COUNT(J420:M420)=4,SUM(J420:M420)&gt;0),1,0))</f>
        <v>0</v>
      </c>
      <c r="AS420" s="1" t="n">
        <f aca="false">IF(B420="",0,IF(AND(AF420&lt;&gt;"",AG420&lt;&gt;""),1,0))</f>
        <v>0</v>
      </c>
      <c r="AT420" s="1" t="n">
        <f aca="false">IF(AND(R420="WON",AS420=1,AR420=1),1,0)</f>
        <v>0</v>
      </c>
      <c r="AU420" s="1" t="n">
        <f aca="false">IF(B420="",0,IF(AD420="Alternative – zählt nicht",0,1))</f>
        <v>0</v>
      </c>
      <c r="AV420" s="1" t="n">
        <f aca="false">IF(B420="",0,IF(COUNTIF($B$6:$B$860,B420)&gt;1,1,0))</f>
        <v>0</v>
      </c>
      <c r="AX420" s="269" t="str">
        <f aca="false">IF(AY420=1,DATE(YEAR(O420),MONTH(O420),1),"")</f>
        <v/>
      </c>
      <c r="AY420" s="1" t="n">
        <f aca="false">IF(B420="",0,IF(AND(ISNUMBER(O420),ISNUMBER(P420)),IF(P420&gt;=O420,1,0),0))</f>
        <v>0</v>
      </c>
      <c r="AZ420" s="1" t="n">
        <f aca="false">IF(ISNUMBER(Y420),Y420,0)</f>
        <v>0</v>
      </c>
      <c r="BA420" s="1" t="str">
        <f aca="false">IF(B420="","",IF(AND(R420="WON",AS420=0),"⛔ Beleg fehlt · ","")&amp;IF(AND(R420="WON",AR420=0),"⛔ Einstand fehlt · ","")&amp;IF(AND(R420&lt;&gt;"WON",AR420=0),"○ Einstand offen · ","")&amp;IF(AND(R420="WON",AB420=""),"⛔ Vertragsart fehlt · ","")&amp;IF(AND(ISNUMBER(O420),ISNUMBER(P420)),IF(P420&lt;O420,"⚠ Ende vor Start · ",""),"")&amp;IF(AND(R420="WON",AY420=0,NOT(AND(ISNUMBER(O420),ISNUMBER(P420)))),"⛔ Zeitraum fehlt · ","")&amp;IF(AND(R420&lt;&gt;"WON",AY420=0,NOT(AND(ISNUMBER(O420),ISNUMBER(P420)))),"○ Zeitraum offen · ",""))</f>
        <v/>
      </c>
      <c r="BB420" s="1" t="str">
        <f aca="false">IF(B420="","",IF(AND(R420="WON",AS420=0),"⛔ Nachweis fehlt",IF(AND(ISNUMBER(O420),ISNUMBER(P420),P420&lt;O420),"⚠ Ende vor Start",IF(AND(R420="WON",AY420=0),"⛔ Zeitraum fehlt",IF(AR420=0,"○ Einstand offen",IF(AY420=0,"○ Zeitraum offen",IF(R420="WON","✅ belegt","✔ erfasst")))))))</f>
        <v/>
      </c>
    </row>
    <row r="421" customFormat="false" ht="15" hidden="false" customHeight="true" outlineLevel="0" collapsed="false">
      <c r="G421" s="1" t="str">
        <f aca="false">IF(B421="","",IF(AY421=1,P421-O421+1,IF(AW421="","",AW421)))</f>
        <v/>
      </c>
      <c r="I421" s="270"/>
      <c r="J421" s="270"/>
      <c r="K421" s="270"/>
      <c r="L421" s="270"/>
      <c r="M421" s="270"/>
      <c r="N421" s="270"/>
      <c r="O421" s="263"/>
      <c r="P421" s="263"/>
      <c r="Q421" s="270" t="str">
        <f aca="false">IF(AND(ISNUMBER(I421),ISNUMBER(S421)),I421*AJ421,IF(OR(I421&lt;&gt;"",S421&lt;&gt;""),"tbd",""))</f>
        <v/>
      </c>
      <c r="S421" s="268"/>
      <c r="Y421" s="275" t="str">
        <f aca="false">IF(ISNUMBER(I421),I421/Netto_Faktor,"")</f>
        <v/>
      </c>
      <c r="Z421" s="275" t="str">
        <f aca="false">IF(B421="","",IF(COUNT(J421:N421)=0,"",SUM(J421:N421)))</f>
        <v/>
      </c>
      <c r="AA421" s="266"/>
      <c r="AB421" s="266"/>
      <c r="AC421" s="266"/>
      <c r="AD421" s="266"/>
      <c r="AE421" s="266"/>
      <c r="AF421" s="266"/>
      <c r="AG421" s="267"/>
      <c r="AH421" s="266" t="str">
        <f aca="false">IF(B421="","",IF(BA421="",IF(R421="WON","✅ belegt &amp; vollständig","✔ vollständig"),LEFT(BA421,LEN(BA421)-3)))</f>
        <v/>
      </c>
      <c r="AJ421" s="268" t="n">
        <f aca="false">IF(ISNUMBER(S421),IFERROR(LOOKUP(IF(S421&lt;=1,S421,S421/100),'⚖️ Wahrscheinlichkeit'!$B$17:$B$21,'⚖️ Wahrscheinlichkeit'!$D$17:$D$21),0),0)</f>
        <v>0</v>
      </c>
      <c r="AK421" s="1" t="str">
        <f aca="false">IF(AND(R421="WON",ISNUMBER(I421)),AL421+(861-ROW())*0.000001,"")</f>
        <v/>
      </c>
      <c r="AL421" s="1" t="n">
        <f aca="false">IFERROR(I421*1,0)</f>
        <v>0</v>
      </c>
      <c r="AM421" s="1" t="n">
        <f aca="false">N(AM420)+IF(AND(R421="WON",B421&lt;&gt;""),1,0)</f>
        <v>12</v>
      </c>
      <c r="AN421" s="1" t="n">
        <f aca="false">N(AN420)+IF(AND(OR(R421="offered",R421="to be offered",R421="on hold"),B421&lt;&gt;""),1,0)</f>
        <v>33</v>
      </c>
      <c r="AO421" s="1" t="n">
        <f aca="false">N(AO420)+IF(AND(OR(R421="follow-up",R421="Evaluation",R421="tbd",R421="In evaluation"),B421&lt;&gt;""),1,0)</f>
        <v>1</v>
      </c>
      <c r="AP421" s="1" t="n">
        <f aca="false">IF(B421="",0,IF(COUNTIF('⚖️ Wahrscheinlichkeit'!$J$17:$J$24,R421)&gt;0,1,0))</f>
        <v>0</v>
      </c>
      <c r="AQ421" s="1" t="n">
        <f aca="false">IF(B421="",0,IF(AND(ISNUMBER(S421),COUNTIF('⚖️ Wahrscheinlichkeit'!$B$6:$B$11,S421)&gt;0),1,0))</f>
        <v>0</v>
      </c>
      <c r="AR421" s="1" t="n">
        <f aca="false">IF(B421="",0,IF(AND(COUNT(J421:M421)=4,SUM(J421:M421)&gt;0),1,0))</f>
        <v>0</v>
      </c>
      <c r="AS421" s="1" t="n">
        <f aca="false">IF(B421="",0,IF(AND(AF421&lt;&gt;"",AG421&lt;&gt;""),1,0))</f>
        <v>0</v>
      </c>
      <c r="AT421" s="1" t="n">
        <f aca="false">IF(AND(R421="WON",AS421=1,AR421=1),1,0)</f>
        <v>0</v>
      </c>
      <c r="AU421" s="1" t="n">
        <f aca="false">IF(B421="",0,IF(AD421="Alternative – zählt nicht",0,1))</f>
        <v>0</v>
      </c>
      <c r="AV421" s="1" t="n">
        <f aca="false">IF(B421="",0,IF(COUNTIF($B$6:$B$860,B421)&gt;1,1,0))</f>
        <v>0</v>
      </c>
      <c r="AX421" s="269" t="str">
        <f aca="false">IF(AY421=1,DATE(YEAR(O421),MONTH(O421),1),"")</f>
        <v/>
      </c>
      <c r="AY421" s="1" t="n">
        <f aca="false">IF(B421="",0,IF(AND(ISNUMBER(O421),ISNUMBER(P421)),IF(P421&gt;=O421,1,0),0))</f>
        <v>0</v>
      </c>
      <c r="AZ421" s="1" t="n">
        <f aca="false">IF(ISNUMBER(Y421),Y421,0)</f>
        <v>0</v>
      </c>
      <c r="BA421" s="1" t="str">
        <f aca="false">IF(B421="","",IF(AND(R421="WON",AS421=0),"⛔ Beleg fehlt · ","")&amp;IF(AND(R421="WON",AR421=0),"⛔ Einstand fehlt · ","")&amp;IF(AND(R421&lt;&gt;"WON",AR421=0),"○ Einstand offen · ","")&amp;IF(AND(R421="WON",AB421=""),"⛔ Vertragsart fehlt · ","")&amp;IF(AND(ISNUMBER(O421),ISNUMBER(P421)),IF(P421&lt;O421,"⚠ Ende vor Start · ",""),"")&amp;IF(AND(R421="WON",AY421=0,NOT(AND(ISNUMBER(O421),ISNUMBER(P421)))),"⛔ Zeitraum fehlt · ","")&amp;IF(AND(R421&lt;&gt;"WON",AY421=0,NOT(AND(ISNUMBER(O421),ISNUMBER(P421)))),"○ Zeitraum offen · ",""))</f>
        <v/>
      </c>
      <c r="BB421" s="1" t="str">
        <f aca="false">IF(B421="","",IF(AND(R421="WON",AS421=0),"⛔ Nachweis fehlt",IF(AND(ISNUMBER(O421),ISNUMBER(P421),P421&lt;O421),"⚠ Ende vor Start",IF(AND(R421="WON",AY421=0),"⛔ Zeitraum fehlt",IF(AR421=0,"○ Einstand offen",IF(AY421=0,"○ Zeitraum offen",IF(R421="WON","✅ belegt","✔ erfasst")))))))</f>
        <v/>
      </c>
    </row>
    <row r="422" customFormat="false" ht="15" hidden="false" customHeight="true" outlineLevel="0" collapsed="false">
      <c r="G422" s="1" t="str">
        <f aca="false">IF(B422="","",IF(AY422=1,P422-O422+1,IF(AW422="","",AW422)))</f>
        <v/>
      </c>
      <c r="I422" s="270"/>
      <c r="J422" s="270"/>
      <c r="K422" s="270"/>
      <c r="L422" s="270"/>
      <c r="M422" s="270"/>
      <c r="N422" s="270"/>
      <c r="O422" s="263"/>
      <c r="P422" s="263"/>
      <c r="Q422" s="270" t="str">
        <f aca="false">IF(AND(ISNUMBER(I422),ISNUMBER(S422)),I422*AJ422,IF(OR(I422&lt;&gt;"",S422&lt;&gt;""),"tbd",""))</f>
        <v/>
      </c>
      <c r="S422" s="268"/>
      <c r="Y422" s="275" t="str">
        <f aca="false">IF(ISNUMBER(I422),I422/Netto_Faktor,"")</f>
        <v/>
      </c>
      <c r="Z422" s="275" t="str">
        <f aca="false">IF(B422="","",IF(COUNT(J422:N422)=0,"",SUM(J422:N422)))</f>
        <v/>
      </c>
      <c r="AA422" s="266"/>
      <c r="AB422" s="266"/>
      <c r="AC422" s="266"/>
      <c r="AD422" s="266"/>
      <c r="AE422" s="266"/>
      <c r="AF422" s="266"/>
      <c r="AG422" s="267"/>
      <c r="AH422" s="266" t="str">
        <f aca="false">IF(B422="","",IF(BA422="",IF(R422="WON","✅ belegt &amp; vollständig","✔ vollständig"),LEFT(BA422,LEN(BA422)-3)))</f>
        <v/>
      </c>
      <c r="AJ422" s="268" t="n">
        <f aca="false">IF(ISNUMBER(S422),IFERROR(LOOKUP(IF(S422&lt;=1,S422,S422/100),'⚖️ Wahrscheinlichkeit'!$B$17:$B$21,'⚖️ Wahrscheinlichkeit'!$D$17:$D$21),0),0)</f>
        <v>0</v>
      </c>
      <c r="AK422" s="1" t="str">
        <f aca="false">IF(AND(R422="WON",ISNUMBER(I422)),AL422+(861-ROW())*0.000001,"")</f>
        <v/>
      </c>
      <c r="AL422" s="1" t="n">
        <f aca="false">IFERROR(I422*1,0)</f>
        <v>0</v>
      </c>
      <c r="AM422" s="1" t="n">
        <f aca="false">N(AM421)+IF(AND(R422="WON",B422&lt;&gt;""),1,0)</f>
        <v>12</v>
      </c>
      <c r="AN422" s="1" t="n">
        <f aca="false">N(AN421)+IF(AND(OR(R422="offered",R422="to be offered",R422="on hold"),B422&lt;&gt;""),1,0)</f>
        <v>33</v>
      </c>
      <c r="AO422" s="1" t="n">
        <f aca="false">N(AO421)+IF(AND(OR(R422="follow-up",R422="Evaluation",R422="tbd",R422="In evaluation"),B422&lt;&gt;""),1,0)</f>
        <v>1</v>
      </c>
      <c r="AP422" s="1" t="n">
        <f aca="false">IF(B422="",0,IF(COUNTIF('⚖️ Wahrscheinlichkeit'!$J$17:$J$24,R422)&gt;0,1,0))</f>
        <v>0</v>
      </c>
      <c r="AQ422" s="1" t="n">
        <f aca="false">IF(B422="",0,IF(AND(ISNUMBER(S422),COUNTIF('⚖️ Wahrscheinlichkeit'!$B$6:$B$11,S422)&gt;0),1,0))</f>
        <v>0</v>
      </c>
      <c r="AR422" s="1" t="n">
        <f aca="false">IF(B422="",0,IF(AND(COUNT(J422:M422)=4,SUM(J422:M422)&gt;0),1,0))</f>
        <v>0</v>
      </c>
      <c r="AS422" s="1" t="n">
        <f aca="false">IF(B422="",0,IF(AND(AF422&lt;&gt;"",AG422&lt;&gt;""),1,0))</f>
        <v>0</v>
      </c>
      <c r="AT422" s="1" t="n">
        <f aca="false">IF(AND(R422="WON",AS422=1,AR422=1),1,0)</f>
        <v>0</v>
      </c>
      <c r="AU422" s="1" t="n">
        <f aca="false">IF(B422="",0,IF(AD422="Alternative – zählt nicht",0,1))</f>
        <v>0</v>
      </c>
      <c r="AV422" s="1" t="n">
        <f aca="false">IF(B422="",0,IF(COUNTIF($B$6:$B$860,B422)&gt;1,1,0))</f>
        <v>0</v>
      </c>
      <c r="AX422" s="269" t="str">
        <f aca="false">IF(AY422=1,DATE(YEAR(O422),MONTH(O422),1),"")</f>
        <v/>
      </c>
      <c r="AY422" s="1" t="n">
        <f aca="false">IF(B422="",0,IF(AND(ISNUMBER(O422),ISNUMBER(P422)),IF(P422&gt;=O422,1,0),0))</f>
        <v>0</v>
      </c>
      <c r="AZ422" s="1" t="n">
        <f aca="false">IF(ISNUMBER(Y422),Y422,0)</f>
        <v>0</v>
      </c>
      <c r="BA422" s="1" t="str">
        <f aca="false">IF(B422="","",IF(AND(R422="WON",AS422=0),"⛔ Beleg fehlt · ","")&amp;IF(AND(R422="WON",AR422=0),"⛔ Einstand fehlt · ","")&amp;IF(AND(R422&lt;&gt;"WON",AR422=0),"○ Einstand offen · ","")&amp;IF(AND(R422="WON",AB422=""),"⛔ Vertragsart fehlt · ","")&amp;IF(AND(ISNUMBER(O422),ISNUMBER(P422)),IF(P422&lt;O422,"⚠ Ende vor Start · ",""),"")&amp;IF(AND(R422="WON",AY422=0,NOT(AND(ISNUMBER(O422),ISNUMBER(P422)))),"⛔ Zeitraum fehlt · ","")&amp;IF(AND(R422&lt;&gt;"WON",AY422=0,NOT(AND(ISNUMBER(O422),ISNUMBER(P422)))),"○ Zeitraum offen · ",""))</f>
        <v/>
      </c>
      <c r="BB422" s="1" t="str">
        <f aca="false">IF(B422="","",IF(AND(R422="WON",AS422=0),"⛔ Nachweis fehlt",IF(AND(ISNUMBER(O422),ISNUMBER(P422),P422&lt;O422),"⚠ Ende vor Start",IF(AND(R422="WON",AY422=0),"⛔ Zeitraum fehlt",IF(AR422=0,"○ Einstand offen",IF(AY422=0,"○ Zeitraum offen",IF(R422="WON","✅ belegt","✔ erfasst")))))))</f>
        <v/>
      </c>
    </row>
    <row r="423" customFormat="false" ht="15" hidden="false" customHeight="true" outlineLevel="0" collapsed="false">
      <c r="G423" s="1" t="str">
        <f aca="false">IF(B423="","",IF(AY423=1,P423-O423+1,IF(AW423="","",AW423)))</f>
        <v/>
      </c>
      <c r="I423" s="270"/>
      <c r="J423" s="270"/>
      <c r="K423" s="270"/>
      <c r="L423" s="270"/>
      <c r="M423" s="270"/>
      <c r="N423" s="270"/>
      <c r="O423" s="263"/>
      <c r="P423" s="263"/>
      <c r="Q423" s="270" t="str">
        <f aca="false">IF(AND(ISNUMBER(I423),ISNUMBER(S423)),I423*AJ423,IF(OR(I423&lt;&gt;"",S423&lt;&gt;""),"tbd",""))</f>
        <v/>
      </c>
      <c r="S423" s="268"/>
      <c r="Y423" s="275" t="str">
        <f aca="false">IF(ISNUMBER(I423),I423/Netto_Faktor,"")</f>
        <v/>
      </c>
      <c r="Z423" s="275" t="str">
        <f aca="false">IF(B423="","",IF(COUNT(J423:N423)=0,"",SUM(J423:N423)))</f>
        <v/>
      </c>
      <c r="AA423" s="266"/>
      <c r="AB423" s="266"/>
      <c r="AC423" s="266"/>
      <c r="AD423" s="266"/>
      <c r="AE423" s="266"/>
      <c r="AF423" s="266"/>
      <c r="AG423" s="267"/>
      <c r="AH423" s="266" t="str">
        <f aca="false">IF(B423="","",IF(BA423="",IF(R423="WON","✅ belegt &amp; vollständig","✔ vollständig"),LEFT(BA423,LEN(BA423)-3)))</f>
        <v/>
      </c>
      <c r="AJ423" s="268" t="n">
        <f aca="false">IF(ISNUMBER(S423),IFERROR(LOOKUP(IF(S423&lt;=1,S423,S423/100),'⚖️ Wahrscheinlichkeit'!$B$17:$B$21,'⚖️ Wahrscheinlichkeit'!$D$17:$D$21),0),0)</f>
        <v>0</v>
      </c>
      <c r="AK423" s="1" t="str">
        <f aca="false">IF(AND(R423="WON",ISNUMBER(I423)),AL423+(861-ROW())*0.000001,"")</f>
        <v/>
      </c>
      <c r="AL423" s="1" t="n">
        <f aca="false">IFERROR(I423*1,0)</f>
        <v>0</v>
      </c>
      <c r="AM423" s="1" t="n">
        <f aca="false">N(AM422)+IF(AND(R423="WON",B423&lt;&gt;""),1,0)</f>
        <v>12</v>
      </c>
      <c r="AN423" s="1" t="n">
        <f aca="false">N(AN422)+IF(AND(OR(R423="offered",R423="to be offered",R423="on hold"),B423&lt;&gt;""),1,0)</f>
        <v>33</v>
      </c>
      <c r="AO423" s="1" t="n">
        <f aca="false">N(AO422)+IF(AND(OR(R423="follow-up",R423="Evaluation",R423="tbd",R423="In evaluation"),B423&lt;&gt;""),1,0)</f>
        <v>1</v>
      </c>
      <c r="AP423" s="1" t="n">
        <f aca="false">IF(B423="",0,IF(COUNTIF('⚖️ Wahrscheinlichkeit'!$J$17:$J$24,R423)&gt;0,1,0))</f>
        <v>0</v>
      </c>
      <c r="AQ423" s="1" t="n">
        <f aca="false">IF(B423="",0,IF(AND(ISNUMBER(S423),COUNTIF('⚖️ Wahrscheinlichkeit'!$B$6:$B$11,S423)&gt;0),1,0))</f>
        <v>0</v>
      </c>
      <c r="AR423" s="1" t="n">
        <f aca="false">IF(B423="",0,IF(AND(COUNT(J423:M423)=4,SUM(J423:M423)&gt;0),1,0))</f>
        <v>0</v>
      </c>
      <c r="AS423" s="1" t="n">
        <f aca="false">IF(B423="",0,IF(AND(AF423&lt;&gt;"",AG423&lt;&gt;""),1,0))</f>
        <v>0</v>
      </c>
      <c r="AT423" s="1" t="n">
        <f aca="false">IF(AND(R423="WON",AS423=1,AR423=1),1,0)</f>
        <v>0</v>
      </c>
      <c r="AU423" s="1" t="n">
        <f aca="false">IF(B423="",0,IF(AD423="Alternative – zählt nicht",0,1))</f>
        <v>0</v>
      </c>
      <c r="AV423" s="1" t="n">
        <f aca="false">IF(B423="",0,IF(COUNTIF($B$6:$B$860,B423)&gt;1,1,0))</f>
        <v>0</v>
      </c>
      <c r="AX423" s="269" t="str">
        <f aca="false">IF(AY423=1,DATE(YEAR(O423),MONTH(O423),1),"")</f>
        <v/>
      </c>
      <c r="AY423" s="1" t="n">
        <f aca="false">IF(B423="",0,IF(AND(ISNUMBER(O423),ISNUMBER(P423)),IF(P423&gt;=O423,1,0),0))</f>
        <v>0</v>
      </c>
      <c r="AZ423" s="1" t="n">
        <f aca="false">IF(ISNUMBER(Y423),Y423,0)</f>
        <v>0</v>
      </c>
      <c r="BA423" s="1" t="str">
        <f aca="false">IF(B423="","",IF(AND(R423="WON",AS423=0),"⛔ Beleg fehlt · ","")&amp;IF(AND(R423="WON",AR423=0),"⛔ Einstand fehlt · ","")&amp;IF(AND(R423&lt;&gt;"WON",AR423=0),"○ Einstand offen · ","")&amp;IF(AND(R423="WON",AB423=""),"⛔ Vertragsart fehlt · ","")&amp;IF(AND(ISNUMBER(O423),ISNUMBER(P423)),IF(P423&lt;O423,"⚠ Ende vor Start · ",""),"")&amp;IF(AND(R423="WON",AY423=0,NOT(AND(ISNUMBER(O423),ISNUMBER(P423)))),"⛔ Zeitraum fehlt · ","")&amp;IF(AND(R423&lt;&gt;"WON",AY423=0,NOT(AND(ISNUMBER(O423),ISNUMBER(P423)))),"○ Zeitraum offen · ",""))</f>
        <v/>
      </c>
      <c r="BB423" s="1" t="str">
        <f aca="false">IF(B423="","",IF(AND(R423="WON",AS423=0),"⛔ Nachweis fehlt",IF(AND(ISNUMBER(O423),ISNUMBER(P423),P423&lt;O423),"⚠ Ende vor Start",IF(AND(R423="WON",AY423=0),"⛔ Zeitraum fehlt",IF(AR423=0,"○ Einstand offen",IF(AY423=0,"○ Zeitraum offen",IF(R423="WON","✅ belegt","✔ erfasst")))))))</f>
        <v/>
      </c>
    </row>
    <row r="424" customFormat="false" ht="15" hidden="false" customHeight="true" outlineLevel="0" collapsed="false">
      <c r="G424" s="1" t="str">
        <f aca="false">IF(B424="","",IF(AY424=1,P424-O424+1,IF(AW424="","",AW424)))</f>
        <v/>
      </c>
      <c r="I424" s="270"/>
      <c r="J424" s="270"/>
      <c r="K424" s="270"/>
      <c r="L424" s="270"/>
      <c r="M424" s="270"/>
      <c r="N424" s="270"/>
      <c r="O424" s="263"/>
      <c r="P424" s="263"/>
      <c r="Q424" s="270" t="str">
        <f aca="false">IF(AND(ISNUMBER(I424),ISNUMBER(S424)),I424*AJ424,IF(OR(I424&lt;&gt;"",S424&lt;&gt;""),"tbd",""))</f>
        <v/>
      </c>
      <c r="S424" s="268"/>
      <c r="Y424" s="275" t="str">
        <f aca="false">IF(ISNUMBER(I424),I424/Netto_Faktor,"")</f>
        <v/>
      </c>
      <c r="Z424" s="275" t="str">
        <f aca="false">IF(B424="","",IF(COUNT(J424:N424)=0,"",SUM(J424:N424)))</f>
        <v/>
      </c>
      <c r="AA424" s="266"/>
      <c r="AB424" s="266"/>
      <c r="AC424" s="266"/>
      <c r="AD424" s="266"/>
      <c r="AE424" s="266"/>
      <c r="AF424" s="266"/>
      <c r="AG424" s="267"/>
      <c r="AH424" s="266" t="str">
        <f aca="false">IF(B424="","",IF(BA424="",IF(R424="WON","✅ belegt &amp; vollständig","✔ vollständig"),LEFT(BA424,LEN(BA424)-3)))</f>
        <v/>
      </c>
      <c r="AJ424" s="268" t="n">
        <f aca="false">IF(ISNUMBER(S424),IFERROR(LOOKUP(IF(S424&lt;=1,S424,S424/100),'⚖️ Wahrscheinlichkeit'!$B$17:$B$21,'⚖️ Wahrscheinlichkeit'!$D$17:$D$21),0),0)</f>
        <v>0</v>
      </c>
      <c r="AK424" s="1" t="str">
        <f aca="false">IF(AND(R424="WON",ISNUMBER(I424)),AL424+(861-ROW())*0.000001,"")</f>
        <v/>
      </c>
      <c r="AL424" s="1" t="n">
        <f aca="false">IFERROR(I424*1,0)</f>
        <v>0</v>
      </c>
      <c r="AM424" s="1" t="n">
        <f aca="false">N(AM423)+IF(AND(R424="WON",B424&lt;&gt;""),1,0)</f>
        <v>12</v>
      </c>
      <c r="AN424" s="1" t="n">
        <f aca="false">N(AN423)+IF(AND(OR(R424="offered",R424="to be offered",R424="on hold"),B424&lt;&gt;""),1,0)</f>
        <v>33</v>
      </c>
      <c r="AO424" s="1" t="n">
        <f aca="false">N(AO423)+IF(AND(OR(R424="follow-up",R424="Evaluation",R424="tbd",R424="In evaluation"),B424&lt;&gt;""),1,0)</f>
        <v>1</v>
      </c>
      <c r="AP424" s="1" t="n">
        <f aca="false">IF(B424="",0,IF(COUNTIF('⚖️ Wahrscheinlichkeit'!$J$17:$J$24,R424)&gt;0,1,0))</f>
        <v>0</v>
      </c>
      <c r="AQ424" s="1" t="n">
        <f aca="false">IF(B424="",0,IF(AND(ISNUMBER(S424),COUNTIF('⚖️ Wahrscheinlichkeit'!$B$6:$B$11,S424)&gt;0),1,0))</f>
        <v>0</v>
      </c>
      <c r="AR424" s="1" t="n">
        <f aca="false">IF(B424="",0,IF(AND(COUNT(J424:M424)=4,SUM(J424:M424)&gt;0),1,0))</f>
        <v>0</v>
      </c>
      <c r="AS424" s="1" t="n">
        <f aca="false">IF(B424="",0,IF(AND(AF424&lt;&gt;"",AG424&lt;&gt;""),1,0))</f>
        <v>0</v>
      </c>
      <c r="AT424" s="1" t="n">
        <f aca="false">IF(AND(R424="WON",AS424=1,AR424=1),1,0)</f>
        <v>0</v>
      </c>
      <c r="AU424" s="1" t="n">
        <f aca="false">IF(B424="",0,IF(AD424="Alternative – zählt nicht",0,1))</f>
        <v>0</v>
      </c>
      <c r="AV424" s="1" t="n">
        <f aca="false">IF(B424="",0,IF(COUNTIF($B$6:$B$860,B424)&gt;1,1,0))</f>
        <v>0</v>
      </c>
      <c r="AX424" s="269" t="str">
        <f aca="false">IF(AY424=1,DATE(YEAR(O424),MONTH(O424),1),"")</f>
        <v/>
      </c>
      <c r="AY424" s="1" t="n">
        <f aca="false">IF(B424="",0,IF(AND(ISNUMBER(O424),ISNUMBER(P424)),IF(P424&gt;=O424,1,0),0))</f>
        <v>0</v>
      </c>
      <c r="AZ424" s="1" t="n">
        <f aca="false">IF(ISNUMBER(Y424),Y424,0)</f>
        <v>0</v>
      </c>
      <c r="BA424" s="1" t="str">
        <f aca="false">IF(B424="","",IF(AND(R424="WON",AS424=0),"⛔ Beleg fehlt · ","")&amp;IF(AND(R424="WON",AR424=0),"⛔ Einstand fehlt · ","")&amp;IF(AND(R424&lt;&gt;"WON",AR424=0),"○ Einstand offen · ","")&amp;IF(AND(R424="WON",AB424=""),"⛔ Vertragsart fehlt · ","")&amp;IF(AND(ISNUMBER(O424),ISNUMBER(P424)),IF(P424&lt;O424,"⚠ Ende vor Start · ",""),"")&amp;IF(AND(R424="WON",AY424=0,NOT(AND(ISNUMBER(O424),ISNUMBER(P424)))),"⛔ Zeitraum fehlt · ","")&amp;IF(AND(R424&lt;&gt;"WON",AY424=0,NOT(AND(ISNUMBER(O424),ISNUMBER(P424)))),"○ Zeitraum offen · ",""))</f>
        <v/>
      </c>
      <c r="BB424" s="1" t="str">
        <f aca="false">IF(B424="","",IF(AND(R424="WON",AS424=0),"⛔ Nachweis fehlt",IF(AND(ISNUMBER(O424),ISNUMBER(P424),P424&lt;O424),"⚠ Ende vor Start",IF(AND(R424="WON",AY424=0),"⛔ Zeitraum fehlt",IF(AR424=0,"○ Einstand offen",IF(AY424=0,"○ Zeitraum offen",IF(R424="WON","✅ belegt","✔ erfasst")))))))</f>
        <v/>
      </c>
    </row>
    <row r="425" customFormat="false" ht="15" hidden="false" customHeight="true" outlineLevel="0" collapsed="false">
      <c r="G425" s="1" t="str">
        <f aca="false">IF(B425="","",IF(AY425=1,P425-O425+1,IF(AW425="","",AW425)))</f>
        <v/>
      </c>
      <c r="I425" s="270"/>
      <c r="J425" s="270"/>
      <c r="K425" s="270"/>
      <c r="L425" s="270"/>
      <c r="M425" s="270"/>
      <c r="N425" s="270"/>
      <c r="O425" s="263"/>
      <c r="P425" s="263"/>
      <c r="Q425" s="270" t="str">
        <f aca="false">IF(AND(ISNUMBER(I425),ISNUMBER(S425)),I425*AJ425,IF(OR(I425&lt;&gt;"",S425&lt;&gt;""),"tbd",""))</f>
        <v/>
      </c>
      <c r="S425" s="268"/>
      <c r="Y425" s="275" t="str">
        <f aca="false">IF(ISNUMBER(I425),I425/Netto_Faktor,"")</f>
        <v/>
      </c>
      <c r="Z425" s="275" t="str">
        <f aca="false">IF(B425="","",IF(COUNT(J425:N425)=0,"",SUM(J425:N425)))</f>
        <v/>
      </c>
      <c r="AA425" s="266"/>
      <c r="AB425" s="266"/>
      <c r="AC425" s="266"/>
      <c r="AD425" s="266"/>
      <c r="AE425" s="266"/>
      <c r="AF425" s="266"/>
      <c r="AG425" s="267"/>
      <c r="AH425" s="266" t="str">
        <f aca="false">IF(B425="","",IF(BA425="",IF(R425="WON","✅ belegt &amp; vollständig","✔ vollständig"),LEFT(BA425,LEN(BA425)-3)))</f>
        <v/>
      </c>
      <c r="AJ425" s="268" t="n">
        <f aca="false">IF(ISNUMBER(S425),IFERROR(LOOKUP(IF(S425&lt;=1,S425,S425/100),'⚖️ Wahrscheinlichkeit'!$B$17:$B$21,'⚖️ Wahrscheinlichkeit'!$D$17:$D$21),0),0)</f>
        <v>0</v>
      </c>
      <c r="AK425" s="1" t="str">
        <f aca="false">IF(AND(R425="WON",ISNUMBER(I425)),AL425+(861-ROW())*0.000001,"")</f>
        <v/>
      </c>
      <c r="AL425" s="1" t="n">
        <f aca="false">IFERROR(I425*1,0)</f>
        <v>0</v>
      </c>
      <c r="AM425" s="1" t="n">
        <f aca="false">N(AM424)+IF(AND(R425="WON",B425&lt;&gt;""),1,0)</f>
        <v>12</v>
      </c>
      <c r="AN425" s="1" t="n">
        <f aca="false">N(AN424)+IF(AND(OR(R425="offered",R425="to be offered",R425="on hold"),B425&lt;&gt;""),1,0)</f>
        <v>33</v>
      </c>
      <c r="AO425" s="1" t="n">
        <f aca="false">N(AO424)+IF(AND(OR(R425="follow-up",R425="Evaluation",R425="tbd",R425="In evaluation"),B425&lt;&gt;""),1,0)</f>
        <v>1</v>
      </c>
      <c r="AP425" s="1" t="n">
        <f aca="false">IF(B425="",0,IF(COUNTIF('⚖️ Wahrscheinlichkeit'!$J$17:$J$24,R425)&gt;0,1,0))</f>
        <v>0</v>
      </c>
      <c r="AQ425" s="1" t="n">
        <f aca="false">IF(B425="",0,IF(AND(ISNUMBER(S425),COUNTIF('⚖️ Wahrscheinlichkeit'!$B$6:$B$11,S425)&gt;0),1,0))</f>
        <v>0</v>
      </c>
      <c r="AR425" s="1" t="n">
        <f aca="false">IF(B425="",0,IF(AND(COUNT(J425:M425)=4,SUM(J425:M425)&gt;0),1,0))</f>
        <v>0</v>
      </c>
      <c r="AS425" s="1" t="n">
        <f aca="false">IF(B425="",0,IF(AND(AF425&lt;&gt;"",AG425&lt;&gt;""),1,0))</f>
        <v>0</v>
      </c>
      <c r="AT425" s="1" t="n">
        <f aca="false">IF(AND(R425="WON",AS425=1,AR425=1),1,0)</f>
        <v>0</v>
      </c>
      <c r="AU425" s="1" t="n">
        <f aca="false">IF(B425="",0,IF(AD425="Alternative – zählt nicht",0,1))</f>
        <v>0</v>
      </c>
      <c r="AV425" s="1" t="n">
        <f aca="false">IF(B425="",0,IF(COUNTIF($B$6:$B$860,B425)&gt;1,1,0))</f>
        <v>0</v>
      </c>
      <c r="AX425" s="269" t="str">
        <f aca="false">IF(AY425=1,DATE(YEAR(O425),MONTH(O425),1),"")</f>
        <v/>
      </c>
      <c r="AY425" s="1" t="n">
        <f aca="false">IF(B425="",0,IF(AND(ISNUMBER(O425),ISNUMBER(P425)),IF(P425&gt;=O425,1,0),0))</f>
        <v>0</v>
      </c>
      <c r="AZ425" s="1" t="n">
        <f aca="false">IF(ISNUMBER(Y425),Y425,0)</f>
        <v>0</v>
      </c>
      <c r="BA425" s="1" t="str">
        <f aca="false">IF(B425="","",IF(AND(R425="WON",AS425=0),"⛔ Beleg fehlt · ","")&amp;IF(AND(R425="WON",AR425=0),"⛔ Einstand fehlt · ","")&amp;IF(AND(R425&lt;&gt;"WON",AR425=0),"○ Einstand offen · ","")&amp;IF(AND(R425="WON",AB425=""),"⛔ Vertragsart fehlt · ","")&amp;IF(AND(ISNUMBER(O425),ISNUMBER(P425)),IF(P425&lt;O425,"⚠ Ende vor Start · ",""),"")&amp;IF(AND(R425="WON",AY425=0,NOT(AND(ISNUMBER(O425),ISNUMBER(P425)))),"⛔ Zeitraum fehlt · ","")&amp;IF(AND(R425&lt;&gt;"WON",AY425=0,NOT(AND(ISNUMBER(O425),ISNUMBER(P425)))),"○ Zeitraum offen · ",""))</f>
        <v/>
      </c>
      <c r="BB425" s="1" t="str">
        <f aca="false">IF(B425="","",IF(AND(R425="WON",AS425=0),"⛔ Nachweis fehlt",IF(AND(ISNUMBER(O425),ISNUMBER(P425),P425&lt;O425),"⚠ Ende vor Start",IF(AND(R425="WON",AY425=0),"⛔ Zeitraum fehlt",IF(AR425=0,"○ Einstand offen",IF(AY425=0,"○ Zeitraum offen",IF(R425="WON","✅ belegt","✔ erfasst")))))))</f>
        <v/>
      </c>
    </row>
    <row r="426" customFormat="false" ht="15" hidden="false" customHeight="true" outlineLevel="0" collapsed="false">
      <c r="G426" s="1" t="str">
        <f aca="false">IF(B426="","",IF(AY426=1,P426-O426+1,IF(AW426="","",AW426)))</f>
        <v/>
      </c>
      <c r="I426" s="270"/>
      <c r="J426" s="270"/>
      <c r="K426" s="270"/>
      <c r="L426" s="270"/>
      <c r="M426" s="270"/>
      <c r="N426" s="270"/>
      <c r="O426" s="263"/>
      <c r="P426" s="263"/>
      <c r="Q426" s="270" t="str">
        <f aca="false">IF(AND(ISNUMBER(I426),ISNUMBER(S426)),I426*AJ426,IF(OR(I426&lt;&gt;"",S426&lt;&gt;""),"tbd",""))</f>
        <v/>
      </c>
      <c r="S426" s="268"/>
      <c r="Y426" s="275" t="str">
        <f aca="false">IF(ISNUMBER(I426),I426/Netto_Faktor,"")</f>
        <v/>
      </c>
      <c r="Z426" s="275" t="str">
        <f aca="false">IF(B426="","",IF(COUNT(J426:N426)=0,"",SUM(J426:N426)))</f>
        <v/>
      </c>
      <c r="AA426" s="266"/>
      <c r="AB426" s="266"/>
      <c r="AC426" s="266"/>
      <c r="AD426" s="266"/>
      <c r="AE426" s="266"/>
      <c r="AF426" s="266"/>
      <c r="AG426" s="267"/>
      <c r="AH426" s="266" t="str">
        <f aca="false">IF(B426="","",IF(BA426="",IF(R426="WON","✅ belegt &amp; vollständig","✔ vollständig"),LEFT(BA426,LEN(BA426)-3)))</f>
        <v/>
      </c>
      <c r="AJ426" s="268" t="n">
        <f aca="false">IF(ISNUMBER(S426),IFERROR(LOOKUP(IF(S426&lt;=1,S426,S426/100),'⚖️ Wahrscheinlichkeit'!$B$17:$B$21,'⚖️ Wahrscheinlichkeit'!$D$17:$D$21),0),0)</f>
        <v>0</v>
      </c>
      <c r="AK426" s="1" t="str">
        <f aca="false">IF(AND(R426="WON",ISNUMBER(I426)),AL426+(861-ROW())*0.000001,"")</f>
        <v/>
      </c>
      <c r="AL426" s="1" t="n">
        <f aca="false">IFERROR(I426*1,0)</f>
        <v>0</v>
      </c>
      <c r="AM426" s="1" t="n">
        <f aca="false">N(AM425)+IF(AND(R426="WON",B426&lt;&gt;""),1,0)</f>
        <v>12</v>
      </c>
      <c r="AN426" s="1" t="n">
        <f aca="false">N(AN425)+IF(AND(OR(R426="offered",R426="to be offered",R426="on hold"),B426&lt;&gt;""),1,0)</f>
        <v>33</v>
      </c>
      <c r="AO426" s="1" t="n">
        <f aca="false">N(AO425)+IF(AND(OR(R426="follow-up",R426="Evaluation",R426="tbd",R426="In evaluation"),B426&lt;&gt;""),1,0)</f>
        <v>1</v>
      </c>
      <c r="AP426" s="1" t="n">
        <f aca="false">IF(B426="",0,IF(COUNTIF('⚖️ Wahrscheinlichkeit'!$J$17:$J$24,R426)&gt;0,1,0))</f>
        <v>0</v>
      </c>
      <c r="AQ426" s="1" t="n">
        <f aca="false">IF(B426="",0,IF(AND(ISNUMBER(S426),COUNTIF('⚖️ Wahrscheinlichkeit'!$B$6:$B$11,S426)&gt;0),1,0))</f>
        <v>0</v>
      </c>
      <c r="AR426" s="1" t="n">
        <f aca="false">IF(B426="",0,IF(AND(COUNT(J426:M426)=4,SUM(J426:M426)&gt;0),1,0))</f>
        <v>0</v>
      </c>
      <c r="AS426" s="1" t="n">
        <f aca="false">IF(B426="",0,IF(AND(AF426&lt;&gt;"",AG426&lt;&gt;""),1,0))</f>
        <v>0</v>
      </c>
      <c r="AT426" s="1" t="n">
        <f aca="false">IF(AND(R426="WON",AS426=1,AR426=1),1,0)</f>
        <v>0</v>
      </c>
      <c r="AU426" s="1" t="n">
        <f aca="false">IF(B426="",0,IF(AD426="Alternative – zählt nicht",0,1))</f>
        <v>0</v>
      </c>
      <c r="AV426" s="1" t="n">
        <f aca="false">IF(B426="",0,IF(COUNTIF($B$6:$B$860,B426)&gt;1,1,0))</f>
        <v>0</v>
      </c>
      <c r="AX426" s="269" t="str">
        <f aca="false">IF(AY426=1,DATE(YEAR(O426),MONTH(O426),1),"")</f>
        <v/>
      </c>
      <c r="AY426" s="1" t="n">
        <f aca="false">IF(B426="",0,IF(AND(ISNUMBER(O426),ISNUMBER(P426)),IF(P426&gt;=O426,1,0),0))</f>
        <v>0</v>
      </c>
      <c r="AZ426" s="1" t="n">
        <f aca="false">IF(ISNUMBER(Y426),Y426,0)</f>
        <v>0</v>
      </c>
      <c r="BA426" s="1" t="str">
        <f aca="false">IF(B426="","",IF(AND(R426="WON",AS426=0),"⛔ Beleg fehlt · ","")&amp;IF(AND(R426="WON",AR426=0),"⛔ Einstand fehlt · ","")&amp;IF(AND(R426&lt;&gt;"WON",AR426=0),"○ Einstand offen · ","")&amp;IF(AND(R426="WON",AB426=""),"⛔ Vertragsart fehlt · ","")&amp;IF(AND(ISNUMBER(O426),ISNUMBER(P426)),IF(P426&lt;O426,"⚠ Ende vor Start · ",""),"")&amp;IF(AND(R426="WON",AY426=0,NOT(AND(ISNUMBER(O426),ISNUMBER(P426)))),"⛔ Zeitraum fehlt · ","")&amp;IF(AND(R426&lt;&gt;"WON",AY426=0,NOT(AND(ISNUMBER(O426),ISNUMBER(P426)))),"○ Zeitraum offen · ",""))</f>
        <v/>
      </c>
      <c r="BB426" s="1" t="str">
        <f aca="false">IF(B426="","",IF(AND(R426="WON",AS426=0),"⛔ Nachweis fehlt",IF(AND(ISNUMBER(O426),ISNUMBER(P426),P426&lt;O426),"⚠ Ende vor Start",IF(AND(R426="WON",AY426=0),"⛔ Zeitraum fehlt",IF(AR426=0,"○ Einstand offen",IF(AY426=0,"○ Zeitraum offen",IF(R426="WON","✅ belegt","✔ erfasst")))))))</f>
        <v/>
      </c>
    </row>
    <row r="427" customFormat="false" ht="15" hidden="false" customHeight="true" outlineLevel="0" collapsed="false">
      <c r="G427" s="1" t="str">
        <f aca="false">IF(B427="","",IF(AY427=1,P427-O427+1,IF(AW427="","",AW427)))</f>
        <v/>
      </c>
      <c r="I427" s="270"/>
      <c r="J427" s="270"/>
      <c r="K427" s="270"/>
      <c r="L427" s="270"/>
      <c r="M427" s="270"/>
      <c r="N427" s="270"/>
      <c r="O427" s="263"/>
      <c r="P427" s="263"/>
      <c r="Q427" s="270" t="str">
        <f aca="false">IF(AND(ISNUMBER(I427),ISNUMBER(S427)),I427*AJ427,IF(OR(I427&lt;&gt;"",S427&lt;&gt;""),"tbd",""))</f>
        <v/>
      </c>
      <c r="S427" s="268"/>
      <c r="Y427" s="275" t="str">
        <f aca="false">IF(ISNUMBER(I427),I427/Netto_Faktor,"")</f>
        <v/>
      </c>
      <c r="Z427" s="275" t="str">
        <f aca="false">IF(B427="","",IF(COUNT(J427:N427)=0,"",SUM(J427:N427)))</f>
        <v/>
      </c>
      <c r="AA427" s="266"/>
      <c r="AB427" s="266"/>
      <c r="AC427" s="266"/>
      <c r="AD427" s="266"/>
      <c r="AE427" s="266"/>
      <c r="AF427" s="266"/>
      <c r="AG427" s="267"/>
      <c r="AH427" s="266" t="str">
        <f aca="false">IF(B427="","",IF(BA427="",IF(R427="WON","✅ belegt &amp; vollständig","✔ vollständig"),LEFT(BA427,LEN(BA427)-3)))</f>
        <v/>
      </c>
      <c r="AJ427" s="268" t="n">
        <f aca="false">IF(ISNUMBER(S427),IFERROR(LOOKUP(IF(S427&lt;=1,S427,S427/100),'⚖️ Wahrscheinlichkeit'!$B$17:$B$21,'⚖️ Wahrscheinlichkeit'!$D$17:$D$21),0),0)</f>
        <v>0</v>
      </c>
      <c r="AK427" s="1" t="str">
        <f aca="false">IF(AND(R427="WON",ISNUMBER(I427)),AL427+(861-ROW())*0.000001,"")</f>
        <v/>
      </c>
      <c r="AL427" s="1" t="n">
        <f aca="false">IFERROR(I427*1,0)</f>
        <v>0</v>
      </c>
      <c r="AM427" s="1" t="n">
        <f aca="false">N(AM426)+IF(AND(R427="WON",B427&lt;&gt;""),1,0)</f>
        <v>12</v>
      </c>
      <c r="AN427" s="1" t="n">
        <f aca="false">N(AN426)+IF(AND(OR(R427="offered",R427="to be offered",R427="on hold"),B427&lt;&gt;""),1,0)</f>
        <v>33</v>
      </c>
      <c r="AO427" s="1" t="n">
        <f aca="false">N(AO426)+IF(AND(OR(R427="follow-up",R427="Evaluation",R427="tbd",R427="In evaluation"),B427&lt;&gt;""),1,0)</f>
        <v>1</v>
      </c>
      <c r="AP427" s="1" t="n">
        <f aca="false">IF(B427="",0,IF(COUNTIF('⚖️ Wahrscheinlichkeit'!$J$17:$J$24,R427)&gt;0,1,0))</f>
        <v>0</v>
      </c>
      <c r="AQ427" s="1" t="n">
        <f aca="false">IF(B427="",0,IF(AND(ISNUMBER(S427),COUNTIF('⚖️ Wahrscheinlichkeit'!$B$6:$B$11,S427)&gt;0),1,0))</f>
        <v>0</v>
      </c>
      <c r="AR427" s="1" t="n">
        <f aca="false">IF(B427="",0,IF(AND(COUNT(J427:M427)=4,SUM(J427:M427)&gt;0),1,0))</f>
        <v>0</v>
      </c>
      <c r="AS427" s="1" t="n">
        <f aca="false">IF(B427="",0,IF(AND(AF427&lt;&gt;"",AG427&lt;&gt;""),1,0))</f>
        <v>0</v>
      </c>
      <c r="AT427" s="1" t="n">
        <f aca="false">IF(AND(R427="WON",AS427=1,AR427=1),1,0)</f>
        <v>0</v>
      </c>
      <c r="AU427" s="1" t="n">
        <f aca="false">IF(B427="",0,IF(AD427="Alternative – zählt nicht",0,1))</f>
        <v>0</v>
      </c>
      <c r="AV427" s="1" t="n">
        <f aca="false">IF(B427="",0,IF(COUNTIF($B$6:$B$860,B427)&gt;1,1,0))</f>
        <v>0</v>
      </c>
      <c r="AX427" s="269" t="str">
        <f aca="false">IF(AY427=1,DATE(YEAR(O427),MONTH(O427),1),"")</f>
        <v/>
      </c>
      <c r="AY427" s="1" t="n">
        <f aca="false">IF(B427="",0,IF(AND(ISNUMBER(O427),ISNUMBER(P427)),IF(P427&gt;=O427,1,0),0))</f>
        <v>0</v>
      </c>
      <c r="AZ427" s="1" t="n">
        <f aca="false">IF(ISNUMBER(Y427),Y427,0)</f>
        <v>0</v>
      </c>
      <c r="BA427" s="1" t="str">
        <f aca="false">IF(B427="","",IF(AND(R427="WON",AS427=0),"⛔ Beleg fehlt · ","")&amp;IF(AND(R427="WON",AR427=0),"⛔ Einstand fehlt · ","")&amp;IF(AND(R427&lt;&gt;"WON",AR427=0),"○ Einstand offen · ","")&amp;IF(AND(R427="WON",AB427=""),"⛔ Vertragsart fehlt · ","")&amp;IF(AND(ISNUMBER(O427),ISNUMBER(P427)),IF(P427&lt;O427,"⚠ Ende vor Start · ",""),"")&amp;IF(AND(R427="WON",AY427=0,NOT(AND(ISNUMBER(O427),ISNUMBER(P427)))),"⛔ Zeitraum fehlt · ","")&amp;IF(AND(R427&lt;&gt;"WON",AY427=0,NOT(AND(ISNUMBER(O427),ISNUMBER(P427)))),"○ Zeitraum offen · ",""))</f>
        <v/>
      </c>
      <c r="BB427" s="1" t="str">
        <f aca="false">IF(B427="","",IF(AND(R427="WON",AS427=0),"⛔ Nachweis fehlt",IF(AND(ISNUMBER(O427),ISNUMBER(P427),P427&lt;O427),"⚠ Ende vor Start",IF(AND(R427="WON",AY427=0),"⛔ Zeitraum fehlt",IF(AR427=0,"○ Einstand offen",IF(AY427=0,"○ Zeitraum offen",IF(R427="WON","✅ belegt","✔ erfasst")))))))</f>
        <v/>
      </c>
    </row>
    <row r="428" customFormat="false" ht="15" hidden="false" customHeight="true" outlineLevel="0" collapsed="false">
      <c r="G428" s="1" t="str">
        <f aca="false">IF(B428="","",IF(AY428=1,P428-O428+1,IF(AW428="","",AW428)))</f>
        <v/>
      </c>
      <c r="I428" s="270"/>
      <c r="J428" s="270"/>
      <c r="K428" s="270"/>
      <c r="L428" s="270"/>
      <c r="M428" s="270"/>
      <c r="N428" s="270"/>
      <c r="O428" s="263"/>
      <c r="P428" s="263"/>
      <c r="Q428" s="270" t="str">
        <f aca="false">IF(AND(ISNUMBER(I428),ISNUMBER(S428)),I428*AJ428,IF(OR(I428&lt;&gt;"",S428&lt;&gt;""),"tbd",""))</f>
        <v/>
      </c>
      <c r="S428" s="268"/>
      <c r="Y428" s="275" t="str">
        <f aca="false">IF(ISNUMBER(I428),I428/Netto_Faktor,"")</f>
        <v/>
      </c>
      <c r="Z428" s="275" t="str">
        <f aca="false">IF(B428="","",IF(COUNT(J428:N428)=0,"",SUM(J428:N428)))</f>
        <v/>
      </c>
      <c r="AA428" s="266"/>
      <c r="AB428" s="266"/>
      <c r="AC428" s="266"/>
      <c r="AD428" s="266"/>
      <c r="AE428" s="266"/>
      <c r="AF428" s="266"/>
      <c r="AG428" s="267"/>
      <c r="AH428" s="266" t="str">
        <f aca="false">IF(B428="","",IF(BA428="",IF(R428="WON","✅ belegt &amp; vollständig","✔ vollständig"),LEFT(BA428,LEN(BA428)-3)))</f>
        <v/>
      </c>
      <c r="AJ428" s="268" t="n">
        <f aca="false">IF(ISNUMBER(S428),IFERROR(LOOKUP(IF(S428&lt;=1,S428,S428/100),'⚖️ Wahrscheinlichkeit'!$B$17:$B$21,'⚖️ Wahrscheinlichkeit'!$D$17:$D$21),0),0)</f>
        <v>0</v>
      </c>
      <c r="AK428" s="1" t="str">
        <f aca="false">IF(AND(R428="WON",ISNUMBER(I428)),AL428+(861-ROW())*0.000001,"")</f>
        <v/>
      </c>
      <c r="AL428" s="1" t="n">
        <f aca="false">IFERROR(I428*1,0)</f>
        <v>0</v>
      </c>
      <c r="AM428" s="1" t="n">
        <f aca="false">N(AM427)+IF(AND(R428="WON",B428&lt;&gt;""),1,0)</f>
        <v>12</v>
      </c>
      <c r="AN428" s="1" t="n">
        <f aca="false">N(AN427)+IF(AND(OR(R428="offered",R428="to be offered",R428="on hold"),B428&lt;&gt;""),1,0)</f>
        <v>33</v>
      </c>
      <c r="AO428" s="1" t="n">
        <f aca="false">N(AO427)+IF(AND(OR(R428="follow-up",R428="Evaluation",R428="tbd",R428="In evaluation"),B428&lt;&gt;""),1,0)</f>
        <v>1</v>
      </c>
      <c r="AP428" s="1" t="n">
        <f aca="false">IF(B428="",0,IF(COUNTIF('⚖️ Wahrscheinlichkeit'!$J$17:$J$24,R428)&gt;0,1,0))</f>
        <v>0</v>
      </c>
      <c r="AQ428" s="1" t="n">
        <f aca="false">IF(B428="",0,IF(AND(ISNUMBER(S428),COUNTIF('⚖️ Wahrscheinlichkeit'!$B$6:$B$11,S428)&gt;0),1,0))</f>
        <v>0</v>
      </c>
      <c r="AR428" s="1" t="n">
        <f aca="false">IF(B428="",0,IF(AND(COUNT(J428:M428)=4,SUM(J428:M428)&gt;0),1,0))</f>
        <v>0</v>
      </c>
      <c r="AS428" s="1" t="n">
        <f aca="false">IF(B428="",0,IF(AND(AF428&lt;&gt;"",AG428&lt;&gt;""),1,0))</f>
        <v>0</v>
      </c>
      <c r="AT428" s="1" t="n">
        <f aca="false">IF(AND(R428="WON",AS428=1,AR428=1),1,0)</f>
        <v>0</v>
      </c>
      <c r="AU428" s="1" t="n">
        <f aca="false">IF(B428="",0,IF(AD428="Alternative – zählt nicht",0,1))</f>
        <v>0</v>
      </c>
      <c r="AV428" s="1" t="n">
        <f aca="false">IF(B428="",0,IF(COUNTIF($B$6:$B$860,B428)&gt;1,1,0))</f>
        <v>0</v>
      </c>
      <c r="AX428" s="269" t="str">
        <f aca="false">IF(AY428=1,DATE(YEAR(O428),MONTH(O428),1),"")</f>
        <v/>
      </c>
      <c r="AY428" s="1" t="n">
        <f aca="false">IF(B428="",0,IF(AND(ISNUMBER(O428),ISNUMBER(P428)),IF(P428&gt;=O428,1,0),0))</f>
        <v>0</v>
      </c>
      <c r="AZ428" s="1" t="n">
        <f aca="false">IF(ISNUMBER(Y428),Y428,0)</f>
        <v>0</v>
      </c>
      <c r="BA428" s="1" t="str">
        <f aca="false">IF(B428="","",IF(AND(R428="WON",AS428=0),"⛔ Beleg fehlt · ","")&amp;IF(AND(R428="WON",AR428=0),"⛔ Einstand fehlt · ","")&amp;IF(AND(R428&lt;&gt;"WON",AR428=0),"○ Einstand offen · ","")&amp;IF(AND(R428="WON",AB428=""),"⛔ Vertragsart fehlt · ","")&amp;IF(AND(ISNUMBER(O428),ISNUMBER(P428)),IF(P428&lt;O428,"⚠ Ende vor Start · ",""),"")&amp;IF(AND(R428="WON",AY428=0,NOT(AND(ISNUMBER(O428),ISNUMBER(P428)))),"⛔ Zeitraum fehlt · ","")&amp;IF(AND(R428&lt;&gt;"WON",AY428=0,NOT(AND(ISNUMBER(O428),ISNUMBER(P428)))),"○ Zeitraum offen · ",""))</f>
        <v/>
      </c>
      <c r="BB428" s="1" t="str">
        <f aca="false">IF(B428="","",IF(AND(R428="WON",AS428=0),"⛔ Nachweis fehlt",IF(AND(ISNUMBER(O428),ISNUMBER(P428),P428&lt;O428),"⚠ Ende vor Start",IF(AND(R428="WON",AY428=0),"⛔ Zeitraum fehlt",IF(AR428=0,"○ Einstand offen",IF(AY428=0,"○ Zeitraum offen",IF(R428="WON","✅ belegt","✔ erfasst")))))))</f>
        <v/>
      </c>
    </row>
    <row r="429" customFormat="false" ht="15" hidden="false" customHeight="true" outlineLevel="0" collapsed="false">
      <c r="G429" s="1" t="str">
        <f aca="false">IF(B429="","",IF(AY429=1,P429-O429+1,IF(AW429="","",AW429)))</f>
        <v/>
      </c>
      <c r="I429" s="270"/>
      <c r="J429" s="270"/>
      <c r="K429" s="270"/>
      <c r="L429" s="270"/>
      <c r="M429" s="270"/>
      <c r="N429" s="270"/>
      <c r="O429" s="263"/>
      <c r="P429" s="263"/>
      <c r="Q429" s="270" t="str">
        <f aca="false">IF(AND(ISNUMBER(I429),ISNUMBER(S429)),I429*AJ429,IF(OR(I429&lt;&gt;"",S429&lt;&gt;""),"tbd",""))</f>
        <v/>
      </c>
      <c r="S429" s="268"/>
      <c r="Y429" s="275" t="str">
        <f aca="false">IF(ISNUMBER(I429),I429/Netto_Faktor,"")</f>
        <v/>
      </c>
      <c r="Z429" s="275" t="str">
        <f aca="false">IF(B429="","",IF(COUNT(J429:N429)=0,"",SUM(J429:N429)))</f>
        <v/>
      </c>
      <c r="AA429" s="266"/>
      <c r="AB429" s="266"/>
      <c r="AC429" s="266"/>
      <c r="AD429" s="266"/>
      <c r="AE429" s="266"/>
      <c r="AF429" s="266"/>
      <c r="AG429" s="267"/>
      <c r="AH429" s="266" t="str">
        <f aca="false">IF(B429="","",IF(BA429="",IF(R429="WON","✅ belegt &amp; vollständig","✔ vollständig"),LEFT(BA429,LEN(BA429)-3)))</f>
        <v/>
      </c>
      <c r="AJ429" s="268" t="n">
        <f aca="false">IF(ISNUMBER(S429),IFERROR(LOOKUP(IF(S429&lt;=1,S429,S429/100),'⚖️ Wahrscheinlichkeit'!$B$17:$B$21,'⚖️ Wahrscheinlichkeit'!$D$17:$D$21),0),0)</f>
        <v>0</v>
      </c>
      <c r="AK429" s="1" t="str">
        <f aca="false">IF(AND(R429="WON",ISNUMBER(I429)),AL429+(861-ROW())*0.000001,"")</f>
        <v/>
      </c>
      <c r="AL429" s="1" t="n">
        <f aca="false">IFERROR(I429*1,0)</f>
        <v>0</v>
      </c>
      <c r="AM429" s="1" t="n">
        <f aca="false">N(AM428)+IF(AND(R429="WON",B429&lt;&gt;""),1,0)</f>
        <v>12</v>
      </c>
      <c r="AN429" s="1" t="n">
        <f aca="false">N(AN428)+IF(AND(OR(R429="offered",R429="to be offered",R429="on hold"),B429&lt;&gt;""),1,0)</f>
        <v>33</v>
      </c>
      <c r="AO429" s="1" t="n">
        <f aca="false">N(AO428)+IF(AND(OR(R429="follow-up",R429="Evaluation",R429="tbd",R429="In evaluation"),B429&lt;&gt;""),1,0)</f>
        <v>1</v>
      </c>
      <c r="AP429" s="1" t="n">
        <f aca="false">IF(B429="",0,IF(COUNTIF('⚖️ Wahrscheinlichkeit'!$J$17:$J$24,R429)&gt;0,1,0))</f>
        <v>0</v>
      </c>
      <c r="AQ429" s="1" t="n">
        <f aca="false">IF(B429="",0,IF(AND(ISNUMBER(S429),COUNTIF('⚖️ Wahrscheinlichkeit'!$B$6:$B$11,S429)&gt;0),1,0))</f>
        <v>0</v>
      </c>
      <c r="AR429" s="1" t="n">
        <f aca="false">IF(B429="",0,IF(AND(COUNT(J429:M429)=4,SUM(J429:M429)&gt;0),1,0))</f>
        <v>0</v>
      </c>
      <c r="AS429" s="1" t="n">
        <f aca="false">IF(B429="",0,IF(AND(AF429&lt;&gt;"",AG429&lt;&gt;""),1,0))</f>
        <v>0</v>
      </c>
      <c r="AT429" s="1" t="n">
        <f aca="false">IF(AND(R429="WON",AS429=1,AR429=1),1,0)</f>
        <v>0</v>
      </c>
      <c r="AU429" s="1" t="n">
        <f aca="false">IF(B429="",0,IF(AD429="Alternative – zählt nicht",0,1))</f>
        <v>0</v>
      </c>
      <c r="AV429" s="1" t="n">
        <f aca="false">IF(B429="",0,IF(COUNTIF($B$6:$B$860,B429)&gt;1,1,0))</f>
        <v>0</v>
      </c>
      <c r="AX429" s="269" t="str">
        <f aca="false">IF(AY429=1,DATE(YEAR(O429),MONTH(O429),1),"")</f>
        <v/>
      </c>
      <c r="AY429" s="1" t="n">
        <f aca="false">IF(B429="",0,IF(AND(ISNUMBER(O429),ISNUMBER(P429)),IF(P429&gt;=O429,1,0),0))</f>
        <v>0</v>
      </c>
      <c r="AZ429" s="1" t="n">
        <f aca="false">IF(ISNUMBER(Y429),Y429,0)</f>
        <v>0</v>
      </c>
      <c r="BA429" s="1" t="str">
        <f aca="false">IF(B429="","",IF(AND(R429="WON",AS429=0),"⛔ Beleg fehlt · ","")&amp;IF(AND(R429="WON",AR429=0),"⛔ Einstand fehlt · ","")&amp;IF(AND(R429&lt;&gt;"WON",AR429=0),"○ Einstand offen · ","")&amp;IF(AND(R429="WON",AB429=""),"⛔ Vertragsart fehlt · ","")&amp;IF(AND(ISNUMBER(O429),ISNUMBER(P429)),IF(P429&lt;O429,"⚠ Ende vor Start · ",""),"")&amp;IF(AND(R429="WON",AY429=0,NOT(AND(ISNUMBER(O429),ISNUMBER(P429)))),"⛔ Zeitraum fehlt · ","")&amp;IF(AND(R429&lt;&gt;"WON",AY429=0,NOT(AND(ISNUMBER(O429),ISNUMBER(P429)))),"○ Zeitraum offen · ",""))</f>
        <v/>
      </c>
      <c r="BB429" s="1" t="str">
        <f aca="false">IF(B429="","",IF(AND(R429="WON",AS429=0),"⛔ Nachweis fehlt",IF(AND(ISNUMBER(O429),ISNUMBER(P429),P429&lt;O429),"⚠ Ende vor Start",IF(AND(R429="WON",AY429=0),"⛔ Zeitraum fehlt",IF(AR429=0,"○ Einstand offen",IF(AY429=0,"○ Zeitraum offen",IF(R429="WON","✅ belegt","✔ erfasst")))))))</f>
        <v/>
      </c>
    </row>
    <row r="430" customFormat="false" ht="15" hidden="false" customHeight="true" outlineLevel="0" collapsed="false">
      <c r="G430" s="1" t="str">
        <f aca="false">IF(B430="","",IF(AY430=1,P430-O430+1,IF(AW430="","",AW430)))</f>
        <v/>
      </c>
      <c r="I430" s="270"/>
      <c r="J430" s="270"/>
      <c r="K430" s="270"/>
      <c r="L430" s="270"/>
      <c r="M430" s="270"/>
      <c r="N430" s="270"/>
      <c r="O430" s="263"/>
      <c r="P430" s="263"/>
      <c r="Q430" s="270" t="str">
        <f aca="false">IF(AND(ISNUMBER(I430),ISNUMBER(S430)),I430*AJ430,IF(OR(I430&lt;&gt;"",S430&lt;&gt;""),"tbd",""))</f>
        <v/>
      </c>
      <c r="S430" s="268"/>
      <c r="Y430" s="275" t="str">
        <f aca="false">IF(ISNUMBER(I430),I430/Netto_Faktor,"")</f>
        <v/>
      </c>
      <c r="Z430" s="275" t="str">
        <f aca="false">IF(B430="","",IF(COUNT(J430:N430)=0,"",SUM(J430:N430)))</f>
        <v/>
      </c>
      <c r="AA430" s="266"/>
      <c r="AB430" s="266"/>
      <c r="AC430" s="266"/>
      <c r="AD430" s="266"/>
      <c r="AE430" s="266"/>
      <c r="AF430" s="266"/>
      <c r="AG430" s="267"/>
      <c r="AH430" s="266" t="str">
        <f aca="false">IF(B430="","",IF(BA430="",IF(R430="WON","✅ belegt &amp; vollständig","✔ vollständig"),LEFT(BA430,LEN(BA430)-3)))</f>
        <v/>
      </c>
      <c r="AJ430" s="268" t="n">
        <f aca="false">IF(ISNUMBER(S430),IFERROR(LOOKUP(IF(S430&lt;=1,S430,S430/100),'⚖️ Wahrscheinlichkeit'!$B$17:$B$21,'⚖️ Wahrscheinlichkeit'!$D$17:$D$21),0),0)</f>
        <v>0</v>
      </c>
      <c r="AK430" s="1" t="str">
        <f aca="false">IF(AND(R430="WON",ISNUMBER(I430)),AL430+(861-ROW())*0.000001,"")</f>
        <v/>
      </c>
      <c r="AL430" s="1" t="n">
        <f aca="false">IFERROR(I430*1,0)</f>
        <v>0</v>
      </c>
      <c r="AM430" s="1" t="n">
        <f aca="false">N(AM429)+IF(AND(R430="WON",B430&lt;&gt;""),1,0)</f>
        <v>12</v>
      </c>
      <c r="AN430" s="1" t="n">
        <f aca="false">N(AN429)+IF(AND(OR(R430="offered",R430="to be offered",R430="on hold"),B430&lt;&gt;""),1,0)</f>
        <v>33</v>
      </c>
      <c r="AO430" s="1" t="n">
        <f aca="false">N(AO429)+IF(AND(OR(R430="follow-up",R430="Evaluation",R430="tbd",R430="In evaluation"),B430&lt;&gt;""),1,0)</f>
        <v>1</v>
      </c>
      <c r="AP430" s="1" t="n">
        <f aca="false">IF(B430="",0,IF(COUNTIF('⚖️ Wahrscheinlichkeit'!$J$17:$J$24,R430)&gt;0,1,0))</f>
        <v>0</v>
      </c>
      <c r="AQ430" s="1" t="n">
        <f aca="false">IF(B430="",0,IF(AND(ISNUMBER(S430),COUNTIF('⚖️ Wahrscheinlichkeit'!$B$6:$B$11,S430)&gt;0),1,0))</f>
        <v>0</v>
      </c>
      <c r="AR430" s="1" t="n">
        <f aca="false">IF(B430="",0,IF(AND(COUNT(J430:M430)=4,SUM(J430:M430)&gt;0),1,0))</f>
        <v>0</v>
      </c>
      <c r="AS430" s="1" t="n">
        <f aca="false">IF(B430="",0,IF(AND(AF430&lt;&gt;"",AG430&lt;&gt;""),1,0))</f>
        <v>0</v>
      </c>
      <c r="AT430" s="1" t="n">
        <f aca="false">IF(AND(R430="WON",AS430=1,AR430=1),1,0)</f>
        <v>0</v>
      </c>
      <c r="AU430" s="1" t="n">
        <f aca="false">IF(B430="",0,IF(AD430="Alternative – zählt nicht",0,1))</f>
        <v>0</v>
      </c>
      <c r="AV430" s="1" t="n">
        <f aca="false">IF(B430="",0,IF(COUNTIF($B$6:$B$860,B430)&gt;1,1,0))</f>
        <v>0</v>
      </c>
      <c r="AX430" s="269" t="str">
        <f aca="false">IF(AY430=1,DATE(YEAR(O430),MONTH(O430),1),"")</f>
        <v/>
      </c>
      <c r="AY430" s="1" t="n">
        <f aca="false">IF(B430="",0,IF(AND(ISNUMBER(O430),ISNUMBER(P430)),IF(P430&gt;=O430,1,0),0))</f>
        <v>0</v>
      </c>
      <c r="AZ430" s="1" t="n">
        <f aca="false">IF(ISNUMBER(Y430),Y430,0)</f>
        <v>0</v>
      </c>
      <c r="BA430" s="1" t="str">
        <f aca="false">IF(B430="","",IF(AND(R430="WON",AS430=0),"⛔ Beleg fehlt · ","")&amp;IF(AND(R430="WON",AR430=0),"⛔ Einstand fehlt · ","")&amp;IF(AND(R430&lt;&gt;"WON",AR430=0),"○ Einstand offen · ","")&amp;IF(AND(R430="WON",AB430=""),"⛔ Vertragsart fehlt · ","")&amp;IF(AND(ISNUMBER(O430),ISNUMBER(P430)),IF(P430&lt;O430,"⚠ Ende vor Start · ",""),"")&amp;IF(AND(R430="WON",AY430=0,NOT(AND(ISNUMBER(O430),ISNUMBER(P430)))),"⛔ Zeitraum fehlt · ","")&amp;IF(AND(R430&lt;&gt;"WON",AY430=0,NOT(AND(ISNUMBER(O430),ISNUMBER(P430)))),"○ Zeitraum offen · ",""))</f>
        <v/>
      </c>
      <c r="BB430" s="1" t="str">
        <f aca="false">IF(B430="","",IF(AND(R430="WON",AS430=0),"⛔ Nachweis fehlt",IF(AND(ISNUMBER(O430),ISNUMBER(P430),P430&lt;O430),"⚠ Ende vor Start",IF(AND(R430="WON",AY430=0),"⛔ Zeitraum fehlt",IF(AR430=0,"○ Einstand offen",IF(AY430=0,"○ Zeitraum offen",IF(R430="WON","✅ belegt","✔ erfasst")))))))</f>
        <v/>
      </c>
    </row>
    <row r="431" customFormat="false" ht="15" hidden="false" customHeight="true" outlineLevel="0" collapsed="false">
      <c r="G431" s="1" t="str">
        <f aca="false">IF(B431="","",IF(AY431=1,P431-O431+1,IF(AW431="","",AW431)))</f>
        <v/>
      </c>
      <c r="I431" s="270"/>
      <c r="J431" s="270"/>
      <c r="K431" s="270"/>
      <c r="L431" s="270"/>
      <c r="M431" s="270"/>
      <c r="N431" s="270"/>
      <c r="O431" s="263"/>
      <c r="P431" s="263"/>
      <c r="Q431" s="270" t="str">
        <f aca="false">IF(AND(ISNUMBER(I431),ISNUMBER(S431)),I431*AJ431,IF(OR(I431&lt;&gt;"",S431&lt;&gt;""),"tbd",""))</f>
        <v/>
      </c>
      <c r="S431" s="268"/>
      <c r="Y431" s="275" t="str">
        <f aca="false">IF(ISNUMBER(I431),I431/Netto_Faktor,"")</f>
        <v/>
      </c>
      <c r="Z431" s="275" t="str">
        <f aca="false">IF(B431="","",IF(COUNT(J431:N431)=0,"",SUM(J431:N431)))</f>
        <v/>
      </c>
      <c r="AA431" s="266"/>
      <c r="AB431" s="266"/>
      <c r="AC431" s="266"/>
      <c r="AD431" s="266"/>
      <c r="AE431" s="266"/>
      <c r="AF431" s="266"/>
      <c r="AG431" s="267"/>
      <c r="AH431" s="266" t="str">
        <f aca="false">IF(B431="","",IF(BA431="",IF(R431="WON","✅ belegt &amp; vollständig","✔ vollständig"),LEFT(BA431,LEN(BA431)-3)))</f>
        <v/>
      </c>
      <c r="AJ431" s="268" t="n">
        <f aca="false">IF(ISNUMBER(S431),IFERROR(LOOKUP(IF(S431&lt;=1,S431,S431/100),'⚖️ Wahrscheinlichkeit'!$B$17:$B$21,'⚖️ Wahrscheinlichkeit'!$D$17:$D$21),0),0)</f>
        <v>0</v>
      </c>
      <c r="AK431" s="1" t="str">
        <f aca="false">IF(AND(R431="WON",ISNUMBER(I431)),AL431+(861-ROW())*0.000001,"")</f>
        <v/>
      </c>
      <c r="AL431" s="1" t="n">
        <f aca="false">IFERROR(I431*1,0)</f>
        <v>0</v>
      </c>
      <c r="AM431" s="1" t="n">
        <f aca="false">N(AM430)+IF(AND(R431="WON",B431&lt;&gt;""),1,0)</f>
        <v>12</v>
      </c>
      <c r="AN431" s="1" t="n">
        <f aca="false">N(AN430)+IF(AND(OR(R431="offered",R431="to be offered",R431="on hold"),B431&lt;&gt;""),1,0)</f>
        <v>33</v>
      </c>
      <c r="AO431" s="1" t="n">
        <f aca="false">N(AO430)+IF(AND(OR(R431="follow-up",R431="Evaluation",R431="tbd",R431="In evaluation"),B431&lt;&gt;""),1,0)</f>
        <v>1</v>
      </c>
      <c r="AP431" s="1" t="n">
        <f aca="false">IF(B431="",0,IF(COUNTIF('⚖️ Wahrscheinlichkeit'!$J$17:$J$24,R431)&gt;0,1,0))</f>
        <v>0</v>
      </c>
      <c r="AQ431" s="1" t="n">
        <f aca="false">IF(B431="",0,IF(AND(ISNUMBER(S431),COUNTIF('⚖️ Wahrscheinlichkeit'!$B$6:$B$11,S431)&gt;0),1,0))</f>
        <v>0</v>
      </c>
      <c r="AR431" s="1" t="n">
        <f aca="false">IF(B431="",0,IF(AND(COUNT(J431:M431)=4,SUM(J431:M431)&gt;0),1,0))</f>
        <v>0</v>
      </c>
      <c r="AS431" s="1" t="n">
        <f aca="false">IF(B431="",0,IF(AND(AF431&lt;&gt;"",AG431&lt;&gt;""),1,0))</f>
        <v>0</v>
      </c>
      <c r="AT431" s="1" t="n">
        <f aca="false">IF(AND(R431="WON",AS431=1,AR431=1),1,0)</f>
        <v>0</v>
      </c>
      <c r="AU431" s="1" t="n">
        <f aca="false">IF(B431="",0,IF(AD431="Alternative – zählt nicht",0,1))</f>
        <v>0</v>
      </c>
      <c r="AV431" s="1" t="n">
        <f aca="false">IF(B431="",0,IF(COUNTIF($B$6:$B$860,B431)&gt;1,1,0))</f>
        <v>0</v>
      </c>
      <c r="AX431" s="269" t="str">
        <f aca="false">IF(AY431=1,DATE(YEAR(O431),MONTH(O431),1),"")</f>
        <v/>
      </c>
      <c r="AY431" s="1" t="n">
        <f aca="false">IF(B431="",0,IF(AND(ISNUMBER(O431),ISNUMBER(P431)),IF(P431&gt;=O431,1,0),0))</f>
        <v>0</v>
      </c>
      <c r="AZ431" s="1" t="n">
        <f aca="false">IF(ISNUMBER(Y431),Y431,0)</f>
        <v>0</v>
      </c>
      <c r="BA431" s="1" t="str">
        <f aca="false">IF(B431="","",IF(AND(R431="WON",AS431=0),"⛔ Beleg fehlt · ","")&amp;IF(AND(R431="WON",AR431=0),"⛔ Einstand fehlt · ","")&amp;IF(AND(R431&lt;&gt;"WON",AR431=0),"○ Einstand offen · ","")&amp;IF(AND(R431="WON",AB431=""),"⛔ Vertragsart fehlt · ","")&amp;IF(AND(ISNUMBER(O431),ISNUMBER(P431)),IF(P431&lt;O431,"⚠ Ende vor Start · ",""),"")&amp;IF(AND(R431="WON",AY431=0,NOT(AND(ISNUMBER(O431),ISNUMBER(P431)))),"⛔ Zeitraum fehlt · ","")&amp;IF(AND(R431&lt;&gt;"WON",AY431=0,NOT(AND(ISNUMBER(O431),ISNUMBER(P431)))),"○ Zeitraum offen · ",""))</f>
        <v/>
      </c>
      <c r="BB431" s="1" t="str">
        <f aca="false">IF(B431="","",IF(AND(R431="WON",AS431=0),"⛔ Nachweis fehlt",IF(AND(ISNUMBER(O431),ISNUMBER(P431),P431&lt;O431),"⚠ Ende vor Start",IF(AND(R431="WON",AY431=0),"⛔ Zeitraum fehlt",IF(AR431=0,"○ Einstand offen",IF(AY431=0,"○ Zeitraum offen",IF(R431="WON","✅ belegt","✔ erfasst")))))))</f>
        <v/>
      </c>
    </row>
    <row r="432" customFormat="false" ht="15" hidden="false" customHeight="true" outlineLevel="0" collapsed="false">
      <c r="G432" s="1" t="str">
        <f aca="false">IF(B432="","",IF(AY432=1,P432-O432+1,IF(AW432="","",AW432)))</f>
        <v/>
      </c>
      <c r="I432" s="270"/>
      <c r="J432" s="270"/>
      <c r="K432" s="270"/>
      <c r="L432" s="270"/>
      <c r="M432" s="270"/>
      <c r="N432" s="270"/>
      <c r="O432" s="263"/>
      <c r="P432" s="263"/>
      <c r="Q432" s="270" t="str">
        <f aca="false">IF(AND(ISNUMBER(I432),ISNUMBER(S432)),I432*AJ432,IF(OR(I432&lt;&gt;"",S432&lt;&gt;""),"tbd",""))</f>
        <v/>
      </c>
      <c r="S432" s="268"/>
      <c r="Y432" s="275" t="str">
        <f aca="false">IF(ISNUMBER(I432),I432/Netto_Faktor,"")</f>
        <v/>
      </c>
      <c r="Z432" s="275" t="str">
        <f aca="false">IF(B432="","",IF(COUNT(J432:N432)=0,"",SUM(J432:N432)))</f>
        <v/>
      </c>
      <c r="AA432" s="266"/>
      <c r="AB432" s="266"/>
      <c r="AC432" s="266"/>
      <c r="AD432" s="266"/>
      <c r="AE432" s="266"/>
      <c r="AF432" s="266"/>
      <c r="AG432" s="267"/>
      <c r="AH432" s="266" t="str">
        <f aca="false">IF(B432="","",IF(BA432="",IF(R432="WON","✅ belegt &amp; vollständig","✔ vollständig"),LEFT(BA432,LEN(BA432)-3)))</f>
        <v/>
      </c>
      <c r="AJ432" s="268" t="n">
        <f aca="false">IF(ISNUMBER(S432),IFERROR(LOOKUP(IF(S432&lt;=1,S432,S432/100),'⚖️ Wahrscheinlichkeit'!$B$17:$B$21,'⚖️ Wahrscheinlichkeit'!$D$17:$D$21),0),0)</f>
        <v>0</v>
      </c>
      <c r="AK432" s="1" t="str">
        <f aca="false">IF(AND(R432="WON",ISNUMBER(I432)),AL432+(861-ROW())*0.000001,"")</f>
        <v/>
      </c>
      <c r="AL432" s="1" t="n">
        <f aca="false">IFERROR(I432*1,0)</f>
        <v>0</v>
      </c>
      <c r="AM432" s="1" t="n">
        <f aca="false">N(AM431)+IF(AND(R432="WON",B432&lt;&gt;""),1,0)</f>
        <v>12</v>
      </c>
      <c r="AN432" s="1" t="n">
        <f aca="false">N(AN431)+IF(AND(OR(R432="offered",R432="to be offered",R432="on hold"),B432&lt;&gt;""),1,0)</f>
        <v>33</v>
      </c>
      <c r="AO432" s="1" t="n">
        <f aca="false">N(AO431)+IF(AND(OR(R432="follow-up",R432="Evaluation",R432="tbd",R432="In evaluation"),B432&lt;&gt;""),1,0)</f>
        <v>1</v>
      </c>
      <c r="AP432" s="1" t="n">
        <f aca="false">IF(B432="",0,IF(COUNTIF('⚖️ Wahrscheinlichkeit'!$J$17:$J$24,R432)&gt;0,1,0))</f>
        <v>0</v>
      </c>
      <c r="AQ432" s="1" t="n">
        <f aca="false">IF(B432="",0,IF(AND(ISNUMBER(S432),COUNTIF('⚖️ Wahrscheinlichkeit'!$B$6:$B$11,S432)&gt;0),1,0))</f>
        <v>0</v>
      </c>
      <c r="AR432" s="1" t="n">
        <f aca="false">IF(B432="",0,IF(AND(COUNT(J432:M432)=4,SUM(J432:M432)&gt;0),1,0))</f>
        <v>0</v>
      </c>
      <c r="AS432" s="1" t="n">
        <f aca="false">IF(B432="",0,IF(AND(AF432&lt;&gt;"",AG432&lt;&gt;""),1,0))</f>
        <v>0</v>
      </c>
      <c r="AT432" s="1" t="n">
        <f aca="false">IF(AND(R432="WON",AS432=1,AR432=1),1,0)</f>
        <v>0</v>
      </c>
      <c r="AU432" s="1" t="n">
        <f aca="false">IF(B432="",0,IF(AD432="Alternative – zählt nicht",0,1))</f>
        <v>0</v>
      </c>
      <c r="AV432" s="1" t="n">
        <f aca="false">IF(B432="",0,IF(COUNTIF($B$6:$B$860,B432)&gt;1,1,0))</f>
        <v>0</v>
      </c>
      <c r="AX432" s="269" t="str">
        <f aca="false">IF(AY432=1,DATE(YEAR(O432),MONTH(O432),1),"")</f>
        <v/>
      </c>
      <c r="AY432" s="1" t="n">
        <f aca="false">IF(B432="",0,IF(AND(ISNUMBER(O432),ISNUMBER(P432)),IF(P432&gt;=O432,1,0),0))</f>
        <v>0</v>
      </c>
      <c r="AZ432" s="1" t="n">
        <f aca="false">IF(ISNUMBER(Y432),Y432,0)</f>
        <v>0</v>
      </c>
      <c r="BA432" s="1" t="str">
        <f aca="false">IF(B432="","",IF(AND(R432="WON",AS432=0),"⛔ Beleg fehlt · ","")&amp;IF(AND(R432="WON",AR432=0),"⛔ Einstand fehlt · ","")&amp;IF(AND(R432&lt;&gt;"WON",AR432=0),"○ Einstand offen · ","")&amp;IF(AND(R432="WON",AB432=""),"⛔ Vertragsart fehlt · ","")&amp;IF(AND(ISNUMBER(O432),ISNUMBER(P432)),IF(P432&lt;O432,"⚠ Ende vor Start · ",""),"")&amp;IF(AND(R432="WON",AY432=0,NOT(AND(ISNUMBER(O432),ISNUMBER(P432)))),"⛔ Zeitraum fehlt · ","")&amp;IF(AND(R432&lt;&gt;"WON",AY432=0,NOT(AND(ISNUMBER(O432),ISNUMBER(P432)))),"○ Zeitraum offen · ",""))</f>
        <v/>
      </c>
      <c r="BB432" s="1" t="str">
        <f aca="false">IF(B432="","",IF(AND(R432="WON",AS432=0),"⛔ Nachweis fehlt",IF(AND(ISNUMBER(O432),ISNUMBER(P432),P432&lt;O432),"⚠ Ende vor Start",IF(AND(R432="WON",AY432=0),"⛔ Zeitraum fehlt",IF(AR432=0,"○ Einstand offen",IF(AY432=0,"○ Zeitraum offen",IF(R432="WON","✅ belegt","✔ erfasst")))))))</f>
        <v/>
      </c>
    </row>
    <row r="433" customFormat="false" ht="15" hidden="false" customHeight="true" outlineLevel="0" collapsed="false">
      <c r="G433" s="1" t="str">
        <f aca="false">IF(B433="","",IF(AY433=1,P433-O433+1,IF(AW433="","",AW433)))</f>
        <v/>
      </c>
      <c r="I433" s="270"/>
      <c r="J433" s="270"/>
      <c r="K433" s="270"/>
      <c r="L433" s="270"/>
      <c r="M433" s="270"/>
      <c r="N433" s="270"/>
      <c r="O433" s="263"/>
      <c r="P433" s="263"/>
      <c r="Q433" s="270" t="str">
        <f aca="false">IF(AND(ISNUMBER(I433),ISNUMBER(S433)),I433*AJ433,IF(OR(I433&lt;&gt;"",S433&lt;&gt;""),"tbd",""))</f>
        <v/>
      </c>
      <c r="S433" s="268"/>
      <c r="Y433" s="275" t="str">
        <f aca="false">IF(ISNUMBER(I433),I433/Netto_Faktor,"")</f>
        <v/>
      </c>
      <c r="Z433" s="275" t="str">
        <f aca="false">IF(B433="","",IF(COUNT(J433:N433)=0,"",SUM(J433:N433)))</f>
        <v/>
      </c>
      <c r="AA433" s="266"/>
      <c r="AB433" s="266"/>
      <c r="AC433" s="266"/>
      <c r="AD433" s="266"/>
      <c r="AE433" s="266"/>
      <c r="AF433" s="266"/>
      <c r="AG433" s="267"/>
      <c r="AH433" s="266" t="str">
        <f aca="false">IF(B433="","",IF(BA433="",IF(R433="WON","✅ belegt &amp; vollständig","✔ vollständig"),LEFT(BA433,LEN(BA433)-3)))</f>
        <v/>
      </c>
      <c r="AJ433" s="268" t="n">
        <f aca="false">IF(ISNUMBER(S433),IFERROR(LOOKUP(IF(S433&lt;=1,S433,S433/100),'⚖️ Wahrscheinlichkeit'!$B$17:$B$21,'⚖️ Wahrscheinlichkeit'!$D$17:$D$21),0),0)</f>
        <v>0</v>
      </c>
      <c r="AK433" s="1" t="str">
        <f aca="false">IF(AND(R433="WON",ISNUMBER(I433)),AL433+(861-ROW())*0.000001,"")</f>
        <v/>
      </c>
      <c r="AL433" s="1" t="n">
        <f aca="false">IFERROR(I433*1,0)</f>
        <v>0</v>
      </c>
      <c r="AM433" s="1" t="n">
        <f aca="false">N(AM432)+IF(AND(R433="WON",B433&lt;&gt;""),1,0)</f>
        <v>12</v>
      </c>
      <c r="AN433" s="1" t="n">
        <f aca="false">N(AN432)+IF(AND(OR(R433="offered",R433="to be offered",R433="on hold"),B433&lt;&gt;""),1,0)</f>
        <v>33</v>
      </c>
      <c r="AO433" s="1" t="n">
        <f aca="false">N(AO432)+IF(AND(OR(R433="follow-up",R433="Evaluation",R433="tbd",R433="In evaluation"),B433&lt;&gt;""),1,0)</f>
        <v>1</v>
      </c>
      <c r="AP433" s="1" t="n">
        <f aca="false">IF(B433="",0,IF(COUNTIF('⚖️ Wahrscheinlichkeit'!$J$17:$J$24,R433)&gt;0,1,0))</f>
        <v>0</v>
      </c>
      <c r="AQ433" s="1" t="n">
        <f aca="false">IF(B433="",0,IF(AND(ISNUMBER(S433),COUNTIF('⚖️ Wahrscheinlichkeit'!$B$6:$B$11,S433)&gt;0),1,0))</f>
        <v>0</v>
      </c>
      <c r="AR433" s="1" t="n">
        <f aca="false">IF(B433="",0,IF(AND(COUNT(J433:M433)=4,SUM(J433:M433)&gt;0),1,0))</f>
        <v>0</v>
      </c>
      <c r="AS433" s="1" t="n">
        <f aca="false">IF(B433="",0,IF(AND(AF433&lt;&gt;"",AG433&lt;&gt;""),1,0))</f>
        <v>0</v>
      </c>
      <c r="AT433" s="1" t="n">
        <f aca="false">IF(AND(R433="WON",AS433=1,AR433=1),1,0)</f>
        <v>0</v>
      </c>
      <c r="AU433" s="1" t="n">
        <f aca="false">IF(B433="",0,IF(AD433="Alternative – zählt nicht",0,1))</f>
        <v>0</v>
      </c>
      <c r="AV433" s="1" t="n">
        <f aca="false">IF(B433="",0,IF(COUNTIF($B$6:$B$860,B433)&gt;1,1,0))</f>
        <v>0</v>
      </c>
      <c r="AX433" s="269" t="str">
        <f aca="false">IF(AY433=1,DATE(YEAR(O433),MONTH(O433),1),"")</f>
        <v/>
      </c>
      <c r="AY433" s="1" t="n">
        <f aca="false">IF(B433="",0,IF(AND(ISNUMBER(O433),ISNUMBER(P433)),IF(P433&gt;=O433,1,0),0))</f>
        <v>0</v>
      </c>
      <c r="AZ433" s="1" t="n">
        <f aca="false">IF(ISNUMBER(Y433),Y433,0)</f>
        <v>0</v>
      </c>
      <c r="BA433" s="1" t="str">
        <f aca="false">IF(B433="","",IF(AND(R433="WON",AS433=0),"⛔ Beleg fehlt · ","")&amp;IF(AND(R433="WON",AR433=0),"⛔ Einstand fehlt · ","")&amp;IF(AND(R433&lt;&gt;"WON",AR433=0),"○ Einstand offen · ","")&amp;IF(AND(R433="WON",AB433=""),"⛔ Vertragsart fehlt · ","")&amp;IF(AND(ISNUMBER(O433),ISNUMBER(P433)),IF(P433&lt;O433,"⚠ Ende vor Start · ",""),"")&amp;IF(AND(R433="WON",AY433=0,NOT(AND(ISNUMBER(O433),ISNUMBER(P433)))),"⛔ Zeitraum fehlt · ","")&amp;IF(AND(R433&lt;&gt;"WON",AY433=0,NOT(AND(ISNUMBER(O433),ISNUMBER(P433)))),"○ Zeitraum offen · ",""))</f>
        <v/>
      </c>
      <c r="BB433" s="1" t="str">
        <f aca="false">IF(B433="","",IF(AND(R433="WON",AS433=0),"⛔ Nachweis fehlt",IF(AND(ISNUMBER(O433),ISNUMBER(P433),P433&lt;O433),"⚠ Ende vor Start",IF(AND(R433="WON",AY433=0),"⛔ Zeitraum fehlt",IF(AR433=0,"○ Einstand offen",IF(AY433=0,"○ Zeitraum offen",IF(R433="WON","✅ belegt","✔ erfasst")))))))</f>
        <v/>
      </c>
    </row>
    <row r="434" customFormat="false" ht="15" hidden="false" customHeight="true" outlineLevel="0" collapsed="false">
      <c r="G434" s="1" t="str">
        <f aca="false">IF(B434="","",IF(AY434=1,P434-O434+1,IF(AW434="","",AW434)))</f>
        <v/>
      </c>
      <c r="I434" s="270"/>
      <c r="J434" s="270"/>
      <c r="K434" s="270"/>
      <c r="L434" s="270"/>
      <c r="M434" s="270"/>
      <c r="N434" s="270"/>
      <c r="O434" s="263"/>
      <c r="P434" s="263"/>
      <c r="Q434" s="270" t="str">
        <f aca="false">IF(AND(ISNUMBER(I434),ISNUMBER(S434)),I434*AJ434,IF(OR(I434&lt;&gt;"",S434&lt;&gt;""),"tbd",""))</f>
        <v/>
      </c>
      <c r="S434" s="268"/>
      <c r="Y434" s="275" t="str">
        <f aca="false">IF(ISNUMBER(I434),I434/Netto_Faktor,"")</f>
        <v/>
      </c>
      <c r="Z434" s="275" t="str">
        <f aca="false">IF(B434="","",IF(COUNT(J434:N434)=0,"",SUM(J434:N434)))</f>
        <v/>
      </c>
      <c r="AA434" s="266"/>
      <c r="AB434" s="266"/>
      <c r="AC434" s="266"/>
      <c r="AD434" s="266"/>
      <c r="AE434" s="266"/>
      <c r="AF434" s="266"/>
      <c r="AG434" s="267"/>
      <c r="AH434" s="266" t="str">
        <f aca="false">IF(B434="","",IF(BA434="",IF(R434="WON","✅ belegt &amp; vollständig","✔ vollständig"),LEFT(BA434,LEN(BA434)-3)))</f>
        <v/>
      </c>
      <c r="AJ434" s="268" t="n">
        <f aca="false">IF(ISNUMBER(S434),IFERROR(LOOKUP(IF(S434&lt;=1,S434,S434/100),'⚖️ Wahrscheinlichkeit'!$B$17:$B$21,'⚖️ Wahrscheinlichkeit'!$D$17:$D$21),0),0)</f>
        <v>0</v>
      </c>
      <c r="AK434" s="1" t="str">
        <f aca="false">IF(AND(R434="WON",ISNUMBER(I434)),AL434+(861-ROW())*0.000001,"")</f>
        <v/>
      </c>
      <c r="AL434" s="1" t="n">
        <f aca="false">IFERROR(I434*1,0)</f>
        <v>0</v>
      </c>
      <c r="AM434" s="1" t="n">
        <f aca="false">N(AM433)+IF(AND(R434="WON",B434&lt;&gt;""),1,0)</f>
        <v>12</v>
      </c>
      <c r="AN434" s="1" t="n">
        <f aca="false">N(AN433)+IF(AND(OR(R434="offered",R434="to be offered",R434="on hold"),B434&lt;&gt;""),1,0)</f>
        <v>33</v>
      </c>
      <c r="AO434" s="1" t="n">
        <f aca="false">N(AO433)+IF(AND(OR(R434="follow-up",R434="Evaluation",R434="tbd",R434="In evaluation"),B434&lt;&gt;""),1,0)</f>
        <v>1</v>
      </c>
      <c r="AP434" s="1" t="n">
        <f aca="false">IF(B434="",0,IF(COUNTIF('⚖️ Wahrscheinlichkeit'!$J$17:$J$24,R434)&gt;0,1,0))</f>
        <v>0</v>
      </c>
      <c r="AQ434" s="1" t="n">
        <f aca="false">IF(B434="",0,IF(AND(ISNUMBER(S434),COUNTIF('⚖️ Wahrscheinlichkeit'!$B$6:$B$11,S434)&gt;0),1,0))</f>
        <v>0</v>
      </c>
      <c r="AR434" s="1" t="n">
        <f aca="false">IF(B434="",0,IF(AND(COUNT(J434:M434)=4,SUM(J434:M434)&gt;0),1,0))</f>
        <v>0</v>
      </c>
      <c r="AS434" s="1" t="n">
        <f aca="false">IF(B434="",0,IF(AND(AF434&lt;&gt;"",AG434&lt;&gt;""),1,0))</f>
        <v>0</v>
      </c>
      <c r="AT434" s="1" t="n">
        <f aca="false">IF(AND(R434="WON",AS434=1,AR434=1),1,0)</f>
        <v>0</v>
      </c>
      <c r="AU434" s="1" t="n">
        <f aca="false">IF(B434="",0,IF(AD434="Alternative – zählt nicht",0,1))</f>
        <v>0</v>
      </c>
      <c r="AV434" s="1" t="n">
        <f aca="false">IF(B434="",0,IF(COUNTIF($B$6:$B$860,B434)&gt;1,1,0))</f>
        <v>0</v>
      </c>
      <c r="AX434" s="269" t="str">
        <f aca="false">IF(AY434=1,DATE(YEAR(O434),MONTH(O434),1),"")</f>
        <v/>
      </c>
      <c r="AY434" s="1" t="n">
        <f aca="false">IF(B434="",0,IF(AND(ISNUMBER(O434),ISNUMBER(P434)),IF(P434&gt;=O434,1,0),0))</f>
        <v>0</v>
      </c>
      <c r="AZ434" s="1" t="n">
        <f aca="false">IF(ISNUMBER(Y434),Y434,0)</f>
        <v>0</v>
      </c>
      <c r="BA434" s="1" t="str">
        <f aca="false">IF(B434="","",IF(AND(R434="WON",AS434=0),"⛔ Beleg fehlt · ","")&amp;IF(AND(R434="WON",AR434=0),"⛔ Einstand fehlt · ","")&amp;IF(AND(R434&lt;&gt;"WON",AR434=0),"○ Einstand offen · ","")&amp;IF(AND(R434="WON",AB434=""),"⛔ Vertragsart fehlt · ","")&amp;IF(AND(ISNUMBER(O434),ISNUMBER(P434)),IF(P434&lt;O434,"⚠ Ende vor Start · ",""),"")&amp;IF(AND(R434="WON",AY434=0,NOT(AND(ISNUMBER(O434),ISNUMBER(P434)))),"⛔ Zeitraum fehlt · ","")&amp;IF(AND(R434&lt;&gt;"WON",AY434=0,NOT(AND(ISNUMBER(O434),ISNUMBER(P434)))),"○ Zeitraum offen · ",""))</f>
        <v/>
      </c>
      <c r="BB434" s="1" t="str">
        <f aca="false">IF(B434="","",IF(AND(R434="WON",AS434=0),"⛔ Nachweis fehlt",IF(AND(ISNUMBER(O434),ISNUMBER(P434),P434&lt;O434),"⚠ Ende vor Start",IF(AND(R434="WON",AY434=0),"⛔ Zeitraum fehlt",IF(AR434=0,"○ Einstand offen",IF(AY434=0,"○ Zeitraum offen",IF(R434="WON","✅ belegt","✔ erfasst")))))))</f>
        <v/>
      </c>
    </row>
    <row r="435" customFormat="false" ht="15" hidden="false" customHeight="true" outlineLevel="0" collapsed="false">
      <c r="G435" s="1" t="str">
        <f aca="false">IF(B435="","",IF(AY435=1,P435-O435+1,IF(AW435="","",AW435)))</f>
        <v/>
      </c>
      <c r="I435" s="270"/>
      <c r="J435" s="270"/>
      <c r="K435" s="270"/>
      <c r="L435" s="270"/>
      <c r="M435" s="270"/>
      <c r="N435" s="270"/>
      <c r="O435" s="263"/>
      <c r="P435" s="263"/>
      <c r="Q435" s="270" t="str">
        <f aca="false">IF(AND(ISNUMBER(I435),ISNUMBER(S435)),I435*AJ435,IF(OR(I435&lt;&gt;"",S435&lt;&gt;""),"tbd",""))</f>
        <v/>
      </c>
      <c r="S435" s="268"/>
      <c r="Y435" s="275" t="str">
        <f aca="false">IF(ISNUMBER(I435),I435/Netto_Faktor,"")</f>
        <v/>
      </c>
      <c r="Z435" s="275" t="str">
        <f aca="false">IF(B435="","",IF(COUNT(J435:N435)=0,"",SUM(J435:N435)))</f>
        <v/>
      </c>
      <c r="AA435" s="266"/>
      <c r="AB435" s="266"/>
      <c r="AC435" s="266"/>
      <c r="AD435" s="266"/>
      <c r="AE435" s="266"/>
      <c r="AF435" s="266"/>
      <c r="AG435" s="267"/>
      <c r="AH435" s="266" t="str">
        <f aca="false">IF(B435="","",IF(BA435="",IF(R435="WON","✅ belegt &amp; vollständig","✔ vollständig"),LEFT(BA435,LEN(BA435)-3)))</f>
        <v/>
      </c>
      <c r="AJ435" s="268" t="n">
        <f aca="false">IF(ISNUMBER(S435),IFERROR(LOOKUP(IF(S435&lt;=1,S435,S435/100),'⚖️ Wahrscheinlichkeit'!$B$17:$B$21,'⚖️ Wahrscheinlichkeit'!$D$17:$D$21),0),0)</f>
        <v>0</v>
      </c>
      <c r="AK435" s="1" t="str">
        <f aca="false">IF(AND(R435="WON",ISNUMBER(I435)),AL435+(861-ROW())*0.000001,"")</f>
        <v/>
      </c>
      <c r="AL435" s="1" t="n">
        <f aca="false">IFERROR(I435*1,0)</f>
        <v>0</v>
      </c>
      <c r="AM435" s="1" t="n">
        <f aca="false">N(AM434)+IF(AND(R435="WON",B435&lt;&gt;""),1,0)</f>
        <v>12</v>
      </c>
      <c r="AN435" s="1" t="n">
        <f aca="false">N(AN434)+IF(AND(OR(R435="offered",R435="to be offered",R435="on hold"),B435&lt;&gt;""),1,0)</f>
        <v>33</v>
      </c>
      <c r="AO435" s="1" t="n">
        <f aca="false">N(AO434)+IF(AND(OR(R435="follow-up",R435="Evaluation",R435="tbd",R435="In evaluation"),B435&lt;&gt;""),1,0)</f>
        <v>1</v>
      </c>
      <c r="AP435" s="1" t="n">
        <f aca="false">IF(B435="",0,IF(COUNTIF('⚖️ Wahrscheinlichkeit'!$J$17:$J$24,R435)&gt;0,1,0))</f>
        <v>0</v>
      </c>
      <c r="AQ435" s="1" t="n">
        <f aca="false">IF(B435="",0,IF(AND(ISNUMBER(S435),COUNTIF('⚖️ Wahrscheinlichkeit'!$B$6:$B$11,S435)&gt;0),1,0))</f>
        <v>0</v>
      </c>
      <c r="AR435" s="1" t="n">
        <f aca="false">IF(B435="",0,IF(AND(COUNT(J435:M435)=4,SUM(J435:M435)&gt;0),1,0))</f>
        <v>0</v>
      </c>
      <c r="AS435" s="1" t="n">
        <f aca="false">IF(B435="",0,IF(AND(AF435&lt;&gt;"",AG435&lt;&gt;""),1,0))</f>
        <v>0</v>
      </c>
      <c r="AT435" s="1" t="n">
        <f aca="false">IF(AND(R435="WON",AS435=1,AR435=1),1,0)</f>
        <v>0</v>
      </c>
      <c r="AU435" s="1" t="n">
        <f aca="false">IF(B435="",0,IF(AD435="Alternative – zählt nicht",0,1))</f>
        <v>0</v>
      </c>
      <c r="AV435" s="1" t="n">
        <f aca="false">IF(B435="",0,IF(COUNTIF($B$6:$B$860,B435)&gt;1,1,0))</f>
        <v>0</v>
      </c>
      <c r="AX435" s="269" t="str">
        <f aca="false">IF(AY435=1,DATE(YEAR(O435),MONTH(O435),1),"")</f>
        <v/>
      </c>
      <c r="AY435" s="1" t="n">
        <f aca="false">IF(B435="",0,IF(AND(ISNUMBER(O435),ISNUMBER(P435)),IF(P435&gt;=O435,1,0),0))</f>
        <v>0</v>
      </c>
      <c r="AZ435" s="1" t="n">
        <f aca="false">IF(ISNUMBER(Y435),Y435,0)</f>
        <v>0</v>
      </c>
      <c r="BA435" s="1" t="str">
        <f aca="false">IF(B435="","",IF(AND(R435="WON",AS435=0),"⛔ Beleg fehlt · ","")&amp;IF(AND(R435="WON",AR435=0),"⛔ Einstand fehlt · ","")&amp;IF(AND(R435&lt;&gt;"WON",AR435=0),"○ Einstand offen · ","")&amp;IF(AND(R435="WON",AB435=""),"⛔ Vertragsart fehlt · ","")&amp;IF(AND(ISNUMBER(O435),ISNUMBER(P435)),IF(P435&lt;O435,"⚠ Ende vor Start · ",""),"")&amp;IF(AND(R435="WON",AY435=0,NOT(AND(ISNUMBER(O435),ISNUMBER(P435)))),"⛔ Zeitraum fehlt · ","")&amp;IF(AND(R435&lt;&gt;"WON",AY435=0,NOT(AND(ISNUMBER(O435),ISNUMBER(P435)))),"○ Zeitraum offen · ",""))</f>
        <v/>
      </c>
      <c r="BB435" s="1" t="str">
        <f aca="false">IF(B435="","",IF(AND(R435="WON",AS435=0),"⛔ Nachweis fehlt",IF(AND(ISNUMBER(O435),ISNUMBER(P435),P435&lt;O435),"⚠ Ende vor Start",IF(AND(R435="WON",AY435=0),"⛔ Zeitraum fehlt",IF(AR435=0,"○ Einstand offen",IF(AY435=0,"○ Zeitraum offen",IF(R435="WON","✅ belegt","✔ erfasst")))))))</f>
        <v/>
      </c>
    </row>
    <row r="436" customFormat="false" ht="15" hidden="false" customHeight="true" outlineLevel="0" collapsed="false">
      <c r="G436" s="1" t="str">
        <f aca="false">IF(B436="","",IF(AY436=1,P436-O436+1,IF(AW436="","",AW436)))</f>
        <v/>
      </c>
      <c r="I436" s="270"/>
      <c r="J436" s="270"/>
      <c r="K436" s="270"/>
      <c r="L436" s="270"/>
      <c r="M436" s="270"/>
      <c r="N436" s="270"/>
      <c r="O436" s="263"/>
      <c r="P436" s="263"/>
      <c r="Q436" s="270" t="str">
        <f aca="false">IF(AND(ISNUMBER(I436),ISNUMBER(S436)),I436*AJ436,IF(OR(I436&lt;&gt;"",S436&lt;&gt;""),"tbd",""))</f>
        <v/>
      </c>
      <c r="S436" s="268"/>
      <c r="Y436" s="275" t="str">
        <f aca="false">IF(ISNUMBER(I436),I436/Netto_Faktor,"")</f>
        <v/>
      </c>
      <c r="Z436" s="275" t="str">
        <f aca="false">IF(B436="","",IF(COUNT(J436:N436)=0,"",SUM(J436:N436)))</f>
        <v/>
      </c>
      <c r="AA436" s="266"/>
      <c r="AB436" s="266"/>
      <c r="AC436" s="266"/>
      <c r="AD436" s="266"/>
      <c r="AE436" s="266"/>
      <c r="AF436" s="266"/>
      <c r="AG436" s="267"/>
      <c r="AH436" s="266" t="str">
        <f aca="false">IF(B436="","",IF(BA436="",IF(R436="WON","✅ belegt &amp; vollständig","✔ vollständig"),LEFT(BA436,LEN(BA436)-3)))</f>
        <v/>
      </c>
      <c r="AJ436" s="268" t="n">
        <f aca="false">IF(ISNUMBER(S436),IFERROR(LOOKUP(IF(S436&lt;=1,S436,S436/100),'⚖️ Wahrscheinlichkeit'!$B$17:$B$21,'⚖️ Wahrscheinlichkeit'!$D$17:$D$21),0),0)</f>
        <v>0</v>
      </c>
      <c r="AK436" s="1" t="str">
        <f aca="false">IF(AND(R436="WON",ISNUMBER(I436)),AL436+(861-ROW())*0.000001,"")</f>
        <v/>
      </c>
      <c r="AL436" s="1" t="n">
        <f aca="false">IFERROR(I436*1,0)</f>
        <v>0</v>
      </c>
      <c r="AM436" s="1" t="n">
        <f aca="false">N(AM435)+IF(AND(R436="WON",B436&lt;&gt;""),1,0)</f>
        <v>12</v>
      </c>
      <c r="AN436" s="1" t="n">
        <f aca="false">N(AN435)+IF(AND(OR(R436="offered",R436="to be offered",R436="on hold"),B436&lt;&gt;""),1,0)</f>
        <v>33</v>
      </c>
      <c r="AO436" s="1" t="n">
        <f aca="false">N(AO435)+IF(AND(OR(R436="follow-up",R436="Evaluation",R436="tbd",R436="In evaluation"),B436&lt;&gt;""),1,0)</f>
        <v>1</v>
      </c>
      <c r="AP436" s="1" t="n">
        <f aca="false">IF(B436="",0,IF(COUNTIF('⚖️ Wahrscheinlichkeit'!$J$17:$J$24,R436)&gt;0,1,0))</f>
        <v>0</v>
      </c>
      <c r="AQ436" s="1" t="n">
        <f aca="false">IF(B436="",0,IF(AND(ISNUMBER(S436),COUNTIF('⚖️ Wahrscheinlichkeit'!$B$6:$B$11,S436)&gt;0),1,0))</f>
        <v>0</v>
      </c>
      <c r="AR436" s="1" t="n">
        <f aca="false">IF(B436="",0,IF(AND(COUNT(J436:M436)=4,SUM(J436:M436)&gt;0),1,0))</f>
        <v>0</v>
      </c>
      <c r="AS436" s="1" t="n">
        <f aca="false">IF(B436="",0,IF(AND(AF436&lt;&gt;"",AG436&lt;&gt;""),1,0))</f>
        <v>0</v>
      </c>
      <c r="AT436" s="1" t="n">
        <f aca="false">IF(AND(R436="WON",AS436=1,AR436=1),1,0)</f>
        <v>0</v>
      </c>
      <c r="AU436" s="1" t="n">
        <f aca="false">IF(B436="",0,IF(AD436="Alternative – zählt nicht",0,1))</f>
        <v>0</v>
      </c>
      <c r="AV436" s="1" t="n">
        <f aca="false">IF(B436="",0,IF(COUNTIF($B$6:$B$860,B436)&gt;1,1,0))</f>
        <v>0</v>
      </c>
      <c r="AX436" s="269" t="str">
        <f aca="false">IF(AY436=1,DATE(YEAR(O436),MONTH(O436),1),"")</f>
        <v/>
      </c>
      <c r="AY436" s="1" t="n">
        <f aca="false">IF(B436="",0,IF(AND(ISNUMBER(O436),ISNUMBER(P436)),IF(P436&gt;=O436,1,0),0))</f>
        <v>0</v>
      </c>
      <c r="AZ436" s="1" t="n">
        <f aca="false">IF(ISNUMBER(Y436),Y436,0)</f>
        <v>0</v>
      </c>
      <c r="BA436" s="1" t="str">
        <f aca="false">IF(B436="","",IF(AND(R436="WON",AS436=0),"⛔ Beleg fehlt · ","")&amp;IF(AND(R436="WON",AR436=0),"⛔ Einstand fehlt · ","")&amp;IF(AND(R436&lt;&gt;"WON",AR436=0),"○ Einstand offen · ","")&amp;IF(AND(R436="WON",AB436=""),"⛔ Vertragsart fehlt · ","")&amp;IF(AND(ISNUMBER(O436),ISNUMBER(P436)),IF(P436&lt;O436,"⚠ Ende vor Start · ",""),"")&amp;IF(AND(R436="WON",AY436=0,NOT(AND(ISNUMBER(O436),ISNUMBER(P436)))),"⛔ Zeitraum fehlt · ","")&amp;IF(AND(R436&lt;&gt;"WON",AY436=0,NOT(AND(ISNUMBER(O436),ISNUMBER(P436)))),"○ Zeitraum offen · ",""))</f>
        <v/>
      </c>
      <c r="BB436" s="1" t="str">
        <f aca="false">IF(B436="","",IF(AND(R436="WON",AS436=0),"⛔ Nachweis fehlt",IF(AND(ISNUMBER(O436),ISNUMBER(P436),P436&lt;O436),"⚠ Ende vor Start",IF(AND(R436="WON",AY436=0),"⛔ Zeitraum fehlt",IF(AR436=0,"○ Einstand offen",IF(AY436=0,"○ Zeitraum offen",IF(R436="WON","✅ belegt","✔ erfasst")))))))</f>
        <v/>
      </c>
    </row>
    <row r="437" customFormat="false" ht="15" hidden="false" customHeight="true" outlineLevel="0" collapsed="false">
      <c r="G437" s="1" t="str">
        <f aca="false">IF(B437="","",IF(AY437=1,P437-O437+1,IF(AW437="","",AW437)))</f>
        <v/>
      </c>
      <c r="I437" s="270"/>
      <c r="J437" s="270"/>
      <c r="K437" s="270"/>
      <c r="L437" s="270"/>
      <c r="M437" s="270"/>
      <c r="N437" s="270"/>
      <c r="O437" s="263"/>
      <c r="P437" s="263"/>
      <c r="Q437" s="270" t="str">
        <f aca="false">IF(AND(ISNUMBER(I437),ISNUMBER(S437)),I437*AJ437,IF(OR(I437&lt;&gt;"",S437&lt;&gt;""),"tbd",""))</f>
        <v/>
      </c>
      <c r="S437" s="268"/>
      <c r="Y437" s="275" t="str">
        <f aca="false">IF(ISNUMBER(I437),I437/Netto_Faktor,"")</f>
        <v/>
      </c>
      <c r="Z437" s="275" t="str">
        <f aca="false">IF(B437="","",IF(COUNT(J437:N437)=0,"",SUM(J437:N437)))</f>
        <v/>
      </c>
      <c r="AA437" s="266"/>
      <c r="AB437" s="266"/>
      <c r="AC437" s="266"/>
      <c r="AD437" s="266"/>
      <c r="AE437" s="266"/>
      <c r="AF437" s="266"/>
      <c r="AG437" s="267"/>
      <c r="AH437" s="266" t="str">
        <f aca="false">IF(B437="","",IF(BA437="",IF(R437="WON","✅ belegt &amp; vollständig","✔ vollständig"),LEFT(BA437,LEN(BA437)-3)))</f>
        <v/>
      </c>
      <c r="AJ437" s="268" t="n">
        <f aca="false">IF(ISNUMBER(S437),IFERROR(LOOKUP(IF(S437&lt;=1,S437,S437/100),'⚖️ Wahrscheinlichkeit'!$B$17:$B$21,'⚖️ Wahrscheinlichkeit'!$D$17:$D$21),0),0)</f>
        <v>0</v>
      </c>
      <c r="AK437" s="1" t="str">
        <f aca="false">IF(AND(R437="WON",ISNUMBER(I437)),AL437+(861-ROW())*0.000001,"")</f>
        <v/>
      </c>
      <c r="AL437" s="1" t="n">
        <f aca="false">IFERROR(I437*1,0)</f>
        <v>0</v>
      </c>
      <c r="AM437" s="1" t="n">
        <f aca="false">N(AM436)+IF(AND(R437="WON",B437&lt;&gt;""),1,0)</f>
        <v>12</v>
      </c>
      <c r="AN437" s="1" t="n">
        <f aca="false">N(AN436)+IF(AND(OR(R437="offered",R437="to be offered",R437="on hold"),B437&lt;&gt;""),1,0)</f>
        <v>33</v>
      </c>
      <c r="AO437" s="1" t="n">
        <f aca="false">N(AO436)+IF(AND(OR(R437="follow-up",R437="Evaluation",R437="tbd",R437="In evaluation"),B437&lt;&gt;""),1,0)</f>
        <v>1</v>
      </c>
      <c r="AP437" s="1" t="n">
        <f aca="false">IF(B437="",0,IF(COUNTIF('⚖️ Wahrscheinlichkeit'!$J$17:$J$24,R437)&gt;0,1,0))</f>
        <v>0</v>
      </c>
      <c r="AQ437" s="1" t="n">
        <f aca="false">IF(B437="",0,IF(AND(ISNUMBER(S437),COUNTIF('⚖️ Wahrscheinlichkeit'!$B$6:$B$11,S437)&gt;0),1,0))</f>
        <v>0</v>
      </c>
      <c r="AR437" s="1" t="n">
        <f aca="false">IF(B437="",0,IF(AND(COUNT(J437:M437)=4,SUM(J437:M437)&gt;0),1,0))</f>
        <v>0</v>
      </c>
      <c r="AS437" s="1" t="n">
        <f aca="false">IF(B437="",0,IF(AND(AF437&lt;&gt;"",AG437&lt;&gt;""),1,0))</f>
        <v>0</v>
      </c>
      <c r="AT437" s="1" t="n">
        <f aca="false">IF(AND(R437="WON",AS437=1,AR437=1),1,0)</f>
        <v>0</v>
      </c>
      <c r="AU437" s="1" t="n">
        <f aca="false">IF(B437="",0,IF(AD437="Alternative – zählt nicht",0,1))</f>
        <v>0</v>
      </c>
      <c r="AV437" s="1" t="n">
        <f aca="false">IF(B437="",0,IF(COUNTIF($B$6:$B$860,B437)&gt;1,1,0))</f>
        <v>0</v>
      </c>
      <c r="AX437" s="269" t="str">
        <f aca="false">IF(AY437=1,DATE(YEAR(O437),MONTH(O437),1),"")</f>
        <v/>
      </c>
      <c r="AY437" s="1" t="n">
        <f aca="false">IF(B437="",0,IF(AND(ISNUMBER(O437),ISNUMBER(P437)),IF(P437&gt;=O437,1,0),0))</f>
        <v>0</v>
      </c>
      <c r="AZ437" s="1" t="n">
        <f aca="false">IF(ISNUMBER(Y437),Y437,0)</f>
        <v>0</v>
      </c>
      <c r="BA437" s="1" t="str">
        <f aca="false">IF(B437="","",IF(AND(R437="WON",AS437=0),"⛔ Beleg fehlt · ","")&amp;IF(AND(R437="WON",AR437=0),"⛔ Einstand fehlt · ","")&amp;IF(AND(R437&lt;&gt;"WON",AR437=0),"○ Einstand offen · ","")&amp;IF(AND(R437="WON",AB437=""),"⛔ Vertragsart fehlt · ","")&amp;IF(AND(ISNUMBER(O437),ISNUMBER(P437)),IF(P437&lt;O437,"⚠ Ende vor Start · ",""),"")&amp;IF(AND(R437="WON",AY437=0,NOT(AND(ISNUMBER(O437),ISNUMBER(P437)))),"⛔ Zeitraum fehlt · ","")&amp;IF(AND(R437&lt;&gt;"WON",AY437=0,NOT(AND(ISNUMBER(O437),ISNUMBER(P437)))),"○ Zeitraum offen · ",""))</f>
        <v/>
      </c>
      <c r="BB437" s="1" t="str">
        <f aca="false">IF(B437="","",IF(AND(R437="WON",AS437=0),"⛔ Nachweis fehlt",IF(AND(ISNUMBER(O437),ISNUMBER(P437),P437&lt;O437),"⚠ Ende vor Start",IF(AND(R437="WON",AY437=0),"⛔ Zeitraum fehlt",IF(AR437=0,"○ Einstand offen",IF(AY437=0,"○ Zeitraum offen",IF(R437="WON","✅ belegt","✔ erfasst")))))))</f>
        <v/>
      </c>
    </row>
    <row r="438" customFormat="false" ht="15" hidden="false" customHeight="true" outlineLevel="0" collapsed="false">
      <c r="G438" s="1" t="str">
        <f aca="false">IF(B438="","",IF(AY438=1,P438-O438+1,IF(AW438="","",AW438)))</f>
        <v/>
      </c>
      <c r="I438" s="270"/>
      <c r="J438" s="270"/>
      <c r="K438" s="270"/>
      <c r="L438" s="270"/>
      <c r="M438" s="270"/>
      <c r="N438" s="270"/>
      <c r="O438" s="263"/>
      <c r="P438" s="263"/>
      <c r="Q438" s="270" t="str">
        <f aca="false">IF(AND(ISNUMBER(I438),ISNUMBER(S438)),I438*AJ438,IF(OR(I438&lt;&gt;"",S438&lt;&gt;""),"tbd",""))</f>
        <v/>
      </c>
      <c r="S438" s="268"/>
      <c r="Y438" s="275" t="str">
        <f aca="false">IF(ISNUMBER(I438),I438/Netto_Faktor,"")</f>
        <v/>
      </c>
      <c r="Z438" s="275" t="str">
        <f aca="false">IF(B438="","",IF(COUNT(J438:N438)=0,"",SUM(J438:N438)))</f>
        <v/>
      </c>
      <c r="AA438" s="266"/>
      <c r="AB438" s="266"/>
      <c r="AC438" s="266"/>
      <c r="AD438" s="266"/>
      <c r="AE438" s="266"/>
      <c r="AF438" s="266"/>
      <c r="AG438" s="267"/>
      <c r="AH438" s="266" t="str">
        <f aca="false">IF(B438="","",IF(BA438="",IF(R438="WON","✅ belegt &amp; vollständig","✔ vollständig"),LEFT(BA438,LEN(BA438)-3)))</f>
        <v/>
      </c>
      <c r="AJ438" s="268" t="n">
        <f aca="false">IF(ISNUMBER(S438),IFERROR(LOOKUP(IF(S438&lt;=1,S438,S438/100),'⚖️ Wahrscheinlichkeit'!$B$17:$B$21,'⚖️ Wahrscheinlichkeit'!$D$17:$D$21),0),0)</f>
        <v>0</v>
      </c>
      <c r="AK438" s="1" t="str">
        <f aca="false">IF(AND(R438="WON",ISNUMBER(I438)),AL438+(861-ROW())*0.000001,"")</f>
        <v/>
      </c>
      <c r="AL438" s="1" t="n">
        <f aca="false">IFERROR(I438*1,0)</f>
        <v>0</v>
      </c>
      <c r="AM438" s="1" t="n">
        <f aca="false">N(AM437)+IF(AND(R438="WON",B438&lt;&gt;""),1,0)</f>
        <v>12</v>
      </c>
      <c r="AN438" s="1" t="n">
        <f aca="false">N(AN437)+IF(AND(OR(R438="offered",R438="to be offered",R438="on hold"),B438&lt;&gt;""),1,0)</f>
        <v>33</v>
      </c>
      <c r="AO438" s="1" t="n">
        <f aca="false">N(AO437)+IF(AND(OR(R438="follow-up",R438="Evaluation",R438="tbd",R438="In evaluation"),B438&lt;&gt;""),1,0)</f>
        <v>1</v>
      </c>
      <c r="AP438" s="1" t="n">
        <f aca="false">IF(B438="",0,IF(COUNTIF('⚖️ Wahrscheinlichkeit'!$J$17:$J$24,R438)&gt;0,1,0))</f>
        <v>0</v>
      </c>
      <c r="AQ438" s="1" t="n">
        <f aca="false">IF(B438="",0,IF(AND(ISNUMBER(S438),COUNTIF('⚖️ Wahrscheinlichkeit'!$B$6:$B$11,S438)&gt;0),1,0))</f>
        <v>0</v>
      </c>
      <c r="AR438" s="1" t="n">
        <f aca="false">IF(B438="",0,IF(AND(COUNT(J438:M438)=4,SUM(J438:M438)&gt;0),1,0))</f>
        <v>0</v>
      </c>
      <c r="AS438" s="1" t="n">
        <f aca="false">IF(B438="",0,IF(AND(AF438&lt;&gt;"",AG438&lt;&gt;""),1,0))</f>
        <v>0</v>
      </c>
      <c r="AT438" s="1" t="n">
        <f aca="false">IF(AND(R438="WON",AS438=1,AR438=1),1,0)</f>
        <v>0</v>
      </c>
      <c r="AU438" s="1" t="n">
        <f aca="false">IF(B438="",0,IF(AD438="Alternative – zählt nicht",0,1))</f>
        <v>0</v>
      </c>
      <c r="AV438" s="1" t="n">
        <f aca="false">IF(B438="",0,IF(COUNTIF($B$6:$B$860,B438)&gt;1,1,0))</f>
        <v>0</v>
      </c>
      <c r="AX438" s="269" t="str">
        <f aca="false">IF(AY438=1,DATE(YEAR(O438),MONTH(O438),1),"")</f>
        <v/>
      </c>
      <c r="AY438" s="1" t="n">
        <f aca="false">IF(B438="",0,IF(AND(ISNUMBER(O438),ISNUMBER(P438)),IF(P438&gt;=O438,1,0),0))</f>
        <v>0</v>
      </c>
      <c r="AZ438" s="1" t="n">
        <f aca="false">IF(ISNUMBER(Y438),Y438,0)</f>
        <v>0</v>
      </c>
      <c r="BA438" s="1" t="str">
        <f aca="false">IF(B438="","",IF(AND(R438="WON",AS438=0),"⛔ Beleg fehlt · ","")&amp;IF(AND(R438="WON",AR438=0),"⛔ Einstand fehlt · ","")&amp;IF(AND(R438&lt;&gt;"WON",AR438=0),"○ Einstand offen · ","")&amp;IF(AND(R438="WON",AB438=""),"⛔ Vertragsart fehlt · ","")&amp;IF(AND(ISNUMBER(O438),ISNUMBER(P438)),IF(P438&lt;O438,"⚠ Ende vor Start · ",""),"")&amp;IF(AND(R438="WON",AY438=0,NOT(AND(ISNUMBER(O438),ISNUMBER(P438)))),"⛔ Zeitraum fehlt · ","")&amp;IF(AND(R438&lt;&gt;"WON",AY438=0,NOT(AND(ISNUMBER(O438),ISNUMBER(P438)))),"○ Zeitraum offen · ",""))</f>
        <v/>
      </c>
      <c r="BB438" s="1" t="str">
        <f aca="false">IF(B438="","",IF(AND(R438="WON",AS438=0),"⛔ Nachweis fehlt",IF(AND(ISNUMBER(O438),ISNUMBER(P438),P438&lt;O438),"⚠ Ende vor Start",IF(AND(R438="WON",AY438=0),"⛔ Zeitraum fehlt",IF(AR438=0,"○ Einstand offen",IF(AY438=0,"○ Zeitraum offen",IF(R438="WON","✅ belegt","✔ erfasst")))))))</f>
        <v/>
      </c>
    </row>
    <row r="439" customFormat="false" ht="15" hidden="false" customHeight="true" outlineLevel="0" collapsed="false">
      <c r="G439" s="1" t="str">
        <f aca="false">IF(B439="","",IF(AY439=1,P439-O439+1,IF(AW439="","",AW439)))</f>
        <v/>
      </c>
      <c r="I439" s="270"/>
      <c r="J439" s="270"/>
      <c r="K439" s="270"/>
      <c r="L439" s="270"/>
      <c r="M439" s="270"/>
      <c r="N439" s="270"/>
      <c r="O439" s="263"/>
      <c r="P439" s="263"/>
      <c r="Q439" s="270" t="str">
        <f aca="false">IF(AND(ISNUMBER(I439),ISNUMBER(S439)),I439*AJ439,IF(OR(I439&lt;&gt;"",S439&lt;&gt;""),"tbd",""))</f>
        <v/>
      </c>
      <c r="S439" s="268"/>
      <c r="Y439" s="275" t="str">
        <f aca="false">IF(ISNUMBER(I439),I439/Netto_Faktor,"")</f>
        <v/>
      </c>
      <c r="Z439" s="275" t="str">
        <f aca="false">IF(B439="","",IF(COUNT(J439:N439)=0,"",SUM(J439:N439)))</f>
        <v/>
      </c>
      <c r="AA439" s="266"/>
      <c r="AB439" s="266"/>
      <c r="AC439" s="266"/>
      <c r="AD439" s="266"/>
      <c r="AE439" s="266"/>
      <c r="AF439" s="266"/>
      <c r="AG439" s="267"/>
      <c r="AH439" s="266" t="str">
        <f aca="false">IF(B439="","",IF(BA439="",IF(R439="WON","✅ belegt &amp; vollständig","✔ vollständig"),LEFT(BA439,LEN(BA439)-3)))</f>
        <v/>
      </c>
      <c r="AJ439" s="268" t="n">
        <f aca="false">IF(ISNUMBER(S439),IFERROR(LOOKUP(IF(S439&lt;=1,S439,S439/100),'⚖️ Wahrscheinlichkeit'!$B$17:$B$21,'⚖️ Wahrscheinlichkeit'!$D$17:$D$21),0),0)</f>
        <v>0</v>
      </c>
      <c r="AK439" s="1" t="str">
        <f aca="false">IF(AND(R439="WON",ISNUMBER(I439)),AL439+(861-ROW())*0.000001,"")</f>
        <v/>
      </c>
      <c r="AL439" s="1" t="n">
        <f aca="false">IFERROR(I439*1,0)</f>
        <v>0</v>
      </c>
      <c r="AM439" s="1" t="n">
        <f aca="false">N(AM438)+IF(AND(R439="WON",B439&lt;&gt;""),1,0)</f>
        <v>12</v>
      </c>
      <c r="AN439" s="1" t="n">
        <f aca="false">N(AN438)+IF(AND(OR(R439="offered",R439="to be offered",R439="on hold"),B439&lt;&gt;""),1,0)</f>
        <v>33</v>
      </c>
      <c r="AO439" s="1" t="n">
        <f aca="false">N(AO438)+IF(AND(OR(R439="follow-up",R439="Evaluation",R439="tbd",R439="In evaluation"),B439&lt;&gt;""),1,0)</f>
        <v>1</v>
      </c>
      <c r="AP439" s="1" t="n">
        <f aca="false">IF(B439="",0,IF(COUNTIF('⚖️ Wahrscheinlichkeit'!$J$17:$J$24,R439)&gt;0,1,0))</f>
        <v>0</v>
      </c>
      <c r="AQ439" s="1" t="n">
        <f aca="false">IF(B439="",0,IF(AND(ISNUMBER(S439),COUNTIF('⚖️ Wahrscheinlichkeit'!$B$6:$B$11,S439)&gt;0),1,0))</f>
        <v>0</v>
      </c>
      <c r="AR439" s="1" t="n">
        <f aca="false">IF(B439="",0,IF(AND(COUNT(J439:M439)=4,SUM(J439:M439)&gt;0),1,0))</f>
        <v>0</v>
      </c>
      <c r="AS439" s="1" t="n">
        <f aca="false">IF(B439="",0,IF(AND(AF439&lt;&gt;"",AG439&lt;&gt;""),1,0))</f>
        <v>0</v>
      </c>
      <c r="AT439" s="1" t="n">
        <f aca="false">IF(AND(R439="WON",AS439=1,AR439=1),1,0)</f>
        <v>0</v>
      </c>
      <c r="AU439" s="1" t="n">
        <f aca="false">IF(B439="",0,IF(AD439="Alternative – zählt nicht",0,1))</f>
        <v>0</v>
      </c>
      <c r="AV439" s="1" t="n">
        <f aca="false">IF(B439="",0,IF(COUNTIF($B$6:$B$860,B439)&gt;1,1,0))</f>
        <v>0</v>
      </c>
      <c r="AX439" s="269" t="str">
        <f aca="false">IF(AY439=1,DATE(YEAR(O439),MONTH(O439),1),"")</f>
        <v/>
      </c>
      <c r="AY439" s="1" t="n">
        <f aca="false">IF(B439="",0,IF(AND(ISNUMBER(O439),ISNUMBER(P439)),IF(P439&gt;=O439,1,0),0))</f>
        <v>0</v>
      </c>
      <c r="AZ439" s="1" t="n">
        <f aca="false">IF(ISNUMBER(Y439),Y439,0)</f>
        <v>0</v>
      </c>
      <c r="BA439" s="1" t="str">
        <f aca="false">IF(B439="","",IF(AND(R439="WON",AS439=0),"⛔ Beleg fehlt · ","")&amp;IF(AND(R439="WON",AR439=0),"⛔ Einstand fehlt · ","")&amp;IF(AND(R439&lt;&gt;"WON",AR439=0),"○ Einstand offen · ","")&amp;IF(AND(R439="WON",AB439=""),"⛔ Vertragsart fehlt · ","")&amp;IF(AND(ISNUMBER(O439),ISNUMBER(P439)),IF(P439&lt;O439,"⚠ Ende vor Start · ",""),"")&amp;IF(AND(R439="WON",AY439=0,NOT(AND(ISNUMBER(O439),ISNUMBER(P439)))),"⛔ Zeitraum fehlt · ","")&amp;IF(AND(R439&lt;&gt;"WON",AY439=0,NOT(AND(ISNUMBER(O439),ISNUMBER(P439)))),"○ Zeitraum offen · ",""))</f>
        <v/>
      </c>
      <c r="BB439" s="1" t="str">
        <f aca="false">IF(B439="","",IF(AND(R439="WON",AS439=0),"⛔ Nachweis fehlt",IF(AND(ISNUMBER(O439),ISNUMBER(P439),P439&lt;O439),"⚠ Ende vor Start",IF(AND(R439="WON",AY439=0),"⛔ Zeitraum fehlt",IF(AR439=0,"○ Einstand offen",IF(AY439=0,"○ Zeitraum offen",IF(R439="WON","✅ belegt","✔ erfasst")))))))</f>
        <v/>
      </c>
    </row>
    <row r="440" customFormat="false" ht="15" hidden="false" customHeight="true" outlineLevel="0" collapsed="false">
      <c r="G440" s="1" t="str">
        <f aca="false">IF(B440="","",IF(AY440=1,P440-O440+1,IF(AW440="","",AW440)))</f>
        <v/>
      </c>
      <c r="I440" s="270"/>
      <c r="J440" s="270"/>
      <c r="K440" s="270"/>
      <c r="L440" s="270"/>
      <c r="M440" s="270"/>
      <c r="N440" s="270"/>
      <c r="O440" s="263"/>
      <c r="P440" s="263"/>
      <c r="Q440" s="270" t="str">
        <f aca="false">IF(AND(ISNUMBER(I440),ISNUMBER(S440)),I440*AJ440,IF(OR(I440&lt;&gt;"",S440&lt;&gt;""),"tbd",""))</f>
        <v/>
      </c>
      <c r="S440" s="268"/>
      <c r="Y440" s="275" t="str">
        <f aca="false">IF(ISNUMBER(I440),I440/Netto_Faktor,"")</f>
        <v/>
      </c>
      <c r="Z440" s="275" t="str">
        <f aca="false">IF(B440="","",IF(COUNT(J440:N440)=0,"",SUM(J440:N440)))</f>
        <v/>
      </c>
      <c r="AA440" s="266"/>
      <c r="AB440" s="266"/>
      <c r="AC440" s="266"/>
      <c r="AD440" s="266"/>
      <c r="AE440" s="266"/>
      <c r="AF440" s="266"/>
      <c r="AG440" s="267"/>
      <c r="AH440" s="266" t="str">
        <f aca="false">IF(B440="","",IF(BA440="",IF(R440="WON","✅ belegt &amp; vollständig","✔ vollständig"),LEFT(BA440,LEN(BA440)-3)))</f>
        <v/>
      </c>
      <c r="AJ440" s="268" t="n">
        <f aca="false">IF(ISNUMBER(S440),IFERROR(LOOKUP(IF(S440&lt;=1,S440,S440/100),'⚖️ Wahrscheinlichkeit'!$B$17:$B$21,'⚖️ Wahrscheinlichkeit'!$D$17:$D$21),0),0)</f>
        <v>0</v>
      </c>
      <c r="AK440" s="1" t="str">
        <f aca="false">IF(AND(R440="WON",ISNUMBER(I440)),AL440+(861-ROW())*0.000001,"")</f>
        <v/>
      </c>
      <c r="AL440" s="1" t="n">
        <f aca="false">IFERROR(I440*1,0)</f>
        <v>0</v>
      </c>
      <c r="AM440" s="1" t="n">
        <f aca="false">N(AM439)+IF(AND(R440="WON",B440&lt;&gt;""),1,0)</f>
        <v>12</v>
      </c>
      <c r="AN440" s="1" t="n">
        <f aca="false">N(AN439)+IF(AND(OR(R440="offered",R440="to be offered",R440="on hold"),B440&lt;&gt;""),1,0)</f>
        <v>33</v>
      </c>
      <c r="AO440" s="1" t="n">
        <f aca="false">N(AO439)+IF(AND(OR(R440="follow-up",R440="Evaluation",R440="tbd",R440="In evaluation"),B440&lt;&gt;""),1,0)</f>
        <v>1</v>
      </c>
      <c r="AP440" s="1" t="n">
        <f aca="false">IF(B440="",0,IF(COUNTIF('⚖️ Wahrscheinlichkeit'!$J$17:$J$24,R440)&gt;0,1,0))</f>
        <v>0</v>
      </c>
      <c r="AQ440" s="1" t="n">
        <f aca="false">IF(B440="",0,IF(AND(ISNUMBER(S440),COUNTIF('⚖️ Wahrscheinlichkeit'!$B$6:$B$11,S440)&gt;0),1,0))</f>
        <v>0</v>
      </c>
      <c r="AR440" s="1" t="n">
        <f aca="false">IF(B440="",0,IF(AND(COUNT(J440:M440)=4,SUM(J440:M440)&gt;0),1,0))</f>
        <v>0</v>
      </c>
      <c r="AS440" s="1" t="n">
        <f aca="false">IF(B440="",0,IF(AND(AF440&lt;&gt;"",AG440&lt;&gt;""),1,0))</f>
        <v>0</v>
      </c>
      <c r="AT440" s="1" t="n">
        <f aca="false">IF(AND(R440="WON",AS440=1,AR440=1),1,0)</f>
        <v>0</v>
      </c>
      <c r="AU440" s="1" t="n">
        <f aca="false">IF(B440="",0,IF(AD440="Alternative – zählt nicht",0,1))</f>
        <v>0</v>
      </c>
      <c r="AV440" s="1" t="n">
        <f aca="false">IF(B440="",0,IF(COUNTIF($B$6:$B$860,B440)&gt;1,1,0))</f>
        <v>0</v>
      </c>
      <c r="AX440" s="269" t="str">
        <f aca="false">IF(AY440=1,DATE(YEAR(O440),MONTH(O440),1),"")</f>
        <v/>
      </c>
      <c r="AY440" s="1" t="n">
        <f aca="false">IF(B440="",0,IF(AND(ISNUMBER(O440),ISNUMBER(P440)),IF(P440&gt;=O440,1,0),0))</f>
        <v>0</v>
      </c>
      <c r="AZ440" s="1" t="n">
        <f aca="false">IF(ISNUMBER(Y440),Y440,0)</f>
        <v>0</v>
      </c>
      <c r="BA440" s="1" t="str">
        <f aca="false">IF(B440="","",IF(AND(R440="WON",AS440=0),"⛔ Beleg fehlt · ","")&amp;IF(AND(R440="WON",AR440=0),"⛔ Einstand fehlt · ","")&amp;IF(AND(R440&lt;&gt;"WON",AR440=0),"○ Einstand offen · ","")&amp;IF(AND(R440="WON",AB440=""),"⛔ Vertragsart fehlt · ","")&amp;IF(AND(ISNUMBER(O440),ISNUMBER(P440)),IF(P440&lt;O440,"⚠ Ende vor Start · ",""),"")&amp;IF(AND(R440="WON",AY440=0,NOT(AND(ISNUMBER(O440),ISNUMBER(P440)))),"⛔ Zeitraum fehlt · ","")&amp;IF(AND(R440&lt;&gt;"WON",AY440=0,NOT(AND(ISNUMBER(O440),ISNUMBER(P440)))),"○ Zeitraum offen · ",""))</f>
        <v/>
      </c>
      <c r="BB440" s="1" t="str">
        <f aca="false">IF(B440="","",IF(AND(R440="WON",AS440=0),"⛔ Nachweis fehlt",IF(AND(ISNUMBER(O440),ISNUMBER(P440),P440&lt;O440),"⚠ Ende vor Start",IF(AND(R440="WON",AY440=0),"⛔ Zeitraum fehlt",IF(AR440=0,"○ Einstand offen",IF(AY440=0,"○ Zeitraum offen",IF(R440="WON","✅ belegt","✔ erfasst")))))))</f>
        <v/>
      </c>
    </row>
    <row r="441" customFormat="false" ht="15" hidden="false" customHeight="true" outlineLevel="0" collapsed="false">
      <c r="G441" s="1" t="str">
        <f aca="false">IF(B441="","",IF(AY441=1,P441-O441+1,IF(AW441="","",AW441)))</f>
        <v/>
      </c>
      <c r="I441" s="270"/>
      <c r="J441" s="270"/>
      <c r="K441" s="270"/>
      <c r="L441" s="270"/>
      <c r="M441" s="270"/>
      <c r="N441" s="270"/>
      <c r="O441" s="263"/>
      <c r="P441" s="263"/>
      <c r="Q441" s="270" t="str">
        <f aca="false">IF(AND(ISNUMBER(I441),ISNUMBER(S441)),I441*AJ441,IF(OR(I441&lt;&gt;"",S441&lt;&gt;""),"tbd",""))</f>
        <v/>
      </c>
      <c r="S441" s="268"/>
      <c r="Y441" s="275" t="str">
        <f aca="false">IF(ISNUMBER(I441),I441/Netto_Faktor,"")</f>
        <v/>
      </c>
      <c r="Z441" s="275" t="str">
        <f aca="false">IF(B441="","",IF(COUNT(J441:N441)=0,"",SUM(J441:N441)))</f>
        <v/>
      </c>
      <c r="AA441" s="266"/>
      <c r="AB441" s="266"/>
      <c r="AC441" s="266"/>
      <c r="AD441" s="266"/>
      <c r="AE441" s="266"/>
      <c r="AF441" s="266"/>
      <c r="AG441" s="267"/>
      <c r="AH441" s="266" t="str">
        <f aca="false">IF(B441="","",IF(BA441="",IF(R441="WON","✅ belegt &amp; vollständig","✔ vollständig"),LEFT(BA441,LEN(BA441)-3)))</f>
        <v/>
      </c>
      <c r="AJ441" s="268" t="n">
        <f aca="false">IF(ISNUMBER(S441),IFERROR(LOOKUP(IF(S441&lt;=1,S441,S441/100),'⚖️ Wahrscheinlichkeit'!$B$17:$B$21,'⚖️ Wahrscheinlichkeit'!$D$17:$D$21),0),0)</f>
        <v>0</v>
      </c>
      <c r="AK441" s="1" t="str">
        <f aca="false">IF(AND(R441="WON",ISNUMBER(I441)),AL441+(861-ROW())*0.000001,"")</f>
        <v/>
      </c>
      <c r="AL441" s="1" t="n">
        <f aca="false">IFERROR(I441*1,0)</f>
        <v>0</v>
      </c>
      <c r="AM441" s="1" t="n">
        <f aca="false">N(AM440)+IF(AND(R441="WON",B441&lt;&gt;""),1,0)</f>
        <v>12</v>
      </c>
      <c r="AN441" s="1" t="n">
        <f aca="false">N(AN440)+IF(AND(OR(R441="offered",R441="to be offered",R441="on hold"),B441&lt;&gt;""),1,0)</f>
        <v>33</v>
      </c>
      <c r="AO441" s="1" t="n">
        <f aca="false">N(AO440)+IF(AND(OR(R441="follow-up",R441="Evaluation",R441="tbd",R441="In evaluation"),B441&lt;&gt;""),1,0)</f>
        <v>1</v>
      </c>
      <c r="AP441" s="1" t="n">
        <f aca="false">IF(B441="",0,IF(COUNTIF('⚖️ Wahrscheinlichkeit'!$J$17:$J$24,R441)&gt;0,1,0))</f>
        <v>0</v>
      </c>
      <c r="AQ441" s="1" t="n">
        <f aca="false">IF(B441="",0,IF(AND(ISNUMBER(S441),COUNTIF('⚖️ Wahrscheinlichkeit'!$B$6:$B$11,S441)&gt;0),1,0))</f>
        <v>0</v>
      </c>
      <c r="AR441" s="1" t="n">
        <f aca="false">IF(B441="",0,IF(AND(COUNT(J441:M441)=4,SUM(J441:M441)&gt;0),1,0))</f>
        <v>0</v>
      </c>
      <c r="AS441" s="1" t="n">
        <f aca="false">IF(B441="",0,IF(AND(AF441&lt;&gt;"",AG441&lt;&gt;""),1,0))</f>
        <v>0</v>
      </c>
      <c r="AT441" s="1" t="n">
        <f aca="false">IF(AND(R441="WON",AS441=1,AR441=1),1,0)</f>
        <v>0</v>
      </c>
      <c r="AU441" s="1" t="n">
        <f aca="false">IF(B441="",0,IF(AD441="Alternative – zählt nicht",0,1))</f>
        <v>0</v>
      </c>
      <c r="AV441" s="1" t="n">
        <f aca="false">IF(B441="",0,IF(COUNTIF($B$6:$B$860,B441)&gt;1,1,0))</f>
        <v>0</v>
      </c>
      <c r="AX441" s="269" t="str">
        <f aca="false">IF(AY441=1,DATE(YEAR(O441),MONTH(O441),1),"")</f>
        <v/>
      </c>
      <c r="AY441" s="1" t="n">
        <f aca="false">IF(B441="",0,IF(AND(ISNUMBER(O441),ISNUMBER(P441)),IF(P441&gt;=O441,1,0),0))</f>
        <v>0</v>
      </c>
      <c r="AZ441" s="1" t="n">
        <f aca="false">IF(ISNUMBER(Y441),Y441,0)</f>
        <v>0</v>
      </c>
      <c r="BA441" s="1" t="str">
        <f aca="false">IF(B441="","",IF(AND(R441="WON",AS441=0),"⛔ Beleg fehlt · ","")&amp;IF(AND(R441="WON",AR441=0),"⛔ Einstand fehlt · ","")&amp;IF(AND(R441&lt;&gt;"WON",AR441=0),"○ Einstand offen · ","")&amp;IF(AND(R441="WON",AB441=""),"⛔ Vertragsart fehlt · ","")&amp;IF(AND(ISNUMBER(O441),ISNUMBER(P441)),IF(P441&lt;O441,"⚠ Ende vor Start · ",""),"")&amp;IF(AND(R441="WON",AY441=0,NOT(AND(ISNUMBER(O441),ISNUMBER(P441)))),"⛔ Zeitraum fehlt · ","")&amp;IF(AND(R441&lt;&gt;"WON",AY441=0,NOT(AND(ISNUMBER(O441),ISNUMBER(P441)))),"○ Zeitraum offen · ",""))</f>
        <v/>
      </c>
      <c r="BB441" s="1" t="str">
        <f aca="false">IF(B441="","",IF(AND(R441="WON",AS441=0),"⛔ Nachweis fehlt",IF(AND(ISNUMBER(O441),ISNUMBER(P441),P441&lt;O441),"⚠ Ende vor Start",IF(AND(R441="WON",AY441=0),"⛔ Zeitraum fehlt",IF(AR441=0,"○ Einstand offen",IF(AY441=0,"○ Zeitraum offen",IF(R441="WON","✅ belegt","✔ erfasst")))))))</f>
        <v/>
      </c>
    </row>
    <row r="442" customFormat="false" ht="15" hidden="false" customHeight="true" outlineLevel="0" collapsed="false">
      <c r="G442" s="1" t="str">
        <f aca="false">IF(B442="","",IF(AY442=1,P442-O442+1,IF(AW442="","",AW442)))</f>
        <v/>
      </c>
      <c r="I442" s="270"/>
      <c r="J442" s="270"/>
      <c r="K442" s="270"/>
      <c r="L442" s="270"/>
      <c r="M442" s="270"/>
      <c r="N442" s="270"/>
      <c r="O442" s="263"/>
      <c r="P442" s="263"/>
      <c r="Q442" s="270" t="str">
        <f aca="false">IF(AND(ISNUMBER(I442),ISNUMBER(S442)),I442*AJ442,IF(OR(I442&lt;&gt;"",S442&lt;&gt;""),"tbd",""))</f>
        <v/>
      </c>
      <c r="S442" s="268"/>
      <c r="Y442" s="275" t="str">
        <f aca="false">IF(ISNUMBER(I442),I442/Netto_Faktor,"")</f>
        <v/>
      </c>
      <c r="Z442" s="275" t="str">
        <f aca="false">IF(B442="","",IF(COUNT(J442:N442)=0,"",SUM(J442:N442)))</f>
        <v/>
      </c>
      <c r="AA442" s="266"/>
      <c r="AB442" s="266"/>
      <c r="AC442" s="266"/>
      <c r="AD442" s="266"/>
      <c r="AE442" s="266"/>
      <c r="AF442" s="266"/>
      <c r="AG442" s="267"/>
      <c r="AH442" s="266" t="str">
        <f aca="false">IF(B442="","",IF(BA442="",IF(R442="WON","✅ belegt &amp; vollständig","✔ vollständig"),LEFT(BA442,LEN(BA442)-3)))</f>
        <v/>
      </c>
      <c r="AJ442" s="268" t="n">
        <f aca="false">IF(ISNUMBER(S442),IFERROR(LOOKUP(IF(S442&lt;=1,S442,S442/100),'⚖️ Wahrscheinlichkeit'!$B$17:$B$21,'⚖️ Wahrscheinlichkeit'!$D$17:$D$21),0),0)</f>
        <v>0</v>
      </c>
      <c r="AK442" s="1" t="str">
        <f aca="false">IF(AND(R442="WON",ISNUMBER(I442)),AL442+(861-ROW())*0.000001,"")</f>
        <v/>
      </c>
      <c r="AL442" s="1" t="n">
        <f aca="false">IFERROR(I442*1,0)</f>
        <v>0</v>
      </c>
      <c r="AM442" s="1" t="n">
        <f aca="false">N(AM441)+IF(AND(R442="WON",B442&lt;&gt;""),1,0)</f>
        <v>12</v>
      </c>
      <c r="AN442" s="1" t="n">
        <f aca="false">N(AN441)+IF(AND(OR(R442="offered",R442="to be offered",R442="on hold"),B442&lt;&gt;""),1,0)</f>
        <v>33</v>
      </c>
      <c r="AO442" s="1" t="n">
        <f aca="false">N(AO441)+IF(AND(OR(R442="follow-up",R442="Evaluation",R442="tbd",R442="In evaluation"),B442&lt;&gt;""),1,0)</f>
        <v>1</v>
      </c>
      <c r="AP442" s="1" t="n">
        <f aca="false">IF(B442="",0,IF(COUNTIF('⚖️ Wahrscheinlichkeit'!$J$17:$J$24,R442)&gt;0,1,0))</f>
        <v>0</v>
      </c>
      <c r="AQ442" s="1" t="n">
        <f aca="false">IF(B442="",0,IF(AND(ISNUMBER(S442),COUNTIF('⚖️ Wahrscheinlichkeit'!$B$6:$B$11,S442)&gt;0),1,0))</f>
        <v>0</v>
      </c>
      <c r="AR442" s="1" t="n">
        <f aca="false">IF(B442="",0,IF(AND(COUNT(J442:M442)=4,SUM(J442:M442)&gt;0),1,0))</f>
        <v>0</v>
      </c>
      <c r="AS442" s="1" t="n">
        <f aca="false">IF(B442="",0,IF(AND(AF442&lt;&gt;"",AG442&lt;&gt;""),1,0))</f>
        <v>0</v>
      </c>
      <c r="AT442" s="1" t="n">
        <f aca="false">IF(AND(R442="WON",AS442=1,AR442=1),1,0)</f>
        <v>0</v>
      </c>
      <c r="AU442" s="1" t="n">
        <f aca="false">IF(B442="",0,IF(AD442="Alternative – zählt nicht",0,1))</f>
        <v>0</v>
      </c>
      <c r="AV442" s="1" t="n">
        <f aca="false">IF(B442="",0,IF(COUNTIF($B$6:$B$860,B442)&gt;1,1,0))</f>
        <v>0</v>
      </c>
      <c r="AX442" s="269" t="str">
        <f aca="false">IF(AY442=1,DATE(YEAR(O442),MONTH(O442),1),"")</f>
        <v/>
      </c>
      <c r="AY442" s="1" t="n">
        <f aca="false">IF(B442="",0,IF(AND(ISNUMBER(O442),ISNUMBER(P442)),IF(P442&gt;=O442,1,0),0))</f>
        <v>0</v>
      </c>
      <c r="AZ442" s="1" t="n">
        <f aca="false">IF(ISNUMBER(Y442),Y442,0)</f>
        <v>0</v>
      </c>
      <c r="BA442" s="1" t="str">
        <f aca="false">IF(B442="","",IF(AND(R442="WON",AS442=0),"⛔ Beleg fehlt · ","")&amp;IF(AND(R442="WON",AR442=0),"⛔ Einstand fehlt · ","")&amp;IF(AND(R442&lt;&gt;"WON",AR442=0),"○ Einstand offen · ","")&amp;IF(AND(R442="WON",AB442=""),"⛔ Vertragsart fehlt · ","")&amp;IF(AND(ISNUMBER(O442),ISNUMBER(P442)),IF(P442&lt;O442,"⚠ Ende vor Start · ",""),"")&amp;IF(AND(R442="WON",AY442=0,NOT(AND(ISNUMBER(O442),ISNUMBER(P442)))),"⛔ Zeitraum fehlt · ","")&amp;IF(AND(R442&lt;&gt;"WON",AY442=0,NOT(AND(ISNUMBER(O442),ISNUMBER(P442)))),"○ Zeitraum offen · ",""))</f>
        <v/>
      </c>
      <c r="BB442" s="1" t="str">
        <f aca="false">IF(B442="","",IF(AND(R442="WON",AS442=0),"⛔ Nachweis fehlt",IF(AND(ISNUMBER(O442),ISNUMBER(P442),P442&lt;O442),"⚠ Ende vor Start",IF(AND(R442="WON",AY442=0),"⛔ Zeitraum fehlt",IF(AR442=0,"○ Einstand offen",IF(AY442=0,"○ Zeitraum offen",IF(R442="WON","✅ belegt","✔ erfasst")))))))</f>
        <v/>
      </c>
    </row>
    <row r="443" customFormat="false" ht="15" hidden="false" customHeight="true" outlineLevel="0" collapsed="false">
      <c r="G443" s="1" t="str">
        <f aca="false">IF(B443="","",IF(AY443=1,P443-O443+1,IF(AW443="","",AW443)))</f>
        <v/>
      </c>
      <c r="I443" s="270"/>
      <c r="J443" s="270"/>
      <c r="K443" s="270"/>
      <c r="L443" s="270"/>
      <c r="M443" s="270"/>
      <c r="N443" s="270"/>
      <c r="O443" s="263"/>
      <c r="P443" s="263"/>
      <c r="Q443" s="270" t="str">
        <f aca="false">IF(AND(ISNUMBER(I443),ISNUMBER(S443)),I443*AJ443,IF(OR(I443&lt;&gt;"",S443&lt;&gt;""),"tbd",""))</f>
        <v/>
      </c>
      <c r="S443" s="268"/>
      <c r="Y443" s="275" t="str">
        <f aca="false">IF(ISNUMBER(I443),I443/Netto_Faktor,"")</f>
        <v/>
      </c>
      <c r="Z443" s="275" t="str">
        <f aca="false">IF(B443="","",IF(COUNT(J443:N443)=0,"",SUM(J443:N443)))</f>
        <v/>
      </c>
      <c r="AA443" s="266"/>
      <c r="AB443" s="266"/>
      <c r="AC443" s="266"/>
      <c r="AD443" s="266"/>
      <c r="AE443" s="266"/>
      <c r="AF443" s="266"/>
      <c r="AG443" s="267"/>
      <c r="AH443" s="266" t="str">
        <f aca="false">IF(B443="","",IF(BA443="",IF(R443="WON","✅ belegt &amp; vollständig","✔ vollständig"),LEFT(BA443,LEN(BA443)-3)))</f>
        <v/>
      </c>
      <c r="AJ443" s="268" t="n">
        <f aca="false">IF(ISNUMBER(S443),IFERROR(LOOKUP(IF(S443&lt;=1,S443,S443/100),'⚖️ Wahrscheinlichkeit'!$B$17:$B$21,'⚖️ Wahrscheinlichkeit'!$D$17:$D$21),0),0)</f>
        <v>0</v>
      </c>
      <c r="AK443" s="1" t="str">
        <f aca="false">IF(AND(R443="WON",ISNUMBER(I443)),AL443+(861-ROW())*0.000001,"")</f>
        <v/>
      </c>
      <c r="AL443" s="1" t="n">
        <f aca="false">IFERROR(I443*1,0)</f>
        <v>0</v>
      </c>
      <c r="AM443" s="1" t="n">
        <f aca="false">N(AM442)+IF(AND(R443="WON",B443&lt;&gt;""),1,0)</f>
        <v>12</v>
      </c>
      <c r="AN443" s="1" t="n">
        <f aca="false">N(AN442)+IF(AND(OR(R443="offered",R443="to be offered",R443="on hold"),B443&lt;&gt;""),1,0)</f>
        <v>33</v>
      </c>
      <c r="AO443" s="1" t="n">
        <f aca="false">N(AO442)+IF(AND(OR(R443="follow-up",R443="Evaluation",R443="tbd",R443="In evaluation"),B443&lt;&gt;""),1,0)</f>
        <v>1</v>
      </c>
      <c r="AP443" s="1" t="n">
        <f aca="false">IF(B443="",0,IF(COUNTIF('⚖️ Wahrscheinlichkeit'!$J$17:$J$24,R443)&gt;0,1,0))</f>
        <v>0</v>
      </c>
      <c r="AQ443" s="1" t="n">
        <f aca="false">IF(B443="",0,IF(AND(ISNUMBER(S443),COUNTIF('⚖️ Wahrscheinlichkeit'!$B$6:$B$11,S443)&gt;0),1,0))</f>
        <v>0</v>
      </c>
      <c r="AR443" s="1" t="n">
        <f aca="false">IF(B443="",0,IF(AND(COUNT(J443:M443)=4,SUM(J443:M443)&gt;0),1,0))</f>
        <v>0</v>
      </c>
      <c r="AS443" s="1" t="n">
        <f aca="false">IF(B443="",0,IF(AND(AF443&lt;&gt;"",AG443&lt;&gt;""),1,0))</f>
        <v>0</v>
      </c>
      <c r="AT443" s="1" t="n">
        <f aca="false">IF(AND(R443="WON",AS443=1,AR443=1),1,0)</f>
        <v>0</v>
      </c>
      <c r="AU443" s="1" t="n">
        <f aca="false">IF(B443="",0,IF(AD443="Alternative – zählt nicht",0,1))</f>
        <v>0</v>
      </c>
      <c r="AV443" s="1" t="n">
        <f aca="false">IF(B443="",0,IF(COUNTIF($B$6:$B$860,B443)&gt;1,1,0))</f>
        <v>0</v>
      </c>
      <c r="AX443" s="269" t="str">
        <f aca="false">IF(AY443=1,DATE(YEAR(O443),MONTH(O443),1),"")</f>
        <v/>
      </c>
      <c r="AY443" s="1" t="n">
        <f aca="false">IF(B443="",0,IF(AND(ISNUMBER(O443),ISNUMBER(P443)),IF(P443&gt;=O443,1,0),0))</f>
        <v>0</v>
      </c>
      <c r="AZ443" s="1" t="n">
        <f aca="false">IF(ISNUMBER(Y443),Y443,0)</f>
        <v>0</v>
      </c>
      <c r="BA443" s="1" t="str">
        <f aca="false">IF(B443="","",IF(AND(R443="WON",AS443=0),"⛔ Beleg fehlt · ","")&amp;IF(AND(R443="WON",AR443=0),"⛔ Einstand fehlt · ","")&amp;IF(AND(R443&lt;&gt;"WON",AR443=0),"○ Einstand offen · ","")&amp;IF(AND(R443="WON",AB443=""),"⛔ Vertragsart fehlt · ","")&amp;IF(AND(ISNUMBER(O443),ISNUMBER(P443)),IF(P443&lt;O443,"⚠ Ende vor Start · ",""),"")&amp;IF(AND(R443="WON",AY443=0,NOT(AND(ISNUMBER(O443),ISNUMBER(P443)))),"⛔ Zeitraum fehlt · ","")&amp;IF(AND(R443&lt;&gt;"WON",AY443=0,NOT(AND(ISNUMBER(O443),ISNUMBER(P443)))),"○ Zeitraum offen · ",""))</f>
        <v/>
      </c>
      <c r="BB443" s="1" t="str">
        <f aca="false">IF(B443="","",IF(AND(R443="WON",AS443=0),"⛔ Nachweis fehlt",IF(AND(ISNUMBER(O443),ISNUMBER(P443),P443&lt;O443),"⚠ Ende vor Start",IF(AND(R443="WON",AY443=0),"⛔ Zeitraum fehlt",IF(AR443=0,"○ Einstand offen",IF(AY443=0,"○ Zeitraum offen",IF(R443="WON","✅ belegt","✔ erfasst")))))))</f>
        <v/>
      </c>
    </row>
    <row r="444" customFormat="false" ht="15" hidden="false" customHeight="true" outlineLevel="0" collapsed="false">
      <c r="G444" s="1" t="str">
        <f aca="false">IF(B444="","",IF(AY444=1,P444-O444+1,IF(AW444="","",AW444)))</f>
        <v/>
      </c>
      <c r="I444" s="270"/>
      <c r="J444" s="270"/>
      <c r="K444" s="270"/>
      <c r="L444" s="270"/>
      <c r="M444" s="270"/>
      <c r="N444" s="270"/>
      <c r="O444" s="263"/>
      <c r="P444" s="263"/>
      <c r="Q444" s="270" t="str">
        <f aca="false">IF(AND(ISNUMBER(I444),ISNUMBER(S444)),I444*AJ444,IF(OR(I444&lt;&gt;"",S444&lt;&gt;""),"tbd",""))</f>
        <v/>
      </c>
      <c r="S444" s="268"/>
      <c r="Y444" s="275" t="str">
        <f aca="false">IF(ISNUMBER(I444),I444/Netto_Faktor,"")</f>
        <v/>
      </c>
      <c r="Z444" s="275" t="str">
        <f aca="false">IF(B444="","",IF(COUNT(J444:N444)=0,"",SUM(J444:N444)))</f>
        <v/>
      </c>
      <c r="AA444" s="266"/>
      <c r="AB444" s="266"/>
      <c r="AC444" s="266"/>
      <c r="AD444" s="266"/>
      <c r="AE444" s="266"/>
      <c r="AF444" s="266"/>
      <c r="AG444" s="267"/>
      <c r="AH444" s="266" t="str">
        <f aca="false">IF(B444="","",IF(BA444="",IF(R444="WON","✅ belegt &amp; vollständig","✔ vollständig"),LEFT(BA444,LEN(BA444)-3)))</f>
        <v/>
      </c>
      <c r="AJ444" s="268" t="n">
        <f aca="false">IF(ISNUMBER(S444),IFERROR(LOOKUP(IF(S444&lt;=1,S444,S444/100),'⚖️ Wahrscheinlichkeit'!$B$17:$B$21,'⚖️ Wahrscheinlichkeit'!$D$17:$D$21),0),0)</f>
        <v>0</v>
      </c>
      <c r="AK444" s="1" t="str">
        <f aca="false">IF(AND(R444="WON",ISNUMBER(I444)),AL444+(861-ROW())*0.000001,"")</f>
        <v/>
      </c>
      <c r="AL444" s="1" t="n">
        <f aca="false">IFERROR(I444*1,0)</f>
        <v>0</v>
      </c>
      <c r="AM444" s="1" t="n">
        <f aca="false">N(AM443)+IF(AND(R444="WON",B444&lt;&gt;""),1,0)</f>
        <v>12</v>
      </c>
      <c r="AN444" s="1" t="n">
        <f aca="false">N(AN443)+IF(AND(OR(R444="offered",R444="to be offered",R444="on hold"),B444&lt;&gt;""),1,0)</f>
        <v>33</v>
      </c>
      <c r="AO444" s="1" t="n">
        <f aca="false">N(AO443)+IF(AND(OR(R444="follow-up",R444="Evaluation",R444="tbd",R444="In evaluation"),B444&lt;&gt;""),1,0)</f>
        <v>1</v>
      </c>
      <c r="AP444" s="1" t="n">
        <f aca="false">IF(B444="",0,IF(COUNTIF('⚖️ Wahrscheinlichkeit'!$J$17:$J$24,R444)&gt;0,1,0))</f>
        <v>0</v>
      </c>
      <c r="AQ444" s="1" t="n">
        <f aca="false">IF(B444="",0,IF(AND(ISNUMBER(S444),COUNTIF('⚖️ Wahrscheinlichkeit'!$B$6:$B$11,S444)&gt;0),1,0))</f>
        <v>0</v>
      </c>
      <c r="AR444" s="1" t="n">
        <f aca="false">IF(B444="",0,IF(AND(COUNT(J444:M444)=4,SUM(J444:M444)&gt;0),1,0))</f>
        <v>0</v>
      </c>
      <c r="AS444" s="1" t="n">
        <f aca="false">IF(B444="",0,IF(AND(AF444&lt;&gt;"",AG444&lt;&gt;""),1,0))</f>
        <v>0</v>
      </c>
      <c r="AT444" s="1" t="n">
        <f aca="false">IF(AND(R444="WON",AS444=1,AR444=1),1,0)</f>
        <v>0</v>
      </c>
      <c r="AU444" s="1" t="n">
        <f aca="false">IF(B444="",0,IF(AD444="Alternative – zählt nicht",0,1))</f>
        <v>0</v>
      </c>
      <c r="AV444" s="1" t="n">
        <f aca="false">IF(B444="",0,IF(COUNTIF($B$6:$B$860,B444)&gt;1,1,0))</f>
        <v>0</v>
      </c>
      <c r="AX444" s="269" t="str">
        <f aca="false">IF(AY444=1,DATE(YEAR(O444),MONTH(O444),1),"")</f>
        <v/>
      </c>
      <c r="AY444" s="1" t="n">
        <f aca="false">IF(B444="",0,IF(AND(ISNUMBER(O444),ISNUMBER(P444)),IF(P444&gt;=O444,1,0),0))</f>
        <v>0</v>
      </c>
      <c r="AZ444" s="1" t="n">
        <f aca="false">IF(ISNUMBER(Y444),Y444,0)</f>
        <v>0</v>
      </c>
      <c r="BA444" s="1" t="str">
        <f aca="false">IF(B444="","",IF(AND(R444="WON",AS444=0),"⛔ Beleg fehlt · ","")&amp;IF(AND(R444="WON",AR444=0),"⛔ Einstand fehlt · ","")&amp;IF(AND(R444&lt;&gt;"WON",AR444=0),"○ Einstand offen · ","")&amp;IF(AND(R444="WON",AB444=""),"⛔ Vertragsart fehlt · ","")&amp;IF(AND(ISNUMBER(O444),ISNUMBER(P444)),IF(P444&lt;O444,"⚠ Ende vor Start · ",""),"")&amp;IF(AND(R444="WON",AY444=0,NOT(AND(ISNUMBER(O444),ISNUMBER(P444)))),"⛔ Zeitraum fehlt · ","")&amp;IF(AND(R444&lt;&gt;"WON",AY444=0,NOT(AND(ISNUMBER(O444),ISNUMBER(P444)))),"○ Zeitraum offen · ",""))</f>
        <v/>
      </c>
      <c r="BB444" s="1" t="str">
        <f aca="false">IF(B444="","",IF(AND(R444="WON",AS444=0),"⛔ Nachweis fehlt",IF(AND(ISNUMBER(O444),ISNUMBER(P444),P444&lt;O444),"⚠ Ende vor Start",IF(AND(R444="WON",AY444=0),"⛔ Zeitraum fehlt",IF(AR444=0,"○ Einstand offen",IF(AY444=0,"○ Zeitraum offen",IF(R444="WON","✅ belegt","✔ erfasst")))))))</f>
        <v/>
      </c>
    </row>
    <row r="445" customFormat="false" ht="15" hidden="false" customHeight="true" outlineLevel="0" collapsed="false">
      <c r="G445" s="1" t="str">
        <f aca="false">IF(B445="","",IF(AY445=1,P445-O445+1,IF(AW445="","",AW445)))</f>
        <v/>
      </c>
      <c r="I445" s="270"/>
      <c r="J445" s="270"/>
      <c r="K445" s="270"/>
      <c r="L445" s="270"/>
      <c r="M445" s="270"/>
      <c r="N445" s="270"/>
      <c r="O445" s="263"/>
      <c r="P445" s="263"/>
      <c r="Q445" s="270" t="str">
        <f aca="false">IF(AND(ISNUMBER(I445),ISNUMBER(S445)),I445*AJ445,IF(OR(I445&lt;&gt;"",S445&lt;&gt;""),"tbd",""))</f>
        <v/>
      </c>
      <c r="S445" s="268"/>
      <c r="Y445" s="275" t="str">
        <f aca="false">IF(ISNUMBER(I445),I445/Netto_Faktor,"")</f>
        <v/>
      </c>
      <c r="Z445" s="275" t="str">
        <f aca="false">IF(B445="","",IF(COUNT(J445:N445)=0,"",SUM(J445:N445)))</f>
        <v/>
      </c>
      <c r="AA445" s="266"/>
      <c r="AB445" s="266"/>
      <c r="AC445" s="266"/>
      <c r="AD445" s="266"/>
      <c r="AE445" s="266"/>
      <c r="AF445" s="266"/>
      <c r="AG445" s="267"/>
      <c r="AH445" s="266" t="str">
        <f aca="false">IF(B445="","",IF(BA445="",IF(R445="WON","✅ belegt &amp; vollständig","✔ vollständig"),LEFT(BA445,LEN(BA445)-3)))</f>
        <v/>
      </c>
      <c r="AJ445" s="268" t="n">
        <f aca="false">IF(ISNUMBER(S445),IFERROR(LOOKUP(IF(S445&lt;=1,S445,S445/100),'⚖️ Wahrscheinlichkeit'!$B$17:$B$21,'⚖️ Wahrscheinlichkeit'!$D$17:$D$21),0),0)</f>
        <v>0</v>
      </c>
      <c r="AK445" s="1" t="str">
        <f aca="false">IF(AND(R445="WON",ISNUMBER(I445)),AL445+(861-ROW())*0.000001,"")</f>
        <v/>
      </c>
      <c r="AL445" s="1" t="n">
        <f aca="false">IFERROR(I445*1,0)</f>
        <v>0</v>
      </c>
      <c r="AM445" s="1" t="n">
        <f aca="false">N(AM444)+IF(AND(R445="WON",B445&lt;&gt;""),1,0)</f>
        <v>12</v>
      </c>
      <c r="AN445" s="1" t="n">
        <f aca="false">N(AN444)+IF(AND(OR(R445="offered",R445="to be offered",R445="on hold"),B445&lt;&gt;""),1,0)</f>
        <v>33</v>
      </c>
      <c r="AO445" s="1" t="n">
        <f aca="false">N(AO444)+IF(AND(OR(R445="follow-up",R445="Evaluation",R445="tbd",R445="In evaluation"),B445&lt;&gt;""),1,0)</f>
        <v>1</v>
      </c>
      <c r="AP445" s="1" t="n">
        <f aca="false">IF(B445="",0,IF(COUNTIF('⚖️ Wahrscheinlichkeit'!$J$17:$J$24,R445)&gt;0,1,0))</f>
        <v>0</v>
      </c>
      <c r="AQ445" s="1" t="n">
        <f aca="false">IF(B445="",0,IF(AND(ISNUMBER(S445),COUNTIF('⚖️ Wahrscheinlichkeit'!$B$6:$B$11,S445)&gt;0),1,0))</f>
        <v>0</v>
      </c>
      <c r="AR445" s="1" t="n">
        <f aca="false">IF(B445="",0,IF(AND(COUNT(J445:M445)=4,SUM(J445:M445)&gt;0),1,0))</f>
        <v>0</v>
      </c>
      <c r="AS445" s="1" t="n">
        <f aca="false">IF(B445="",0,IF(AND(AF445&lt;&gt;"",AG445&lt;&gt;""),1,0))</f>
        <v>0</v>
      </c>
      <c r="AT445" s="1" t="n">
        <f aca="false">IF(AND(R445="WON",AS445=1,AR445=1),1,0)</f>
        <v>0</v>
      </c>
      <c r="AU445" s="1" t="n">
        <f aca="false">IF(B445="",0,IF(AD445="Alternative – zählt nicht",0,1))</f>
        <v>0</v>
      </c>
      <c r="AV445" s="1" t="n">
        <f aca="false">IF(B445="",0,IF(COUNTIF($B$6:$B$860,B445)&gt;1,1,0))</f>
        <v>0</v>
      </c>
      <c r="AX445" s="269" t="str">
        <f aca="false">IF(AY445=1,DATE(YEAR(O445),MONTH(O445),1),"")</f>
        <v/>
      </c>
      <c r="AY445" s="1" t="n">
        <f aca="false">IF(B445="",0,IF(AND(ISNUMBER(O445),ISNUMBER(P445)),IF(P445&gt;=O445,1,0),0))</f>
        <v>0</v>
      </c>
      <c r="AZ445" s="1" t="n">
        <f aca="false">IF(ISNUMBER(Y445),Y445,0)</f>
        <v>0</v>
      </c>
      <c r="BA445" s="1" t="str">
        <f aca="false">IF(B445="","",IF(AND(R445="WON",AS445=0),"⛔ Beleg fehlt · ","")&amp;IF(AND(R445="WON",AR445=0),"⛔ Einstand fehlt · ","")&amp;IF(AND(R445&lt;&gt;"WON",AR445=0),"○ Einstand offen · ","")&amp;IF(AND(R445="WON",AB445=""),"⛔ Vertragsart fehlt · ","")&amp;IF(AND(ISNUMBER(O445),ISNUMBER(P445)),IF(P445&lt;O445,"⚠ Ende vor Start · ",""),"")&amp;IF(AND(R445="WON",AY445=0,NOT(AND(ISNUMBER(O445),ISNUMBER(P445)))),"⛔ Zeitraum fehlt · ","")&amp;IF(AND(R445&lt;&gt;"WON",AY445=0,NOT(AND(ISNUMBER(O445),ISNUMBER(P445)))),"○ Zeitraum offen · ",""))</f>
        <v/>
      </c>
      <c r="BB445" s="1" t="str">
        <f aca="false">IF(B445="","",IF(AND(R445="WON",AS445=0),"⛔ Nachweis fehlt",IF(AND(ISNUMBER(O445),ISNUMBER(P445),P445&lt;O445),"⚠ Ende vor Start",IF(AND(R445="WON",AY445=0),"⛔ Zeitraum fehlt",IF(AR445=0,"○ Einstand offen",IF(AY445=0,"○ Zeitraum offen",IF(R445="WON","✅ belegt","✔ erfasst")))))))</f>
        <v/>
      </c>
    </row>
    <row r="446" customFormat="false" ht="15" hidden="false" customHeight="true" outlineLevel="0" collapsed="false">
      <c r="G446" s="1" t="str">
        <f aca="false">IF(B446="","",IF(AY446=1,P446-O446+1,IF(AW446="","",AW446)))</f>
        <v/>
      </c>
      <c r="I446" s="270"/>
      <c r="J446" s="270"/>
      <c r="K446" s="270"/>
      <c r="L446" s="270"/>
      <c r="M446" s="270"/>
      <c r="N446" s="270"/>
      <c r="O446" s="263"/>
      <c r="P446" s="263"/>
      <c r="Q446" s="270" t="str">
        <f aca="false">IF(AND(ISNUMBER(I446),ISNUMBER(S446)),I446*AJ446,IF(OR(I446&lt;&gt;"",S446&lt;&gt;""),"tbd",""))</f>
        <v/>
      </c>
      <c r="S446" s="268"/>
      <c r="Y446" s="275" t="str">
        <f aca="false">IF(ISNUMBER(I446),I446/Netto_Faktor,"")</f>
        <v/>
      </c>
      <c r="Z446" s="275" t="str">
        <f aca="false">IF(B446="","",IF(COUNT(J446:N446)=0,"",SUM(J446:N446)))</f>
        <v/>
      </c>
      <c r="AA446" s="266"/>
      <c r="AB446" s="266"/>
      <c r="AC446" s="266"/>
      <c r="AD446" s="266"/>
      <c r="AE446" s="266"/>
      <c r="AF446" s="266"/>
      <c r="AG446" s="267"/>
      <c r="AH446" s="266" t="str">
        <f aca="false">IF(B446="","",IF(BA446="",IF(R446="WON","✅ belegt &amp; vollständig","✔ vollständig"),LEFT(BA446,LEN(BA446)-3)))</f>
        <v/>
      </c>
      <c r="AJ446" s="268" t="n">
        <f aca="false">IF(ISNUMBER(S446),IFERROR(LOOKUP(IF(S446&lt;=1,S446,S446/100),'⚖️ Wahrscheinlichkeit'!$B$17:$B$21,'⚖️ Wahrscheinlichkeit'!$D$17:$D$21),0),0)</f>
        <v>0</v>
      </c>
      <c r="AK446" s="1" t="str">
        <f aca="false">IF(AND(R446="WON",ISNUMBER(I446)),AL446+(861-ROW())*0.000001,"")</f>
        <v/>
      </c>
      <c r="AL446" s="1" t="n">
        <f aca="false">IFERROR(I446*1,0)</f>
        <v>0</v>
      </c>
      <c r="AM446" s="1" t="n">
        <f aca="false">N(AM445)+IF(AND(R446="WON",B446&lt;&gt;""),1,0)</f>
        <v>12</v>
      </c>
      <c r="AN446" s="1" t="n">
        <f aca="false">N(AN445)+IF(AND(OR(R446="offered",R446="to be offered",R446="on hold"),B446&lt;&gt;""),1,0)</f>
        <v>33</v>
      </c>
      <c r="AO446" s="1" t="n">
        <f aca="false">N(AO445)+IF(AND(OR(R446="follow-up",R446="Evaluation",R446="tbd",R446="In evaluation"),B446&lt;&gt;""),1,0)</f>
        <v>1</v>
      </c>
      <c r="AP446" s="1" t="n">
        <f aca="false">IF(B446="",0,IF(COUNTIF('⚖️ Wahrscheinlichkeit'!$J$17:$J$24,R446)&gt;0,1,0))</f>
        <v>0</v>
      </c>
      <c r="AQ446" s="1" t="n">
        <f aca="false">IF(B446="",0,IF(AND(ISNUMBER(S446),COUNTIF('⚖️ Wahrscheinlichkeit'!$B$6:$B$11,S446)&gt;0),1,0))</f>
        <v>0</v>
      </c>
      <c r="AR446" s="1" t="n">
        <f aca="false">IF(B446="",0,IF(AND(COUNT(J446:M446)=4,SUM(J446:M446)&gt;0),1,0))</f>
        <v>0</v>
      </c>
      <c r="AS446" s="1" t="n">
        <f aca="false">IF(B446="",0,IF(AND(AF446&lt;&gt;"",AG446&lt;&gt;""),1,0))</f>
        <v>0</v>
      </c>
      <c r="AT446" s="1" t="n">
        <f aca="false">IF(AND(R446="WON",AS446=1,AR446=1),1,0)</f>
        <v>0</v>
      </c>
      <c r="AU446" s="1" t="n">
        <f aca="false">IF(B446="",0,IF(AD446="Alternative – zählt nicht",0,1))</f>
        <v>0</v>
      </c>
      <c r="AV446" s="1" t="n">
        <f aca="false">IF(B446="",0,IF(COUNTIF($B$6:$B$860,B446)&gt;1,1,0))</f>
        <v>0</v>
      </c>
      <c r="AX446" s="269" t="str">
        <f aca="false">IF(AY446=1,DATE(YEAR(O446),MONTH(O446),1),"")</f>
        <v/>
      </c>
      <c r="AY446" s="1" t="n">
        <f aca="false">IF(B446="",0,IF(AND(ISNUMBER(O446),ISNUMBER(P446)),IF(P446&gt;=O446,1,0),0))</f>
        <v>0</v>
      </c>
      <c r="AZ446" s="1" t="n">
        <f aca="false">IF(ISNUMBER(Y446),Y446,0)</f>
        <v>0</v>
      </c>
      <c r="BA446" s="1" t="str">
        <f aca="false">IF(B446="","",IF(AND(R446="WON",AS446=0),"⛔ Beleg fehlt · ","")&amp;IF(AND(R446="WON",AR446=0),"⛔ Einstand fehlt · ","")&amp;IF(AND(R446&lt;&gt;"WON",AR446=0),"○ Einstand offen · ","")&amp;IF(AND(R446="WON",AB446=""),"⛔ Vertragsart fehlt · ","")&amp;IF(AND(ISNUMBER(O446),ISNUMBER(P446)),IF(P446&lt;O446,"⚠ Ende vor Start · ",""),"")&amp;IF(AND(R446="WON",AY446=0,NOT(AND(ISNUMBER(O446),ISNUMBER(P446)))),"⛔ Zeitraum fehlt · ","")&amp;IF(AND(R446&lt;&gt;"WON",AY446=0,NOT(AND(ISNUMBER(O446),ISNUMBER(P446)))),"○ Zeitraum offen · ",""))</f>
        <v/>
      </c>
      <c r="BB446" s="1" t="str">
        <f aca="false">IF(B446="","",IF(AND(R446="WON",AS446=0),"⛔ Nachweis fehlt",IF(AND(ISNUMBER(O446),ISNUMBER(P446),P446&lt;O446),"⚠ Ende vor Start",IF(AND(R446="WON",AY446=0),"⛔ Zeitraum fehlt",IF(AR446=0,"○ Einstand offen",IF(AY446=0,"○ Zeitraum offen",IF(R446="WON","✅ belegt","✔ erfasst")))))))</f>
        <v/>
      </c>
    </row>
    <row r="447" customFormat="false" ht="15" hidden="false" customHeight="true" outlineLevel="0" collapsed="false">
      <c r="G447" s="1" t="str">
        <f aca="false">IF(B447="","",IF(AY447=1,P447-O447+1,IF(AW447="","",AW447)))</f>
        <v/>
      </c>
      <c r="I447" s="270"/>
      <c r="J447" s="270"/>
      <c r="K447" s="270"/>
      <c r="L447" s="270"/>
      <c r="M447" s="270"/>
      <c r="N447" s="270"/>
      <c r="O447" s="263"/>
      <c r="P447" s="263"/>
      <c r="Q447" s="270" t="str">
        <f aca="false">IF(AND(ISNUMBER(I447),ISNUMBER(S447)),I447*AJ447,IF(OR(I447&lt;&gt;"",S447&lt;&gt;""),"tbd",""))</f>
        <v/>
      </c>
      <c r="S447" s="268"/>
      <c r="Y447" s="275" t="str">
        <f aca="false">IF(ISNUMBER(I447),I447/Netto_Faktor,"")</f>
        <v/>
      </c>
      <c r="Z447" s="275" t="str">
        <f aca="false">IF(B447="","",IF(COUNT(J447:N447)=0,"",SUM(J447:N447)))</f>
        <v/>
      </c>
      <c r="AA447" s="266"/>
      <c r="AB447" s="266"/>
      <c r="AC447" s="266"/>
      <c r="AD447" s="266"/>
      <c r="AE447" s="266"/>
      <c r="AF447" s="266"/>
      <c r="AG447" s="267"/>
      <c r="AH447" s="266" t="str">
        <f aca="false">IF(B447="","",IF(BA447="",IF(R447="WON","✅ belegt &amp; vollständig","✔ vollständig"),LEFT(BA447,LEN(BA447)-3)))</f>
        <v/>
      </c>
      <c r="AJ447" s="268" t="n">
        <f aca="false">IF(ISNUMBER(S447),IFERROR(LOOKUP(IF(S447&lt;=1,S447,S447/100),'⚖️ Wahrscheinlichkeit'!$B$17:$B$21,'⚖️ Wahrscheinlichkeit'!$D$17:$D$21),0),0)</f>
        <v>0</v>
      </c>
      <c r="AK447" s="1" t="str">
        <f aca="false">IF(AND(R447="WON",ISNUMBER(I447)),AL447+(861-ROW())*0.000001,"")</f>
        <v/>
      </c>
      <c r="AL447" s="1" t="n">
        <f aca="false">IFERROR(I447*1,0)</f>
        <v>0</v>
      </c>
      <c r="AM447" s="1" t="n">
        <f aca="false">N(AM446)+IF(AND(R447="WON",B447&lt;&gt;""),1,0)</f>
        <v>12</v>
      </c>
      <c r="AN447" s="1" t="n">
        <f aca="false">N(AN446)+IF(AND(OR(R447="offered",R447="to be offered",R447="on hold"),B447&lt;&gt;""),1,0)</f>
        <v>33</v>
      </c>
      <c r="AO447" s="1" t="n">
        <f aca="false">N(AO446)+IF(AND(OR(R447="follow-up",R447="Evaluation",R447="tbd",R447="In evaluation"),B447&lt;&gt;""),1,0)</f>
        <v>1</v>
      </c>
      <c r="AP447" s="1" t="n">
        <f aca="false">IF(B447="",0,IF(COUNTIF('⚖️ Wahrscheinlichkeit'!$J$17:$J$24,R447)&gt;0,1,0))</f>
        <v>0</v>
      </c>
      <c r="AQ447" s="1" t="n">
        <f aca="false">IF(B447="",0,IF(AND(ISNUMBER(S447),COUNTIF('⚖️ Wahrscheinlichkeit'!$B$6:$B$11,S447)&gt;0),1,0))</f>
        <v>0</v>
      </c>
      <c r="AR447" s="1" t="n">
        <f aca="false">IF(B447="",0,IF(AND(COUNT(J447:M447)=4,SUM(J447:M447)&gt;0),1,0))</f>
        <v>0</v>
      </c>
      <c r="AS447" s="1" t="n">
        <f aca="false">IF(B447="",0,IF(AND(AF447&lt;&gt;"",AG447&lt;&gt;""),1,0))</f>
        <v>0</v>
      </c>
      <c r="AT447" s="1" t="n">
        <f aca="false">IF(AND(R447="WON",AS447=1,AR447=1),1,0)</f>
        <v>0</v>
      </c>
      <c r="AU447" s="1" t="n">
        <f aca="false">IF(B447="",0,IF(AD447="Alternative – zählt nicht",0,1))</f>
        <v>0</v>
      </c>
      <c r="AV447" s="1" t="n">
        <f aca="false">IF(B447="",0,IF(COUNTIF($B$6:$B$860,B447)&gt;1,1,0))</f>
        <v>0</v>
      </c>
      <c r="AX447" s="269" t="str">
        <f aca="false">IF(AY447=1,DATE(YEAR(O447),MONTH(O447),1),"")</f>
        <v/>
      </c>
      <c r="AY447" s="1" t="n">
        <f aca="false">IF(B447="",0,IF(AND(ISNUMBER(O447),ISNUMBER(P447)),IF(P447&gt;=O447,1,0),0))</f>
        <v>0</v>
      </c>
      <c r="AZ447" s="1" t="n">
        <f aca="false">IF(ISNUMBER(Y447),Y447,0)</f>
        <v>0</v>
      </c>
      <c r="BA447" s="1" t="str">
        <f aca="false">IF(B447="","",IF(AND(R447="WON",AS447=0),"⛔ Beleg fehlt · ","")&amp;IF(AND(R447="WON",AR447=0),"⛔ Einstand fehlt · ","")&amp;IF(AND(R447&lt;&gt;"WON",AR447=0),"○ Einstand offen · ","")&amp;IF(AND(R447="WON",AB447=""),"⛔ Vertragsart fehlt · ","")&amp;IF(AND(ISNUMBER(O447),ISNUMBER(P447)),IF(P447&lt;O447,"⚠ Ende vor Start · ",""),"")&amp;IF(AND(R447="WON",AY447=0,NOT(AND(ISNUMBER(O447),ISNUMBER(P447)))),"⛔ Zeitraum fehlt · ","")&amp;IF(AND(R447&lt;&gt;"WON",AY447=0,NOT(AND(ISNUMBER(O447),ISNUMBER(P447)))),"○ Zeitraum offen · ",""))</f>
        <v/>
      </c>
      <c r="BB447" s="1" t="str">
        <f aca="false">IF(B447="","",IF(AND(R447="WON",AS447=0),"⛔ Nachweis fehlt",IF(AND(ISNUMBER(O447),ISNUMBER(P447),P447&lt;O447),"⚠ Ende vor Start",IF(AND(R447="WON",AY447=0),"⛔ Zeitraum fehlt",IF(AR447=0,"○ Einstand offen",IF(AY447=0,"○ Zeitraum offen",IF(R447="WON","✅ belegt","✔ erfasst")))))))</f>
        <v/>
      </c>
    </row>
    <row r="448" customFormat="false" ht="15" hidden="false" customHeight="true" outlineLevel="0" collapsed="false">
      <c r="G448" s="1" t="str">
        <f aca="false">IF(B448="","",IF(AY448=1,P448-O448+1,IF(AW448="","",AW448)))</f>
        <v/>
      </c>
      <c r="I448" s="270"/>
      <c r="J448" s="270"/>
      <c r="K448" s="270"/>
      <c r="L448" s="270"/>
      <c r="M448" s="270"/>
      <c r="N448" s="270"/>
      <c r="O448" s="263"/>
      <c r="P448" s="263"/>
      <c r="Q448" s="270" t="str">
        <f aca="false">IF(AND(ISNUMBER(I448),ISNUMBER(S448)),I448*AJ448,IF(OR(I448&lt;&gt;"",S448&lt;&gt;""),"tbd",""))</f>
        <v/>
      </c>
      <c r="S448" s="268"/>
      <c r="Y448" s="275" t="str">
        <f aca="false">IF(ISNUMBER(I448),I448/Netto_Faktor,"")</f>
        <v/>
      </c>
      <c r="Z448" s="275" t="str">
        <f aca="false">IF(B448="","",IF(COUNT(J448:N448)=0,"",SUM(J448:N448)))</f>
        <v/>
      </c>
      <c r="AA448" s="266"/>
      <c r="AB448" s="266"/>
      <c r="AC448" s="266"/>
      <c r="AD448" s="266"/>
      <c r="AE448" s="266"/>
      <c r="AF448" s="266"/>
      <c r="AG448" s="267"/>
      <c r="AH448" s="266" t="str">
        <f aca="false">IF(B448="","",IF(BA448="",IF(R448="WON","✅ belegt &amp; vollständig","✔ vollständig"),LEFT(BA448,LEN(BA448)-3)))</f>
        <v/>
      </c>
      <c r="AJ448" s="268" t="n">
        <f aca="false">IF(ISNUMBER(S448),IFERROR(LOOKUP(IF(S448&lt;=1,S448,S448/100),'⚖️ Wahrscheinlichkeit'!$B$17:$B$21,'⚖️ Wahrscheinlichkeit'!$D$17:$D$21),0),0)</f>
        <v>0</v>
      </c>
      <c r="AK448" s="1" t="str">
        <f aca="false">IF(AND(R448="WON",ISNUMBER(I448)),AL448+(861-ROW())*0.000001,"")</f>
        <v/>
      </c>
      <c r="AL448" s="1" t="n">
        <f aca="false">IFERROR(I448*1,0)</f>
        <v>0</v>
      </c>
      <c r="AM448" s="1" t="n">
        <f aca="false">N(AM447)+IF(AND(R448="WON",B448&lt;&gt;""),1,0)</f>
        <v>12</v>
      </c>
      <c r="AN448" s="1" t="n">
        <f aca="false">N(AN447)+IF(AND(OR(R448="offered",R448="to be offered",R448="on hold"),B448&lt;&gt;""),1,0)</f>
        <v>33</v>
      </c>
      <c r="AO448" s="1" t="n">
        <f aca="false">N(AO447)+IF(AND(OR(R448="follow-up",R448="Evaluation",R448="tbd",R448="In evaluation"),B448&lt;&gt;""),1,0)</f>
        <v>1</v>
      </c>
      <c r="AP448" s="1" t="n">
        <f aca="false">IF(B448="",0,IF(COUNTIF('⚖️ Wahrscheinlichkeit'!$J$17:$J$24,R448)&gt;0,1,0))</f>
        <v>0</v>
      </c>
      <c r="AQ448" s="1" t="n">
        <f aca="false">IF(B448="",0,IF(AND(ISNUMBER(S448),COUNTIF('⚖️ Wahrscheinlichkeit'!$B$6:$B$11,S448)&gt;0),1,0))</f>
        <v>0</v>
      </c>
      <c r="AR448" s="1" t="n">
        <f aca="false">IF(B448="",0,IF(AND(COUNT(J448:M448)=4,SUM(J448:M448)&gt;0),1,0))</f>
        <v>0</v>
      </c>
      <c r="AS448" s="1" t="n">
        <f aca="false">IF(B448="",0,IF(AND(AF448&lt;&gt;"",AG448&lt;&gt;""),1,0))</f>
        <v>0</v>
      </c>
      <c r="AT448" s="1" t="n">
        <f aca="false">IF(AND(R448="WON",AS448=1,AR448=1),1,0)</f>
        <v>0</v>
      </c>
      <c r="AU448" s="1" t="n">
        <f aca="false">IF(B448="",0,IF(AD448="Alternative – zählt nicht",0,1))</f>
        <v>0</v>
      </c>
      <c r="AV448" s="1" t="n">
        <f aca="false">IF(B448="",0,IF(COUNTIF($B$6:$B$860,B448)&gt;1,1,0))</f>
        <v>0</v>
      </c>
      <c r="AX448" s="269" t="str">
        <f aca="false">IF(AY448=1,DATE(YEAR(O448),MONTH(O448),1),"")</f>
        <v/>
      </c>
      <c r="AY448" s="1" t="n">
        <f aca="false">IF(B448="",0,IF(AND(ISNUMBER(O448),ISNUMBER(P448)),IF(P448&gt;=O448,1,0),0))</f>
        <v>0</v>
      </c>
      <c r="AZ448" s="1" t="n">
        <f aca="false">IF(ISNUMBER(Y448),Y448,0)</f>
        <v>0</v>
      </c>
      <c r="BA448" s="1" t="str">
        <f aca="false">IF(B448="","",IF(AND(R448="WON",AS448=0),"⛔ Beleg fehlt · ","")&amp;IF(AND(R448="WON",AR448=0),"⛔ Einstand fehlt · ","")&amp;IF(AND(R448&lt;&gt;"WON",AR448=0),"○ Einstand offen · ","")&amp;IF(AND(R448="WON",AB448=""),"⛔ Vertragsart fehlt · ","")&amp;IF(AND(ISNUMBER(O448),ISNUMBER(P448)),IF(P448&lt;O448,"⚠ Ende vor Start · ",""),"")&amp;IF(AND(R448="WON",AY448=0,NOT(AND(ISNUMBER(O448),ISNUMBER(P448)))),"⛔ Zeitraum fehlt · ","")&amp;IF(AND(R448&lt;&gt;"WON",AY448=0,NOT(AND(ISNUMBER(O448),ISNUMBER(P448)))),"○ Zeitraum offen · ",""))</f>
        <v/>
      </c>
      <c r="BB448" s="1" t="str">
        <f aca="false">IF(B448="","",IF(AND(R448="WON",AS448=0),"⛔ Nachweis fehlt",IF(AND(ISNUMBER(O448),ISNUMBER(P448),P448&lt;O448),"⚠ Ende vor Start",IF(AND(R448="WON",AY448=0),"⛔ Zeitraum fehlt",IF(AR448=0,"○ Einstand offen",IF(AY448=0,"○ Zeitraum offen",IF(R448="WON","✅ belegt","✔ erfasst")))))))</f>
        <v/>
      </c>
    </row>
    <row r="449" customFormat="false" ht="15" hidden="false" customHeight="true" outlineLevel="0" collapsed="false">
      <c r="G449" s="1" t="str">
        <f aca="false">IF(B449="","",IF(AY449=1,P449-O449+1,IF(AW449="","",AW449)))</f>
        <v/>
      </c>
      <c r="I449" s="270"/>
      <c r="J449" s="270"/>
      <c r="K449" s="270"/>
      <c r="L449" s="270"/>
      <c r="M449" s="270"/>
      <c r="N449" s="270"/>
      <c r="O449" s="263"/>
      <c r="P449" s="263"/>
      <c r="Q449" s="270" t="str">
        <f aca="false">IF(AND(ISNUMBER(I449),ISNUMBER(S449)),I449*AJ449,IF(OR(I449&lt;&gt;"",S449&lt;&gt;""),"tbd",""))</f>
        <v/>
      </c>
      <c r="S449" s="268"/>
      <c r="Y449" s="275" t="str">
        <f aca="false">IF(ISNUMBER(I449),I449/Netto_Faktor,"")</f>
        <v/>
      </c>
      <c r="Z449" s="275" t="str">
        <f aca="false">IF(B449="","",IF(COUNT(J449:N449)=0,"",SUM(J449:N449)))</f>
        <v/>
      </c>
      <c r="AA449" s="266"/>
      <c r="AB449" s="266"/>
      <c r="AC449" s="266"/>
      <c r="AD449" s="266"/>
      <c r="AE449" s="266"/>
      <c r="AF449" s="266"/>
      <c r="AG449" s="267"/>
      <c r="AH449" s="266" t="str">
        <f aca="false">IF(B449="","",IF(BA449="",IF(R449="WON","✅ belegt &amp; vollständig","✔ vollständig"),LEFT(BA449,LEN(BA449)-3)))</f>
        <v/>
      </c>
      <c r="AJ449" s="268" t="n">
        <f aca="false">IF(ISNUMBER(S449),IFERROR(LOOKUP(IF(S449&lt;=1,S449,S449/100),'⚖️ Wahrscheinlichkeit'!$B$17:$B$21,'⚖️ Wahrscheinlichkeit'!$D$17:$D$21),0),0)</f>
        <v>0</v>
      </c>
      <c r="AK449" s="1" t="str">
        <f aca="false">IF(AND(R449="WON",ISNUMBER(I449)),AL449+(861-ROW())*0.000001,"")</f>
        <v/>
      </c>
      <c r="AL449" s="1" t="n">
        <f aca="false">IFERROR(I449*1,0)</f>
        <v>0</v>
      </c>
      <c r="AM449" s="1" t="n">
        <f aca="false">N(AM448)+IF(AND(R449="WON",B449&lt;&gt;""),1,0)</f>
        <v>12</v>
      </c>
      <c r="AN449" s="1" t="n">
        <f aca="false">N(AN448)+IF(AND(OR(R449="offered",R449="to be offered",R449="on hold"),B449&lt;&gt;""),1,0)</f>
        <v>33</v>
      </c>
      <c r="AO449" s="1" t="n">
        <f aca="false">N(AO448)+IF(AND(OR(R449="follow-up",R449="Evaluation",R449="tbd",R449="In evaluation"),B449&lt;&gt;""),1,0)</f>
        <v>1</v>
      </c>
      <c r="AP449" s="1" t="n">
        <f aca="false">IF(B449="",0,IF(COUNTIF('⚖️ Wahrscheinlichkeit'!$J$17:$J$24,R449)&gt;0,1,0))</f>
        <v>0</v>
      </c>
      <c r="AQ449" s="1" t="n">
        <f aca="false">IF(B449="",0,IF(AND(ISNUMBER(S449),COUNTIF('⚖️ Wahrscheinlichkeit'!$B$6:$B$11,S449)&gt;0),1,0))</f>
        <v>0</v>
      </c>
      <c r="AR449" s="1" t="n">
        <f aca="false">IF(B449="",0,IF(AND(COUNT(J449:M449)=4,SUM(J449:M449)&gt;0),1,0))</f>
        <v>0</v>
      </c>
      <c r="AS449" s="1" t="n">
        <f aca="false">IF(B449="",0,IF(AND(AF449&lt;&gt;"",AG449&lt;&gt;""),1,0))</f>
        <v>0</v>
      </c>
      <c r="AT449" s="1" t="n">
        <f aca="false">IF(AND(R449="WON",AS449=1,AR449=1),1,0)</f>
        <v>0</v>
      </c>
      <c r="AU449" s="1" t="n">
        <f aca="false">IF(B449="",0,IF(AD449="Alternative – zählt nicht",0,1))</f>
        <v>0</v>
      </c>
      <c r="AV449" s="1" t="n">
        <f aca="false">IF(B449="",0,IF(COUNTIF($B$6:$B$860,B449)&gt;1,1,0))</f>
        <v>0</v>
      </c>
      <c r="AX449" s="269" t="str">
        <f aca="false">IF(AY449=1,DATE(YEAR(O449),MONTH(O449),1),"")</f>
        <v/>
      </c>
      <c r="AY449" s="1" t="n">
        <f aca="false">IF(B449="",0,IF(AND(ISNUMBER(O449),ISNUMBER(P449)),IF(P449&gt;=O449,1,0),0))</f>
        <v>0</v>
      </c>
      <c r="AZ449" s="1" t="n">
        <f aca="false">IF(ISNUMBER(Y449),Y449,0)</f>
        <v>0</v>
      </c>
      <c r="BA449" s="1" t="str">
        <f aca="false">IF(B449="","",IF(AND(R449="WON",AS449=0),"⛔ Beleg fehlt · ","")&amp;IF(AND(R449="WON",AR449=0),"⛔ Einstand fehlt · ","")&amp;IF(AND(R449&lt;&gt;"WON",AR449=0),"○ Einstand offen · ","")&amp;IF(AND(R449="WON",AB449=""),"⛔ Vertragsart fehlt · ","")&amp;IF(AND(ISNUMBER(O449),ISNUMBER(P449)),IF(P449&lt;O449,"⚠ Ende vor Start · ",""),"")&amp;IF(AND(R449="WON",AY449=0,NOT(AND(ISNUMBER(O449),ISNUMBER(P449)))),"⛔ Zeitraum fehlt · ","")&amp;IF(AND(R449&lt;&gt;"WON",AY449=0,NOT(AND(ISNUMBER(O449),ISNUMBER(P449)))),"○ Zeitraum offen · ",""))</f>
        <v/>
      </c>
      <c r="BB449" s="1" t="str">
        <f aca="false">IF(B449="","",IF(AND(R449="WON",AS449=0),"⛔ Nachweis fehlt",IF(AND(ISNUMBER(O449),ISNUMBER(P449),P449&lt;O449),"⚠ Ende vor Start",IF(AND(R449="WON",AY449=0),"⛔ Zeitraum fehlt",IF(AR449=0,"○ Einstand offen",IF(AY449=0,"○ Zeitraum offen",IF(R449="WON","✅ belegt","✔ erfasst")))))))</f>
        <v/>
      </c>
    </row>
    <row r="450" customFormat="false" ht="15" hidden="false" customHeight="true" outlineLevel="0" collapsed="false">
      <c r="G450" s="1" t="str">
        <f aca="false">IF(B450="","",IF(AY450=1,P450-O450+1,IF(AW450="","",AW450)))</f>
        <v/>
      </c>
      <c r="I450" s="270"/>
      <c r="J450" s="270"/>
      <c r="K450" s="270"/>
      <c r="L450" s="270"/>
      <c r="M450" s="270"/>
      <c r="N450" s="270"/>
      <c r="O450" s="263"/>
      <c r="P450" s="263"/>
      <c r="Q450" s="270" t="str">
        <f aca="false">IF(AND(ISNUMBER(I450),ISNUMBER(S450)),I450*AJ450,IF(OR(I450&lt;&gt;"",S450&lt;&gt;""),"tbd",""))</f>
        <v/>
      </c>
      <c r="S450" s="268"/>
      <c r="Y450" s="275" t="str">
        <f aca="false">IF(ISNUMBER(I450),I450/Netto_Faktor,"")</f>
        <v/>
      </c>
      <c r="Z450" s="275" t="str">
        <f aca="false">IF(B450="","",IF(COUNT(J450:N450)=0,"",SUM(J450:N450)))</f>
        <v/>
      </c>
      <c r="AA450" s="266"/>
      <c r="AB450" s="266"/>
      <c r="AC450" s="266"/>
      <c r="AD450" s="266"/>
      <c r="AE450" s="266"/>
      <c r="AF450" s="266"/>
      <c r="AG450" s="267"/>
      <c r="AH450" s="266" t="str">
        <f aca="false">IF(B450="","",IF(BA450="",IF(R450="WON","✅ belegt &amp; vollständig","✔ vollständig"),LEFT(BA450,LEN(BA450)-3)))</f>
        <v/>
      </c>
      <c r="AJ450" s="268" t="n">
        <f aca="false">IF(ISNUMBER(S450),IFERROR(LOOKUP(IF(S450&lt;=1,S450,S450/100),'⚖️ Wahrscheinlichkeit'!$B$17:$B$21,'⚖️ Wahrscheinlichkeit'!$D$17:$D$21),0),0)</f>
        <v>0</v>
      </c>
      <c r="AK450" s="1" t="str">
        <f aca="false">IF(AND(R450="WON",ISNUMBER(I450)),AL450+(861-ROW())*0.000001,"")</f>
        <v/>
      </c>
      <c r="AL450" s="1" t="n">
        <f aca="false">IFERROR(I450*1,0)</f>
        <v>0</v>
      </c>
      <c r="AM450" s="1" t="n">
        <f aca="false">N(AM449)+IF(AND(R450="WON",B450&lt;&gt;""),1,0)</f>
        <v>12</v>
      </c>
      <c r="AN450" s="1" t="n">
        <f aca="false">N(AN449)+IF(AND(OR(R450="offered",R450="to be offered",R450="on hold"),B450&lt;&gt;""),1,0)</f>
        <v>33</v>
      </c>
      <c r="AO450" s="1" t="n">
        <f aca="false">N(AO449)+IF(AND(OR(R450="follow-up",R450="Evaluation",R450="tbd",R450="In evaluation"),B450&lt;&gt;""),1,0)</f>
        <v>1</v>
      </c>
      <c r="AP450" s="1" t="n">
        <f aca="false">IF(B450="",0,IF(COUNTIF('⚖️ Wahrscheinlichkeit'!$J$17:$J$24,R450)&gt;0,1,0))</f>
        <v>0</v>
      </c>
      <c r="AQ450" s="1" t="n">
        <f aca="false">IF(B450="",0,IF(AND(ISNUMBER(S450),COUNTIF('⚖️ Wahrscheinlichkeit'!$B$6:$B$11,S450)&gt;0),1,0))</f>
        <v>0</v>
      </c>
      <c r="AR450" s="1" t="n">
        <f aca="false">IF(B450="",0,IF(AND(COUNT(J450:M450)=4,SUM(J450:M450)&gt;0),1,0))</f>
        <v>0</v>
      </c>
      <c r="AS450" s="1" t="n">
        <f aca="false">IF(B450="",0,IF(AND(AF450&lt;&gt;"",AG450&lt;&gt;""),1,0))</f>
        <v>0</v>
      </c>
      <c r="AT450" s="1" t="n">
        <f aca="false">IF(AND(R450="WON",AS450=1,AR450=1),1,0)</f>
        <v>0</v>
      </c>
      <c r="AU450" s="1" t="n">
        <f aca="false">IF(B450="",0,IF(AD450="Alternative – zählt nicht",0,1))</f>
        <v>0</v>
      </c>
      <c r="AV450" s="1" t="n">
        <f aca="false">IF(B450="",0,IF(COUNTIF($B$6:$B$860,B450)&gt;1,1,0))</f>
        <v>0</v>
      </c>
      <c r="AX450" s="269" t="str">
        <f aca="false">IF(AY450=1,DATE(YEAR(O450),MONTH(O450),1),"")</f>
        <v/>
      </c>
      <c r="AY450" s="1" t="n">
        <f aca="false">IF(B450="",0,IF(AND(ISNUMBER(O450),ISNUMBER(P450)),IF(P450&gt;=O450,1,0),0))</f>
        <v>0</v>
      </c>
      <c r="AZ450" s="1" t="n">
        <f aca="false">IF(ISNUMBER(Y450),Y450,0)</f>
        <v>0</v>
      </c>
      <c r="BA450" s="1" t="str">
        <f aca="false">IF(B450="","",IF(AND(R450="WON",AS450=0),"⛔ Beleg fehlt · ","")&amp;IF(AND(R450="WON",AR450=0),"⛔ Einstand fehlt · ","")&amp;IF(AND(R450&lt;&gt;"WON",AR450=0),"○ Einstand offen · ","")&amp;IF(AND(R450="WON",AB450=""),"⛔ Vertragsart fehlt · ","")&amp;IF(AND(ISNUMBER(O450),ISNUMBER(P450)),IF(P450&lt;O450,"⚠ Ende vor Start · ",""),"")&amp;IF(AND(R450="WON",AY450=0,NOT(AND(ISNUMBER(O450),ISNUMBER(P450)))),"⛔ Zeitraum fehlt · ","")&amp;IF(AND(R450&lt;&gt;"WON",AY450=0,NOT(AND(ISNUMBER(O450),ISNUMBER(P450)))),"○ Zeitraum offen · ",""))</f>
        <v/>
      </c>
      <c r="BB450" s="1" t="str">
        <f aca="false">IF(B450="","",IF(AND(R450="WON",AS450=0),"⛔ Nachweis fehlt",IF(AND(ISNUMBER(O450),ISNUMBER(P450),P450&lt;O450),"⚠ Ende vor Start",IF(AND(R450="WON",AY450=0),"⛔ Zeitraum fehlt",IF(AR450=0,"○ Einstand offen",IF(AY450=0,"○ Zeitraum offen",IF(R450="WON","✅ belegt","✔ erfasst")))))))</f>
        <v/>
      </c>
    </row>
    <row r="451" customFormat="false" ht="15" hidden="false" customHeight="true" outlineLevel="0" collapsed="false">
      <c r="G451" s="1" t="str">
        <f aca="false">IF(B451="","",IF(AY451=1,P451-O451+1,IF(AW451="","",AW451)))</f>
        <v/>
      </c>
      <c r="I451" s="270"/>
      <c r="J451" s="270"/>
      <c r="K451" s="270"/>
      <c r="L451" s="270"/>
      <c r="M451" s="270"/>
      <c r="N451" s="270"/>
      <c r="O451" s="263"/>
      <c r="P451" s="263"/>
      <c r="Q451" s="270" t="str">
        <f aca="false">IF(AND(ISNUMBER(I451),ISNUMBER(S451)),I451*AJ451,IF(OR(I451&lt;&gt;"",S451&lt;&gt;""),"tbd",""))</f>
        <v/>
      </c>
      <c r="S451" s="268"/>
      <c r="Y451" s="275" t="str">
        <f aca="false">IF(ISNUMBER(I451),I451/Netto_Faktor,"")</f>
        <v/>
      </c>
      <c r="Z451" s="275" t="str">
        <f aca="false">IF(B451="","",IF(COUNT(J451:N451)=0,"",SUM(J451:N451)))</f>
        <v/>
      </c>
      <c r="AA451" s="266"/>
      <c r="AB451" s="266"/>
      <c r="AC451" s="266"/>
      <c r="AD451" s="266"/>
      <c r="AE451" s="266"/>
      <c r="AF451" s="266"/>
      <c r="AG451" s="267"/>
      <c r="AH451" s="266" t="str">
        <f aca="false">IF(B451="","",IF(BA451="",IF(R451="WON","✅ belegt &amp; vollständig","✔ vollständig"),LEFT(BA451,LEN(BA451)-3)))</f>
        <v/>
      </c>
      <c r="AJ451" s="268" t="n">
        <f aca="false">IF(ISNUMBER(S451),IFERROR(LOOKUP(IF(S451&lt;=1,S451,S451/100),'⚖️ Wahrscheinlichkeit'!$B$17:$B$21,'⚖️ Wahrscheinlichkeit'!$D$17:$D$21),0),0)</f>
        <v>0</v>
      </c>
      <c r="AK451" s="1" t="str">
        <f aca="false">IF(AND(R451="WON",ISNUMBER(I451)),AL451+(861-ROW())*0.000001,"")</f>
        <v/>
      </c>
      <c r="AL451" s="1" t="n">
        <f aca="false">IFERROR(I451*1,0)</f>
        <v>0</v>
      </c>
      <c r="AM451" s="1" t="n">
        <f aca="false">N(AM450)+IF(AND(R451="WON",B451&lt;&gt;""),1,0)</f>
        <v>12</v>
      </c>
      <c r="AN451" s="1" t="n">
        <f aca="false">N(AN450)+IF(AND(OR(R451="offered",R451="to be offered",R451="on hold"),B451&lt;&gt;""),1,0)</f>
        <v>33</v>
      </c>
      <c r="AO451" s="1" t="n">
        <f aca="false">N(AO450)+IF(AND(OR(R451="follow-up",R451="Evaluation",R451="tbd",R451="In evaluation"),B451&lt;&gt;""),1,0)</f>
        <v>1</v>
      </c>
      <c r="AP451" s="1" t="n">
        <f aca="false">IF(B451="",0,IF(COUNTIF('⚖️ Wahrscheinlichkeit'!$J$17:$J$24,R451)&gt;0,1,0))</f>
        <v>0</v>
      </c>
      <c r="AQ451" s="1" t="n">
        <f aca="false">IF(B451="",0,IF(AND(ISNUMBER(S451),COUNTIF('⚖️ Wahrscheinlichkeit'!$B$6:$B$11,S451)&gt;0),1,0))</f>
        <v>0</v>
      </c>
      <c r="AR451" s="1" t="n">
        <f aca="false">IF(B451="",0,IF(AND(COUNT(J451:M451)=4,SUM(J451:M451)&gt;0),1,0))</f>
        <v>0</v>
      </c>
      <c r="AS451" s="1" t="n">
        <f aca="false">IF(B451="",0,IF(AND(AF451&lt;&gt;"",AG451&lt;&gt;""),1,0))</f>
        <v>0</v>
      </c>
      <c r="AT451" s="1" t="n">
        <f aca="false">IF(AND(R451="WON",AS451=1,AR451=1),1,0)</f>
        <v>0</v>
      </c>
      <c r="AU451" s="1" t="n">
        <f aca="false">IF(B451="",0,IF(AD451="Alternative – zählt nicht",0,1))</f>
        <v>0</v>
      </c>
      <c r="AV451" s="1" t="n">
        <f aca="false">IF(B451="",0,IF(COUNTIF($B$6:$B$860,B451)&gt;1,1,0))</f>
        <v>0</v>
      </c>
      <c r="AX451" s="269" t="str">
        <f aca="false">IF(AY451=1,DATE(YEAR(O451),MONTH(O451),1),"")</f>
        <v/>
      </c>
      <c r="AY451" s="1" t="n">
        <f aca="false">IF(B451="",0,IF(AND(ISNUMBER(O451),ISNUMBER(P451)),IF(P451&gt;=O451,1,0),0))</f>
        <v>0</v>
      </c>
      <c r="AZ451" s="1" t="n">
        <f aca="false">IF(ISNUMBER(Y451),Y451,0)</f>
        <v>0</v>
      </c>
      <c r="BA451" s="1" t="str">
        <f aca="false">IF(B451="","",IF(AND(R451="WON",AS451=0),"⛔ Beleg fehlt · ","")&amp;IF(AND(R451="WON",AR451=0),"⛔ Einstand fehlt · ","")&amp;IF(AND(R451&lt;&gt;"WON",AR451=0),"○ Einstand offen · ","")&amp;IF(AND(R451="WON",AB451=""),"⛔ Vertragsart fehlt · ","")&amp;IF(AND(ISNUMBER(O451),ISNUMBER(P451)),IF(P451&lt;O451,"⚠ Ende vor Start · ",""),"")&amp;IF(AND(R451="WON",AY451=0,NOT(AND(ISNUMBER(O451),ISNUMBER(P451)))),"⛔ Zeitraum fehlt · ","")&amp;IF(AND(R451&lt;&gt;"WON",AY451=0,NOT(AND(ISNUMBER(O451),ISNUMBER(P451)))),"○ Zeitraum offen · ",""))</f>
        <v/>
      </c>
      <c r="BB451" s="1" t="str">
        <f aca="false">IF(B451="","",IF(AND(R451="WON",AS451=0),"⛔ Nachweis fehlt",IF(AND(ISNUMBER(O451),ISNUMBER(P451),P451&lt;O451),"⚠ Ende vor Start",IF(AND(R451="WON",AY451=0),"⛔ Zeitraum fehlt",IF(AR451=0,"○ Einstand offen",IF(AY451=0,"○ Zeitraum offen",IF(R451="WON","✅ belegt","✔ erfasst")))))))</f>
        <v/>
      </c>
    </row>
    <row r="452" customFormat="false" ht="15" hidden="false" customHeight="true" outlineLevel="0" collapsed="false">
      <c r="G452" s="1" t="str">
        <f aca="false">IF(B452="","",IF(AY452=1,P452-O452+1,IF(AW452="","",AW452)))</f>
        <v/>
      </c>
      <c r="I452" s="270"/>
      <c r="J452" s="270"/>
      <c r="K452" s="270"/>
      <c r="L452" s="270"/>
      <c r="M452" s="270"/>
      <c r="N452" s="270"/>
      <c r="O452" s="263"/>
      <c r="P452" s="263"/>
      <c r="Q452" s="270" t="str">
        <f aca="false">IF(AND(ISNUMBER(I452),ISNUMBER(S452)),I452*AJ452,IF(OR(I452&lt;&gt;"",S452&lt;&gt;""),"tbd",""))</f>
        <v/>
      </c>
      <c r="S452" s="268"/>
      <c r="Y452" s="275" t="str">
        <f aca="false">IF(ISNUMBER(I452),I452/Netto_Faktor,"")</f>
        <v/>
      </c>
      <c r="Z452" s="275" t="str">
        <f aca="false">IF(B452="","",IF(COUNT(J452:N452)=0,"",SUM(J452:N452)))</f>
        <v/>
      </c>
      <c r="AA452" s="266"/>
      <c r="AB452" s="266"/>
      <c r="AC452" s="266"/>
      <c r="AD452" s="266"/>
      <c r="AE452" s="266"/>
      <c r="AF452" s="266"/>
      <c r="AG452" s="267"/>
      <c r="AH452" s="266" t="str">
        <f aca="false">IF(B452="","",IF(BA452="",IF(R452="WON","✅ belegt &amp; vollständig","✔ vollständig"),LEFT(BA452,LEN(BA452)-3)))</f>
        <v/>
      </c>
      <c r="AJ452" s="268" t="n">
        <f aca="false">IF(ISNUMBER(S452),IFERROR(LOOKUP(IF(S452&lt;=1,S452,S452/100),'⚖️ Wahrscheinlichkeit'!$B$17:$B$21,'⚖️ Wahrscheinlichkeit'!$D$17:$D$21),0),0)</f>
        <v>0</v>
      </c>
      <c r="AK452" s="1" t="str">
        <f aca="false">IF(AND(R452="WON",ISNUMBER(I452)),AL452+(861-ROW())*0.000001,"")</f>
        <v/>
      </c>
      <c r="AL452" s="1" t="n">
        <f aca="false">IFERROR(I452*1,0)</f>
        <v>0</v>
      </c>
      <c r="AM452" s="1" t="n">
        <f aca="false">N(AM451)+IF(AND(R452="WON",B452&lt;&gt;""),1,0)</f>
        <v>12</v>
      </c>
      <c r="AN452" s="1" t="n">
        <f aca="false">N(AN451)+IF(AND(OR(R452="offered",R452="to be offered",R452="on hold"),B452&lt;&gt;""),1,0)</f>
        <v>33</v>
      </c>
      <c r="AO452" s="1" t="n">
        <f aca="false">N(AO451)+IF(AND(OR(R452="follow-up",R452="Evaluation",R452="tbd",R452="In evaluation"),B452&lt;&gt;""),1,0)</f>
        <v>1</v>
      </c>
      <c r="AP452" s="1" t="n">
        <f aca="false">IF(B452="",0,IF(COUNTIF('⚖️ Wahrscheinlichkeit'!$J$17:$J$24,R452)&gt;0,1,0))</f>
        <v>0</v>
      </c>
      <c r="AQ452" s="1" t="n">
        <f aca="false">IF(B452="",0,IF(AND(ISNUMBER(S452),COUNTIF('⚖️ Wahrscheinlichkeit'!$B$6:$B$11,S452)&gt;0),1,0))</f>
        <v>0</v>
      </c>
      <c r="AR452" s="1" t="n">
        <f aca="false">IF(B452="",0,IF(AND(COUNT(J452:M452)=4,SUM(J452:M452)&gt;0),1,0))</f>
        <v>0</v>
      </c>
      <c r="AS452" s="1" t="n">
        <f aca="false">IF(B452="",0,IF(AND(AF452&lt;&gt;"",AG452&lt;&gt;""),1,0))</f>
        <v>0</v>
      </c>
      <c r="AT452" s="1" t="n">
        <f aca="false">IF(AND(R452="WON",AS452=1,AR452=1),1,0)</f>
        <v>0</v>
      </c>
      <c r="AU452" s="1" t="n">
        <f aca="false">IF(B452="",0,IF(AD452="Alternative – zählt nicht",0,1))</f>
        <v>0</v>
      </c>
      <c r="AV452" s="1" t="n">
        <f aca="false">IF(B452="",0,IF(COUNTIF($B$6:$B$860,B452)&gt;1,1,0))</f>
        <v>0</v>
      </c>
      <c r="AX452" s="269" t="str">
        <f aca="false">IF(AY452=1,DATE(YEAR(O452),MONTH(O452),1),"")</f>
        <v/>
      </c>
      <c r="AY452" s="1" t="n">
        <f aca="false">IF(B452="",0,IF(AND(ISNUMBER(O452),ISNUMBER(P452)),IF(P452&gt;=O452,1,0),0))</f>
        <v>0</v>
      </c>
      <c r="AZ452" s="1" t="n">
        <f aca="false">IF(ISNUMBER(Y452),Y452,0)</f>
        <v>0</v>
      </c>
      <c r="BA452" s="1" t="str">
        <f aca="false">IF(B452="","",IF(AND(R452="WON",AS452=0),"⛔ Beleg fehlt · ","")&amp;IF(AND(R452="WON",AR452=0),"⛔ Einstand fehlt · ","")&amp;IF(AND(R452&lt;&gt;"WON",AR452=0),"○ Einstand offen · ","")&amp;IF(AND(R452="WON",AB452=""),"⛔ Vertragsart fehlt · ","")&amp;IF(AND(ISNUMBER(O452),ISNUMBER(P452)),IF(P452&lt;O452,"⚠ Ende vor Start · ",""),"")&amp;IF(AND(R452="WON",AY452=0,NOT(AND(ISNUMBER(O452),ISNUMBER(P452)))),"⛔ Zeitraum fehlt · ","")&amp;IF(AND(R452&lt;&gt;"WON",AY452=0,NOT(AND(ISNUMBER(O452),ISNUMBER(P452)))),"○ Zeitraum offen · ",""))</f>
        <v/>
      </c>
      <c r="BB452" s="1" t="str">
        <f aca="false">IF(B452="","",IF(AND(R452="WON",AS452=0),"⛔ Nachweis fehlt",IF(AND(ISNUMBER(O452),ISNUMBER(P452),P452&lt;O452),"⚠ Ende vor Start",IF(AND(R452="WON",AY452=0),"⛔ Zeitraum fehlt",IF(AR452=0,"○ Einstand offen",IF(AY452=0,"○ Zeitraum offen",IF(R452="WON","✅ belegt","✔ erfasst")))))))</f>
        <v/>
      </c>
    </row>
    <row r="453" customFormat="false" ht="15" hidden="false" customHeight="true" outlineLevel="0" collapsed="false">
      <c r="G453" s="1" t="str">
        <f aca="false">IF(B453="","",IF(AY453=1,P453-O453+1,IF(AW453="","",AW453)))</f>
        <v/>
      </c>
      <c r="I453" s="270"/>
      <c r="J453" s="270"/>
      <c r="K453" s="270"/>
      <c r="L453" s="270"/>
      <c r="M453" s="270"/>
      <c r="N453" s="270"/>
      <c r="O453" s="263"/>
      <c r="P453" s="263"/>
      <c r="Q453" s="270" t="str">
        <f aca="false">IF(AND(ISNUMBER(I453),ISNUMBER(S453)),I453*AJ453,IF(OR(I453&lt;&gt;"",S453&lt;&gt;""),"tbd",""))</f>
        <v/>
      </c>
      <c r="S453" s="268"/>
      <c r="Y453" s="275" t="str">
        <f aca="false">IF(ISNUMBER(I453),I453/Netto_Faktor,"")</f>
        <v/>
      </c>
      <c r="Z453" s="275" t="str">
        <f aca="false">IF(B453="","",IF(COUNT(J453:N453)=0,"",SUM(J453:N453)))</f>
        <v/>
      </c>
      <c r="AA453" s="266"/>
      <c r="AB453" s="266"/>
      <c r="AC453" s="266"/>
      <c r="AD453" s="266"/>
      <c r="AE453" s="266"/>
      <c r="AF453" s="266"/>
      <c r="AG453" s="267"/>
      <c r="AH453" s="266" t="str">
        <f aca="false">IF(B453="","",IF(BA453="",IF(R453="WON","✅ belegt &amp; vollständig","✔ vollständig"),LEFT(BA453,LEN(BA453)-3)))</f>
        <v/>
      </c>
      <c r="AJ453" s="268" t="n">
        <f aca="false">IF(ISNUMBER(S453),IFERROR(LOOKUP(IF(S453&lt;=1,S453,S453/100),'⚖️ Wahrscheinlichkeit'!$B$17:$B$21,'⚖️ Wahrscheinlichkeit'!$D$17:$D$21),0),0)</f>
        <v>0</v>
      </c>
      <c r="AK453" s="1" t="str">
        <f aca="false">IF(AND(R453="WON",ISNUMBER(I453)),AL453+(861-ROW())*0.000001,"")</f>
        <v/>
      </c>
      <c r="AL453" s="1" t="n">
        <f aca="false">IFERROR(I453*1,0)</f>
        <v>0</v>
      </c>
      <c r="AM453" s="1" t="n">
        <f aca="false">N(AM452)+IF(AND(R453="WON",B453&lt;&gt;""),1,0)</f>
        <v>12</v>
      </c>
      <c r="AN453" s="1" t="n">
        <f aca="false">N(AN452)+IF(AND(OR(R453="offered",R453="to be offered",R453="on hold"),B453&lt;&gt;""),1,0)</f>
        <v>33</v>
      </c>
      <c r="AO453" s="1" t="n">
        <f aca="false">N(AO452)+IF(AND(OR(R453="follow-up",R453="Evaluation",R453="tbd",R453="In evaluation"),B453&lt;&gt;""),1,0)</f>
        <v>1</v>
      </c>
      <c r="AP453" s="1" t="n">
        <f aca="false">IF(B453="",0,IF(COUNTIF('⚖️ Wahrscheinlichkeit'!$J$17:$J$24,R453)&gt;0,1,0))</f>
        <v>0</v>
      </c>
      <c r="AQ453" s="1" t="n">
        <f aca="false">IF(B453="",0,IF(AND(ISNUMBER(S453),COUNTIF('⚖️ Wahrscheinlichkeit'!$B$6:$B$11,S453)&gt;0),1,0))</f>
        <v>0</v>
      </c>
      <c r="AR453" s="1" t="n">
        <f aca="false">IF(B453="",0,IF(AND(COUNT(J453:M453)=4,SUM(J453:M453)&gt;0),1,0))</f>
        <v>0</v>
      </c>
      <c r="AS453" s="1" t="n">
        <f aca="false">IF(B453="",0,IF(AND(AF453&lt;&gt;"",AG453&lt;&gt;""),1,0))</f>
        <v>0</v>
      </c>
      <c r="AT453" s="1" t="n">
        <f aca="false">IF(AND(R453="WON",AS453=1,AR453=1),1,0)</f>
        <v>0</v>
      </c>
      <c r="AU453" s="1" t="n">
        <f aca="false">IF(B453="",0,IF(AD453="Alternative – zählt nicht",0,1))</f>
        <v>0</v>
      </c>
      <c r="AV453" s="1" t="n">
        <f aca="false">IF(B453="",0,IF(COUNTIF($B$6:$B$860,B453)&gt;1,1,0))</f>
        <v>0</v>
      </c>
      <c r="AX453" s="269" t="str">
        <f aca="false">IF(AY453=1,DATE(YEAR(O453),MONTH(O453),1),"")</f>
        <v/>
      </c>
      <c r="AY453" s="1" t="n">
        <f aca="false">IF(B453="",0,IF(AND(ISNUMBER(O453),ISNUMBER(P453)),IF(P453&gt;=O453,1,0),0))</f>
        <v>0</v>
      </c>
      <c r="AZ453" s="1" t="n">
        <f aca="false">IF(ISNUMBER(Y453),Y453,0)</f>
        <v>0</v>
      </c>
      <c r="BA453" s="1" t="str">
        <f aca="false">IF(B453="","",IF(AND(R453="WON",AS453=0),"⛔ Beleg fehlt · ","")&amp;IF(AND(R453="WON",AR453=0),"⛔ Einstand fehlt · ","")&amp;IF(AND(R453&lt;&gt;"WON",AR453=0),"○ Einstand offen · ","")&amp;IF(AND(R453="WON",AB453=""),"⛔ Vertragsart fehlt · ","")&amp;IF(AND(ISNUMBER(O453),ISNUMBER(P453)),IF(P453&lt;O453,"⚠ Ende vor Start · ",""),"")&amp;IF(AND(R453="WON",AY453=0,NOT(AND(ISNUMBER(O453),ISNUMBER(P453)))),"⛔ Zeitraum fehlt · ","")&amp;IF(AND(R453&lt;&gt;"WON",AY453=0,NOT(AND(ISNUMBER(O453),ISNUMBER(P453)))),"○ Zeitraum offen · ",""))</f>
        <v/>
      </c>
      <c r="BB453" s="1" t="str">
        <f aca="false">IF(B453="","",IF(AND(R453="WON",AS453=0),"⛔ Nachweis fehlt",IF(AND(ISNUMBER(O453),ISNUMBER(P453),P453&lt;O453),"⚠ Ende vor Start",IF(AND(R453="WON",AY453=0),"⛔ Zeitraum fehlt",IF(AR453=0,"○ Einstand offen",IF(AY453=0,"○ Zeitraum offen",IF(R453="WON","✅ belegt","✔ erfasst")))))))</f>
        <v/>
      </c>
    </row>
    <row r="454" customFormat="false" ht="15" hidden="false" customHeight="true" outlineLevel="0" collapsed="false">
      <c r="G454" s="1" t="str">
        <f aca="false">IF(B454="","",IF(AY454=1,P454-O454+1,IF(AW454="","",AW454)))</f>
        <v/>
      </c>
      <c r="I454" s="270"/>
      <c r="J454" s="270"/>
      <c r="K454" s="270"/>
      <c r="L454" s="270"/>
      <c r="M454" s="270"/>
      <c r="N454" s="270"/>
      <c r="O454" s="263"/>
      <c r="P454" s="263"/>
      <c r="Q454" s="270" t="str">
        <f aca="false">IF(AND(ISNUMBER(I454),ISNUMBER(S454)),I454*AJ454,IF(OR(I454&lt;&gt;"",S454&lt;&gt;""),"tbd",""))</f>
        <v/>
      </c>
      <c r="S454" s="268"/>
      <c r="Y454" s="275" t="str">
        <f aca="false">IF(ISNUMBER(I454),I454/Netto_Faktor,"")</f>
        <v/>
      </c>
      <c r="Z454" s="275" t="str">
        <f aca="false">IF(B454="","",IF(COUNT(J454:N454)=0,"",SUM(J454:N454)))</f>
        <v/>
      </c>
      <c r="AA454" s="266"/>
      <c r="AB454" s="266"/>
      <c r="AC454" s="266"/>
      <c r="AD454" s="266"/>
      <c r="AE454" s="266"/>
      <c r="AF454" s="266"/>
      <c r="AG454" s="267"/>
      <c r="AH454" s="266" t="str">
        <f aca="false">IF(B454="","",IF(BA454="",IF(R454="WON","✅ belegt &amp; vollständig","✔ vollständig"),LEFT(BA454,LEN(BA454)-3)))</f>
        <v/>
      </c>
      <c r="AJ454" s="268" t="n">
        <f aca="false">IF(ISNUMBER(S454),IFERROR(LOOKUP(IF(S454&lt;=1,S454,S454/100),'⚖️ Wahrscheinlichkeit'!$B$17:$B$21,'⚖️ Wahrscheinlichkeit'!$D$17:$D$21),0),0)</f>
        <v>0</v>
      </c>
      <c r="AK454" s="1" t="str">
        <f aca="false">IF(AND(R454="WON",ISNUMBER(I454)),AL454+(861-ROW())*0.000001,"")</f>
        <v/>
      </c>
      <c r="AL454" s="1" t="n">
        <f aca="false">IFERROR(I454*1,0)</f>
        <v>0</v>
      </c>
      <c r="AM454" s="1" t="n">
        <f aca="false">N(AM453)+IF(AND(R454="WON",B454&lt;&gt;""),1,0)</f>
        <v>12</v>
      </c>
      <c r="AN454" s="1" t="n">
        <f aca="false">N(AN453)+IF(AND(OR(R454="offered",R454="to be offered",R454="on hold"),B454&lt;&gt;""),1,0)</f>
        <v>33</v>
      </c>
      <c r="AO454" s="1" t="n">
        <f aca="false">N(AO453)+IF(AND(OR(R454="follow-up",R454="Evaluation",R454="tbd",R454="In evaluation"),B454&lt;&gt;""),1,0)</f>
        <v>1</v>
      </c>
      <c r="AP454" s="1" t="n">
        <f aca="false">IF(B454="",0,IF(COUNTIF('⚖️ Wahrscheinlichkeit'!$J$17:$J$24,R454)&gt;0,1,0))</f>
        <v>0</v>
      </c>
      <c r="AQ454" s="1" t="n">
        <f aca="false">IF(B454="",0,IF(AND(ISNUMBER(S454),COUNTIF('⚖️ Wahrscheinlichkeit'!$B$6:$B$11,S454)&gt;0),1,0))</f>
        <v>0</v>
      </c>
      <c r="AR454" s="1" t="n">
        <f aca="false">IF(B454="",0,IF(AND(COUNT(J454:M454)=4,SUM(J454:M454)&gt;0),1,0))</f>
        <v>0</v>
      </c>
      <c r="AS454" s="1" t="n">
        <f aca="false">IF(B454="",0,IF(AND(AF454&lt;&gt;"",AG454&lt;&gt;""),1,0))</f>
        <v>0</v>
      </c>
      <c r="AT454" s="1" t="n">
        <f aca="false">IF(AND(R454="WON",AS454=1,AR454=1),1,0)</f>
        <v>0</v>
      </c>
      <c r="AU454" s="1" t="n">
        <f aca="false">IF(B454="",0,IF(AD454="Alternative – zählt nicht",0,1))</f>
        <v>0</v>
      </c>
      <c r="AV454" s="1" t="n">
        <f aca="false">IF(B454="",0,IF(COUNTIF($B$6:$B$860,B454)&gt;1,1,0))</f>
        <v>0</v>
      </c>
      <c r="AX454" s="269" t="str">
        <f aca="false">IF(AY454=1,DATE(YEAR(O454),MONTH(O454),1),"")</f>
        <v/>
      </c>
      <c r="AY454" s="1" t="n">
        <f aca="false">IF(B454="",0,IF(AND(ISNUMBER(O454),ISNUMBER(P454)),IF(P454&gt;=O454,1,0),0))</f>
        <v>0</v>
      </c>
      <c r="AZ454" s="1" t="n">
        <f aca="false">IF(ISNUMBER(Y454),Y454,0)</f>
        <v>0</v>
      </c>
      <c r="BA454" s="1" t="str">
        <f aca="false">IF(B454="","",IF(AND(R454="WON",AS454=0),"⛔ Beleg fehlt · ","")&amp;IF(AND(R454="WON",AR454=0),"⛔ Einstand fehlt · ","")&amp;IF(AND(R454&lt;&gt;"WON",AR454=0),"○ Einstand offen · ","")&amp;IF(AND(R454="WON",AB454=""),"⛔ Vertragsart fehlt · ","")&amp;IF(AND(ISNUMBER(O454),ISNUMBER(P454)),IF(P454&lt;O454,"⚠ Ende vor Start · ",""),"")&amp;IF(AND(R454="WON",AY454=0,NOT(AND(ISNUMBER(O454),ISNUMBER(P454)))),"⛔ Zeitraum fehlt · ","")&amp;IF(AND(R454&lt;&gt;"WON",AY454=0,NOT(AND(ISNUMBER(O454),ISNUMBER(P454)))),"○ Zeitraum offen · ",""))</f>
        <v/>
      </c>
      <c r="BB454" s="1" t="str">
        <f aca="false">IF(B454="","",IF(AND(R454="WON",AS454=0),"⛔ Nachweis fehlt",IF(AND(ISNUMBER(O454),ISNUMBER(P454),P454&lt;O454),"⚠ Ende vor Start",IF(AND(R454="WON",AY454=0),"⛔ Zeitraum fehlt",IF(AR454=0,"○ Einstand offen",IF(AY454=0,"○ Zeitraum offen",IF(R454="WON","✅ belegt","✔ erfasst")))))))</f>
        <v/>
      </c>
    </row>
    <row r="455" customFormat="false" ht="15" hidden="false" customHeight="true" outlineLevel="0" collapsed="false">
      <c r="G455" s="1" t="str">
        <f aca="false">IF(B455="","",IF(AY455=1,P455-O455+1,IF(AW455="","",AW455)))</f>
        <v/>
      </c>
      <c r="I455" s="270"/>
      <c r="J455" s="270"/>
      <c r="K455" s="270"/>
      <c r="L455" s="270"/>
      <c r="M455" s="270"/>
      <c r="N455" s="270"/>
      <c r="O455" s="263"/>
      <c r="P455" s="263"/>
      <c r="Q455" s="270" t="str">
        <f aca="false">IF(AND(ISNUMBER(I455),ISNUMBER(S455)),I455*AJ455,IF(OR(I455&lt;&gt;"",S455&lt;&gt;""),"tbd",""))</f>
        <v/>
      </c>
      <c r="S455" s="268"/>
      <c r="Y455" s="275" t="str">
        <f aca="false">IF(ISNUMBER(I455),I455/Netto_Faktor,"")</f>
        <v/>
      </c>
      <c r="Z455" s="275" t="str">
        <f aca="false">IF(B455="","",IF(COUNT(J455:N455)=0,"",SUM(J455:N455)))</f>
        <v/>
      </c>
      <c r="AA455" s="266"/>
      <c r="AB455" s="266"/>
      <c r="AC455" s="266"/>
      <c r="AD455" s="266"/>
      <c r="AE455" s="266"/>
      <c r="AF455" s="266"/>
      <c r="AG455" s="267"/>
      <c r="AH455" s="266" t="str">
        <f aca="false">IF(B455="","",IF(BA455="",IF(R455="WON","✅ belegt &amp; vollständig","✔ vollständig"),LEFT(BA455,LEN(BA455)-3)))</f>
        <v/>
      </c>
      <c r="AJ455" s="268" t="n">
        <f aca="false">IF(ISNUMBER(S455),IFERROR(LOOKUP(IF(S455&lt;=1,S455,S455/100),'⚖️ Wahrscheinlichkeit'!$B$17:$B$21,'⚖️ Wahrscheinlichkeit'!$D$17:$D$21),0),0)</f>
        <v>0</v>
      </c>
      <c r="AK455" s="1" t="str">
        <f aca="false">IF(AND(R455="WON",ISNUMBER(I455)),AL455+(861-ROW())*0.000001,"")</f>
        <v/>
      </c>
      <c r="AL455" s="1" t="n">
        <f aca="false">IFERROR(I455*1,0)</f>
        <v>0</v>
      </c>
      <c r="AM455" s="1" t="n">
        <f aca="false">N(AM454)+IF(AND(R455="WON",B455&lt;&gt;""),1,0)</f>
        <v>12</v>
      </c>
      <c r="AN455" s="1" t="n">
        <f aca="false">N(AN454)+IF(AND(OR(R455="offered",R455="to be offered",R455="on hold"),B455&lt;&gt;""),1,0)</f>
        <v>33</v>
      </c>
      <c r="AO455" s="1" t="n">
        <f aca="false">N(AO454)+IF(AND(OR(R455="follow-up",R455="Evaluation",R455="tbd",R455="In evaluation"),B455&lt;&gt;""),1,0)</f>
        <v>1</v>
      </c>
      <c r="AP455" s="1" t="n">
        <f aca="false">IF(B455="",0,IF(COUNTIF('⚖️ Wahrscheinlichkeit'!$J$17:$J$24,R455)&gt;0,1,0))</f>
        <v>0</v>
      </c>
      <c r="AQ455" s="1" t="n">
        <f aca="false">IF(B455="",0,IF(AND(ISNUMBER(S455),COUNTIF('⚖️ Wahrscheinlichkeit'!$B$6:$B$11,S455)&gt;0),1,0))</f>
        <v>0</v>
      </c>
      <c r="AR455" s="1" t="n">
        <f aca="false">IF(B455="",0,IF(AND(COUNT(J455:M455)=4,SUM(J455:M455)&gt;0),1,0))</f>
        <v>0</v>
      </c>
      <c r="AS455" s="1" t="n">
        <f aca="false">IF(B455="",0,IF(AND(AF455&lt;&gt;"",AG455&lt;&gt;""),1,0))</f>
        <v>0</v>
      </c>
      <c r="AT455" s="1" t="n">
        <f aca="false">IF(AND(R455="WON",AS455=1,AR455=1),1,0)</f>
        <v>0</v>
      </c>
      <c r="AU455" s="1" t="n">
        <f aca="false">IF(B455="",0,IF(AD455="Alternative – zählt nicht",0,1))</f>
        <v>0</v>
      </c>
      <c r="AV455" s="1" t="n">
        <f aca="false">IF(B455="",0,IF(COUNTIF($B$6:$B$860,B455)&gt;1,1,0))</f>
        <v>0</v>
      </c>
      <c r="AX455" s="269" t="str">
        <f aca="false">IF(AY455=1,DATE(YEAR(O455),MONTH(O455),1),"")</f>
        <v/>
      </c>
      <c r="AY455" s="1" t="n">
        <f aca="false">IF(B455="",0,IF(AND(ISNUMBER(O455),ISNUMBER(P455)),IF(P455&gt;=O455,1,0),0))</f>
        <v>0</v>
      </c>
      <c r="AZ455" s="1" t="n">
        <f aca="false">IF(ISNUMBER(Y455),Y455,0)</f>
        <v>0</v>
      </c>
      <c r="BA455" s="1" t="str">
        <f aca="false">IF(B455="","",IF(AND(R455="WON",AS455=0),"⛔ Beleg fehlt · ","")&amp;IF(AND(R455="WON",AR455=0),"⛔ Einstand fehlt · ","")&amp;IF(AND(R455&lt;&gt;"WON",AR455=0),"○ Einstand offen · ","")&amp;IF(AND(R455="WON",AB455=""),"⛔ Vertragsart fehlt · ","")&amp;IF(AND(ISNUMBER(O455),ISNUMBER(P455)),IF(P455&lt;O455,"⚠ Ende vor Start · ",""),"")&amp;IF(AND(R455="WON",AY455=0,NOT(AND(ISNUMBER(O455),ISNUMBER(P455)))),"⛔ Zeitraum fehlt · ","")&amp;IF(AND(R455&lt;&gt;"WON",AY455=0,NOT(AND(ISNUMBER(O455),ISNUMBER(P455)))),"○ Zeitraum offen · ",""))</f>
        <v/>
      </c>
      <c r="BB455" s="1" t="str">
        <f aca="false">IF(B455="","",IF(AND(R455="WON",AS455=0),"⛔ Nachweis fehlt",IF(AND(ISNUMBER(O455),ISNUMBER(P455),P455&lt;O455),"⚠ Ende vor Start",IF(AND(R455="WON",AY455=0),"⛔ Zeitraum fehlt",IF(AR455=0,"○ Einstand offen",IF(AY455=0,"○ Zeitraum offen",IF(R455="WON","✅ belegt","✔ erfasst")))))))</f>
        <v/>
      </c>
    </row>
    <row r="456" customFormat="false" ht="15" hidden="false" customHeight="true" outlineLevel="0" collapsed="false">
      <c r="G456" s="1" t="str">
        <f aca="false">IF(B456="","",IF(AY456=1,P456-O456+1,IF(AW456="","",AW456)))</f>
        <v/>
      </c>
      <c r="I456" s="270"/>
      <c r="J456" s="270"/>
      <c r="K456" s="270"/>
      <c r="L456" s="270"/>
      <c r="M456" s="270"/>
      <c r="N456" s="270"/>
      <c r="O456" s="263"/>
      <c r="P456" s="263"/>
      <c r="Q456" s="270" t="str">
        <f aca="false">IF(AND(ISNUMBER(I456),ISNUMBER(S456)),I456*AJ456,IF(OR(I456&lt;&gt;"",S456&lt;&gt;""),"tbd",""))</f>
        <v/>
      </c>
      <c r="S456" s="268"/>
      <c r="Y456" s="275" t="str">
        <f aca="false">IF(ISNUMBER(I456),I456/Netto_Faktor,"")</f>
        <v/>
      </c>
      <c r="Z456" s="275" t="str">
        <f aca="false">IF(B456="","",IF(COUNT(J456:N456)=0,"",SUM(J456:N456)))</f>
        <v/>
      </c>
      <c r="AA456" s="266"/>
      <c r="AB456" s="266"/>
      <c r="AC456" s="266"/>
      <c r="AD456" s="266"/>
      <c r="AE456" s="266"/>
      <c r="AF456" s="266"/>
      <c r="AG456" s="267"/>
      <c r="AH456" s="266" t="str">
        <f aca="false">IF(B456="","",IF(BA456="",IF(R456="WON","✅ belegt &amp; vollständig","✔ vollständig"),LEFT(BA456,LEN(BA456)-3)))</f>
        <v/>
      </c>
      <c r="AJ456" s="268" t="n">
        <f aca="false">IF(ISNUMBER(S456),IFERROR(LOOKUP(IF(S456&lt;=1,S456,S456/100),'⚖️ Wahrscheinlichkeit'!$B$17:$B$21,'⚖️ Wahrscheinlichkeit'!$D$17:$D$21),0),0)</f>
        <v>0</v>
      </c>
      <c r="AK456" s="1" t="str">
        <f aca="false">IF(AND(R456="WON",ISNUMBER(I456)),AL456+(861-ROW())*0.000001,"")</f>
        <v/>
      </c>
      <c r="AL456" s="1" t="n">
        <f aca="false">IFERROR(I456*1,0)</f>
        <v>0</v>
      </c>
      <c r="AM456" s="1" t="n">
        <f aca="false">N(AM455)+IF(AND(R456="WON",B456&lt;&gt;""),1,0)</f>
        <v>12</v>
      </c>
      <c r="AN456" s="1" t="n">
        <f aca="false">N(AN455)+IF(AND(OR(R456="offered",R456="to be offered",R456="on hold"),B456&lt;&gt;""),1,0)</f>
        <v>33</v>
      </c>
      <c r="AO456" s="1" t="n">
        <f aca="false">N(AO455)+IF(AND(OR(R456="follow-up",R456="Evaluation",R456="tbd",R456="In evaluation"),B456&lt;&gt;""),1,0)</f>
        <v>1</v>
      </c>
      <c r="AP456" s="1" t="n">
        <f aca="false">IF(B456="",0,IF(COUNTIF('⚖️ Wahrscheinlichkeit'!$J$17:$J$24,R456)&gt;0,1,0))</f>
        <v>0</v>
      </c>
      <c r="AQ456" s="1" t="n">
        <f aca="false">IF(B456="",0,IF(AND(ISNUMBER(S456),COUNTIF('⚖️ Wahrscheinlichkeit'!$B$6:$B$11,S456)&gt;0),1,0))</f>
        <v>0</v>
      </c>
      <c r="AR456" s="1" t="n">
        <f aca="false">IF(B456="",0,IF(AND(COUNT(J456:M456)=4,SUM(J456:M456)&gt;0),1,0))</f>
        <v>0</v>
      </c>
      <c r="AS456" s="1" t="n">
        <f aca="false">IF(B456="",0,IF(AND(AF456&lt;&gt;"",AG456&lt;&gt;""),1,0))</f>
        <v>0</v>
      </c>
      <c r="AT456" s="1" t="n">
        <f aca="false">IF(AND(R456="WON",AS456=1,AR456=1),1,0)</f>
        <v>0</v>
      </c>
      <c r="AU456" s="1" t="n">
        <f aca="false">IF(B456="",0,IF(AD456="Alternative – zählt nicht",0,1))</f>
        <v>0</v>
      </c>
      <c r="AV456" s="1" t="n">
        <f aca="false">IF(B456="",0,IF(COUNTIF($B$6:$B$860,B456)&gt;1,1,0))</f>
        <v>0</v>
      </c>
      <c r="AX456" s="269" t="str">
        <f aca="false">IF(AY456=1,DATE(YEAR(O456),MONTH(O456),1),"")</f>
        <v/>
      </c>
      <c r="AY456" s="1" t="n">
        <f aca="false">IF(B456="",0,IF(AND(ISNUMBER(O456),ISNUMBER(P456)),IF(P456&gt;=O456,1,0),0))</f>
        <v>0</v>
      </c>
      <c r="AZ456" s="1" t="n">
        <f aca="false">IF(ISNUMBER(Y456),Y456,0)</f>
        <v>0</v>
      </c>
      <c r="BA456" s="1" t="str">
        <f aca="false">IF(B456="","",IF(AND(R456="WON",AS456=0),"⛔ Beleg fehlt · ","")&amp;IF(AND(R456="WON",AR456=0),"⛔ Einstand fehlt · ","")&amp;IF(AND(R456&lt;&gt;"WON",AR456=0),"○ Einstand offen · ","")&amp;IF(AND(R456="WON",AB456=""),"⛔ Vertragsart fehlt · ","")&amp;IF(AND(ISNUMBER(O456),ISNUMBER(P456)),IF(P456&lt;O456,"⚠ Ende vor Start · ",""),"")&amp;IF(AND(R456="WON",AY456=0,NOT(AND(ISNUMBER(O456),ISNUMBER(P456)))),"⛔ Zeitraum fehlt · ","")&amp;IF(AND(R456&lt;&gt;"WON",AY456=0,NOT(AND(ISNUMBER(O456),ISNUMBER(P456)))),"○ Zeitraum offen · ",""))</f>
        <v/>
      </c>
      <c r="BB456" s="1" t="str">
        <f aca="false">IF(B456="","",IF(AND(R456="WON",AS456=0),"⛔ Nachweis fehlt",IF(AND(ISNUMBER(O456),ISNUMBER(P456),P456&lt;O456),"⚠ Ende vor Start",IF(AND(R456="WON",AY456=0),"⛔ Zeitraum fehlt",IF(AR456=0,"○ Einstand offen",IF(AY456=0,"○ Zeitraum offen",IF(R456="WON","✅ belegt","✔ erfasst")))))))</f>
        <v/>
      </c>
    </row>
    <row r="457" customFormat="false" ht="15" hidden="false" customHeight="true" outlineLevel="0" collapsed="false">
      <c r="G457" s="1" t="str">
        <f aca="false">IF(B457="","",IF(AY457=1,P457-O457+1,IF(AW457="","",AW457)))</f>
        <v/>
      </c>
      <c r="I457" s="270"/>
      <c r="J457" s="270"/>
      <c r="K457" s="270"/>
      <c r="L457" s="270"/>
      <c r="M457" s="270"/>
      <c r="N457" s="270"/>
      <c r="O457" s="263"/>
      <c r="P457" s="263"/>
      <c r="Q457" s="270" t="str">
        <f aca="false">IF(AND(ISNUMBER(I457),ISNUMBER(S457)),I457*AJ457,IF(OR(I457&lt;&gt;"",S457&lt;&gt;""),"tbd",""))</f>
        <v/>
      </c>
      <c r="S457" s="268"/>
      <c r="Y457" s="275" t="str">
        <f aca="false">IF(ISNUMBER(I457),I457/Netto_Faktor,"")</f>
        <v/>
      </c>
      <c r="Z457" s="275" t="str">
        <f aca="false">IF(B457="","",IF(COUNT(J457:N457)=0,"",SUM(J457:N457)))</f>
        <v/>
      </c>
      <c r="AA457" s="266"/>
      <c r="AB457" s="266"/>
      <c r="AC457" s="266"/>
      <c r="AD457" s="266"/>
      <c r="AE457" s="266"/>
      <c r="AF457" s="266"/>
      <c r="AG457" s="267"/>
      <c r="AH457" s="266" t="str">
        <f aca="false">IF(B457="","",IF(BA457="",IF(R457="WON","✅ belegt &amp; vollständig","✔ vollständig"),LEFT(BA457,LEN(BA457)-3)))</f>
        <v/>
      </c>
      <c r="AJ457" s="268" t="n">
        <f aca="false">IF(ISNUMBER(S457),IFERROR(LOOKUP(IF(S457&lt;=1,S457,S457/100),'⚖️ Wahrscheinlichkeit'!$B$17:$B$21,'⚖️ Wahrscheinlichkeit'!$D$17:$D$21),0),0)</f>
        <v>0</v>
      </c>
      <c r="AK457" s="1" t="str">
        <f aca="false">IF(AND(R457="WON",ISNUMBER(I457)),AL457+(861-ROW())*0.000001,"")</f>
        <v/>
      </c>
      <c r="AL457" s="1" t="n">
        <f aca="false">IFERROR(I457*1,0)</f>
        <v>0</v>
      </c>
      <c r="AM457" s="1" t="n">
        <f aca="false">N(AM456)+IF(AND(R457="WON",B457&lt;&gt;""),1,0)</f>
        <v>12</v>
      </c>
      <c r="AN457" s="1" t="n">
        <f aca="false">N(AN456)+IF(AND(OR(R457="offered",R457="to be offered",R457="on hold"),B457&lt;&gt;""),1,0)</f>
        <v>33</v>
      </c>
      <c r="AO457" s="1" t="n">
        <f aca="false">N(AO456)+IF(AND(OR(R457="follow-up",R457="Evaluation",R457="tbd",R457="In evaluation"),B457&lt;&gt;""),1,0)</f>
        <v>1</v>
      </c>
      <c r="AP457" s="1" t="n">
        <f aca="false">IF(B457="",0,IF(COUNTIF('⚖️ Wahrscheinlichkeit'!$J$17:$J$24,R457)&gt;0,1,0))</f>
        <v>0</v>
      </c>
      <c r="AQ457" s="1" t="n">
        <f aca="false">IF(B457="",0,IF(AND(ISNUMBER(S457),COUNTIF('⚖️ Wahrscheinlichkeit'!$B$6:$B$11,S457)&gt;0),1,0))</f>
        <v>0</v>
      </c>
      <c r="AR457" s="1" t="n">
        <f aca="false">IF(B457="",0,IF(AND(COUNT(J457:M457)=4,SUM(J457:M457)&gt;0),1,0))</f>
        <v>0</v>
      </c>
      <c r="AS457" s="1" t="n">
        <f aca="false">IF(B457="",0,IF(AND(AF457&lt;&gt;"",AG457&lt;&gt;""),1,0))</f>
        <v>0</v>
      </c>
      <c r="AT457" s="1" t="n">
        <f aca="false">IF(AND(R457="WON",AS457=1,AR457=1),1,0)</f>
        <v>0</v>
      </c>
      <c r="AU457" s="1" t="n">
        <f aca="false">IF(B457="",0,IF(AD457="Alternative – zählt nicht",0,1))</f>
        <v>0</v>
      </c>
      <c r="AV457" s="1" t="n">
        <f aca="false">IF(B457="",0,IF(COUNTIF($B$6:$B$860,B457)&gt;1,1,0))</f>
        <v>0</v>
      </c>
      <c r="AX457" s="269" t="str">
        <f aca="false">IF(AY457=1,DATE(YEAR(O457),MONTH(O457),1),"")</f>
        <v/>
      </c>
      <c r="AY457" s="1" t="n">
        <f aca="false">IF(B457="",0,IF(AND(ISNUMBER(O457),ISNUMBER(P457)),IF(P457&gt;=O457,1,0),0))</f>
        <v>0</v>
      </c>
      <c r="AZ457" s="1" t="n">
        <f aca="false">IF(ISNUMBER(Y457),Y457,0)</f>
        <v>0</v>
      </c>
      <c r="BA457" s="1" t="str">
        <f aca="false">IF(B457="","",IF(AND(R457="WON",AS457=0),"⛔ Beleg fehlt · ","")&amp;IF(AND(R457="WON",AR457=0),"⛔ Einstand fehlt · ","")&amp;IF(AND(R457&lt;&gt;"WON",AR457=0),"○ Einstand offen · ","")&amp;IF(AND(R457="WON",AB457=""),"⛔ Vertragsart fehlt · ","")&amp;IF(AND(ISNUMBER(O457),ISNUMBER(P457)),IF(P457&lt;O457,"⚠ Ende vor Start · ",""),"")&amp;IF(AND(R457="WON",AY457=0,NOT(AND(ISNUMBER(O457),ISNUMBER(P457)))),"⛔ Zeitraum fehlt · ","")&amp;IF(AND(R457&lt;&gt;"WON",AY457=0,NOT(AND(ISNUMBER(O457),ISNUMBER(P457)))),"○ Zeitraum offen · ",""))</f>
        <v/>
      </c>
      <c r="BB457" s="1" t="str">
        <f aca="false">IF(B457="","",IF(AND(R457="WON",AS457=0),"⛔ Nachweis fehlt",IF(AND(ISNUMBER(O457),ISNUMBER(P457),P457&lt;O457),"⚠ Ende vor Start",IF(AND(R457="WON",AY457=0),"⛔ Zeitraum fehlt",IF(AR457=0,"○ Einstand offen",IF(AY457=0,"○ Zeitraum offen",IF(R457="WON","✅ belegt","✔ erfasst")))))))</f>
        <v/>
      </c>
    </row>
    <row r="458" customFormat="false" ht="15" hidden="false" customHeight="true" outlineLevel="0" collapsed="false">
      <c r="G458" s="1" t="str">
        <f aca="false">IF(B458="","",IF(AY458=1,P458-O458+1,IF(AW458="","",AW458)))</f>
        <v/>
      </c>
      <c r="I458" s="270"/>
      <c r="J458" s="270"/>
      <c r="K458" s="270"/>
      <c r="L458" s="270"/>
      <c r="M458" s="270"/>
      <c r="N458" s="270"/>
      <c r="O458" s="263"/>
      <c r="P458" s="263"/>
      <c r="Q458" s="270" t="str">
        <f aca="false">IF(AND(ISNUMBER(I458),ISNUMBER(S458)),I458*AJ458,IF(OR(I458&lt;&gt;"",S458&lt;&gt;""),"tbd",""))</f>
        <v/>
      </c>
      <c r="S458" s="268"/>
      <c r="Y458" s="275" t="str">
        <f aca="false">IF(ISNUMBER(I458),I458/Netto_Faktor,"")</f>
        <v/>
      </c>
      <c r="Z458" s="275" t="str">
        <f aca="false">IF(B458="","",IF(COUNT(J458:N458)=0,"",SUM(J458:N458)))</f>
        <v/>
      </c>
      <c r="AA458" s="266"/>
      <c r="AB458" s="266"/>
      <c r="AC458" s="266"/>
      <c r="AD458" s="266"/>
      <c r="AE458" s="266"/>
      <c r="AF458" s="266"/>
      <c r="AG458" s="267"/>
      <c r="AH458" s="266" t="str">
        <f aca="false">IF(B458="","",IF(BA458="",IF(R458="WON","✅ belegt &amp; vollständig","✔ vollständig"),LEFT(BA458,LEN(BA458)-3)))</f>
        <v/>
      </c>
      <c r="AJ458" s="268" t="n">
        <f aca="false">IF(ISNUMBER(S458),IFERROR(LOOKUP(IF(S458&lt;=1,S458,S458/100),'⚖️ Wahrscheinlichkeit'!$B$17:$B$21,'⚖️ Wahrscheinlichkeit'!$D$17:$D$21),0),0)</f>
        <v>0</v>
      </c>
      <c r="AK458" s="1" t="str">
        <f aca="false">IF(AND(R458="WON",ISNUMBER(I458)),AL458+(861-ROW())*0.000001,"")</f>
        <v/>
      </c>
      <c r="AL458" s="1" t="n">
        <f aca="false">IFERROR(I458*1,0)</f>
        <v>0</v>
      </c>
      <c r="AM458" s="1" t="n">
        <f aca="false">N(AM457)+IF(AND(R458="WON",B458&lt;&gt;""),1,0)</f>
        <v>12</v>
      </c>
      <c r="AN458" s="1" t="n">
        <f aca="false">N(AN457)+IF(AND(OR(R458="offered",R458="to be offered",R458="on hold"),B458&lt;&gt;""),1,0)</f>
        <v>33</v>
      </c>
      <c r="AO458" s="1" t="n">
        <f aca="false">N(AO457)+IF(AND(OR(R458="follow-up",R458="Evaluation",R458="tbd",R458="In evaluation"),B458&lt;&gt;""),1,0)</f>
        <v>1</v>
      </c>
      <c r="AP458" s="1" t="n">
        <f aca="false">IF(B458="",0,IF(COUNTIF('⚖️ Wahrscheinlichkeit'!$J$17:$J$24,R458)&gt;0,1,0))</f>
        <v>0</v>
      </c>
      <c r="AQ458" s="1" t="n">
        <f aca="false">IF(B458="",0,IF(AND(ISNUMBER(S458),COUNTIF('⚖️ Wahrscheinlichkeit'!$B$6:$B$11,S458)&gt;0),1,0))</f>
        <v>0</v>
      </c>
      <c r="AR458" s="1" t="n">
        <f aca="false">IF(B458="",0,IF(AND(COUNT(J458:M458)=4,SUM(J458:M458)&gt;0),1,0))</f>
        <v>0</v>
      </c>
      <c r="AS458" s="1" t="n">
        <f aca="false">IF(B458="",0,IF(AND(AF458&lt;&gt;"",AG458&lt;&gt;""),1,0))</f>
        <v>0</v>
      </c>
      <c r="AT458" s="1" t="n">
        <f aca="false">IF(AND(R458="WON",AS458=1,AR458=1),1,0)</f>
        <v>0</v>
      </c>
      <c r="AU458" s="1" t="n">
        <f aca="false">IF(B458="",0,IF(AD458="Alternative – zählt nicht",0,1))</f>
        <v>0</v>
      </c>
      <c r="AV458" s="1" t="n">
        <f aca="false">IF(B458="",0,IF(COUNTIF($B$6:$B$860,B458)&gt;1,1,0))</f>
        <v>0</v>
      </c>
      <c r="AX458" s="269" t="str">
        <f aca="false">IF(AY458=1,DATE(YEAR(O458),MONTH(O458),1),"")</f>
        <v/>
      </c>
      <c r="AY458" s="1" t="n">
        <f aca="false">IF(B458="",0,IF(AND(ISNUMBER(O458),ISNUMBER(P458)),IF(P458&gt;=O458,1,0),0))</f>
        <v>0</v>
      </c>
      <c r="AZ458" s="1" t="n">
        <f aca="false">IF(ISNUMBER(Y458),Y458,0)</f>
        <v>0</v>
      </c>
      <c r="BA458" s="1" t="str">
        <f aca="false">IF(B458="","",IF(AND(R458="WON",AS458=0),"⛔ Beleg fehlt · ","")&amp;IF(AND(R458="WON",AR458=0),"⛔ Einstand fehlt · ","")&amp;IF(AND(R458&lt;&gt;"WON",AR458=0),"○ Einstand offen · ","")&amp;IF(AND(R458="WON",AB458=""),"⛔ Vertragsart fehlt · ","")&amp;IF(AND(ISNUMBER(O458),ISNUMBER(P458)),IF(P458&lt;O458,"⚠ Ende vor Start · ",""),"")&amp;IF(AND(R458="WON",AY458=0,NOT(AND(ISNUMBER(O458),ISNUMBER(P458)))),"⛔ Zeitraum fehlt · ","")&amp;IF(AND(R458&lt;&gt;"WON",AY458=0,NOT(AND(ISNUMBER(O458),ISNUMBER(P458)))),"○ Zeitraum offen · ",""))</f>
        <v/>
      </c>
      <c r="BB458" s="1" t="str">
        <f aca="false">IF(B458="","",IF(AND(R458="WON",AS458=0),"⛔ Nachweis fehlt",IF(AND(ISNUMBER(O458),ISNUMBER(P458),P458&lt;O458),"⚠ Ende vor Start",IF(AND(R458="WON",AY458=0),"⛔ Zeitraum fehlt",IF(AR458=0,"○ Einstand offen",IF(AY458=0,"○ Zeitraum offen",IF(R458="WON","✅ belegt","✔ erfasst")))))))</f>
        <v/>
      </c>
    </row>
    <row r="459" customFormat="false" ht="15" hidden="false" customHeight="true" outlineLevel="0" collapsed="false">
      <c r="G459" s="1" t="str">
        <f aca="false">IF(B459="","",IF(AY459=1,P459-O459+1,IF(AW459="","",AW459)))</f>
        <v/>
      </c>
      <c r="I459" s="270"/>
      <c r="J459" s="270"/>
      <c r="K459" s="270"/>
      <c r="L459" s="270"/>
      <c r="M459" s="270"/>
      <c r="N459" s="270"/>
      <c r="O459" s="263"/>
      <c r="P459" s="263"/>
      <c r="Q459" s="270" t="str">
        <f aca="false">IF(AND(ISNUMBER(I459),ISNUMBER(S459)),I459*AJ459,IF(OR(I459&lt;&gt;"",S459&lt;&gt;""),"tbd",""))</f>
        <v/>
      </c>
      <c r="S459" s="268"/>
      <c r="Y459" s="275" t="str">
        <f aca="false">IF(ISNUMBER(I459),I459/Netto_Faktor,"")</f>
        <v/>
      </c>
      <c r="Z459" s="275" t="str">
        <f aca="false">IF(B459="","",IF(COUNT(J459:N459)=0,"",SUM(J459:N459)))</f>
        <v/>
      </c>
      <c r="AA459" s="266"/>
      <c r="AB459" s="266"/>
      <c r="AC459" s="266"/>
      <c r="AD459" s="266"/>
      <c r="AE459" s="266"/>
      <c r="AF459" s="266"/>
      <c r="AG459" s="267"/>
      <c r="AH459" s="266" t="str">
        <f aca="false">IF(B459="","",IF(BA459="",IF(R459="WON","✅ belegt &amp; vollständig","✔ vollständig"),LEFT(BA459,LEN(BA459)-3)))</f>
        <v/>
      </c>
      <c r="AJ459" s="268" t="n">
        <f aca="false">IF(ISNUMBER(S459),IFERROR(LOOKUP(IF(S459&lt;=1,S459,S459/100),'⚖️ Wahrscheinlichkeit'!$B$17:$B$21,'⚖️ Wahrscheinlichkeit'!$D$17:$D$21),0),0)</f>
        <v>0</v>
      </c>
      <c r="AK459" s="1" t="str">
        <f aca="false">IF(AND(R459="WON",ISNUMBER(I459)),AL459+(861-ROW())*0.000001,"")</f>
        <v/>
      </c>
      <c r="AL459" s="1" t="n">
        <f aca="false">IFERROR(I459*1,0)</f>
        <v>0</v>
      </c>
      <c r="AM459" s="1" t="n">
        <f aca="false">N(AM458)+IF(AND(R459="WON",B459&lt;&gt;""),1,0)</f>
        <v>12</v>
      </c>
      <c r="AN459" s="1" t="n">
        <f aca="false">N(AN458)+IF(AND(OR(R459="offered",R459="to be offered",R459="on hold"),B459&lt;&gt;""),1,0)</f>
        <v>33</v>
      </c>
      <c r="AO459" s="1" t="n">
        <f aca="false">N(AO458)+IF(AND(OR(R459="follow-up",R459="Evaluation",R459="tbd",R459="In evaluation"),B459&lt;&gt;""),1,0)</f>
        <v>1</v>
      </c>
      <c r="AP459" s="1" t="n">
        <f aca="false">IF(B459="",0,IF(COUNTIF('⚖️ Wahrscheinlichkeit'!$J$17:$J$24,R459)&gt;0,1,0))</f>
        <v>0</v>
      </c>
      <c r="AQ459" s="1" t="n">
        <f aca="false">IF(B459="",0,IF(AND(ISNUMBER(S459),COUNTIF('⚖️ Wahrscheinlichkeit'!$B$6:$B$11,S459)&gt;0),1,0))</f>
        <v>0</v>
      </c>
      <c r="AR459" s="1" t="n">
        <f aca="false">IF(B459="",0,IF(AND(COUNT(J459:M459)=4,SUM(J459:M459)&gt;0),1,0))</f>
        <v>0</v>
      </c>
      <c r="AS459" s="1" t="n">
        <f aca="false">IF(B459="",0,IF(AND(AF459&lt;&gt;"",AG459&lt;&gt;""),1,0))</f>
        <v>0</v>
      </c>
      <c r="AT459" s="1" t="n">
        <f aca="false">IF(AND(R459="WON",AS459=1,AR459=1),1,0)</f>
        <v>0</v>
      </c>
      <c r="AU459" s="1" t="n">
        <f aca="false">IF(B459="",0,IF(AD459="Alternative – zählt nicht",0,1))</f>
        <v>0</v>
      </c>
      <c r="AV459" s="1" t="n">
        <f aca="false">IF(B459="",0,IF(COUNTIF($B$6:$B$860,B459)&gt;1,1,0))</f>
        <v>0</v>
      </c>
      <c r="AX459" s="269" t="str">
        <f aca="false">IF(AY459=1,DATE(YEAR(O459),MONTH(O459),1),"")</f>
        <v/>
      </c>
      <c r="AY459" s="1" t="n">
        <f aca="false">IF(B459="",0,IF(AND(ISNUMBER(O459),ISNUMBER(P459)),IF(P459&gt;=O459,1,0),0))</f>
        <v>0</v>
      </c>
      <c r="AZ459" s="1" t="n">
        <f aca="false">IF(ISNUMBER(Y459),Y459,0)</f>
        <v>0</v>
      </c>
      <c r="BA459" s="1" t="str">
        <f aca="false">IF(B459="","",IF(AND(R459="WON",AS459=0),"⛔ Beleg fehlt · ","")&amp;IF(AND(R459="WON",AR459=0),"⛔ Einstand fehlt · ","")&amp;IF(AND(R459&lt;&gt;"WON",AR459=0),"○ Einstand offen · ","")&amp;IF(AND(R459="WON",AB459=""),"⛔ Vertragsart fehlt · ","")&amp;IF(AND(ISNUMBER(O459),ISNUMBER(P459)),IF(P459&lt;O459,"⚠ Ende vor Start · ",""),"")&amp;IF(AND(R459="WON",AY459=0,NOT(AND(ISNUMBER(O459),ISNUMBER(P459)))),"⛔ Zeitraum fehlt · ","")&amp;IF(AND(R459&lt;&gt;"WON",AY459=0,NOT(AND(ISNUMBER(O459),ISNUMBER(P459)))),"○ Zeitraum offen · ",""))</f>
        <v/>
      </c>
      <c r="BB459" s="1" t="str">
        <f aca="false">IF(B459="","",IF(AND(R459="WON",AS459=0),"⛔ Nachweis fehlt",IF(AND(ISNUMBER(O459),ISNUMBER(P459),P459&lt;O459),"⚠ Ende vor Start",IF(AND(R459="WON",AY459=0),"⛔ Zeitraum fehlt",IF(AR459=0,"○ Einstand offen",IF(AY459=0,"○ Zeitraum offen",IF(R459="WON","✅ belegt","✔ erfasst")))))))</f>
        <v/>
      </c>
    </row>
    <row r="460" customFormat="false" ht="15" hidden="false" customHeight="true" outlineLevel="0" collapsed="false">
      <c r="G460" s="1" t="str">
        <f aca="false">IF(B460="","",IF(AY460=1,P460-O460+1,IF(AW460="","",AW460)))</f>
        <v/>
      </c>
      <c r="I460" s="270"/>
      <c r="J460" s="270"/>
      <c r="K460" s="270"/>
      <c r="L460" s="270"/>
      <c r="M460" s="270"/>
      <c r="N460" s="270"/>
      <c r="O460" s="263"/>
      <c r="P460" s="263"/>
      <c r="Q460" s="270" t="str">
        <f aca="false">IF(AND(ISNUMBER(I460),ISNUMBER(S460)),I460*AJ460,IF(OR(I460&lt;&gt;"",S460&lt;&gt;""),"tbd",""))</f>
        <v/>
      </c>
      <c r="S460" s="268"/>
      <c r="Y460" s="275" t="str">
        <f aca="false">IF(ISNUMBER(I460),I460/Netto_Faktor,"")</f>
        <v/>
      </c>
      <c r="Z460" s="275" t="str">
        <f aca="false">IF(B460="","",IF(COUNT(J460:N460)=0,"",SUM(J460:N460)))</f>
        <v/>
      </c>
      <c r="AA460" s="266"/>
      <c r="AB460" s="266"/>
      <c r="AC460" s="266"/>
      <c r="AD460" s="266"/>
      <c r="AE460" s="266"/>
      <c r="AF460" s="266"/>
      <c r="AG460" s="267"/>
      <c r="AH460" s="266" t="str">
        <f aca="false">IF(B460="","",IF(BA460="",IF(R460="WON","✅ belegt &amp; vollständig","✔ vollständig"),LEFT(BA460,LEN(BA460)-3)))</f>
        <v/>
      </c>
      <c r="AJ460" s="268" t="n">
        <f aca="false">IF(ISNUMBER(S460),IFERROR(LOOKUP(IF(S460&lt;=1,S460,S460/100),'⚖️ Wahrscheinlichkeit'!$B$17:$B$21,'⚖️ Wahrscheinlichkeit'!$D$17:$D$21),0),0)</f>
        <v>0</v>
      </c>
      <c r="AK460" s="1" t="str">
        <f aca="false">IF(AND(R460="WON",ISNUMBER(I460)),AL460+(861-ROW())*0.000001,"")</f>
        <v/>
      </c>
      <c r="AL460" s="1" t="n">
        <f aca="false">IFERROR(I460*1,0)</f>
        <v>0</v>
      </c>
      <c r="AM460" s="1" t="n">
        <f aca="false">N(AM459)+IF(AND(R460="WON",B460&lt;&gt;""),1,0)</f>
        <v>12</v>
      </c>
      <c r="AN460" s="1" t="n">
        <f aca="false">N(AN459)+IF(AND(OR(R460="offered",R460="to be offered",R460="on hold"),B460&lt;&gt;""),1,0)</f>
        <v>33</v>
      </c>
      <c r="AO460" s="1" t="n">
        <f aca="false">N(AO459)+IF(AND(OR(R460="follow-up",R460="Evaluation",R460="tbd",R460="In evaluation"),B460&lt;&gt;""),1,0)</f>
        <v>1</v>
      </c>
      <c r="AP460" s="1" t="n">
        <f aca="false">IF(B460="",0,IF(COUNTIF('⚖️ Wahrscheinlichkeit'!$J$17:$J$24,R460)&gt;0,1,0))</f>
        <v>0</v>
      </c>
      <c r="AQ460" s="1" t="n">
        <f aca="false">IF(B460="",0,IF(AND(ISNUMBER(S460),COUNTIF('⚖️ Wahrscheinlichkeit'!$B$6:$B$11,S460)&gt;0),1,0))</f>
        <v>0</v>
      </c>
      <c r="AR460" s="1" t="n">
        <f aca="false">IF(B460="",0,IF(AND(COUNT(J460:M460)=4,SUM(J460:M460)&gt;0),1,0))</f>
        <v>0</v>
      </c>
      <c r="AS460" s="1" t="n">
        <f aca="false">IF(B460="",0,IF(AND(AF460&lt;&gt;"",AG460&lt;&gt;""),1,0))</f>
        <v>0</v>
      </c>
      <c r="AT460" s="1" t="n">
        <f aca="false">IF(AND(R460="WON",AS460=1,AR460=1),1,0)</f>
        <v>0</v>
      </c>
      <c r="AU460" s="1" t="n">
        <f aca="false">IF(B460="",0,IF(AD460="Alternative – zählt nicht",0,1))</f>
        <v>0</v>
      </c>
      <c r="AV460" s="1" t="n">
        <f aca="false">IF(B460="",0,IF(COUNTIF($B$6:$B$860,B460)&gt;1,1,0))</f>
        <v>0</v>
      </c>
      <c r="AX460" s="269" t="str">
        <f aca="false">IF(AY460=1,DATE(YEAR(O460),MONTH(O460),1),"")</f>
        <v/>
      </c>
      <c r="AY460" s="1" t="n">
        <f aca="false">IF(B460="",0,IF(AND(ISNUMBER(O460),ISNUMBER(P460)),IF(P460&gt;=O460,1,0),0))</f>
        <v>0</v>
      </c>
      <c r="AZ460" s="1" t="n">
        <f aca="false">IF(ISNUMBER(Y460),Y460,0)</f>
        <v>0</v>
      </c>
      <c r="BA460" s="1" t="str">
        <f aca="false">IF(B460="","",IF(AND(R460="WON",AS460=0),"⛔ Beleg fehlt · ","")&amp;IF(AND(R460="WON",AR460=0),"⛔ Einstand fehlt · ","")&amp;IF(AND(R460&lt;&gt;"WON",AR460=0),"○ Einstand offen · ","")&amp;IF(AND(R460="WON",AB460=""),"⛔ Vertragsart fehlt · ","")&amp;IF(AND(ISNUMBER(O460),ISNUMBER(P460)),IF(P460&lt;O460,"⚠ Ende vor Start · ",""),"")&amp;IF(AND(R460="WON",AY460=0,NOT(AND(ISNUMBER(O460),ISNUMBER(P460)))),"⛔ Zeitraum fehlt · ","")&amp;IF(AND(R460&lt;&gt;"WON",AY460=0,NOT(AND(ISNUMBER(O460),ISNUMBER(P460)))),"○ Zeitraum offen · ",""))</f>
        <v/>
      </c>
      <c r="BB460" s="1" t="str">
        <f aca="false">IF(B460="","",IF(AND(R460="WON",AS460=0),"⛔ Nachweis fehlt",IF(AND(ISNUMBER(O460),ISNUMBER(P460),P460&lt;O460),"⚠ Ende vor Start",IF(AND(R460="WON",AY460=0),"⛔ Zeitraum fehlt",IF(AR460=0,"○ Einstand offen",IF(AY460=0,"○ Zeitraum offen",IF(R460="WON","✅ belegt","✔ erfasst")))))))</f>
        <v/>
      </c>
    </row>
    <row r="461" customFormat="false" ht="15" hidden="false" customHeight="true" outlineLevel="0" collapsed="false">
      <c r="G461" s="1" t="str">
        <f aca="false">IF(B461="","",IF(AY461=1,P461-O461+1,IF(AW461="","",AW461)))</f>
        <v/>
      </c>
      <c r="I461" s="270"/>
      <c r="J461" s="270"/>
      <c r="K461" s="270"/>
      <c r="L461" s="270"/>
      <c r="M461" s="270"/>
      <c r="N461" s="270"/>
      <c r="O461" s="263"/>
      <c r="P461" s="263"/>
      <c r="Q461" s="270" t="str">
        <f aca="false">IF(AND(ISNUMBER(I461),ISNUMBER(S461)),I461*AJ461,IF(OR(I461&lt;&gt;"",S461&lt;&gt;""),"tbd",""))</f>
        <v/>
      </c>
      <c r="S461" s="268"/>
      <c r="Y461" s="275" t="str">
        <f aca="false">IF(ISNUMBER(I461),I461/Netto_Faktor,"")</f>
        <v/>
      </c>
      <c r="Z461" s="275" t="str">
        <f aca="false">IF(B461="","",IF(COUNT(J461:N461)=0,"",SUM(J461:N461)))</f>
        <v/>
      </c>
      <c r="AA461" s="266"/>
      <c r="AB461" s="266"/>
      <c r="AC461" s="266"/>
      <c r="AD461" s="266"/>
      <c r="AE461" s="266"/>
      <c r="AF461" s="266"/>
      <c r="AG461" s="267"/>
      <c r="AH461" s="266" t="str">
        <f aca="false">IF(B461="","",IF(BA461="",IF(R461="WON","✅ belegt &amp; vollständig","✔ vollständig"),LEFT(BA461,LEN(BA461)-3)))</f>
        <v/>
      </c>
      <c r="AJ461" s="268" t="n">
        <f aca="false">IF(ISNUMBER(S461),IFERROR(LOOKUP(IF(S461&lt;=1,S461,S461/100),'⚖️ Wahrscheinlichkeit'!$B$17:$B$21,'⚖️ Wahrscheinlichkeit'!$D$17:$D$21),0),0)</f>
        <v>0</v>
      </c>
      <c r="AK461" s="1" t="str">
        <f aca="false">IF(AND(R461="WON",ISNUMBER(I461)),AL461+(861-ROW())*0.000001,"")</f>
        <v/>
      </c>
      <c r="AL461" s="1" t="n">
        <f aca="false">IFERROR(I461*1,0)</f>
        <v>0</v>
      </c>
      <c r="AM461" s="1" t="n">
        <f aca="false">N(AM460)+IF(AND(R461="WON",B461&lt;&gt;""),1,0)</f>
        <v>12</v>
      </c>
      <c r="AN461" s="1" t="n">
        <f aca="false">N(AN460)+IF(AND(OR(R461="offered",R461="to be offered",R461="on hold"),B461&lt;&gt;""),1,0)</f>
        <v>33</v>
      </c>
      <c r="AO461" s="1" t="n">
        <f aca="false">N(AO460)+IF(AND(OR(R461="follow-up",R461="Evaluation",R461="tbd",R461="In evaluation"),B461&lt;&gt;""),1,0)</f>
        <v>1</v>
      </c>
      <c r="AP461" s="1" t="n">
        <f aca="false">IF(B461="",0,IF(COUNTIF('⚖️ Wahrscheinlichkeit'!$J$17:$J$24,R461)&gt;0,1,0))</f>
        <v>0</v>
      </c>
      <c r="AQ461" s="1" t="n">
        <f aca="false">IF(B461="",0,IF(AND(ISNUMBER(S461),COUNTIF('⚖️ Wahrscheinlichkeit'!$B$6:$B$11,S461)&gt;0),1,0))</f>
        <v>0</v>
      </c>
      <c r="AR461" s="1" t="n">
        <f aca="false">IF(B461="",0,IF(AND(COUNT(J461:M461)=4,SUM(J461:M461)&gt;0),1,0))</f>
        <v>0</v>
      </c>
      <c r="AS461" s="1" t="n">
        <f aca="false">IF(B461="",0,IF(AND(AF461&lt;&gt;"",AG461&lt;&gt;""),1,0))</f>
        <v>0</v>
      </c>
      <c r="AT461" s="1" t="n">
        <f aca="false">IF(AND(R461="WON",AS461=1,AR461=1),1,0)</f>
        <v>0</v>
      </c>
      <c r="AU461" s="1" t="n">
        <f aca="false">IF(B461="",0,IF(AD461="Alternative – zählt nicht",0,1))</f>
        <v>0</v>
      </c>
      <c r="AV461" s="1" t="n">
        <f aca="false">IF(B461="",0,IF(COUNTIF($B$6:$B$860,B461)&gt;1,1,0))</f>
        <v>0</v>
      </c>
      <c r="AX461" s="269" t="str">
        <f aca="false">IF(AY461=1,DATE(YEAR(O461),MONTH(O461),1),"")</f>
        <v/>
      </c>
      <c r="AY461" s="1" t="n">
        <f aca="false">IF(B461="",0,IF(AND(ISNUMBER(O461),ISNUMBER(P461)),IF(P461&gt;=O461,1,0),0))</f>
        <v>0</v>
      </c>
      <c r="AZ461" s="1" t="n">
        <f aca="false">IF(ISNUMBER(Y461),Y461,0)</f>
        <v>0</v>
      </c>
      <c r="BA461" s="1" t="str">
        <f aca="false">IF(B461="","",IF(AND(R461="WON",AS461=0),"⛔ Beleg fehlt · ","")&amp;IF(AND(R461="WON",AR461=0),"⛔ Einstand fehlt · ","")&amp;IF(AND(R461&lt;&gt;"WON",AR461=0),"○ Einstand offen · ","")&amp;IF(AND(R461="WON",AB461=""),"⛔ Vertragsart fehlt · ","")&amp;IF(AND(ISNUMBER(O461),ISNUMBER(P461)),IF(P461&lt;O461,"⚠ Ende vor Start · ",""),"")&amp;IF(AND(R461="WON",AY461=0,NOT(AND(ISNUMBER(O461),ISNUMBER(P461)))),"⛔ Zeitraum fehlt · ","")&amp;IF(AND(R461&lt;&gt;"WON",AY461=0,NOT(AND(ISNUMBER(O461),ISNUMBER(P461)))),"○ Zeitraum offen · ",""))</f>
        <v/>
      </c>
      <c r="BB461" s="1" t="str">
        <f aca="false">IF(B461="","",IF(AND(R461="WON",AS461=0),"⛔ Nachweis fehlt",IF(AND(ISNUMBER(O461),ISNUMBER(P461),P461&lt;O461),"⚠ Ende vor Start",IF(AND(R461="WON",AY461=0),"⛔ Zeitraum fehlt",IF(AR461=0,"○ Einstand offen",IF(AY461=0,"○ Zeitraum offen",IF(R461="WON","✅ belegt","✔ erfasst")))))))</f>
        <v/>
      </c>
    </row>
    <row r="462" customFormat="false" ht="15" hidden="false" customHeight="true" outlineLevel="0" collapsed="false">
      <c r="G462" s="1" t="str">
        <f aca="false">IF(B462="","",IF(AY462=1,P462-O462+1,IF(AW462="","",AW462)))</f>
        <v/>
      </c>
      <c r="I462" s="270"/>
      <c r="J462" s="270"/>
      <c r="K462" s="270"/>
      <c r="L462" s="270"/>
      <c r="M462" s="270"/>
      <c r="N462" s="270"/>
      <c r="O462" s="263"/>
      <c r="P462" s="263"/>
      <c r="Q462" s="270" t="str">
        <f aca="false">IF(AND(ISNUMBER(I462),ISNUMBER(S462)),I462*AJ462,IF(OR(I462&lt;&gt;"",S462&lt;&gt;""),"tbd",""))</f>
        <v/>
      </c>
      <c r="S462" s="268"/>
      <c r="Y462" s="275" t="str">
        <f aca="false">IF(ISNUMBER(I462),I462/Netto_Faktor,"")</f>
        <v/>
      </c>
      <c r="Z462" s="275" t="str">
        <f aca="false">IF(B462="","",IF(COUNT(J462:N462)=0,"",SUM(J462:N462)))</f>
        <v/>
      </c>
      <c r="AA462" s="266"/>
      <c r="AB462" s="266"/>
      <c r="AC462" s="266"/>
      <c r="AD462" s="266"/>
      <c r="AE462" s="266"/>
      <c r="AF462" s="266"/>
      <c r="AG462" s="267"/>
      <c r="AH462" s="266" t="str">
        <f aca="false">IF(B462="","",IF(BA462="",IF(R462="WON","✅ belegt &amp; vollständig","✔ vollständig"),LEFT(BA462,LEN(BA462)-3)))</f>
        <v/>
      </c>
      <c r="AJ462" s="268" t="n">
        <f aca="false">IF(ISNUMBER(S462),IFERROR(LOOKUP(IF(S462&lt;=1,S462,S462/100),'⚖️ Wahrscheinlichkeit'!$B$17:$B$21,'⚖️ Wahrscheinlichkeit'!$D$17:$D$21),0),0)</f>
        <v>0</v>
      </c>
      <c r="AK462" s="1" t="str">
        <f aca="false">IF(AND(R462="WON",ISNUMBER(I462)),AL462+(861-ROW())*0.000001,"")</f>
        <v/>
      </c>
      <c r="AL462" s="1" t="n">
        <f aca="false">IFERROR(I462*1,0)</f>
        <v>0</v>
      </c>
      <c r="AM462" s="1" t="n">
        <f aca="false">N(AM461)+IF(AND(R462="WON",B462&lt;&gt;""),1,0)</f>
        <v>12</v>
      </c>
      <c r="AN462" s="1" t="n">
        <f aca="false">N(AN461)+IF(AND(OR(R462="offered",R462="to be offered",R462="on hold"),B462&lt;&gt;""),1,0)</f>
        <v>33</v>
      </c>
      <c r="AO462" s="1" t="n">
        <f aca="false">N(AO461)+IF(AND(OR(R462="follow-up",R462="Evaluation",R462="tbd",R462="In evaluation"),B462&lt;&gt;""),1,0)</f>
        <v>1</v>
      </c>
      <c r="AP462" s="1" t="n">
        <f aca="false">IF(B462="",0,IF(COUNTIF('⚖️ Wahrscheinlichkeit'!$J$17:$J$24,R462)&gt;0,1,0))</f>
        <v>0</v>
      </c>
      <c r="AQ462" s="1" t="n">
        <f aca="false">IF(B462="",0,IF(AND(ISNUMBER(S462),COUNTIF('⚖️ Wahrscheinlichkeit'!$B$6:$B$11,S462)&gt;0),1,0))</f>
        <v>0</v>
      </c>
      <c r="AR462" s="1" t="n">
        <f aca="false">IF(B462="",0,IF(AND(COUNT(J462:M462)=4,SUM(J462:M462)&gt;0),1,0))</f>
        <v>0</v>
      </c>
      <c r="AS462" s="1" t="n">
        <f aca="false">IF(B462="",0,IF(AND(AF462&lt;&gt;"",AG462&lt;&gt;""),1,0))</f>
        <v>0</v>
      </c>
      <c r="AT462" s="1" t="n">
        <f aca="false">IF(AND(R462="WON",AS462=1,AR462=1),1,0)</f>
        <v>0</v>
      </c>
      <c r="AU462" s="1" t="n">
        <f aca="false">IF(B462="",0,IF(AD462="Alternative – zählt nicht",0,1))</f>
        <v>0</v>
      </c>
      <c r="AV462" s="1" t="n">
        <f aca="false">IF(B462="",0,IF(COUNTIF($B$6:$B$860,B462)&gt;1,1,0))</f>
        <v>0</v>
      </c>
      <c r="AX462" s="269" t="str">
        <f aca="false">IF(AY462=1,DATE(YEAR(O462),MONTH(O462),1),"")</f>
        <v/>
      </c>
      <c r="AY462" s="1" t="n">
        <f aca="false">IF(B462="",0,IF(AND(ISNUMBER(O462),ISNUMBER(P462)),IF(P462&gt;=O462,1,0),0))</f>
        <v>0</v>
      </c>
      <c r="AZ462" s="1" t="n">
        <f aca="false">IF(ISNUMBER(Y462),Y462,0)</f>
        <v>0</v>
      </c>
      <c r="BA462" s="1" t="str">
        <f aca="false">IF(B462="","",IF(AND(R462="WON",AS462=0),"⛔ Beleg fehlt · ","")&amp;IF(AND(R462="WON",AR462=0),"⛔ Einstand fehlt · ","")&amp;IF(AND(R462&lt;&gt;"WON",AR462=0),"○ Einstand offen · ","")&amp;IF(AND(R462="WON",AB462=""),"⛔ Vertragsart fehlt · ","")&amp;IF(AND(ISNUMBER(O462),ISNUMBER(P462)),IF(P462&lt;O462,"⚠ Ende vor Start · ",""),"")&amp;IF(AND(R462="WON",AY462=0,NOT(AND(ISNUMBER(O462),ISNUMBER(P462)))),"⛔ Zeitraum fehlt · ","")&amp;IF(AND(R462&lt;&gt;"WON",AY462=0,NOT(AND(ISNUMBER(O462),ISNUMBER(P462)))),"○ Zeitraum offen · ",""))</f>
        <v/>
      </c>
      <c r="BB462" s="1" t="str">
        <f aca="false">IF(B462="","",IF(AND(R462="WON",AS462=0),"⛔ Nachweis fehlt",IF(AND(ISNUMBER(O462),ISNUMBER(P462),P462&lt;O462),"⚠ Ende vor Start",IF(AND(R462="WON",AY462=0),"⛔ Zeitraum fehlt",IF(AR462=0,"○ Einstand offen",IF(AY462=0,"○ Zeitraum offen",IF(R462="WON","✅ belegt","✔ erfasst")))))))</f>
        <v/>
      </c>
    </row>
    <row r="463" customFormat="false" ht="15" hidden="false" customHeight="true" outlineLevel="0" collapsed="false">
      <c r="G463" s="1" t="str">
        <f aca="false">IF(B463="","",IF(AY463=1,P463-O463+1,IF(AW463="","",AW463)))</f>
        <v/>
      </c>
      <c r="I463" s="270"/>
      <c r="J463" s="270"/>
      <c r="K463" s="270"/>
      <c r="L463" s="270"/>
      <c r="M463" s="270"/>
      <c r="N463" s="270"/>
      <c r="O463" s="263"/>
      <c r="P463" s="263"/>
      <c r="Q463" s="270" t="str">
        <f aca="false">IF(AND(ISNUMBER(I463),ISNUMBER(S463)),I463*AJ463,IF(OR(I463&lt;&gt;"",S463&lt;&gt;""),"tbd",""))</f>
        <v/>
      </c>
      <c r="S463" s="268"/>
      <c r="Y463" s="275" t="str">
        <f aca="false">IF(ISNUMBER(I463),I463/Netto_Faktor,"")</f>
        <v/>
      </c>
      <c r="Z463" s="275" t="str">
        <f aca="false">IF(B463="","",IF(COUNT(J463:N463)=0,"",SUM(J463:N463)))</f>
        <v/>
      </c>
      <c r="AA463" s="266"/>
      <c r="AB463" s="266"/>
      <c r="AC463" s="266"/>
      <c r="AD463" s="266"/>
      <c r="AE463" s="266"/>
      <c r="AF463" s="266"/>
      <c r="AG463" s="267"/>
      <c r="AH463" s="266" t="str">
        <f aca="false">IF(B463="","",IF(BA463="",IF(R463="WON","✅ belegt &amp; vollständig","✔ vollständig"),LEFT(BA463,LEN(BA463)-3)))</f>
        <v/>
      </c>
      <c r="AJ463" s="268" t="n">
        <f aca="false">IF(ISNUMBER(S463),IFERROR(LOOKUP(IF(S463&lt;=1,S463,S463/100),'⚖️ Wahrscheinlichkeit'!$B$17:$B$21,'⚖️ Wahrscheinlichkeit'!$D$17:$D$21),0),0)</f>
        <v>0</v>
      </c>
      <c r="AK463" s="1" t="str">
        <f aca="false">IF(AND(R463="WON",ISNUMBER(I463)),AL463+(861-ROW())*0.000001,"")</f>
        <v/>
      </c>
      <c r="AL463" s="1" t="n">
        <f aca="false">IFERROR(I463*1,0)</f>
        <v>0</v>
      </c>
      <c r="AM463" s="1" t="n">
        <f aca="false">N(AM462)+IF(AND(R463="WON",B463&lt;&gt;""),1,0)</f>
        <v>12</v>
      </c>
      <c r="AN463" s="1" t="n">
        <f aca="false">N(AN462)+IF(AND(OR(R463="offered",R463="to be offered",R463="on hold"),B463&lt;&gt;""),1,0)</f>
        <v>33</v>
      </c>
      <c r="AO463" s="1" t="n">
        <f aca="false">N(AO462)+IF(AND(OR(R463="follow-up",R463="Evaluation",R463="tbd",R463="In evaluation"),B463&lt;&gt;""),1,0)</f>
        <v>1</v>
      </c>
      <c r="AP463" s="1" t="n">
        <f aca="false">IF(B463="",0,IF(COUNTIF('⚖️ Wahrscheinlichkeit'!$J$17:$J$24,R463)&gt;0,1,0))</f>
        <v>0</v>
      </c>
      <c r="AQ463" s="1" t="n">
        <f aca="false">IF(B463="",0,IF(AND(ISNUMBER(S463),COUNTIF('⚖️ Wahrscheinlichkeit'!$B$6:$B$11,S463)&gt;0),1,0))</f>
        <v>0</v>
      </c>
      <c r="AR463" s="1" t="n">
        <f aca="false">IF(B463="",0,IF(AND(COUNT(J463:M463)=4,SUM(J463:M463)&gt;0),1,0))</f>
        <v>0</v>
      </c>
      <c r="AS463" s="1" t="n">
        <f aca="false">IF(B463="",0,IF(AND(AF463&lt;&gt;"",AG463&lt;&gt;""),1,0))</f>
        <v>0</v>
      </c>
      <c r="AT463" s="1" t="n">
        <f aca="false">IF(AND(R463="WON",AS463=1,AR463=1),1,0)</f>
        <v>0</v>
      </c>
      <c r="AU463" s="1" t="n">
        <f aca="false">IF(B463="",0,IF(AD463="Alternative – zählt nicht",0,1))</f>
        <v>0</v>
      </c>
      <c r="AV463" s="1" t="n">
        <f aca="false">IF(B463="",0,IF(COUNTIF($B$6:$B$860,B463)&gt;1,1,0))</f>
        <v>0</v>
      </c>
      <c r="AX463" s="269" t="str">
        <f aca="false">IF(AY463=1,DATE(YEAR(O463),MONTH(O463),1),"")</f>
        <v/>
      </c>
      <c r="AY463" s="1" t="n">
        <f aca="false">IF(B463="",0,IF(AND(ISNUMBER(O463),ISNUMBER(P463)),IF(P463&gt;=O463,1,0),0))</f>
        <v>0</v>
      </c>
      <c r="AZ463" s="1" t="n">
        <f aca="false">IF(ISNUMBER(Y463),Y463,0)</f>
        <v>0</v>
      </c>
      <c r="BA463" s="1" t="str">
        <f aca="false">IF(B463="","",IF(AND(R463="WON",AS463=0),"⛔ Beleg fehlt · ","")&amp;IF(AND(R463="WON",AR463=0),"⛔ Einstand fehlt · ","")&amp;IF(AND(R463&lt;&gt;"WON",AR463=0),"○ Einstand offen · ","")&amp;IF(AND(R463="WON",AB463=""),"⛔ Vertragsart fehlt · ","")&amp;IF(AND(ISNUMBER(O463),ISNUMBER(P463)),IF(P463&lt;O463,"⚠ Ende vor Start · ",""),"")&amp;IF(AND(R463="WON",AY463=0,NOT(AND(ISNUMBER(O463),ISNUMBER(P463)))),"⛔ Zeitraum fehlt · ","")&amp;IF(AND(R463&lt;&gt;"WON",AY463=0,NOT(AND(ISNUMBER(O463),ISNUMBER(P463)))),"○ Zeitraum offen · ",""))</f>
        <v/>
      </c>
      <c r="BB463" s="1" t="str">
        <f aca="false">IF(B463="","",IF(AND(R463="WON",AS463=0),"⛔ Nachweis fehlt",IF(AND(ISNUMBER(O463),ISNUMBER(P463),P463&lt;O463),"⚠ Ende vor Start",IF(AND(R463="WON",AY463=0),"⛔ Zeitraum fehlt",IF(AR463=0,"○ Einstand offen",IF(AY463=0,"○ Zeitraum offen",IF(R463="WON","✅ belegt","✔ erfasst")))))))</f>
        <v/>
      </c>
    </row>
    <row r="464" customFormat="false" ht="15" hidden="false" customHeight="true" outlineLevel="0" collapsed="false">
      <c r="G464" s="1" t="str">
        <f aca="false">IF(B464="","",IF(AY464=1,P464-O464+1,IF(AW464="","",AW464)))</f>
        <v/>
      </c>
      <c r="I464" s="270"/>
      <c r="J464" s="270"/>
      <c r="K464" s="270"/>
      <c r="L464" s="270"/>
      <c r="M464" s="270"/>
      <c r="N464" s="270"/>
      <c r="O464" s="263"/>
      <c r="P464" s="263"/>
      <c r="Q464" s="270" t="str">
        <f aca="false">IF(AND(ISNUMBER(I464),ISNUMBER(S464)),I464*AJ464,IF(OR(I464&lt;&gt;"",S464&lt;&gt;""),"tbd",""))</f>
        <v/>
      </c>
      <c r="S464" s="268"/>
      <c r="Y464" s="275" t="str">
        <f aca="false">IF(ISNUMBER(I464),I464/Netto_Faktor,"")</f>
        <v/>
      </c>
      <c r="Z464" s="275" t="str">
        <f aca="false">IF(B464="","",IF(COUNT(J464:N464)=0,"",SUM(J464:N464)))</f>
        <v/>
      </c>
      <c r="AA464" s="266"/>
      <c r="AB464" s="266"/>
      <c r="AC464" s="266"/>
      <c r="AD464" s="266"/>
      <c r="AE464" s="266"/>
      <c r="AF464" s="266"/>
      <c r="AG464" s="267"/>
      <c r="AH464" s="266" t="str">
        <f aca="false">IF(B464="","",IF(BA464="",IF(R464="WON","✅ belegt &amp; vollständig","✔ vollständig"),LEFT(BA464,LEN(BA464)-3)))</f>
        <v/>
      </c>
      <c r="AJ464" s="268" t="n">
        <f aca="false">IF(ISNUMBER(S464),IFERROR(LOOKUP(IF(S464&lt;=1,S464,S464/100),'⚖️ Wahrscheinlichkeit'!$B$17:$B$21,'⚖️ Wahrscheinlichkeit'!$D$17:$D$21),0),0)</f>
        <v>0</v>
      </c>
      <c r="AK464" s="1" t="str">
        <f aca="false">IF(AND(R464="WON",ISNUMBER(I464)),AL464+(861-ROW())*0.000001,"")</f>
        <v/>
      </c>
      <c r="AL464" s="1" t="n">
        <f aca="false">IFERROR(I464*1,0)</f>
        <v>0</v>
      </c>
      <c r="AM464" s="1" t="n">
        <f aca="false">N(AM463)+IF(AND(R464="WON",B464&lt;&gt;""),1,0)</f>
        <v>12</v>
      </c>
      <c r="AN464" s="1" t="n">
        <f aca="false">N(AN463)+IF(AND(OR(R464="offered",R464="to be offered",R464="on hold"),B464&lt;&gt;""),1,0)</f>
        <v>33</v>
      </c>
      <c r="AO464" s="1" t="n">
        <f aca="false">N(AO463)+IF(AND(OR(R464="follow-up",R464="Evaluation",R464="tbd",R464="In evaluation"),B464&lt;&gt;""),1,0)</f>
        <v>1</v>
      </c>
      <c r="AP464" s="1" t="n">
        <f aca="false">IF(B464="",0,IF(COUNTIF('⚖️ Wahrscheinlichkeit'!$J$17:$J$24,R464)&gt;0,1,0))</f>
        <v>0</v>
      </c>
      <c r="AQ464" s="1" t="n">
        <f aca="false">IF(B464="",0,IF(AND(ISNUMBER(S464),COUNTIF('⚖️ Wahrscheinlichkeit'!$B$6:$B$11,S464)&gt;0),1,0))</f>
        <v>0</v>
      </c>
      <c r="AR464" s="1" t="n">
        <f aca="false">IF(B464="",0,IF(AND(COUNT(J464:M464)=4,SUM(J464:M464)&gt;0),1,0))</f>
        <v>0</v>
      </c>
      <c r="AS464" s="1" t="n">
        <f aca="false">IF(B464="",0,IF(AND(AF464&lt;&gt;"",AG464&lt;&gt;""),1,0))</f>
        <v>0</v>
      </c>
      <c r="AT464" s="1" t="n">
        <f aca="false">IF(AND(R464="WON",AS464=1,AR464=1),1,0)</f>
        <v>0</v>
      </c>
      <c r="AU464" s="1" t="n">
        <f aca="false">IF(B464="",0,IF(AD464="Alternative – zählt nicht",0,1))</f>
        <v>0</v>
      </c>
      <c r="AV464" s="1" t="n">
        <f aca="false">IF(B464="",0,IF(COUNTIF($B$6:$B$860,B464)&gt;1,1,0))</f>
        <v>0</v>
      </c>
      <c r="AX464" s="269" t="str">
        <f aca="false">IF(AY464=1,DATE(YEAR(O464),MONTH(O464),1),"")</f>
        <v/>
      </c>
      <c r="AY464" s="1" t="n">
        <f aca="false">IF(B464="",0,IF(AND(ISNUMBER(O464),ISNUMBER(P464)),IF(P464&gt;=O464,1,0),0))</f>
        <v>0</v>
      </c>
      <c r="AZ464" s="1" t="n">
        <f aca="false">IF(ISNUMBER(Y464),Y464,0)</f>
        <v>0</v>
      </c>
      <c r="BA464" s="1" t="str">
        <f aca="false">IF(B464="","",IF(AND(R464="WON",AS464=0),"⛔ Beleg fehlt · ","")&amp;IF(AND(R464="WON",AR464=0),"⛔ Einstand fehlt · ","")&amp;IF(AND(R464&lt;&gt;"WON",AR464=0),"○ Einstand offen · ","")&amp;IF(AND(R464="WON",AB464=""),"⛔ Vertragsart fehlt · ","")&amp;IF(AND(ISNUMBER(O464),ISNUMBER(P464)),IF(P464&lt;O464,"⚠ Ende vor Start · ",""),"")&amp;IF(AND(R464="WON",AY464=0,NOT(AND(ISNUMBER(O464),ISNUMBER(P464)))),"⛔ Zeitraum fehlt · ","")&amp;IF(AND(R464&lt;&gt;"WON",AY464=0,NOT(AND(ISNUMBER(O464),ISNUMBER(P464)))),"○ Zeitraum offen · ",""))</f>
        <v/>
      </c>
      <c r="BB464" s="1" t="str">
        <f aca="false">IF(B464="","",IF(AND(R464="WON",AS464=0),"⛔ Nachweis fehlt",IF(AND(ISNUMBER(O464),ISNUMBER(P464),P464&lt;O464),"⚠ Ende vor Start",IF(AND(R464="WON",AY464=0),"⛔ Zeitraum fehlt",IF(AR464=0,"○ Einstand offen",IF(AY464=0,"○ Zeitraum offen",IF(R464="WON","✅ belegt","✔ erfasst")))))))</f>
        <v/>
      </c>
    </row>
    <row r="465" customFormat="false" ht="15" hidden="false" customHeight="true" outlineLevel="0" collapsed="false">
      <c r="G465" s="1" t="str">
        <f aca="false">IF(B465="","",IF(AY465=1,P465-O465+1,IF(AW465="","",AW465)))</f>
        <v/>
      </c>
      <c r="I465" s="270"/>
      <c r="J465" s="270"/>
      <c r="K465" s="270"/>
      <c r="L465" s="270"/>
      <c r="M465" s="270"/>
      <c r="N465" s="270"/>
      <c r="O465" s="263"/>
      <c r="P465" s="263"/>
      <c r="Q465" s="270" t="str">
        <f aca="false">IF(AND(ISNUMBER(I465),ISNUMBER(S465)),I465*AJ465,IF(OR(I465&lt;&gt;"",S465&lt;&gt;""),"tbd",""))</f>
        <v/>
      </c>
      <c r="S465" s="268"/>
      <c r="Y465" s="275" t="str">
        <f aca="false">IF(ISNUMBER(I465),I465/Netto_Faktor,"")</f>
        <v/>
      </c>
      <c r="Z465" s="275" t="str">
        <f aca="false">IF(B465="","",IF(COUNT(J465:N465)=0,"",SUM(J465:N465)))</f>
        <v/>
      </c>
      <c r="AA465" s="266"/>
      <c r="AB465" s="266"/>
      <c r="AC465" s="266"/>
      <c r="AD465" s="266"/>
      <c r="AE465" s="266"/>
      <c r="AF465" s="266"/>
      <c r="AG465" s="267"/>
      <c r="AH465" s="266" t="str">
        <f aca="false">IF(B465="","",IF(BA465="",IF(R465="WON","✅ belegt &amp; vollständig","✔ vollständig"),LEFT(BA465,LEN(BA465)-3)))</f>
        <v/>
      </c>
      <c r="AJ465" s="268" t="n">
        <f aca="false">IF(ISNUMBER(S465),IFERROR(LOOKUP(IF(S465&lt;=1,S465,S465/100),'⚖️ Wahrscheinlichkeit'!$B$17:$B$21,'⚖️ Wahrscheinlichkeit'!$D$17:$D$21),0),0)</f>
        <v>0</v>
      </c>
      <c r="AK465" s="1" t="str">
        <f aca="false">IF(AND(R465="WON",ISNUMBER(I465)),AL465+(861-ROW())*0.000001,"")</f>
        <v/>
      </c>
      <c r="AL465" s="1" t="n">
        <f aca="false">IFERROR(I465*1,0)</f>
        <v>0</v>
      </c>
      <c r="AM465" s="1" t="n">
        <f aca="false">N(AM464)+IF(AND(R465="WON",B465&lt;&gt;""),1,0)</f>
        <v>12</v>
      </c>
      <c r="AN465" s="1" t="n">
        <f aca="false">N(AN464)+IF(AND(OR(R465="offered",R465="to be offered",R465="on hold"),B465&lt;&gt;""),1,0)</f>
        <v>33</v>
      </c>
      <c r="AO465" s="1" t="n">
        <f aca="false">N(AO464)+IF(AND(OR(R465="follow-up",R465="Evaluation",R465="tbd",R465="In evaluation"),B465&lt;&gt;""),1,0)</f>
        <v>1</v>
      </c>
      <c r="AP465" s="1" t="n">
        <f aca="false">IF(B465="",0,IF(COUNTIF('⚖️ Wahrscheinlichkeit'!$J$17:$J$24,R465)&gt;0,1,0))</f>
        <v>0</v>
      </c>
      <c r="AQ465" s="1" t="n">
        <f aca="false">IF(B465="",0,IF(AND(ISNUMBER(S465),COUNTIF('⚖️ Wahrscheinlichkeit'!$B$6:$B$11,S465)&gt;0),1,0))</f>
        <v>0</v>
      </c>
      <c r="AR465" s="1" t="n">
        <f aca="false">IF(B465="",0,IF(AND(COUNT(J465:M465)=4,SUM(J465:M465)&gt;0),1,0))</f>
        <v>0</v>
      </c>
      <c r="AS465" s="1" t="n">
        <f aca="false">IF(B465="",0,IF(AND(AF465&lt;&gt;"",AG465&lt;&gt;""),1,0))</f>
        <v>0</v>
      </c>
      <c r="AT465" s="1" t="n">
        <f aca="false">IF(AND(R465="WON",AS465=1,AR465=1),1,0)</f>
        <v>0</v>
      </c>
      <c r="AU465" s="1" t="n">
        <f aca="false">IF(B465="",0,IF(AD465="Alternative – zählt nicht",0,1))</f>
        <v>0</v>
      </c>
      <c r="AV465" s="1" t="n">
        <f aca="false">IF(B465="",0,IF(COUNTIF($B$6:$B$860,B465)&gt;1,1,0))</f>
        <v>0</v>
      </c>
      <c r="AX465" s="269" t="str">
        <f aca="false">IF(AY465=1,DATE(YEAR(O465),MONTH(O465),1),"")</f>
        <v/>
      </c>
      <c r="AY465" s="1" t="n">
        <f aca="false">IF(B465="",0,IF(AND(ISNUMBER(O465),ISNUMBER(P465)),IF(P465&gt;=O465,1,0),0))</f>
        <v>0</v>
      </c>
      <c r="AZ465" s="1" t="n">
        <f aca="false">IF(ISNUMBER(Y465),Y465,0)</f>
        <v>0</v>
      </c>
      <c r="BA465" s="1" t="str">
        <f aca="false">IF(B465="","",IF(AND(R465="WON",AS465=0),"⛔ Beleg fehlt · ","")&amp;IF(AND(R465="WON",AR465=0),"⛔ Einstand fehlt · ","")&amp;IF(AND(R465&lt;&gt;"WON",AR465=0),"○ Einstand offen · ","")&amp;IF(AND(R465="WON",AB465=""),"⛔ Vertragsart fehlt · ","")&amp;IF(AND(ISNUMBER(O465),ISNUMBER(P465)),IF(P465&lt;O465,"⚠ Ende vor Start · ",""),"")&amp;IF(AND(R465="WON",AY465=0,NOT(AND(ISNUMBER(O465),ISNUMBER(P465)))),"⛔ Zeitraum fehlt · ","")&amp;IF(AND(R465&lt;&gt;"WON",AY465=0,NOT(AND(ISNUMBER(O465),ISNUMBER(P465)))),"○ Zeitraum offen · ",""))</f>
        <v/>
      </c>
      <c r="BB465" s="1" t="str">
        <f aca="false">IF(B465="","",IF(AND(R465="WON",AS465=0),"⛔ Nachweis fehlt",IF(AND(ISNUMBER(O465),ISNUMBER(P465),P465&lt;O465),"⚠ Ende vor Start",IF(AND(R465="WON",AY465=0),"⛔ Zeitraum fehlt",IF(AR465=0,"○ Einstand offen",IF(AY465=0,"○ Zeitraum offen",IF(R465="WON","✅ belegt","✔ erfasst")))))))</f>
        <v/>
      </c>
    </row>
    <row r="466" customFormat="false" ht="15" hidden="false" customHeight="true" outlineLevel="0" collapsed="false">
      <c r="G466" s="1" t="str">
        <f aca="false">IF(B466="","",IF(AY466=1,P466-O466+1,IF(AW466="","",AW466)))</f>
        <v/>
      </c>
      <c r="I466" s="270"/>
      <c r="J466" s="270"/>
      <c r="K466" s="270"/>
      <c r="L466" s="270"/>
      <c r="M466" s="270"/>
      <c r="N466" s="270"/>
      <c r="O466" s="263"/>
      <c r="P466" s="263"/>
      <c r="Q466" s="270" t="str">
        <f aca="false">IF(AND(ISNUMBER(I466),ISNUMBER(S466)),I466*AJ466,IF(OR(I466&lt;&gt;"",S466&lt;&gt;""),"tbd",""))</f>
        <v/>
      </c>
      <c r="S466" s="268"/>
      <c r="Y466" s="275" t="str">
        <f aca="false">IF(ISNUMBER(I466),I466/Netto_Faktor,"")</f>
        <v/>
      </c>
      <c r="Z466" s="275" t="str">
        <f aca="false">IF(B466="","",IF(COUNT(J466:N466)=0,"",SUM(J466:N466)))</f>
        <v/>
      </c>
      <c r="AA466" s="266"/>
      <c r="AB466" s="266"/>
      <c r="AC466" s="266"/>
      <c r="AD466" s="266"/>
      <c r="AE466" s="266"/>
      <c r="AF466" s="266"/>
      <c r="AG466" s="267"/>
      <c r="AH466" s="266" t="str">
        <f aca="false">IF(B466="","",IF(BA466="",IF(R466="WON","✅ belegt &amp; vollständig","✔ vollständig"),LEFT(BA466,LEN(BA466)-3)))</f>
        <v/>
      </c>
      <c r="AJ466" s="268" t="n">
        <f aca="false">IF(ISNUMBER(S466),IFERROR(LOOKUP(IF(S466&lt;=1,S466,S466/100),'⚖️ Wahrscheinlichkeit'!$B$17:$B$21,'⚖️ Wahrscheinlichkeit'!$D$17:$D$21),0),0)</f>
        <v>0</v>
      </c>
      <c r="AK466" s="1" t="str">
        <f aca="false">IF(AND(R466="WON",ISNUMBER(I466)),AL466+(861-ROW())*0.000001,"")</f>
        <v/>
      </c>
      <c r="AL466" s="1" t="n">
        <f aca="false">IFERROR(I466*1,0)</f>
        <v>0</v>
      </c>
      <c r="AM466" s="1" t="n">
        <f aca="false">N(AM465)+IF(AND(R466="WON",B466&lt;&gt;""),1,0)</f>
        <v>12</v>
      </c>
      <c r="AN466" s="1" t="n">
        <f aca="false">N(AN465)+IF(AND(OR(R466="offered",R466="to be offered",R466="on hold"),B466&lt;&gt;""),1,0)</f>
        <v>33</v>
      </c>
      <c r="AO466" s="1" t="n">
        <f aca="false">N(AO465)+IF(AND(OR(R466="follow-up",R466="Evaluation",R466="tbd",R466="In evaluation"),B466&lt;&gt;""),1,0)</f>
        <v>1</v>
      </c>
      <c r="AP466" s="1" t="n">
        <f aca="false">IF(B466="",0,IF(COUNTIF('⚖️ Wahrscheinlichkeit'!$J$17:$J$24,R466)&gt;0,1,0))</f>
        <v>0</v>
      </c>
      <c r="AQ466" s="1" t="n">
        <f aca="false">IF(B466="",0,IF(AND(ISNUMBER(S466),COUNTIF('⚖️ Wahrscheinlichkeit'!$B$6:$B$11,S466)&gt;0),1,0))</f>
        <v>0</v>
      </c>
      <c r="AR466" s="1" t="n">
        <f aca="false">IF(B466="",0,IF(AND(COUNT(J466:M466)=4,SUM(J466:M466)&gt;0),1,0))</f>
        <v>0</v>
      </c>
      <c r="AS466" s="1" t="n">
        <f aca="false">IF(B466="",0,IF(AND(AF466&lt;&gt;"",AG466&lt;&gt;""),1,0))</f>
        <v>0</v>
      </c>
      <c r="AT466" s="1" t="n">
        <f aca="false">IF(AND(R466="WON",AS466=1,AR466=1),1,0)</f>
        <v>0</v>
      </c>
      <c r="AU466" s="1" t="n">
        <f aca="false">IF(B466="",0,IF(AD466="Alternative – zählt nicht",0,1))</f>
        <v>0</v>
      </c>
      <c r="AV466" s="1" t="n">
        <f aca="false">IF(B466="",0,IF(COUNTIF($B$6:$B$860,B466)&gt;1,1,0))</f>
        <v>0</v>
      </c>
      <c r="AX466" s="269" t="str">
        <f aca="false">IF(AY466=1,DATE(YEAR(O466),MONTH(O466),1),"")</f>
        <v/>
      </c>
      <c r="AY466" s="1" t="n">
        <f aca="false">IF(B466="",0,IF(AND(ISNUMBER(O466),ISNUMBER(P466)),IF(P466&gt;=O466,1,0),0))</f>
        <v>0</v>
      </c>
      <c r="AZ466" s="1" t="n">
        <f aca="false">IF(ISNUMBER(Y466),Y466,0)</f>
        <v>0</v>
      </c>
      <c r="BA466" s="1" t="str">
        <f aca="false">IF(B466="","",IF(AND(R466="WON",AS466=0),"⛔ Beleg fehlt · ","")&amp;IF(AND(R466="WON",AR466=0),"⛔ Einstand fehlt · ","")&amp;IF(AND(R466&lt;&gt;"WON",AR466=0),"○ Einstand offen · ","")&amp;IF(AND(R466="WON",AB466=""),"⛔ Vertragsart fehlt · ","")&amp;IF(AND(ISNUMBER(O466),ISNUMBER(P466)),IF(P466&lt;O466,"⚠ Ende vor Start · ",""),"")&amp;IF(AND(R466="WON",AY466=0,NOT(AND(ISNUMBER(O466),ISNUMBER(P466)))),"⛔ Zeitraum fehlt · ","")&amp;IF(AND(R466&lt;&gt;"WON",AY466=0,NOT(AND(ISNUMBER(O466),ISNUMBER(P466)))),"○ Zeitraum offen · ",""))</f>
        <v/>
      </c>
      <c r="BB466" s="1" t="str">
        <f aca="false">IF(B466="","",IF(AND(R466="WON",AS466=0),"⛔ Nachweis fehlt",IF(AND(ISNUMBER(O466),ISNUMBER(P466),P466&lt;O466),"⚠ Ende vor Start",IF(AND(R466="WON",AY466=0),"⛔ Zeitraum fehlt",IF(AR466=0,"○ Einstand offen",IF(AY466=0,"○ Zeitraum offen",IF(R466="WON","✅ belegt","✔ erfasst")))))))</f>
        <v/>
      </c>
    </row>
    <row r="467" customFormat="false" ht="15" hidden="false" customHeight="true" outlineLevel="0" collapsed="false">
      <c r="G467" s="1" t="str">
        <f aca="false">IF(B467="","",IF(AY467=1,P467-O467+1,IF(AW467="","",AW467)))</f>
        <v/>
      </c>
      <c r="I467" s="270"/>
      <c r="J467" s="270"/>
      <c r="K467" s="270"/>
      <c r="L467" s="270"/>
      <c r="M467" s="270"/>
      <c r="N467" s="270"/>
      <c r="O467" s="263"/>
      <c r="P467" s="263"/>
      <c r="Q467" s="270" t="str">
        <f aca="false">IF(AND(ISNUMBER(I467),ISNUMBER(S467)),I467*AJ467,IF(OR(I467&lt;&gt;"",S467&lt;&gt;""),"tbd",""))</f>
        <v/>
      </c>
      <c r="S467" s="268"/>
      <c r="Y467" s="275" t="str">
        <f aca="false">IF(ISNUMBER(I467),I467/Netto_Faktor,"")</f>
        <v/>
      </c>
      <c r="Z467" s="275" t="str">
        <f aca="false">IF(B467="","",IF(COUNT(J467:N467)=0,"",SUM(J467:N467)))</f>
        <v/>
      </c>
      <c r="AA467" s="266"/>
      <c r="AB467" s="266"/>
      <c r="AC467" s="266"/>
      <c r="AD467" s="266"/>
      <c r="AE467" s="266"/>
      <c r="AF467" s="266"/>
      <c r="AG467" s="267"/>
      <c r="AH467" s="266" t="str">
        <f aca="false">IF(B467="","",IF(BA467="",IF(R467="WON","✅ belegt &amp; vollständig","✔ vollständig"),LEFT(BA467,LEN(BA467)-3)))</f>
        <v/>
      </c>
      <c r="AJ467" s="268" t="n">
        <f aca="false">IF(ISNUMBER(S467),IFERROR(LOOKUP(IF(S467&lt;=1,S467,S467/100),'⚖️ Wahrscheinlichkeit'!$B$17:$B$21,'⚖️ Wahrscheinlichkeit'!$D$17:$D$21),0),0)</f>
        <v>0</v>
      </c>
      <c r="AK467" s="1" t="str">
        <f aca="false">IF(AND(R467="WON",ISNUMBER(I467)),AL467+(861-ROW())*0.000001,"")</f>
        <v/>
      </c>
      <c r="AL467" s="1" t="n">
        <f aca="false">IFERROR(I467*1,0)</f>
        <v>0</v>
      </c>
      <c r="AM467" s="1" t="n">
        <f aca="false">N(AM466)+IF(AND(R467="WON",B467&lt;&gt;""),1,0)</f>
        <v>12</v>
      </c>
      <c r="AN467" s="1" t="n">
        <f aca="false">N(AN466)+IF(AND(OR(R467="offered",R467="to be offered",R467="on hold"),B467&lt;&gt;""),1,0)</f>
        <v>33</v>
      </c>
      <c r="AO467" s="1" t="n">
        <f aca="false">N(AO466)+IF(AND(OR(R467="follow-up",R467="Evaluation",R467="tbd",R467="In evaluation"),B467&lt;&gt;""),1,0)</f>
        <v>1</v>
      </c>
      <c r="AP467" s="1" t="n">
        <f aca="false">IF(B467="",0,IF(COUNTIF('⚖️ Wahrscheinlichkeit'!$J$17:$J$24,R467)&gt;0,1,0))</f>
        <v>0</v>
      </c>
      <c r="AQ467" s="1" t="n">
        <f aca="false">IF(B467="",0,IF(AND(ISNUMBER(S467),COUNTIF('⚖️ Wahrscheinlichkeit'!$B$6:$B$11,S467)&gt;0),1,0))</f>
        <v>0</v>
      </c>
      <c r="AR467" s="1" t="n">
        <f aca="false">IF(B467="",0,IF(AND(COUNT(J467:M467)=4,SUM(J467:M467)&gt;0),1,0))</f>
        <v>0</v>
      </c>
      <c r="AS467" s="1" t="n">
        <f aca="false">IF(B467="",0,IF(AND(AF467&lt;&gt;"",AG467&lt;&gt;""),1,0))</f>
        <v>0</v>
      </c>
      <c r="AT467" s="1" t="n">
        <f aca="false">IF(AND(R467="WON",AS467=1,AR467=1),1,0)</f>
        <v>0</v>
      </c>
      <c r="AU467" s="1" t="n">
        <f aca="false">IF(B467="",0,IF(AD467="Alternative – zählt nicht",0,1))</f>
        <v>0</v>
      </c>
      <c r="AV467" s="1" t="n">
        <f aca="false">IF(B467="",0,IF(COUNTIF($B$6:$B$860,B467)&gt;1,1,0))</f>
        <v>0</v>
      </c>
      <c r="AX467" s="269" t="str">
        <f aca="false">IF(AY467=1,DATE(YEAR(O467),MONTH(O467),1),"")</f>
        <v/>
      </c>
      <c r="AY467" s="1" t="n">
        <f aca="false">IF(B467="",0,IF(AND(ISNUMBER(O467),ISNUMBER(P467)),IF(P467&gt;=O467,1,0),0))</f>
        <v>0</v>
      </c>
      <c r="AZ467" s="1" t="n">
        <f aca="false">IF(ISNUMBER(Y467),Y467,0)</f>
        <v>0</v>
      </c>
      <c r="BA467" s="1" t="str">
        <f aca="false">IF(B467="","",IF(AND(R467="WON",AS467=0),"⛔ Beleg fehlt · ","")&amp;IF(AND(R467="WON",AR467=0),"⛔ Einstand fehlt · ","")&amp;IF(AND(R467&lt;&gt;"WON",AR467=0),"○ Einstand offen · ","")&amp;IF(AND(R467="WON",AB467=""),"⛔ Vertragsart fehlt · ","")&amp;IF(AND(ISNUMBER(O467),ISNUMBER(P467)),IF(P467&lt;O467,"⚠ Ende vor Start · ",""),"")&amp;IF(AND(R467="WON",AY467=0,NOT(AND(ISNUMBER(O467),ISNUMBER(P467)))),"⛔ Zeitraum fehlt · ","")&amp;IF(AND(R467&lt;&gt;"WON",AY467=0,NOT(AND(ISNUMBER(O467),ISNUMBER(P467)))),"○ Zeitraum offen · ",""))</f>
        <v/>
      </c>
      <c r="BB467" s="1" t="str">
        <f aca="false">IF(B467="","",IF(AND(R467="WON",AS467=0),"⛔ Nachweis fehlt",IF(AND(ISNUMBER(O467),ISNUMBER(P467),P467&lt;O467),"⚠ Ende vor Start",IF(AND(R467="WON",AY467=0),"⛔ Zeitraum fehlt",IF(AR467=0,"○ Einstand offen",IF(AY467=0,"○ Zeitraum offen",IF(R467="WON","✅ belegt","✔ erfasst")))))))</f>
        <v/>
      </c>
    </row>
    <row r="468" customFormat="false" ht="15" hidden="false" customHeight="true" outlineLevel="0" collapsed="false">
      <c r="G468" s="1" t="str">
        <f aca="false">IF(B468="","",IF(AY468=1,P468-O468+1,IF(AW468="","",AW468)))</f>
        <v/>
      </c>
      <c r="I468" s="270"/>
      <c r="J468" s="270"/>
      <c r="K468" s="270"/>
      <c r="L468" s="270"/>
      <c r="M468" s="270"/>
      <c r="N468" s="270"/>
      <c r="O468" s="263"/>
      <c r="P468" s="263"/>
      <c r="Q468" s="270" t="str">
        <f aca="false">IF(AND(ISNUMBER(I468),ISNUMBER(S468)),I468*AJ468,IF(OR(I468&lt;&gt;"",S468&lt;&gt;""),"tbd",""))</f>
        <v/>
      </c>
      <c r="S468" s="268"/>
      <c r="Y468" s="275" t="str">
        <f aca="false">IF(ISNUMBER(I468),I468/Netto_Faktor,"")</f>
        <v/>
      </c>
      <c r="Z468" s="275" t="str">
        <f aca="false">IF(B468="","",IF(COUNT(J468:N468)=0,"",SUM(J468:N468)))</f>
        <v/>
      </c>
      <c r="AA468" s="266"/>
      <c r="AB468" s="266"/>
      <c r="AC468" s="266"/>
      <c r="AD468" s="266"/>
      <c r="AE468" s="266"/>
      <c r="AF468" s="266"/>
      <c r="AG468" s="267"/>
      <c r="AH468" s="266" t="str">
        <f aca="false">IF(B468="","",IF(BA468="",IF(R468="WON","✅ belegt &amp; vollständig","✔ vollständig"),LEFT(BA468,LEN(BA468)-3)))</f>
        <v/>
      </c>
      <c r="AJ468" s="268" t="n">
        <f aca="false">IF(ISNUMBER(S468),IFERROR(LOOKUP(IF(S468&lt;=1,S468,S468/100),'⚖️ Wahrscheinlichkeit'!$B$17:$B$21,'⚖️ Wahrscheinlichkeit'!$D$17:$D$21),0),0)</f>
        <v>0</v>
      </c>
      <c r="AK468" s="1" t="str">
        <f aca="false">IF(AND(R468="WON",ISNUMBER(I468)),AL468+(861-ROW())*0.000001,"")</f>
        <v/>
      </c>
      <c r="AL468" s="1" t="n">
        <f aca="false">IFERROR(I468*1,0)</f>
        <v>0</v>
      </c>
      <c r="AM468" s="1" t="n">
        <f aca="false">N(AM467)+IF(AND(R468="WON",B468&lt;&gt;""),1,0)</f>
        <v>12</v>
      </c>
      <c r="AN468" s="1" t="n">
        <f aca="false">N(AN467)+IF(AND(OR(R468="offered",R468="to be offered",R468="on hold"),B468&lt;&gt;""),1,0)</f>
        <v>33</v>
      </c>
      <c r="AO468" s="1" t="n">
        <f aca="false">N(AO467)+IF(AND(OR(R468="follow-up",R468="Evaluation",R468="tbd",R468="In evaluation"),B468&lt;&gt;""),1,0)</f>
        <v>1</v>
      </c>
      <c r="AP468" s="1" t="n">
        <f aca="false">IF(B468="",0,IF(COUNTIF('⚖️ Wahrscheinlichkeit'!$J$17:$J$24,R468)&gt;0,1,0))</f>
        <v>0</v>
      </c>
      <c r="AQ468" s="1" t="n">
        <f aca="false">IF(B468="",0,IF(AND(ISNUMBER(S468),COUNTIF('⚖️ Wahrscheinlichkeit'!$B$6:$B$11,S468)&gt;0),1,0))</f>
        <v>0</v>
      </c>
      <c r="AR468" s="1" t="n">
        <f aca="false">IF(B468="",0,IF(AND(COUNT(J468:M468)=4,SUM(J468:M468)&gt;0),1,0))</f>
        <v>0</v>
      </c>
      <c r="AS468" s="1" t="n">
        <f aca="false">IF(B468="",0,IF(AND(AF468&lt;&gt;"",AG468&lt;&gt;""),1,0))</f>
        <v>0</v>
      </c>
      <c r="AT468" s="1" t="n">
        <f aca="false">IF(AND(R468="WON",AS468=1,AR468=1),1,0)</f>
        <v>0</v>
      </c>
      <c r="AU468" s="1" t="n">
        <f aca="false">IF(B468="",0,IF(AD468="Alternative – zählt nicht",0,1))</f>
        <v>0</v>
      </c>
      <c r="AV468" s="1" t="n">
        <f aca="false">IF(B468="",0,IF(COUNTIF($B$6:$B$860,B468)&gt;1,1,0))</f>
        <v>0</v>
      </c>
      <c r="AX468" s="269" t="str">
        <f aca="false">IF(AY468=1,DATE(YEAR(O468),MONTH(O468),1),"")</f>
        <v/>
      </c>
      <c r="AY468" s="1" t="n">
        <f aca="false">IF(B468="",0,IF(AND(ISNUMBER(O468),ISNUMBER(P468)),IF(P468&gt;=O468,1,0),0))</f>
        <v>0</v>
      </c>
      <c r="AZ468" s="1" t="n">
        <f aca="false">IF(ISNUMBER(Y468),Y468,0)</f>
        <v>0</v>
      </c>
      <c r="BA468" s="1" t="str">
        <f aca="false">IF(B468="","",IF(AND(R468="WON",AS468=0),"⛔ Beleg fehlt · ","")&amp;IF(AND(R468="WON",AR468=0),"⛔ Einstand fehlt · ","")&amp;IF(AND(R468&lt;&gt;"WON",AR468=0),"○ Einstand offen · ","")&amp;IF(AND(R468="WON",AB468=""),"⛔ Vertragsart fehlt · ","")&amp;IF(AND(ISNUMBER(O468),ISNUMBER(P468)),IF(P468&lt;O468,"⚠ Ende vor Start · ",""),"")&amp;IF(AND(R468="WON",AY468=0,NOT(AND(ISNUMBER(O468),ISNUMBER(P468)))),"⛔ Zeitraum fehlt · ","")&amp;IF(AND(R468&lt;&gt;"WON",AY468=0,NOT(AND(ISNUMBER(O468),ISNUMBER(P468)))),"○ Zeitraum offen · ",""))</f>
        <v/>
      </c>
      <c r="BB468" s="1" t="str">
        <f aca="false">IF(B468="","",IF(AND(R468="WON",AS468=0),"⛔ Nachweis fehlt",IF(AND(ISNUMBER(O468),ISNUMBER(P468),P468&lt;O468),"⚠ Ende vor Start",IF(AND(R468="WON",AY468=0),"⛔ Zeitraum fehlt",IF(AR468=0,"○ Einstand offen",IF(AY468=0,"○ Zeitraum offen",IF(R468="WON","✅ belegt","✔ erfasst")))))))</f>
        <v/>
      </c>
    </row>
    <row r="469" customFormat="false" ht="15" hidden="false" customHeight="true" outlineLevel="0" collapsed="false">
      <c r="G469" s="1" t="str">
        <f aca="false">IF(B469="","",IF(AY469=1,P469-O469+1,IF(AW469="","",AW469)))</f>
        <v/>
      </c>
      <c r="I469" s="270"/>
      <c r="J469" s="270"/>
      <c r="K469" s="270"/>
      <c r="L469" s="270"/>
      <c r="M469" s="270"/>
      <c r="N469" s="270"/>
      <c r="O469" s="263"/>
      <c r="P469" s="263"/>
      <c r="Q469" s="270" t="str">
        <f aca="false">IF(AND(ISNUMBER(I469),ISNUMBER(S469)),I469*AJ469,IF(OR(I469&lt;&gt;"",S469&lt;&gt;""),"tbd",""))</f>
        <v/>
      </c>
      <c r="S469" s="268"/>
      <c r="Y469" s="275" t="str">
        <f aca="false">IF(ISNUMBER(I469),I469/Netto_Faktor,"")</f>
        <v/>
      </c>
      <c r="Z469" s="275" t="str">
        <f aca="false">IF(B469="","",IF(COUNT(J469:N469)=0,"",SUM(J469:N469)))</f>
        <v/>
      </c>
      <c r="AA469" s="266"/>
      <c r="AB469" s="266"/>
      <c r="AC469" s="266"/>
      <c r="AD469" s="266"/>
      <c r="AE469" s="266"/>
      <c r="AF469" s="266"/>
      <c r="AG469" s="267"/>
      <c r="AH469" s="266" t="str">
        <f aca="false">IF(B469="","",IF(BA469="",IF(R469="WON","✅ belegt &amp; vollständig","✔ vollständig"),LEFT(BA469,LEN(BA469)-3)))</f>
        <v/>
      </c>
      <c r="AJ469" s="268" t="n">
        <f aca="false">IF(ISNUMBER(S469),IFERROR(LOOKUP(IF(S469&lt;=1,S469,S469/100),'⚖️ Wahrscheinlichkeit'!$B$17:$B$21,'⚖️ Wahrscheinlichkeit'!$D$17:$D$21),0),0)</f>
        <v>0</v>
      </c>
      <c r="AK469" s="1" t="str">
        <f aca="false">IF(AND(R469="WON",ISNUMBER(I469)),AL469+(861-ROW())*0.000001,"")</f>
        <v/>
      </c>
      <c r="AL469" s="1" t="n">
        <f aca="false">IFERROR(I469*1,0)</f>
        <v>0</v>
      </c>
      <c r="AM469" s="1" t="n">
        <f aca="false">N(AM468)+IF(AND(R469="WON",B469&lt;&gt;""),1,0)</f>
        <v>12</v>
      </c>
      <c r="AN469" s="1" t="n">
        <f aca="false">N(AN468)+IF(AND(OR(R469="offered",R469="to be offered",R469="on hold"),B469&lt;&gt;""),1,0)</f>
        <v>33</v>
      </c>
      <c r="AO469" s="1" t="n">
        <f aca="false">N(AO468)+IF(AND(OR(R469="follow-up",R469="Evaluation",R469="tbd",R469="In evaluation"),B469&lt;&gt;""),1,0)</f>
        <v>1</v>
      </c>
      <c r="AP469" s="1" t="n">
        <f aca="false">IF(B469="",0,IF(COUNTIF('⚖️ Wahrscheinlichkeit'!$J$17:$J$24,R469)&gt;0,1,0))</f>
        <v>0</v>
      </c>
      <c r="AQ469" s="1" t="n">
        <f aca="false">IF(B469="",0,IF(AND(ISNUMBER(S469),COUNTIF('⚖️ Wahrscheinlichkeit'!$B$6:$B$11,S469)&gt;0),1,0))</f>
        <v>0</v>
      </c>
      <c r="AR469" s="1" t="n">
        <f aca="false">IF(B469="",0,IF(AND(COUNT(J469:M469)=4,SUM(J469:M469)&gt;0),1,0))</f>
        <v>0</v>
      </c>
      <c r="AS469" s="1" t="n">
        <f aca="false">IF(B469="",0,IF(AND(AF469&lt;&gt;"",AG469&lt;&gt;""),1,0))</f>
        <v>0</v>
      </c>
      <c r="AT469" s="1" t="n">
        <f aca="false">IF(AND(R469="WON",AS469=1,AR469=1),1,0)</f>
        <v>0</v>
      </c>
      <c r="AU469" s="1" t="n">
        <f aca="false">IF(B469="",0,IF(AD469="Alternative – zählt nicht",0,1))</f>
        <v>0</v>
      </c>
      <c r="AV469" s="1" t="n">
        <f aca="false">IF(B469="",0,IF(COUNTIF($B$6:$B$860,B469)&gt;1,1,0))</f>
        <v>0</v>
      </c>
      <c r="AX469" s="269" t="str">
        <f aca="false">IF(AY469=1,DATE(YEAR(O469),MONTH(O469),1),"")</f>
        <v/>
      </c>
      <c r="AY469" s="1" t="n">
        <f aca="false">IF(B469="",0,IF(AND(ISNUMBER(O469),ISNUMBER(P469)),IF(P469&gt;=O469,1,0),0))</f>
        <v>0</v>
      </c>
      <c r="AZ469" s="1" t="n">
        <f aca="false">IF(ISNUMBER(Y469),Y469,0)</f>
        <v>0</v>
      </c>
      <c r="BA469" s="1" t="str">
        <f aca="false">IF(B469="","",IF(AND(R469="WON",AS469=0),"⛔ Beleg fehlt · ","")&amp;IF(AND(R469="WON",AR469=0),"⛔ Einstand fehlt · ","")&amp;IF(AND(R469&lt;&gt;"WON",AR469=0),"○ Einstand offen · ","")&amp;IF(AND(R469="WON",AB469=""),"⛔ Vertragsart fehlt · ","")&amp;IF(AND(ISNUMBER(O469),ISNUMBER(P469)),IF(P469&lt;O469,"⚠ Ende vor Start · ",""),"")&amp;IF(AND(R469="WON",AY469=0,NOT(AND(ISNUMBER(O469),ISNUMBER(P469)))),"⛔ Zeitraum fehlt · ","")&amp;IF(AND(R469&lt;&gt;"WON",AY469=0,NOT(AND(ISNUMBER(O469),ISNUMBER(P469)))),"○ Zeitraum offen · ",""))</f>
        <v/>
      </c>
      <c r="BB469" s="1" t="str">
        <f aca="false">IF(B469="","",IF(AND(R469="WON",AS469=0),"⛔ Nachweis fehlt",IF(AND(ISNUMBER(O469),ISNUMBER(P469),P469&lt;O469),"⚠ Ende vor Start",IF(AND(R469="WON",AY469=0),"⛔ Zeitraum fehlt",IF(AR469=0,"○ Einstand offen",IF(AY469=0,"○ Zeitraum offen",IF(R469="WON","✅ belegt","✔ erfasst")))))))</f>
        <v/>
      </c>
    </row>
    <row r="470" customFormat="false" ht="15" hidden="false" customHeight="true" outlineLevel="0" collapsed="false">
      <c r="G470" s="1" t="str">
        <f aca="false">IF(B470="","",IF(AY470=1,P470-O470+1,IF(AW470="","",AW470)))</f>
        <v/>
      </c>
      <c r="I470" s="270"/>
      <c r="J470" s="270"/>
      <c r="K470" s="270"/>
      <c r="L470" s="270"/>
      <c r="M470" s="270"/>
      <c r="N470" s="270"/>
      <c r="O470" s="263"/>
      <c r="P470" s="263"/>
      <c r="Q470" s="270" t="str">
        <f aca="false">IF(AND(ISNUMBER(I470),ISNUMBER(S470)),I470*AJ470,IF(OR(I470&lt;&gt;"",S470&lt;&gt;""),"tbd",""))</f>
        <v/>
      </c>
      <c r="S470" s="268"/>
      <c r="Y470" s="275" t="str">
        <f aca="false">IF(ISNUMBER(I470),I470/Netto_Faktor,"")</f>
        <v/>
      </c>
      <c r="Z470" s="275" t="str">
        <f aca="false">IF(B470="","",IF(COUNT(J470:N470)=0,"",SUM(J470:N470)))</f>
        <v/>
      </c>
      <c r="AA470" s="266"/>
      <c r="AB470" s="266"/>
      <c r="AC470" s="266"/>
      <c r="AD470" s="266"/>
      <c r="AE470" s="266"/>
      <c r="AF470" s="266"/>
      <c r="AG470" s="267"/>
      <c r="AH470" s="266" t="str">
        <f aca="false">IF(B470="","",IF(BA470="",IF(R470="WON","✅ belegt &amp; vollständig","✔ vollständig"),LEFT(BA470,LEN(BA470)-3)))</f>
        <v/>
      </c>
      <c r="AJ470" s="268" t="n">
        <f aca="false">IF(ISNUMBER(S470),IFERROR(LOOKUP(IF(S470&lt;=1,S470,S470/100),'⚖️ Wahrscheinlichkeit'!$B$17:$B$21,'⚖️ Wahrscheinlichkeit'!$D$17:$D$21),0),0)</f>
        <v>0</v>
      </c>
      <c r="AK470" s="1" t="str">
        <f aca="false">IF(AND(R470="WON",ISNUMBER(I470)),AL470+(861-ROW())*0.000001,"")</f>
        <v/>
      </c>
      <c r="AL470" s="1" t="n">
        <f aca="false">IFERROR(I470*1,0)</f>
        <v>0</v>
      </c>
      <c r="AM470" s="1" t="n">
        <f aca="false">N(AM469)+IF(AND(R470="WON",B470&lt;&gt;""),1,0)</f>
        <v>12</v>
      </c>
      <c r="AN470" s="1" t="n">
        <f aca="false">N(AN469)+IF(AND(OR(R470="offered",R470="to be offered",R470="on hold"),B470&lt;&gt;""),1,0)</f>
        <v>33</v>
      </c>
      <c r="AO470" s="1" t="n">
        <f aca="false">N(AO469)+IF(AND(OR(R470="follow-up",R470="Evaluation",R470="tbd",R470="In evaluation"),B470&lt;&gt;""),1,0)</f>
        <v>1</v>
      </c>
      <c r="AP470" s="1" t="n">
        <f aca="false">IF(B470="",0,IF(COUNTIF('⚖️ Wahrscheinlichkeit'!$J$17:$J$24,R470)&gt;0,1,0))</f>
        <v>0</v>
      </c>
      <c r="AQ470" s="1" t="n">
        <f aca="false">IF(B470="",0,IF(AND(ISNUMBER(S470),COUNTIF('⚖️ Wahrscheinlichkeit'!$B$6:$B$11,S470)&gt;0),1,0))</f>
        <v>0</v>
      </c>
      <c r="AR470" s="1" t="n">
        <f aca="false">IF(B470="",0,IF(AND(COUNT(J470:M470)=4,SUM(J470:M470)&gt;0),1,0))</f>
        <v>0</v>
      </c>
      <c r="AS470" s="1" t="n">
        <f aca="false">IF(B470="",0,IF(AND(AF470&lt;&gt;"",AG470&lt;&gt;""),1,0))</f>
        <v>0</v>
      </c>
      <c r="AT470" s="1" t="n">
        <f aca="false">IF(AND(R470="WON",AS470=1,AR470=1),1,0)</f>
        <v>0</v>
      </c>
      <c r="AU470" s="1" t="n">
        <f aca="false">IF(B470="",0,IF(AD470="Alternative – zählt nicht",0,1))</f>
        <v>0</v>
      </c>
      <c r="AV470" s="1" t="n">
        <f aca="false">IF(B470="",0,IF(COUNTIF($B$6:$B$860,B470)&gt;1,1,0))</f>
        <v>0</v>
      </c>
      <c r="AX470" s="269" t="str">
        <f aca="false">IF(AY470=1,DATE(YEAR(O470),MONTH(O470),1),"")</f>
        <v/>
      </c>
      <c r="AY470" s="1" t="n">
        <f aca="false">IF(B470="",0,IF(AND(ISNUMBER(O470),ISNUMBER(P470)),IF(P470&gt;=O470,1,0),0))</f>
        <v>0</v>
      </c>
      <c r="AZ470" s="1" t="n">
        <f aca="false">IF(ISNUMBER(Y470),Y470,0)</f>
        <v>0</v>
      </c>
      <c r="BA470" s="1" t="str">
        <f aca="false">IF(B470="","",IF(AND(R470="WON",AS470=0),"⛔ Beleg fehlt · ","")&amp;IF(AND(R470="WON",AR470=0),"⛔ Einstand fehlt · ","")&amp;IF(AND(R470&lt;&gt;"WON",AR470=0),"○ Einstand offen · ","")&amp;IF(AND(R470="WON",AB470=""),"⛔ Vertragsart fehlt · ","")&amp;IF(AND(ISNUMBER(O470),ISNUMBER(P470)),IF(P470&lt;O470,"⚠ Ende vor Start · ",""),"")&amp;IF(AND(R470="WON",AY470=0,NOT(AND(ISNUMBER(O470),ISNUMBER(P470)))),"⛔ Zeitraum fehlt · ","")&amp;IF(AND(R470&lt;&gt;"WON",AY470=0,NOT(AND(ISNUMBER(O470),ISNUMBER(P470)))),"○ Zeitraum offen · ",""))</f>
        <v/>
      </c>
      <c r="BB470" s="1" t="str">
        <f aca="false">IF(B470="","",IF(AND(R470="WON",AS470=0),"⛔ Nachweis fehlt",IF(AND(ISNUMBER(O470),ISNUMBER(P470),P470&lt;O470),"⚠ Ende vor Start",IF(AND(R470="WON",AY470=0),"⛔ Zeitraum fehlt",IF(AR470=0,"○ Einstand offen",IF(AY470=0,"○ Zeitraum offen",IF(R470="WON","✅ belegt","✔ erfasst")))))))</f>
        <v/>
      </c>
    </row>
    <row r="471" customFormat="false" ht="15" hidden="false" customHeight="true" outlineLevel="0" collapsed="false">
      <c r="G471" s="1" t="str">
        <f aca="false">IF(B471="","",IF(AY471=1,P471-O471+1,IF(AW471="","",AW471)))</f>
        <v/>
      </c>
      <c r="I471" s="270"/>
      <c r="J471" s="270"/>
      <c r="K471" s="270"/>
      <c r="L471" s="270"/>
      <c r="M471" s="270"/>
      <c r="N471" s="270"/>
      <c r="O471" s="263"/>
      <c r="P471" s="263"/>
      <c r="Q471" s="270" t="str">
        <f aca="false">IF(AND(ISNUMBER(I471),ISNUMBER(S471)),I471*AJ471,IF(OR(I471&lt;&gt;"",S471&lt;&gt;""),"tbd",""))</f>
        <v/>
      </c>
      <c r="S471" s="268"/>
      <c r="Y471" s="275" t="str">
        <f aca="false">IF(ISNUMBER(I471),I471/Netto_Faktor,"")</f>
        <v/>
      </c>
      <c r="Z471" s="275" t="str">
        <f aca="false">IF(B471="","",IF(COUNT(J471:N471)=0,"",SUM(J471:N471)))</f>
        <v/>
      </c>
      <c r="AA471" s="266"/>
      <c r="AB471" s="266"/>
      <c r="AC471" s="266"/>
      <c r="AD471" s="266"/>
      <c r="AE471" s="266"/>
      <c r="AF471" s="266"/>
      <c r="AG471" s="267"/>
      <c r="AH471" s="266" t="str">
        <f aca="false">IF(B471="","",IF(BA471="",IF(R471="WON","✅ belegt &amp; vollständig","✔ vollständig"),LEFT(BA471,LEN(BA471)-3)))</f>
        <v/>
      </c>
      <c r="AJ471" s="268" t="n">
        <f aca="false">IF(ISNUMBER(S471),IFERROR(LOOKUP(IF(S471&lt;=1,S471,S471/100),'⚖️ Wahrscheinlichkeit'!$B$17:$B$21,'⚖️ Wahrscheinlichkeit'!$D$17:$D$21),0),0)</f>
        <v>0</v>
      </c>
      <c r="AK471" s="1" t="str">
        <f aca="false">IF(AND(R471="WON",ISNUMBER(I471)),AL471+(861-ROW())*0.000001,"")</f>
        <v/>
      </c>
      <c r="AL471" s="1" t="n">
        <f aca="false">IFERROR(I471*1,0)</f>
        <v>0</v>
      </c>
      <c r="AM471" s="1" t="n">
        <f aca="false">N(AM470)+IF(AND(R471="WON",B471&lt;&gt;""),1,0)</f>
        <v>12</v>
      </c>
      <c r="AN471" s="1" t="n">
        <f aca="false">N(AN470)+IF(AND(OR(R471="offered",R471="to be offered",R471="on hold"),B471&lt;&gt;""),1,0)</f>
        <v>33</v>
      </c>
      <c r="AO471" s="1" t="n">
        <f aca="false">N(AO470)+IF(AND(OR(R471="follow-up",R471="Evaluation",R471="tbd",R471="In evaluation"),B471&lt;&gt;""),1,0)</f>
        <v>1</v>
      </c>
      <c r="AP471" s="1" t="n">
        <f aca="false">IF(B471="",0,IF(COUNTIF('⚖️ Wahrscheinlichkeit'!$J$17:$J$24,R471)&gt;0,1,0))</f>
        <v>0</v>
      </c>
      <c r="AQ471" s="1" t="n">
        <f aca="false">IF(B471="",0,IF(AND(ISNUMBER(S471),COUNTIF('⚖️ Wahrscheinlichkeit'!$B$6:$B$11,S471)&gt;0),1,0))</f>
        <v>0</v>
      </c>
      <c r="AR471" s="1" t="n">
        <f aca="false">IF(B471="",0,IF(AND(COUNT(J471:M471)=4,SUM(J471:M471)&gt;0),1,0))</f>
        <v>0</v>
      </c>
      <c r="AS471" s="1" t="n">
        <f aca="false">IF(B471="",0,IF(AND(AF471&lt;&gt;"",AG471&lt;&gt;""),1,0))</f>
        <v>0</v>
      </c>
      <c r="AT471" s="1" t="n">
        <f aca="false">IF(AND(R471="WON",AS471=1,AR471=1),1,0)</f>
        <v>0</v>
      </c>
      <c r="AU471" s="1" t="n">
        <f aca="false">IF(B471="",0,IF(AD471="Alternative – zählt nicht",0,1))</f>
        <v>0</v>
      </c>
      <c r="AV471" s="1" t="n">
        <f aca="false">IF(B471="",0,IF(COUNTIF($B$6:$B$860,B471)&gt;1,1,0))</f>
        <v>0</v>
      </c>
      <c r="AX471" s="269" t="str">
        <f aca="false">IF(AY471=1,DATE(YEAR(O471),MONTH(O471),1),"")</f>
        <v/>
      </c>
      <c r="AY471" s="1" t="n">
        <f aca="false">IF(B471="",0,IF(AND(ISNUMBER(O471),ISNUMBER(P471)),IF(P471&gt;=O471,1,0),0))</f>
        <v>0</v>
      </c>
      <c r="AZ471" s="1" t="n">
        <f aca="false">IF(ISNUMBER(Y471),Y471,0)</f>
        <v>0</v>
      </c>
      <c r="BA471" s="1" t="str">
        <f aca="false">IF(B471="","",IF(AND(R471="WON",AS471=0),"⛔ Beleg fehlt · ","")&amp;IF(AND(R471="WON",AR471=0),"⛔ Einstand fehlt · ","")&amp;IF(AND(R471&lt;&gt;"WON",AR471=0),"○ Einstand offen · ","")&amp;IF(AND(R471="WON",AB471=""),"⛔ Vertragsart fehlt · ","")&amp;IF(AND(ISNUMBER(O471),ISNUMBER(P471)),IF(P471&lt;O471,"⚠ Ende vor Start · ",""),"")&amp;IF(AND(R471="WON",AY471=0,NOT(AND(ISNUMBER(O471),ISNUMBER(P471)))),"⛔ Zeitraum fehlt · ","")&amp;IF(AND(R471&lt;&gt;"WON",AY471=0,NOT(AND(ISNUMBER(O471),ISNUMBER(P471)))),"○ Zeitraum offen · ",""))</f>
        <v/>
      </c>
      <c r="BB471" s="1" t="str">
        <f aca="false">IF(B471="","",IF(AND(R471="WON",AS471=0),"⛔ Nachweis fehlt",IF(AND(ISNUMBER(O471),ISNUMBER(P471),P471&lt;O471),"⚠ Ende vor Start",IF(AND(R471="WON",AY471=0),"⛔ Zeitraum fehlt",IF(AR471=0,"○ Einstand offen",IF(AY471=0,"○ Zeitraum offen",IF(R471="WON","✅ belegt","✔ erfasst")))))))</f>
        <v/>
      </c>
    </row>
    <row r="472" customFormat="false" ht="15" hidden="false" customHeight="true" outlineLevel="0" collapsed="false">
      <c r="G472" s="1" t="str">
        <f aca="false">IF(B472="","",IF(AY472=1,P472-O472+1,IF(AW472="","",AW472)))</f>
        <v/>
      </c>
      <c r="I472" s="270"/>
      <c r="J472" s="270"/>
      <c r="K472" s="270"/>
      <c r="L472" s="270"/>
      <c r="M472" s="270"/>
      <c r="N472" s="270"/>
      <c r="O472" s="263"/>
      <c r="P472" s="263"/>
      <c r="Q472" s="270" t="str">
        <f aca="false">IF(AND(ISNUMBER(I472),ISNUMBER(S472)),I472*AJ472,IF(OR(I472&lt;&gt;"",S472&lt;&gt;""),"tbd",""))</f>
        <v/>
      </c>
      <c r="S472" s="268"/>
      <c r="Y472" s="275" t="str">
        <f aca="false">IF(ISNUMBER(I472),I472/Netto_Faktor,"")</f>
        <v/>
      </c>
      <c r="Z472" s="275" t="str">
        <f aca="false">IF(B472="","",IF(COUNT(J472:N472)=0,"",SUM(J472:N472)))</f>
        <v/>
      </c>
      <c r="AA472" s="266"/>
      <c r="AB472" s="266"/>
      <c r="AC472" s="266"/>
      <c r="AD472" s="266"/>
      <c r="AE472" s="266"/>
      <c r="AF472" s="266"/>
      <c r="AG472" s="267"/>
      <c r="AH472" s="266" t="str">
        <f aca="false">IF(B472="","",IF(BA472="",IF(R472="WON","✅ belegt &amp; vollständig","✔ vollständig"),LEFT(BA472,LEN(BA472)-3)))</f>
        <v/>
      </c>
      <c r="AJ472" s="268" t="n">
        <f aca="false">IF(ISNUMBER(S472),IFERROR(LOOKUP(IF(S472&lt;=1,S472,S472/100),'⚖️ Wahrscheinlichkeit'!$B$17:$B$21,'⚖️ Wahrscheinlichkeit'!$D$17:$D$21),0),0)</f>
        <v>0</v>
      </c>
      <c r="AK472" s="1" t="str">
        <f aca="false">IF(AND(R472="WON",ISNUMBER(I472)),AL472+(861-ROW())*0.000001,"")</f>
        <v/>
      </c>
      <c r="AL472" s="1" t="n">
        <f aca="false">IFERROR(I472*1,0)</f>
        <v>0</v>
      </c>
      <c r="AM472" s="1" t="n">
        <f aca="false">N(AM471)+IF(AND(R472="WON",B472&lt;&gt;""),1,0)</f>
        <v>12</v>
      </c>
      <c r="AN472" s="1" t="n">
        <f aca="false">N(AN471)+IF(AND(OR(R472="offered",R472="to be offered",R472="on hold"),B472&lt;&gt;""),1,0)</f>
        <v>33</v>
      </c>
      <c r="AO472" s="1" t="n">
        <f aca="false">N(AO471)+IF(AND(OR(R472="follow-up",R472="Evaluation",R472="tbd",R472="In evaluation"),B472&lt;&gt;""),1,0)</f>
        <v>1</v>
      </c>
      <c r="AP472" s="1" t="n">
        <f aca="false">IF(B472="",0,IF(COUNTIF('⚖️ Wahrscheinlichkeit'!$J$17:$J$24,R472)&gt;0,1,0))</f>
        <v>0</v>
      </c>
      <c r="AQ472" s="1" t="n">
        <f aca="false">IF(B472="",0,IF(AND(ISNUMBER(S472),COUNTIF('⚖️ Wahrscheinlichkeit'!$B$6:$B$11,S472)&gt;0),1,0))</f>
        <v>0</v>
      </c>
      <c r="AR472" s="1" t="n">
        <f aca="false">IF(B472="",0,IF(AND(COUNT(J472:M472)=4,SUM(J472:M472)&gt;0),1,0))</f>
        <v>0</v>
      </c>
      <c r="AS472" s="1" t="n">
        <f aca="false">IF(B472="",0,IF(AND(AF472&lt;&gt;"",AG472&lt;&gt;""),1,0))</f>
        <v>0</v>
      </c>
      <c r="AT472" s="1" t="n">
        <f aca="false">IF(AND(R472="WON",AS472=1,AR472=1),1,0)</f>
        <v>0</v>
      </c>
      <c r="AU472" s="1" t="n">
        <f aca="false">IF(B472="",0,IF(AD472="Alternative – zählt nicht",0,1))</f>
        <v>0</v>
      </c>
      <c r="AV472" s="1" t="n">
        <f aca="false">IF(B472="",0,IF(COUNTIF($B$6:$B$860,B472)&gt;1,1,0))</f>
        <v>0</v>
      </c>
      <c r="AX472" s="269" t="str">
        <f aca="false">IF(AY472=1,DATE(YEAR(O472),MONTH(O472),1),"")</f>
        <v/>
      </c>
      <c r="AY472" s="1" t="n">
        <f aca="false">IF(B472="",0,IF(AND(ISNUMBER(O472),ISNUMBER(P472)),IF(P472&gt;=O472,1,0),0))</f>
        <v>0</v>
      </c>
      <c r="AZ472" s="1" t="n">
        <f aca="false">IF(ISNUMBER(Y472),Y472,0)</f>
        <v>0</v>
      </c>
      <c r="BA472" s="1" t="str">
        <f aca="false">IF(B472="","",IF(AND(R472="WON",AS472=0),"⛔ Beleg fehlt · ","")&amp;IF(AND(R472="WON",AR472=0),"⛔ Einstand fehlt · ","")&amp;IF(AND(R472&lt;&gt;"WON",AR472=0),"○ Einstand offen · ","")&amp;IF(AND(R472="WON",AB472=""),"⛔ Vertragsart fehlt · ","")&amp;IF(AND(ISNUMBER(O472),ISNUMBER(P472)),IF(P472&lt;O472,"⚠ Ende vor Start · ",""),"")&amp;IF(AND(R472="WON",AY472=0,NOT(AND(ISNUMBER(O472),ISNUMBER(P472)))),"⛔ Zeitraum fehlt · ","")&amp;IF(AND(R472&lt;&gt;"WON",AY472=0,NOT(AND(ISNUMBER(O472),ISNUMBER(P472)))),"○ Zeitraum offen · ",""))</f>
        <v/>
      </c>
      <c r="BB472" s="1" t="str">
        <f aca="false">IF(B472="","",IF(AND(R472="WON",AS472=0),"⛔ Nachweis fehlt",IF(AND(ISNUMBER(O472),ISNUMBER(P472),P472&lt;O472),"⚠ Ende vor Start",IF(AND(R472="WON",AY472=0),"⛔ Zeitraum fehlt",IF(AR472=0,"○ Einstand offen",IF(AY472=0,"○ Zeitraum offen",IF(R472="WON","✅ belegt","✔ erfasst")))))))</f>
        <v/>
      </c>
    </row>
    <row r="473" customFormat="false" ht="15" hidden="false" customHeight="true" outlineLevel="0" collapsed="false">
      <c r="G473" s="1" t="str">
        <f aca="false">IF(B473="","",IF(AY473=1,P473-O473+1,IF(AW473="","",AW473)))</f>
        <v/>
      </c>
      <c r="I473" s="270"/>
      <c r="J473" s="270"/>
      <c r="K473" s="270"/>
      <c r="L473" s="270"/>
      <c r="M473" s="270"/>
      <c r="N473" s="270"/>
      <c r="O473" s="263"/>
      <c r="P473" s="263"/>
      <c r="Q473" s="270" t="str">
        <f aca="false">IF(AND(ISNUMBER(I473),ISNUMBER(S473)),I473*AJ473,IF(OR(I473&lt;&gt;"",S473&lt;&gt;""),"tbd",""))</f>
        <v/>
      </c>
      <c r="S473" s="268"/>
      <c r="Y473" s="275" t="str">
        <f aca="false">IF(ISNUMBER(I473),I473/Netto_Faktor,"")</f>
        <v/>
      </c>
      <c r="Z473" s="275" t="str">
        <f aca="false">IF(B473="","",IF(COUNT(J473:N473)=0,"",SUM(J473:N473)))</f>
        <v/>
      </c>
      <c r="AA473" s="266"/>
      <c r="AB473" s="266"/>
      <c r="AC473" s="266"/>
      <c r="AD473" s="266"/>
      <c r="AE473" s="266"/>
      <c r="AF473" s="266"/>
      <c r="AG473" s="267"/>
      <c r="AH473" s="266" t="str">
        <f aca="false">IF(B473="","",IF(BA473="",IF(R473="WON","✅ belegt &amp; vollständig","✔ vollständig"),LEFT(BA473,LEN(BA473)-3)))</f>
        <v/>
      </c>
      <c r="AJ473" s="268" t="n">
        <f aca="false">IF(ISNUMBER(S473),IFERROR(LOOKUP(IF(S473&lt;=1,S473,S473/100),'⚖️ Wahrscheinlichkeit'!$B$17:$B$21,'⚖️ Wahrscheinlichkeit'!$D$17:$D$21),0),0)</f>
        <v>0</v>
      </c>
      <c r="AK473" s="1" t="str">
        <f aca="false">IF(AND(R473="WON",ISNUMBER(I473)),AL473+(861-ROW())*0.000001,"")</f>
        <v/>
      </c>
      <c r="AL473" s="1" t="n">
        <f aca="false">IFERROR(I473*1,0)</f>
        <v>0</v>
      </c>
      <c r="AM473" s="1" t="n">
        <f aca="false">N(AM472)+IF(AND(R473="WON",B473&lt;&gt;""),1,0)</f>
        <v>12</v>
      </c>
      <c r="AN473" s="1" t="n">
        <f aca="false">N(AN472)+IF(AND(OR(R473="offered",R473="to be offered",R473="on hold"),B473&lt;&gt;""),1,0)</f>
        <v>33</v>
      </c>
      <c r="AO473" s="1" t="n">
        <f aca="false">N(AO472)+IF(AND(OR(R473="follow-up",R473="Evaluation",R473="tbd",R473="In evaluation"),B473&lt;&gt;""),1,0)</f>
        <v>1</v>
      </c>
      <c r="AP473" s="1" t="n">
        <f aca="false">IF(B473="",0,IF(COUNTIF('⚖️ Wahrscheinlichkeit'!$J$17:$J$24,R473)&gt;0,1,0))</f>
        <v>0</v>
      </c>
      <c r="AQ473" s="1" t="n">
        <f aca="false">IF(B473="",0,IF(AND(ISNUMBER(S473),COUNTIF('⚖️ Wahrscheinlichkeit'!$B$6:$B$11,S473)&gt;0),1,0))</f>
        <v>0</v>
      </c>
      <c r="AR473" s="1" t="n">
        <f aca="false">IF(B473="",0,IF(AND(COUNT(J473:M473)=4,SUM(J473:M473)&gt;0),1,0))</f>
        <v>0</v>
      </c>
      <c r="AS473" s="1" t="n">
        <f aca="false">IF(B473="",0,IF(AND(AF473&lt;&gt;"",AG473&lt;&gt;""),1,0))</f>
        <v>0</v>
      </c>
      <c r="AT473" s="1" t="n">
        <f aca="false">IF(AND(R473="WON",AS473=1,AR473=1),1,0)</f>
        <v>0</v>
      </c>
      <c r="AU473" s="1" t="n">
        <f aca="false">IF(B473="",0,IF(AD473="Alternative – zählt nicht",0,1))</f>
        <v>0</v>
      </c>
      <c r="AV473" s="1" t="n">
        <f aca="false">IF(B473="",0,IF(COUNTIF($B$6:$B$860,B473)&gt;1,1,0))</f>
        <v>0</v>
      </c>
      <c r="AX473" s="269" t="str">
        <f aca="false">IF(AY473=1,DATE(YEAR(O473),MONTH(O473),1),"")</f>
        <v/>
      </c>
      <c r="AY473" s="1" t="n">
        <f aca="false">IF(B473="",0,IF(AND(ISNUMBER(O473),ISNUMBER(P473)),IF(P473&gt;=O473,1,0),0))</f>
        <v>0</v>
      </c>
      <c r="AZ473" s="1" t="n">
        <f aca="false">IF(ISNUMBER(Y473),Y473,0)</f>
        <v>0</v>
      </c>
      <c r="BA473" s="1" t="str">
        <f aca="false">IF(B473="","",IF(AND(R473="WON",AS473=0),"⛔ Beleg fehlt · ","")&amp;IF(AND(R473="WON",AR473=0),"⛔ Einstand fehlt · ","")&amp;IF(AND(R473&lt;&gt;"WON",AR473=0),"○ Einstand offen · ","")&amp;IF(AND(R473="WON",AB473=""),"⛔ Vertragsart fehlt · ","")&amp;IF(AND(ISNUMBER(O473),ISNUMBER(P473)),IF(P473&lt;O473,"⚠ Ende vor Start · ",""),"")&amp;IF(AND(R473="WON",AY473=0,NOT(AND(ISNUMBER(O473),ISNUMBER(P473)))),"⛔ Zeitraum fehlt · ","")&amp;IF(AND(R473&lt;&gt;"WON",AY473=0,NOT(AND(ISNUMBER(O473),ISNUMBER(P473)))),"○ Zeitraum offen · ",""))</f>
        <v/>
      </c>
      <c r="BB473" s="1" t="str">
        <f aca="false">IF(B473="","",IF(AND(R473="WON",AS473=0),"⛔ Nachweis fehlt",IF(AND(ISNUMBER(O473),ISNUMBER(P473),P473&lt;O473),"⚠ Ende vor Start",IF(AND(R473="WON",AY473=0),"⛔ Zeitraum fehlt",IF(AR473=0,"○ Einstand offen",IF(AY473=0,"○ Zeitraum offen",IF(R473="WON","✅ belegt","✔ erfasst")))))))</f>
        <v/>
      </c>
    </row>
    <row r="474" customFormat="false" ht="15" hidden="false" customHeight="true" outlineLevel="0" collapsed="false">
      <c r="G474" s="1" t="str">
        <f aca="false">IF(B474="","",IF(AY474=1,P474-O474+1,IF(AW474="","",AW474)))</f>
        <v/>
      </c>
      <c r="I474" s="270"/>
      <c r="J474" s="270"/>
      <c r="K474" s="270"/>
      <c r="L474" s="270"/>
      <c r="M474" s="270"/>
      <c r="N474" s="270"/>
      <c r="O474" s="263"/>
      <c r="P474" s="263"/>
      <c r="Q474" s="270" t="str">
        <f aca="false">IF(AND(ISNUMBER(I474),ISNUMBER(S474)),I474*AJ474,IF(OR(I474&lt;&gt;"",S474&lt;&gt;""),"tbd",""))</f>
        <v/>
      </c>
      <c r="S474" s="268"/>
      <c r="Y474" s="275" t="str">
        <f aca="false">IF(ISNUMBER(I474),I474/Netto_Faktor,"")</f>
        <v/>
      </c>
      <c r="Z474" s="275" t="str">
        <f aca="false">IF(B474="","",IF(COUNT(J474:N474)=0,"",SUM(J474:N474)))</f>
        <v/>
      </c>
      <c r="AA474" s="266"/>
      <c r="AB474" s="266"/>
      <c r="AC474" s="266"/>
      <c r="AD474" s="266"/>
      <c r="AE474" s="266"/>
      <c r="AF474" s="266"/>
      <c r="AG474" s="267"/>
      <c r="AH474" s="266" t="str">
        <f aca="false">IF(B474="","",IF(BA474="",IF(R474="WON","✅ belegt &amp; vollständig","✔ vollständig"),LEFT(BA474,LEN(BA474)-3)))</f>
        <v/>
      </c>
      <c r="AJ474" s="268" t="n">
        <f aca="false">IF(ISNUMBER(S474),IFERROR(LOOKUP(IF(S474&lt;=1,S474,S474/100),'⚖️ Wahrscheinlichkeit'!$B$17:$B$21,'⚖️ Wahrscheinlichkeit'!$D$17:$D$21),0),0)</f>
        <v>0</v>
      </c>
      <c r="AK474" s="1" t="str">
        <f aca="false">IF(AND(R474="WON",ISNUMBER(I474)),AL474+(861-ROW())*0.000001,"")</f>
        <v/>
      </c>
      <c r="AL474" s="1" t="n">
        <f aca="false">IFERROR(I474*1,0)</f>
        <v>0</v>
      </c>
      <c r="AM474" s="1" t="n">
        <f aca="false">N(AM473)+IF(AND(R474="WON",B474&lt;&gt;""),1,0)</f>
        <v>12</v>
      </c>
      <c r="AN474" s="1" t="n">
        <f aca="false">N(AN473)+IF(AND(OR(R474="offered",R474="to be offered",R474="on hold"),B474&lt;&gt;""),1,0)</f>
        <v>33</v>
      </c>
      <c r="AO474" s="1" t="n">
        <f aca="false">N(AO473)+IF(AND(OR(R474="follow-up",R474="Evaluation",R474="tbd",R474="In evaluation"),B474&lt;&gt;""),1,0)</f>
        <v>1</v>
      </c>
      <c r="AP474" s="1" t="n">
        <f aca="false">IF(B474="",0,IF(COUNTIF('⚖️ Wahrscheinlichkeit'!$J$17:$J$24,R474)&gt;0,1,0))</f>
        <v>0</v>
      </c>
      <c r="AQ474" s="1" t="n">
        <f aca="false">IF(B474="",0,IF(AND(ISNUMBER(S474),COUNTIF('⚖️ Wahrscheinlichkeit'!$B$6:$B$11,S474)&gt;0),1,0))</f>
        <v>0</v>
      </c>
      <c r="AR474" s="1" t="n">
        <f aca="false">IF(B474="",0,IF(AND(COUNT(J474:M474)=4,SUM(J474:M474)&gt;0),1,0))</f>
        <v>0</v>
      </c>
      <c r="AS474" s="1" t="n">
        <f aca="false">IF(B474="",0,IF(AND(AF474&lt;&gt;"",AG474&lt;&gt;""),1,0))</f>
        <v>0</v>
      </c>
      <c r="AT474" s="1" t="n">
        <f aca="false">IF(AND(R474="WON",AS474=1,AR474=1),1,0)</f>
        <v>0</v>
      </c>
      <c r="AU474" s="1" t="n">
        <f aca="false">IF(B474="",0,IF(AD474="Alternative – zählt nicht",0,1))</f>
        <v>0</v>
      </c>
      <c r="AV474" s="1" t="n">
        <f aca="false">IF(B474="",0,IF(COUNTIF($B$6:$B$860,B474)&gt;1,1,0))</f>
        <v>0</v>
      </c>
      <c r="AX474" s="269" t="str">
        <f aca="false">IF(AY474=1,DATE(YEAR(O474),MONTH(O474),1),"")</f>
        <v/>
      </c>
      <c r="AY474" s="1" t="n">
        <f aca="false">IF(B474="",0,IF(AND(ISNUMBER(O474),ISNUMBER(P474)),IF(P474&gt;=O474,1,0),0))</f>
        <v>0</v>
      </c>
      <c r="AZ474" s="1" t="n">
        <f aca="false">IF(ISNUMBER(Y474),Y474,0)</f>
        <v>0</v>
      </c>
      <c r="BA474" s="1" t="str">
        <f aca="false">IF(B474="","",IF(AND(R474="WON",AS474=0),"⛔ Beleg fehlt · ","")&amp;IF(AND(R474="WON",AR474=0),"⛔ Einstand fehlt · ","")&amp;IF(AND(R474&lt;&gt;"WON",AR474=0),"○ Einstand offen · ","")&amp;IF(AND(R474="WON",AB474=""),"⛔ Vertragsart fehlt · ","")&amp;IF(AND(ISNUMBER(O474),ISNUMBER(P474)),IF(P474&lt;O474,"⚠ Ende vor Start · ",""),"")&amp;IF(AND(R474="WON",AY474=0,NOT(AND(ISNUMBER(O474),ISNUMBER(P474)))),"⛔ Zeitraum fehlt · ","")&amp;IF(AND(R474&lt;&gt;"WON",AY474=0,NOT(AND(ISNUMBER(O474),ISNUMBER(P474)))),"○ Zeitraum offen · ",""))</f>
        <v/>
      </c>
      <c r="BB474" s="1" t="str">
        <f aca="false">IF(B474="","",IF(AND(R474="WON",AS474=0),"⛔ Nachweis fehlt",IF(AND(ISNUMBER(O474),ISNUMBER(P474),P474&lt;O474),"⚠ Ende vor Start",IF(AND(R474="WON",AY474=0),"⛔ Zeitraum fehlt",IF(AR474=0,"○ Einstand offen",IF(AY474=0,"○ Zeitraum offen",IF(R474="WON","✅ belegt","✔ erfasst")))))))</f>
        <v/>
      </c>
    </row>
    <row r="475" customFormat="false" ht="15" hidden="false" customHeight="true" outlineLevel="0" collapsed="false">
      <c r="G475" s="1" t="str">
        <f aca="false">IF(B475="","",IF(AY475=1,P475-O475+1,IF(AW475="","",AW475)))</f>
        <v/>
      </c>
      <c r="I475" s="270"/>
      <c r="J475" s="270"/>
      <c r="K475" s="270"/>
      <c r="L475" s="270"/>
      <c r="M475" s="270"/>
      <c r="N475" s="270"/>
      <c r="O475" s="263"/>
      <c r="P475" s="263"/>
      <c r="Q475" s="270" t="str">
        <f aca="false">IF(AND(ISNUMBER(I475),ISNUMBER(S475)),I475*AJ475,IF(OR(I475&lt;&gt;"",S475&lt;&gt;""),"tbd",""))</f>
        <v/>
      </c>
      <c r="S475" s="268"/>
      <c r="Y475" s="275" t="str">
        <f aca="false">IF(ISNUMBER(I475),I475/Netto_Faktor,"")</f>
        <v/>
      </c>
      <c r="Z475" s="275" t="str">
        <f aca="false">IF(B475="","",IF(COUNT(J475:N475)=0,"",SUM(J475:N475)))</f>
        <v/>
      </c>
      <c r="AA475" s="266"/>
      <c r="AB475" s="266"/>
      <c r="AC475" s="266"/>
      <c r="AD475" s="266"/>
      <c r="AE475" s="266"/>
      <c r="AF475" s="266"/>
      <c r="AG475" s="267"/>
      <c r="AH475" s="266" t="str">
        <f aca="false">IF(B475="","",IF(BA475="",IF(R475="WON","✅ belegt &amp; vollständig","✔ vollständig"),LEFT(BA475,LEN(BA475)-3)))</f>
        <v/>
      </c>
      <c r="AJ475" s="268" t="n">
        <f aca="false">IF(ISNUMBER(S475),IFERROR(LOOKUP(IF(S475&lt;=1,S475,S475/100),'⚖️ Wahrscheinlichkeit'!$B$17:$B$21,'⚖️ Wahrscheinlichkeit'!$D$17:$D$21),0),0)</f>
        <v>0</v>
      </c>
      <c r="AK475" s="1" t="str">
        <f aca="false">IF(AND(R475="WON",ISNUMBER(I475)),AL475+(861-ROW())*0.000001,"")</f>
        <v/>
      </c>
      <c r="AL475" s="1" t="n">
        <f aca="false">IFERROR(I475*1,0)</f>
        <v>0</v>
      </c>
      <c r="AM475" s="1" t="n">
        <f aca="false">N(AM474)+IF(AND(R475="WON",B475&lt;&gt;""),1,0)</f>
        <v>12</v>
      </c>
      <c r="AN475" s="1" t="n">
        <f aca="false">N(AN474)+IF(AND(OR(R475="offered",R475="to be offered",R475="on hold"),B475&lt;&gt;""),1,0)</f>
        <v>33</v>
      </c>
      <c r="AO475" s="1" t="n">
        <f aca="false">N(AO474)+IF(AND(OR(R475="follow-up",R475="Evaluation",R475="tbd",R475="In evaluation"),B475&lt;&gt;""),1,0)</f>
        <v>1</v>
      </c>
      <c r="AP475" s="1" t="n">
        <f aca="false">IF(B475="",0,IF(COUNTIF('⚖️ Wahrscheinlichkeit'!$J$17:$J$24,R475)&gt;0,1,0))</f>
        <v>0</v>
      </c>
      <c r="AQ475" s="1" t="n">
        <f aca="false">IF(B475="",0,IF(AND(ISNUMBER(S475),COUNTIF('⚖️ Wahrscheinlichkeit'!$B$6:$B$11,S475)&gt;0),1,0))</f>
        <v>0</v>
      </c>
      <c r="AR475" s="1" t="n">
        <f aca="false">IF(B475="",0,IF(AND(COUNT(J475:M475)=4,SUM(J475:M475)&gt;0),1,0))</f>
        <v>0</v>
      </c>
      <c r="AS475" s="1" t="n">
        <f aca="false">IF(B475="",0,IF(AND(AF475&lt;&gt;"",AG475&lt;&gt;""),1,0))</f>
        <v>0</v>
      </c>
      <c r="AT475" s="1" t="n">
        <f aca="false">IF(AND(R475="WON",AS475=1,AR475=1),1,0)</f>
        <v>0</v>
      </c>
      <c r="AU475" s="1" t="n">
        <f aca="false">IF(B475="",0,IF(AD475="Alternative – zählt nicht",0,1))</f>
        <v>0</v>
      </c>
      <c r="AV475" s="1" t="n">
        <f aca="false">IF(B475="",0,IF(COUNTIF($B$6:$B$860,B475)&gt;1,1,0))</f>
        <v>0</v>
      </c>
      <c r="AX475" s="269" t="str">
        <f aca="false">IF(AY475=1,DATE(YEAR(O475),MONTH(O475),1),"")</f>
        <v/>
      </c>
      <c r="AY475" s="1" t="n">
        <f aca="false">IF(B475="",0,IF(AND(ISNUMBER(O475),ISNUMBER(P475)),IF(P475&gt;=O475,1,0),0))</f>
        <v>0</v>
      </c>
      <c r="AZ475" s="1" t="n">
        <f aca="false">IF(ISNUMBER(Y475),Y475,0)</f>
        <v>0</v>
      </c>
      <c r="BA475" s="1" t="str">
        <f aca="false">IF(B475="","",IF(AND(R475="WON",AS475=0),"⛔ Beleg fehlt · ","")&amp;IF(AND(R475="WON",AR475=0),"⛔ Einstand fehlt · ","")&amp;IF(AND(R475&lt;&gt;"WON",AR475=0),"○ Einstand offen · ","")&amp;IF(AND(R475="WON",AB475=""),"⛔ Vertragsart fehlt · ","")&amp;IF(AND(ISNUMBER(O475),ISNUMBER(P475)),IF(P475&lt;O475,"⚠ Ende vor Start · ",""),"")&amp;IF(AND(R475="WON",AY475=0,NOT(AND(ISNUMBER(O475),ISNUMBER(P475)))),"⛔ Zeitraum fehlt · ","")&amp;IF(AND(R475&lt;&gt;"WON",AY475=0,NOT(AND(ISNUMBER(O475),ISNUMBER(P475)))),"○ Zeitraum offen · ",""))</f>
        <v/>
      </c>
      <c r="BB475" s="1" t="str">
        <f aca="false">IF(B475="","",IF(AND(R475="WON",AS475=0),"⛔ Nachweis fehlt",IF(AND(ISNUMBER(O475),ISNUMBER(P475),P475&lt;O475),"⚠ Ende vor Start",IF(AND(R475="WON",AY475=0),"⛔ Zeitraum fehlt",IF(AR475=0,"○ Einstand offen",IF(AY475=0,"○ Zeitraum offen",IF(R475="WON","✅ belegt","✔ erfasst")))))))</f>
        <v/>
      </c>
    </row>
    <row r="476" customFormat="false" ht="15" hidden="false" customHeight="true" outlineLevel="0" collapsed="false">
      <c r="G476" s="1" t="str">
        <f aca="false">IF(B476="","",IF(AY476=1,P476-O476+1,IF(AW476="","",AW476)))</f>
        <v/>
      </c>
      <c r="I476" s="270"/>
      <c r="J476" s="270"/>
      <c r="K476" s="270"/>
      <c r="L476" s="270"/>
      <c r="M476" s="270"/>
      <c r="N476" s="270"/>
      <c r="O476" s="263"/>
      <c r="P476" s="263"/>
      <c r="Q476" s="270" t="str">
        <f aca="false">IF(AND(ISNUMBER(I476),ISNUMBER(S476)),I476*AJ476,IF(OR(I476&lt;&gt;"",S476&lt;&gt;""),"tbd",""))</f>
        <v/>
      </c>
      <c r="S476" s="268"/>
      <c r="Y476" s="275" t="str">
        <f aca="false">IF(ISNUMBER(I476),I476/Netto_Faktor,"")</f>
        <v/>
      </c>
      <c r="Z476" s="275" t="str">
        <f aca="false">IF(B476="","",IF(COUNT(J476:N476)=0,"",SUM(J476:N476)))</f>
        <v/>
      </c>
      <c r="AA476" s="266"/>
      <c r="AB476" s="266"/>
      <c r="AC476" s="266"/>
      <c r="AD476" s="266"/>
      <c r="AE476" s="266"/>
      <c r="AF476" s="266"/>
      <c r="AG476" s="267"/>
      <c r="AH476" s="266" t="str">
        <f aca="false">IF(B476="","",IF(BA476="",IF(R476="WON","✅ belegt &amp; vollständig","✔ vollständig"),LEFT(BA476,LEN(BA476)-3)))</f>
        <v/>
      </c>
      <c r="AJ476" s="268" t="n">
        <f aca="false">IF(ISNUMBER(S476),IFERROR(LOOKUP(IF(S476&lt;=1,S476,S476/100),'⚖️ Wahrscheinlichkeit'!$B$17:$B$21,'⚖️ Wahrscheinlichkeit'!$D$17:$D$21),0),0)</f>
        <v>0</v>
      </c>
      <c r="AK476" s="1" t="str">
        <f aca="false">IF(AND(R476="WON",ISNUMBER(I476)),AL476+(861-ROW())*0.000001,"")</f>
        <v/>
      </c>
      <c r="AL476" s="1" t="n">
        <f aca="false">IFERROR(I476*1,0)</f>
        <v>0</v>
      </c>
      <c r="AM476" s="1" t="n">
        <f aca="false">N(AM475)+IF(AND(R476="WON",B476&lt;&gt;""),1,0)</f>
        <v>12</v>
      </c>
      <c r="AN476" s="1" t="n">
        <f aca="false">N(AN475)+IF(AND(OR(R476="offered",R476="to be offered",R476="on hold"),B476&lt;&gt;""),1,0)</f>
        <v>33</v>
      </c>
      <c r="AO476" s="1" t="n">
        <f aca="false">N(AO475)+IF(AND(OR(R476="follow-up",R476="Evaluation",R476="tbd",R476="In evaluation"),B476&lt;&gt;""),1,0)</f>
        <v>1</v>
      </c>
      <c r="AP476" s="1" t="n">
        <f aca="false">IF(B476="",0,IF(COUNTIF('⚖️ Wahrscheinlichkeit'!$J$17:$J$24,R476)&gt;0,1,0))</f>
        <v>0</v>
      </c>
      <c r="AQ476" s="1" t="n">
        <f aca="false">IF(B476="",0,IF(AND(ISNUMBER(S476),COUNTIF('⚖️ Wahrscheinlichkeit'!$B$6:$B$11,S476)&gt;0),1,0))</f>
        <v>0</v>
      </c>
      <c r="AR476" s="1" t="n">
        <f aca="false">IF(B476="",0,IF(AND(COUNT(J476:M476)=4,SUM(J476:M476)&gt;0),1,0))</f>
        <v>0</v>
      </c>
      <c r="AS476" s="1" t="n">
        <f aca="false">IF(B476="",0,IF(AND(AF476&lt;&gt;"",AG476&lt;&gt;""),1,0))</f>
        <v>0</v>
      </c>
      <c r="AT476" s="1" t="n">
        <f aca="false">IF(AND(R476="WON",AS476=1,AR476=1),1,0)</f>
        <v>0</v>
      </c>
      <c r="AU476" s="1" t="n">
        <f aca="false">IF(B476="",0,IF(AD476="Alternative – zählt nicht",0,1))</f>
        <v>0</v>
      </c>
      <c r="AV476" s="1" t="n">
        <f aca="false">IF(B476="",0,IF(COUNTIF($B$6:$B$860,B476)&gt;1,1,0))</f>
        <v>0</v>
      </c>
      <c r="AX476" s="269" t="str">
        <f aca="false">IF(AY476=1,DATE(YEAR(O476),MONTH(O476),1),"")</f>
        <v/>
      </c>
      <c r="AY476" s="1" t="n">
        <f aca="false">IF(B476="",0,IF(AND(ISNUMBER(O476),ISNUMBER(P476)),IF(P476&gt;=O476,1,0),0))</f>
        <v>0</v>
      </c>
      <c r="AZ476" s="1" t="n">
        <f aca="false">IF(ISNUMBER(Y476),Y476,0)</f>
        <v>0</v>
      </c>
      <c r="BA476" s="1" t="str">
        <f aca="false">IF(B476="","",IF(AND(R476="WON",AS476=0),"⛔ Beleg fehlt · ","")&amp;IF(AND(R476="WON",AR476=0),"⛔ Einstand fehlt · ","")&amp;IF(AND(R476&lt;&gt;"WON",AR476=0),"○ Einstand offen · ","")&amp;IF(AND(R476="WON",AB476=""),"⛔ Vertragsart fehlt · ","")&amp;IF(AND(ISNUMBER(O476),ISNUMBER(P476)),IF(P476&lt;O476,"⚠ Ende vor Start · ",""),"")&amp;IF(AND(R476="WON",AY476=0,NOT(AND(ISNUMBER(O476),ISNUMBER(P476)))),"⛔ Zeitraum fehlt · ","")&amp;IF(AND(R476&lt;&gt;"WON",AY476=0,NOT(AND(ISNUMBER(O476),ISNUMBER(P476)))),"○ Zeitraum offen · ",""))</f>
        <v/>
      </c>
      <c r="BB476" s="1" t="str">
        <f aca="false">IF(B476="","",IF(AND(R476="WON",AS476=0),"⛔ Nachweis fehlt",IF(AND(ISNUMBER(O476),ISNUMBER(P476),P476&lt;O476),"⚠ Ende vor Start",IF(AND(R476="WON",AY476=0),"⛔ Zeitraum fehlt",IF(AR476=0,"○ Einstand offen",IF(AY476=0,"○ Zeitraum offen",IF(R476="WON","✅ belegt","✔ erfasst")))))))</f>
        <v/>
      </c>
    </row>
    <row r="477" customFormat="false" ht="15" hidden="false" customHeight="true" outlineLevel="0" collapsed="false">
      <c r="G477" s="1" t="str">
        <f aca="false">IF(B477="","",IF(AY477=1,P477-O477+1,IF(AW477="","",AW477)))</f>
        <v/>
      </c>
      <c r="I477" s="270"/>
      <c r="J477" s="270"/>
      <c r="K477" s="270"/>
      <c r="L477" s="270"/>
      <c r="M477" s="270"/>
      <c r="N477" s="270"/>
      <c r="O477" s="263"/>
      <c r="P477" s="263"/>
      <c r="Q477" s="270" t="str">
        <f aca="false">IF(AND(ISNUMBER(I477),ISNUMBER(S477)),I477*AJ477,IF(OR(I477&lt;&gt;"",S477&lt;&gt;""),"tbd",""))</f>
        <v/>
      </c>
      <c r="S477" s="268"/>
      <c r="Y477" s="275" t="str">
        <f aca="false">IF(ISNUMBER(I477),I477/Netto_Faktor,"")</f>
        <v/>
      </c>
      <c r="Z477" s="275" t="str">
        <f aca="false">IF(B477="","",IF(COUNT(J477:N477)=0,"",SUM(J477:N477)))</f>
        <v/>
      </c>
      <c r="AA477" s="266"/>
      <c r="AB477" s="266"/>
      <c r="AC477" s="266"/>
      <c r="AD477" s="266"/>
      <c r="AE477" s="266"/>
      <c r="AF477" s="266"/>
      <c r="AG477" s="267"/>
      <c r="AH477" s="266" t="str">
        <f aca="false">IF(B477="","",IF(BA477="",IF(R477="WON","✅ belegt &amp; vollständig","✔ vollständig"),LEFT(BA477,LEN(BA477)-3)))</f>
        <v/>
      </c>
      <c r="AJ477" s="268" t="n">
        <f aca="false">IF(ISNUMBER(S477),IFERROR(LOOKUP(IF(S477&lt;=1,S477,S477/100),'⚖️ Wahrscheinlichkeit'!$B$17:$B$21,'⚖️ Wahrscheinlichkeit'!$D$17:$D$21),0),0)</f>
        <v>0</v>
      </c>
      <c r="AK477" s="1" t="str">
        <f aca="false">IF(AND(R477="WON",ISNUMBER(I477)),AL477+(861-ROW())*0.000001,"")</f>
        <v/>
      </c>
      <c r="AL477" s="1" t="n">
        <f aca="false">IFERROR(I477*1,0)</f>
        <v>0</v>
      </c>
      <c r="AM477" s="1" t="n">
        <f aca="false">N(AM476)+IF(AND(R477="WON",B477&lt;&gt;""),1,0)</f>
        <v>12</v>
      </c>
      <c r="AN477" s="1" t="n">
        <f aca="false">N(AN476)+IF(AND(OR(R477="offered",R477="to be offered",R477="on hold"),B477&lt;&gt;""),1,0)</f>
        <v>33</v>
      </c>
      <c r="AO477" s="1" t="n">
        <f aca="false">N(AO476)+IF(AND(OR(R477="follow-up",R477="Evaluation",R477="tbd",R477="In evaluation"),B477&lt;&gt;""),1,0)</f>
        <v>1</v>
      </c>
      <c r="AP477" s="1" t="n">
        <f aca="false">IF(B477="",0,IF(COUNTIF('⚖️ Wahrscheinlichkeit'!$J$17:$J$24,R477)&gt;0,1,0))</f>
        <v>0</v>
      </c>
      <c r="AQ477" s="1" t="n">
        <f aca="false">IF(B477="",0,IF(AND(ISNUMBER(S477),COUNTIF('⚖️ Wahrscheinlichkeit'!$B$6:$B$11,S477)&gt;0),1,0))</f>
        <v>0</v>
      </c>
      <c r="AR477" s="1" t="n">
        <f aca="false">IF(B477="",0,IF(AND(COUNT(J477:M477)=4,SUM(J477:M477)&gt;0),1,0))</f>
        <v>0</v>
      </c>
      <c r="AS477" s="1" t="n">
        <f aca="false">IF(B477="",0,IF(AND(AF477&lt;&gt;"",AG477&lt;&gt;""),1,0))</f>
        <v>0</v>
      </c>
      <c r="AT477" s="1" t="n">
        <f aca="false">IF(AND(R477="WON",AS477=1,AR477=1),1,0)</f>
        <v>0</v>
      </c>
      <c r="AU477" s="1" t="n">
        <f aca="false">IF(B477="",0,IF(AD477="Alternative – zählt nicht",0,1))</f>
        <v>0</v>
      </c>
      <c r="AV477" s="1" t="n">
        <f aca="false">IF(B477="",0,IF(COUNTIF($B$6:$B$860,B477)&gt;1,1,0))</f>
        <v>0</v>
      </c>
      <c r="AX477" s="269" t="str">
        <f aca="false">IF(AY477=1,DATE(YEAR(O477),MONTH(O477),1),"")</f>
        <v/>
      </c>
      <c r="AY477" s="1" t="n">
        <f aca="false">IF(B477="",0,IF(AND(ISNUMBER(O477),ISNUMBER(P477)),IF(P477&gt;=O477,1,0),0))</f>
        <v>0</v>
      </c>
      <c r="AZ477" s="1" t="n">
        <f aca="false">IF(ISNUMBER(Y477),Y477,0)</f>
        <v>0</v>
      </c>
      <c r="BA477" s="1" t="str">
        <f aca="false">IF(B477="","",IF(AND(R477="WON",AS477=0),"⛔ Beleg fehlt · ","")&amp;IF(AND(R477="WON",AR477=0),"⛔ Einstand fehlt · ","")&amp;IF(AND(R477&lt;&gt;"WON",AR477=0),"○ Einstand offen · ","")&amp;IF(AND(R477="WON",AB477=""),"⛔ Vertragsart fehlt · ","")&amp;IF(AND(ISNUMBER(O477),ISNUMBER(P477)),IF(P477&lt;O477,"⚠ Ende vor Start · ",""),"")&amp;IF(AND(R477="WON",AY477=0,NOT(AND(ISNUMBER(O477),ISNUMBER(P477)))),"⛔ Zeitraum fehlt · ","")&amp;IF(AND(R477&lt;&gt;"WON",AY477=0,NOT(AND(ISNUMBER(O477),ISNUMBER(P477)))),"○ Zeitraum offen · ",""))</f>
        <v/>
      </c>
      <c r="BB477" s="1" t="str">
        <f aca="false">IF(B477="","",IF(AND(R477="WON",AS477=0),"⛔ Nachweis fehlt",IF(AND(ISNUMBER(O477),ISNUMBER(P477),P477&lt;O477),"⚠ Ende vor Start",IF(AND(R477="WON",AY477=0),"⛔ Zeitraum fehlt",IF(AR477=0,"○ Einstand offen",IF(AY477=0,"○ Zeitraum offen",IF(R477="WON","✅ belegt","✔ erfasst")))))))</f>
        <v/>
      </c>
    </row>
    <row r="478" customFormat="false" ht="15" hidden="false" customHeight="true" outlineLevel="0" collapsed="false">
      <c r="G478" s="1" t="str">
        <f aca="false">IF(B478="","",IF(AY478=1,P478-O478+1,IF(AW478="","",AW478)))</f>
        <v/>
      </c>
      <c r="I478" s="270"/>
      <c r="J478" s="270"/>
      <c r="K478" s="270"/>
      <c r="L478" s="270"/>
      <c r="M478" s="270"/>
      <c r="N478" s="270"/>
      <c r="O478" s="263"/>
      <c r="P478" s="263"/>
      <c r="Q478" s="270" t="str">
        <f aca="false">IF(AND(ISNUMBER(I478),ISNUMBER(S478)),I478*AJ478,IF(OR(I478&lt;&gt;"",S478&lt;&gt;""),"tbd",""))</f>
        <v/>
      </c>
      <c r="S478" s="268"/>
      <c r="Y478" s="275" t="str">
        <f aca="false">IF(ISNUMBER(I478),I478/Netto_Faktor,"")</f>
        <v/>
      </c>
      <c r="Z478" s="275" t="str">
        <f aca="false">IF(B478="","",IF(COUNT(J478:N478)=0,"",SUM(J478:N478)))</f>
        <v/>
      </c>
      <c r="AA478" s="266"/>
      <c r="AB478" s="266"/>
      <c r="AC478" s="266"/>
      <c r="AD478" s="266"/>
      <c r="AE478" s="266"/>
      <c r="AF478" s="266"/>
      <c r="AG478" s="267"/>
      <c r="AH478" s="266" t="str">
        <f aca="false">IF(B478="","",IF(BA478="",IF(R478="WON","✅ belegt &amp; vollständig","✔ vollständig"),LEFT(BA478,LEN(BA478)-3)))</f>
        <v/>
      </c>
      <c r="AJ478" s="268" t="n">
        <f aca="false">IF(ISNUMBER(S478),IFERROR(LOOKUP(IF(S478&lt;=1,S478,S478/100),'⚖️ Wahrscheinlichkeit'!$B$17:$B$21,'⚖️ Wahrscheinlichkeit'!$D$17:$D$21),0),0)</f>
        <v>0</v>
      </c>
      <c r="AK478" s="1" t="str">
        <f aca="false">IF(AND(R478="WON",ISNUMBER(I478)),AL478+(861-ROW())*0.000001,"")</f>
        <v/>
      </c>
      <c r="AL478" s="1" t="n">
        <f aca="false">IFERROR(I478*1,0)</f>
        <v>0</v>
      </c>
      <c r="AM478" s="1" t="n">
        <f aca="false">N(AM477)+IF(AND(R478="WON",B478&lt;&gt;""),1,0)</f>
        <v>12</v>
      </c>
      <c r="AN478" s="1" t="n">
        <f aca="false">N(AN477)+IF(AND(OR(R478="offered",R478="to be offered",R478="on hold"),B478&lt;&gt;""),1,0)</f>
        <v>33</v>
      </c>
      <c r="AO478" s="1" t="n">
        <f aca="false">N(AO477)+IF(AND(OR(R478="follow-up",R478="Evaluation",R478="tbd",R478="In evaluation"),B478&lt;&gt;""),1,0)</f>
        <v>1</v>
      </c>
      <c r="AP478" s="1" t="n">
        <f aca="false">IF(B478="",0,IF(COUNTIF('⚖️ Wahrscheinlichkeit'!$J$17:$J$24,R478)&gt;0,1,0))</f>
        <v>0</v>
      </c>
      <c r="AQ478" s="1" t="n">
        <f aca="false">IF(B478="",0,IF(AND(ISNUMBER(S478),COUNTIF('⚖️ Wahrscheinlichkeit'!$B$6:$B$11,S478)&gt;0),1,0))</f>
        <v>0</v>
      </c>
      <c r="AR478" s="1" t="n">
        <f aca="false">IF(B478="",0,IF(AND(COUNT(J478:M478)=4,SUM(J478:M478)&gt;0),1,0))</f>
        <v>0</v>
      </c>
      <c r="AS478" s="1" t="n">
        <f aca="false">IF(B478="",0,IF(AND(AF478&lt;&gt;"",AG478&lt;&gt;""),1,0))</f>
        <v>0</v>
      </c>
      <c r="AT478" s="1" t="n">
        <f aca="false">IF(AND(R478="WON",AS478=1,AR478=1),1,0)</f>
        <v>0</v>
      </c>
      <c r="AU478" s="1" t="n">
        <f aca="false">IF(B478="",0,IF(AD478="Alternative – zählt nicht",0,1))</f>
        <v>0</v>
      </c>
      <c r="AV478" s="1" t="n">
        <f aca="false">IF(B478="",0,IF(COUNTIF($B$6:$B$860,B478)&gt;1,1,0))</f>
        <v>0</v>
      </c>
      <c r="AX478" s="269" t="str">
        <f aca="false">IF(AY478=1,DATE(YEAR(O478),MONTH(O478),1),"")</f>
        <v/>
      </c>
      <c r="AY478" s="1" t="n">
        <f aca="false">IF(B478="",0,IF(AND(ISNUMBER(O478),ISNUMBER(P478)),IF(P478&gt;=O478,1,0),0))</f>
        <v>0</v>
      </c>
      <c r="AZ478" s="1" t="n">
        <f aca="false">IF(ISNUMBER(Y478),Y478,0)</f>
        <v>0</v>
      </c>
      <c r="BA478" s="1" t="str">
        <f aca="false">IF(B478="","",IF(AND(R478="WON",AS478=0),"⛔ Beleg fehlt · ","")&amp;IF(AND(R478="WON",AR478=0),"⛔ Einstand fehlt · ","")&amp;IF(AND(R478&lt;&gt;"WON",AR478=0),"○ Einstand offen · ","")&amp;IF(AND(R478="WON",AB478=""),"⛔ Vertragsart fehlt · ","")&amp;IF(AND(ISNUMBER(O478),ISNUMBER(P478)),IF(P478&lt;O478,"⚠ Ende vor Start · ",""),"")&amp;IF(AND(R478="WON",AY478=0,NOT(AND(ISNUMBER(O478),ISNUMBER(P478)))),"⛔ Zeitraum fehlt · ","")&amp;IF(AND(R478&lt;&gt;"WON",AY478=0,NOT(AND(ISNUMBER(O478),ISNUMBER(P478)))),"○ Zeitraum offen · ",""))</f>
        <v/>
      </c>
      <c r="BB478" s="1" t="str">
        <f aca="false">IF(B478="","",IF(AND(R478="WON",AS478=0),"⛔ Nachweis fehlt",IF(AND(ISNUMBER(O478),ISNUMBER(P478),P478&lt;O478),"⚠ Ende vor Start",IF(AND(R478="WON",AY478=0),"⛔ Zeitraum fehlt",IF(AR478=0,"○ Einstand offen",IF(AY478=0,"○ Zeitraum offen",IF(R478="WON","✅ belegt","✔ erfasst")))))))</f>
        <v/>
      </c>
    </row>
    <row r="479" customFormat="false" ht="15" hidden="false" customHeight="true" outlineLevel="0" collapsed="false">
      <c r="G479" s="1" t="str">
        <f aca="false">IF(B479="","",IF(AY479=1,P479-O479+1,IF(AW479="","",AW479)))</f>
        <v/>
      </c>
      <c r="I479" s="270"/>
      <c r="J479" s="270"/>
      <c r="K479" s="270"/>
      <c r="L479" s="270"/>
      <c r="M479" s="270"/>
      <c r="N479" s="270"/>
      <c r="O479" s="263"/>
      <c r="P479" s="263"/>
      <c r="Q479" s="270" t="str">
        <f aca="false">IF(AND(ISNUMBER(I479),ISNUMBER(S479)),I479*AJ479,IF(OR(I479&lt;&gt;"",S479&lt;&gt;""),"tbd",""))</f>
        <v/>
      </c>
      <c r="S479" s="268"/>
      <c r="Y479" s="275" t="str">
        <f aca="false">IF(ISNUMBER(I479),I479/Netto_Faktor,"")</f>
        <v/>
      </c>
      <c r="Z479" s="275" t="str">
        <f aca="false">IF(B479="","",IF(COUNT(J479:N479)=0,"",SUM(J479:N479)))</f>
        <v/>
      </c>
      <c r="AA479" s="266"/>
      <c r="AB479" s="266"/>
      <c r="AC479" s="266"/>
      <c r="AD479" s="266"/>
      <c r="AE479" s="266"/>
      <c r="AF479" s="266"/>
      <c r="AG479" s="267"/>
      <c r="AH479" s="266" t="str">
        <f aca="false">IF(B479="","",IF(BA479="",IF(R479="WON","✅ belegt &amp; vollständig","✔ vollständig"),LEFT(BA479,LEN(BA479)-3)))</f>
        <v/>
      </c>
      <c r="AJ479" s="268" t="n">
        <f aca="false">IF(ISNUMBER(S479),IFERROR(LOOKUP(IF(S479&lt;=1,S479,S479/100),'⚖️ Wahrscheinlichkeit'!$B$17:$B$21,'⚖️ Wahrscheinlichkeit'!$D$17:$D$21),0),0)</f>
        <v>0</v>
      </c>
      <c r="AK479" s="1" t="str">
        <f aca="false">IF(AND(R479="WON",ISNUMBER(I479)),AL479+(861-ROW())*0.000001,"")</f>
        <v/>
      </c>
      <c r="AL479" s="1" t="n">
        <f aca="false">IFERROR(I479*1,0)</f>
        <v>0</v>
      </c>
      <c r="AM479" s="1" t="n">
        <f aca="false">N(AM478)+IF(AND(R479="WON",B479&lt;&gt;""),1,0)</f>
        <v>12</v>
      </c>
      <c r="AN479" s="1" t="n">
        <f aca="false">N(AN478)+IF(AND(OR(R479="offered",R479="to be offered",R479="on hold"),B479&lt;&gt;""),1,0)</f>
        <v>33</v>
      </c>
      <c r="AO479" s="1" t="n">
        <f aca="false">N(AO478)+IF(AND(OR(R479="follow-up",R479="Evaluation",R479="tbd",R479="In evaluation"),B479&lt;&gt;""),1,0)</f>
        <v>1</v>
      </c>
      <c r="AP479" s="1" t="n">
        <f aca="false">IF(B479="",0,IF(COUNTIF('⚖️ Wahrscheinlichkeit'!$J$17:$J$24,R479)&gt;0,1,0))</f>
        <v>0</v>
      </c>
      <c r="AQ479" s="1" t="n">
        <f aca="false">IF(B479="",0,IF(AND(ISNUMBER(S479),COUNTIF('⚖️ Wahrscheinlichkeit'!$B$6:$B$11,S479)&gt;0),1,0))</f>
        <v>0</v>
      </c>
      <c r="AR479" s="1" t="n">
        <f aca="false">IF(B479="",0,IF(AND(COUNT(J479:M479)=4,SUM(J479:M479)&gt;0),1,0))</f>
        <v>0</v>
      </c>
      <c r="AS479" s="1" t="n">
        <f aca="false">IF(B479="",0,IF(AND(AF479&lt;&gt;"",AG479&lt;&gt;""),1,0))</f>
        <v>0</v>
      </c>
      <c r="AT479" s="1" t="n">
        <f aca="false">IF(AND(R479="WON",AS479=1,AR479=1),1,0)</f>
        <v>0</v>
      </c>
      <c r="AU479" s="1" t="n">
        <f aca="false">IF(B479="",0,IF(AD479="Alternative – zählt nicht",0,1))</f>
        <v>0</v>
      </c>
      <c r="AV479" s="1" t="n">
        <f aca="false">IF(B479="",0,IF(COUNTIF($B$6:$B$860,B479)&gt;1,1,0))</f>
        <v>0</v>
      </c>
      <c r="AX479" s="269" t="str">
        <f aca="false">IF(AY479=1,DATE(YEAR(O479),MONTH(O479),1),"")</f>
        <v/>
      </c>
      <c r="AY479" s="1" t="n">
        <f aca="false">IF(B479="",0,IF(AND(ISNUMBER(O479),ISNUMBER(P479)),IF(P479&gt;=O479,1,0),0))</f>
        <v>0</v>
      </c>
      <c r="AZ479" s="1" t="n">
        <f aca="false">IF(ISNUMBER(Y479),Y479,0)</f>
        <v>0</v>
      </c>
      <c r="BA479" s="1" t="str">
        <f aca="false">IF(B479="","",IF(AND(R479="WON",AS479=0),"⛔ Beleg fehlt · ","")&amp;IF(AND(R479="WON",AR479=0),"⛔ Einstand fehlt · ","")&amp;IF(AND(R479&lt;&gt;"WON",AR479=0),"○ Einstand offen · ","")&amp;IF(AND(R479="WON",AB479=""),"⛔ Vertragsart fehlt · ","")&amp;IF(AND(ISNUMBER(O479),ISNUMBER(P479)),IF(P479&lt;O479,"⚠ Ende vor Start · ",""),"")&amp;IF(AND(R479="WON",AY479=0,NOT(AND(ISNUMBER(O479),ISNUMBER(P479)))),"⛔ Zeitraum fehlt · ","")&amp;IF(AND(R479&lt;&gt;"WON",AY479=0,NOT(AND(ISNUMBER(O479),ISNUMBER(P479)))),"○ Zeitraum offen · ",""))</f>
        <v/>
      </c>
      <c r="BB479" s="1" t="str">
        <f aca="false">IF(B479="","",IF(AND(R479="WON",AS479=0),"⛔ Nachweis fehlt",IF(AND(ISNUMBER(O479),ISNUMBER(P479),P479&lt;O479),"⚠ Ende vor Start",IF(AND(R479="WON",AY479=0),"⛔ Zeitraum fehlt",IF(AR479=0,"○ Einstand offen",IF(AY479=0,"○ Zeitraum offen",IF(R479="WON","✅ belegt","✔ erfasst")))))))</f>
        <v/>
      </c>
    </row>
    <row r="480" customFormat="false" ht="15" hidden="false" customHeight="true" outlineLevel="0" collapsed="false">
      <c r="G480" s="1" t="str">
        <f aca="false">IF(B480="","",IF(AY480=1,P480-O480+1,IF(AW480="","",AW480)))</f>
        <v/>
      </c>
      <c r="I480" s="270"/>
      <c r="J480" s="270"/>
      <c r="K480" s="270"/>
      <c r="L480" s="270"/>
      <c r="M480" s="270"/>
      <c r="N480" s="270"/>
      <c r="O480" s="263"/>
      <c r="P480" s="263"/>
      <c r="Q480" s="270" t="str">
        <f aca="false">IF(AND(ISNUMBER(I480),ISNUMBER(S480)),I480*AJ480,IF(OR(I480&lt;&gt;"",S480&lt;&gt;""),"tbd",""))</f>
        <v/>
      </c>
      <c r="S480" s="268"/>
      <c r="Y480" s="275" t="str">
        <f aca="false">IF(ISNUMBER(I480),I480/Netto_Faktor,"")</f>
        <v/>
      </c>
      <c r="Z480" s="275" t="str">
        <f aca="false">IF(B480="","",IF(COUNT(J480:N480)=0,"",SUM(J480:N480)))</f>
        <v/>
      </c>
      <c r="AA480" s="266"/>
      <c r="AB480" s="266"/>
      <c r="AC480" s="266"/>
      <c r="AD480" s="266"/>
      <c r="AE480" s="266"/>
      <c r="AF480" s="266"/>
      <c r="AG480" s="267"/>
      <c r="AH480" s="266" t="str">
        <f aca="false">IF(B480="","",IF(BA480="",IF(R480="WON","✅ belegt &amp; vollständig","✔ vollständig"),LEFT(BA480,LEN(BA480)-3)))</f>
        <v/>
      </c>
      <c r="AJ480" s="268" t="n">
        <f aca="false">IF(ISNUMBER(S480),IFERROR(LOOKUP(IF(S480&lt;=1,S480,S480/100),'⚖️ Wahrscheinlichkeit'!$B$17:$B$21,'⚖️ Wahrscheinlichkeit'!$D$17:$D$21),0),0)</f>
        <v>0</v>
      </c>
      <c r="AK480" s="1" t="str">
        <f aca="false">IF(AND(R480="WON",ISNUMBER(I480)),AL480+(861-ROW())*0.000001,"")</f>
        <v/>
      </c>
      <c r="AL480" s="1" t="n">
        <f aca="false">IFERROR(I480*1,0)</f>
        <v>0</v>
      </c>
      <c r="AM480" s="1" t="n">
        <f aca="false">N(AM479)+IF(AND(R480="WON",B480&lt;&gt;""),1,0)</f>
        <v>12</v>
      </c>
      <c r="AN480" s="1" t="n">
        <f aca="false">N(AN479)+IF(AND(OR(R480="offered",R480="to be offered",R480="on hold"),B480&lt;&gt;""),1,0)</f>
        <v>33</v>
      </c>
      <c r="AO480" s="1" t="n">
        <f aca="false">N(AO479)+IF(AND(OR(R480="follow-up",R480="Evaluation",R480="tbd",R480="In evaluation"),B480&lt;&gt;""),1,0)</f>
        <v>1</v>
      </c>
      <c r="AP480" s="1" t="n">
        <f aca="false">IF(B480="",0,IF(COUNTIF('⚖️ Wahrscheinlichkeit'!$J$17:$J$24,R480)&gt;0,1,0))</f>
        <v>0</v>
      </c>
      <c r="AQ480" s="1" t="n">
        <f aca="false">IF(B480="",0,IF(AND(ISNUMBER(S480),COUNTIF('⚖️ Wahrscheinlichkeit'!$B$6:$B$11,S480)&gt;0),1,0))</f>
        <v>0</v>
      </c>
      <c r="AR480" s="1" t="n">
        <f aca="false">IF(B480="",0,IF(AND(COUNT(J480:M480)=4,SUM(J480:M480)&gt;0),1,0))</f>
        <v>0</v>
      </c>
      <c r="AS480" s="1" t="n">
        <f aca="false">IF(B480="",0,IF(AND(AF480&lt;&gt;"",AG480&lt;&gt;""),1,0))</f>
        <v>0</v>
      </c>
      <c r="AT480" s="1" t="n">
        <f aca="false">IF(AND(R480="WON",AS480=1,AR480=1),1,0)</f>
        <v>0</v>
      </c>
      <c r="AU480" s="1" t="n">
        <f aca="false">IF(B480="",0,IF(AD480="Alternative – zählt nicht",0,1))</f>
        <v>0</v>
      </c>
      <c r="AV480" s="1" t="n">
        <f aca="false">IF(B480="",0,IF(COUNTIF($B$6:$B$860,B480)&gt;1,1,0))</f>
        <v>0</v>
      </c>
      <c r="AX480" s="269" t="str">
        <f aca="false">IF(AY480=1,DATE(YEAR(O480),MONTH(O480),1),"")</f>
        <v/>
      </c>
      <c r="AY480" s="1" t="n">
        <f aca="false">IF(B480="",0,IF(AND(ISNUMBER(O480),ISNUMBER(P480)),IF(P480&gt;=O480,1,0),0))</f>
        <v>0</v>
      </c>
      <c r="AZ480" s="1" t="n">
        <f aca="false">IF(ISNUMBER(Y480),Y480,0)</f>
        <v>0</v>
      </c>
      <c r="BA480" s="1" t="str">
        <f aca="false">IF(B480="","",IF(AND(R480="WON",AS480=0),"⛔ Beleg fehlt · ","")&amp;IF(AND(R480="WON",AR480=0),"⛔ Einstand fehlt · ","")&amp;IF(AND(R480&lt;&gt;"WON",AR480=0),"○ Einstand offen · ","")&amp;IF(AND(R480="WON",AB480=""),"⛔ Vertragsart fehlt · ","")&amp;IF(AND(ISNUMBER(O480),ISNUMBER(P480)),IF(P480&lt;O480,"⚠ Ende vor Start · ",""),"")&amp;IF(AND(R480="WON",AY480=0,NOT(AND(ISNUMBER(O480),ISNUMBER(P480)))),"⛔ Zeitraum fehlt · ","")&amp;IF(AND(R480&lt;&gt;"WON",AY480=0,NOT(AND(ISNUMBER(O480),ISNUMBER(P480)))),"○ Zeitraum offen · ",""))</f>
        <v/>
      </c>
      <c r="BB480" s="1" t="str">
        <f aca="false">IF(B480="","",IF(AND(R480="WON",AS480=0),"⛔ Nachweis fehlt",IF(AND(ISNUMBER(O480),ISNUMBER(P480),P480&lt;O480),"⚠ Ende vor Start",IF(AND(R480="WON",AY480=0),"⛔ Zeitraum fehlt",IF(AR480=0,"○ Einstand offen",IF(AY480=0,"○ Zeitraum offen",IF(R480="WON","✅ belegt","✔ erfasst")))))))</f>
        <v/>
      </c>
    </row>
    <row r="481" customFormat="false" ht="15" hidden="false" customHeight="true" outlineLevel="0" collapsed="false">
      <c r="G481" s="1" t="str">
        <f aca="false">IF(B481="","",IF(AY481=1,P481-O481+1,IF(AW481="","",AW481)))</f>
        <v/>
      </c>
      <c r="I481" s="270"/>
      <c r="J481" s="270"/>
      <c r="K481" s="270"/>
      <c r="L481" s="270"/>
      <c r="M481" s="270"/>
      <c r="N481" s="270"/>
      <c r="O481" s="263"/>
      <c r="P481" s="263"/>
      <c r="Q481" s="270" t="str">
        <f aca="false">IF(AND(ISNUMBER(I481),ISNUMBER(S481)),I481*AJ481,IF(OR(I481&lt;&gt;"",S481&lt;&gt;""),"tbd",""))</f>
        <v/>
      </c>
      <c r="S481" s="268"/>
      <c r="Y481" s="275" t="str">
        <f aca="false">IF(ISNUMBER(I481),I481/Netto_Faktor,"")</f>
        <v/>
      </c>
      <c r="Z481" s="275" t="str">
        <f aca="false">IF(B481="","",IF(COUNT(J481:N481)=0,"",SUM(J481:N481)))</f>
        <v/>
      </c>
      <c r="AA481" s="266"/>
      <c r="AB481" s="266"/>
      <c r="AC481" s="266"/>
      <c r="AD481" s="266"/>
      <c r="AE481" s="266"/>
      <c r="AF481" s="266"/>
      <c r="AG481" s="267"/>
      <c r="AH481" s="266" t="str">
        <f aca="false">IF(B481="","",IF(BA481="",IF(R481="WON","✅ belegt &amp; vollständig","✔ vollständig"),LEFT(BA481,LEN(BA481)-3)))</f>
        <v/>
      </c>
      <c r="AJ481" s="268" t="n">
        <f aca="false">IF(ISNUMBER(S481),IFERROR(LOOKUP(IF(S481&lt;=1,S481,S481/100),'⚖️ Wahrscheinlichkeit'!$B$17:$B$21,'⚖️ Wahrscheinlichkeit'!$D$17:$D$21),0),0)</f>
        <v>0</v>
      </c>
      <c r="AK481" s="1" t="str">
        <f aca="false">IF(AND(R481="WON",ISNUMBER(I481)),AL481+(861-ROW())*0.000001,"")</f>
        <v/>
      </c>
      <c r="AL481" s="1" t="n">
        <f aca="false">IFERROR(I481*1,0)</f>
        <v>0</v>
      </c>
      <c r="AM481" s="1" t="n">
        <f aca="false">N(AM480)+IF(AND(R481="WON",B481&lt;&gt;""),1,0)</f>
        <v>12</v>
      </c>
      <c r="AN481" s="1" t="n">
        <f aca="false">N(AN480)+IF(AND(OR(R481="offered",R481="to be offered",R481="on hold"),B481&lt;&gt;""),1,0)</f>
        <v>33</v>
      </c>
      <c r="AO481" s="1" t="n">
        <f aca="false">N(AO480)+IF(AND(OR(R481="follow-up",R481="Evaluation",R481="tbd",R481="In evaluation"),B481&lt;&gt;""),1,0)</f>
        <v>1</v>
      </c>
      <c r="AP481" s="1" t="n">
        <f aca="false">IF(B481="",0,IF(COUNTIF('⚖️ Wahrscheinlichkeit'!$J$17:$J$24,R481)&gt;0,1,0))</f>
        <v>0</v>
      </c>
      <c r="AQ481" s="1" t="n">
        <f aca="false">IF(B481="",0,IF(AND(ISNUMBER(S481),COUNTIF('⚖️ Wahrscheinlichkeit'!$B$6:$B$11,S481)&gt;0),1,0))</f>
        <v>0</v>
      </c>
      <c r="AR481" s="1" t="n">
        <f aca="false">IF(B481="",0,IF(AND(COUNT(J481:M481)=4,SUM(J481:M481)&gt;0),1,0))</f>
        <v>0</v>
      </c>
      <c r="AS481" s="1" t="n">
        <f aca="false">IF(B481="",0,IF(AND(AF481&lt;&gt;"",AG481&lt;&gt;""),1,0))</f>
        <v>0</v>
      </c>
      <c r="AT481" s="1" t="n">
        <f aca="false">IF(AND(R481="WON",AS481=1,AR481=1),1,0)</f>
        <v>0</v>
      </c>
      <c r="AU481" s="1" t="n">
        <f aca="false">IF(B481="",0,IF(AD481="Alternative – zählt nicht",0,1))</f>
        <v>0</v>
      </c>
      <c r="AV481" s="1" t="n">
        <f aca="false">IF(B481="",0,IF(COUNTIF($B$6:$B$860,B481)&gt;1,1,0))</f>
        <v>0</v>
      </c>
      <c r="AX481" s="269" t="str">
        <f aca="false">IF(AY481=1,DATE(YEAR(O481),MONTH(O481),1),"")</f>
        <v/>
      </c>
      <c r="AY481" s="1" t="n">
        <f aca="false">IF(B481="",0,IF(AND(ISNUMBER(O481),ISNUMBER(P481)),IF(P481&gt;=O481,1,0),0))</f>
        <v>0</v>
      </c>
      <c r="AZ481" s="1" t="n">
        <f aca="false">IF(ISNUMBER(Y481),Y481,0)</f>
        <v>0</v>
      </c>
      <c r="BA481" s="1" t="str">
        <f aca="false">IF(B481="","",IF(AND(R481="WON",AS481=0),"⛔ Beleg fehlt · ","")&amp;IF(AND(R481="WON",AR481=0),"⛔ Einstand fehlt · ","")&amp;IF(AND(R481&lt;&gt;"WON",AR481=0),"○ Einstand offen · ","")&amp;IF(AND(R481="WON",AB481=""),"⛔ Vertragsart fehlt · ","")&amp;IF(AND(ISNUMBER(O481),ISNUMBER(P481)),IF(P481&lt;O481,"⚠ Ende vor Start · ",""),"")&amp;IF(AND(R481="WON",AY481=0,NOT(AND(ISNUMBER(O481),ISNUMBER(P481)))),"⛔ Zeitraum fehlt · ","")&amp;IF(AND(R481&lt;&gt;"WON",AY481=0,NOT(AND(ISNUMBER(O481),ISNUMBER(P481)))),"○ Zeitraum offen · ",""))</f>
        <v/>
      </c>
      <c r="BB481" s="1" t="str">
        <f aca="false">IF(B481="","",IF(AND(R481="WON",AS481=0),"⛔ Nachweis fehlt",IF(AND(ISNUMBER(O481),ISNUMBER(P481),P481&lt;O481),"⚠ Ende vor Start",IF(AND(R481="WON",AY481=0),"⛔ Zeitraum fehlt",IF(AR481=0,"○ Einstand offen",IF(AY481=0,"○ Zeitraum offen",IF(R481="WON","✅ belegt","✔ erfasst")))))))</f>
        <v/>
      </c>
    </row>
    <row r="482" customFormat="false" ht="15" hidden="false" customHeight="true" outlineLevel="0" collapsed="false">
      <c r="G482" s="1" t="str">
        <f aca="false">IF(B482="","",IF(AY482=1,P482-O482+1,IF(AW482="","",AW482)))</f>
        <v/>
      </c>
      <c r="I482" s="270"/>
      <c r="J482" s="270"/>
      <c r="K482" s="270"/>
      <c r="L482" s="270"/>
      <c r="M482" s="270"/>
      <c r="N482" s="270"/>
      <c r="O482" s="263"/>
      <c r="P482" s="263"/>
      <c r="Q482" s="270" t="str">
        <f aca="false">IF(AND(ISNUMBER(I482),ISNUMBER(S482)),I482*AJ482,IF(OR(I482&lt;&gt;"",S482&lt;&gt;""),"tbd",""))</f>
        <v/>
      </c>
      <c r="S482" s="268"/>
      <c r="Y482" s="275" t="str">
        <f aca="false">IF(ISNUMBER(I482),I482/Netto_Faktor,"")</f>
        <v/>
      </c>
      <c r="Z482" s="275" t="str">
        <f aca="false">IF(B482="","",IF(COUNT(J482:N482)=0,"",SUM(J482:N482)))</f>
        <v/>
      </c>
      <c r="AA482" s="266"/>
      <c r="AB482" s="266"/>
      <c r="AC482" s="266"/>
      <c r="AD482" s="266"/>
      <c r="AE482" s="266"/>
      <c r="AF482" s="266"/>
      <c r="AG482" s="267"/>
      <c r="AH482" s="266" t="str">
        <f aca="false">IF(B482="","",IF(BA482="",IF(R482="WON","✅ belegt &amp; vollständig","✔ vollständig"),LEFT(BA482,LEN(BA482)-3)))</f>
        <v/>
      </c>
      <c r="AJ482" s="268" t="n">
        <f aca="false">IF(ISNUMBER(S482),IFERROR(LOOKUP(IF(S482&lt;=1,S482,S482/100),'⚖️ Wahrscheinlichkeit'!$B$17:$B$21,'⚖️ Wahrscheinlichkeit'!$D$17:$D$21),0),0)</f>
        <v>0</v>
      </c>
      <c r="AK482" s="1" t="str">
        <f aca="false">IF(AND(R482="WON",ISNUMBER(I482)),AL482+(861-ROW())*0.000001,"")</f>
        <v/>
      </c>
      <c r="AL482" s="1" t="n">
        <f aca="false">IFERROR(I482*1,0)</f>
        <v>0</v>
      </c>
      <c r="AM482" s="1" t="n">
        <f aca="false">N(AM481)+IF(AND(R482="WON",B482&lt;&gt;""),1,0)</f>
        <v>12</v>
      </c>
      <c r="AN482" s="1" t="n">
        <f aca="false">N(AN481)+IF(AND(OR(R482="offered",R482="to be offered",R482="on hold"),B482&lt;&gt;""),1,0)</f>
        <v>33</v>
      </c>
      <c r="AO482" s="1" t="n">
        <f aca="false">N(AO481)+IF(AND(OR(R482="follow-up",R482="Evaluation",R482="tbd",R482="In evaluation"),B482&lt;&gt;""),1,0)</f>
        <v>1</v>
      </c>
      <c r="AP482" s="1" t="n">
        <f aca="false">IF(B482="",0,IF(COUNTIF('⚖️ Wahrscheinlichkeit'!$J$17:$J$24,R482)&gt;0,1,0))</f>
        <v>0</v>
      </c>
      <c r="AQ482" s="1" t="n">
        <f aca="false">IF(B482="",0,IF(AND(ISNUMBER(S482),COUNTIF('⚖️ Wahrscheinlichkeit'!$B$6:$B$11,S482)&gt;0),1,0))</f>
        <v>0</v>
      </c>
      <c r="AR482" s="1" t="n">
        <f aca="false">IF(B482="",0,IF(AND(COUNT(J482:M482)=4,SUM(J482:M482)&gt;0),1,0))</f>
        <v>0</v>
      </c>
      <c r="AS482" s="1" t="n">
        <f aca="false">IF(B482="",0,IF(AND(AF482&lt;&gt;"",AG482&lt;&gt;""),1,0))</f>
        <v>0</v>
      </c>
      <c r="AT482" s="1" t="n">
        <f aca="false">IF(AND(R482="WON",AS482=1,AR482=1),1,0)</f>
        <v>0</v>
      </c>
      <c r="AU482" s="1" t="n">
        <f aca="false">IF(B482="",0,IF(AD482="Alternative – zählt nicht",0,1))</f>
        <v>0</v>
      </c>
      <c r="AV482" s="1" t="n">
        <f aca="false">IF(B482="",0,IF(COUNTIF($B$6:$B$860,B482)&gt;1,1,0))</f>
        <v>0</v>
      </c>
      <c r="AX482" s="269" t="str">
        <f aca="false">IF(AY482=1,DATE(YEAR(O482),MONTH(O482),1),"")</f>
        <v/>
      </c>
      <c r="AY482" s="1" t="n">
        <f aca="false">IF(B482="",0,IF(AND(ISNUMBER(O482),ISNUMBER(P482)),IF(P482&gt;=O482,1,0),0))</f>
        <v>0</v>
      </c>
      <c r="AZ482" s="1" t="n">
        <f aca="false">IF(ISNUMBER(Y482),Y482,0)</f>
        <v>0</v>
      </c>
      <c r="BA482" s="1" t="str">
        <f aca="false">IF(B482="","",IF(AND(R482="WON",AS482=0),"⛔ Beleg fehlt · ","")&amp;IF(AND(R482="WON",AR482=0),"⛔ Einstand fehlt · ","")&amp;IF(AND(R482&lt;&gt;"WON",AR482=0),"○ Einstand offen · ","")&amp;IF(AND(R482="WON",AB482=""),"⛔ Vertragsart fehlt · ","")&amp;IF(AND(ISNUMBER(O482),ISNUMBER(P482)),IF(P482&lt;O482,"⚠ Ende vor Start · ",""),"")&amp;IF(AND(R482="WON",AY482=0,NOT(AND(ISNUMBER(O482),ISNUMBER(P482)))),"⛔ Zeitraum fehlt · ","")&amp;IF(AND(R482&lt;&gt;"WON",AY482=0,NOT(AND(ISNUMBER(O482),ISNUMBER(P482)))),"○ Zeitraum offen · ",""))</f>
        <v/>
      </c>
      <c r="BB482" s="1" t="str">
        <f aca="false">IF(B482="","",IF(AND(R482="WON",AS482=0),"⛔ Nachweis fehlt",IF(AND(ISNUMBER(O482),ISNUMBER(P482),P482&lt;O482),"⚠ Ende vor Start",IF(AND(R482="WON",AY482=0),"⛔ Zeitraum fehlt",IF(AR482=0,"○ Einstand offen",IF(AY482=0,"○ Zeitraum offen",IF(R482="WON","✅ belegt","✔ erfasst")))))))</f>
        <v/>
      </c>
    </row>
    <row r="483" customFormat="false" ht="15" hidden="false" customHeight="true" outlineLevel="0" collapsed="false">
      <c r="G483" s="1" t="str">
        <f aca="false">IF(B483="","",IF(AY483=1,P483-O483+1,IF(AW483="","",AW483)))</f>
        <v/>
      </c>
      <c r="I483" s="270"/>
      <c r="J483" s="270"/>
      <c r="K483" s="270"/>
      <c r="L483" s="270"/>
      <c r="M483" s="270"/>
      <c r="N483" s="270"/>
      <c r="O483" s="263"/>
      <c r="P483" s="263"/>
      <c r="Q483" s="270" t="str">
        <f aca="false">IF(AND(ISNUMBER(I483),ISNUMBER(S483)),I483*AJ483,IF(OR(I483&lt;&gt;"",S483&lt;&gt;""),"tbd",""))</f>
        <v/>
      </c>
      <c r="S483" s="268"/>
      <c r="Y483" s="275" t="str">
        <f aca="false">IF(ISNUMBER(I483),I483/Netto_Faktor,"")</f>
        <v/>
      </c>
      <c r="Z483" s="275" t="str">
        <f aca="false">IF(B483="","",IF(COUNT(J483:N483)=0,"",SUM(J483:N483)))</f>
        <v/>
      </c>
      <c r="AA483" s="266"/>
      <c r="AB483" s="266"/>
      <c r="AC483" s="266"/>
      <c r="AD483" s="266"/>
      <c r="AE483" s="266"/>
      <c r="AF483" s="266"/>
      <c r="AG483" s="267"/>
      <c r="AH483" s="266" t="str">
        <f aca="false">IF(B483="","",IF(BA483="",IF(R483="WON","✅ belegt &amp; vollständig","✔ vollständig"),LEFT(BA483,LEN(BA483)-3)))</f>
        <v/>
      </c>
      <c r="AJ483" s="268" t="n">
        <f aca="false">IF(ISNUMBER(S483),IFERROR(LOOKUP(IF(S483&lt;=1,S483,S483/100),'⚖️ Wahrscheinlichkeit'!$B$17:$B$21,'⚖️ Wahrscheinlichkeit'!$D$17:$D$21),0),0)</f>
        <v>0</v>
      </c>
      <c r="AK483" s="1" t="str">
        <f aca="false">IF(AND(R483="WON",ISNUMBER(I483)),AL483+(861-ROW())*0.000001,"")</f>
        <v/>
      </c>
      <c r="AL483" s="1" t="n">
        <f aca="false">IFERROR(I483*1,0)</f>
        <v>0</v>
      </c>
      <c r="AM483" s="1" t="n">
        <f aca="false">N(AM482)+IF(AND(R483="WON",B483&lt;&gt;""),1,0)</f>
        <v>12</v>
      </c>
      <c r="AN483" s="1" t="n">
        <f aca="false">N(AN482)+IF(AND(OR(R483="offered",R483="to be offered",R483="on hold"),B483&lt;&gt;""),1,0)</f>
        <v>33</v>
      </c>
      <c r="AO483" s="1" t="n">
        <f aca="false">N(AO482)+IF(AND(OR(R483="follow-up",R483="Evaluation",R483="tbd",R483="In evaluation"),B483&lt;&gt;""),1,0)</f>
        <v>1</v>
      </c>
      <c r="AP483" s="1" t="n">
        <f aca="false">IF(B483="",0,IF(COUNTIF('⚖️ Wahrscheinlichkeit'!$J$17:$J$24,R483)&gt;0,1,0))</f>
        <v>0</v>
      </c>
      <c r="AQ483" s="1" t="n">
        <f aca="false">IF(B483="",0,IF(AND(ISNUMBER(S483),COUNTIF('⚖️ Wahrscheinlichkeit'!$B$6:$B$11,S483)&gt;0),1,0))</f>
        <v>0</v>
      </c>
      <c r="AR483" s="1" t="n">
        <f aca="false">IF(B483="",0,IF(AND(COUNT(J483:M483)=4,SUM(J483:M483)&gt;0),1,0))</f>
        <v>0</v>
      </c>
      <c r="AS483" s="1" t="n">
        <f aca="false">IF(B483="",0,IF(AND(AF483&lt;&gt;"",AG483&lt;&gt;""),1,0))</f>
        <v>0</v>
      </c>
      <c r="AT483" s="1" t="n">
        <f aca="false">IF(AND(R483="WON",AS483=1,AR483=1),1,0)</f>
        <v>0</v>
      </c>
      <c r="AU483" s="1" t="n">
        <f aca="false">IF(B483="",0,IF(AD483="Alternative – zählt nicht",0,1))</f>
        <v>0</v>
      </c>
      <c r="AV483" s="1" t="n">
        <f aca="false">IF(B483="",0,IF(COUNTIF($B$6:$B$860,B483)&gt;1,1,0))</f>
        <v>0</v>
      </c>
      <c r="AX483" s="269" t="str">
        <f aca="false">IF(AY483=1,DATE(YEAR(O483),MONTH(O483),1),"")</f>
        <v/>
      </c>
      <c r="AY483" s="1" t="n">
        <f aca="false">IF(B483="",0,IF(AND(ISNUMBER(O483),ISNUMBER(P483)),IF(P483&gt;=O483,1,0),0))</f>
        <v>0</v>
      </c>
      <c r="AZ483" s="1" t="n">
        <f aca="false">IF(ISNUMBER(Y483),Y483,0)</f>
        <v>0</v>
      </c>
      <c r="BA483" s="1" t="str">
        <f aca="false">IF(B483="","",IF(AND(R483="WON",AS483=0),"⛔ Beleg fehlt · ","")&amp;IF(AND(R483="WON",AR483=0),"⛔ Einstand fehlt · ","")&amp;IF(AND(R483&lt;&gt;"WON",AR483=0),"○ Einstand offen · ","")&amp;IF(AND(R483="WON",AB483=""),"⛔ Vertragsart fehlt · ","")&amp;IF(AND(ISNUMBER(O483),ISNUMBER(P483)),IF(P483&lt;O483,"⚠ Ende vor Start · ",""),"")&amp;IF(AND(R483="WON",AY483=0,NOT(AND(ISNUMBER(O483),ISNUMBER(P483)))),"⛔ Zeitraum fehlt · ","")&amp;IF(AND(R483&lt;&gt;"WON",AY483=0,NOT(AND(ISNUMBER(O483),ISNUMBER(P483)))),"○ Zeitraum offen · ",""))</f>
        <v/>
      </c>
      <c r="BB483" s="1" t="str">
        <f aca="false">IF(B483="","",IF(AND(R483="WON",AS483=0),"⛔ Nachweis fehlt",IF(AND(ISNUMBER(O483),ISNUMBER(P483),P483&lt;O483),"⚠ Ende vor Start",IF(AND(R483="WON",AY483=0),"⛔ Zeitraum fehlt",IF(AR483=0,"○ Einstand offen",IF(AY483=0,"○ Zeitraum offen",IF(R483="WON","✅ belegt","✔ erfasst")))))))</f>
        <v/>
      </c>
    </row>
    <row r="484" customFormat="false" ht="15" hidden="false" customHeight="true" outlineLevel="0" collapsed="false">
      <c r="G484" s="1" t="str">
        <f aca="false">IF(B484="","",IF(AY484=1,P484-O484+1,IF(AW484="","",AW484)))</f>
        <v/>
      </c>
      <c r="I484" s="270"/>
      <c r="J484" s="270"/>
      <c r="K484" s="270"/>
      <c r="L484" s="270"/>
      <c r="M484" s="270"/>
      <c r="N484" s="270"/>
      <c r="O484" s="263"/>
      <c r="P484" s="263"/>
      <c r="Q484" s="270" t="str">
        <f aca="false">IF(AND(ISNUMBER(I484),ISNUMBER(S484)),I484*AJ484,IF(OR(I484&lt;&gt;"",S484&lt;&gt;""),"tbd",""))</f>
        <v/>
      </c>
      <c r="S484" s="268"/>
      <c r="Y484" s="275" t="str">
        <f aca="false">IF(ISNUMBER(I484),I484/Netto_Faktor,"")</f>
        <v/>
      </c>
      <c r="Z484" s="275" t="str">
        <f aca="false">IF(B484="","",IF(COUNT(J484:N484)=0,"",SUM(J484:N484)))</f>
        <v/>
      </c>
      <c r="AA484" s="266"/>
      <c r="AB484" s="266"/>
      <c r="AC484" s="266"/>
      <c r="AD484" s="266"/>
      <c r="AE484" s="266"/>
      <c r="AF484" s="266"/>
      <c r="AG484" s="267"/>
      <c r="AH484" s="266" t="str">
        <f aca="false">IF(B484="","",IF(BA484="",IF(R484="WON","✅ belegt &amp; vollständig","✔ vollständig"),LEFT(BA484,LEN(BA484)-3)))</f>
        <v/>
      </c>
      <c r="AJ484" s="268" t="n">
        <f aca="false">IF(ISNUMBER(S484),IFERROR(LOOKUP(IF(S484&lt;=1,S484,S484/100),'⚖️ Wahrscheinlichkeit'!$B$17:$B$21,'⚖️ Wahrscheinlichkeit'!$D$17:$D$21),0),0)</f>
        <v>0</v>
      </c>
      <c r="AK484" s="1" t="str">
        <f aca="false">IF(AND(R484="WON",ISNUMBER(I484)),AL484+(861-ROW())*0.000001,"")</f>
        <v/>
      </c>
      <c r="AL484" s="1" t="n">
        <f aca="false">IFERROR(I484*1,0)</f>
        <v>0</v>
      </c>
      <c r="AM484" s="1" t="n">
        <f aca="false">N(AM483)+IF(AND(R484="WON",B484&lt;&gt;""),1,0)</f>
        <v>12</v>
      </c>
      <c r="AN484" s="1" t="n">
        <f aca="false">N(AN483)+IF(AND(OR(R484="offered",R484="to be offered",R484="on hold"),B484&lt;&gt;""),1,0)</f>
        <v>33</v>
      </c>
      <c r="AO484" s="1" t="n">
        <f aca="false">N(AO483)+IF(AND(OR(R484="follow-up",R484="Evaluation",R484="tbd",R484="In evaluation"),B484&lt;&gt;""),1,0)</f>
        <v>1</v>
      </c>
      <c r="AP484" s="1" t="n">
        <f aca="false">IF(B484="",0,IF(COUNTIF('⚖️ Wahrscheinlichkeit'!$J$17:$J$24,R484)&gt;0,1,0))</f>
        <v>0</v>
      </c>
      <c r="AQ484" s="1" t="n">
        <f aca="false">IF(B484="",0,IF(AND(ISNUMBER(S484),COUNTIF('⚖️ Wahrscheinlichkeit'!$B$6:$B$11,S484)&gt;0),1,0))</f>
        <v>0</v>
      </c>
      <c r="AR484" s="1" t="n">
        <f aca="false">IF(B484="",0,IF(AND(COUNT(J484:M484)=4,SUM(J484:M484)&gt;0),1,0))</f>
        <v>0</v>
      </c>
      <c r="AS484" s="1" t="n">
        <f aca="false">IF(B484="",0,IF(AND(AF484&lt;&gt;"",AG484&lt;&gt;""),1,0))</f>
        <v>0</v>
      </c>
      <c r="AT484" s="1" t="n">
        <f aca="false">IF(AND(R484="WON",AS484=1,AR484=1),1,0)</f>
        <v>0</v>
      </c>
      <c r="AU484" s="1" t="n">
        <f aca="false">IF(B484="",0,IF(AD484="Alternative – zählt nicht",0,1))</f>
        <v>0</v>
      </c>
      <c r="AV484" s="1" t="n">
        <f aca="false">IF(B484="",0,IF(COUNTIF($B$6:$B$860,B484)&gt;1,1,0))</f>
        <v>0</v>
      </c>
      <c r="AX484" s="269" t="str">
        <f aca="false">IF(AY484=1,DATE(YEAR(O484),MONTH(O484),1),"")</f>
        <v/>
      </c>
      <c r="AY484" s="1" t="n">
        <f aca="false">IF(B484="",0,IF(AND(ISNUMBER(O484),ISNUMBER(P484)),IF(P484&gt;=O484,1,0),0))</f>
        <v>0</v>
      </c>
      <c r="AZ484" s="1" t="n">
        <f aca="false">IF(ISNUMBER(Y484),Y484,0)</f>
        <v>0</v>
      </c>
      <c r="BA484" s="1" t="str">
        <f aca="false">IF(B484="","",IF(AND(R484="WON",AS484=0),"⛔ Beleg fehlt · ","")&amp;IF(AND(R484="WON",AR484=0),"⛔ Einstand fehlt · ","")&amp;IF(AND(R484&lt;&gt;"WON",AR484=0),"○ Einstand offen · ","")&amp;IF(AND(R484="WON",AB484=""),"⛔ Vertragsart fehlt · ","")&amp;IF(AND(ISNUMBER(O484),ISNUMBER(P484)),IF(P484&lt;O484,"⚠ Ende vor Start · ",""),"")&amp;IF(AND(R484="WON",AY484=0,NOT(AND(ISNUMBER(O484),ISNUMBER(P484)))),"⛔ Zeitraum fehlt · ","")&amp;IF(AND(R484&lt;&gt;"WON",AY484=0,NOT(AND(ISNUMBER(O484),ISNUMBER(P484)))),"○ Zeitraum offen · ",""))</f>
        <v/>
      </c>
      <c r="BB484" s="1" t="str">
        <f aca="false">IF(B484="","",IF(AND(R484="WON",AS484=0),"⛔ Nachweis fehlt",IF(AND(ISNUMBER(O484),ISNUMBER(P484),P484&lt;O484),"⚠ Ende vor Start",IF(AND(R484="WON",AY484=0),"⛔ Zeitraum fehlt",IF(AR484=0,"○ Einstand offen",IF(AY484=0,"○ Zeitraum offen",IF(R484="WON","✅ belegt","✔ erfasst")))))))</f>
        <v/>
      </c>
    </row>
    <row r="485" customFormat="false" ht="15" hidden="false" customHeight="true" outlineLevel="0" collapsed="false">
      <c r="G485" s="1" t="str">
        <f aca="false">IF(B485="","",IF(AY485=1,P485-O485+1,IF(AW485="","",AW485)))</f>
        <v/>
      </c>
      <c r="I485" s="270"/>
      <c r="J485" s="270"/>
      <c r="K485" s="270"/>
      <c r="L485" s="270"/>
      <c r="M485" s="270"/>
      <c r="N485" s="270"/>
      <c r="O485" s="263"/>
      <c r="P485" s="263"/>
      <c r="Q485" s="270" t="str">
        <f aca="false">IF(AND(ISNUMBER(I485),ISNUMBER(S485)),I485*AJ485,IF(OR(I485&lt;&gt;"",S485&lt;&gt;""),"tbd",""))</f>
        <v/>
      </c>
      <c r="S485" s="268"/>
      <c r="Y485" s="275" t="str">
        <f aca="false">IF(ISNUMBER(I485),I485/Netto_Faktor,"")</f>
        <v/>
      </c>
      <c r="Z485" s="275" t="str">
        <f aca="false">IF(B485="","",IF(COUNT(J485:N485)=0,"",SUM(J485:N485)))</f>
        <v/>
      </c>
      <c r="AA485" s="266"/>
      <c r="AB485" s="266"/>
      <c r="AC485" s="266"/>
      <c r="AD485" s="266"/>
      <c r="AE485" s="266"/>
      <c r="AF485" s="266"/>
      <c r="AG485" s="267"/>
      <c r="AH485" s="266" t="str">
        <f aca="false">IF(B485="","",IF(BA485="",IF(R485="WON","✅ belegt &amp; vollständig","✔ vollständig"),LEFT(BA485,LEN(BA485)-3)))</f>
        <v/>
      </c>
      <c r="AJ485" s="268" t="n">
        <f aca="false">IF(ISNUMBER(S485),IFERROR(LOOKUP(IF(S485&lt;=1,S485,S485/100),'⚖️ Wahrscheinlichkeit'!$B$17:$B$21,'⚖️ Wahrscheinlichkeit'!$D$17:$D$21),0),0)</f>
        <v>0</v>
      </c>
      <c r="AK485" s="1" t="str">
        <f aca="false">IF(AND(R485="WON",ISNUMBER(I485)),AL485+(861-ROW())*0.000001,"")</f>
        <v/>
      </c>
      <c r="AL485" s="1" t="n">
        <f aca="false">IFERROR(I485*1,0)</f>
        <v>0</v>
      </c>
      <c r="AM485" s="1" t="n">
        <f aca="false">N(AM484)+IF(AND(R485="WON",B485&lt;&gt;""),1,0)</f>
        <v>12</v>
      </c>
      <c r="AN485" s="1" t="n">
        <f aca="false">N(AN484)+IF(AND(OR(R485="offered",R485="to be offered",R485="on hold"),B485&lt;&gt;""),1,0)</f>
        <v>33</v>
      </c>
      <c r="AO485" s="1" t="n">
        <f aca="false">N(AO484)+IF(AND(OR(R485="follow-up",R485="Evaluation",R485="tbd",R485="In evaluation"),B485&lt;&gt;""),1,0)</f>
        <v>1</v>
      </c>
      <c r="AP485" s="1" t="n">
        <f aca="false">IF(B485="",0,IF(COUNTIF('⚖️ Wahrscheinlichkeit'!$J$17:$J$24,R485)&gt;0,1,0))</f>
        <v>0</v>
      </c>
      <c r="AQ485" s="1" t="n">
        <f aca="false">IF(B485="",0,IF(AND(ISNUMBER(S485),COUNTIF('⚖️ Wahrscheinlichkeit'!$B$6:$B$11,S485)&gt;0),1,0))</f>
        <v>0</v>
      </c>
      <c r="AR485" s="1" t="n">
        <f aca="false">IF(B485="",0,IF(AND(COUNT(J485:M485)=4,SUM(J485:M485)&gt;0),1,0))</f>
        <v>0</v>
      </c>
      <c r="AS485" s="1" t="n">
        <f aca="false">IF(B485="",0,IF(AND(AF485&lt;&gt;"",AG485&lt;&gt;""),1,0))</f>
        <v>0</v>
      </c>
      <c r="AT485" s="1" t="n">
        <f aca="false">IF(AND(R485="WON",AS485=1,AR485=1),1,0)</f>
        <v>0</v>
      </c>
      <c r="AU485" s="1" t="n">
        <f aca="false">IF(B485="",0,IF(AD485="Alternative – zählt nicht",0,1))</f>
        <v>0</v>
      </c>
      <c r="AV485" s="1" t="n">
        <f aca="false">IF(B485="",0,IF(COUNTIF($B$6:$B$860,B485)&gt;1,1,0))</f>
        <v>0</v>
      </c>
      <c r="AX485" s="269" t="str">
        <f aca="false">IF(AY485=1,DATE(YEAR(O485),MONTH(O485),1),"")</f>
        <v/>
      </c>
      <c r="AY485" s="1" t="n">
        <f aca="false">IF(B485="",0,IF(AND(ISNUMBER(O485),ISNUMBER(P485)),IF(P485&gt;=O485,1,0),0))</f>
        <v>0</v>
      </c>
      <c r="AZ485" s="1" t="n">
        <f aca="false">IF(ISNUMBER(Y485),Y485,0)</f>
        <v>0</v>
      </c>
      <c r="BA485" s="1" t="str">
        <f aca="false">IF(B485="","",IF(AND(R485="WON",AS485=0),"⛔ Beleg fehlt · ","")&amp;IF(AND(R485="WON",AR485=0),"⛔ Einstand fehlt · ","")&amp;IF(AND(R485&lt;&gt;"WON",AR485=0),"○ Einstand offen · ","")&amp;IF(AND(R485="WON",AB485=""),"⛔ Vertragsart fehlt · ","")&amp;IF(AND(ISNUMBER(O485),ISNUMBER(P485)),IF(P485&lt;O485,"⚠ Ende vor Start · ",""),"")&amp;IF(AND(R485="WON",AY485=0,NOT(AND(ISNUMBER(O485),ISNUMBER(P485)))),"⛔ Zeitraum fehlt · ","")&amp;IF(AND(R485&lt;&gt;"WON",AY485=0,NOT(AND(ISNUMBER(O485),ISNUMBER(P485)))),"○ Zeitraum offen · ",""))</f>
        <v/>
      </c>
      <c r="BB485" s="1" t="str">
        <f aca="false">IF(B485="","",IF(AND(R485="WON",AS485=0),"⛔ Nachweis fehlt",IF(AND(ISNUMBER(O485),ISNUMBER(P485),P485&lt;O485),"⚠ Ende vor Start",IF(AND(R485="WON",AY485=0),"⛔ Zeitraum fehlt",IF(AR485=0,"○ Einstand offen",IF(AY485=0,"○ Zeitraum offen",IF(R485="WON","✅ belegt","✔ erfasst")))))))</f>
        <v/>
      </c>
    </row>
    <row r="486" customFormat="false" ht="15" hidden="false" customHeight="true" outlineLevel="0" collapsed="false">
      <c r="G486" s="1" t="str">
        <f aca="false">IF(B486="","",IF(AY486=1,P486-O486+1,IF(AW486="","",AW486)))</f>
        <v/>
      </c>
      <c r="I486" s="270"/>
      <c r="J486" s="270"/>
      <c r="K486" s="270"/>
      <c r="L486" s="270"/>
      <c r="M486" s="270"/>
      <c r="N486" s="270"/>
      <c r="O486" s="263"/>
      <c r="P486" s="263"/>
      <c r="Q486" s="270" t="str">
        <f aca="false">IF(AND(ISNUMBER(I486),ISNUMBER(S486)),I486*AJ486,IF(OR(I486&lt;&gt;"",S486&lt;&gt;""),"tbd",""))</f>
        <v/>
      </c>
      <c r="S486" s="268"/>
      <c r="Y486" s="275" t="str">
        <f aca="false">IF(ISNUMBER(I486),I486/Netto_Faktor,"")</f>
        <v/>
      </c>
      <c r="Z486" s="275" t="str">
        <f aca="false">IF(B486="","",IF(COUNT(J486:N486)=0,"",SUM(J486:N486)))</f>
        <v/>
      </c>
      <c r="AA486" s="266"/>
      <c r="AB486" s="266"/>
      <c r="AC486" s="266"/>
      <c r="AD486" s="266"/>
      <c r="AE486" s="266"/>
      <c r="AF486" s="266"/>
      <c r="AG486" s="267"/>
      <c r="AH486" s="266" t="str">
        <f aca="false">IF(B486="","",IF(BA486="",IF(R486="WON","✅ belegt &amp; vollständig","✔ vollständig"),LEFT(BA486,LEN(BA486)-3)))</f>
        <v/>
      </c>
      <c r="AJ486" s="268" t="n">
        <f aca="false">IF(ISNUMBER(S486),IFERROR(LOOKUP(IF(S486&lt;=1,S486,S486/100),'⚖️ Wahrscheinlichkeit'!$B$17:$B$21,'⚖️ Wahrscheinlichkeit'!$D$17:$D$21),0),0)</f>
        <v>0</v>
      </c>
      <c r="AK486" s="1" t="str">
        <f aca="false">IF(AND(R486="WON",ISNUMBER(I486)),AL486+(861-ROW())*0.000001,"")</f>
        <v/>
      </c>
      <c r="AL486" s="1" t="n">
        <f aca="false">IFERROR(I486*1,0)</f>
        <v>0</v>
      </c>
      <c r="AM486" s="1" t="n">
        <f aca="false">N(AM485)+IF(AND(R486="WON",B486&lt;&gt;""),1,0)</f>
        <v>12</v>
      </c>
      <c r="AN486" s="1" t="n">
        <f aca="false">N(AN485)+IF(AND(OR(R486="offered",R486="to be offered",R486="on hold"),B486&lt;&gt;""),1,0)</f>
        <v>33</v>
      </c>
      <c r="AO486" s="1" t="n">
        <f aca="false">N(AO485)+IF(AND(OR(R486="follow-up",R486="Evaluation",R486="tbd",R486="In evaluation"),B486&lt;&gt;""),1,0)</f>
        <v>1</v>
      </c>
      <c r="AP486" s="1" t="n">
        <f aca="false">IF(B486="",0,IF(COUNTIF('⚖️ Wahrscheinlichkeit'!$J$17:$J$24,R486)&gt;0,1,0))</f>
        <v>0</v>
      </c>
      <c r="AQ486" s="1" t="n">
        <f aca="false">IF(B486="",0,IF(AND(ISNUMBER(S486),COUNTIF('⚖️ Wahrscheinlichkeit'!$B$6:$B$11,S486)&gt;0),1,0))</f>
        <v>0</v>
      </c>
      <c r="AR486" s="1" t="n">
        <f aca="false">IF(B486="",0,IF(AND(COUNT(J486:M486)=4,SUM(J486:M486)&gt;0),1,0))</f>
        <v>0</v>
      </c>
      <c r="AS486" s="1" t="n">
        <f aca="false">IF(B486="",0,IF(AND(AF486&lt;&gt;"",AG486&lt;&gt;""),1,0))</f>
        <v>0</v>
      </c>
      <c r="AT486" s="1" t="n">
        <f aca="false">IF(AND(R486="WON",AS486=1,AR486=1),1,0)</f>
        <v>0</v>
      </c>
      <c r="AU486" s="1" t="n">
        <f aca="false">IF(B486="",0,IF(AD486="Alternative – zählt nicht",0,1))</f>
        <v>0</v>
      </c>
      <c r="AV486" s="1" t="n">
        <f aca="false">IF(B486="",0,IF(COUNTIF($B$6:$B$860,B486)&gt;1,1,0))</f>
        <v>0</v>
      </c>
      <c r="AX486" s="269" t="str">
        <f aca="false">IF(AY486=1,DATE(YEAR(O486),MONTH(O486),1),"")</f>
        <v/>
      </c>
      <c r="AY486" s="1" t="n">
        <f aca="false">IF(B486="",0,IF(AND(ISNUMBER(O486),ISNUMBER(P486)),IF(P486&gt;=O486,1,0),0))</f>
        <v>0</v>
      </c>
      <c r="AZ486" s="1" t="n">
        <f aca="false">IF(ISNUMBER(Y486),Y486,0)</f>
        <v>0</v>
      </c>
      <c r="BA486" s="1" t="str">
        <f aca="false">IF(B486="","",IF(AND(R486="WON",AS486=0),"⛔ Beleg fehlt · ","")&amp;IF(AND(R486="WON",AR486=0),"⛔ Einstand fehlt · ","")&amp;IF(AND(R486&lt;&gt;"WON",AR486=0),"○ Einstand offen · ","")&amp;IF(AND(R486="WON",AB486=""),"⛔ Vertragsart fehlt · ","")&amp;IF(AND(ISNUMBER(O486),ISNUMBER(P486)),IF(P486&lt;O486,"⚠ Ende vor Start · ",""),"")&amp;IF(AND(R486="WON",AY486=0,NOT(AND(ISNUMBER(O486),ISNUMBER(P486)))),"⛔ Zeitraum fehlt · ","")&amp;IF(AND(R486&lt;&gt;"WON",AY486=0,NOT(AND(ISNUMBER(O486),ISNUMBER(P486)))),"○ Zeitraum offen · ",""))</f>
        <v/>
      </c>
      <c r="BB486" s="1" t="str">
        <f aca="false">IF(B486="","",IF(AND(R486="WON",AS486=0),"⛔ Nachweis fehlt",IF(AND(ISNUMBER(O486),ISNUMBER(P486),P486&lt;O486),"⚠ Ende vor Start",IF(AND(R486="WON",AY486=0),"⛔ Zeitraum fehlt",IF(AR486=0,"○ Einstand offen",IF(AY486=0,"○ Zeitraum offen",IF(R486="WON","✅ belegt","✔ erfasst")))))))</f>
        <v/>
      </c>
    </row>
    <row r="487" customFormat="false" ht="15" hidden="false" customHeight="true" outlineLevel="0" collapsed="false">
      <c r="G487" s="1" t="str">
        <f aca="false">IF(B487="","",IF(AY487=1,P487-O487+1,IF(AW487="","",AW487)))</f>
        <v/>
      </c>
      <c r="I487" s="270"/>
      <c r="J487" s="270"/>
      <c r="K487" s="270"/>
      <c r="L487" s="270"/>
      <c r="M487" s="270"/>
      <c r="N487" s="270"/>
      <c r="O487" s="263"/>
      <c r="P487" s="263"/>
      <c r="Q487" s="270" t="str">
        <f aca="false">IF(AND(ISNUMBER(I487),ISNUMBER(S487)),I487*AJ487,IF(OR(I487&lt;&gt;"",S487&lt;&gt;""),"tbd",""))</f>
        <v/>
      </c>
      <c r="S487" s="268"/>
      <c r="Y487" s="275" t="str">
        <f aca="false">IF(ISNUMBER(I487),I487/Netto_Faktor,"")</f>
        <v/>
      </c>
      <c r="Z487" s="275" t="str">
        <f aca="false">IF(B487="","",IF(COUNT(J487:N487)=0,"",SUM(J487:N487)))</f>
        <v/>
      </c>
      <c r="AA487" s="266"/>
      <c r="AB487" s="266"/>
      <c r="AC487" s="266"/>
      <c r="AD487" s="266"/>
      <c r="AE487" s="266"/>
      <c r="AF487" s="266"/>
      <c r="AG487" s="267"/>
      <c r="AH487" s="266" t="str">
        <f aca="false">IF(B487="","",IF(BA487="",IF(R487="WON","✅ belegt &amp; vollständig","✔ vollständig"),LEFT(BA487,LEN(BA487)-3)))</f>
        <v/>
      </c>
      <c r="AJ487" s="268" t="n">
        <f aca="false">IF(ISNUMBER(S487),IFERROR(LOOKUP(IF(S487&lt;=1,S487,S487/100),'⚖️ Wahrscheinlichkeit'!$B$17:$B$21,'⚖️ Wahrscheinlichkeit'!$D$17:$D$21),0),0)</f>
        <v>0</v>
      </c>
      <c r="AK487" s="1" t="str">
        <f aca="false">IF(AND(R487="WON",ISNUMBER(I487)),AL487+(861-ROW())*0.000001,"")</f>
        <v/>
      </c>
      <c r="AL487" s="1" t="n">
        <f aca="false">IFERROR(I487*1,0)</f>
        <v>0</v>
      </c>
      <c r="AM487" s="1" t="n">
        <f aca="false">N(AM486)+IF(AND(R487="WON",B487&lt;&gt;""),1,0)</f>
        <v>12</v>
      </c>
      <c r="AN487" s="1" t="n">
        <f aca="false">N(AN486)+IF(AND(OR(R487="offered",R487="to be offered",R487="on hold"),B487&lt;&gt;""),1,0)</f>
        <v>33</v>
      </c>
      <c r="AO487" s="1" t="n">
        <f aca="false">N(AO486)+IF(AND(OR(R487="follow-up",R487="Evaluation",R487="tbd",R487="In evaluation"),B487&lt;&gt;""),1,0)</f>
        <v>1</v>
      </c>
      <c r="AP487" s="1" t="n">
        <f aca="false">IF(B487="",0,IF(COUNTIF('⚖️ Wahrscheinlichkeit'!$J$17:$J$24,R487)&gt;0,1,0))</f>
        <v>0</v>
      </c>
      <c r="AQ487" s="1" t="n">
        <f aca="false">IF(B487="",0,IF(AND(ISNUMBER(S487),COUNTIF('⚖️ Wahrscheinlichkeit'!$B$6:$B$11,S487)&gt;0),1,0))</f>
        <v>0</v>
      </c>
      <c r="AR487" s="1" t="n">
        <f aca="false">IF(B487="",0,IF(AND(COUNT(J487:M487)=4,SUM(J487:M487)&gt;0),1,0))</f>
        <v>0</v>
      </c>
      <c r="AS487" s="1" t="n">
        <f aca="false">IF(B487="",0,IF(AND(AF487&lt;&gt;"",AG487&lt;&gt;""),1,0))</f>
        <v>0</v>
      </c>
      <c r="AT487" s="1" t="n">
        <f aca="false">IF(AND(R487="WON",AS487=1,AR487=1),1,0)</f>
        <v>0</v>
      </c>
      <c r="AU487" s="1" t="n">
        <f aca="false">IF(B487="",0,IF(AD487="Alternative – zählt nicht",0,1))</f>
        <v>0</v>
      </c>
      <c r="AV487" s="1" t="n">
        <f aca="false">IF(B487="",0,IF(COUNTIF($B$6:$B$860,B487)&gt;1,1,0))</f>
        <v>0</v>
      </c>
      <c r="AX487" s="269" t="str">
        <f aca="false">IF(AY487=1,DATE(YEAR(O487),MONTH(O487),1),"")</f>
        <v/>
      </c>
      <c r="AY487" s="1" t="n">
        <f aca="false">IF(B487="",0,IF(AND(ISNUMBER(O487),ISNUMBER(P487)),IF(P487&gt;=O487,1,0),0))</f>
        <v>0</v>
      </c>
      <c r="AZ487" s="1" t="n">
        <f aca="false">IF(ISNUMBER(Y487),Y487,0)</f>
        <v>0</v>
      </c>
      <c r="BA487" s="1" t="str">
        <f aca="false">IF(B487="","",IF(AND(R487="WON",AS487=0),"⛔ Beleg fehlt · ","")&amp;IF(AND(R487="WON",AR487=0),"⛔ Einstand fehlt · ","")&amp;IF(AND(R487&lt;&gt;"WON",AR487=0),"○ Einstand offen · ","")&amp;IF(AND(R487="WON",AB487=""),"⛔ Vertragsart fehlt · ","")&amp;IF(AND(ISNUMBER(O487),ISNUMBER(P487)),IF(P487&lt;O487,"⚠ Ende vor Start · ",""),"")&amp;IF(AND(R487="WON",AY487=0,NOT(AND(ISNUMBER(O487),ISNUMBER(P487)))),"⛔ Zeitraum fehlt · ","")&amp;IF(AND(R487&lt;&gt;"WON",AY487=0,NOT(AND(ISNUMBER(O487),ISNUMBER(P487)))),"○ Zeitraum offen · ",""))</f>
        <v/>
      </c>
      <c r="BB487" s="1" t="str">
        <f aca="false">IF(B487="","",IF(AND(R487="WON",AS487=0),"⛔ Nachweis fehlt",IF(AND(ISNUMBER(O487),ISNUMBER(P487),P487&lt;O487),"⚠ Ende vor Start",IF(AND(R487="WON",AY487=0),"⛔ Zeitraum fehlt",IF(AR487=0,"○ Einstand offen",IF(AY487=0,"○ Zeitraum offen",IF(R487="WON","✅ belegt","✔ erfasst")))))))</f>
        <v/>
      </c>
    </row>
    <row r="488" customFormat="false" ht="15" hidden="false" customHeight="true" outlineLevel="0" collapsed="false">
      <c r="G488" s="1" t="str">
        <f aca="false">IF(B488="","",IF(AY488=1,P488-O488+1,IF(AW488="","",AW488)))</f>
        <v/>
      </c>
      <c r="I488" s="270"/>
      <c r="J488" s="270"/>
      <c r="K488" s="270"/>
      <c r="L488" s="270"/>
      <c r="M488" s="270"/>
      <c r="N488" s="270"/>
      <c r="O488" s="263"/>
      <c r="P488" s="263"/>
      <c r="Q488" s="270" t="str">
        <f aca="false">IF(AND(ISNUMBER(I488),ISNUMBER(S488)),I488*AJ488,IF(OR(I488&lt;&gt;"",S488&lt;&gt;""),"tbd",""))</f>
        <v/>
      </c>
      <c r="S488" s="268"/>
      <c r="Y488" s="275" t="str">
        <f aca="false">IF(ISNUMBER(I488),I488/Netto_Faktor,"")</f>
        <v/>
      </c>
      <c r="Z488" s="275" t="str">
        <f aca="false">IF(B488="","",IF(COUNT(J488:N488)=0,"",SUM(J488:N488)))</f>
        <v/>
      </c>
      <c r="AA488" s="266"/>
      <c r="AB488" s="266"/>
      <c r="AC488" s="266"/>
      <c r="AD488" s="266"/>
      <c r="AE488" s="266"/>
      <c r="AF488" s="266"/>
      <c r="AG488" s="267"/>
      <c r="AH488" s="266" t="str">
        <f aca="false">IF(B488="","",IF(BA488="",IF(R488="WON","✅ belegt &amp; vollständig","✔ vollständig"),LEFT(BA488,LEN(BA488)-3)))</f>
        <v/>
      </c>
      <c r="AJ488" s="268" t="n">
        <f aca="false">IF(ISNUMBER(S488),IFERROR(LOOKUP(IF(S488&lt;=1,S488,S488/100),'⚖️ Wahrscheinlichkeit'!$B$17:$B$21,'⚖️ Wahrscheinlichkeit'!$D$17:$D$21),0),0)</f>
        <v>0</v>
      </c>
      <c r="AK488" s="1" t="str">
        <f aca="false">IF(AND(R488="WON",ISNUMBER(I488)),AL488+(861-ROW())*0.000001,"")</f>
        <v/>
      </c>
      <c r="AL488" s="1" t="n">
        <f aca="false">IFERROR(I488*1,0)</f>
        <v>0</v>
      </c>
      <c r="AM488" s="1" t="n">
        <f aca="false">N(AM487)+IF(AND(R488="WON",B488&lt;&gt;""),1,0)</f>
        <v>12</v>
      </c>
      <c r="AN488" s="1" t="n">
        <f aca="false">N(AN487)+IF(AND(OR(R488="offered",R488="to be offered",R488="on hold"),B488&lt;&gt;""),1,0)</f>
        <v>33</v>
      </c>
      <c r="AO488" s="1" t="n">
        <f aca="false">N(AO487)+IF(AND(OR(R488="follow-up",R488="Evaluation",R488="tbd",R488="In evaluation"),B488&lt;&gt;""),1,0)</f>
        <v>1</v>
      </c>
      <c r="AP488" s="1" t="n">
        <f aca="false">IF(B488="",0,IF(COUNTIF('⚖️ Wahrscheinlichkeit'!$J$17:$J$24,R488)&gt;0,1,0))</f>
        <v>0</v>
      </c>
      <c r="AQ488" s="1" t="n">
        <f aca="false">IF(B488="",0,IF(AND(ISNUMBER(S488),COUNTIF('⚖️ Wahrscheinlichkeit'!$B$6:$B$11,S488)&gt;0),1,0))</f>
        <v>0</v>
      </c>
      <c r="AR488" s="1" t="n">
        <f aca="false">IF(B488="",0,IF(AND(COUNT(J488:M488)=4,SUM(J488:M488)&gt;0),1,0))</f>
        <v>0</v>
      </c>
      <c r="AS488" s="1" t="n">
        <f aca="false">IF(B488="",0,IF(AND(AF488&lt;&gt;"",AG488&lt;&gt;""),1,0))</f>
        <v>0</v>
      </c>
      <c r="AT488" s="1" t="n">
        <f aca="false">IF(AND(R488="WON",AS488=1,AR488=1),1,0)</f>
        <v>0</v>
      </c>
      <c r="AU488" s="1" t="n">
        <f aca="false">IF(B488="",0,IF(AD488="Alternative – zählt nicht",0,1))</f>
        <v>0</v>
      </c>
      <c r="AV488" s="1" t="n">
        <f aca="false">IF(B488="",0,IF(COUNTIF($B$6:$B$860,B488)&gt;1,1,0))</f>
        <v>0</v>
      </c>
      <c r="AX488" s="269" t="str">
        <f aca="false">IF(AY488=1,DATE(YEAR(O488),MONTH(O488),1),"")</f>
        <v/>
      </c>
      <c r="AY488" s="1" t="n">
        <f aca="false">IF(B488="",0,IF(AND(ISNUMBER(O488),ISNUMBER(P488)),IF(P488&gt;=O488,1,0),0))</f>
        <v>0</v>
      </c>
      <c r="AZ488" s="1" t="n">
        <f aca="false">IF(ISNUMBER(Y488),Y488,0)</f>
        <v>0</v>
      </c>
      <c r="BA488" s="1" t="str">
        <f aca="false">IF(B488="","",IF(AND(R488="WON",AS488=0),"⛔ Beleg fehlt · ","")&amp;IF(AND(R488="WON",AR488=0),"⛔ Einstand fehlt · ","")&amp;IF(AND(R488&lt;&gt;"WON",AR488=0),"○ Einstand offen · ","")&amp;IF(AND(R488="WON",AB488=""),"⛔ Vertragsart fehlt · ","")&amp;IF(AND(ISNUMBER(O488),ISNUMBER(P488)),IF(P488&lt;O488,"⚠ Ende vor Start · ",""),"")&amp;IF(AND(R488="WON",AY488=0,NOT(AND(ISNUMBER(O488),ISNUMBER(P488)))),"⛔ Zeitraum fehlt · ","")&amp;IF(AND(R488&lt;&gt;"WON",AY488=0,NOT(AND(ISNUMBER(O488),ISNUMBER(P488)))),"○ Zeitraum offen · ",""))</f>
        <v/>
      </c>
      <c r="BB488" s="1" t="str">
        <f aca="false">IF(B488="","",IF(AND(R488="WON",AS488=0),"⛔ Nachweis fehlt",IF(AND(ISNUMBER(O488),ISNUMBER(P488),P488&lt;O488),"⚠ Ende vor Start",IF(AND(R488="WON",AY488=0),"⛔ Zeitraum fehlt",IF(AR488=0,"○ Einstand offen",IF(AY488=0,"○ Zeitraum offen",IF(R488="WON","✅ belegt","✔ erfasst")))))))</f>
        <v/>
      </c>
    </row>
    <row r="489" customFormat="false" ht="15" hidden="false" customHeight="true" outlineLevel="0" collapsed="false">
      <c r="G489" s="1" t="str">
        <f aca="false">IF(B489="","",IF(AY489=1,P489-O489+1,IF(AW489="","",AW489)))</f>
        <v/>
      </c>
      <c r="I489" s="270"/>
      <c r="J489" s="270"/>
      <c r="K489" s="270"/>
      <c r="L489" s="270"/>
      <c r="M489" s="270"/>
      <c r="N489" s="270"/>
      <c r="O489" s="263"/>
      <c r="P489" s="263"/>
      <c r="Q489" s="270" t="str">
        <f aca="false">IF(AND(ISNUMBER(I489),ISNUMBER(S489)),I489*AJ489,IF(OR(I489&lt;&gt;"",S489&lt;&gt;""),"tbd",""))</f>
        <v/>
      </c>
      <c r="S489" s="268"/>
      <c r="Y489" s="275" t="str">
        <f aca="false">IF(ISNUMBER(I489),I489/Netto_Faktor,"")</f>
        <v/>
      </c>
      <c r="Z489" s="275" t="str">
        <f aca="false">IF(B489="","",IF(COUNT(J489:N489)=0,"",SUM(J489:N489)))</f>
        <v/>
      </c>
      <c r="AA489" s="266"/>
      <c r="AB489" s="266"/>
      <c r="AC489" s="266"/>
      <c r="AD489" s="266"/>
      <c r="AE489" s="266"/>
      <c r="AF489" s="266"/>
      <c r="AG489" s="267"/>
      <c r="AH489" s="266" t="str">
        <f aca="false">IF(B489="","",IF(BA489="",IF(R489="WON","✅ belegt &amp; vollständig","✔ vollständig"),LEFT(BA489,LEN(BA489)-3)))</f>
        <v/>
      </c>
      <c r="AJ489" s="268" t="n">
        <f aca="false">IF(ISNUMBER(S489),IFERROR(LOOKUP(IF(S489&lt;=1,S489,S489/100),'⚖️ Wahrscheinlichkeit'!$B$17:$B$21,'⚖️ Wahrscheinlichkeit'!$D$17:$D$21),0),0)</f>
        <v>0</v>
      </c>
      <c r="AK489" s="1" t="str">
        <f aca="false">IF(AND(R489="WON",ISNUMBER(I489)),AL489+(861-ROW())*0.000001,"")</f>
        <v/>
      </c>
      <c r="AL489" s="1" t="n">
        <f aca="false">IFERROR(I489*1,0)</f>
        <v>0</v>
      </c>
      <c r="AM489" s="1" t="n">
        <f aca="false">N(AM488)+IF(AND(R489="WON",B489&lt;&gt;""),1,0)</f>
        <v>12</v>
      </c>
      <c r="AN489" s="1" t="n">
        <f aca="false">N(AN488)+IF(AND(OR(R489="offered",R489="to be offered",R489="on hold"),B489&lt;&gt;""),1,0)</f>
        <v>33</v>
      </c>
      <c r="AO489" s="1" t="n">
        <f aca="false">N(AO488)+IF(AND(OR(R489="follow-up",R489="Evaluation",R489="tbd",R489="In evaluation"),B489&lt;&gt;""),1,0)</f>
        <v>1</v>
      </c>
      <c r="AP489" s="1" t="n">
        <f aca="false">IF(B489="",0,IF(COUNTIF('⚖️ Wahrscheinlichkeit'!$J$17:$J$24,R489)&gt;0,1,0))</f>
        <v>0</v>
      </c>
      <c r="AQ489" s="1" t="n">
        <f aca="false">IF(B489="",0,IF(AND(ISNUMBER(S489),COUNTIF('⚖️ Wahrscheinlichkeit'!$B$6:$B$11,S489)&gt;0),1,0))</f>
        <v>0</v>
      </c>
      <c r="AR489" s="1" t="n">
        <f aca="false">IF(B489="",0,IF(AND(COUNT(J489:M489)=4,SUM(J489:M489)&gt;0),1,0))</f>
        <v>0</v>
      </c>
      <c r="AS489" s="1" t="n">
        <f aca="false">IF(B489="",0,IF(AND(AF489&lt;&gt;"",AG489&lt;&gt;""),1,0))</f>
        <v>0</v>
      </c>
      <c r="AT489" s="1" t="n">
        <f aca="false">IF(AND(R489="WON",AS489=1,AR489=1),1,0)</f>
        <v>0</v>
      </c>
      <c r="AU489" s="1" t="n">
        <f aca="false">IF(B489="",0,IF(AD489="Alternative – zählt nicht",0,1))</f>
        <v>0</v>
      </c>
      <c r="AV489" s="1" t="n">
        <f aca="false">IF(B489="",0,IF(COUNTIF($B$6:$B$860,B489)&gt;1,1,0))</f>
        <v>0</v>
      </c>
      <c r="AX489" s="269" t="str">
        <f aca="false">IF(AY489=1,DATE(YEAR(O489),MONTH(O489),1),"")</f>
        <v/>
      </c>
      <c r="AY489" s="1" t="n">
        <f aca="false">IF(B489="",0,IF(AND(ISNUMBER(O489),ISNUMBER(P489)),IF(P489&gt;=O489,1,0),0))</f>
        <v>0</v>
      </c>
      <c r="AZ489" s="1" t="n">
        <f aca="false">IF(ISNUMBER(Y489),Y489,0)</f>
        <v>0</v>
      </c>
      <c r="BA489" s="1" t="str">
        <f aca="false">IF(B489="","",IF(AND(R489="WON",AS489=0),"⛔ Beleg fehlt · ","")&amp;IF(AND(R489="WON",AR489=0),"⛔ Einstand fehlt · ","")&amp;IF(AND(R489&lt;&gt;"WON",AR489=0),"○ Einstand offen · ","")&amp;IF(AND(R489="WON",AB489=""),"⛔ Vertragsart fehlt · ","")&amp;IF(AND(ISNUMBER(O489),ISNUMBER(P489)),IF(P489&lt;O489,"⚠ Ende vor Start · ",""),"")&amp;IF(AND(R489="WON",AY489=0,NOT(AND(ISNUMBER(O489),ISNUMBER(P489)))),"⛔ Zeitraum fehlt · ","")&amp;IF(AND(R489&lt;&gt;"WON",AY489=0,NOT(AND(ISNUMBER(O489),ISNUMBER(P489)))),"○ Zeitraum offen · ",""))</f>
        <v/>
      </c>
      <c r="BB489" s="1" t="str">
        <f aca="false">IF(B489="","",IF(AND(R489="WON",AS489=0),"⛔ Nachweis fehlt",IF(AND(ISNUMBER(O489),ISNUMBER(P489),P489&lt;O489),"⚠ Ende vor Start",IF(AND(R489="WON",AY489=0),"⛔ Zeitraum fehlt",IF(AR489=0,"○ Einstand offen",IF(AY489=0,"○ Zeitraum offen",IF(R489="WON","✅ belegt","✔ erfasst")))))))</f>
        <v/>
      </c>
    </row>
    <row r="490" customFormat="false" ht="15" hidden="false" customHeight="true" outlineLevel="0" collapsed="false">
      <c r="G490" s="1" t="str">
        <f aca="false">IF(B490="","",IF(AY490=1,P490-O490+1,IF(AW490="","",AW490)))</f>
        <v/>
      </c>
      <c r="I490" s="270"/>
      <c r="J490" s="270"/>
      <c r="K490" s="270"/>
      <c r="L490" s="270"/>
      <c r="M490" s="270"/>
      <c r="N490" s="270"/>
      <c r="O490" s="263"/>
      <c r="P490" s="263"/>
      <c r="Q490" s="270" t="str">
        <f aca="false">IF(AND(ISNUMBER(I490),ISNUMBER(S490)),I490*AJ490,IF(OR(I490&lt;&gt;"",S490&lt;&gt;""),"tbd",""))</f>
        <v/>
      </c>
      <c r="S490" s="268"/>
      <c r="Y490" s="275" t="str">
        <f aca="false">IF(ISNUMBER(I490),I490/Netto_Faktor,"")</f>
        <v/>
      </c>
      <c r="Z490" s="275" t="str">
        <f aca="false">IF(B490="","",IF(COUNT(J490:N490)=0,"",SUM(J490:N490)))</f>
        <v/>
      </c>
      <c r="AA490" s="266"/>
      <c r="AB490" s="266"/>
      <c r="AC490" s="266"/>
      <c r="AD490" s="266"/>
      <c r="AE490" s="266"/>
      <c r="AF490" s="266"/>
      <c r="AG490" s="267"/>
      <c r="AH490" s="266" t="str">
        <f aca="false">IF(B490="","",IF(BA490="",IF(R490="WON","✅ belegt &amp; vollständig","✔ vollständig"),LEFT(BA490,LEN(BA490)-3)))</f>
        <v/>
      </c>
      <c r="AJ490" s="268" t="n">
        <f aca="false">IF(ISNUMBER(S490),IFERROR(LOOKUP(IF(S490&lt;=1,S490,S490/100),'⚖️ Wahrscheinlichkeit'!$B$17:$B$21,'⚖️ Wahrscheinlichkeit'!$D$17:$D$21),0),0)</f>
        <v>0</v>
      </c>
      <c r="AK490" s="1" t="str">
        <f aca="false">IF(AND(R490="WON",ISNUMBER(I490)),AL490+(861-ROW())*0.000001,"")</f>
        <v/>
      </c>
      <c r="AL490" s="1" t="n">
        <f aca="false">IFERROR(I490*1,0)</f>
        <v>0</v>
      </c>
      <c r="AM490" s="1" t="n">
        <f aca="false">N(AM489)+IF(AND(R490="WON",B490&lt;&gt;""),1,0)</f>
        <v>12</v>
      </c>
      <c r="AN490" s="1" t="n">
        <f aca="false">N(AN489)+IF(AND(OR(R490="offered",R490="to be offered",R490="on hold"),B490&lt;&gt;""),1,0)</f>
        <v>33</v>
      </c>
      <c r="AO490" s="1" t="n">
        <f aca="false">N(AO489)+IF(AND(OR(R490="follow-up",R490="Evaluation",R490="tbd",R490="In evaluation"),B490&lt;&gt;""),1,0)</f>
        <v>1</v>
      </c>
      <c r="AP490" s="1" t="n">
        <f aca="false">IF(B490="",0,IF(COUNTIF('⚖️ Wahrscheinlichkeit'!$J$17:$J$24,R490)&gt;0,1,0))</f>
        <v>0</v>
      </c>
      <c r="AQ490" s="1" t="n">
        <f aca="false">IF(B490="",0,IF(AND(ISNUMBER(S490),COUNTIF('⚖️ Wahrscheinlichkeit'!$B$6:$B$11,S490)&gt;0),1,0))</f>
        <v>0</v>
      </c>
      <c r="AR490" s="1" t="n">
        <f aca="false">IF(B490="",0,IF(AND(COUNT(J490:M490)=4,SUM(J490:M490)&gt;0),1,0))</f>
        <v>0</v>
      </c>
      <c r="AS490" s="1" t="n">
        <f aca="false">IF(B490="",0,IF(AND(AF490&lt;&gt;"",AG490&lt;&gt;""),1,0))</f>
        <v>0</v>
      </c>
      <c r="AT490" s="1" t="n">
        <f aca="false">IF(AND(R490="WON",AS490=1,AR490=1),1,0)</f>
        <v>0</v>
      </c>
      <c r="AU490" s="1" t="n">
        <f aca="false">IF(B490="",0,IF(AD490="Alternative – zählt nicht",0,1))</f>
        <v>0</v>
      </c>
      <c r="AV490" s="1" t="n">
        <f aca="false">IF(B490="",0,IF(COUNTIF($B$6:$B$860,B490)&gt;1,1,0))</f>
        <v>0</v>
      </c>
      <c r="AX490" s="269" t="str">
        <f aca="false">IF(AY490=1,DATE(YEAR(O490),MONTH(O490),1),"")</f>
        <v/>
      </c>
      <c r="AY490" s="1" t="n">
        <f aca="false">IF(B490="",0,IF(AND(ISNUMBER(O490),ISNUMBER(P490)),IF(P490&gt;=O490,1,0),0))</f>
        <v>0</v>
      </c>
      <c r="AZ490" s="1" t="n">
        <f aca="false">IF(ISNUMBER(Y490),Y490,0)</f>
        <v>0</v>
      </c>
      <c r="BA490" s="1" t="str">
        <f aca="false">IF(B490="","",IF(AND(R490="WON",AS490=0),"⛔ Beleg fehlt · ","")&amp;IF(AND(R490="WON",AR490=0),"⛔ Einstand fehlt · ","")&amp;IF(AND(R490&lt;&gt;"WON",AR490=0),"○ Einstand offen · ","")&amp;IF(AND(R490="WON",AB490=""),"⛔ Vertragsart fehlt · ","")&amp;IF(AND(ISNUMBER(O490),ISNUMBER(P490)),IF(P490&lt;O490,"⚠ Ende vor Start · ",""),"")&amp;IF(AND(R490="WON",AY490=0,NOT(AND(ISNUMBER(O490),ISNUMBER(P490)))),"⛔ Zeitraum fehlt · ","")&amp;IF(AND(R490&lt;&gt;"WON",AY490=0,NOT(AND(ISNUMBER(O490),ISNUMBER(P490)))),"○ Zeitraum offen · ",""))</f>
        <v/>
      </c>
      <c r="BB490" s="1" t="str">
        <f aca="false">IF(B490="","",IF(AND(R490="WON",AS490=0),"⛔ Nachweis fehlt",IF(AND(ISNUMBER(O490),ISNUMBER(P490),P490&lt;O490),"⚠ Ende vor Start",IF(AND(R490="WON",AY490=0),"⛔ Zeitraum fehlt",IF(AR490=0,"○ Einstand offen",IF(AY490=0,"○ Zeitraum offen",IF(R490="WON","✅ belegt","✔ erfasst")))))))</f>
        <v/>
      </c>
    </row>
    <row r="491" customFormat="false" ht="15" hidden="false" customHeight="true" outlineLevel="0" collapsed="false">
      <c r="G491" s="1" t="str">
        <f aca="false">IF(B491="","",IF(AY491=1,P491-O491+1,IF(AW491="","",AW491)))</f>
        <v/>
      </c>
      <c r="I491" s="270"/>
      <c r="J491" s="270"/>
      <c r="K491" s="270"/>
      <c r="L491" s="270"/>
      <c r="M491" s="270"/>
      <c r="N491" s="270"/>
      <c r="O491" s="263"/>
      <c r="P491" s="263"/>
      <c r="Q491" s="270" t="str">
        <f aca="false">IF(AND(ISNUMBER(I491),ISNUMBER(S491)),I491*AJ491,IF(OR(I491&lt;&gt;"",S491&lt;&gt;""),"tbd",""))</f>
        <v/>
      </c>
      <c r="S491" s="268"/>
      <c r="Y491" s="275" t="str">
        <f aca="false">IF(ISNUMBER(I491),I491/Netto_Faktor,"")</f>
        <v/>
      </c>
      <c r="Z491" s="275" t="str">
        <f aca="false">IF(B491="","",IF(COUNT(J491:N491)=0,"",SUM(J491:N491)))</f>
        <v/>
      </c>
      <c r="AA491" s="266"/>
      <c r="AB491" s="266"/>
      <c r="AC491" s="266"/>
      <c r="AD491" s="266"/>
      <c r="AE491" s="266"/>
      <c r="AF491" s="266"/>
      <c r="AG491" s="267"/>
      <c r="AH491" s="266" t="str">
        <f aca="false">IF(B491="","",IF(BA491="",IF(R491="WON","✅ belegt &amp; vollständig","✔ vollständig"),LEFT(BA491,LEN(BA491)-3)))</f>
        <v/>
      </c>
      <c r="AJ491" s="268" t="n">
        <f aca="false">IF(ISNUMBER(S491),IFERROR(LOOKUP(IF(S491&lt;=1,S491,S491/100),'⚖️ Wahrscheinlichkeit'!$B$17:$B$21,'⚖️ Wahrscheinlichkeit'!$D$17:$D$21),0),0)</f>
        <v>0</v>
      </c>
      <c r="AK491" s="1" t="str">
        <f aca="false">IF(AND(R491="WON",ISNUMBER(I491)),AL491+(861-ROW())*0.000001,"")</f>
        <v/>
      </c>
      <c r="AL491" s="1" t="n">
        <f aca="false">IFERROR(I491*1,0)</f>
        <v>0</v>
      </c>
      <c r="AM491" s="1" t="n">
        <f aca="false">N(AM490)+IF(AND(R491="WON",B491&lt;&gt;""),1,0)</f>
        <v>12</v>
      </c>
      <c r="AN491" s="1" t="n">
        <f aca="false">N(AN490)+IF(AND(OR(R491="offered",R491="to be offered",R491="on hold"),B491&lt;&gt;""),1,0)</f>
        <v>33</v>
      </c>
      <c r="AO491" s="1" t="n">
        <f aca="false">N(AO490)+IF(AND(OR(R491="follow-up",R491="Evaluation",R491="tbd",R491="In evaluation"),B491&lt;&gt;""),1,0)</f>
        <v>1</v>
      </c>
      <c r="AP491" s="1" t="n">
        <f aca="false">IF(B491="",0,IF(COUNTIF('⚖️ Wahrscheinlichkeit'!$J$17:$J$24,R491)&gt;0,1,0))</f>
        <v>0</v>
      </c>
      <c r="AQ491" s="1" t="n">
        <f aca="false">IF(B491="",0,IF(AND(ISNUMBER(S491),COUNTIF('⚖️ Wahrscheinlichkeit'!$B$6:$B$11,S491)&gt;0),1,0))</f>
        <v>0</v>
      </c>
      <c r="AR491" s="1" t="n">
        <f aca="false">IF(B491="",0,IF(AND(COUNT(J491:M491)=4,SUM(J491:M491)&gt;0),1,0))</f>
        <v>0</v>
      </c>
      <c r="AS491" s="1" t="n">
        <f aca="false">IF(B491="",0,IF(AND(AF491&lt;&gt;"",AG491&lt;&gt;""),1,0))</f>
        <v>0</v>
      </c>
      <c r="AT491" s="1" t="n">
        <f aca="false">IF(AND(R491="WON",AS491=1,AR491=1),1,0)</f>
        <v>0</v>
      </c>
      <c r="AU491" s="1" t="n">
        <f aca="false">IF(B491="",0,IF(AD491="Alternative – zählt nicht",0,1))</f>
        <v>0</v>
      </c>
      <c r="AV491" s="1" t="n">
        <f aca="false">IF(B491="",0,IF(COUNTIF($B$6:$B$860,B491)&gt;1,1,0))</f>
        <v>0</v>
      </c>
      <c r="AX491" s="269" t="str">
        <f aca="false">IF(AY491=1,DATE(YEAR(O491),MONTH(O491),1),"")</f>
        <v/>
      </c>
      <c r="AY491" s="1" t="n">
        <f aca="false">IF(B491="",0,IF(AND(ISNUMBER(O491),ISNUMBER(P491)),IF(P491&gt;=O491,1,0),0))</f>
        <v>0</v>
      </c>
      <c r="AZ491" s="1" t="n">
        <f aca="false">IF(ISNUMBER(Y491),Y491,0)</f>
        <v>0</v>
      </c>
      <c r="BA491" s="1" t="str">
        <f aca="false">IF(B491="","",IF(AND(R491="WON",AS491=0),"⛔ Beleg fehlt · ","")&amp;IF(AND(R491="WON",AR491=0),"⛔ Einstand fehlt · ","")&amp;IF(AND(R491&lt;&gt;"WON",AR491=0),"○ Einstand offen · ","")&amp;IF(AND(R491="WON",AB491=""),"⛔ Vertragsart fehlt · ","")&amp;IF(AND(ISNUMBER(O491),ISNUMBER(P491)),IF(P491&lt;O491,"⚠ Ende vor Start · ",""),"")&amp;IF(AND(R491="WON",AY491=0,NOT(AND(ISNUMBER(O491),ISNUMBER(P491)))),"⛔ Zeitraum fehlt · ","")&amp;IF(AND(R491&lt;&gt;"WON",AY491=0,NOT(AND(ISNUMBER(O491),ISNUMBER(P491)))),"○ Zeitraum offen · ",""))</f>
        <v/>
      </c>
      <c r="BB491" s="1" t="str">
        <f aca="false">IF(B491="","",IF(AND(R491="WON",AS491=0),"⛔ Nachweis fehlt",IF(AND(ISNUMBER(O491),ISNUMBER(P491),P491&lt;O491),"⚠ Ende vor Start",IF(AND(R491="WON",AY491=0),"⛔ Zeitraum fehlt",IF(AR491=0,"○ Einstand offen",IF(AY491=0,"○ Zeitraum offen",IF(R491="WON","✅ belegt","✔ erfasst")))))))</f>
        <v/>
      </c>
    </row>
    <row r="492" customFormat="false" ht="15" hidden="false" customHeight="true" outlineLevel="0" collapsed="false">
      <c r="G492" s="1" t="str">
        <f aca="false">IF(B492="","",IF(AY492=1,P492-O492+1,IF(AW492="","",AW492)))</f>
        <v/>
      </c>
      <c r="I492" s="270"/>
      <c r="J492" s="270"/>
      <c r="K492" s="270"/>
      <c r="L492" s="270"/>
      <c r="M492" s="270"/>
      <c r="N492" s="270"/>
      <c r="O492" s="263"/>
      <c r="P492" s="263"/>
      <c r="Q492" s="270" t="str">
        <f aca="false">IF(AND(ISNUMBER(I492),ISNUMBER(S492)),I492*AJ492,IF(OR(I492&lt;&gt;"",S492&lt;&gt;""),"tbd",""))</f>
        <v/>
      </c>
      <c r="S492" s="268"/>
      <c r="Y492" s="275" t="str">
        <f aca="false">IF(ISNUMBER(I492),I492/Netto_Faktor,"")</f>
        <v/>
      </c>
      <c r="Z492" s="275" t="str">
        <f aca="false">IF(B492="","",IF(COUNT(J492:N492)=0,"",SUM(J492:N492)))</f>
        <v/>
      </c>
      <c r="AA492" s="266"/>
      <c r="AB492" s="266"/>
      <c r="AC492" s="266"/>
      <c r="AD492" s="266"/>
      <c r="AE492" s="266"/>
      <c r="AF492" s="266"/>
      <c r="AG492" s="267"/>
      <c r="AH492" s="266" t="str">
        <f aca="false">IF(B492="","",IF(BA492="",IF(R492="WON","✅ belegt &amp; vollständig","✔ vollständig"),LEFT(BA492,LEN(BA492)-3)))</f>
        <v/>
      </c>
      <c r="AJ492" s="268" t="n">
        <f aca="false">IF(ISNUMBER(S492),IFERROR(LOOKUP(IF(S492&lt;=1,S492,S492/100),'⚖️ Wahrscheinlichkeit'!$B$17:$B$21,'⚖️ Wahrscheinlichkeit'!$D$17:$D$21),0),0)</f>
        <v>0</v>
      </c>
      <c r="AK492" s="1" t="str">
        <f aca="false">IF(AND(R492="WON",ISNUMBER(I492)),AL492+(861-ROW())*0.000001,"")</f>
        <v/>
      </c>
      <c r="AL492" s="1" t="n">
        <f aca="false">IFERROR(I492*1,0)</f>
        <v>0</v>
      </c>
      <c r="AM492" s="1" t="n">
        <f aca="false">N(AM491)+IF(AND(R492="WON",B492&lt;&gt;""),1,0)</f>
        <v>12</v>
      </c>
      <c r="AN492" s="1" t="n">
        <f aca="false">N(AN491)+IF(AND(OR(R492="offered",R492="to be offered",R492="on hold"),B492&lt;&gt;""),1,0)</f>
        <v>33</v>
      </c>
      <c r="AO492" s="1" t="n">
        <f aca="false">N(AO491)+IF(AND(OR(R492="follow-up",R492="Evaluation",R492="tbd",R492="In evaluation"),B492&lt;&gt;""),1,0)</f>
        <v>1</v>
      </c>
      <c r="AP492" s="1" t="n">
        <f aca="false">IF(B492="",0,IF(COUNTIF('⚖️ Wahrscheinlichkeit'!$J$17:$J$24,R492)&gt;0,1,0))</f>
        <v>0</v>
      </c>
      <c r="AQ492" s="1" t="n">
        <f aca="false">IF(B492="",0,IF(AND(ISNUMBER(S492),COUNTIF('⚖️ Wahrscheinlichkeit'!$B$6:$B$11,S492)&gt;0),1,0))</f>
        <v>0</v>
      </c>
      <c r="AR492" s="1" t="n">
        <f aca="false">IF(B492="",0,IF(AND(COUNT(J492:M492)=4,SUM(J492:M492)&gt;0),1,0))</f>
        <v>0</v>
      </c>
      <c r="AS492" s="1" t="n">
        <f aca="false">IF(B492="",0,IF(AND(AF492&lt;&gt;"",AG492&lt;&gt;""),1,0))</f>
        <v>0</v>
      </c>
      <c r="AT492" s="1" t="n">
        <f aca="false">IF(AND(R492="WON",AS492=1,AR492=1),1,0)</f>
        <v>0</v>
      </c>
      <c r="AU492" s="1" t="n">
        <f aca="false">IF(B492="",0,IF(AD492="Alternative – zählt nicht",0,1))</f>
        <v>0</v>
      </c>
      <c r="AV492" s="1" t="n">
        <f aca="false">IF(B492="",0,IF(COUNTIF($B$6:$B$860,B492)&gt;1,1,0))</f>
        <v>0</v>
      </c>
      <c r="AX492" s="269" t="str">
        <f aca="false">IF(AY492=1,DATE(YEAR(O492),MONTH(O492),1),"")</f>
        <v/>
      </c>
      <c r="AY492" s="1" t="n">
        <f aca="false">IF(B492="",0,IF(AND(ISNUMBER(O492),ISNUMBER(P492)),IF(P492&gt;=O492,1,0),0))</f>
        <v>0</v>
      </c>
      <c r="AZ492" s="1" t="n">
        <f aca="false">IF(ISNUMBER(Y492),Y492,0)</f>
        <v>0</v>
      </c>
      <c r="BA492" s="1" t="str">
        <f aca="false">IF(B492="","",IF(AND(R492="WON",AS492=0),"⛔ Beleg fehlt · ","")&amp;IF(AND(R492="WON",AR492=0),"⛔ Einstand fehlt · ","")&amp;IF(AND(R492&lt;&gt;"WON",AR492=0),"○ Einstand offen · ","")&amp;IF(AND(R492="WON",AB492=""),"⛔ Vertragsart fehlt · ","")&amp;IF(AND(ISNUMBER(O492),ISNUMBER(P492)),IF(P492&lt;O492,"⚠ Ende vor Start · ",""),"")&amp;IF(AND(R492="WON",AY492=0,NOT(AND(ISNUMBER(O492),ISNUMBER(P492)))),"⛔ Zeitraum fehlt · ","")&amp;IF(AND(R492&lt;&gt;"WON",AY492=0,NOT(AND(ISNUMBER(O492),ISNUMBER(P492)))),"○ Zeitraum offen · ",""))</f>
        <v/>
      </c>
      <c r="BB492" s="1" t="str">
        <f aca="false">IF(B492="","",IF(AND(R492="WON",AS492=0),"⛔ Nachweis fehlt",IF(AND(ISNUMBER(O492),ISNUMBER(P492),P492&lt;O492),"⚠ Ende vor Start",IF(AND(R492="WON",AY492=0),"⛔ Zeitraum fehlt",IF(AR492=0,"○ Einstand offen",IF(AY492=0,"○ Zeitraum offen",IF(R492="WON","✅ belegt","✔ erfasst")))))))</f>
        <v/>
      </c>
    </row>
    <row r="493" customFormat="false" ht="15" hidden="false" customHeight="true" outlineLevel="0" collapsed="false">
      <c r="G493" s="1" t="str">
        <f aca="false">IF(B493="","",IF(AY493=1,P493-O493+1,IF(AW493="","",AW493)))</f>
        <v/>
      </c>
      <c r="I493" s="270"/>
      <c r="J493" s="270"/>
      <c r="K493" s="270"/>
      <c r="L493" s="270"/>
      <c r="M493" s="270"/>
      <c r="N493" s="270"/>
      <c r="O493" s="263"/>
      <c r="P493" s="263"/>
      <c r="Q493" s="270" t="str">
        <f aca="false">IF(AND(ISNUMBER(I493),ISNUMBER(S493)),I493*AJ493,IF(OR(I493&lt;&gt;"",S493&lt;&gt;""),"tbd",""))</f>
        <v/>
      </c>
      <c r="S493" s="268"/>
      <c r="Y493" s="275" t="str">
        <f aca="false">IF(ISNUMBER(I493),I493/Netto_Faktor,"")</f>
        <v/>
      </c>
      <c r="Z493" s="275" t="str">
        <f aca="false">IF(B493="","",IF(COUNT(J493:N493)=0,"",SUM(J493:N493)))</f>
        <v/>
      </c>
      <c r="AA493" s="266"/>
      <c r="AB493" s="266"/>
      <c r="AC493" s="266"/>
      <c r="AD493" s="266"/>
      <c r="AE493" s="266"/>
      <c r="AF493" s="266"/>
      <c r="AG493" s="267"/>
      <c r="AH493" s="266" t="str">
        <f aca="false">IF(B493="","",IF(BA493="",IF(R493="WON","✅ belegt &amp; vollständig","✔ vollständig"),LEFT(BA493,LEN(BA493)-3)))</f>
        <v/>
      </c>
      <c r="AJ493" s="268" t="n">
        <f aca="false">IF(ISNUMBER(S493),IFERROR(LOOKUP(IF(S493&lt;=1,S493,S493/100),'⚖️ Wahrscheinlichkeit'!$B$17:$B$21,'⚖️ Wahrscheinlichkeit'!$D$17:$D$21),0),0)</f>
        <v>0</v>
      </c>
      <c r="AK493" s="1" t="str">
        <f aca="false">IF(AND(R493="WON",ISNUMBER(I493)),AL493+(861-ROW())*0.000001,"")</f>
        <v/>
      </c>
      <c r="AL493" s="1" t="n">
        <f aca="false">IFERROR(I493*1,0)</f>
        <v>0</v>
      </c>
      <c r="AM493" s="1" t="n">
        <f aca="false">N(AM492)+IF(AND(R493="WON",B493&lt;&gt;""),1,0)</f>
        <v>12</v>
      </c>
      <c r="AN493" s="1" t="n">
        <f aca="false">N(AN492)+IF(AND(OR(R493="offered",R493="to be offered",R493="on hold"),B493&lt;&gt;""),1,0)</f>
        <v>33</v>
      </c>
      <c r="AO493" s="1" t="n">
        <f aca="false">N(AO492)+IF(AND(OR(R493="follow-up",R493="Evaluation",R493="tbd",R493="In evaluation"),B493&lt;&gt;""),1,0)</f>
        <v>1</v>
      </c>
      <c r="AP493" s="1" t="n">
        <f aca="false">IF(B493="",0,IF(COUNTIF('⚖️ Wahrscheinlichkeit'!$J$17:$J$24,R493)&gt;0,1,0))</f>
        <v>0</v>
      </c>
      <c r="AQ493" s="1" t="n">
        <f aca="false">IF(B493="",0,IF(AND(ISNUMBER(S493),COUNTIF('⚖️ Wahrscheinlichkeit'!$B$6:$B$11,S493)&gt;0),1,0))</f>
        <v>0</v>
      </c>
      <c r="AR493" s="1" t="n">
        <f aca="false">IF(B493="",0,IF(AND(COUNT(J493:M493)=4,SUM(J493:M493)&gt;0),1,0))</f>
        <v>0</v>
      </c>
      <c r="AS493" s="1" t="n">
        <f aca="false">IF(B493="",0,IF(AND(AF493&lt;&gt;"",AG493&lt;&gt;""),1,0))</f>
        <v>0</v>
      </c>
      <c r="AT493" s="1" t="n">
        <f aca="false">IF(AND(R493="WON",AS493=1,AR493=1),1,0)</f>
        <v>0</v>
      </c>
      <c r="AU493" s="1" t="n">
        <f aca="false">IF(B493="",0,IF(AD493="Alternative – zählt nicht",0,1))</f>
        <v>0</v>
      </c>
      <c r="AV493" s="1" t="n">
        <f aca="false">IF(B493="",0,IF(COUNTIF($B$6:$B$860,B493)&gt;1,1,0))</f>
        <v>0</v>
      </c>
      <c r="AX493" s="269" t="str">
        <f aca="false">IF(AY493=1,DATE(YEAR(O493),MONTH(O493),1),"")</f>
        <v/>
      </c>
      <c r="AY493" s="1" t="n">
        <f aca="false">IF(B493="",0,IF(AND(ISNUMBER(O493),ISNUMBER(P493)),IF(P493&gt;=O493,1,0),0))</f>
        <v>0</v>
      </c>
      <c r="AZ493" s="1" t="n">
        <f aca="false">IF(ISNUMBER(Y493),Y493,0)</f>
        <v>0</v>
      </c>
      <c r="BA493" s="1" t="str">
        <f aca="false">IF(B493="","",IF(AND(R493="WON",AS493=0),"⛔ Beleg fehlt · ","")&amp;IF(AND(R493="WON",AR493=0),"⛔ Einstand fehlt · ","")&amp;IF(AND(R493&lt;&gt;"WON",AR493=0),"○ Einstand offen · ","")&amp;IF(AND(R493="WON",AB493=""),"⛔ Vertragsart fehlt · ","")&amp;IF(AND(ISNUMBER(O493),ISNUMBER(P493)),IF(P493&lt;O493,"⚠ Ende vor Start · ",""),"")&amp;IF(AND(R493="WON",AY493=0,NOT(AND(ISNUMBER(O493),ISNUMBER(P493)))),"⛔ Zeitraum fehlt · ","")&amp;IF(AND(R493&lt;&gt;"WON",AY493=0,NOT(AND(ISNUMBER(O493),ISNUMBER(P493)))),"○ Zeitraum offen · ",""))</f>
        <v/>
      </c>
      <c r="BB493" s="1" t="str">
        <f aca="false">IF(B493="","",IF(AND(R493="WON",AS493=0),"⛔ Nachweis fehlt",IF(AND(ISNUMBER(O493),ISNUMBER(P493),P493&lt;O493),"⚠ Ende vor Start",IF(AND(R493="WON",AY493=0),"⛔ Zeitraum fehlt",IF(AR493=0,"○ Einstand offen",IF(AY493=0,"○ Zeitraum offen",IF(R493="WON","✅ belegt","✔ erfasst")))))))</f>
        <v/>
      </c>
    </row>
    <row r="494" customFormat="false" ht="15" hidden="false" customHeight="true" outlineLevel="0" collapsed="false">
      <c r="G494" s="1" t="str">
        <f aca="false">IF(B494="","",IF(AY494=1,P494-O494+1,IF(AW494="","",AW494)))</f>
        <v/>
      </c>
      <c r="I494" s="270"/>
      <c r="J494" s="270"/>
      <c r="K494" s="270"/>
      <c r="L494" s="270"/>
      <c r="M494" s="270"/>
      <c r="N494" s="270"/>
      <c r="O494" s="263"/>
      <c r="P494" s="263"/>
      <c r="Q494" s="270" t="str">
        <f aca="false">IF(AND(ISNUMBER(I494),ISNUMBER(S494)),I494*AJ494,IF(OR(I494&lt;&gt;"",S494&lt;&gt;""),"tbd",""))</f>
        <v/>
      </c>
      <c r="S494" s="268"/>
      <c r="Y494" s="275" t="str">
        <f aca="false">IF(ISNUMBER(I494),I494/Netto_Faktor,"")</f>
        <v/>
      </c>
      <c r="Z494" s="275" t="str">
        <f aca="false">IF(B494="","",IF(COUNT(J494:N494)=0,"",SUM(J494:N494)))</f>
        <v/>
      </c>
      <c r="AA494" s="266"/>
      <c r="AB494" s="266"/>
      <c r="AC494" s="266"/>
      <c r="AD494" s="266"/>
      <c r="AE494" s="266"/>
      <c r="AF494" s="266"/>
      <c r="AG494" s="267"/>
      <c r="AH494" s="266" t="str">
        <f aca="false">IF(B494="","",IF(BA494="",IF(R494="WON","✅ belegt &amp; vollständig","✔ vollständig"),LEFT(BA494,LEN(BA494)-3)))</f>
        <v/>
      </c>
      <c r="AJ494" s="268" t="n">
        <f aca="false">IF(ISNUMBER(S494),IFERROR(LOOKUP(IF(S494&lt;=1,S494,S494/100),'⚖️ Wahrscheinlichkeit'!$B$17:$B$21,'⚖️ Wahrscheinlichkeit'!$D$17:$D$21),0),0)</f>
        <v>0</v>
      </c>
      <c r="AK494" s="1" t="str">
        <f aca="false">IF(AND(R494="WON",ISNUMBER(I494)),AL494+(861-ROW())*0.000001,"")</f>
        <v/>
      </c>
      <c r="AL494" s="1" t="n">
        <f aca="false">IFERROR(I494*1,0)</f>
        <v>0</v>
      </c>
      <c r="AM494" s="1" t="n">
        <f aca="false">N(AM493)+IF(AND(R494="WON",B494&lt;&gt;""),1,0)</f>
        <v>12</v>
      </c>
      <c r="AN494" s="1" t="n">
        <f aca="false">N(AN493)+IF(AND(OR(R494="offered",R494="to be offered",R494="on hold"),B494&lt;&gt;""),1,0)</f>
        <v>33</v>
      </c>
      <c r="AO494" s="1" t="n">
        <f aca="false">N(AO493)+IF(AND(OR(R494="follow-up",R494="Evaluation",R494="tbd",R494="In evaluation"),B494&lt;&gt;""),1,0)</f>
        <v>1</v>
      </c>
      <c r="AP494" s="1" t="n">
        <f aca="false">IF(B494="",0,IF(COUNTIF('⚖️ Wahrscheinlichkeit'!$J$17:$J$24,R494)&gt;0,1,0))</f>
        <v>0</v>
      </c>
      <c r="AQ494" s="1" t="n">
        <f aca="false">IF(B494="",0,IF(AND(ISNUMBER(S494),COUNTIF('⚖️ Wahrscheinlichkeit'!$B$6:$B$11,S494)&gt;0),1,0))</f>
        <v>0</v>
      </c>
      <c r="AR494" s="1" t="n">
        <f aca="false">IF(B494="",0,IF(AND(COUNT(J494:M494)=4,SUM(J494:M494)&gt;0),1,0))</f>
        <v>0</v>
      </c>
      <c r="AS494" s="1" t="n">
        <f aca="false">IF(B494="",0,IF(AND(AF494&lt;&gt;"",AG494&lt;&gt;""),1,0))</f>
        <v>0</v>
      </c>
      <c r="AT494" s="1" t="n">
        <f aca="false">IF(AND(R494="WON",AS494=1,AR494=1),1,0)</f>
        <v>0</v>
      </c>
      <c r="AU494" s="1" t="n">
        <f aca="false">IF(B494="",0,IF(AD494="Alternative – zählt nicht",0,1))</f>
        <v>0</v>
      </c>
      <c r="AV494" s="1" t="n">
        <f aca="false">IF(B494="",0,IF(COUNTIF($B$6:$B$860,B494)&gt;1,1,0))</f>
        <v>0</v>
      </c>
      <c r="AX494" s="269" t="str">
        <f aca="false">IF(AY494=1,DATE(YEAR(O494),MONTH(O494),1),"")</f>
        <v/>
      </c>
      <c r="AY494" s="1" t="n">
        <f aca="false">IF(B494="",0,IF(AND(ISNUMBER(O494),ISNUMBER(P494)),IF(P494&gt;=O494,1,0),0))</f>
        <v>0</v>
      </c>
      <c r="AZ494" s="1" t="n">
        <f aca="false">IF(ISNUMBER(Y494),Y494,0)</f>
        <v>0</v>
      </c>
      <c r="BA494" s="1" t="str">
        <f aca="false">IF(B494="","",IF(AND(R494="WON",AS494=0),"⛔ Beleg fehlt · ","")&amp;IF(AND(R494="WON",AR494=0),"⛔ Einstand fehlt · ","")&amp;IF(AND(R494&lt;&gt;"WON",AR494=0),"○ Einstand offen · ","")&amp;IF(AND(R494="WON",AB494=""),"⛔ Vertragsart fehlt · ","")&amp;IF(AND(ISNUMBER(O494),ISNUMBER(P494)),IF(P494&lt;O494,"⚠ Ende vor Start · ",""),"")&amp;IF(AND(R494="WON",AY494=0,NOT(AND(ISNUMBER(O494),ISNUMBER(P494)))),"⛔ Zeitraum fehlt · ","")&amp;IF(AND(R494&lt;&gt;"WON",AY494=0,NOT(AND(ISNUMBER(O494),ISNUMBER(P494)))),"○ Zeitraum offen · ",""))</f>
        <v/>
      </c>
      <c r="BB494" s="1" t="str">
        <f aca="false">IF(B494="","",IF(AND(R494="WON",AS494=0),"⛔ Nachweis fehlt",IF(AND(ISNUMBER(O494),ISNUMBER(P494),P494&lt;O494),"⚠ Ende vor Start",IF(AND(R494="WON",AY494=0),"⛔ Zeitraum fehlt",IF(AR494=0,"○ Einstand offen",IF(AY494=0,"○ Zeitraum offen",IF(R494="WON","✅ belegt","✔ erfasst")))))))</f>
        <v/>
      </c>
    </row>
    <row r="495" customFormat="false" ht="15" hidden="false" customHeight="true" outlineLevel="0" collapsed="false">
      <c r="G495" s="1" t="str">
        <f aca="false">IF(B495="","",IF(AY495=1,P495-O495+1,IF(AW495="","",AW495)))</f>
        <v/>
      </c>
      <c r="I495" s="270"/>
      <c r="J495" s="270"/>
      <c r="K495" s="270"/>
      <c r="L495" s="270"/>
      <c r="M495" s="270"/>
      <c r="N495" s="270"/>
      <c r="O495" s="263"/>
      <c r="P495" s="263"/>
      <c r="Q495" s="270" t="str">
        <f aca="false">IF(AND(ISNUMBER(I495),ISNUMBER(S495)),I495*AJ495,IF(OR(I495&lt;&gt;"",S495&lt;&gt;""),"tbd",""))</f>
        <v/>
      </c>
      <c r="S495" s="268"/>
      <c r="Y495" s="275" t="str">
        <f aca="false">IF(ISNUMBER(I495),I495/Netto_Faktor,"")</f>
        <v/>
      </c>
      <c r="Z495" s="275" t="str">
        <f aca="false">IF(B495="","",IF(COUNT(J495:N495)=0,"",SUM(J495:N495)))</f>
        <v/>
      </c>
      <c r="AA495" s="266"/>
      <c r="AB495" s="266"/>
      <c r="AC495" s="266"/>
      <c r="AD495" s="266"/>
      <c r="AE495" s="266"/>
      <c r="AF495" s="266"/>
      <c r="AG495" s="267"/>
      <c r="AH495" s="266" t="str">
        <f aca="false">IF(B495="","",IF(BA495="",IF(R495="WON","✅ belegt &amp; vollständig","✔ vollständig"),LEFT(BA495,LEN(BA495)-3)))</f>
        <v/>
      </c>
      <c r="AJ495" s="268" t="n">
        <f aca="false">IF(ISNUMBER(S495),IFERROR(LOOKUP(IF(S495&lt;=1,S495,S495/100),'⚖️ Wahrscheinlichkeit'!$B$17:$B$21,'⚖️ Wahrscheinlichkeit'!$D$17:$D$21),0),0)</f>
        <v>0</v>
      </c>
      <c r="AK495" s="1" t="str">
        <f aca="false">IF(AND(R495="WON",ISNUMBER(I495)),AL495+(861-ROW())*0.000001,"")</f>
        <v/>
      </c>
      <c r="AL495" s="1" t="n">
        <f aca="false">IFERROR(I495*1,0)</f>
        <v>0</v>
      </c>
      <c r="AM495" s="1" t="n">
        <f aca="false">N(AM494)+IF(AND(R495="WON",B495&lt;&gt;""),1,0)</f>
        <v>12</v>
      </c>
      <c r="AN495" s="1" t="n">
        <f aca="false">N(AN494)+IF(AND(OR(R495="offered",R495="to be offered",R495="on hold"),B495&lt;&gt;""),1,0)</f>
        <v>33</v>
      </c>
      <c r="AO495" s="1" t="n">
        <f aca="false">N(AO494)+IF(AND(OR(R495="follow-up",R495="Evaluation",R495="tbd",R495="In evaluation"),B495&lt;&gt;""),1,0)</f>
        <v>1</v>
      </c>
      <c r="AP495" s="1" t="n">
        <f aca="false">IF(B495="",0,IF(COUNTIF('⚖️ Wahrscheinlichkeit'!$J$17:$J$24,R495)&gt;0,1,0))</f>
        <v>0</v>
      </c>
      <c r="AQ495" s="1" t="n">
        <f aca="false">IF(B495="",0,IF(AND(ISNUMBER(S495),COUNTIF('⚖️ Wahrscheinlichkeit'!$B$6:$B$11,S495)&gt;0),1,0))</f>
        <v>0</v>
      </c>
      <c r="AR495" s="1" t="n">
        <f aca="false">IF(B495="",0,IF(AND(COUNT(J495:M495)=4,SUM(J495:M495)&gt;0),1,0))</f>
        <v>0</v>
      </c>
      <c r="AS495" s="1" t="n">
        <f aca="false">IF(B495="",0,IF(AND(AF495&lt;&gt;"",AG495&lt;&gt;""),1,0))</f>
        <v>0</v>
      </c>
      <c r="AT495" s="1" t="n">
        <f aca="false">IF(AND(R495="WON",AS495=1,AR495=1),1,0)</f>
        <v>0</v>
      </c>
      <c r="AU495" s="1" t="n">
        <f aca="false">IF(B495="",0,IF(AD495="Alternative – zählt nicht",0,1))</f>
        <v>0</v>
      </c>
      <c r="AV495" s="1" t="n">
        <f aca="false">IF(B495="",0,IF(COUNTIF($B$6:$B$860,B495)&gt;1,1,0))</f>
        <v>0</v>
      </c>
      <c r="AX495" s="269" t="str">
        <f aca="false">IF(AY495=1,DATE(YEAR(O495),MONTH(O495),1),"")</f>
        <v/>
      </c>
      <c r="AY495" s="1" t="n">
        <f aca="false">IF(B495="",0,IF(AND(ISNUMBER(O495),ISNUMBER(P495)),IF(P495&gt;=O495,1,0),0))</f>
        <v>0</v>
      </c>
      <c r="AZ495" s="1" t="n">
        <f aca="false">IF(ISNUMBER(Y495),Y495,0)</f>
        <v>0</v>
      </c>
      <c r="BA495" s="1" t="str">
        <f aca="false">IF(B495="","",IF(AND(R495="WON",AS495=0),"⛔ Beleg fehlt · ","")&amp;IF(AND(R495="WON",AR495=0),"⛔ Einstand fehlt · ","")&amp;IF(AND(R495&lt;&gt;"WON",AR495=0),"○ Einstand offen · ","")&amp;IF(AND(R495="WON",AB495=""),"⛔ Vertragsart fehlt · ","")&amp;IF(AND(ISNUMBER(O495),ISNUMBER(P495)),IF(P495&lt;O495,"⚠ Ende vor Start · ",""),"")&amp;IF(AND(R495="WON",AY495=0,NOT(AND(ISNUMBER(O495),ISNUMBER(P495)))),"⛔ Zeitraum fehlt · ","")&amp;IF(AND(R495&lt;&gt;"WON",AY495=0,NOT(AND(ISNUMBER(O495),ISNUMBER(P495)))),"○ Zeitraum offen · ",""))</f>
        <v/>
      </c>
      <c r="BB495" s="1" t="str">
        <f aca="false">IF(B495="","",IF(AND(R495="WON",AS495=0),"⛔ Nachweis fehlt",IF(AND(ISNUMBER(O495),ISNUMBER(P495),P495&lt;O495),"⚠ Ende vor Start",IF(AND(R495="WON",AY495=0),"⛔ Zeitraum fehlt",IF(AR495=0,"○ Einstand offen",IF(AY495=0,"○ Zeitraum offen",IF(R495="WON","✅ belegt","✔ erfasst")))))))</f>
        <v/>
      </c>
    </row>
    <row r="496" customFormat="false" ht="15" hidden="false" customHeight="true" outlineLevel="0" collapsed="false">
      <c r="G496" s="1" t="str">
        <f aca="false">IF(B496="","",IF(AY496=1,P496-O496+1,IF(AW496="","",AW496)))</f>
        <v/>
      </c>
      <c r="I496" s="270"/>
      <c r="J496" s="270"/>
      <c r="K496" s="270"/>
      <c r="L496" s="270"/>
      <c r="M496" s="270"/>
      <c r="N496" s="270"/>
      <c r="O496" s="263"/>
      <c r="P496" s="263"/>
      <c r="Q496" s="270" t="str">
        <f aca="false">IF(AND(ISNUMBER(I496),ISNUMBER(S496)),I496*AJ496,IF(OR(I496&lt;&gt;"",S496&lt;&gt;""),"tbd",""))</f>
        <v/>
      </c>
      <c r="S496" s="268"/>
      <c r="Y496" s="275" t="str">
        <f aca="false">IF(ISNUMBER(I496),I496/Netto_Faktor,"")</f>
        <v/>
      </c>
      <c r="Z496" s="275" t="str">
        <f aca="false">IF(B496="","",IF(COUNT(J496:N496)=0,"",SUM(J496:N496)))</f>
        <v/>
      </c>
      <c r="AA496" s="266"/>
      <c r="AB496" s="266"/>
      <c r="AC496" s="266"/>
      <c r="AD496" s="266"/>
      <c r="AE496" s="266"/>
      <c r="AF496" s="266"/>
      <c r="AG496" s="267"/>
      <c r="AH496" s="266" t="str">
        <f aca="false">IF(B496="","",IF(BA496="",IF(R496="WON","✅ belegt &amp; vollständig","✔ vollständig"),LEFT(BA496,LEN(BA496)-3)))</f>
        <v/>
      </c>
      <c r="AJ496" s="268" t="n">
        <f aca="false">IF(ISNUMBER(S496),IFERROR(LOOKUP(IF(S496&lt;=1,S496,S496/100),'⚖️ Wahrscheinlichkeit'!$B$17:$B$21,'⚖️ Wahrscheinlichkeit'!$D$17:$D$21),0),0)</f>
        <v>0</v>
      </c>
      <c r="AK496" s="1" t="str">
        <f aca="false">IF(AND(R496="WON",ISNUMBER(I496)),AL496+(861-ROW())*0.000001,"")</f>
        <v/>
      </c>
      <c r="AL496" s="1" t="n">
        <f aca="false">IFERROR(I496*1,0)</f>
        <v>0</v>
      </c>
      <c r="AM496" s="1" t="n">
        <f aca="false">N(AM495)+IF(AND(R496="WON",B496&lt;&gt;""),1,0)</f>
        <v>12</v>
      </c>
      <c r="AN496" s="1" t="n">
        <f aca="false">N(AN495)+IF(AND(OR(R496="offered",R496="to be offered",R496="on hold"),B496&lt;&gt;""),1,0)</f>
        <v>33</v>
      </c>
      <c r="AO496" s="1" t="n">
        <f aca="false">N(AO495)+IF(AND(OR(R496="follow-up",R496="Evaluation",R496="tbd",R496="In evaluation"),B496&lt;&gt;""),1,0)</f>
        <v>1</v>
      </c>
      <c r="AP496" s="1" t="n">
        <f aca="false">IF(B496="",0,IF(COUNTIF('⚖️ Wahrscheinlichkeit'!$J$17:$J$24,R496)&gt;0,1,0))</f>
        <v>0</v>
      </c>
      <c r="AQ496" s="1" t="n">
        <f aca="false">IF(B496="",0,IF(AND(ISNUMBER(S496),COUNTIF('⚖️ Wahrscheinlichkeit'!$B$6:$B$11,S496)&gt;0),1,0))</f>
        <v>0</v>
      </c>
      <c r="AR496" s="1" t="n">
        <f aca="false">IF(B496="",0,IF(AND(COUNT(J496:M496)=4,SUM(J496:M496)&gt;0),1,0))</f>
        <v>0</v>
      </c>
      <c r="AS496" s="1" t="n">
        <f aca="false">IF(B496="",0,IF(AND(AF496&lt;&gt;"",AG496&lt;&gt;""),1,0))</f>
        <v>0</v>
      </c>
      <c r="AT496" s="1" t="n">
        <f aca="false">IF(AND(R496="WON",AS496=1,AR496=1),1,0)</f>
        <v>0</v>
      </c>
      <c r="AU496" s="1" t="n">
        <f aca="false">IF(B496="",0,IF(AD496="Alternative – zählt nicht",0,1))</f>
        <v>0</v>
      </c>
      <c r="AV496" s="1" t="n">
        <f aca="false">IF(B496="",0,IF(COUNTIF($B$6:$B$860,B496)&gt;1,1,0))</f>
        <v>0</v>
      </c>
      <c r="AX496" s="269" t="str">
        <f aca="false">IF(AY496=1,DATE(YEAR(O496),MONTH(O496),1),"")</f>
        <v/>
      </c>
      <c r="AY496" s="1" t="n">
        <f aca="false">IF(B496="",0,IF(AND(ISNUMBER(O496),ISNUMBER(P496)),IF(P496&gt;=O496,1,0),0))</f>
        <v>0</v>
      </c>
      <c r="AZ496" s="1" t="n">
        <f aca="false">IF(ISNUMBER(Y496),Y496,0)</f>
        <v>0</v>
      </c>
      <c r="BA496" s="1" t="str">
        <f aca="false">IF(B496="","",IF(AND(R496="WON",AS496=0),"⛔ Beleg fehlt · ","")&amp;IF(AND(R496="WON",AR496=0),"⛔ Einstand fehlt · ","")&amp;IF(AND(R496&lt;&gt;"WON",AR496=0),"○ Einstand offen · ","")&amp;IF(AND(R496="WON",AB496=""),"⛔ Vertragsart fehlt · ","")&amp;IF(AND(ISNUMBER(O496),ISNUMBER(P496)),IF(P496&lt;O496,"⚠ Ende vor Start · ",""),"")&amp;IF(AND(R496="WON",AY496=0,NOT(AND(ISNUMBER(O496),ISNUMBER(P496)))),"⛔ Zeitraum fehlt · ","")&amp;IF(AND(R496&lt;&gt;"WON",AY496=0,NOT(AND(ISNUMBER(O496),ISNUMBER(P496)))),"○ Zeitraum offen · ",""))</f>
        <v/>
      </c>
      <c r="BB496" s="1" t="str">
        <f aca="false">IF(B496="","",IF(AND(R496="WON",AS496=0),"⛔ Nachweis fehlt",IF(AND(ISNUMBER(O496),ISNUMBER(P496),P496&lt;O496),"⚠ Ende vor Start",IF(AND(R496="WON",AY496=0),"⛔ Zeitraum fehlt",IF(AR496=0,"○ Einstand offen",IF(AY496=0,"○ Zeitraum offen",IF(R496="WON","✅ belegt","✔ erfasst")))))))</f>
        <v/>
      </c>
    </row>
    <row r="497" customFormat="false" ht="15" hidden="false" customHeight="true" outlineLevel="0" collapsed="false">
      <c r="G497" s="1" t="str">
        <f aca="false">IF(B497="","",IF(AY497=1,P497-O497+1,IF(AW497="","",AW497)))</f>
        <v/>
      </c>
      <c r="I497" s="270"/>
      <c r="J497" s="270"/>
      <c r="K497" s="270"/>
      <c r="L497" s="270"/>
      <c r="M497" s="270"/>
      <c r="N497" s="270"/>
      <c r="O497" s="263"/>
      <c r="P497" s="263"/>
      <c r="Q497" s="270" t="str">
        <f aca="false">IF(AND(ISNUMBER(I497),ISNUMBER(S497)),I497*AJ497,IF(OR(I497&lt;&gt;"",S497&lt;&gt;""),"tbd",""))</f>
        <v/>
      </c>
      <c r="S497" s="268"/>
      <c r="Y497" s="275" t="str">
        <f aca="false">IF(ISNUMBER(I497),I497/Netto_Faktor,"")</f>
        <v/>
      </c>
      <c r="Z497" s="275" t="str">
        <f aca="false">IF(B497="","",IF(COUNT(J497:N497)=0,"",SUM(J497:N497)))</f>
        <v/>
      </c>
      <c r="AA497" s="266"/>
      <c r="AB497" s="266"/>
      <c r="AC497" s="266"/>
      <c r="AD497" s="266"/>
      <c r="AE497" s="266"/>
      <c r="AF497" s="266"/>
      <c r="AG497" s="267"/>
      <c r="AH497" s="266" t="str">
        <f aca="false">IF(B497="","",IF(BA497="",IF(R497="WON","✅ belegt &amp; vollständig","✔ vollständig"),LEFT(BA497,LEN(BA497)-3)))</f>
        <v/>
      </c>
      <c r="AJ497" s="268" t="n">
        <f aca="false">IF(ISNUMBER(S497),IFERROR(LOOKUP(IF(S497&lt;=1,S497,S497/100),'⚖️ Wahrscheinlichkeit'!$B$17:$B$21,'⚖️ Wahrscheinlichkeit'!$D$17:$D$21),0),0)</f>
        <v>0</v>
      </c>
      <c r="AK497" s="1" t="str">
        <f aca="false">IF(AND(R497="WON",ISNUMBER(I497)),AL497+(861-ROW())*0.000001,"")</f>
        <v/>
      </c>
      <c r="AL497" s="1" t="n">
        <f aca="false">IFERROR(I497*1,0)</f>
        <v>0</v>
      </c>
      <c r="AM497" s="1" t="n">
        <f aca="false">N(AM496)+IF(AND(R497="WON",B497&lt;&gt;""),1,0)</f>
        <v>12</v>
      </c>
      <c r="AN497" s="1" t="n">
        <f aca="false">N(AN496)+IF(AND(OR(R497="offered",R497="to be offered",R497="on hold"),B497&lt;&gt;""),1,0)</f>
        <v>33</v>
      </c>
      <c r="AO497" s="1" t="n">
        <f aca="false">N(AO496)+IF(AND(OR(R497="follow-up",R497="Evaluation",R497="tbd",R497="In evaluation"),B497&lt;&gt;""),1,0)</f>
        <v>1</v>
      </c>
      <c r="AP497" s="1" t="n">
        <f aca="false">IF(B497="",0,IF(COUNTIF('⚖️ Wahrscheinlichkeit'!$J$17:$J$24,R497)&gt;0,1,0))</f>
        <v>0</v>
      </c>
      <c r="AQ497" s="1" t="n">
        <f aca="false">IF(B497="",0,IF(AND(ISNUMBER(S497),COUNTIF('⚖️ Wahrscheinlichkeit'!$B$6:$B$11,S497)&gt;0),1,0))</f>
        <v>0</v>
      </c>
      <c r="AR497" s="1" t="n">
        <f aca="false">IF(B497="",0,IF(AND(COUNT(J497:M497)=4,SUM(J497:M497)&gt;0),1,0))</f>
        <v>0</v>
      </c>
      <c r="AS497" s="1" t="n">
        <f aca="false">IF(B497="",0,IF(AND(AF497&lt;&gt;"",AG497&lt;&gt;""),1,0))</f>
        <v>0</v>
      </c>
      <c r="AT497" s="1" t="n">
        <f aca="false">IF(AND(R497="WON",AS497=1,AR497=1),1,0)</f>
        <v>0</v>
      </c>
      <c r="AU497" s="1" t="n">
        <f aca="false">IF(B497="",0,IF(AD497="Alternative – zählt nicht",0,1))</f>
        <v>0</v>
      </c>
      <c r="AV497" s="1" t="n">
        <f aca="false">IF(B497="",0,IF(COUNTIF($B$6:$B$860,B497)&gt;1,1,0))</f>
        <v>0</v>
      </c>
      <c r="AX497" s="269" t="str">
        <f aca="false">IF(AY497=1,DATE(YEAR(O497),MONTH(O497),1),"")</f>
        <v/>
      </c>
      <c r="AY497" s="1" t="n">
        <f aca="false">IF(B497="",0,IF(AND(ISNUMBER(O497),ISNUMBER(P497)),IF(P497&gt;=O497,1,0),0))</f>
        <v>0</v>
      </c>
      <c r="AZ497" s="1" t="n">
        <f aca="false">IF(ISNUMBER(Y497),Y497,0)</f>
        <v>0</v>
      </c>
      <c r="BA497" s="1" t="str">
        <f aca="false">IF(B497="","",IF(AND(R497="WON",AS497=0),"⛔ Beleg fehlt · ","")&amp;IF(AND(R497="WON",AR497=0),"⛔ Einstand fehlt · ","")&amp;IF(AND(R497&lt;&gt;"WON",AR497=0),"○ Einstand offen · ","")&amp;IF(AND(R497="WON",AB497=""),"⛔ Vertragsart fehlt · ","")&amp;IF(AND(ISNUMBER(O497),ISNUMBER(P497)),IF(P497&lt;O497,"⚠ Ende vor Start · ",""),"")&amp;IF(AND(R497="WON",AY497=0,NOT(AND(ISNUMBER(O497),ISNUMBER(P497)))),"⛔ Zeitraum fehlt · ","")&amp;IF(AND(R497&lt;&gt;"WON",AY497=0,NOT(AND(ISNUMBER(O497),ISNUMBER(P497)))),"○ Zeitraum offen · ",""))</f>
        <v/>
      </c>
      <c r="BB497" s="1" t="str">
        <f aca="false">IF(B497="","",IF(AND(R497="WON",AS497=0),"⛔ Nachweis fehlt",IF(AND(ISNUMBER(O497),ISNUMBER(P497),P497&lt;O497),"⚠ Ende vor Start",IF(AND(R497="WON",AY497=0),"⛔ Zeitraum fehlt",IF(AR497=0,"○ Einstand offen",IF(AY497=0,"○ Zeitraum offen",IF(R497="WON","✅ belegt","✔ erfasst")))))))</f>
        <v/>
      </c>
    </row>
    <row r="498" customFormat="false" ht="15" hidden="false" customHeight="true" outlineLevel="0" collapsed="false">
      <c r="G498" s="1" t="str">
        <f aca="false">IF(B498="","",IF(AY498=1,P498-O498+1,IF(AW498="","",AW498)))</f>
        <v/>
      </c>
      <c r="I498" s="270"/>
      <c r="J498" s="270"/>
      <c r="K498" s="270"/>
      <c r="L498" s="270"/>
      <c r="M498" s="270"/>
      <c r="N498" s="270"/>
      <c r="O498" s="263"/>
      <c r="P498" s="263"/>
      <c r="Q498" s="270" t="str">
        <f aca="false">IF(AND(ISNUMBER(I498),ISNUMBER(S498)),I498*AJ498,IF(OR(I498&lt;&gt;"",S498&lt;&gt;""),"tbd",""))</f>
        <v/>
      </c>
      <c r="S498" s="268"/>
      <c r="Y498" s="275" t="str">
        <f aca="false">IF(ISNUMBER(I498),I498/Netto_Faktor,"")</f>
        <v/>
      </c>
      <c r="Z498" s="275" t="str">
        <f aca="false">IF(B498="","",IF(COUNT(J498:N498)=0,"",SUM(J498:N498)))</f>
        <v/>
      </c>
      <c r="AA498" s="266"/>
      <c r="AB498" s="266"/>
      <c r="AC498" s="266"/>
      <c r="AD498" s="266"/>
      <c r="AE498" s="266"/>
      <c r="AF498" s="266"/>
      <c r="AG498" s="267"/>
      <c r="AH498" s="266" t="str">
        <f aca="false">IF(B498="","",IF(BA498="",IF(R498="WON","✅ belegt &amp; vollständig","✔ vollständig"),LEFT(BA498,LEN(BA498)-3)))</f>
        <v/>
      </c>
      <c r="AJ498" s="268" t="n">
        <f aca="false">IF(ISNUMBER(S498),IFERROR(LOOKUP(IF(S498&lt;=1,S498,S498/100),'⚖️ Wahrscheinlichkeit'!$B$17:$B$21,'⚖️ Wahrscheinlichkeit'!$D$17:$D$21),0),0)</f>
        <v>0</v>
      </c>
      <c r="AK498" s="1" t="str">
        <f aca="false">IF(AND(R498="WON",ISNUMBER(I498)),AL498+(861-ROW())*0.000001,"")</f>
        <v/>
      </c>
      <c r="AL498" s="1" t="n">
        <f aca="false">IFERROR(I498*1,0)</f>
        <v>0</v>
      </c>
      <c r="AM498" s="1" t="n">
        <f aca="false">N(AM497)+IF(AND(R498="WON",B498&lt;&gt;""),1,0)</f>
        <v>12</v>
      </c>
      <c r="AN498" s="1" t="n">
        <f aca="false">N(AN497)+IF(AND(OR(R498="offered",R498="to be offered",R498="on hold"),B498&lt;&gt;""),1,0)</f>
        <v>33</v>
      </c>
      <c r="AO498" s="1" t="n">
        <f aca="false">N(AO497)+IF(AND(OR(R498="follow-up",R498="Evaluation",R498="tbd",R498="In evaluation"),B498&lt;&gt;""),1,0)</f>
        <v>1</v>
      </c>
      <c r="AP498" s="1" t="n">
        <f aca="false">IF(B498="",0,IF(COUNTIF('⚖️ Wahrscheinlichkeit'!$J$17:$J$24,R498)&gt;0,1,0))</f>
        <v>0</v>
      </c>
      <c r="AQ498" s="1" t="n">
        <f aca="false">IF(B498="",0,IF(AND(ISNUMBER(S498),COUNTIF('⚖️ Wahrscheinlichkeit'!$B$6:$B$11,S498)&gt;0),1,0))</f>
        <v>0</v>
      </c>
      <c r="AR498" s="1" t="n">
        <f aca="false">IF(B498="",0,IF(AND(COUNT(J498:M498)=4,SUM(J498:M498)&gt;0),1,0))</f>
        <v>0</v>
      </c>
      <c r="AS498" s="1" t="n">
        <f aca="false">IF(B498="",0,IF(AND(AF498&lt;&gt;"",AG498&lt;&gt;""),1,0))</f>
        <v>0</v>
      </c>
      <c r="AT498" s="1" t="n">
        <f aca="false">IF(AND(R498="WON",AS498=1,AR498=1),1,0)</f>
        <v>0</v>
      </c>
      <c r="AU498" s="1" t="n">
        <f aca="false">IF(B498="",0,IF(AD498="Alternative – zählt nicht",0,1))</f>
        <v>0</v>
      </c>
      <c r="AV498" s="1" t="n">
        <f aca="false">IF(B498="",0,IF(COUNTIF($B$6:$B$860,B498)&gt;1,1,0))</f>
        <v>0</v>
      </c>
      <c r="AX498" s="269" t="str">
        <f aca="false">IF(AY498=1,DATE(YEAR(O498),MONTH(O498),1),"")</f>
        <v/>
      </c>
      <c r="AY498" s="1" t="n">
        <f aca="false">IF(B498="",0,IF(AND(ISNUMBER(O498),ISNUMBER(P498)),IF(P498&gt;=O498,1,0),0))</f>
        <v>0</v>
      </c>
      <c r="AZ498" s="1" t="n">
        <f aca="false">IF(ISNUMBER(Y498),Y498,0)</f>
        <v>0</v>
      </c>
      <c r="BA498" s="1" t="str">
        <f aca="false">IF(B498="","",IF(AND(R498="WON",AS498=0),"⛔ Beleg fehlt · ","")&amp;IF(AND(R498="WON",AR498=0),"⛔ Einstand fehlt · ","")&amp;IF(AND(R498&lt;&gt;"WON",AR498=0),"○ Einstand offen · ","")&amp;IF(AND(R498="WON",AB498=""),"⛔ Vertragsart fehlt · ","")&amp;IF(AND(ISNUMBER(O498),ISNUMBER(P498)),IF(P498&lt;O498,"⚠ Ende vor Start · ",""),"")&amp;IF(AND(R498="WON",AY498=0,NOT(AND(ISNUMBER(O498),ISNUMBER(P498)))),"⛔ Zeitraum fehlt · ","")&amp;IF(AND(R498&lt;&gt;"WON",AY498=0,NOT(AND(ISNUMBER(O498),ISNUMBER(P498)))),"○ Zeitraum offen · ",""))</f>
        <v/>
      </c>
      <c r="BB498" s="1" t="str">
        <f aca="false">IF(B498="","",IF(AND(R498="WON",AS498=0),"⛔ Nachweis fehlt",IF(AND(ISNUMBER(O498),ISNUMBER(P498),P498&lt;O498),"⚠ Ende vor Start",IF(AND(R498="WON",AY498=0),"⛔ Zeitraum fehlt",IF(AR498=0,"○ Einstand offen",IF(AY498=0,"○ Zeitraum offen",IF(R498="WON","✅ belegt","✔ erfasst")))))))</f>
        <v/>
      </c>
    </row>
    <row r="499" customFormat="false" ht="15" hidden="false" customHeight="true" outlineLevel="0" collapsed="false">
      <c r="G499" s="1" t="str">
        <f aca="false">IF(B499="","",IF(AY499=1,P499-O499+1,IF(AW499="","",AW499)))</f>
        <v/>
      </c>
      <c r="I499" s="270"/>
      <c r="J499" s="270"/>
      <c r="K499" s="270"/>
      <c r="L499" s="270"/>
      <c r="M499" s="270"/>
      <c r="N499" s="270"/>
      <c r="O499" s="263"/>
      <c r="P499" s="263"/>
      <c r="Q499" s="270" t="str">
        <f aca="false">IF(AND(ISNUMBER(I499),ISNUMBER(S499)),I499*AJ499,IF(OR(I499&lt;&gt;"",S499&lt;&gt;""),"tbd",""))</f>
        <v/>
      </c>
      <c r="S499" s="268"/>
      <c r="Y499" s="275" t="str">
        <f aca="false">IF(ISNUMBER(I499),I499/Netto_Faktor,"")</f>
        <v/>
      </c>
      <c r="Z499" s="275" t="str">
        <f aca="false">IF(B499="","",IF(COUNT(J499:N499)=0,"",SUM(J499:N499)))</f>
        <v/>
      </c>
      <c r="AA499" s="266"/>
      <c r="AB499" s="266"/>
      <c r="AC499" s="266"/>
      <c r="AD499" s="266"/>
      <c r="AE499" s="266"/>
      <c r="AF499" s="266"/>
      <c r="AG499" s="267"/>
      <c r="AH499" s="266" t="str">
        <f aca="false">IF(B499="","",IF(BA499="",IF(R499="WON","✅ belegt &amp; vollständig","✔ vollständig"),LEFT(BA499,LEN(BA499)-3)))</f>
        <v/>
      </c>
      <c r="AJ499" s="268" t="n">
        <f aca="false">IF(ISNUMBER(S499),IFERROR(LOOKUP(IF(S499&lt;=1,S499,S499/100),'⚖️ Wahrscheinlichkeit'!$B$17:$B$21,'⚖️ Wahrscheinlichkeit'!$D$17:$D$21),0),0)</f>
        <v>0</v>
      </c>
      <c r="AK499" s="1" t="str">
        <f aca="false">IF(AND(R499="WON",ISNUMBER(I499)),AL499+(861-ROW())*0.000001,"")</f>
        <v/>
      </c>
      <c r="AL499" s="1" t="n">
        <f aca="false">IFERROR(I499*1,0)</f>
        <v>0</v>
      </c>
      <c r="AM499" s="1" t="n">
        <f aca="false">N(AM498)+IF(AND(R499="WON",B499&lt;&gt;""),1,0)</f>
        <v>12</v>
      </c>
      <c r="AN499" s="1" t="n">
        <f aca="false">N(AN498)+IF(AND(OR(R499="offered",R499="to be offered",R499="on hold"),B499&lt;&gt;""),1,0)</f>
        <v>33</v>
      </c>
      <c r="AO499" s="1" t="n">
        <f aca="false">N(AO498)+IF(AND(OR(R499="follow-up",R499="Evaluation",R499="tbd",R499="In evaluation"),B499&lt;&gt;""),1,0)</f>
        <v>1</v>
      </c>
      <c r="AP499" s="1" t="n">
        <f aca="false">IF(B499="",0,IF(COUNTIF('⚖️ Wahrscheinlichkeit'!$J$17:$J$24,R499)&gt;0,1,0))</f>
        <v>0</v>
      </c>
      <c r="AQ499" s="1" t="n">
        <f aca="false">IF(B499="",0,IF(AND(ISNUMBER(S499),COUNTIF('⚖️ Wahrscheinlichkeit'!$B$6:$B$11,S499)&gt;0),1,0))</f>
        <v>0</v>
      </c>
      <c r="AR499" s="1" t="n">
        <f aca="false">IF(B499="",0,IF(AND(COUNT(J499:M499)=4,SUM(J499:M499)&gt;0),1,0))</f>
        <v>0</v>
      </c>
      <c r="AS499" s="1" t="n">
        <f aca="false">IF(B499="",0,IF(AND(AF499&lt;&gt;"",AG499&lt;&gt;""),1,0))</f>
        <v>0</v>
      </c>
      <c r="AT499" s="1" t="n">
        <f aca="false">IF(AND(R499="WON",AS499=1,AR499=1),1,0)</f>
        <v>0</v>
      </c>
      <c r="AU499" s="1" t="n">
        <f aca="false">IF(B499="",0,IF(AD499="Alternative – zählt nicht",0,1))</f>
        <v>0</v>
      </c>
      <c r="AV499" s="1" t="n">
        <f aca="false">IF(B499="",0,IF(COUNTIF($B$6:$B$860,B499)&gt;1,1,0))</f>
        <v>0</v>
      </c>
      <c r="AX499" s="269" t="str">
        <f aca="false">IF(AY499=1,DATE(YEAR(O499),MONTH(O499),1),"")</f>
        <v/>
      </c>
      <c r="AY499" s="1" t="n">
        <f aca="false">IF(B499="",0,IF(AND(ISNUMBER(O499),ISNUMBER(P499)),IF(P499&gt;=O499,1,0),0))</f>
        <v>0</v>
      </c>
      <c r="AZ499" s="1" t="n">
        <f aca="false">IF(ISNUMBER(Y499),Y499,0)</f>
        <v>0</v>
      </c>
      <c r="BA499" s="1" t="str">
        <f aca="false">IF(B499="","",IF(AND(R499="WON",AS499=0),"⛔ Beleg fehlt · ","")&amp;IF(AND(R499="WON",AR499=0),"⛔ Einstand fehlt · ","")&amp;IF(AND(R499&lt;&gt;"WON",AR499=0),"○ Einstand offen · ","")&amp;IF(AND(R499="WON",AB499=""),"⛔ Vertragsart fehlt · ","")&amp;IF(AND(ISNUMBER(O499),ISNUMBER(P499)),IF(P499&lt;O499,"⚠ Ende vor Start · ",""),"")&amp;IF(AND(R499="WON",AY499=0,NOT(AND(ISNUMBER(O499),ISNUMBER(P499)))),"⛔ Zeitraum fehlt · ","")&amp;IF(AND(R499&lt;&gt;"WON",AY499=0,NOT(AND(ISNUMBER(O499),ISNUMBER(P499)))),"○ Zeitraum offen · ",""))</f>
        <v/>
      </c>
      <c r="BB499" s="1" t="str">
        <f aca="false">IF(B499="","",IF(AND(R499="WON",AS499=0),"⛔ Nachweis fehlt",IF(AND(ISNUMBER(O499),ISNUMBER(P499),P499&lt;O499),"⚠ Ende vor Start",IF(AND(R499="WON",AY499=0),"⛔ Zeitraum fehlt",IF(AR499=0,"○ Einstand offen",IF(AY499=0,"○ Zeitraum offen",IF(R499="WON","✅ belegt","✔ erfasst")))))))</f>
        <v/>
      </c>
    </row>
    <row r="500" customFormat="false" ht="15" hidden="false" customHeight="true" outlineLevel="0" collapsed="false">
      <c r="G500" s="1" t="str">
        <f aca="false">IF(B500="","",IF(AY500=1,P500-O500+1,IF(AW500="","",AW500)))</f>
        <v/>
      </c>
      <c r="I500" s="270"/>
      <c r="J500" s="270"/>
      <c r="K500" s="270"/>
      <c r="L500" s="270"/>
      <c r="M500" s="270"/>
      <c r="N500" s="270"/>
      <c r="O500" s="263"/>
      <c r="P500" s="263"/>
      <c r="Q500" s="270" t="str">
        <f aca="false">IF(AND(ISNUMBER(I500),ISNUMBER(S500)),I500*AJ500,IF(OR(I500&lt;&gt;"",S500&lt;&gt;""),"tbd",""))</f>
        <v/>
      </c>
      <c r="S500" s="268"/>
      <c r="Y500" s="275" t="str">
        <f aca="false">IF(ISNUMBER(I500),I500/Netto_Faktor,"")</f>
        <v/>
      </c>
      <c r="Z500" s="275" t="str">
        <f aca="false">IF(B500="","",IF(COUNT(J500:N500)=0,"",SUM(J500:N500)))</f>
        <v/>
      </c>
      <c r="AA500" s="266"/>
      <c r="AB500" s="266"/>
      <c r="AC500" s="266"/>
      <c r="AD500" s="266"/>
      <c r="AE500" s="266"/>
      <c r="AF500" s="266"/>
      <c r="AG500" s="267"/>
      <c r="AH500" s="266" t="str">
        <f aca="false">IF(B500="","",IF(BA500="",IF(R500="WON","✅ belegt &amp; vollständig","✔ vollständig"),LEFT(BA500,LEN(BA500)-3)))</f>
        <v/>
      </c>
      <c r="AJ500" s="268" t="n">
        <f aca="false">IF(ISNUMBER(S500),IFERROR(LOOKUP(IF(S500&lt;=1,S500,S500/100),'⚖️ Wahrscheinlichkeit'!$B$17:$B$21,'⚖️ Wahrscheinlichkeit'!$D$17:$D$21),0),0)</f>
        <v>0</v>
      </c>
      <c r="AK500" s="1" t="str">
        <f aca="false">IF(AND(R500="WON",ISNUMBER(I500)),AL500+(861-ROW())*0.000001,"")</f>
        <v/>
      </c>
      <c r="AL500" s="1" t="n">
        <f aca="false">IFERROR(I500*1,0)</f>
        <v>0</v>
      </c>
      <c r="AM500" s="1" t="n">
        <f aca="false">N(AM499)+IF(AND(R500="WON",B500&lt;&gt;""),1,0)</f>
        <v>12</v>
      </c>
      <c r="AN500" s="1" t="n">
        <f aca="false">N(AN499)+IF(AND(OR(R500="offered",R500="to be offered",R500="on hold"),B500&lt;&gt;""),1,0)</f>
        <v>33</v>
      </c>
      <c r="AO500" s="1" t="n">
        <f aca="false">N(AO499)+IF(AND(OR(R500="follow-up",R500="Evaluation",R500="tbd",R500="In evaluation"),B500&lt;&gt;""),1,0)</f>
        <v>1</v>
      </c>
      <c r="AP500" s="1" t="n">
        <f aca="false">IF(B500="",0,IF(COUNTIF('⚖️ Wahrscheinlichkeit'!$J$17:$J$24,R500)&gt;0,1,0))</f>
        <v>0</v>
      </c>
      <c r="AQ500" s="1" t="n">
        <f aca="false">IF(B500="",0,IF(AND(ISNUMBER(S500),COUNTIF('⚖️ Wahrscheinlichkeit'!$B$6:$B$11,S500)&gt;0),1,0))</f>
        <v>0</v>
      </c>
      <c r="AR500" s="1" t="n">
        <f aca="false">IF(B500="",0,IF(AND(COUNT(J500:M500)=4,SUM(J500:M500)&gt;0),1,0))</f>
        <v>0</v>
      </c>
      <c r="AS500" s="1" t="n">
        <f aca="false">IF(B500="",0,IF(AND(AF500&lt;&gt;"",AG500&lt;&gt;""),1,0))</f>
        <v>0</v>
      </c>
      <c r="AT500" s="1" t="n">
        <f aca="false">IF(AND(R500="WON",AS500=1,AR500=1),1,0)</f>
        <v>0</v>
      </c>
      <c r="AU500" s="1" t="n">
        <f aca="false">IF(B500="",0,IF(AD500="Alternative – zählt nicht",0,1))</f>
        <v>0</v>
      </c>
      <c r="AV500" s="1" t="n">
        <f aca="false">IF(B500="",0,IF(COUNTIF($B$6:$B$860,B500)&gt;1,1,0))</f>
        <v>0</v>
      </c>
      <c r="AX500" s="269" t="str">
        <f aca="false">IF(AY500=1,DATE(YEAR(O500),MONTH(O500),1),"")</f>
        <v/>
      </c>
      <c r="AY500" s="1" t="n">
        <f aca="false">IF(B500="",0,IF(AND(ISNUMBER(O500),ISNUMBER(P500)),IF(P500&gt;=O500,1,0),0))</f>
        <v>0</v>
      </c>
      <c r="AZ500" s="1" t="n">
        <f aca="false">IF(ISNUMBER(Y500),Y500,0)</f>
        <v>0</v>
      </c>
      <c r="BA500" s="1" t="str">
        <f aca="false">IF(B500="","",IF(AND(R500="WON",AS500=0),"⛔ Beleg fehlt · ","")&amp;IF(AND(R500="WON",AR500=0),"⛔ Einstand fehlt · ","")&amp;IF(AND(R500&lt;&gt;"WON",AR500=0),"○ Einstand offen · ","")&amp;IF(AND(R500="WON",AB500=""),"⛔ Vertragsart fehlt · ","")&amp;IF(AND(ISNUMBER(O500),ISNUMBER(P500)),IF(P500&lt;O500,"⚠ Ende vor Start · ",""),"")&amp;IF(AND(R500="WON",AY500=0,NOT(AND(ISNUMBER(O500),ISNUMBER(P500)))),"⛔ Zeitraum fehlt · ","")&amp;IF(AND(R500&lt;&gt;"WON",AY500=0,NOT(AND(ISNUMBER(O500),ISNUMBER(P500)))),"○ Zeitraum offen · ",""))</f>
        <v/>
      </c>
      <c r="BB500" s="1" t="str">
        <f aca="false">IF(B500="","",IF(AND(R500="WON",AS500=0),"⛔ Nachweis fehlt",IF(AND(ISNUMBER(O500),ISNUMBER(P500),P500&lt;O500),"⚠ Ende vor Start",IF(AND(R500="WON",AY500=0),"⛔ Zeitraum fehlt",IF(AR500=0,"○ Einstand offen",IF(AY500=0,"○ Zeitraum offen",IF(R500="WON","✅ belegt","✔ erfasst")))))))</f>
        <v/>
      </c>
    </row>
    <row r="501" customFormat="false" ht="15" hidden="false" customHeight="true" outlineLevel="0" collapsed="false">
      <c r="G501" s="1" t="str">
        <f aca="false">IF(B501="","",IF(AY501=1,P501-O501+1,IF(AW501="","",AW501)))</f>
        <v/>
      </c>
      <c r="I501" s="270"/>
      <c r="J501" s="270"/>
      <c r="K501" s="270"/>
      <c r="L501" s="270"/>
      <c r="M501" s="270"/>
      <c r="N501" s="270"/>
      <c r="O501" s="263"/>
      <c r="P501" s="263"/>
      <c r="Q501" s="270" t="str">
        <f aca="false">IF(AND(ISNUMBER(I501),ISNUMBER(S501)),I501*AJ501,IF(OR(I501&lt;&gt;"",S501&lt;&gt;""),"tbd",""))</f>
        <v/>
      </c>
      <c r="S501" s="268"/>
      <c r="Y501" s="275" t="str">
        <f aca="false">IF(ISNUMBER(I501),I501/Netto_Faktor,"")</f>
        <v/>
      </c>
      <c r="Z501" s="275" t="str">
        <f aca="false">IF(B501="","",IF(COUNT(J501:N501)=0,"",SUM(J501:N501)))</f>
        <v/>
      </c>
      <c r="AA501" s="266"/>
      <c r="AB501" s="266"/>
      <c r="AC501" s="266"/>
      <c r="AD501" s="266"/>
      <c r="AE501" s="266"/>
      <c r="AF501" s="266"/>
      <c r="AG501" s="267"/>
      <c r="AH501" s="266" t="str">
        <f aca="false">IF(B501="","",IF(BA501="",IF(R501="WON","✅ belegt &amp; vollständig","✔ vollständig"),LEFT(BA501,LEN(BA501)-3)))</f>
        <v/>
      </c>
      <c r="AJ501" s="268" t="n">
        <f aca="false">IF(ISNUMBER(S501),IFERROR(LOOKUP(IF(S501&lt;=1,S501,S501/100),'⚖️ Wahrscheinlichkeit'!$B$17:$B$21,'⚖️ Wahrscheinlichkeit'!$D$17:$D$21),0),0)</f>
        <v>0</v>
      </c>
      <c r="AK501" s="1" t="str">
        <f aca="false">IF(AND(R501="WON",ISNUMBER(I501)),AL501+(861-ROW())*0.000001,"")</f>
        <v/>
      </c>
      <c r="AL501" s="1" t="n">
        <f aca="false">IFERROR(I501*1,0)</f>
        <v>0</v>
      </c>
      <c r="AM501" s="1" t="n">
        <f aca="false">N(AM500)+IF(AND(R501="WON",B501&lt;&gt;""),1,0)</f>
        <v>12</v>
      </c>
      <c r="AN501" s="1" t="n">
        <f aca="false">N(AN500)+IF(AND(OR(R501="offered",R501="to be offered",R501="on hold"),B501&lt;&gt;""),1,0)</f>
        <v>33</v>
      </c>
      <c r="AO501" s="1" t="n">
        <f aca="false">N(AO500)+IF(AND(OR(R501="follow-up",R501="Evaluation",R501="tbd",R501="In evaluation"),B501&lt;&gt;""),1,0)</f>
        <v>1</v>
      </c>
      <c r="AP501" s="1" t="n">
        <f aca="false">IF(B501="",0,IF(COUNTIF('⚖️ Wahrscheinlichkeit'!$J$17:$J$24,R501)&gt;0,1,0))</f>
        <v>0</v>
      </c>
      <c r="AQ501" s="1" t="n">
        <f aca="false">IF(B501="",0,IF(AND(ISNUMBER(S501),COUNTIF('⚖️ Wahrscheinlichkeit'!$B$6:$B$11,S501)&gt;0),1,0))</f>
        <v>0</v>
      </c>
      <c r="AR501" s="1" t="n">
        <f aca="false">IF(B501="",0,IF(AND(COUNT(J501:M501)=4,SUM(J501:M501)&gt;0),1,0))</f>
        <v>0</v>
      </c>
      <c r="AS501" s="1" t="n">
        <f aca="false">IF(B501="",0,IF(AND(AF501&lt;&gt;"",AG501&lt;&gt;""),1,0))</f>
        <v>0</v>
      </c>
      <c r="AT501" s="1" t="n">
        <f aca="false">IF(AND(R501="WON",AS501=1,AR501=1),1,0)</f>
        <v>0</v>
      </c>
      <c r="AU501" s="1" t="n">
        <f aca="false">IF(B501="",0,IF(AD501="Alternative – zählt nicht",0,1))</f>
        <v>0</v>
      </c>
      <c r="AV501" s="1" t="n">
        <f aca="false">IF(B501="",0,IF(COUNTIF($B$6:$B$860,B501)&gt;1,1,0))</f>
        <v>0</v>
      </c>
      <c r="AX501" s="269" t="str">
        <f aca="false">IF(AY501=1,DATE(YEAR(O501),MONTH(O501),1),"")</f>
        <v/>
      </c>
      <c r="AY501" s="1" t="n">
        <f aca="false">IF(B501="",0,IF(AND(ISNUMBER(O501),ISNUMBER(P501)),IF(P501&gt;=O501,1,0),0))</f>
        <v>0</v>
      </c>
      <c r="AZ501" s="1" t="n">
        <f aca="false">IF(ISNUMBER(Y501),Y501,0)</f>
        <v>0</v>
      </c>
      <c r="BA501" s="1" t="str">
        <f aca="false">IF(B501="","",IF(AND(R501="WON",AS501=0),"⛔ Beleg fehlt · ","")&amp;IF(AND(R501="WON",AR501=0),"⛔ Einstand fehlt · ","")&amp;IF(AND(R501&lt;&gt;"WON",AR501=0),"○ Einstand offen · ","")&amp;IF(AND(R501="WON",AB501=""),"⛔ Vertragsart fehlt · ","")&amp;IF(AND(ISNUMBER(O501),ISNUMBER(P501)),IF(P501&lt;O501,"⚠ Ende vor Start · ",""),"")&amp;IF(AND(R501="WON",AY501=0,NOT(AND(ISNUMBER(O501),ISNUMBER(P501)))),"⛔ Zeitraum fehlt · ","")&amp;IF(AND(R501&lt;&gt;"WON",AY501=0,NOT(AND(ISNUMBER(O501),ISNUMBER(P501)))),"○ Zeitraum offen · ",""))</f>
        <v/>
      </c>
      <c r="BB501" s="1" t="str">
        <f aca="false">IF(B501="","",IF(AND(R501="WON",AS501=0),"⛔ Nachweis fehlt",IF(AND(ISNUMBER(O501),ISNUMBER(P501),P501&lt;O501),"⚠ Ende vor Start",IF(AND(R501="WON",AY501=0),"⛔ Zeitraum fehlt",IF(AR501=0,"○ Einstand offen",IF(AY501=0,"○ Zeitraum offen",IF(R501="WON","✅ belegt","✔ erfasst")))))))</f>
        <v/>
      </c>
    </row>
    <row r="502" customFormat="false" ht="15" hidden="false" customHeight="true" outlineLevel="0" collapsed="false">
      <c r="G502" s="1" t="str">
        <f aca="false">IF(B502="","",IF(AY502=1,P502-O502+1,IF(AW502="","",AW502)))</f>
        <v/>
      </c>
      <c r="I502" s="270"/>
      <c r="J502" s="270"/>
      <c r="K502" s="270"/>
      <c r="L502" s="270"/>
      <c r="M502" s="270"/>
      <c r="N502" s="270"/>
      <c r="O502" s="263"/>
      <c r="P502" s="263"/>
      <c r="Q502" s="270" t="str">
        <f aca="false">IF(AND(ISNUMBER(I502),ISNUMBER(S502)),I502*AJ502,IF(OR(I502&lt;&gt;"",S502&lt;&gt;""),"tbd",""))</f>
        <v/>
      </c>
      <c r="S502" s="268"/>
      <c r="Y502" s="275" t="str">
        <f aca="false">IF(ISNUMBER(I502),I502/Netto_Faktor,"")</f>
        <v/>
      </c>
      <c r="Z502" s="275" t="str">
        <f aca="false">IF(B502="","",IF(COUNT(J502:N502)=0,"",SUM(J502:N502)))</f>
        <v/>
      </c>
      <c r="AA502" s="266"/>
      <c r="AB502" s="266"/>
      <c r="AC502" s="266"/>
      <c r="AD502" s="266"/>
      <c r="AE502" s="266"/>
      <c r="AF502" s="266"/>
      <c r="AG502" s="267"/>
      <c r="AH502" s="266" t="str">
        <f aca="false">IF(B502="","",IF(BA502="",IF(R502="WON","✅ belegt &amp; vollständig","✔ vollständig"),LEFT(BA502,LEN(BA502)-3)))</f>
        <v/>
      </c>
      <c r="AJ502" s="268" t="n">
        <f aca="false">IF(ISNUMBER(S502),IFERROR(LOOKUP(IF(S502&lt;=1,S502,S502/100),'⚖️ Wahrscheinlichkeit'!$B$17:$B$21,'⚖️ Wahrscheinlichkeit'!$D$17:$D$21),0),0)</f>
        <v>0</v>
      </c>
      <c r="AK502" s="1" t="str">
        <f aca="false">IF(AND(R502="WON",ISNUMBER(I502)),AL502+(861-ROW())*0.000001,"")</f>
        <v/>
      </c>
      <c r="AL502" s="1" t="n">
        <f aca="false">IFERROR(I502*1,0)</f>
        <v>0</v>
      </c>
      <c r="AM502" s="1" t="n">
        <f aca="false">N(AM501)+IF(AND(R502="WON",B502&lt;&gt;""),1,0)</f>
        <v>12</v>
      </c>
      <c r="AN502" s="1" t="n">
        <f aca="false">N(AN501)+IF(AND(OR(R502="offered",R502="to be offered",R502="on hold"),B502&lt;&gt;""),1,0)</f>
        <v>33</v>
      </c>
      <c r="AO502" s="1" t="n">
        <f aca="false">N(AO501)+IF(AND(OR(R502="follow-up",R502="Evaluation",R502="tbd",R502="In evaluation"),B502&lt;&gt;""),1,0)</f>
        <v>1</v>
      </c>
      <c r="AP502" s="1" t="n">
        <f aca="false">IF(B502="",0,IF(COUNTIF('⚖️ Wahrscheinlichkeit'!$J$17:$J$24,R502)&gt;0,1,0))</f>
        <v>0</v>
      </c>
      <c r="AQ502" s="1" t="n">
        <f aca="false">IF(B502="",0,IF(AND(ISNUMBER(S502),COUNTIF('⚖️ Wahrscheinlichkeit'!$B$6:$B$11,S502)&gt;0),1,0))</f>
        <v>0</v>
      </c>
      <c r="AR502" s="1" t="n">
        <f aca="false">IF(B502="",0,IF(AND(COUNT(J502:M502)=4,SUM(J502:M502)&gt;0),1,0))</f>
        <v>0</v>
      </c>
      <c r="AS502" s="1" t="n">
        <f aca="false">IF(B502="",0,IF(AND(AF502&lt;&gt;"",AG502&lt;&gt;""),1,0))</f>
        <v>0</v>
      </c>
      <c r="AT502" s="1" t="n">
        <f aca="false">IF(AND(R502="WON",AS502=1,AR502=1),1,0)</f>
        <v>0</v>
      </c>
      <c r="AU502" s="1" t="n">
        <f aca="false">IF(B502="",0,IF(AD502="Alternative – zählt nicht",0,1))</f>
        <v>0</v>
      </c>
      <c r="AV502" s="1" t="n">
        <f aca="false">IF(B502="",0,IF(COUNTIF($B$6:$B$860,B502)&gt;1,1,0))</f>
        <v>0</v>
      </c>
      <c r="AX502" s="269" t="str">
        <f aca="false">IF(AY502=1,DATE(YEAR(O502),MONTH(O502),1),"")</f>
        <v/>
      </c>
      <c r="AY502" s="1" t="n">
        <f aca="false">IF(B502="",0,IF(AND(ISNUMBER(O502),ISNUMBER(P502)),IF(P502&gt;=O502,1,0),0))</f>
        <v>0</v>
      </c>
      <c r="AZ502" s="1" t="n">
        <f aca="false">IF(ISNUMBER(Y502),Y502,0)</f>
        <v>0</v>
      </c>
      <c r="BA502" s="1" t="str">
        <f aca="false">IF(B502="","",IF(AND(R502="WON",AS502=0),"⛔ Beleg fehlt · ","")&amp;IF(AND(R502="WON",AR502=0),"⛔ Einstand fehlt · ","")&amp;IF(AND(R502&lt;&gt;"WON",AR502=0),"○ Einstand offen · ","")&amp;IF(AND(R502="WON",AB502=""),"⛔ Vertragsart fehlt · ","")&amp;IF(AND(ISNUMBER(O502),ISNUMBER(P502)),IF(P502&lt;O502,"⚠ Ende vor Start · ",""),"")&amp;IF(AND(R502="WON",AY502=0,NOT(AND(ISNUMBER(O502),ISNUMBER(P502)))),"⛔ Zeitraum fehlt · ","")&amp;IF(AND(R502&lt;&gt;"WON",AY502=0,NOT(AND(ISNUMBER(O502),ISNUMBER(P502)))),"○ Zeitraum offen · ",""))</f>
        <v/>
      </c>
      <c r="BB502" s="1" t="str">
        <f aca="false">IF(B502="","",IF(AND(R502="WON",AS502=0),"⛔ Nachweis fehlt",IF(AND(ISNUMBER(O502),ISNUMBER(P502),P502&lt;O502),"⚠ Ende vor Start",IF(AND(R502="WON",AY502=0),"⛔ Zeitraum fehlt",IF(AR502=0,"○ Einstand offen",IF(AY502=0,"○ Zeitraum offen",IF(R502="WON","✅ belegt","✔ erfasst")))))))</f>
        <v/>
      </c>
    </row>
    <row r="503" customFormat="false" ht="15" hidden="false" customHeight="true" outlineLevel="0" collapsed="false">
      <c r="G503" s="1" t="str">
        <f aca="false">IF(B503="","",IF(AY503=1,P503-O503+1,IF(AW503="","",AW503)))</f>
        <v/>
      </c>
      <c r="I503" s="270"/>
      <c r="J503" s="270"/>
      <c r="K503" s="270"/>
      <c r="L503" s="270"/>
      <c r="M503" s="270"/>
      <c r="N503" s="270"/>
      <c r="O503" s="263"/>
      <c r="P503" s="263"/>
      <c r="Q503" s="270" t="str">
        <f aca="false">IF(AND(ISNUMBER(I503),ISNUMBER(S503)),I503*AJ503,IF(OR(I503&lt;&gt;"",S503&lt;&gt;""),"tbd",""))</f>
        <v/>
      </c>
      <c r="S503" s="268"/>
      <c r="Y503" s="275" t="str">
        <f aca="false">IF(ISNUMBER(I503),I503/Netto_Faktor,"")</f>
        <v/>
      </c>
      <c r="Z503" s="275" t="str">
        <f aca="false">IF(B503="","",IF(COUNT(J503:N503)=0,"",SUM(J503:N503)))</f>
        <v/>
      </c>
      <c r="AA503" s="266"/>
      <c r="AB503" s="266"/>
      <c r="AC503" s="266"/>
      <c r="AD503" s="266"/>
      <c r="AE503" s="266"/>
      <c r="AF503" s="266"/>
      <c r="AG503" s="267"/>
      <c r="AH503" s="266" t="str">
        <f aca="false">IF(B503="","",IF(BA503="",IF(R503="WON","✅ belegt &amp; vollständig","✔ vollständig"),LEFT(BA503,LEN(BA503)-3)))</f>
        <v/>
      </c>
      <c r="AJ503" s="268" t="n">
        <f aca="false">IF(ISNUMBER(S503),IFERROR(LOOKUP(IF(S503&lt;=1,S503,S503/100),'⚖️ Wahrscheinlichkeit'!$B$17:$B$21,'⚖️ Wahrscheinlichkeit'!$D$17:$D$21),0),0)</f>
        <v>0</v>
      </c>
      <c r="AK503" s="1" t="str">
        <f aca="false">IF(AND(R503="WON",ISNUMBER(I503)),AL503+(861-ROW())*0.000001,"")</f>
        <v/>
      </c>
      <c r="AL503" s="1" t="n">
        <f aca="false">IFERROR(I503*1,0)</f>
        <v>0</v>
      </c>
      <c r="AM503" s="1" t="n">
        <f aca="false">N(AM502)+IF(AND(R503="WON",B503&lt;&gt;""),1,0)</f>
        <v>12</v>
      </c>
      <c r="AN503" s="1" t="n">
        <f aca="false">N(AN502)+IF(AND(OR(R503="offered",R503="to be offered",R503="on hold"),B503&lt;&gt;""),1,0)</f>
        <v>33</v>
      </c>
      <c r="AO503" s="1" t="n">
        <f aca="false">N(AO502)+IF(AND(OR(R503="follow-up",R503="Evaluation",R503="tbd",R503="In evaluation"),B503&lt;&gt;""),1,0)</f>
        <v>1</v>
      </c>
      <c r="AP503" s="1" t="n">
        <f aca="false">IF(B503="",0,IF(COUNTIF('⚖️ Wahrscheinlichkeit'!$J$17:$J$24,R503)&gt;0,1,0))</f>
        <v>0</v>
      </c>
      <c r="AQ503" s="1" t="n">
        <f aca="false">IF(B503="",0,IF(AND(ISNUMBER(S503),COUNTIF('⚖️ Wahrscheinlichkeit'!$B$6:$B$11,S503)&gt;0),1,0))</f>
        <v>0</v>
      </c>
      <c r="AR503" s="1" t="n">
        <f aca="false">IF(B503="",0,IF(AND(COUNT(J503:M503)=4,SUM(J503:M503)&gt;0),1,0))</f>
        <v>0</v>
      </c>
      <c r="AS503" s="1" t="n">
        <f aca="false">IF(B503="",0,IF(AND(AF503&lt;&gt;"",AG503&lt;&gt;""),1,0))</f>
        <v>0</v>
      </c>
      <c r="AT503" s="1" t="n">
        <f aca="false">IF(AND(R503="WON",AS503=1,AR503=1),1,0)</f>
        <v>0</v>
      </c>
      <c r="AU503" s="1" t="n">
        <f aca="false">IF(B503="",0,IF(AD503="Alternative – zählt nicht",0,1))</f>
        <v>0</v>
      </c>
      <c r="AV503" s="1" t="n">
        <f aca="false">IF(B503="",0,IF(COUNTIF($B$6:$B$860,B503)&gt;1,1,0))</f>
        <v>0</v>
      </c>
      <c r="AX503" s="269" t="str">
        <f aca="false">IF(AY503=1,DATE(YEAR(O503),MONTH(O503),1),"")</f>
        <v/>
      </c>
      <c r="AY503" s="1" t="n">
        <f aca="false">IF(B503="",0,IF(AND(ISNUMBER(O503),ISNUMBER(P503)),IF(P503&gt;=O503,1,0),0))</f>
        <v>0</v>
      </c>
      <c r="AZ503" s="1" t="n">
        <f aca="false">IF(ISNUMBER(Y503),Y503,0)</f>
        <v>0</v>
      </c>
      <c r="BA503" s="1" t="str">
        <f aca="false">IF(B503="","",IF(AND(R503="WON",AS503=0),"⛔ Beleg fehlt · ","")&amp;IF(AND(R503="WON",AR503=0),"⛔ Einstand fehlt · ","")&amp;IF(AND(R503&lt;&gt;"WON",AR503=0),"○ Einstand offen · ","")&amp;IF(AND(R503="WON",AB503=""),"⛔ Vertragsart fehlt · ","")&amp;IF(AND(ISNUMBER(O503),ISNUMBER(P503)),IF(P503&lt;O503,"⚠ Ende vor Start · ",""),"")&amp;IF(AND(R503="WON",AY503=0,NOT(AND(ISNUMBER(O503),ISNUMBER(P503)))),"⛔ Zeitraum fehlt · ","")&amp;IF(AND(R503&lt;&gt;"WON",AY503=0,NOT(AND(ISNUMBER(O503),ISNUMBER(P503)))),"○ Zeitraum offen · ",""))</f>
        <v/>
      </c>
      <c r="BB503" s="1" t="str">
        <f aca="false">IF(B503="","",IF(AND(R503="WON",AS503=0),"⛔ Nachweis fehlt",IF(AND(ISNUMBER(O503),ISNUMBER(P503),P503&lt;O503),"⚠ Ende vor Start",IF(AND(R503="WON",AY503=0),"⛔ Zeitraum fehlt",IF(AR503=0,"○ Einstand offen",IF(AY503=0,"○ Zeitraum offen",IF(R503="WON","✅ belegt","✔ erfasst")))))))</f>
        <v/>
      </c>
    </row>
    <row r="504" customFormat="false" ht="15" hidden="false" customHeight="true" outlineLevel="0" collapsed="false">
      <c r="G504" s="1" t="str">
        <f aca="false">IF(B504="","",IF(AY504=1,P504-O504+1,IF(AW504="","",AW504)))</f>
        <v/>
      </c>
      <c r="I504" s="270"/>
      <c r="J504" s="270"/>
      <c r="K504" s="270"/>
      <c r="L504" s="270"/>
      <c r="M504" s="270"/>
      <c r="N504" s="270"/>
      <c r="O504" s="263"/>
      <c r="P504" s="263"/>
      <c r="Q504" s="270" t="str">
        <f aca="false">IF(AND(ISNUMBER(I504),ISNUMBER(S504)),I504*AJ504,IF(OR(I504&lt;&gt;"",S504&lt;&gt;""),"tbd",""))</f>
        <v/>
      </c>
      <c r="S504" s="268"/>
      <c r="Y504" s="275" t="str">
        <f aca="false">IF(ISNUMBER(I504),I504/Netto_Faktor,"")</f>
        <v/>
      </c>
      <c r="Z504" s="275" t="str">
        <f aca="false">IF(B504="","",IF(COUNT(J504:N504)=0,"",SUM(J504:N504)))</f>
        <v/>
      </c>
      <c r="AA504" s="266"/>
      <c r="AB504" s="266"/>
      <c r="AC504" s="266"/>
      <c r="AD504" s="266"/>
      <c r="AE504" s="266"/>
      <c r="AF504" s="266"/>
      <c r="AG504" s="267"/>
      <c r="AH504" s="266" t="str">
        <f aca="false">IF(B504="","",IF(BA504="",IF(R504="WON","✅ belegt &amp; vollständig","✔ vollständig"),LEFT(BA504,LEN(BA504)-3)))</f>
        <v/>
      </c>
      <c r="AJ504" s="268" t="n">
        <f aca="false">IF(ISNUMBER(S504),IFERROR(LOOKUP(IF(S504&lt;=1,S504,S504/100),'⚖️ Wahrscheinlichkeit'!$B$17:$B$21,'⚖️ Wahrscheinlichkeit'!$D$17:$D$21),0),0)</f>
        <v>0</v>
      </c>
      <c r="AK504" s="1" t="str">
        <f aca="false">IF(AND(R504="WON",ISNUMBER(I504)),AL504+(861-ROW())*0.000001,"")</f>
        <v/>
      </c>
      <c r="AL504" s="1" t="n">
        <f aca="false">IFERROR(I504*1,0)</f>
        <v>0</v>
      </c>
      <c r="AM504" s="1" t="n">
        <f aca="false">N(AM503)+IF(AND(R504="WON",B504&lt;&gt;""),1,0)</f>
        <v>12</v>
      </c>
      <c r="AN504" s="1" t="n">
        <f aca="false">N(AN503)+IF(AND(OR(R504="offered",R504="to be offered",R504="on hold"),B504&lt;&gt;""),1,0)</f>
        <v>33</v>
      </c>
      <c r="AO504" s="1" t="n">
        <f aca="false">N(AO503)+IF(AND(OR(R504="follow-up",R504="Evaluation",R504="tbd",R504="In evaluation"),B504&lt;&gt;""),1,0)</f>
        <v>1</v>
      </c>
      <c r="AP504" s="1" t="n">
        <f aca="false">IF(B504="",0,IF(COUNTIF('⚖️ Wahrscheinlichkeit'!$J$17:$J$24,R504)&gt;0,1,0))</f>
        <v>0</v>
      </c>
      <c r="AQ504" s="1" t="n">
        <f aca="false">IF(B504="",0,IF(AND(ISNUMBER(S504),COUNTIF('⚖️ Wahrscheinlichkeit'!$B$6:$B$11,S504)&gt;0),1,0))</f>
        <v>0</v>
      </c>
      <c r="AR504" s="1" t="n">
        <f aca="false">IF(B504="",0,IF(AND(COUNT(J504:M504)=4,SUM(J504:M504)&gt;0),1,0))</f>
        <v>0</v>
      </c>
      <c r="AS504" s="1" t="n">
        <f aca="false">IF(B504="",0,IF(AND(AF504&lt;&gt;"",AG504&lt;&gt;""),1,0))</f>
        <v>0</v>
      </c>
      <c r="AT504" s="1" t="n">
        <f aca="false">IF(AND(R504="WON",AS504=1,AR504=1),1,0)</f>
        <v>0</v>
      </c>
      <c r="AU504" s="1" t="n">
        <f aca="false">IF(B504="",0,IF(AD504="Alternative – zählt nicht",0,1))</f>
        <v>0</v>
      </c>
      <c r="AV504" s="1" t="n">
        <f aca="false">IF(B504="",0,IF(COUNTIF($B$6:$B$860,B504)&gt;1,1,0))</f>
        <v>0</v>
      </c>
      <c r="AX504" s="269" t="str">
        <f aca="false">IF(AY504=1,DATE(YEAR(O504),MONTH(O504),1),"")</f>
        <v/>
      </c>
      <c r="AY504" s="1" t="n">
        <f aca="false">IF(B504="",0,IF(AND(ISNUMBER(O504),ISNUMBER(P504)),IF(P504&gt;=O504,1,0),0))</f>
        <v>0</v>
      </c>
      <c r="AZ504" s="1" t="n">
        <f aca="false">IF(ISNUMBER(Y504),Y504,0)</f>
        <v>0</v>
      </c>
      <c r="BA504" s="1" t="str">
        <f aca="false">IF(B504="","",IF(AND(R504="WON",AS504=0),"⛔ Beleg fehlt · ","")&amp;IF(AND(R504="WON",AR504=0),"⛔ Einstand fehlt · ","")&amp;IF(AND(R504&lt;&gt;"WON",AR504=0),"○ Einstand offen · ","")&amp;IF(AND(R504="WON",AB504=""),"⛔ Vertragsart fehlt · ","")&amp;IF(AND(ISNUMBER(O504),ISNUMBER(P504)),IF(P504&lt;O504,"⚠ Ende vor Start · ",""),"")&amp;IF(AND(R504="WON",AY504=0,NOT(AND(ISNUMBER(O504),ISNUMBER(P504)))),"⛔ Zeitraum fehlt · ","")&amp;IF(AND(R504&lt;&gt;"WON",AY504=0,NOT(AND(ISNUMBER(O504),ISNUMBER(P504)))),"○ Zeitraum offen · ",""))</f>
        <v/>
      </c>
      <c r="BB504" s="1" t="str">
        <f aca="false">IF(B504="","",IF(AND(R504="WON",AS504=0),"⛔ Nachweis fehlt",IF(AND(ISNUMBER(O504),ISNUMBER(P504),P504&lt;O504),"⚠ Ende vor Start",IF(AND(R504="WON",AY504=0),"⛔ Zeitraum fehlt",IF(AR504=0,"○ Einstand offen",IF(AY504=0,"○ Zeitraum offen",IF(R504="WON","✅ belegt","✔ erfasst")))))))</f>
        <v/>
      </c>
    </row>
    <row r="505" customFormat="false" ht="15" hidden="false" customHeight="true" outlineLevel="0" collapsed="false">
      <c r="G505" s="1" t="str">
        <f aca="false">IF(B505="","",IF(AY505=1,P505-O505+1,IF(AW505="","",AW505)))</f>
        <v/>
      </c>
      <c r="I505" s="270"/>
      <c r="J505" s="270"/>
      <c r="K505" s="270"/>
      <c r="L505" s="270"/>
      <c r="M505" s="270"/>
      <c r="N505" s="270"/>
      <c r="O505" s="263"/>
      <c r="P505" s="263"/>
      <c r="Q505" s="270" t="str">
        <f aca="false">IF(AND(ISNUMBER(I505),ISNUMBER(S505)),I505*AJ505,IF(OR(I505&lt;&gt;"",S505&lt;&gt;""),"tbd",""))</f>
        <v/>
      </c>
      <c r="S505" s="268"/>
      <c r="Y505" s="275" t="str">
        <f aca="false">IF(ISNUMBER(I505),I505/Netto_Faktor,"")</f>
        <v/>
      </c>
      <c r="Z505" s="275" t="str">
        <f aca="false">IF(B505="","",IF(COUNT(J505:N505)=0,"",SUM(J505:N505)))</f>
        <v/>
      </c>
      <c r="AA505" s="266"/>
      <c r="AB505" s="266"/>
      <c r="AC505" s="266"/>
      <c r="AD505" s="266"/>
      <c r="AE505" s="266"/>
      <c r="AF505" s="266"/>
      <c r="AG505" s="267"/>
      <c r="AH505" s="266" t="str">
        <f aca="false">IF(B505="","",IF(BA505="",IF(R505="WON","✅ belegt &amp; vollständig","✔ vollständig"),LEFT(BA505,LEN(BA505)-3)))</f>
        <v/>
      </c>
      <c r="AJ505" s="268" t="n">
        <f aca="false">IF(ISNUMBER(S505),IFERROR(LOOKUP(IF(S505&lt;=1,S505,S505/100),'⚖️ Wahrscheinlichkeit'!$B$17:$B$21,'⚖️ Wahrscheinlichkeit'!$D$17:$D$21),0),0)</f>
        <v>0</v>
      </c>
      <c r="AK505" s="1" t="str">
        <f aca="false">IF(AND(R505="WON",ISNUMBER(I505)),AL505+(861-ROW())*0.000001,"")</f>
        <v/>
      </c>
      <c r="AL505" s="1" t="n">
        <f aca="false">IFERROR(I505*1,0)</f>
        <v>0</v>
      </c>
      <c r="AM505" s="1" t="n">
        <f aca="false">N(AM504)+IF(AND(R505="WON",B505&lt;&gt;""),1,0)</f>
        <v>12</v>
      </c>
      <c r="AN505" s="1" t="n">
        <f aca="false">N(AN504)+IF(AND(OR(R505="offered",R505="to be offered",R505="on hold"),B505&lt;&gt;""),1,0)</f>
        <v>33</v>
      </c>
      <c r="AO505" s="1" t="n">
        <f aca="false">N(AO504)+IF(AND(OR(R505="follow-up",R505="Evaluation",R505="tbd",R505="In evaluation"),B505&lt;&gt;""),1,0)</f>
        <v>1</v>
      </c>
      <c r="AP505" s="1" t="n">
        <f aca="false">IF(B505="",0,IF(COUNTIF('⚖️ Wahrscheinlichkeit'!$J$17:$J$24,R505)&gt;0,1,0))</f>
        <v>0</v>
      </c>
      <c r="AQ505" s="1" t="n">
        <f aca="false">IF(B505="",0,IF(AND(ISNUMBER(S505),COUNTIF('⚖️ Wahrscheinlichkeit'!$B$6:$B$11,S505)&gt;0),1,0))</f>
        <v>0</v>
      </c>
      <c r="AR505" s="1" t="n">
        <f aca="false">IF(B505="",0,IF(AND(COUNT(J505:M505)=4,SUM(J505:M505)&gt;0),1,0))</f>
        <v>0</v>
      </c>
      <c r="AS505" s="1" t="n">
        <f aca="false">IF(B505="",0,IF(AND(AF505&lt;&gt;"",AG505&lt;&gt;""),1,0))</f>
        <v>0</v>
      </c>
      <c r="AT505" s="1" t="n">
        <f aca="false">IF(AND(R505="WON",AS505=1,AR505=1),1,0)</f>
        <v>0</v>
      </c>
      <c r="AU505" s="1" t="n">
        <f aca="false">IF(B505="",0,IF(AD505="Alternative – zählt nicht",0,1))</f>
        <v>0</v>
      </c>
      <c r="AV505" s="1" t="n">
        <f aca="false">IF(B505="",0,IF(COUNTIF($B$6:$B$860,B505)&gt;1,1,0))</f>
        <v>0</v>
      </c>
      <c r="AX505" s="269" t="str">
        <f aca="false">IF(AY505=1,DATE(YEAR(O505),MONTH(O505),1),"")</f>
        <v/>
      </c>
      <c r="AY505" s="1" t="n">
        <f aca="false">IF(B505="",0,IF(AND(ISNUMBER(O505),ISNUMBER(P505)),IF(P505&gt;=O505,1,0),0))</f>
        <v>0</v>
      </c>
      <c r="AZ505" s="1" t="n">
        <f aca="false">IF(ISNUMBER(Y505),Y505,0)</f>
        <v>0</v>
      </c>
      <c r="BA505" s="1" t="str">
        <f aca="false">IF(B505="","",IF(AND(R505="WON",AS505=0),"⛔ Beleg fehlt · ","")&amp;IF(AND(R505="WON",AR505=0),"⛔ Einstand fehlt · ","")&amp;IF(AND(R505&lt;&gt;"WON",AR505=0),"○ Einstand offen · ","")&amp;IF(AND(R505="WON",AB505=""),"⛔ Vertragsart fehlt · ","")&amp;IF(AND(ISNUMBER(O505),ISNUMBER(P505)),IF(P505&lt;O505,"⚠ Ende vor Start · ",""),"")&amp;IF(AND(R505="WON",AY505=0,NOT(AND(ISNUMBER(O505),ISNUMBER(P505)))),"⛔ Zeitraum fehlt · ","")&amp;IF(AND(R505&lt;&gt;"WON",AY505=0,NOT(AND(ISNUMBER(O505),ISNUMBER(P505)))),"○ Zeitraum offen · ",""))</f>
        <v/>
      </c>
      <c r="BB505" s="1" t="str">
        <f aca="false">IF(B505="","",IF(AND(R505="WON",AS505=0),"⛔ Nachweis fehlt",IF(AND(ISNUMBER(O505),ISNUMBER(P505),P505&lt;O505),"⚠ Ende vor Start",IF(AND(R505="WON",AY505=0),"⛔ Zeitraum fehlt",IF(AR505=0,"○ Einstand offen",IF(AY505=0,"○ Zeitraum offen",IF(R505="WON","✅ belegt","✔ erfasst")))))))</f>
        <v/>
      </c>
    </row>
    <row r="506" customFormat="false" ht="15" hidden="false" customHeight="true" outlineLevel="0" collapsed="false">
      <c r="G506" s="1" t="str">
        <f aca="false">IF(B506="","",IF(AY506=1,P506-O506+1,IF(AW506="","",AW506)))</f>
        <v/>
      </c>
      <c r="I506" s="270"/>
      <c r="J506" s="270"/>
      <c r="K506" s="270"/>
      <c r="L506" s="270"/>
      <c r="M506" s="270"/>
      <c r="N506" s="270"/>
      <c r="O506" s="263"/>
      <c r="P506" s="263"/>
      <c r="Q506" s="270" t="str">
        <f aca="false">IF(AND(ISNUMBER(I506),ISNUMBER(S506)),I506*AJ506,IF(OR(I506&lt;&gt;"",S506&lt;&gt;""),"tbd",""))</f>
        <v/>
      </c>
      <c r="S506" s="268"/>
      <c r="Y506" s="275" t="str">
        <f aca="false">IF(ISNUMBER(I506),I506/Netto_Faktor,"")</f>
        <v/>
      </c>
      <c r="Z506" s="275" t="str">
        <f aca="false">IF(B506="","",IF(COUNT(J506:N506)=0,"",SUM(J506:N506)))</f>
        <v/>
      </c>
      <c r="AA506" s="266"/>
      <c r="AB506" s="266"/>
      <c r="AC506" s="266"/>
      <c r="AD506" s="266"/>
      <c r="AE506" s="266"/>
      <c r="AF506" s="266"/>
      <c r="AG506" s="267"/>
      <c r="AH506" s="266" t="str">
        <f aca="false">IF(B506="","",IF(BA506="",IF(R506="WON","✅ belegt &amp; vollständig","✔ vollständig"),LEFT(BA506,LEN(BA506)-3)))</f>
        <v/>
      </c>
      <c r="AJ506" s="268" t="n">
        <f aca="false">IF(ISNUMBER(S506),IFERROR(LOOKUP(IF(S506&lt;=1,S506,S506/100),'⚖️ Wahrscheinlichkeit'!$B$17:$B$21,'⚖️ Wahrscheinlichkeit'!$D$17:$D$21),0),0)</f>
        <v>0</v>
      </c>
      <c r="AK506" s="1" t="str">
        <f aca="false">IF(AND(R506="WON",ISNUMBER(I506)),AL506+(861-ROW())*0.000001,"")</f>
        <v/>
      </c>
      <c r="AL506" s="1" t="n">
        <f aca="false">IFERROR(I506*1,0)</f>
        <v>0</v>
      </c>
      <c r="AM506" s="1" t="n">
        <f aca="false">N(AM505)+IF(AND(R506="WON",B506&lt;&gt;""),1,0)</f>
        <v>12</v>
      </c>
      <c r="AN506" s="1" t="n">
        <f aca="false">N(AN505)+IF(AND(OR(R506="offered",R506="to be offered",R506="on hold"),B506&lt;&gt;""),1,0)</f>
        <v>33</v>
      </c>
      <c r="AO506" s="1" t="n">
        <f aca="false">N(AO505)+IF(AND(OR(R506="follow-up",R506="Evaluation",R506="tbd",R506="In evaluation"),B506&lt;&gt;""),1,0)</f>
        <v>1</v>
      </c>
      <c r="AP506" s="1" t="n">
        <f aca="false">IF(B506="",0,IF(COUNTIF('⚖️ Wahrscheinlichkeit'!$J$17:$J$24,R506)&gt;0,1,0))</f>
        <v>0</v>
      </c>
      <c r="AQ506" s="1" t="n">
        <f aca="false">IF(B506="",0,IF(AND(ISNUMBER(S506),COUNTIF('⚖️ Wahrscheinlichkeit'!$B$6:$B$11,S506)&gt;0),1,0))</f>
        <v>0</v>
      </c>
      <c r="AR506" s="1" t="n">
        <f aca="false">IF(B506="",0,IF(AND(COUNT(J506:M506)=4,SUM(J506:M506)&gt;0),1,0))</f>
        <v>0</v>
      </c>
      <c r="AS506" s="1" t="n">
        <f aca="false">IF(B506="",0,IF(AND(AF506&lt;&gt;"",AG506&lt;&gt;""),1,0))</f>
        <v>0</v>
      </c>
      <c r="AT506" s="1" t="n">
        <f aca="false">IF(AND(R506="WON",AS506=1,AR506=1),1,0)</f>
        <v>0</v>
      </c>
      <c r="AU506" s="1" t="n">
        <f aca="false">IF(B506="",0,IF(AD506="Alternative – zählt nicht",0,1))</f>
        <v>0</v>
      </c>
      <c r="AV506" s="1" t="n">
        <f aca="false">IF(B506="",0,IF(COUNTIF($B$6:$B$860,B506)&gt;1,1,0))</f>
        <v>0</v>
      </c>
      <c r="AX506" s="269" t="str">
        <f aca="false">IF(AY506=1,DATE(YEAR(O506),MONTH(O506),1),"")</f>
        <v/>
      </c>
      <c r="AY506" s="1" t="n">
        <f aca="false">IF(B506="",0,IF(AND(ISNUMBER(O506),ISNUMBER(P506)),IF(P506&gt;=O506,1,0),0))</f>
        <v>0</v>
      </c>
      <c r="AZ506" s="1" t="n">
        <f aca="false">IF(ISNUMBER(Y506),Y506,0)</f>
        <v>0</v>
      </c>
      <c r="BA506" s="1" t="str">
        <f aca="false">IF(B506="","",IF(AND(R506="WON",AS506=0),"⛔ Beleg fehlt · ","")&amp;IF(AND(R506="WON",AR506=0),"⛔ Einstand fehlt · ","")&amp;IF(AND(R506&lt;&gt;"WON",AR506=0),"○ Einstand offen · ","")&amp;IF(AND(R506="WON",AB506=""),"⛔ Vertragsart fehlt · ","")&amp;IF(AND(ISNUMBER(O506),ISNUMBER(P506)),IF(P506&lt;O506,"⚠ Ende vor Start · ",""),"")&amp;IF(AND(R506="WON",AY506=0,NOT(AND(ISNUMBER(O506),ISNUMBER(P506)))),"⛔ Zeitraum fehlt · ","")&amp;IF(AND(R506&lt;&gt;"WON",AY506=0,NOT(AND(ISNUMBER(O506),ISNUMBER(P506)))),"○ Zeitraum offen · ",""))</f>
        <v/>
      </c>
      <c r="BB506" s="1" t="str">
        <f aca="false">IF(B506="","",IF(AND(R506="WON",AS506=0),"⛔ Nachweis fehlt",IF(AND(ISNUMBER(O506),ISNUMBER(P506),P506&lt;O506),"⚠ Ende vor Start",IF(AND(R506="WON",AY506=0),"⛔ Zeitraum fehlt",IF(AR506=0,"○ Einstand offen",IF(AY506=0,"○ Zeitraum offen",IF(R506="WON","✅ belegt","✔ erfasst")))))))</f>
        <v/>
      </c>
    </row>
    <row r="507" customFormat="false" ht="15" hidden="false" customHeight="true" outlineLevel="0" collapsed="false">
      <c r="G507" s="1" t="str">
        <f aca="false">IF(B507="","",IF(AY507=1,P507-O507+1,IF(AW507="","",AW507)))</f>
        <v/>
      </c>
      <c r="I507" s="270"/>
      <c r="J507" s="270"/>
      <c r="K507" s="270"/>
      <c r="L507" s="270"/>
      <c r="M507" s="270"/>
      <c r="N507" s="270"/>
      <c r="O507" s="263"/>
      <c r="P507" s="263"/>
      <c r="Q507" s="270" t="str">
        <f aca="false">IF(AND(ISNUMBER(I507),ISNUMBER(S507)),I507*AJ507,IF(OR(I507&lt;&gt;"",S507&lt;&gt;""),"tbd",""))</f>
        <v/>
      </c>
      <c r="S507" s="268"/>
      <c r="Y507" s="275" t="str">
        <f aca="false">IF(ISNUMBER(I507),I507/Netto_Faktor,"")</f>
        <v/>
      </c>
      <c r="Z507" s="275" t="str">
        <f aca="false">IF(B507="","",IF(COUNT(J507:N507)=0,"",SUM(J507:N507)))</f>
        <v/>
      </c>
      <c r="AA507" s="266"/>
      <c r="AB507" s="266"/>
      <c r="AC507" s="266"/>
      <c r="AD507" s="266"/>
      <c r="AE507" s="266"/>
      <c r="AF507" s="266"/>
      <c r="AG507" s="267"/>
      <c r="AH507" s="266" t="str">
        <f aca="false">IF(B507="","",IF(BA507="",IF(R507="WON","✅ belegt &amp; vollständig","✔ vollständig"),LEFT(BA507,LEN(BA507)-3)))</f>
        <v/>
      </c>
      <c r="AJ507" s="268" t="n">
        <f aca="false">IF(ISNUMBER(S507),IFERROR(LOOKUP(IF(S507&lt;=1,S507,S507/100),'⚖️ Wahrscheinlichkeit'!$B$17:$B$21,'⚖️ Wahrscheinlichkeit'!$D$17:$D$21),0),0)</f>
        <v>0</v>
      </c>
      <c r="AK507" s="1" t="str">
        <f aca="false">IF(AND(R507="WON",ISNUMBER(I507)),AL507+(861-ROW())*0.000001,"")</f>
        <v/>
      </c>
      <c r="AL507" s="1" t="n">
        <f aca="false">IFERROR(I507*1,0)</f>
        <v>0</v>
      </c>
      <c r="AM507" s="1" t="n">
        <f aca="false">N(AM506)+IF(AND(R507="WON",B507&lt;&gt;""),1,0)</f>
        <v>12</v>
      </c>
      <c r="AN507" s="1" t="n">
        <f aca="false">N(AN506)+IF(AND(OR(R507="offered",R507="to be offered",R507="on hold"),B507&lt;&gt;""),1,0)</f>
        <v>33</v>
      </c>
      <c r="AO507" s="1" t="n">
        <f aca="false">N(AO506)+IF(AND(OR(R507="follow-up",R507="Evaluation",R507="tbd",R507="In evaluation"),B507&lt;&gt;""),1,0)</f>
        <v>1</v>
      </c>
      <c r="AP507" s="1" t="n">
        <f aca="false">IF(B507="",0,IF(COUNTIF('⚖️ Wahrscheinlichkeit'!$J$17:$J$24,R507)&gt;0,1,0))</f>
        <v>0</v>
      </c>
      <c r="AQ507" s="1" t="n">
        <f aca="false">IF(B507="",0,IF(AND(ISNUMBER(S507),COUNTIF('⚖️ Wahrscheinlichkeit'!$B$6:$B$11,S507)&gt;0),1,0))</f>
        <v>0</v>
      </c>
      <c r="AR507" s="1" t="n">
        <f aca="false">IF(B507="",0,IF(AND(COUNT(J507:M507)=4,SUM(J507:M507)&gt;0),1,0))</f>
        <v>0</v>
      </c>
      <c r="AS507" s="1" t="n">
        <f aca="false">IF(B507="",0,IF(AND(AF507&lt;&gt;"",AG507&lt;&gt;""),1,0))</f>
        <v>0</v>
      </c>
      <c r="AT507" s="1" t="n">
        <f aca="false">IF(AND(R507="WON",AS507=1,AR507=1),1,0)</f>
        <v>0</v>
      </c>
      <c r="AU507" s="1" t="n">
        <f aca="false">IF(B507="",0,IF(AD507="Alternative – zählt nicht",0,1))</f>
        <v>0</v>
      </c>
      <c r="AV507" s="1" t="n">
        <f aca="false">IF(B507="",0,IF(COUNTIF($B$6:$B$860,B507)&gt;1,1,0))</f>
        <v>0</v>
      </c>
      <c r="AX507" s="269" t="str">
        <f aca="false">IF(AY507=1,DATE(YEAR(O507),MONTH(O507),1),"")</f>
        <v/>
      </c>
      <c r="AY507" s="1" t="n">
        <f aca="false">IF(B507="",0,IF(AND(ISNUMBER(O507),ISNUMBER(P507)),IF(P507&gt;=O507,1,0),0))</f>
        <v>0</v>
      </c>
      <c r="AZ507" s="1" t="n">
        <f aca="false">IF(ISNUMBER(Y507),Y507,0)</f>
        <v>0</v>
      </c>
      <c r="BA507" s="1" t="str">
        <f aca="false">IF(B507="","",IF(AND(R507="WON",AS507=0),"⛔ Beleg fehlt · ","")&amp;IF(AND(R507="WON",AR507=0),"⛔ Einstand fehlt · ","")&amp;IF(AND(R507&lt;&gt;"WON",AR507=0),"○ Einstand offen · ","")&amp;IF(AND(R507="WON",AB507=""),"⛔ Vertragsart fehlt · ","")&amp;IF(AND(ISNUMBER(O507),ISNUMBER(P507)),IF(P507&lt;O507,"⚠ Ende vor Start · ",""),"")&amp;IF(AND(R507="WON",AY507=0,NOT(AND(ISNUMBER(O507),ISNUMBER(P507)))),"⛔ Zeitraum fehlt · ","")&amp;IF(AND(R507&lt;&gt;"WON",AY507=0,NOT(AND(ISNUMBER(O507),ISNUMBER(P507)))),"○ Zeitraum offen · ",""))</f>
        <v/>
      </c>
      <c r="BB507" s="1" t="str">
        <f aca="false">IF(B507="","",IF(AND(R507="WON",AS507=0),"⛔ Nachweis fehlt",IF(AND(ISNUMBER(O507),ISNUMBER(P507),P507&lt;O507),"⚠ Ende vor Start",IF(AND(R507="WON",AY507=0),"⛔ Zeitraum fehlt",IF(AR507=0,"○ Einstand offen",IF(AY507=0,"○ Zeitraum offen",IF(R507="WON","✅ belegt","✔ erfasst")))))))</f>
        <v/>
      </c>
    </row>
    <row r="508" customFormat="false" ht="15" hidden="false" customHeight="true" outlineLevel="0" collapsed="false">
      <c r="G508" s="1" t="str">
        <f aca="false">IF(B508="","",IF(AY508=1,P508-O508+1,IF(AW508="","",AW508)))</f>
        <v/>
      </c>
      <c r="I508" s="270"/>
      <c r="J508" s="270"/>
      <c r="K508" s="270"/>
      <c r="L508" s="270"/>
      <c r="M508" s="270"/>
      <c r="N508" s="270"/>
      <c r="O508" s="263"/>
      <c r="P508" s="263"/>
      <c r="Q508" s="270" t="str">
        <f aca="false">IF(AND(ISNUMBER(I508),ISNUMBER(S508)),I508*AJ508,IF(OR(I508&lt;&gt;"",S508&lt;&gt;""),"tbd",""))</f>
        <v/>
      </c>
      <c r="S508" s="268"/>
      <c r="Y508" s="275" t="str">
        <f aca="false">IF(ISNUMBER(I508),I508/Netto_Faktor,"")</f>
        <v/>
      </c>
      <c r="Z508" s="275" t="str">
        <f aca="false">IF(B508="","",IF(COUNT(J508:N508)=0,"",SUM(J508:N508)))</f>
        <v/>
      </c>
      <c r="AA508" s="266"/>
      <c r="AB508" s="266"/>
      <c r="AC508" s="266"/>
      <c r="AD508" s="266"/>
      <c r="AE508" s="266"/>
      <c r="AF508" s="266"/>
      <c r="AG508" s="267"/>
      <c r="AH508" s="266" t="str">
        <f aca="false">IF(B508="","",IF(BA508="",IF(R508="WON","✅ belegt &amp; vollständig","✔ vollständig"),LEFT(BA508,LEN(BA508)-3)))</f>
        <v/>
      </c>
      <c r="AJ508" s="268" t="n">
        <f aca="false">IF(ISNUMBER(S508),IFERROR(LOOKUP(IF(S508&lt;=1,S508,S508/100),'⚖️ Wahrscheinlichkeit'!$B$17:$B$21,'⚖️ Wahrscheinlichkeit'!$D$17:$D$21),0),0)</f>
        <v>0</v>
      </c>
      <c r="AK508" s="1" t="str">
        <f aca="false">IF(AND(R508="WON",ISNUMBER(I508)),AL508+(861-ROW())*0.000001,"")</f>
        <v/>
      </c>
      <c r="AL508" s="1" t="n">
        <f aca="false">IFERROR(I508*1,0)</f>
        <v>0</v>
      </c>
      <c r="AM508" s="1" t="n">
        <f aca="false">N(AM507)+IF(AND(R508="WON",B508&lt;&gt;""),1,0)</f>
        <v>12</v>
      </c>
      <c r="AN508" s="1" t="n">
        <f aca="false">N(AN507)+IF(AND(OR(R508="offered",R508="to be offered",R508="on hold"),B508&lt;&gt;""),1,0)</f>
        <v>33</v>
      </c>
      <c r="AO508" s="1" t="n">
        <f aca="false">N(AO507)+IF(AND(OR(R508="follow-up",R508="Evaluation",R508="tbd",R508="In evaluation"),B508&lt;&gt;""),1,0)</f>
        <v>1</v>
      </c>
      <c r="AP508" s="1" t="n">
        <f aca="false">IF(B508="",0,IF(COUNTIF('⚖️ Wahrscheinlichkeit'!$J$17:$J$24,R508)&gt;0,1,0))</f>
        <v>0</v>
      </c>
      <c r="AQ508" s="1" t="n">
        <f aca="false">IF(B508="",0,IF(AND(ISNUMBER(S508),COUNTIF('⚖️ Wahrscheinlichkeit'!$B$6:$B$11,S508)&gt;0),1,0))</f>
        <v>0</v>
      </c>
      <c r="AR508" s="1" t="n">
        <f aca="false">IF(B508="",0,IF(AND(COUNT(J508:M508)=4,SUM(J508:M508)&gt;0),1,0))</f>
        <v>0</v>
      </c>
      <c r="AS508" s="1" t="n">
        <f aca="false">IF(B508="",0,IF(AND(AF508&lt;&gt;"",AG508&lt;&gt;""),1,0))</f>
        <v>0</v>
      </c>
      <c r="AT508" s="1" t="n">
        <f aca="false">IF(AND(R508="WON",AS508=1,AR508=1),1,0)</f>
        <v>0</v>
      </c>
      <c r="AU508" s="1" t="n">
        <f aca="false">IF(B508="",0,IF(AD508="Alternative – zählt nicht",0,1))</f>
        <v>0</v>
      </c>
      <c r="AV508" s="1" t="n">
        <f aca="false">IF(B508="",0,IF(COUNTIF($B$6:$B$860,B508)&gt;1,1,0))</f>
        <v>0</v>
      </c>
      <c r="AX508" s="269" t="str">
        <f aca="false">IF(AY508=1,DATE(YEAR(O508),MONTH(O508),1),"")</f>
        <v/>
      </c>
      <c r="AY508" s="1" t="n">
        <f aca="false">IF(B508="",0,IF(AND(ISNUMBER(O508),ISNUMBER(P508)),IF(P508&gt;=O508,1,0),0))</f>
        <v>0</v>
      </c>
      <c r="AZ508" s="1" t="n">
        <f aca="false">IF(ISNUMBER(Y508),Y508,0)</f>
        <v>0</v>
      </c>
      <c r="BA508" s="1" t="str">
        <f aca="false">IF(B508="","",IF(AND(R508="WON",AS508=0),"⛔ Beleg fehlt · ","")&amp;IF(AND(R508="WON",AR508=0),"⛔ Einstand fehlt · ","")&amp;IF(AND(R508&lt;&gt;"WON",AR508=0),"○ Einstand offen · ","")&amp;IF(AND(R508="WON",AB508=""),"⛔ Vertragsart fehlt · ","")&amp;IF(AND(ISNUMBER(O508),ISNUMBER(P508)),IF(P508&lt;O508,"⚠ Ende vor Start · ",""),"")&amp;IF(AND(R508="WON",AY508=0,NOT(AND(ISNUMBER(O508),ISNUMBER(P508)))),"⛔ Zeitraum fehlt · ","")&amp;IF(AND(R508&lt;&gt;"WON",AY508=0,NOT(AND(ISNUMBER(O508),ISNUMBER(P508)))),"○ Zeitraum offen · ",""))</f>
        <v/>
      </c>
      <c r="BB508" s="1" t="str">
        <f aca="false">IF(B508="","",IF(AND(R508="WON",AS508=0),"⛔ Nachweis fehlt",IF(AND(ISNUMBER(O508),ISNUMBER(P508),P508&lt;O508),"⚠ Ende vor Start",IF(AND(R508="WON",AY508=0),"⛔ Zeitraum fehlt",IF(AR508=0,"○ Einstand offen",IF(AY508=0,"○ Zeitraum offen",IF(R508="WON","✅ belegt","✔ erfasst")))))))</f>
        <v/>
      </c>
    </row>
    <row r="509" customFormat="false" ht="15" hidden="false" customHeight="true" outlineLevel="0" collapsed="false">
      <c r="G509" s="1" t="str">
        <f aca="false">IF(B509="","",IF(AY509=1,P509-O509+1,IF(AW509="","",AW509)))</f>
        <v/>
      </c>
      <c r="I509" s="270"/>
      <c r="J509" s="270"/>
      <c r="K509" s="270"/>
      <c r="L509" s="270"/>
      <c r="M509" s="270"/>
      <c r="N509" s="270"/>
      <c r="O509" s="263"/>
      <c r="P509" s="263"/>
      <c r="Q509" s="270" t="str">
        <f aca="false">IF(AND(ISNUMBER(I509),ISNUMBER(S509)),I509*AJ509,IF(OR(I509&lt;&gt;"",S509&lt;&gt;""),"tbd",""))</f>
        <v/>
      </c>
      <c r="S509" s="268"/>
      <c r="Y509" s="275" t="str">
        <f aca="false">IF(ISNUMBER(I509),I509/Netto_Faktor,"")</f>
        <v/>
      </c>
      <c r="Z509" s="275" t="str">
        <f aca="false">IF(B509="","",IF(COUNT(J509:N509)=0,"",SUM(J509:N509)))</f>
        <v/>
      </c>
      <c r="AA509" s="266"/>
      <c r="AB509" s="266"/>
      <c r="AC509" s="266"/>
      <c r="AD509" s="266"/>
      <c r="AE509" s="266"/>
      <c r="AF509" s="266"/>
      <c r="AG509" s="267"/>
      <c r="AH509" s="266" t="str">
        <f aca="false">IF(B509="","",IF(BA509="",IF(R509="WON","✅ belegt &amp; vollständig","✔ vollständig"),LEFT(BA509,LEN(BA509)-3)))</f>
        <v/>
      </c>
      <c r="AJ509" s="268" t="n">
        <f aca="false">IF(ISNUMBER(S509),IFERROR(LOOKUP(IF(S509&lt;=1,S509,S509/100),'⚖️ Wahrscheinlichkeit'!$B$17:$B$21,'⚖️ Wahrscheinlichkeit'!$D$17:$D$21),0),0)</f>
        <v>0</v>
      </c>
      <c r="AK509" s="1" t="str">
        <f aca="false">IF(AND(R509="WON",ISNUMBER(I509)),AL509+(861-ROW())*0.000001,"")</f>
        <v/>
      </c>
      <c r="AL509" s="1" t="n">
        <f aca="false">IFERROR(I509*1,0)</f>
        <v>0</v>
      </c>
      <c r="AM509" s="1" t="n">
        <f aca="false">N(AM508)+IF(AND(R509="WON",B509&lt;&gt;""),1,0)</f>
        <v>12</v>
      </c>
      <c r="AN509" s="1" t="n">
        <f aca="false">N(AN508)+IF(AND(OR(R509="offered",R509="to be offered",R509="on hold"),B509&lt;&gt;""),1,0)</f>
        <v>33</v>
      </c>
      <c r="AO509" s="1" t="n">
        <f aca="false">N(AO508)+IF(AND(OR(R509="follow-up",R509="Evaluation",R509="tbd",R509="In evaluation"),B509&lt;&gt;""),1,0)</f>
        <v>1</v>
      </c>
      <c r="AP509" s="1" t="n">
        <f aca="false">IF(B509="",0,IF(COUNTIF('⚖️ Wahrscheinlichkeit'!$J$17:$J$24,R509)&gt;0,1,0))</f>
        <v>0</v>
      </c>
      <c r="AQ509" s="1" t="n">
        <f aca="false">IF(B509="",0,IF(AND(ISNUMBER(S509),COUNTIF('⚖️ Wahrscheinlichkeit'!$B$6:$B$11,S509)&gt;0),1,0))</f>
        <v>0</v>
      </c>
      <c r="AR509" s="1" t="n">
        <f aca="false">IF(B509="",0,IF(AND(COUNT(J509:M509)=4,SUM(J509:M509)&gt;0),1,0))</f>
        <v>0</v>
      </c>
      <c r="AS509" s="1" t="n">
        <f aca="false">IF(B509="",0,IF(AND(AF509&lt;&gt;"",AG509&lt;&gt;""),1,0))</f>
        <v>0</v>
      </c>
      <c r="AT509" s="1" t="n">
        <f aca="false">IF(AND(R509="WON",AS509=1,AR509=1),1,0)</f>
        <v>0</v>
      </c>
      <c r="AU509" s="1" t="n">
        <f aca="false">IF(B509="",0,IF(AD509="Alternative – zählt nicht",0,1))</f>
        <v>0</v>
      </c>
      <c r="AV509" s="1" t="n">
        <f aca="false">IF(B509="",0,IF(COUNTIF($B$6:$B$860,B509)&gt;1,1,0))</f>
        <v>0</v>
      </c>
      <c r="AX509" s="269" t="str">
        <f aca="false">IF(AY509=1,DATE(YEAR(O509),MONTH(O509),1),"")</f>
        <v/>
      </c>
      <c r="AY509" s="1" t="n">
        <f aca="false">IF(B509="",0,IF(AND(ISNUMBER(O509),ISNUMBER(P509)),IF(P509&gt;=O509,1,0),0))</f>
        <v>0</v>
      </c>
      <c r="AZ509" s="1" t="n">
        <f aca="false">IF(ISNUMBER(Y509),Y509,0)</f>
        <v>0</v>
      </c>
      <c r="BA509" s="1" t="str">
        <f aca="false">IF(B509="","",IF(AND(R509="WON",AS509=0),"⛔ Beleg fehlt · ","")&amp;IF(AND(R509="WON",AR509=0),"⛔ Einstand fehlt · ","")&amp;IF(AND(R509&lt;&gt;"WON",AR509=0),"○ Einstand offen · ","")&amp;IF(AND(R509="WON",AB509=""),"⛔ Vertragsart fehlt · ","")&amp;IF(AND(ISNUMBER(O509),ISNUMBER(P509)),IF(P509&lt;O509,"⚠ Ende vor Start · ",""),"")&amp;IF(AND(R509="WON",AY509=0,NOT(AND(ISNUMBER(O509),ISNUMBER(P509)))),"⛔ Zeitraum fehlt · ","")&amp;IF(AND(R509&lt;&gt;"WON",AY509=0,NOT(AND(ISNUMBER(O509),ISNUMBER(P509)))),"○ Zeitraum offen · ",""))</f>
        <v/>
      </c>
      <c r="BB509" s="1" t="str">
        <f aca="false">IF(B509="","",IF(AND(R509="WON",AS509=0),"⛔ Nachweis fehlt",IF(AND(ISNUMBER(O509),ISNUMBER(P509),P509&lt;O509),"⚠ Ende vor Start",IF(AND(R509="WON",AY509=0),"⛔ Zeitraum fehlt",IF(AR509=0,"○ Einstand offen",IF(AY509=0,"○ Zeitraum offen",IF(R509="WON","✅ belegt","✔ erfasst")))))))</f>
        <v/>
      </c>
    </row>
    <row r="510" customFormat="false" ht="15" hidden="false" customHeight="true" outlineLevel="0" collapsed="false">
      <c r="G510" s="1" t="str">
        <f aca="false">IF(B510="","",IF(AY510=1,P510-O510+1,IF(AW510="","",AW510)))</f>
        <v/>
      </c>
      <c r="I510" s="270"/>
      <c r="J510" s="270"/>
      <c r="K510" s="270"/>
      <c r="L510" s="270"/>
      <c r="M510" s="270"/>
      <c r="N510" s="270"/>
      <c r="O510" s="263"/>
      <c r="P510" s="263"/>
      <c r="Q510" s="270" t="str">
        <f aca="false">IF(AND(ISNUMBER(I510),ISNUMBER(S510)),I510*AJ510,IF(OR(I510&lt;&gt;"",S510&lt;&gt;""),"tbd",""))</f>
        <v/>
      </c>
      <c r="S510" s="268"/>
      <c r="Y510" s="275" t="str">
        <f aca="false">IF(ISNUMBER(I510),I510/Netto_Faktor,"")</f>
        <v/>
      </c>
      <c r="Z510" s="275" t="str">
        <f aca="false">IF(B510="","",IF(COUNT(J510:N510)=0,"",SUM(J510:N510)))</f>
        <v/>
      </c>
      <c r="AA510" s="266"/>
      <c r="AB510" s="266"/>
      <c r="AC510" s="266"/>
      <c r="AD510" s="266"/>
      <c r="AE510" s="266"/>
      <c r="AF510" s="266"/>
      <c r="AG510" s="267"/>
      <c r="AH510" s="266" t="str">
        <f aca="false">IF(B510="","",IF(BA510="",IF(R510="WON","✅ belegt &amp; vollständig","✔ vollständig"),LEFT(BA510,LEN(BA510)-3)))</f>
        <v/>
      </c>
      <c r="AJ510" s="268" t="n">
        <f aca="false">IF(ISNUMBER(S510),IFERROR(LOOKUP(IF(S510&lt;=1,S510,S510/100),'⚖️ Wahrscheinlichkeit'!$B$17:$B$21,'⚖️ Wahrscheinlichkeit'!$D$17:$D$21),0),0)</f>
        <v>0</v>
      </c>
      <c r="AK510" s="1" t="str">
        <f aca="false">IF(AND(R510="WON",ISNUMBER(I510)),AL510+(861-ROW())*0.000001,"")</f>
        <v/>
      </c>
      <c r="AL510" s="1" t="n">
        <f aca="false">IFERROR(I510*1,0)</f>
        <v>0</v>
      </c>
      <c r="AM510" s="1" t="n">
        <f aca="false">N(AM509)+IF(AND(R510="WON",B510&lt;&gt;""),1,0)</f>
        <v>12</v>
      </c>
      <c r="AN510" s="1" t="n">
        <f aca="false">N(AN509)+IF(AND(OR(R510="offered",R510="to be offered",R510="on hold"),B510&lt;&gt;""),1,0)</f>
        <v>33</v>
      </c>
      <c r="AO510" s="1" t="n">
        <f aca="false">N(AO509)+IF(AND(OR(R510="follow-up",R510="Evaluation",R510="tbd",R510="In evaluation"),B510&lt;&gt;""),1,0)</f>
        <v>1</v>
      </c>
      <c r="AP510" s="1" t="n">
        <f aca="false">IF(B510="",0,IF(COUNTIF('⚖️ Wahrscheinlichkeit'!$J$17:$J$24,R510)&gt;0,1,0))</f>
        <v>0</v>
      </c>
      <c r="AQ510" s="1" t="n">
        <f aca="false">IF(B510="",0,IF(AND(ISNUMBER(S510),COUNTIF('⚖️ Wahrscheinlichkeit'!$B$6:$B$11,S510)&gt;0),1,0))</f>
        <v>0</v>
      </c>
      <c r="AR510" s="1" t="n">
        <f aca="false">IF(B510="",0,IF(AND(COUNT(J510:M510)=4,SUM(J510:M510)&gt;0),1,0))</f>
        <v>0</v>
      </c>
      <c r="AS510" s="1" t="n">
        <f aca="false">IF(B510="",0,IF(AND(AF510&lt;&gt;"",AG510&lt;&gt;""),1,0))</f>
        <v>0</v>
      </c>
      <c r="AT510" s="1" t="n">
        <f aca="false">IF(AND(R510="WON",AS510=1,AR510=1),1,0)</f>
        <v>0</v>
      </c>
      <c r="AU510" s="1" t="n">
        <f aca="false">IF(B510="",0,IF(AD510="Alternative – zählt nicht",0,1))</f>
        <v>0</v>
      </c>
      <c r="AV510" s="1" t="n">
        <f aca="false">IF(B510="",0,IF(COUNTIF($B$6:$B$860,B510)&gt;1,1,0))</f>
        <v>0</v>
      </c>
      <c r="AX510" s="269" t="str">
        <f aca="false">IF(AY510=1,DATE(YEAR(O510),MONTH(O510),1),"")</f>
        <v/>
      </c>
      <c r="AY510" s="1" t="n">
        <f aca="false">IF(B510="",0,IF(AND(ISNUMBER(O510),ISNUMBER(P510)),IF(P510&gt;=O510,1,0),0))</f>
        <v>0</v>
      </c>
      <c r="AZ510" s="1" t="n">
        <f aca="false">IF(ISNUMBER(Y510),Y510,0)</f>
        <v>0</v>
      </c>
      <c r="BA510" s="1" t="str">
        <f aca="false">IF(B510="","",IF(AND(R510="WON",AS510=0),"⛔ Beleg fehlt · ","")&amp;IF(AND(R510="WON",AR510=0),"⛔ Einstand fehlt · ","")&amp;IF(AND(R510&lt;&gt;"WON",AR510=0),"○ Einstand offen · ","")&amp;IF(AND(R510="WON",AB510=""),"⛔ Vertragsart fehlt · ","")&amp;IF(AND(ISNUMBER(O510),ISNUMBER(P510)),IF(P510&lt;O510,"⚠ Ende vor Start · ",""),"")&amp;IF(AND(R510="WON",AY510=0,NOT(AND(ISNUMBER(O510),ISNUMBER(P510)))),"⛔ Zeitraum fehlt · ","")&amp;IF(AND(R510&lt;&gt;"WON",AY510=0,NOT(AND(ISNUMBER(O510),ISNUMBER(P510)))),"○ Zeitraum offen · ",""))</f>
        <v/>
      </c>
      <c r="BB510" s="1" t="str">
        <f aca="false">IF(B510="","",IF(AND(R510="WON",AS510=0),"⛔ Nachweis fehlt",IF(AND(ISNUMBER(O510),ISNUMBER(P510),P510&lt;O510),"⚠ Ende vor Start",IF(AND(R510="WON",AY510=0),"⛔ Zeitraum fehlt",IF(AR510=0,"○ Einstand offen",IF(AY510=0,"○ Zeitraum offen",IF(R510="WON","✅ belegt","✔ erfasst")))))))</f>
        <v/>
      </c>
    </row>
    <row r="511" customFormat="false" ht="15" hidden="false" customHeight="true" outlineLevel="0" collapsed="false">
      <c r="G511" s="1" t="str">
        <f aca="false">IF(B511="","",IF(AY511=1,P511-O511+1,IF(AW511="","",AW511)))</f>
        <v/>
      </c>
      <c r="I511" s="270"/>
      <c r="J511" s="270"/>
      <c r="K511" s="270"/>
      <c r="L511" s="270"/>
      <c r="M511" s="270"/>
      <c r="N511" s="270"/>
      <c r="O511" s="263"/>
      <c r="P511" s="263"/>
      <c r="Q511" s="270" t="str">
        <f aca="false">IF(AND(ISNUMBER(I511),ISNUMBER(S511)),I511*AJ511,IF(OR(I511&lt;&gt;"",S511&lt;&gt;""),"tbd",""))</f>
        <v/>
      </c>
      <c r="S511" s="268"/>
      <c r="Y511" s="275" t="str">
        <f aca="false">IF(ISNUMBER(I511),I511/Netto_Faktor,"")</f>
        <v/>
      </c>
      <c r="Z511" s="275" t="str">
        <f aca="false">IF(B511="","",IF(COUNT(J511:N511)=0,"",SUM(J511:N511)))</f>
        <v/>
      </c>
      <c r="AA511" s="266"/>
      <c r="AB511" s="266"/>
      <c r="AC511" s="266"/>
      <c r="AD511" s="266"/>
      <c r="AE511" s="266"/>
      <c r="AF511" s="266"/>
      <c r="AG511" s="267"/>
      <c r="AH511" s="266" t="str">
        <f aca="false">IF(B511="","",IF(BA511="",IF(R511="WON","✅ belegt &amp; vollständig","✔ vollständig"),LEFT(BA511,LEN(BA511)-3)))</f>
        <v/>
      </c>
      <c r="AJ511" s="268" t="n">
        <f aca="false">IF(ISNUMBER(S511),IFERROR(LOOKUP(IF(S511&lt;=1,S511,S511/100),'⚖️ Wahrscheinlichkeit'!$B$17:$B$21,'⚖️ Wahrscheinlichkeit'!$D$17:$D$21),0),0)</f>
        <v>0</v>
      </c>
      <c r="AK511" s="1" t="str">
        <f aca="false">IF(AND(R511="WON",ISNUMBER(I511)),AL511+(861-ROW())*0.000001,"")</f>
        <v/>
      </c>
      <c r="AL511" s="1" t="n">
        <f aca="false">IFERROR(I511*1,0)</f>
        <v>0</v>
      </c>
      <c r="AM511" s="1" t="n">
        <f aca="false">N(AM510)+IF(AND(R511="WON",B511&lt;&gt;""),1,0)</f>
        <v>12</v>
      </c>
      <c r="AN511" s="1" t="n">
        <f aca="false">N(AN510)+IF(AND(OR(R511="offered",R511="to be offered",R511="on hold"),B511&lt;&gt;""),1,0)</f>
        <v>33</v>
      </c>
      <c r="AO511" s="1" t="n">
        <f aca="false">N(AO510)+IF(AND(OR(R511="follow-up",R511="Evaluation",R511="tbd",R511="In evaluation"),B511&lt;&gt;""),1,0)</f>
        <v>1</v>
      </c>
      <c r="AP511" s="1" t="n">
        <f aca="false">IF(B511="",0,IF(COUNTIF('⚖️ Wahrscheinlichkeit'!$J$17:$J$24,R511)&gt;0,1,0))</f>
        <v>0</v>
      </c>
      <c r="AQ511" s="1" t="n">
        <f aca="false">IF(B511="",0,IF(AND(ISNUMBER(S511),COUNTIF('⚖️ Wahrscheinlichkeit'!$B$6:$B$11,S511)&gt;0),1,0))</f>
        <v>0</v>
      </c>
      <c r="AR511" s="1" t="n">
        <f aca="false">IF(B511="",0,IF(AND(COUNT(J511:M511)=4,SUM(J511:M511)&gt;0),1,0))</f>
        <v>0</v>
      </c>
      <c r="AS511" s="1" t="n">
        <f aca="false">IF(B511="",0,IF(AND(AF511&lt;&gt;"",AG511&lt;&gt;""),1,0))</f>
        <v>0</v>
      </c>
      <c r="AT511" s="1" t="n">
        <f aca="false">IF(AND(R511="WON",AS511=1,AR511=1),1,0)</f>
        <v>0</v>
      </c>
      <c r="AU511" s="1" t="n">
        <f aca="false">IF(B511="",0,IF(AD511="Alternative – zählt nicht",0,1))</f>
        <v>0</v>
      </c>
      <c r="AV511" s="1" t="n">
        <f aca="false">IF(B511="",0,IF(COUNTIF($B$6:$B$860,B511)&gt;1,1,0))</f>
        <v>0</v>
      </c>
      <c r="AX511" s="269" t="str">
        <f aca="false">IF(AY511=1,DATE(YEAR(O511),MONTH(O511),1),"")</f>
        <v/>
      </c>
      <c r="AY511" s="1" t="n">
        <f aca="false">IF(B511="",0,IF(AND(ISNUMBER(O511),ISNUMBER(P511)),IF(P511&gt;=O511,1,0),0))</f>
        <v>0</v>
      </c>
      <c r="AZ511" s="1" t="n">
        <f aca="false">IF(ISNUMBER(Y511),Y511,0)</f>
        <v>0</v>
      </c>
      <c r="BA511" s="1" t="str">
        <f aca="false">IF(B511="","",IF(AND(R511="WON",AS511=0),"⛔ Beleg fehlt · ","")&amp;IF(AND(R511="WON",AR511=0),"⛔ Einstand fehlt · ","")&amp;IF(AND(R511&lt;&gt;"WON",AR511=0),"○ Einstand offen · ","")&amp;IF(AND(R511="WON",AB511=""),"⛔ Vertragsart fehlt · ","")&amp;IF(AND(ISNUMBER(O511),ISNUMBER(P511)),IF(P511&lt;O511,"⚠ Ende vor Start · ",""),"")&amp;IF(AND(R511="WON",AY511=0,NOT(AND(ISNUMBER(O511),ISNUMBER(P511)))),"⛔ Zeitraum fehlt · ","")&amp;IF(AND(R511&lt;&gt;"WON",AY511=0,NOT(AND(ISNUMBER(O511),ISNUMBER(P511)))),"○ Zeitraum offen · ",""))</f>
        <v/>
      </c>
      <c r="BB511" s="1" t="str">
        <f aca="false">IF(B511="","",IF(AND(R511="WON",AS511=0),"⛔ Nachweis fehlt",IF(AND(ISNUMBER(O511),ISNUMBER(P511),P511&lt;O511),"⚠ Ende vor Start",IF(AND(R511="WON",AY511=0),"⛔ Zeitraum fehlt",IF(AR511=0,"○ Einstand offen",IF(AY511=0,"○ Zeitraum offen",IF(R511="WON","✅ belegt","✔ erfasst")))))))</f>
        <v/>
      </c>
    </row>
    <row r="512" customFormat="false" ht="15" hidden="false" customHeight="true" outlineLevel="0" collapsed="false">
      <c r="G512" s="1" t="str">
        <f aca="false">IF(B512="","",IF(AY512=1,P512-O512+1,IF(AW512="","",AW512)))</f>
        <v/>
      </c>
      <c r="I512" s="270"/>
      <c r="J512" s="270"/>
      <c r="K512" s="270"/>
      <c r="L512" s="270"/>
      <c r="M512" s="270"/>
      <c r="N512" s="270"/>
      <c r="O512" s="263"/>
      <c r="P512" s="263"/>
      <c r="Q512" s="270" t="str">
        <f aca="false">IF(AND(ISNUMBER(I512),ISNUMBER(S512)),I512*AJ512,IF(OR(I512&lt;&gt;"",S512&lt;&gt;""),"tbd",""))</f>
        <v/>
      </c>
      <c r="S512" s="268"/>
      <c r="Y512" s="275" t="str">
        <f aca="false">IF(ISNUMBER(I512),I512/Netto_Faktor,"")</f>
        <v/>
      </c>
      <c r="Z512" s="275" t="str">
        <f aca="false">IF(B512="","",IF(COUNT(J512:N512)=0,"",SUM(J512:N512)))</f>
        <v/>
      </c>
      <c r="AA512" s="266"/>
      <c r="AB512" s="266"/>
      <c r="AC512" s="266"/>
      <c r="AD512" s="266"/>
      <c r="AE512" s="266"/>
      <c r="AF512" s="266"/>
      <c r="AG512" s="267"/>
      <c r="AH512" s="266" t="str">
        <f aca="false">IF(B512="","",IF(BA512="",IF(R512="WON","✅ belegt &amp; vollständig","✔ vollständig"),LEFT(BA512,LEN(BA512)-3)))</f>
        <v/>
      </c>
      <c r="AJ512" s="268" t="n">
        <f aca="false">IF(ISNUMBER(S512),IFERROR(LOOKUP(IF(S512&lt;=1,S512,S512/100),'⚖️ Wahrscheinlichkeit'!$B$17:$B$21,'⚖️ Wahrscheinlichkeit'!$D$17:$D$21),0),0)</f>
        <v>0</v>
      </c>
      <c r="AK512" s="1" t="str">
        <f aca="false">IF(AND(R512="WON",ISNUMBER(I512)),AL512+(861-ROW())*0.000001,"")</f>
        <v/>
      </c>
      <c r="AL512" s="1" t="n">
        <f aca="false">IFERROR(I512*1,0)</f>
        <v>0</v>
      </c>
      <c r="AM512" s="1" t="n">
        <f aca="false">N(AM511)+IF(AND(R512="WON",B512&lt;&gt;""),1,0)</f>
        <v>12</v>
      </c>
      <c r="AN512" s="1" t="n">
        <f aca="false">N(AN511)+IF(AND(OR(R512="offered",R512="to be offered",R512="on hold"),B512&lt;&gt;""),1,0)</f>
        <v>33</v>
      </c>
      <c r="AO512" s="1" t="n">
        <f aca="false">N(AO511)+IF(AND(OR(R512="follow-up",R512="Evaluation",R512="tbd",R512="In evaluation"),B512&lt;&gt;""),1,0)</f>
        <v>1</v>
      </c>
      <c r="AP512" s="1" t="n">
        <f aca="false">IF(B512="",0,IF(COUNTIF('⚖️ Wahrscheinlichkeit'!$J$17:$J$24,R512)&gt;0,1,0))</f>
        <v>0</v>
      </c>
      <c r="AQ512" s="1" t="n">
        <f aca="false">IF(B512="",0,IF(AND(ISNUMBER(S512),COUNTIF('⚖️ Wahrscheinlichkeit'!$B$6:$B$11,S512)&gt;0),1,0))</f>
        <v>0</v>
      </c>
      <c r="AR512" s="1" t="n">
        <f aca="false">IF(B512="",0,IF(AND(COUNT(J512:M512)=4,SUM(J512:M512)&gt;0),1,0))</f>
        <v>0</v>
      </c>
      <c r="AS512" s="1" t="n">
        <f aca="false">IF(B512="",0,IF(AND(AF512&lt;&gt;"",AG512&lt;&gt;""),1,0))</f>
        <v>0</v>
      </c>
      <c r="AT512" s="1" t="n">
        <f aca="false">IF(AND(R512="WON",AS512=1,AR512=1),1,0)</f>
        <v>0</v>
      </c>
      <c r="AU512" s="1" t="n">
        <f aca="false">IF(B512="",0,IF(AD512="Alternative – zählt nicht",0,1))</f>
        <v>0</v>
      </c>
      <c r="AV512" s="1" t="n">
        <f aca="false">IF(B512="",0,IF(COUNTIF($B$6:$B$860,B512)&gt;1,1,0))</f>
        <v>0</v>
      </c>
      <c r="AX512" s="269" t="str">
        <f aca="false">IF(AY512=1,DATE(YEAR(O512),MONTH(O512),1),"")</f>
        <v/>
      </c>
      <c r="AY512" s="1" t="n">
        <f aca="false">IF(B512="",0,IF(AND(ISNUMBER(O512),ISNUMBER(P512)),IF(P512&gt;=O512,1,0),0))</f>
        <v>0</v>
      </c>
      <c r="AZ512" s="1" t="n">
        <f aca="false">IF(ISNUMBER(Y512),Y512,0)</f>
        <v>0</v>
      </c>
      <c r="BA512" s="1" t="str">
        <f aca="false">IF(B512="","",IF(AND(R512="WON",AS512=0),"⛔ Beleg fehlt · ","")&amp;IF(AND(R512="WON",AR512=0),"⛔ Einstand fehlt · ","")&amp;IF(AND(R512&lt;&gt;"WON",AR512=0),"○ Einstand offen · ","")&amp;IF(AND(R512="WON",AB512=""),"⛔ Vertragsart fehlt · ","")&amp;IF(AND(ISNUMBER(O512),ISNUMBER(P512)),IF(P512&lt;O512,"⚠ Ende vor Start · ",""),"")&amp;IF(AND(R512="WON",AY512=0,NOT(AND(ISNUMBER(O512),ISNUMBER(P512)))),"⛔ Zeitraum fehlt · ","")&amp;IF(AND(R512&lt;&gt;"WON",AY512=0,NOT(AND(ISNUMBER(O512),ISNUMBER(P512)))),"○ Zeitraum offen · ",""))</f>
        <v/>
      </c>
      <c r="BB512" s="1" t="str">
        <f aca="false">IF(B512="","",IF(AND(R512="WON",AS512=0),"⛔ Nachweis fehlt",IF(AND(ISNUMBER(O512),ISNUMBER(P512),P512&lt;O512),"⚠ Ende vor Start",IF(AND(R512="WON",AY512=0),"⛔ Zeitraum fehlt",IF(AR512=0,"○ Einstand offen",IF(AY512=0,"○ Zeitraum offen",IF(R512="WON","✅ belegt","✔ erfasst")))))))</f>
        <v/>
      </c>
    </row>
    <row r="513" customFormat="false" ht="15" hidden="false" customHeight="true" outlineLevel="0" collapsed="false">
      <c r="G513" s="1" t="str">
        <f aca="false">IF(B513="","",IF(AY513=1,P513-O513+1,IF(AW513="","",AW513)))</f>
        <v/>
      </c>
      <c r="I513" s="270"/>
      <c r="J513" s="270"/>
      <c r="K513" s="270"/>
      <c r="L513" s="270"/>
      <c r="M513" s="270"/>
      <c r="N513" s="270"/>
      <c r="O513" s="263"/>
      <c r="P513" s="263"/>
      <c r="Q513" s="270" t="str">
        <f aca="false">IF(AND(ISNUMBER(I513),ISNUMBER(S513)),I513*AJ513,IF(OR(I513&lt;&gt;"",S513&lt;&gt;""),"tbd",""))</f>
        <v/>
      </c>
      <c r="S513" s="268"/>
      <c r="Y513" s="275" t="str">
        <f aca="false">IF(ISNUMBER(I513),I513/Netto_Faktor,"")</f>
        <v/>
      </c>
      <c r="Z513" s="275" t="str">
        <f aca="false">IF(B513="","",IF(COUNT(J513:N513)=0,"",SUM(J513:N513)))</f>
        <v/>
      </c>
      <c r="AA513" s="266"/>
      <c r="AB513" s="266"/>
      <c r="AC513" s="266"/>
      <c r="AD513" s="266"/>
      <c r="AE513" s="266"/>
      <c r="AF513" s="266"/>
      <c r="AG513" s="267"/>
      <c r="AH513" s="266" t="str">
        <f aca="false">IF(B513="","",IF(BA513="",IF(R513="WON","✅ belegt &amp; vollständig","✔ vollständig"),LEFT(BA513,LEN(BA513)-3)))</f>
        <v/>
      </c>
      <c r="AJ513" s="268" t="n">
        <f aca="false">IF(ISNUMBER(S513),IFERROR(LOOKUP(IF(S513&lt;=1,S513,S513/100),'⚖️ Wahrscheinlichkeit'!$B$17:$B$21,'⚖️ Wahrscheinlichkeit'!$D$17:$D$21),0),0)</f>
        <v>0</v>
      </c>
      <c r="AK513" s="1" t="str">
        <f aca="false">IF(AND(R513="WON",ISNUMBER(I513)),AL513+(861-ROW())*0.000001,"")</f>
        <v/>
      </c>
      <c r="AL513" s="1" t="n">
        <f aca="false">IFERROR(I513*1,0)</f>
        <v>0</v>
      </c>
      <c r="AM513" s="1" t="n">
        <f aca="false">N(AM512)+IF(AND(R513="WON",B513&lt;&gt;""),1,0)</f>
        <v>12</v>
      </c>
      <c r="AN513" s="1" t="n">
        <f aca="false">N(AN512)+IF(AND(OR(R513="offered",R513="to be offered",R513="on hold"),B513&lt;&gt;""),1,0)</f>
        <v>33</v>
      </c>
      <c r="AO513" s="1" t="n">
        <f aca="false">N(AO512)+IF(AND(OR(R513="follow-up",R513="Evaluation",R513="tbd",R513="In evaluation"),B513&lt;&gt;""),1,0)</f>
        <v>1</v>
      </c>
      <c r="AP513" s="1" t="n">
        <f aca="false">IF(B513="",0,IF(COUNTIF('⚖️ Wahrscheinlichkeit'!$J$17:$J$24,R513)&gt;0,1,0))</f>
        <v>0</v>
      </c>
      <c r="AQ513" s="1" t="n">
        <f aca="false">IF(B513="",0,IF(AND(ISNUMBER(S513),COUNTIF('⚖️ Wahrscheinlichkeit'!$B$6:$B$11,S513)&gt;0),1,0))</f>
        <v>0</v>
      </c>
      <c r="AR513" s="1" t="n">
        <f aca="false">IF(B513="",0,IF(AND(COUNT(J513:M513)=4,SUM(J513:M513)&gt;0),1,0))</f>
        <v>0</v>
      </c>
      <c r="AS513" s="1" t="n">
        <f aca="false">IF(B513="",0,IF(AND(AF513&lt;&gt;"",AG513&lt;&gt;""),1,0))</f>
        <v>0</v>
      </c>
      <c r="AT513" s="1" t="n">
        <f aca="false">IF(AND(R513="WON",AS513=1,AR513=1),1,0)</f>
        <v>0</v>
      </c>
      <c r="AU513" s="1" t="n">
        <f aca="false">IF(B513="",0,IF(AD513="Alternative – zählt nicht",0,1))</f>
        <v>0</v>
      </c>
      <c r="AV513" s="1" t="n">
        <f aca="false">IF(B513="",0,IF(COUNTIF($B$6:$B$860,B513)&gt;1,1,0))</f>
        <v>0</v>
      </c>
      <c r="AX513" s="269" t="str">
        <f aca="false">IF(AY513=1,DATE(YEAR(O513),MONTH(O513),1),"")</f>
        <v/>
      </c>
      <c r="AY513" s="1" t="n">
        <f aca="false">IF(B513="",0,IF(AND(ISNUMBER(O513),ISNUMBER(P513)),IF(P513&gt;=O513,1,0),0))</f>
        <v>0</v>
      </c>
      <c r="AZ513" s="1" t="n">
        <f aca="false">IF(ISNUMBER(Y513),Y513,0)</f>
        <v>0</v>
      </c>
      <c r="BA513" s="1" t="str">
        <f aca="false">IF(B513="","",IF(AND(R513="WON",AS513=0),"⛔ Beleg fehlt · ","")&amp;IF(AND(R513="WON",AR513=0),"⛔ Einstand fehlt · ","")&amp;IF(AND(R513&lt;&gt;"WON",AR513=0),"○ Einstand offen · ","")&amp;IF(AND(R513="WON",AB513=""),"⛔ Vertragsart fehlt · ","")&amp;IF(AND(ISNUMBER(O513),ISNUMBER(P513)),IF(P513&lt;O513,"⚠ Ende vor Start · ",""),"")&amp;IF(AND(R513="WON",AY513=0,NOT(AND(ISNUMBER(O513),ISNUMBER(P513)))),"⛔ Zeitraum fehlt · ","")&amp;IF(AND(R513&lt;&gt;"WON",AY513=0,NOT(AND(ISNUMBER(O513),ISNUMBER(P513)))),"○ Zeitraum offen · ",""))</f>
        <v/>
      </c>
      <c r="BB513" s="1" t="str">
        <f aca="false">IF(B513="","",IF(AND(R513="WON",AS513=0),"⛔ Nachweis fehlt",IF(AND(ISNUMBER(O513),ISNUMBER(P513),P513&lt;O513),"⚠ Ende vor Start",IF(AND(R513="WON",AY513=0),"⛔ Zeitraum fehlt",IF(AR513=0,"○ Einstand offen",IF(AY513=0,"○ Zeitraum offen",IF(R513="WON","✅ belegt","✔ erfasst")))))))</f>
        <v/>
      </c>
    </row>
    <row r="514" customFormat="false" ht="15" hidden="false" customHeight="true" outlineLevel="0" collapsed="false">
      <c r="G514" s="1" t="str">
        <f aca="false">IF(B514="","",IF(AY514=1,P514-O514+1,IF(AW514="","",AW514)))</f>
        <v/>
      </c>
      <c r="I514" s="270"/>
      <c r="J514" s="270"/>
      <c r="K514" s="270"/>
      <c r="L514" s="270"/>
      <c r="M514" s="270"/>
      <c r="N514" s="270"/>
      <c r="O514" s="263"/>
      <c r="P514" s="263"/>
      <c r="Q514" s="270" t="str">
        <f aca="false">IF(AND(ISNUMBER(I514),ISNUMBER(S514)),I514*AJ514,IF(OR(I514&lt;&gt;"",S514&lt;&gt;""),"tbd",""))</f>
        <v/>
      </c>
      <c r="S514" s="268"/>
      <c r="Y514" s="275" t="str">
        <f aca="false">IF(ISNUMBER(I514),I514/Netto_Faktor,"")</f>
        <v/>
      </c>
      <c r="Z514" s="275" t="str">
        <f aca="false">IF(B514="","",IF(COUNT(J514:N514)=0,"",SUM(J514:N514)))</f>
        <v/>
      </c>
      <c r="AA514" s="266"/>
      <c r="AB514" s="266"/>
      <c r="AC514" s="266"/>
      <c r="AD514" s="266"/>
      <c r="AE514" s="266"/>
      <c r="AF514" s="266"/>
      <c r="AG514" s="267"/>
      <c r="AH514" s="266" t="str">
        <f aca="false">IF(B514="","",IF(BA514="",IF(R514="WON","✅ belegt &amp; vollständig","✔ vollständig"),LEFT(BA514,LEN(BA514)-3)))</f>
        <v/>
      </c>
      <c r="AJ514" s="268" t="n">
        <f aca="false">IF(ISNUMBER(S514),IFERROR(LOOKUP(IF(S514&lt;=1,S514,S514/100),'⚖️ Wahrscheinlichkeit'!$B$17:$B$21,'⚖️ Wahrscheinlichkeit'!$D$17:$D$21),0),0)</f>
        <v>0</v>
      </c>
      <c r="AK514" s="1" t="str">
        <f aca="false">IF(AND(R514="WON",ISNUMBER(I514)),AL514+(861-ROW())*0.000001,"")</f>
        <v/>
      </c>
      <c r="AL514" s="1" t="n">
        <f aca="false">IFERROR(I514*1,0)</f>
        <v>0</v>
      </c>
      <c r="AM514" s="1" t="n">
        <f aca="false">N(AM513)+IF(AND(R514="WON",B514&lt;&gt;""),1,0)</f>
        <v>12</v>
      </c>
      <c r="AN514" s="1" t="n">
        <f aca="false">N(AN513)+IF(AND(OR(R514="offered",R514="to be offered",R514="on hold"),B514&lt;&gt;""),1,0)</f>
        <v>33</v>
      </c>
      <c r="AO514" s="1" t="n">
        <f aca="false">N(AO513)+IF(AND(OR(R514="follow-up",R514="Evaluation",R514="tbd",R514="In evaluation"),B514&lt;&gt;""),1,0)</f>
        <v>1</v>
      </c>
      <c r="AP514" s="1" t="n">
        <f aca="false">IF(B514="",0,IF(COUNTIF('⚖️ Wahrscheinlichkeit'!$J$17:$J$24,R514)&gt;0,1,0))</f>
        <v>0</v>
      </c>
      <c r="AQ514" s="1" t="n">
        <f aca="false">IF(B514="",0,IF(AND(ISNUMBER(S514),COUNTIF('⚖️ Wahrscheinlichkeit'!$B$6:$B$11,S514)&gt;0),1,0))</f>
        <v>0</v>
      </c>
      <c r="AR514" s="1" t="n">
        <f aca="false">IF(B514="",0,IF(AND(COUNT(J514:M514)=4,SUM(J514:M514)&gt;0),1,0))</f>
        <v>0</v>
      </c>
      <c r="AS514" s="1" t="n">
        <f aca="false">IF(B514="",0,IF(AND(AF514&lt;&gt;"",AG514&lt;&gt;""),1,0))</f>
        <v>0</v>
      </c>
      <c r="AT514" s="1" t="n">
        <f aca="false">IF(AND(R514="WON",AS514=1,AR514=1),1,0)</f>
        <v>0</v>
      </c>
      <c r="AU514" s="1" t="n">
        <f aca="false">IF(B514="",0,IF(AD514="Alternative – zählt nicht",0,1))</f>
        <v>0</v>
      </c>
      <c r="AV514" s="1" t="n">
        <f aca="false">IF(B514="",0,IF(COUNTIF($B$6:$B$860,B514)&gt;1,1,0))</f>
        <v>0</v>
      </c>
      <c r="AX514" s="269" t="str">
        <f aca="false">IF(AY514=1,DATE(YEAR(O514),MONTH(O514),1),"")</f>
        <v/>
      </c>
      <c r="AY514" s="1" t="n">
        <f aca="false">IF(B514="",0,IF(AND(ISNUMBER(O514),ISNUMBER(P514)),IF(P514&gt;=O514,1,0),0))</f>
        <v>0</v>
      </c>
      <c r="AZ514" s="1" t="n">
        <f aca="false">IF(ISNUMBER(Y514),Y514,0)</f>
        <v>0</v>
      </c>
      <c r="BA514" s="1" t="str">
        <f aca="false">IF(B514="","",IF(AND(R514="WON",AS514=0),"⛔ Beleg fehlt · ","")&amp;IF(AND(R514="WON",AR514=0),"⛔ Einstand fehlt · ","")&amp;IF(AND(R514&lt;&gt;"WON",AR514=0),"○ Einstand offen · ","")&amp;IF(AND(R514="WON",AB514=""),"⛔ Vertragsart fehlt · ","")&amp;IF(AND(ISNUMBER(O514),ISNUMBER(P514)),IF(P514&lt;O514,"⚠ Ende vor Start · ",""),"")&amp;IF(AND(R514="WON",AY514=0,NOT(AND(ISNUMBER(O514),ISNUMBER(P514)))),"⛔ Zeitraum fehlt · ","")&amp;IF(AND(R514&lt;&gt;"WON",AY514=0,NOT(AND(ISNUMBER(O514),ISNUMBER(P514)))),"○ Zeitraum offen · ",""))</f>
        <v/>
      </c>
      <c r="BB514" s="1" t="str">
        <f aca="false">IF(B514="","",IF(AND(R514="WON",AS514=0),"⛔ Nachweis fehlt",IF(AND(ISNUMBER(O514),ISNUMBER(P514),P514&lt;O514),"⚠ Ende vor Start",IF(AND(R514="WON",AY514=0),"⛔ Zeitraum fehlt",IF(AR514=0,"○ Einstand offen",IF(AY514=0,"○ Zeitraum offen",IF(R514="WON","✅ belegt","✔ erfasst")))))))</f>
        <v/>
      </c>
    </row>
    <row r="515" customFormat="false" ht="15" hidden="false" customHeight="true" outlineLevel="0" collapsed="false">
      <c r="G515" s="1" t="str">
        <f aca="false">IF(B515="","",IF(AY515=1,P515-O515+1,IF(AW515="","",AW515)))</f>
        <v/>
      </c>
      <c r="I515" s="270"/>
      <c r="J515" s="270"/>
      <c r="K515" s="270"/>
      <c r="L515" s="270"/>
      <c r="M515" s="270"/>
      <c r="N515" s="270"/>
      <c r="O515" s="263"/>
      <c r="P515" s="263"/>
      <c r="Q515" s="270" t="str">
        <f aca="false">IF(AND(ISNUMBER(I515),ISNUMBER(S515)),I515*AJ515,IF(OR(I515&lt;&gt;"",S515&lt;&gt;""),"tbd",""))</f>
        <v/>
      </c>
      <c r="S515" s="268"/>
      <c r="Y515" s="275" t="str">
        <f aca="false">IF(ISNUMBER(I515),I515/Netto_Faktor,"")</f>
        <v/>
      </c>
      <c r="Z515" s="275" t="str">
        <f aca="false">IF(B515="","",IF(COUNT(J515:N515)=0,"",SUM(J515:N515)))</f>
        <v/>
      </c>
      <c r="AA515" s="266"/>
      <c r="AB515" s="266"/>
      <c r="AC515" s="266"/>
      <c r="AD515" s="266"/>
      <c r="AE515" s="266"/>
      <c r="AF515" s="266"/>
      <c r="AG515" s="267"/>
      <c r="AH515" s="266" t="str">
        <f aca="false">IF(B515="","",IF(BA515="",IF(R515="WON","✅ belegt &amp; vollständig","✔ vollständig"),LEFT(BA515,LEN(BA515)-3)))</f>
        <v/>
      </c>
      <c r="AJ515" s="268" t="n">
        <f aca="false">IF(ISNUMBER(S515),IFERROR(LOOKUP(IF(S515&lt;=1,S515,S515/100),'⚖️ Wahrscheinlichkeit'!$B$17:$B$21,'⚖️ Wahrscheinlichkeit'!$D$17:$D$21),0),0)</f>
        <v>0</v>
      </c>
      <c r="AK515" s="1" t="str">
        <f aca="false">IF(AND(R515="WON",ISNUMBER(I515)),AL515+(861-ROW())*0.000001,"")</f>
        <v/>
      </c>
      <c r="AL515" s="1" t="n">
        <f aca="false">IFERROR(I515*1,0)</f>
        <v>0</v>
      </c>
      <c r="AM515" s="1" t="n">
        <f aca="false">N(AM514)+IF(AND(R515="WON",B515&lt;&gt;""),1,0)</f>
        <v>12</v>
      </c>
      <c r="AN515" s="1" t="n">
        <f aca="false">N(AN514)+IF(AND(OR(R515="offered",R515="to be offered",R515="on hold"),B515&lt;&gt;""),1,0)</f>
        <v>33</v>
      </c>
      <c r="AO515" s="1" t="n">
        <f aca="false">N(AO514)+IF(AND(OR(R515="follow-up",R515="Evaluation",R515="tbd",R515="In evaluation"),B515&lt;&gt;""),1,0)</f>
        <v>1</v>
      </c>
      <c r="AP515" s="1" t="n">
        <f aca="false">IF(B515="",0,IF(COUNTIF('⚖️ Wahrscheinlichkeit'!$J$17:$J$24,R515)&gt;0,1,0))</f>
        <v>0</v>
      </c>
      <c r="AQ515" s="1" t="n">
        <f aca="false">IF(B515="",0,IF(AND(ISNUMBER(S515),COUNTIF('⚖️ Wahrscheinlichkeit'!$B$6:$B$11,S515)&gt;0),1,0))</f>
        <v>0</v>
      </c>
      <c r="AR515" s="1" t="n">
        <f aca="false">IF(B515="",0,IF(AND(COUNT(J515:M515)=4,SUM(J515:M515)&gt;0),1,0))</f>
        <v>0</v>
      </c>
      <c r="AS515" s="1" t="n">
        <f aca="false">IF(B515="",0,IF(AND(AF515&lt;&gt;"",AG515&lt;&gt;""),1,0))</f>
        <v>0</v>
      </c>
      <c r="AT515" s="1" t="n">
        <f aca="false">IF(AND(R515="WON",AS515=1,AR515=1),1,0)</f>
        <v>0</v>
      </c>
      <c r="AU515" s="1" t="n">
        <f aca="false">IF(B515="",0,IF(AD515="Alternative – zählt nicht",0,1))</f>
        <v>0</v>
      </c>
      <c r="AV515" s="1" t="n">
        <f aca="false">IF(B515="",0,IF(COUNTIF($B$6:$B$860,B515)&gt;1,1,0))</f>
        <v>0</v>
      </c>
      <c r="AX515" s="269" t="str">
        <f aca="false">IF(AY515=1,DATE(YEAR(O515),MONTH(O515),1),"")</f>
        <v/>
      </c>
      <c r="AY515" s="1" t="n">
        <f aca="false">IF(B515="",0,IF(AND(ISNUMBER(O515),ISNUMBER(P515)),IF(P515&gt;=O515,1,0),0))</f>
        <v>0</v>
      </c>
      <c r="AZ515" s="1" t="n">
        <f aca="false">IF(ISNUMBER(Y515),Y515,0)</f>
        <v>0</v>
      </c>
      <c r="BA515" s="1" t="str">
        <f aca="false">IF(B515="","",IF(AND(R515="WON",AS515=0),"⛔ Beleg fehlt · ","")&amp;IF(AND(R515="WON",AR515=0),"⛔ Einstand fehlt · ","")&amp;IF(AND(R515&lt;&gt;"WON",AR515=0),"○ Einstand offen · ","")&amp;IF(AND(R515="WON",AB515=""),"⛔ Vertragsart fehlt · ","")&amp;IF(AND(ISNUMBER(O515),ISNUMBER(P515)),IF(P515&lt;O515,"⚠ Ende vor Start · ",""),"")&amp;IF(AND(R515="WON",AY515=0,NOT(AND(ISNUMBER(O515),ISNUMBER(P515)))),"⛔ Zeitraum fehlt · ","")&amp;IF(AND(R515&lt;&gt;"WON",AY515=0,NOT(AND(ISNUMBER(O515),ISNUMBER(P515)))),"○ Zeitraum offen · ",""))</f>
        <v/>
      </c>
      <c r="BB515" s="1" t="str">
        <f aca="false">IF(B515="","",IF(AND(R515="WON",AS515=0),"⛔ Nachweis fehlt",IF(AND(ISNUMBER(O515),ISNUMBER(P515),P515&lt;O515),"⚠ Ende vor Start",IF(AND(R515="WON",AY515=0),"⛔ Zeitraum fehlt",IF(AR515=0,"○ Einstand offen",IF(AY515=0,"○ Zeitraum offen",IF(R515="WON","✅ belegt","✔ erfasst")))))))</f>
        <v/>
      </c>
    </row>
    <row r="516" customFormat="false" ht="15" hidden="false" customHeight="true" outlineLevel="0" collapsed="false">
      <c r="G516" s="1" t="str">
        <f aca="false">IF(B516="","",IF(AY516=1,P516-O516+1,IF(AW516="","",AW516)))</f>
        <v/>
      </c>
      <c r="I516" s="270"/>
      <c r="J516" s="270"/>
      <c r="K516" s="270"/>
      <c r="L516" s="270"/>
      <c r="M516" s="270"/>
      <c r="N516" s="270"/>
      <c r="O516" s="263"/>
      <c r="P516" s="263"/>
      <c r="Q516" s="270" t="str">
        <f aca="false">IF(AND(ISNUMBER(I516),ISNUMBER(S516)),I516*AJ516,IF(OR(I516&lt;&gt;"",S516&lt;&gt;""),"tbd",""))</f>
        <v/>
      </c>
      <c r="S516" s="268"/>
      <c r="Y516" s="275" t="str">
        <f aca="false">IF(ISNUMBER(I516),I516/Netto_Faktor,"")</f>
        <v/>
      </c>
      <c r="Z516" s="275" t="str">
        <f aca="false">IF(B516="","",IF(COUNT(J516:N516)=0,"",SUM(J516:N516)))</f>
        <v/>
      </c>
      <c r="AA516" s="266"/>
      <c r="AB516" s="266"/>
      <c r="AC516" s="266"/>
      <c r="AD516" s="266"/>
      <c r="AE516" s="266"/>
      <c r="AF516" s="266"/>
      <c r="AG516" s="267"/>
      <c r="AH516" s="266" t="str">
        <f aca="false">IF(B516="","",IF(BA516="",IF(R516="WON","✅ belegt &amp; vollständig","✔ vollständig"),LEFT(BA516,LEN(BA516)-3)))</f>
        <v/>
      </c>
      <c r="AJ516" s="268" t="n">
        <f aca="false">IF(ISNUMBER(S516),IFERROR(LOOKUP(IF(S516&lt;=1,S516,S516/100),'⚖️ Wahrscheinlichkeit'!$B$17:$B$21,'⚖️ Wahrscheinlichkeit'!$D$17:$D$21),0),0)</f>
        <v>0</v>
      </c>
      <c r="AK516" s="1" t="str">
        <f aca="false">IF(AND(R516="WON",ISNUMBER(I516)),AL516+(861-ROW())*0.000001,"")</f>
        <v/>
      </c>
      <c r="AL516" s="1" t="n">
        <f aca="false">IFERROR(I516*1,0)</f>
        <v>0</v>
      </c>
      <c r="AM516" s="1" t="n">
        <f aca="false">N(AM515)+IF(AND(R516="WON",B516&lt;&gt;""),1,0)</f>
        <v>12</v>
      </c>
      <c r="AN516" s="1" t="n">
        <f aca="false">N(AN515)+IF(AND(OR(R516="offered",R516="to be offered",R516="on hold"),B516&lt;&gt;""),1,0)</f>
        <v>33</v>
      </c>
      <c r="AO516" s="1" t="n">
        <f aca="false">N(AO515)+IF(AND(OR(R516="follow-up",R516="Evaluation",R516="tbd",R516="In evaluation"),B516&lt;&gt;""),1,0)</f>
        <v>1</v>
      </c>
      <c r="AP516" s="1" t="n">
        <f aca="false">IF(B516="",0,IF(COUNTIF('⚖️ Wahrscheinlichkeit'!$J$17:$J$24,R516)&gt;0,1,0))</f>
        <v>0</v>
      </c>
      <c r="AQ516" s="1" t="n">
        <f aca="false">IF(B516="",0,IF(AND(ISNUMBER(S516),COUNTIF('⚖️ Wahrscheinlichkeit'!$B$6:$B$11,S516)&gt;0),1,0))</f>
        <v>0</v>
      </c>
      <c r="AR516" s="1" t="n">
        <f aca="false">IF(B516="",0,IF(AND(COUNT(J516:M516)=4,SUM(J516:M516)&gt;0),1,0))</f>
        <v>0</v>
      </c>
      <c r="AS516" s="1" t="n">
        <f aca="false">IF(B516="",0,IF(AND(AF516&lt;&gt;"",AG516&lt;&gt;""),1,0))</f>
        <v>0</v>
      </c>
      <c r="AT516" s="1" t="n">
        <f aca="false">IF(AND(R516="WON",AS516=1,AR516=1),1,0)</f>
        <v>0</v>
      </c>
      <c r="AU516" s="1" t="n">
        <f aca="false">IF(B516="",0,IF(AD516="Alternative – zählt nicht",0,1))</f>
        <v>0</v>
      </c>
      <c r="AV516" s="1" t="n">
        <f aca="false">IF(B516="",0,IF(COUNTIF($B$6:$B$860,B516)&gt;1,1,0))</f>
        <v>0</v>
      </c>
      <c r="AX516" s="269" t="str">
        <f aca="false">IF(AY516=1,DATE(YEAR(O516),MONTH(O516),1),"")</f>
        <v/>
      </c>
      <c r="AY516" s="1" t="n">
        <f aca="false">IF(B516="",0,IF(AND(ISNUMBER(O516),ISNUMBER(P516)),IF(P516&gt;=O516,1,0),0))</f>
        <v>0</v>
      </c>
      <c r="AZ516" s="1" t="n">
        <f aca="false">IF(ISNUMBER(Y516),Y516,0)</f>
        <v>0</v>
      </c>
      <c r="BA516" s="1" t="str">
        <f aca="false">IF(B516="","",IF(AND(R516="WON",AS516=0),"⛔ Beleg fehlt · ","")&amp;IF(AND(R516="WON",AR516=0),"⛔ Einstand fehlt · ","")&amp;IF(AND(R516&lt;&gt;"WON",AR516=0),"○ Einstand offen · ","")&amp;IF(AND(R516="WON",AB516=""),"⛔ Vertragsart fehlt · ","")&amp;IF(AND(ISNUMBER(O516),ISNUMBER(P516)),IF(P516&lt;O516,"⚠ Ende vor Start · ",""),"")&amp;IF(AND(R516="WON",AY516=0,NOT(AND(ISNUMBER(O516),ISNUMBER(P516)))),"⛔ Zeitraum fehlt · ","")&amp;IF(AND(R516&lt;&gt;"WON",AY516=0,NOT(AND(ISNUMBER(O516),ISNUMBER(P516)))),"○ Zeitraum offen · ",""))</f>
        <v/>
      </c>
      <c r="BB516" s="1" t="str">
        <f aca="false">IF(B516="","",IF(AND(R516="WON",AS516=0),"⛔ Nachweis fehlt",IF(AND(ISNUMBER(O516),ISNUMBER(P516),P516&lt;O516),"⚠ Ende vor Start",IF(AND(R516="WON",AY516=0),"⛔ Zeitraum fehlt",IF(AR516=0,"○ Einstand offen",IF(AY516=0,"○ Zeitraum offen",IF(R516="WON","✅ belegt","✔ erfasst")))))))</f>
        <v/>
      </c>
    </row>
    <row r="517" customFormat="false" ht="15" hidden="false" customHeight="true" outlineLevel="0" collapsed="false">
      <c r="G517" s="1" t="str">
        <f aca="false">IF(B517="","",IF(AY517=1,P517-O517+1,IF(AW517="","",AW517)))</f>
        <v/>
      </c>
      <c r="I517" s="270"/>
      <c r="J517" s="270"/>
      <c r="K517" s="270"/>
      <c r="L517" s="270"/>
      <c r="M517" s="270"/>
      <c r="N517" s="270"/>
      <c r="O517" s="263"/>
      <c r="P517" s="263"/>
      <c r="Q517" s="270" t="str">
        <f aca="false">IF(AND(ISNUMBER(I517),ISNUMBER(S517)),I517*AJ517,IF(OR(I517&lt;&gt;"",S517&lt;&gt;""),"tbd",""))</f>
        <v/>
      </c>
      <c r="S517" s="268"/>
      <c r="Y517" s="275" t="str">
        <f aca="false">IF(ISNUMBER(I517),I517/Netto_Faktor,"")</f>
        <v/>
      </c>
      <c r="Z517" s="275" t="str">
        <f aca="false">IF(B517="","",IF(COUNT(J517:N517)=0,"",SUM(J517:N517)))</f>
        <v/>
      </c>
      <c r="AA517" s="266"/>
      <c r="AB517" s="266"/>
      <c r="AC517" s="266"/>
      <c r="AD517" s="266"/>
      <c r="AE517" s="266"/>
      <c r="AF517" s="266"/>
      <c r="AG517" s="267"/>
      <c r="AH517" s="266" t="str">
        <f aca="false">IF(B517="","",IF(BA517="",IF(R517="WON","✅ belegt &amp; vollständig","✔ vollständig"),LEFT(BA517,LEN(BA517)-3)))</f>
        <v/>
      </c>
      <c r="AJ517" s="268" t="n">
        <f aca="false">IF(ISNUMBER(S517),IFERROR(LOOKUP(IF(S517&lt;=1,S517,S517/100),'⚖️ Wahrscheinlichkeit'!$B$17:$B$21,'⚖️ Wahrscheinlichkeit'!$D$17:$D$21),0),0)</f>
        <v>0</v>
      </c>
      <c r="AK517" s="1" t="str">
        <f aca="false">IF(AND(R517="WON",ISNUMBER(I517)),AL517+(861-ROW())*0.000001,"")</f>
        <v/>
      </c>
      <c r="AL517" s="1" t="n">
        <f aca="false">IFERROR(I517*1,0)</f>
        <v>0</v>
      </c>
      <c r="AM517" s="1" t="n">
        <f aca="false">N(AM516)+IF(AND(R517="WON",B517&lt;&gt;""),1,0)</f>
        <v>12</v>
      </c>
      <c r="AN517" s="1" t="n">
        <f aca="false">N(AN516)+IF(AND(OR(R517="offered",R517="to be offered",R517="on hold"),B517&lt;&gt;""),1,0)</f>
        <v>33</v>
      </c>
      <c r="AO517" s="1" t="n">
        <f aca="false">N(AO516)+IF(AND(OR(R517="follow-up",R517="Evaluation",R517="tbd",R517="In evaluation"),B517&lt;&gt;""),1,0)</f>
        <v>1</v>
      </c>
      <c r="AP517" s="1" t="n">
        <f aca="false">IF(B517="",0,IF(COUNTIF('⚖️ Wahrscheinlichkeit'!$J$17:$J$24,R517)&gt;0,1,0))</f>
        <v>0</v>
      </c>
      <c r="AQ517" s="1" t="n">
        <f aca="false">IF(B517="",0,IF(AND(ISNUMBER(S517),COUNTIF('⚖️ Wahrscheinlichkeit'!$B$6:$B$11,S517)&gt;0),1,0))</f>
        <v>0</v>
      </c>
      <c r="AR517" s="1" t="n">
        <f aca="false">IF(B517="",0,IF(AND(COUNT(J517:M517)=4,SUM(J517:M517)&gt;0),1,0))</f>
        <v>0</v>
      </c>
      <c r="AS517" s="1" t="n">
        <f aca="false">IF(B517="",0,IF(AND(AF517&lt;&gt;"",AG517&lt;&gt;""),1,0))</f>
        <v>0</v>
      </c>
      <c r="AT517" s="1" t="n">
        <f aca="false">IF(AND(R517="WON",AS517=1,AR517=1),1,0)</f>
        <v>0</v>
      </c>
      <c r="AU517" s="1" t="n">
        <f aca="false">IF(B517="",0,IF(AD517="Alternative – zählt nicht",0,1))</f>
        <v>0</v>
      </c>
      <c r="AV517" s="1" t="n">
        <f aca="false">IF(B517="",0,IF(COUNTIF($B$6:$B$860,B517)&gt;1,1,0))</f>
        <v>0</v>
      </c>
      <c r="AX517" s="269" t="str">
        <f aca="false">IF(AY517=1,DATE(YEAR(O517),MONTH(O517),1),"")</f>
        <v/>
      </c>
      <c r="AY517" s="1" t="n">
        <f aca="false">IF(B517="",0,IF(AND(ISNUMBER(O517),ISNUMBER(P517)),IF(P517&gt;=O517,1,0),0))</f>
        <v>0</v>
      </c>
      <c r="AZ517" s="1" t="n">
        <f aca="false">IF(ISNUMBER(Y517),Y517,0)</f>
        <v>0</v>
      </c>
      <c r="BA517" s="1" t="str">
        <f aca="false">IF(B517="","",IF(AND(R517="WON",AS517=0),"⛔ Beleg fehlt · ","")&amp;IF(AND(R517="WON",AR517=0),"⛔ Einstand fehlt · ","")&amp;IF(AND(R517&lt;&gt;"WON",AR517=0),"○ Einstand offen · ","")&amp;IF(AND(R517="WON",AB517=""),"⛔ Vertragsart fehlt · ","")&amp;IF(AND(ISNUMBER(O517),ISNUMBER(P517)),IF(P517&lt;O517,"⚠ Ende vor Start · ",""),"")&amp;IF(AND(R517="WON",AY517=0,NOT(AND(ISNUMBER(O517),ISNUMBER(P517)))),"⛔ Zeitraum fehlt · ","")&amp;IF(AND(R517&lt;&gt;"WON",AY517=0,NOT(AND(ISNUMBER(O517),ISNUMBER(P517)))),"○ Zeitraum offen · ",""))</f>
        <v/>
      </c>
      <c r="BB517" s="1" t="str">
        <f aca="false">IF(B517="","",IF(AND(R517="WON",AS517=0),"⛔ Nachweis fehlt",IF(AND(ISNUMBER(O517),ISNUMBER(P517),P517&lt;O517),"⚠ Ende vor Start",IF(AND(R517="WON",AY517=0),"⛔ Zeitraum fehlt",IF(AR517=0,"○ Einstand offen",IF(AY517=0,"○ Zeitraum offen",IF(R517="WON","✅ belegt","✔ erfasst")))))))</f>
        <v/>
      </c>
    </row>
    <row r="518" customFormat="false" ht="15" hidden="false" customHeight="true" outlineLevel="0" collapsed="false">
      <c r="G518" s="1" t="str">
        <f aca="false">IF(B518="","",IF(AY518=1,P518-O518+1,IF(AW518="","",AW518)))</f>
        <v/>
      </c>
      <c r="I518" s="270"/>
      <c r="J518" s="270"/>
      <c r="K518" s="270"/>
      <c r="L518" s="270"/>
      <c r="M518" s="270"/>
      <c r="N518" s="270"/>
      <c r="O518" s="263"/>
      <c r="P518" s="263"/>
      <c r="Q518" s="270" t="str">
        <f aca="false">IF(AND(ISNUMBER(I518),ISNUMBER(S518)),I518*AJ518,IF(OR(I518&lt;&gt;"",S518&lt;&gt;""),"tbd",""))</f>
        <v/>
      </c>
      <c r="S518" s="268"/>
      <c r="Y518" s="275" t="str">
        <f aca="false">IF(ISNUMBER(I518),I518/Netto_Faktor,"")</f>
        <v/>
      </c>
      <c r="Z518" s="275" t="str">
        <f aca="false">IF(B518="","",IF(COUNT(J518:N518)=0,"",SUM(J518:N518)))</f>
        <v/>
      </c>
      <c r="AA518" s="266"/>
      <c r="AB518" s="266"/>
      <c r="AC518" s="266"/>
      <c r="AD518" s="266"/>
      <c r="AE518" s="266"/>
      <c r="AF518" s="266"/>
      <c r="AG518" s="267"/>
      <c r="AH518" s="266" t="str">
        <f aca="false">IF(B518="","",IF(BA518="",IF(R518="WON","✅ belegt &amp; vollständig","✔ vollständig"),LEFT(BA518,LEN(BA518)-3)))</f>
        <v/>
      </c>
      <c r="AJ518" s="268" t="n">
        <f aca="false">IF(ISNUMBER(S518),IFERROR(LOOKUP(IF(S518&lt;=1,S518,S518/100),'⚖️ Wahrscheinlichkeit'!$B$17:$B$21,'⚖️ Wahrscheinlichkeit'!$D$17:$D$21),0),0)</f>
        <v>0</v>
      </c>
      <c r="AK518" s="1" t="str">
        <f aca="false">IF(AND(R518="WON",ISNUMBER(I518)),AL518+(861-ROW())*0.000001,"")</f>
        <v/>
      </c>
      <c r="AL518" s="1" t="n">
        <f aca="false">IFERROR(I518*1,0)</f>
        <v>0</v>
      </c>
      <c r="AM518" s="1" t="n">
        <f aca="false">N(AM517)+IF(AND(R518="WON",B518&lt;&gt;""),1,0)</f>
        <v>12</v>
      </c>
      <c r="AN518" s="1" t="n">
        <f aca="false">N(AN517)+IF(AND(OR(R518="offered",R518="to be offered",R518="on hold"),B518&lt;&gt;""),1,0)</f>
        <v>33</v>
      </c>
      <c r="AO518" s="1" t="n">
        <f aca="false">N(AO517)+IF(AND(OR(R518="follow-up",R518="Evaluation",R518="tbd",R518="In evaluation"),B518&lt;&gt;""),1,0)</f>
        <v>1</v>
      </c>
      <c r="AP518" s="1" t="n">
        <f aca="false">IF(B518="",0,IF(COUNTIF('⚖️ Wahrscheinlichkeit'!$J$17:$J$24,R518)&gt;0,1,0))</f>
        <v>0</v>
      </c>
      <c r="AQ518" s="1" t="n">
        <f aca="false">IF(B518="",0,IF(AND(ISNUMBER(S518),COUNTIF('⚖️ Wahrscheinlichkeit'!$B$6:$B$11,S518)&gt;0),1,0))</f>
        <v>0</v>
      </c>
      <c r="AR518" s="1" t="n">
        <f aca="false">IF(B518="",0,IF(AND(COUNT(J518:M518)=4,SUM(J518:M518)&gt;0),1,0))</f>
        <v>0</v>
      </c>
      <c r="AS518" s="1" t="n">
        <f aca="false">IF(B518="",0,IF(AND(AF518&lt;&gt;"",AG518&lt;&gt;""),1,0))</f>
        <v>0</v>
      </c>
      <c r="AT518" s="1" t="n">
        <f aca="false">IF(AND(R518="WON",AS518=1,AR518=1),1,0)</f>
        <v>0</v>
      </c>
      <c r="AU518" s="1" t="n">
        <f aca="false">IF(B518="",0,IF(AD518="Alternative – zählt nicht",0,1))</f>
        <v>0</v>
      </c>
      <c r="AV518" s="1" t="n">
        <f aca="false">IF(B518="",0,IF(COUNTIF($B$6:$B$860,B518)&gt;1,1,0))</f>
        <v>0</v>
      </c>
      <c r="AX518" s="269" t="str">
        <f aca="false">IF(AY518=1,DATE(YEAR(O518),MONTH(O518),1),"")</f>
        <v/>
      </c>
      <c r="AY518" s="1" t="n">
        <f aca="false">IF(B518="",0,IF(AND(ISNUMBER(O518),ISNUMBER(P518)),IF(P518&gt;=O518,1,0),0))</f>
        <v>0</v>
      </c>
      <c r="AZ518" s="1" t="n">
        <f aca="false">IF(ISNUMBER(Y518),Y518,0)</f>
        <v>0</v>
      </c>
      <c r="BA518" s="1" t="str">
        <f aca="false">IF(B518="","",IF(AND(R518="WON",AS518=0),"⛔ Beleg fehlt · ","")&amp;IF(AND(R518="WON",AR518=0),"⛔ Einstand fehlt · ","")&amp;IF(AND(R518&lt;&gt;"WON",AR518=0),"○ Einstand offen · ","")&amp;IF(AND(R518="WON",AB518=""),"⛔ Vertragsart fehlt · ","")&amp;IF(AND(ISNUMBER(O518),ISNUMBER(P518)),IF(P518&lt;O518,"⚠ Ende vor Start · ",""),"")&amp;IF(AND(R518="WON",AY518=0,NOT(AND(ISNUMBER(O518),ISNUMBER(P518)))),"⛔ Zeitraum fehlt · ","")&amp;IF(AND(R518&lt;&gt;"WON",AY518=0,NOT(AND(ISNUMBER(O518),ISNUMBER(P518)))),"○ Zeitraum offen · ",""))</f>
        <v/>
      </c>
      <c r="BB518" s="1" t="str">
        <f aca="false">IF(B518="","",IF(AND(R518="WON",AS518=0),"⛔ Nachweis fehlt",IF(AND(ISNUMBER(O518),ISNUMBER(P518),P518&lt;O518),"⚠ Ende vor Start",IF(AND(R518="WON",AY518=0),"⛔ Zeitraum fehlt",IF(AR518=0,"○ Einstand offen",IF(AY518=0,"○ Zeitraum offen",IF(R518="WON","✅ belegt","✔ erfasst")))))))</f>
        <v/>
      </c>
    </row>
    <row r="519" customFormat="false" ht="15" hidden="false" customHeight="true" outlineLevel="0" collapsed="false">
      <c r="G519" s="1" t="str">
        <f aca="false">IF(B519="","",IF(AY519=1,P519-O519+1,IF(AW519="","",AW519)))</f>
        <v/>
      </c>
      <c r="I519" s="270"/>
      <c r="J519" s="270"/>
      <c r="K519" s="270"/>
      <c r="L519" s="270"/>
      <c r="M519" s="270"/>
      <c r="N519" s="270"/>
      <c r="O519" s="263"/>
      <c r="P519" s="263"/>
      <c r="Q519" s="270" t="str">
        <f aca="false">IF(AND(ISNUMBER(I519),ISNUMBER(S519)),I519*AJ519,IF(OR(I519&lt;&gt;"",S519&lt;&gt;""),"tbd",""))</f>
        <v/>
      </c>
      <c r="S519" s="268"/>
      <c r="Y519" s="275" t="str">
        <f aca="false">IF(ISNUMBER(I519),I519/Netto_Faktor,"")</f>
        <v/>
      </c>
      <c r="Z519" s="275" t="str">
        <f aca="false">IF(B519="","",IF(COUNT(J519:N519)=0,"",SUM(J519:N519)))</f>
        <v/>
      </c>
      <c r="AA519" s="266"/>
      <c r="AB519" s="266"/>
      <c r="AC519" s="266"/>
      <c r="AD519" s="266"/>
      <c r="AE519" s="266"/>
      <c r="AF519" s="266"/>
      <c r="AG519" s="267"/>
      <c r="AH519" s="266" t="str">
        <f aca="false">IF(B519="","",IF(BA519="",IF(R519="WON","✅ belegt &amp; vollständig","✔ vollständig"),LEFT(BA519,LEN(BA519)-3)))</f>
        <v/>
      </c>
      <c r="AJ519" s="268" t="n">
        <f aca="false">IF(ISNUMBER(S519),IFERROR(LOOKUP(IF(S519&lt;=1,S519,S519/100),'⚖️ Wahrscheinlichkeit'!$B$17:$B$21,'⚖️ Wahrscheinlichkeit'!$D$17:$D$21),0),0)</f>
        <v>0</v>
      </c>
      <c r="AK519" s="1" t="str">
        <f aca="false">IF(AND(R519="WON",ISNUMBER(I519)),AL519+(861-ROW())*0.000001,"")</f>
        <v/>
      </c>
      <c r="AL519" s="1" t="n">
        <f aca="false">IFERROR(I519*1,0)</f>
        <v>0</v>
      </c>
      <c r="AM519" s="1" t="n">
        <f aca="false">N(AM518)+IF(AND(R519="WON",B519&lt;&gt;""),1,0)</f>
        <v>12</v>
      </c>
      <c r="AN519" s="1" t="n">
        <f aca="false">N(AN518)+IF(AND(OR(R519="offered",R519="to be offered",R519="on hold"),B519&lt;&gt;""),1,0)</f>
        <v>33</v>
      </c>
      <c r="AO519" s="1" t="n">
        <f aca="false">N(AO518)+IF(AND(OR(R519="follow-up",R519="Evaluation",R519="tbd",R519="In evaluation"),B519&lt;&gt;""),1,0)</f>
        <v>1</v>
      </c>
      <c r="AP519" s="1" t="n">
        <f aca="false">IF(B519="",0,IF(COUNTIF('⚖️ Wahrscheinlichkeit'!$J$17:$J$24,R519)&gt;0,1,0))</f>
        <v>0</v>
      </c>
      <c r="AQ519" s="1" t="n">
        <f aca="false">IF(B519="",0,IF(AND(ISNUMBER(S519),COUNTIF('⚖️ Wahrscheinlichkeit'!$B$6:$B$11,S519)&gt;0),1,0))</f>
        <v>0</v>
      </c>
      <c r="AR519" s="1" t="n">
        <f aca="false">IF(B519="",0,IF(AND(COUNT(J519:M519)=4,SUM(J519:M519)&gt;0),1,0))</f>
        <v>0</v>
      </c>
      <c r="AS519" s="1" t="n">
        <f aca="false">IF(B519="",0,IF(AND(AF519&lt;&gt;"",AG519&lt;&gt;""),1,0))</f>
        <v>0</v>
      </c>
      <c r="AT519" s="1" t="n">
        <f aca="false">IF(AND(R519="WON",AS519=1,AR519=1),1,0)</f>
        <v>0</v>
      </c>
      <c r="AU519" s="1" t="n">
        <f aca="false">IF(B519="",0,IF(AD519="Alternative – zählt nicht",0,1))</f>
        <v>0</v>
      </c>
      <c r="AV519" s="1" t="n">
        <f aca="false">IF(B519="",0,IF(COUNTIF($B$6:$B$860,B519)&gt;1,1,0))</f>
        <v>0</v>
      </c>
      <c r="AX519" s="269" t="str">
        <f aca="false">IF(AY519=1,DATE(YEAR(O519),MONTH(O519),1),"")</f>
        <v/>
      </c>
      <c r="AY519" s="1" t="n">
        <f aca="false">IF(B519="",0,IF(AND(ISNUMBER(O519),ISNUMBER(P519)),IF(P519&gt;=O519,1,0),0))</f>
        <v>0</v>
      </c>
      <c r="AZ519" s="1" t="n">
        <f aca="false">IF(ISNUMBER(Y519),Y519,0)</f>
        <v>0</v>
      </c>
      <c r="BA519" s="1" t="str">
        <f aca="false">IF(B519="","",IF(AND(R519="WON",AS519=0),"⛔ Beleg fehlt · ","")&amp;IF(AND(R519="WON",AR519=0),"⛔ Einstand fehlt · ","")&amp;IF(AND(R519&lt;&gt;"WON",AR519=0),"○ Einstand offen · ","")&amp;IF(AND(R519="WON",AB519=""),"⛔ Vertragsart fehlt · ","")&amp;IF(AND(ISNUMBER(O519),ISNUMBER(P519)),IF(P519&lt;O519,"⚠ Ende vor Start · ",""),"")&amp;IF(AND(R519="WON",AY519=0,NOT(AND(ISNUMBER(O519),ISNUMBER(P519)))),"⛔ Zeitraum fehlt · ","")&amp;IF(AND(R519&lt;&gt;"WON",AY519=0,NOT(AND(ISNUMBER(O519),ISNUMBER(P519)))),"○ Zeitraum offen · ",""))</f>
        <v/>
      </c>
      <c r="BB519" s="1" t="str">
        <f aca="false">IF(B519="","",IF(AND(R519="WON",AS519=0),"⛔ Nachweis fehlt",IF(AND(ISNUMBER(O519),ISNUMBER(P519),P519&lt;O519),"⚠ Ende vor Start",IF(AND(R519="WON",AY519=0),"⛔ Zeitraum fehlt",IF(AR519=0,"○ Einstand offen",IF(AY519=0,"○ Zeitraum offen",IF(R519="WON","✅ belegt","✔ erfasst")))))))</f>
        <v/>
      </c>
    </row>
    <row r="520" customFormat="false" ht="15" hidden="false" customHeight="true" outlineLevel="0" collapsed="false">
      <c r="G520" s="1" t="str">
        <f aca="false">IF(B520="","",IF(AY520=1,P520-O520+1,IF(AW520="","",AW520)))</f>
        <v/>
      </c>
      <c r="I520" s="270"/>
      <c r="J520" s="270"/>
      <c r="K520" s="270"/>
      <c r="L520" s="270"/>
      <c r="M520" s="270"/>
      <c r="N520" s="270"/>
      <c r="O520" s="263"/>
      <c r="P520" s="263"/>
      <c r="Q520" s="270" t="str">
        <f aca="false">IF(AND(ISNUMBER(I520),ISNUMBER(S520)),I520*AJ520,IF(OR(I520&lt;&gt;"",S520&lt;&gt;""),"tbd",""))</f>
        <v/>
      </c>
      <c r="S520" s="268"/>
      <c r="Y520" s="275" t="str">
        <f aca="false">IF(ISNUMBER(I520),I520/Netto_Faktor,"")</f>
        <v/>
      </c>
      <c r="Z520" s="275" t="str">
        <f aca="false">IF(B520="","",IF(COUNT(J520:N520)=0,"",SUM(J520:N520)))</f>
        <v/>
      </c>
      <c r="AA520" s="266"/>
      <c r="AB520" s="266"/>
      <c r="AC520" s="266"/>
      <c r="AD520" s="266"/>
      <c r="AE520" s="266"/>
      <c r="AF520" s="266"/>
      <c r="AG520" s="267"/>
      <c r="AH520" s="266" t="str">
        <f aca="false">IF(B520="","",IF(BA520="",IF(R520="WON","✅ belegt &amp; vollständig","✔ vollständig"),LEFT(BA520,LEN(BA520)-3)))</f>
        <v/>
      </c>
      <c r="AJ520" s="268" t="n">
        <f aca="false">IF(ISNUMBER(S520),IFERROR(LOOKUP(IF(S520&lt;=1,S520,S520/100),'⚖️ Wahrscheinlichkeit'!$B$17:$B$21,'⚖️ Wahrscheinlichkeit'!$D$17:$D$21),0),0)</f>
        <v>0</v>
      </c>
      <c r="AK520" s="1" t="str">
        <f aca="false">IF(AND(R520="WON",ISNUMBER(I520)),AL520+(861-ROW())*0.000001,"")</f>
        <v/>
      </c>
      <c r="AL520" s="1" t="n">
        <f aca="false">IFERROR(I520*1,0)</f>
        <v>0</v>
      </c>
      <c r="AM520" s="1" t="n">
        <f aca="false">N(AM519)+IF(AND(R520="WON",B520&lt;&gt;""),1,0)</f>
        <v>12</v>
      </c>
      <c r="AN520" s="1" t="n">
        <f aca="false">N(AN519)+IF(AND(OR(R520="offered",R520="to be offered",R520="on hold"),B520&lt;&gt;""),1,0)</f>
        <v>33</v>
      </c>
      <c r="AO520" s="1" t="n">
        <f aca="false">N(AO519)+IF(AND(OR(R520="follow-up",R520="Evaluation",R520="tbd",R520="In evaluation"),B520&lt;&gt;""),1,0)</f>
        <v>1</v>
      </c>
      <c r="AP520" s="1" t="n">
        <f aca="false">IF(B520="",0,IF(COUNTIF('⚖️ Wahrscheinlichkeit'!$J$17:$J$24,R520)&gt;0,1,0))</f>
        <v>0</v>
      </c>
      <c r="AQ520" s="1" t="n">
        <f aca="false">IF(B520="",0,IF(AND(ISNUMBER(S520),COUNTIF('⚖️ Wahrscheinlichkeit'!$B$6:$B$11,S520)&gt;0),1,0))</f>
        <v>0</v>
      </c>
      <c r="AR520" s="1" t="n">
        <f aca="false">IF(B520="",0,IF(AND(COUNT(J520:M520)=4,SUM(J520:M520)&gt;0),1,0))</f>
        <v>0</v>
      </c>
      <c r="AS520" s="1" t="n">
        <f aca="false">IF(B520="",0,IF(AND(AF520&lt;&gt;"",AG520&lt;&gt;""),1,0))</f>
        <v>0</v>
      </c>
      <c r="AT520" s="1" t="n">
        <f aca="false">IF(AND(R520="WON",AS520=1,AR520=1),1,0)</f>
        <v>0</v>
      </c>
      <c r="AU520" s="1" t="n">
        <f aca="false">IF(B520="",0,IF(AD520="Alternative – zählt nicht",0,1))</f>
        <v>0</v>
      </c>
      <c r="AV520" s="1" t="n">
        <f aca="false">IF(B520="",0,IF(COUNTIF($B$6:$B$860,B520)&gt;1,1,0))</f>
        <v>0</v>
      </c>
      <c r="AX520" s="269" t="str">
        <f aca="false">IF(AY520=1,DATE(YEAR(O520),MONTH(O520),1),"")</f>
        <v/>
      </c>
      <c r="AY520" s="1" t="n">
        <f aca="false">IF(B520="",0,IF(AND(ISNUMBER(O520),ISNUMBER(P520)),IF(P520&gt;=O520,1,0),0))</f>
        <v>0</v>
      </c>
      <c r="AZ520" s="1" t="n">
        <f aca="false">IF(ISNUMBER(Y520),Y520,0)</f>
        <v>0</v>
      </c>
      <c r="BA520" s="1" t="str">
        <f aca="false">IF(B520="","",IF(AND(R520="WON",AS520=0),"⛔ Beleg fehlt · ","")&amp;IF(AND(R520="WON",AR520=0),"⛔ Einstand fehlt · ","")&amp;IF(AND(R520&lt;&gt;"WON",AR520=0),"○ Einstand offen · ","")&amp;IF(AND(R520="WON",AB520=""),"⛔ Vertragsart fehlt · ","")&amp;IF(AND(ISNUMBER(O520),ISNUMBER(P520)),IF(P520&lt;O520,"⚠ Ende vor Start · ",""),"")&amp;IF(AND(R520="WON",AY520=0,NOT(AND(ISNUMBER(O520),ISNUMBER(P520)))),"⛔ Zeitraum fehlt · ","")&amp;IF(AND(R520&lt;&gt;"WON",AY520=0,NOT(AND(ISNUMBER(O520),ISNUMBER(P520)))),"○ Zeitraum offen · ",""))</f>
        <v/>
      </c>
      <c r="BB520" s="1" t="str">
        <f aca="false">IF(B520="","",IF(AND(R520="WON",AS520=0),"⛔ Nachweis fehlt",IF(AND(ISNUMBER(O520),ISNUMBER(P520),P520&lt;O520),"⚠ Ende vor Start",IF(AND(R520="WON",AY520=0),"⛔ Zeitraum fehlt",IF(AR520=0,"○ Einstand offen",IF(AY520=0,"○ Zeitraum offen",IF(R520="WON","✅ belegt","✔ erfasst")))))))</f>
        <v/>
      </c>
    </row>
    <row r="521" customFormat="false" ht="15" hidden="false" customHeight="true" outlineLevel="0" collapsed="false">
      <c r="G521" s="1" t="str">
        <f aca="false">IF(B521="","",IF(AY521=1,P521-O521+1,IF(AW521="","",AW521)))</f>
        <v/>
      </c>
      <c r="I521" s="270"/>
      <c r="J521" s="270"/>
      <c r="K521" s="270"/>
      <c r="L521" s="270"/>
      <c r="M521" s="270"/>
      <c r="N521" s="270"/>
      <c r="O521" s="263"/>
      <c r="P521" s="263"/>
      <c r="Q521" s="270" t="str">
        <f aca="false">IF(AND(ISNUMBER(I521),ISNUMBER(S521)),I521*AJ521,IF(OR(I521&lt;&gt;"",S521&lt;&gt;""),"tbd",""))</f>
        <v/>
      </c>
      <c r="S521" s="268"/>
      <c r="Y521" s="275" t="str">
        <f aca="false">IF(ISNUMBER(I521),I521/Netto_Faktor,"")</f>
        <v/>
      </c>
      <c r="Z521" s="275" t="str">
        <f aca="false">IF(B521="","",IF(COUNT(J521:N521)=0,"",SUM(J521:N521)))</f>
        <v/>
      </c>
      <c r="AA521" s="266"/>
      <c r="AB521" s="266"/>
      <c r="AC521" s="266"/>
      <c r="AD521" s="266"/>
      <c r="AE521" s="266"/>
      <c r="AF521" s="266"/>
      <c r="AG521" s="267"/>
      <c r="AH521" s="266" t="str">
        <f aca="false">IF(B521="","",IF(BA521="",IF(R521="WON","✅ belegt &amp; vollständig","✔ vollständig"),LEFT(BA521,LEN(BA521)-3)))</f>
        <v/>
      </c>
      <c r="AJ521" s="268" t="n">
        <f aca="false">IF(ISNUMBER(S521),IFERROR(LOOKUP(IF(S521&lt;=1,S521,S521/100),'⚖️ Wahrscheinlichkeit'!$B$17:$B$21,'⚖️ Wahrscheinlichkeit'!$D$17:$D$21),0),0)</f>
        <v>0</v>
      </c>
      <c r="AK521" s="1" t="str">
        <f aca="false">IF(AND(R521="WON",ISNUMBER(I521)),AL521+(861-ROW())*0.000001,"")</f>
        <v/>
      </c>
      <c r="AL521" s="1" t="n">
        <f aca="false">IFERROR(I521*1,0)</f>
        <v>0</v>
      </c>
      <c r="AM521" s="1" t="n">
        <f aca="false">N(AM520)+IF(AND(R521="WON",B521&lt;&gt;""),1,0)</f>
        <v>12</v>
      </c>
      <c r="AN521" s="1" t="n">
        <f aca="false">N(AN520)+IF(AND(OR(R521="offered",R521="to be offered",R521="on hold"),B521&lt;&gt;""),1,0)</f>
        <v>33</v>
      </c>
      <c r="AO521" s="1" t="n">
        <f aca="false">N(AO520)+IF(AND(OR(R521="follow-up",R521="Evaluation",R521="tbd",R521="In evaluation"),B521&lt;&gt;""),1,0)</f>
        <v>1</v>
      </c>
      <c r="AP521" s="1" t="n">
        <f aca="false">IF(B521="",0,IF(COUNTIF('⚖️ Wahrscheinlichkeit'!$J$17:$J$24,R521)&gt;0,1,0))</f>
        <v>0</v>
      </c>
      <c r="AQ521" s="1" t="n">
        <f aca="false">IF(B521="",0,IF(AND(ISNUMBER(S521),COUNTIF('⚖️ Wahrscheinlichkeit'!$B$6:$B$11,S521)&gt;0),1,0))</f>
        <v>0</v>
      </c>
      <c r="AR521" s="1" t="n">
        <f aca="false">IF(B521="",0,IF(AND(COUNT(J521:M521)=4,SUM(J521:M521)&gt;0),1,0))</f>
        <v>0</v>
      </c>
      <c r="AS521" s="1" t="n">
        <f aca="false">IF(B521="",0,IF(AND(AF521&lt;&gt;"",AG521&lt;&gt;""),1,0))</f>
        <v>0</v>
      </c>
      <c r="AT521" s="1" t="n">
        <f aca="false">IF(AND(R521="WON",AS521=1,AR521=1),1,0)</f>
        <v>0</v>
      </c>
      <c r="AU521" s="1" t="n">
        <f aca="false">IF(B521="",0,IF(AD521="Alternative – zählt nicht",0,1))</f>
        <v>0</v>
      </c>
      <c r="AV521" s="1" t="n">
        <f aca="false">IF(B521="",0,IF(COUNTIF($B$6:$B$860,B521)&gt;1,1,0))</f>
        <v>0</v>
      </c>
      <c r="AX521" s="269" t="str">
        <f aca="false">IF(AY521=1,DATE(YEAR(O521),MONTH(O521),1),"")</f>
        <v/>
      </c>
      <c r="AY521" s="1" t="n">
        <f aca="false">IF(B521="",0,IF(AND(ISNUMBER(O521),ISNUMBER(P521)),IF(P521&gt;=O521,1,0),0))</f>
        <v>0</v>
      </c>
      <c r="AZ521" s="1" t="n">
        <f aca="false">IF(ISNUMBER(Y521),Y521,0)</f>
        <v>0</v>
      </c>
      <c r="BA521" s="1" t="str">
        <f aca="false">IF(B521="","",IF(AND(R521="WON",AS521=0),"⛔ Beleg fehlt · ","")&amp;IF(AND(R521="WON",AR521=0),"⛔ Einstand fehlt · ","")&amp;IF(AND(R521&lt;&gt;"WON",AR521=0),"○ Einstand offen · ","")&amp;IF(AND(R521="WON",AB521=""),"⛔ Vertragsart fehlt · ","")&amp;IF(AND(ISNUMBER(O521),ISNUMBER(P521)),IF(P521&lt;O521,"⚠ Ende vor Start · ",""),"")&amp;IF(AND(R521="WON",AY521=0,NOT(AND(ISNUMBER(O521),ISNUMBER(P521)))),"⛔ Zeitraum fehlt · ","")&amp;IF(AND(R521&lt;&gt;"WON",AY521=0,NOT(AND(ISNUMBER(O521),ISNUMBER(P521)))),"○ Zeitraum offen · ",""))</f>
        <v/>
      </c>
      <c r="BB521" s="1" t="str">
        <f aca="false">IF(B521="","",IF(AND(R521="WON",AS521=0),"⛔ Nachweis fehlt",IF(AND(ISNUMBER(O521),ISNUMBER(P521),P521&lt;O521),"⚠ Ende vor Start",IF(AND(R521="WON",AY521=0),"⛔ Zeitraum fehlt",IF(AR521=0,"○ Einstand offen",IF(AY521=0,"○ Zeitraum offen",IF(R521="WON","✅ belegt","✔ erfasst")))))))</f>
        <v/>
      </c>
    </row>
    <row r="522" customFormat="false" ht="15" hidden="false" customHeight="true" outlineLevel="0" collapsed="false">
      <c r="G522" s="1" t="str">
        <f aca="false">IF(B522="","",IF(AY522=1,P522-O522+1,IF(AW522="","",AW522)))</f>
        <v/>
      </c>
      <c r="I522" s="270"/>
      <c r="J522" s="270"/>
      <c r="K522" s="270"/>
      <c r="L522" s="270"/>
      <c r="M522" s="270"/>
      <c r="N522" s="270"/>
      <c r="O522" s="263"/>
      <c r="P522" s="263"/>
      <c r="Q522" s="270" t="str">
        <f aca="false">IF(AND(ISNUMBER(I522),ISNUMBER(S522)),I522*AJ522,IF(OR(I522&lt;&gt;"",S522&lt;&gt;""),"tbd",""))</f>
        <v/>
      </c>
      <c r="S522" s="268"/>
      <c r="Y522" s="275" t="str">
        <f aca="false">IF(ISNUMBER(I522),I522/Netto_Faktor,"")</f>
        <v/>
      </c>
      <c r="Z522" s="275" t="str">
        <f aca="false">IF(B522="","",IF(COUNT(J522:N522)=0,"",SUM(J522:N522)))</f>
        <v/>
      </c>
      <c r="AA522" s="266"/>
      <c r="AB522" s="266"/>
      <c r="AC522" s="266"/>
      <c r="AD522" s="266"/>
      <c r="AE522" s="266"/>
      <c r="AF522" s="266"/>
      <c r="AG522" s="267"/>
      <c r="AH522" s="266" t="str">
        <f aca="false">IF(B522="","",IF(BA522="",IF(R522="WON","✅ belegt &amp; vollständig","✔ vollständig"),LEFT(BA522,LEN(BA522)-3)))</f>
        <v/>
      </c>
      <c r="AJ522" s="268" t="n">
        <f aca="false">IF(ISNUMBER(S522),IFERROR(LOOKUP(IF(S522&lt;=1,S522,S522/100),'⚖️ Wahrscheinlichkeit'!$B$17:$B$21,'⚖️ Wahrscheinlichkeit'!$D$17:$D$21),0),0)</f>
        <v>0</v>
      </c>
      <c r="AK522" s="1" t="str">
        <f aca="false">IF(AND(R522="WON",ISNUMBER(I522)),AL522+(861-ROW())*0.000001,"")</f>
        <v/>
      </c>
      <c r="AL522" s="1" t="n">
        <f aca="false">IFERROR(I522*1,0)</f>
        <v>0</v>
      </c>
      <c r="AM522" s="1" t="n">
        <f aca="false">N(AM521)+IF(AND(R522="WON",B522&lt;&gt;""),1,0)</f>
        <v>12</v>
      </c>
      <c r="AN522" s="1" t="n">
        <f aca="false">N(AN521)+IF(AND(OR(R522="offered",R522="to be offered",R522="on hold"),B522&lt;&gt;""),1,0)</f>
        <v>33</v>
      </c>
      <c r="AO522" s="1" t="n">
        <f aca="false">N(AO521)+IF(AND(OR(R522="follow-up",R522="Evaluation",R522="tbd",R522="In evaluation"),B522&lt;&gt;""),1,0)</f>
        <v>1</v>
      </c>
      <c r="AP522" s="1" t="n">
        <f aca="false">IF(B522="",0,IF(COUNTIF('⚖️ Wahrscheinlichkeit'!$J$17:$J$24,R522)&gt;0,1,0))</f>
        <v>0</v>
      </c>
      <c r="AQ522" s="1" t="n">
        <f aca="false">IF(B522="",0,IF(AND(ISNUMBER(S522),COUNTIF('⚖️ Wahrscheinlichkeit'!$B$6:$B$11,S522)&gt;0),1,0))</f>
        <v>0</v>
      </c>
      <c r="AR522" s="1" t="n">
        <f aca="false">IF(B522="",0,IF(AND(COUNT(J522:M522)=4,SUM(J522:M522)&gt;0),1,0))</f>
        <v>0</v>
      </c>
      <c r="AS522" s="1" t="n">
        <f aca="false">IF(B522="",0,IF(AND(AF522&lt;&gt;"",AG522&lt;&gt;""),1,0))</f>
        <v>0</v>
      </c>
      <c r="AT522" s="1" t="n">
        <f aca="false">IF(AND(R522="WON",AS522=1,AR522=1),1,0)</f>
        <v>0</v>
      </c>
      <c r="AU522" s="1" t="n">
        <f aca="false">IF(B522="",0,IF(AD522="Alternative – zählt nicht",0,1))</f>
        <v>0</v>
      </c>
      <c r="AV522" s="1" t="n">
        <f aca="false">IF(B522="",0,IF(COUNTIF($B$6:$B$860,B522)&gt;1,1,0))</f>
        <v>0</v>
      </c>
      <c r="AX522" s="269" t="str">
        <f aca="false">IF(AY522=1,DATE(YEAR(O522),MONTH(O522),1),"")</f>
        <v/>
      </c>
      <c r="AY522" s="1" t="n">
        <f aca="false">IF(B522="",0,IF(AND(ISNUMBER(O522),ISNUMBER(P522)),IF(P522&gt;=O522,1,0),0))</f>
        <v>0</v>
      </c>
      <c r="AZ522" s="1" t="n">
        <f aca="false">IF(ISNUMBER(Y522),Y522,0)</f>
        <v>0</v>
      </c>
      <c r="BA522" s="1" t="str">
        <f aca="false">IF(B522="","",IF(AND(R522="WON",AS522=0),"⛔ Beleg fehlt · ","")&amp;IF(AND(R522="WON",AR522=0),"⛔ Einstand fehlt · ","")&amp;IF(AND(R522&lt;&gt;"WON",AR522=0),"○ Einstand offen · ","")&amp;IF(AND(R522="WON",AB522=""),"⛔ Vertragsart fehlt · ","")&amp;IF(AND(ISNUMBER(O522),ISNUMBER(P522)),IF(P522&lt;O522,"⚠ Ende vor Start · ",""),"")&amp;IF(AND(R522="WON",AY522=0,NOT(AND(ISNUMBER(O522),ISNUMBER(P522)))),"⛔ Zeitraum fehlt · ","")&amp;IF(AND(R522&lt;&gt;"WON",AY522=0,NOT(AND(ISNUMBER(O522),ISNUMBER(P522)))),"○ Zeitraum offen · ",""))</f>
        <v/>
      </c>
      <c r="BB522" s="1" t="str">
        <f aca="false">IF(B522="","",IF(AND(R522="WON",AS522=0),"⛔ Nachweis fehlt",IF(AND(ISNUMBER(O522),ISNUMBER(P522),P522&lt;O522),"⚠ Ende vor Start",IF(AND(R522="WON",AY522=0),"⛔ Zeitraum fehlt",IF(AR522=0,"○ Einstand offen",IF(AY522=0,"○ Zeitraum offen",IF(R522="WON","✅ belegt","✔ erfasst")))))))</f>
        <v/>
      </c>
    </row>
    <row r="523" customFormat="false" ht="15" hidden="false" customHeight="true" outlineLevel="0" collapsed="false">
      <c r="G523" s="1" t="str">
        <f aca="false">IF(B523="","",IF(AY523=1,P523-O523+1,IF(AW523="","",AW523)))</f>
        <v/>
      </c>
      <c r="I523" s="270"/>
      <c r="J523" s="270"/>
      <c r="K523" s="270"/>
      <c r="L523" s="270"/>
      <c r="M523" s="270"/>
      <c r="N523" s="270"/>
      <c r="O523" s="263"/>
      <c r="P523" s="263"/>
      <c r="Q523" s="270" t="str">
        <f aca="false">IF(AND(ISNUMBER(I523),ISNUMBER(S523)),I523*AJ523,IF(OR(I523&lt;&gt;"",S523&lt;&gt;""),"tbd",""))</f>
        <v/>
      </c>
      <c r="S523" s="268"/>
      <c r="Y523" s="275" t="str">
        <f aca="false">IF(ISNUMBER(I523),I523/Netto_Faktor,"")</f>
        <v/>
      </c>
      <c r="Z523" s="275" t="str">
        <f aca="false">IF(B523="","",IF(COUNT(J523:N523)=0,"",SUM(J523:N523)))</f>
        <v/>
      </c>
      <c r="AA523" s="266"/>
      <c r="AB523" s="266"/>
      <c r="AC523" s="266"/>
      <c r="AD523" s="266"/>
      <c r="AE523" s="266"/>
      <c r="AF523" s="266"/>
      <c r="AG523" s="267"/>
      <c r="AH523" s="266" t="str">
        <f aca="false">IF(B523="","",IF(BA523="",IF(R523="WON","✅ belegt &amp; vollständig","✔ vollständig"),LEFT(BA523,LEN(BA523)-3)))</f>
        <v/>
      </c>
      <c r="AJ523" s="268" t="n">
        <f aca="false">IF(ISNUMBER(S523),IFERROR(LOOKUP(IF(S523&lt;=1,S523,S523/100),'⚖️ Wahrscheinlichkeit'!$B$17:$B$21,'⚖️ Wahrscheinlichkeit'!$D$17:$D$21),0),0)</f>
        <v>0</v>
      </c>
      <c r="AK523" s="1" t="str">
        <f aca="false">IF(AND(R523="WON",ISNUMBER(I523)),AL523+(861-ROW())*0.000001,"")</f>
        <v/>
      </c>
      <c r="AL523" s="1" t="n">
        <f aca="false">IFERROR(I523*1,0)</f>
        <v>0</v>
      </c>
      <c r="AM523" s="1" t="n">
        <f aca="false">N(AM522)+IF(AND(R523="WON",B523&lt;&gt;""),1,0)</f>
        <v>12</v>
      </c>
      <c r="AN523" s="1" t="n">
        <f aca="false">N(AN522)+IF(AND(OR(R523="offered",R523="to be offered",R523="on hold"),B523&lt;&gt;""),1,0)</f>
        <v>33</v>
      </c>
      <c r="AO523" s="1" t="n">
        <f aca="false">N(AO522)+IF(AND(OR(R523="follow-up",R523="Evaluation",R523="tbd",R523="In evaluation"),B523&lt;&gt;""),1,0)</f>
        <v>1</v>
      </c>
      <c r="AP523" s="1" t="n">
        <f aca="false">IF(B523="",0,IF(COUNTIF('⚖️ Wahrscheinlichkeit'!$J$17:$J$24,R523)&gt;0,1,0))</f>
        <v>0</v>
      </c>
      <c r="AQ523" s="1" t="n">
        <f aca="false">IF(B523="",0,IF(AND(ISNUMBER(S523),COUNTIF('⚖️ Wahrscheinlichkeit'!$B$6:$B$11,S523)&gt;0),1,0))</f>
        <v>0</v>
      </c>
      <c r="AR523" s="1" t="n">
        <f aca="false">IF(B523="",0,IF(AND(COUNT(J523:M523)=4,SUM(J523:M523)&gt;0),1,0))</f>
        <v>0</v>
      </c>
      <c r="AS523" s="1" t="n">
        <f aca="false">IF(B523="",0,IF(AND(AF523&lt;&gt;"",AG523&lt;&gt;""),1,0))</f>
        <v>0</v>
      </c>
      <c r="AT523" s="1" t="n">
        <f aca="false">IF(AND(R523="WON",AS523=1,AR523=1),1,0)</f>
        <v>0</v>
      </c>
      <c r="AU523" s="1" t="n">
        <f aca="false">IF(B523="",0,IF(AD523="Alternative – zählt nicht",0,1))</f>
        <v>0</v>
      </c>
      <c r="AV523" s="1" t="n">
        <f aca="false">IF(B523="",0,IF(COUNTIF($B$6:$B$860,B523)&gt;1,1,0))</f>
        <v>0</v>
      </c>
      <c r="AX523" s="269" t="str">
        <f aca="false">IF(AY523=1,DATE(YEAR(O523),MONTH(O523),1),"")</f>
        <v/>
      </c>
      <c r="AY523" s="1" t="n">
        <f aca="false">IF(B523="",0,IF(AND(ISNUMBER(O523),ISNUMBER(P523)),IF(P523&gt;=O523,1,0),0))</f>
        <v>0</v>
      </c>
      <c r="AZ523" s="1" t="n">
        <f aca="false">IF(ISNUMBER(Y523),Y523,0)</f>
        <v>0</v>
      </c>
      <c r="BA523" s="1" t="str">
        <f aca="false">IF(B523="","",IF(AND(R523="WON",AS523=0),"⛔ Beleg fehlt · ","")&amp;IF(AND(R523="WON",AR523=0),"⛔ Einstand fehlt · ","")&amp;IF(AND(R523&lt;&gt;"WON",AR523=0),"○ Einstand offen · ","")&amp;IF(AND(R523="WON",AB523=""),"⛔ Vertragsart fehlt · ","")&amp;IF(AND(ISNUMBER(O523),ISNUMBER(P523)),IF(P523&lt;O523,"⚠ Ende vor Start · ",""),"")&amp;IF(AND(R523="WON",AY523=0,NOT(AND(ISNUMBER(O523),ISNUMBER(P523)))),"⛔ Zeitraum fehlt · ","")&amp;IF(AND(R523&lt;&gt;"WON",AY523=0,NOT(AND(ISNUMBER(O523),ISNUMBER(P523)))),"○ Zeitraum offen · ",""))</f>
        <v/>
      </c>
      <c r="BB523" s="1" t="str">
        <f aca="false">IF(B523="","",IF(AND(R523="WON",AS523=0),"⛔ Nachweis fehlt",IF(AND(ISNUMBER(O523),ISNUMBER(P523),P523&lt;O523),"⚠ Ende vor Start",IF(AND(R523="WON",AY523=0),"⛔ Zeitraum fehlt",IF(AR523=0,"○ Einstand offen",IF(AY523=0,"○ Zeitraum offen",IF(R523="WON","✅ belegt","✔ erfasst")))))))</f>
        <v/>
      </c>
    </row>
    <row r="524" customFormat="false" ht="15" hidden="false" customHeight="true" outlineLevel="0" collapsed="false">
      <c r="G524" s="1" t="str">
        <f aca="false">IF(B524="","",IF(AY524=1,P524-O524+1,IF(AW524="","",AW524)))</f>
        <v/>
      </c>
      <c r="I524" s="270"/>
      <c r="J524" s="270"/>
      <c r="K524" s="270"/>
      <c r="L524" s="270"/>
      <c r="M524" s="270"/>
      <c r="N524" s="270"/>
      <c r="O524" s="263"/>
      <c r="P524" s="263"/>
      <c r="Q524" s="270" t="str">
        <f aca="false">IF(AND(ISNUMBER(I524),ISNUMBER(S524)),I524*AJ524,IF(OR(I524&lt;&gt;"",S524&lt;&gt;""),"tbd",""))</f>
        <v/>
      </c>
      <c r="S524" s="268"/>
      <c r="Y524" s="275" t="str">
        <f aca="false">IF(ISNUMBER(I524),I524/Netto_Faktor,"")</f>
        <v/>
      </c>
      <c r="Z524" s="275" t="str">
        <f aca="false">IF(B524="","",IF(COUNT(J524:N524)=0,"",SUM(J524:N524)))</f>
        <v/>
      </c>
      <c r="AA524" s="266"/>
      <c r="AB524" s="266"/>
      <c r="AC524" s="266"/>
      <c r="AD524" s="266"/>
      <c r="AE524" s="266"/>
      <c r="AF524" s="266"/>
      <c r="AG524" s="267"/>
      <c r="AH524" s="266" t="str">
        <f aca="false">IF(B524="","",IF(BA524="",IF(R524="WON","✅ belegt &amp; vollständig","✔ vollständig"),LEFT(BA524,LEN(BA524)-3)))</f>
        <v/>
      </c>
      <c r="AJ524" s="268" t="n">
        <f aca="false">IF(ISNUMBER(S524),IFERROR(LOOKUP(IF(S524&lt;=1,S524,S524/100),'⚖️ Wahrscheinlichkeit'!$B$17:$B$21,'⚖️ Wahrscheinlichkeit'!$D$17:$D$21),0),0)</f>
        <v>0</v>
      </c>
      <c r="AK524" s="1" t="str">
        <f aca="false">IF(AND(R524="WON",ISNUMBER(I524)),AL524+(861-ROW())*0.000001,"")</f>
        <v/>
      </c>
      <c r="AL524" s="1" t="n">
        <f aca="false">IFERROR(I524*1,0)</f>
        <v>0</v>
      </c>
      <c r="AM524" s="1" t="n">
        <f aca="false">N(AM523)+IF(AND(R524="WON",B524&lt;&gt;""),1,0)</f>
        <v>12</v>
      </c>
      <c r="AN524" s="1" t="n">
        <f aca="false">N(AN523)+IF(AND(OR(R524="offered",R524="to be offered",R524="on hold"),B524&lt;&gt;""),1,0)</f>
        <v>33</v>
      </c>
      <c r="AO524" s="1" t="n">
        <f aca="false">N(AO523)+IF(AND(OR(R524="follow-up",R524="Evaluation",R524="tbd",R524="In evaluation"),B524&lt;&gt;""),1,0)</f>
        <v>1</v>
      </c>
      <c r="AP524" s="1" t="n">
        <f aca="false">IF(B524="",0,IF(COUNTIF('⚖️ Wahrscheinlichkeit'!$J$17:$J$24,R524)&gt;0,1,0))</f>
        <v>0</v>
      </c>
      <c r="AQ524" s="1" t="n">
        <f aca="false">IF(B524="",0,IF(AND(ISNUMBER(S524),COUNTIF('⚖️ Wahrscheinlichkeit'!$B$6:$B$11,S524)&gt;0),1,0))</f>
        <v>0</v>
      </c>
      <c r="AR524" s="1" t="n">
        <f aca="false">IF(B524="",0,IF(AND(COUNT(J524:M524)=4,SUM(J524:M524)&gt;0),1,0))</f>
        <v>0</v>
      </c>
      <c r="AS524" s="1" t="n">
        <f aca="false">IF(B524="",0,IF(AND(AF524&lt;&gt;"",AG524&lt;&gt;""),1,0))</f>
        <v>0</v>
      </c>
      <c r="AT524" s="1" t="n">
        <f aca="false">IF(AND(R524="WON",AS524=1,AR524=1),1,0)</f>
        <v>0</v>
      </c>
      <c r="AU524" s="1" t="n">
        <f aca="false">IF(B524="",0,IF(AD524="Alternative – zählt nicht",0,1))</f>
        <v>0</v>
      </c>
      <c r="AV524" s="1" t="n">
        <f aca="false">IF(B524="",0,IF(COUNTIF($B$6:$B$860,B524)&gt;1,1,0))</f>
        <v>0</v>
      </c>
      <c r="AX524" s="269" t="str">
        <f aca="false">IF(AY524=1,DATE(YEAR(O524),MONTH(O524),1),"")</f>
        <v/>
      </c>
      <c r="AY524" s="1" t="n">
        <f aca="false">IF(B524="",0,IF(AND(ISNUMBER(O524),ISNUMBER(P524)),IF(P524&gt;=O524,1,0),0))</f>
        <v>0</v>
      </c>
      <c r="AZ524" s="1" t="n">
        <f aca="false">IF(ISNUMBER(Y524),Y524,0)</f>
        <v>0</v>
      </c>
      <c r="BA524" s="1" t="str">
        <f aca="false">IF(B524="","",IF(AND(R524="WON",AS524=0),"⛔ Beleg fehlt · ","")&amp;IF(AND(R524="WON",AR524=0),"⛔ Einstand fehlt · ","")&amp;IF(AND(R524&lt;&gt;"WON",AR524=0),"○ Einstand offen · ","")&amp;IF(AND(R524="WON",AB524=""),"⛔ Vertragsart fehlt · ","")&amp;IF(AND(ISNUMBER(O524),ISNUMBER(P524)),IF(P524&lt;O524,"⚠ Ende vor Start · ",""),"")&amp;IF(AND(R524="WON",AY524=0,NOT(AND(ISNUMBER(O524),ISNUMBER(P524)))),"⛔ Zeitraum fehlt · ","")&amp;IF(AND(R524&lt;&gt;"WON",AY524=0,NOT(AND(ISNUMBER(O524),ISNUMBER(P524)))),"○ Zeitraum offen · ",""))</f>
        <v/>
      </c>
      <c r="BB524" s="1" t="str">
        <f aca="false">IF(B524="","",IF(AND(R524="WON",AS524=0),"⛔ Nachweis fehlt",IF(AND(ISNUMBER(O524),ISNUMBER(P524),P524&lt;O524),"⚠ Ende vor Start",IF(AND(R524="WON",AY524=0),"⛔ Zeitraum fehlt",IF(AR524=0,"○ Einstand offen",IF(AY524=0,"○ Zeitraum offen",IF(R524="WON","✅ belegt","✔ erfasst")))))))</f>
        <v/>
      </c>
    </row>
    <row r="525" customFormat="false" ht="15" hidden="false" customHeight="true" outlineLevel="0" collapsed="false">
      <c r="G525" s="1" t="str">
        <f aca="false">IF(B525="","",IF(AY525=1,P525-O525+1,IF(AW525="","",AW525)))</f>
        <v/>
      </c>
      <c r="I525" s="270"/>
      <c r="J525" s="270"/>
      <c r="K525" s="270"/>
      <c r="L525" s="270"/>
      <c r="M525" s="270"/>
      <c r="N525" s="270"/>
      <c r="O525" s="263"/>
      <c r="P525" s="263"/>
      <c r="Q525" s="270" t="str">
        <f aca="false">IF(AND(ISNUMBER(I525),ISNUMBER(S525)),I525*AJ525,IF(OR(I525&lt;&gt;"",S525&lt;&gt;""),"tbd",""))</f>
        <v/>
      </c>
      <c r="S525" s="268"/>
      <c r="Y525" s="275" t="str">
        <f aca="false">IF(ISNUMBER(I525),I525/Netto_Faktor,"")</f>
        <v/>
      </c>
      <c r="Z525" s="275" t="str">
        <f aca="false">IF(B525="","",IF(COUNT(J525:N525)=0,"",SUM(J525:N525)))</f>
        <v/>
      </c>
      <c r="AA525" s="266"/>
      <c r="AB525" s="266"/>
      <c r="AC525" s="266"/>
      <c r="AD525" s="266"/>
      <c r="AE525" s="266"/>
      <c r="AF525" s="266"/>
      <c r="AG525" s="267"/>
      <c r="AH525" s="266" t="str">
        <f aca="false">IF(B525="","",IF(BA525="",IF(R525="WON","✅ belegt &amp; vollständig","✔ vollständig"),LEFT(BA525,LEN(BA525)-3)))</f>
        <v/>
      </c>
      <c r="AJ525" s="268" t="n">
        <f aca="false">IF(ISNUMBER(S525),IFERROR(LOOKUP(IF(S525&lt;=1,S525,S525/100),'⚖️ Wahrscheinlichkeit'!$B$17:$B$21,'⚖️ Wahrscheinlichkeit'!$D$17:$D$21),0),0)</f>
        <v>0</v>
      </c>
      <c r="AK525" s="1" t="str">
        <f aca="false">IF(AND(R525="WON",ISNUMBER(I525)),AL525+(861-ROW())*0.000001,"")</f>
        <v/>
      </c>
      <c r="AL525" s="1" t="n">
        <f aca="false">IFERROR(I525*1,0)</f>
        <v>0</v>
      </c>
      <c r="AM525" s="1" t="n">
        <f aca="false">N(AM524)+IF(AND(R525="WON",B525&lt;&gt;""),1,0)</f>
        <v>12</v>
      </c>
      <c r="AN525" s="1" t="n">
        <f aca="false">N(AN524)+IF(AND(OR(R525="offered",R525="to be offered",R525="on hold"),B525&lt;&gt;""),1,0)</f>
        <v>33</v>
      </c>
      <c r="AO525" s="1" t="n">
        <f aca="false">N(AO524)+IF(AND(OR(R525="follow-up",R525="Evaluation",R525="tbd",R525="In evaluation"),B525&lt;&gt;""),1,0)</f>
        <v>1</v>
      </c>
      <c r="AP525" s="1" t="n">
        <f aca="false">IF(B525="",0,IF(COUNTIF('⚖️ Wahrscheinlichkeit'!$J$17:$J$24,R525)&gt;0,1,0))</f>
        <v>0</v>
      </c>
      <c r="AQ525" s="1" t="n">
        <f aca="false">IF(B525="",0,IF(AND(ISNUMBER(S525),COUNTIF('⚖️ Wahrscheinlichkeit'!$B$6:$B$11,S525)&gt;0),1,0))</f>
        <v>0</v>
      </c>
      <c r="AR525" s="1" t="n">
        <f aca="false">IF(B525="",0,IF(AND(COUNT(J525:M525)=4,SUM(J525:M525)&gt;0),1,0))</f>
        <v>0</v>
      </c>
      <c r="AS525" s="1" t="n">
        <f aca="false">IF(B525="",0,IF(AND(AF525&lt;&gt;"",AG525&lt;&gt;""),1,0))</f>
        <v>0</v>
      </c>
      <c r="AT525" s="1" t="n">
        <f aca="false">IF(AND(R525="WON",AS525=1,AR525=1),1,0)</f>
        <v>0</v>
      </c>
      <c r="AU525" s="1" t="n">
        <f aca="false">IF(B525="",0,IF(AD525="Alternative – zählt nicht",0,1))</f>
        <v>0</v>
      </c>
      <c r="AV525" s="1" t="n">
        <f aca="false">IF(B525="",0,IF(COUNTIF($B$6:$B$860,B525)&gt;1,1,0))</f>
        <v>0</v>
      </c>
      <c r="AX525" s="269" t="str">
        <f aca="false">IF(AY525=1,DATE(YEAR(O525),MONTH(O525),1),"")</f>
        <v/>
      </c>
      <c r="AY525" s="1" t="n">
        <f aca="false">IF(B525="",0,IF(AND(ISNUMBER(O525),ISNUMBER(P525)),IF(P525&gt;=O525,1,0),0))</f>
        <v>0</v>
      </c>
      <c r="AZ525" s="1" t="n">
        <f aca="false">IF(ISNUMBER(Y525),Y525,0)</f>
        <v>0</v>
      </c>
      <c r="BA525" s="1" t="str">
        <f aca="false">IF(B525="","",IF(AND(R525="WON",AS525=0),"⛔ Beleg fehlt · ","")&amp;IF(AND(R525="WON",AR525=0),"⛔ Einstand fehlt · ","")&amp;IF(AND(R525&lt;&gt;"WON",AR525=0),"○ Einstand offen · ","")&amp;IF(AND(R525="WON",AB525=""),"⛔ Vertragsart fehlt · ","")&amp;IF(AND(ISNUMBER(O525),ISNUMBER(P525)),IF(P525&lt;O525,"⚠ Ende vor Start · ",""),"")&amp;IF(AND(R525="WON",AY525=0,NOT(AND(ISNUMBER(O525),ISNUMBER(P525)))),"⛔ Zeitraum fehlt · ","")&amp;IF(AND(R525&lt;&gt;"WON",AY525=0,NOT(AND(ISNUMBER(O525),ISNUMBER(P525)))),"○ Zeitraum offen · ",""))</f>
        <v/>
      </c>
      <c r="BB525" s="1" t="str">
        <f aca="false">IF(B525="","",IF(AND(R525="WON",AS525=0),"⛔ Nachweis fehlt",IF(AND(ISNUMBER(O525),ISNUMBER(P525),P525&lt;O525),"⚠ Ende vor Start",IF(AND(R525="WON",AY525=0),"⛔ Zeitraum fehlt",IF(AR525=0,"○ Einstand offen",IF(AY525=0,"○ Zeitraum offen",IF(R525="WON","✅ belegt","✔ erfasst")))))))</f>
        <v/>
      </c>
    </row>
    <row r="526" customFormat="false" ht="15" hidden="false" customHeight="true" outlineLevel="0" collapsed="false">
      <c r="G526" s="1" t="str">
        <f aca="false">IF(B526="","",IF(AY526=1,P526-O526+1,IF(AW526="","",AW526)))</f>
        <v/>
      </c>
      <c r="I526" s="270"/>
      <c r="J526" s="270"/>
      <c r="K526" s="270"/>
      <c r="L526" s="270"/>
      <c r="M526" s="270"/>
      <c r="N526" s="270"/>
      <c r="O526" s="263"/>
      <c r="P526" s="263"/>
      <c r="Q526" s="270" t="str">
        <f aca="false">IF(AND(ISNUMBER(I526),ISNUMBER(S526)),I526*AJ526,IF(OR(I526&lt;&gt;"",S526&lt;&gt;""),"tbd",""))</f>
        <v/>
      </c>
      <c r="S526" s="268"/>
      <c r="Y526" s="275" t="str">
        <f aca="false">IF(ISNUMBER(I526),I526/Netto_Faktor,"")</f>
        <v/>
      </c>
      <c r="Z526" s="275" t="str">
        <f aca="false">IF(B526="","",IF(COUNT(J526:N526)=0,"",SUM(J526:N526)))</f>
        <v/>
      </c>
      <c r="AA526" s="266"/>
      <c r="AB526" s="266"/>
      <c r="AC526" s="266"/>
      <c r="AD526" s="266"/>
      <c r="AE526" s="266"/>
      <c r="AF526" s="266"/>
      <c r="AG526" s="267"/>
      <c r="AH526" s="266" t="str">
        <f aca="false">IF(B526="","",IF(BA526="",IF(R526="WON","✅ belegt &amp; vollständig","✔ vollständig"),LEFT(BA526,LEN(BA526)-3)))</f>
        <v/>
      </c>
      <c r="AJ526" s="268" t="n">
        <f aca="false">IF(ISNUMBER(S526),IFERROR(LOOKUP(IF(S526&lt;=1,S526,S526/100),'⚖️ Wahrscheinlichkeit'!$B$17:$B$21,'⚖️ Wahrscheinlichkeit'!$D$17:$D$21),0),0)</f>
        <v>0</v>
      </c>
      <c r="AK526" s="1" t="str">
        <f aca="false">IF(AND(R526="WON",ISNUMBER(I526)),AL526+(861-ROW())*0.000001,"")</f>
        <v/>
      </c>
      <c r="AL526" s="1" t="n">
        <f aca="false">IFERROR(I526*1,0)</f>
        <v>0</v>
      </c>
      <c r="AM526" s="1" t="n">
        <f aca="false">N(AM525)+IF(AND(R526="WON",B526&lt;&gt;""),1,0)</f>
        <v>12</v>
      </c>
      <c r="AN526" s="1" t="n">
        <f aca="false">N(AN525)+IF(AND(OR(R526="offered",R526="to be offered",R526="on hold"),B526&lt;&gt;""),1,0)</f>
        <v>33</v>
      </c>
      <c r="AO526" s="1" t="n">
        <f aca="false">N(AO525)+IF(AND(OR(R526="follow-up",R526="Evaluation",R526="tbd",R526="In evaluation"),B526&lt;&gt;""),1,0)</f>
        <v>1</v>
      </c>
      <c r="AP526" s="1" t="n">
        <f aca="false">IF(B526="",0,IF(COUNTIF('⚖️ Wahrscheinlichkeit'!$J$17:$J$24,R526)&gt;0,1,0))</f>
        <v>0</v>
      </c>
      <c r="AQ526" s="1" t="n">
        <f aca="false">IF(B526="",0,IF(AND(ISNUMBER(S526),COUNTIF('⚖️ Wahrscheinlichkeit'!$B$6:$B$11,S526)&gt;0),1,0))</f>
        <v>0</v>
      </c>
      <c r="AR526" s="1" t="n">
        <f aca="false">IF(B526="",0,IF(AND(COUNT(J526:M526)=4,SUM(J526:M526)&gt;0),1,0))</f>
        <v>0</v>
      </c>
      <c r="AS526" s="1" t="n">
        <f aca="false">IF(B526="",0,IF(AND(AF526&lt;&gt;"",AG526&lt;&gt;""),1,0))</f>
        <v>0</v>
      </c>
      <c r="AT526" s="1" t="n">
        <f aca="false">IF(AND(R526="WON",AS526=1,AR526=1),1,0)</f>
        <v>0</v>
      </c>
      <c r="AU526" s="1" t="n">
        <f aca="false">IF(B526="",0,IF(AD526="Alternative – zählt nicht",0,1))</f>
        <v>0</v>
      </c>
      <c r="AV526" s="1" t="n">
        <f aca="false">IF(B526="",0,IF(COUNTIF($B$6:$B$860,B526)&gt;1,1,0))</f>
        <v>0</v>
      </c>
      <c r="AX526" s="269" t="str">
        <f aca="false">IF(AY526=1,DATE(YEAR(O526),MONTH(O526),1),"")</f>
        <v/>
      </c>
      <c r="AY526" s="1" t="n">
        <f aca="false">IF(B526="",0,IF(AND(ISNUMBER(O526),ISNUMBER(P526)),IF(P526&gt;=O526,1,0),0))</f>
        <v>0</v>
      </c>
      <c r="AZ526" s="1" t="n">
        <f aca="false">IF(ISNUMBER(Y526),Y526,0)</f>
        <v>0</v>
      </c>
      <c r="BA526" s="1" t="str">
        <f aca="false">IF(B526="","",IF(AND(R526="WON",AS526=0),"⛔ Beleg fehlt · ","")&amp;IF(AND(R526="WON",AR526=0),"⛔ Einstand fehlt · ","")&amp;IF(AND(R526&lt;&gt;"WON",AR526=0),"○ Einstand offen · ","")&amp;IF(AND(R526="WON",AB526=""),"⛔ Vertragsart fehlt · ","")&amp;IF(AND(ISNUMBER(O526),ISNUMBER(P526)),IF(P526&lt;O526,"⚠ Ende vor Start · ",""),"")&amp;IF(AND(R526="WON",AY526=0,NOT(AND(ISNUMBER(O526),ISNUMBER(P526)))),"⛔ Zeitraum fehlt · ","")&amp;IF(AND(R526&lt;&gt;"WON",AY526=0,NOT(AND(ISNUMBER(O526),ISNUMBER(P526)))),"○ Zeitraum offen · ",""))</f>
        <v/>
      </c>
      <c r="BB526" s="1" t="str">
        <f aca="false">IF(B526="","",IF(AND(R526="WON",AS526=0),"⛔ Nachweis fehlt",IF(AND(ISNUMBER(O526),ISNUMBER(P526),P526&lt;O526),"⚠ Ende vor Start",IF(AND(R526="WON",AY526=0),"⛔ Zeitraum fehlt",IF(AR526=0,"○ Einstand offen",IF(AY526=0,"○ Zeitraum offen",IF(R526="WON","✅ belegt","✔ erfasst")))))))</f>
        <v/>
      </c>
    </row>
    <row r="527" customFormat="false" ht="15" hidden="false" customHeight="true" outlineLevel="0" collapsed="false">
      <c r="G527" s="1" t="str">
        <f aca="false">IF(B527="","",IF(AY527=1,P527-O527+1,IF(AW527="","",AW527)))</f>
        <v/>
      </c>
      <c r="I527" s="270"/>
      <c r="J527" s="270"/>
      <c r="K527" s="270"/>
      <c r="L527" s="270"/>
      <c r="M527" s="270"/>
      <c r="N527" s="270"/>
      <c r="O527" s="263"/>
      <c r="P527" s="263"/>
      <c r="Q527" s="270" t="str">
        <f aca="false">IF(AND(ISNUMBER(I527),ISNUMBER(S527)),I527*AJ527,IF(OR(I527&lt;&gt;"",S527&lt;&gt;""),"tbd",""))</f>
        <v/>
      </c>
      <c r="S527" s="268"/>
      <c r="Y527" s="275" t="str">
        <f aca="false">IF(ISNUMBER(I527),I527/Netto_Faktor,"")</f>
        <v/>
      </c>
      <c r="Z527" s="275" t="str">
        <f aca="false">IF(B527="","",IF(COUNT(J527:N527)=0,"",SUM(J527:N527)))</f>
        <v/>
      </c>
      <c r="AA527" s="266"/>
      <c r="AB527" s="266"/>
      <c r="AC527" s="266"/>
      <c r="AD527" s="266"/>
      <c r="AE527" s="266"/>
      <c r="AF527" s="266"/>
      <c r="AG527" s="267"/>
      <c r="AH527" s="266" t="str">
        <f aca="false">IF(B527="","",IF(BA527="",IF(R527="WON","✅ belegt &amp; vollständig","✔ vollständig"),LEFT(BA527,LEN(BA527)-3)))</f>
        <v/>
      </c>
      <c r="AJ527" s="268" t="n">
        <f aca="false">IF(ISNUMBER(S527),IFERROR(LOOKUP(IF(S527&lt;=1,S527,S527/100),'⚖️ Wahrscheinlichkeit'!$B$17:$B$21,'⚖️ Wahrscheinlichkeit'!$D$17:$D$21),0),0)</f>
        <v>0</v>
      </c>
      <c r="AK527" s="1" t="str">
        <f aca="false">IF(AND(R527="WON",ISNUMBER(I527)),AL527+(861-ROW())*0.000001,"")</f>
        <v/>
      </c>
      <c r="AL527" s="1" t="n">
        <f aca="false">IFERROR(I527*1,0)</f>
        <v>0</v>
      </c>
      <c r="AM527" s="1" t="n">
        <f aca="false">N(AM526)+IF(AND(R527="WON",B527&lt;&gt;""),1,0)</f>
        <v>12</v>
      </c>
      <c r="AN527" s="1" t="n">
        <f aca="false">N(AN526)+IF(AND(OR(R527="offered",R527="to be offered",R527="on hold"),B527&lt;&gt;""),1,0)</f>
        <v>33</v>
      </c>
      <c r="AO527" s="1" t="n">
        <f aca="false">N(AO526)+IF(AND(OR(R527="follow-up",R527="Evaluation",R527="tbd",R527="In evaluation"),B527&lt;&gt;""),1,0)</f>
        <v>1</v>
      </c>
      <c r="AP527" s="1" t="n">
        <f aca="false">IF(B527="",0,IF(COUNTIF('⚖️ Wahrscheinlichkeit'!$J$17:$J$24,R527)&gt;0,1,0))</f>
        <v>0</v>
      </c>
      <c r="AQ527" s="1" t="n">
        <f aca="false">IF(B527="",0,IF(AND(ISNUMBER(S527),COUNTIF('⚖️ Wahrscheinlichkeit'!$B$6:$B$11,S527)&gt;0),1,0))</f>
        <v>0</v>
      </c>
      <c r="AR527" s="1" t="n">
        <f aca="false">IF(B527="",0,IF(AND(COUNT(J527:M527)=4,SUM(J527:M527)&gt;0),1,0))</f>
        <v>0</v>
      </c>
      <c r="AS527" s="1" t="n">
        <f aca="false">IF(B527="",0,IF(AND(AF527&lt;&gt;"",AG527&lt;&gt;""),1,0))</f>
        <v>0</v>
      </c>
      <c r="AT527" s="1" t="n">
        <f aca="false">IF(AND(R527="WON",AS527=1,AR527=1),1,0)</f>
        <v>0</v>
      </c>
      <c r="AU527" s="1" t="n">
        <f aca="false">IF(B527="",0,IF(AD527="Alternative – zählt nicht",0,1))</f>
        <v>0</v>
      </c>
      <c r="AV527" s="1" t="n">
        <f aca="false">IF(B527="",0,IF(COUNTIF($B$6:$B$860,B527)&gt;1,1,0))</f>
        <v>0</v>
      </c>
      <c r="AX527" s="269" t="str">
        <f aca="false">IF(AY527=1,DATE(YEAR(O527),MONTH(O527),1),"")</f>
        <v/>
      </c>
      <c r="AY527" s="1" t="n">
        <f aca="false">IF(B527="",0,IF(AND(ISNUMBER(O527),ISNUMBER(P527)),IF(P527&gt;=O527,1,0),0))</f>
        <v>0</v>
      </c>
      <c r="AZ527" s="1" t="n">
        <f aca="false">IF(ISNUMBER(Y527),Y527,0)</f>
        <v>0</v>
      </c>
      <c r="BA527" s="1" t="str">
        <f aca="false">IF(B527="","",IF(AND(R527="WON",AS527=0),"⛔ Beleg fehlt · ","")&amp;IF(AND(R527="WON",AR527=0),"⛔ Einstand fehlt · ","")&amp;IF(AND(R527&lt;&gt;"WON",AR527=0),"○ Einstand offen · ","")&amp;IF(AND(R527="WON",AB527=""),"⛔ Vertragsart fehlt · ","")&amp;IF(AND(ISNUMBER(O527),ISNUMBER(P527)),IF(P527&lt;O527,"⚠ Ende vor Start · ",""),"")&amp;IF(AND(R527="WON",AY527=0,NOT(AND(ISNUMBER(O527),ISNUMBER(P527)))),"⛔ Zeitraum fehlt · ","")&amp;IF(AND(R527&lt;&gt;"WON",AY527=0,NOT(AND(ISNUMBER(O527),ISNUMBER(P527)))),"○ Zeitraum offen · ",""))</f>
        <v/>
      </c>
      <c r="BB527" s="1" t="str">
        <f aca="false">IF(B527="","",IF(AND(R527="WON",AS527=0),"⛔ Nachweis fehlt",IF(AND(ISNUMBER(O527),ISNUMBER(P527),P527&lt;O527),"⚠ Ende vor Start",IF(AND(R527="WON",AY527=0),"⛔ Zeitraum fehlt",IF(AR527=0,"○ Einstand offen",IF(AY527=0,"○ Zeitraum offen",IF(R527="WON","✅ belegt","✔ erfasst")))))))</f>
        <v/>
      </c>
    </row>
    <row r="528" customFormat="false" ht="15" hidden="false" customHeight="true" outlineLevel="0" collapsed="false">
      <c r="G528" s="1" t="str">
        <f aca="false">IF(B528="","",IF(AY528=1,P528-O528+1,IF(AW528="","",AW528)))</f>
        <v/>
      </c>
      <c r="I528" s="270"/>
      <c r="J528" s="270"/>
      <c r="K528" s="270"/>
      <c r="L528" s="270"/>
      <c r="M528" s="270"/>
      <c r="N528" s="270"/>
      <c r="O528" s="263"/>
      <c r="P528" s="263"/>
      <c r="Q528" s="270" t="str">
        <f aca="false">IF(AND(ISNUMBER(I528),ISNUMBER(S528)),I528*AJ528,IF(OR(I528&lt;&gt;"",S528&lt;&gt;""),"tbd",""))</f>
        <v/>
      </c>
      <c r="S528" s="268"/>
      <c r="Y528" s="275" t="str">
        <f aca="false">IF(ISNUMBER(I528),I528/Netto_Faktor,"")</f>
        <v/>
      </c>
      <c r="Z528" s="275" t="str">
        <f aca="false">IF(B528="","",IF(COUNT(J528:N528)=0,"",SUM(J528:N528)))</f>
        <v/>
      </c>
      <c r="AA528" s="266"/>
      <c r="AB528" s="266"/>
      <c r="AC528" s="266"/>
      <c r="AD528" s="266"/>
      <c r="AE528" s="266"/>
      <c r="AF528" s="266"/>
      <c r="AG528" s="267"/>
      <c r="AH528" s="266" t="str">
        <f aca="false">IF(B528="","",IF(BA528="",IF(R528="WON","✅ belegt &amp; vollständig","✔ vollständig"),LEFT(BA528,LEN(BA528)-3)))</f>
        <v/>
      </c>
      <c r="AJ528" s="268" t="n">
        <f aca="false">IF(ISNUMBER(S528),IFERROR(LOOKUP(IF(S528&lt;=1,S528,S528/100),'⚖️ Wahrscheinlichkeit'!$B$17:$B$21,'⚖️ Wahrscheinlichkeit'!$D$17:$D$21),0),0)</f>
        <v>0</v>
      </c>
      <c r="AK528" s="1" t="str">
        <f aca="false">IF(AND(R528="WON",ISNUMBER(I528)),AL528+(861-ROW())*0.000001,"")</f>
        <v/>
      </c>
      <c r="AL528" s="1" t="n">
        <f aca="false">IFERROR(I528*1,0)</f>
        <v>0</v>
      </c>
      <c r="AM528" s="1" t="n">
        <f aca="false">N(AM527)+IF(AND(R528="WON",B528&lt;&gt;""),1,0)</f>
        <v>12</v>
      </c>
      <c r="AN528" s="1" t="n">
        <f aca="false">N(AN527)+IF(AND(OR(R528="offered",R528="to be offered",R528="on hold"),B528&lt;&gt;""),1,0)</f>
        <v>33</v>
      </c>
      <c r="AO528" s="1" t="n">
        <f aca="false">N(AO527)+IF(AND(OR(R528="follow-up",R528="Evaluation",R528="tbd",R528="In evaluation"),B528&lt;&gt;""),1,0)</f>
        <v>1</v>
      </c>
      <c r="AP528" s="1" t="n">
        <f aca="false">IF(B528="",0,IF(COUNTIF('⚖️ Wahrscheinlichkeit'!$J$17:$J$24,R528)&gt;0,1,0))</f>
        <v>0</v>
      </c>
      <c r="AQ528" s="1" t="n">
        <f aca="false">IF(B528="",0,IF(AND(ISNUMBER(S528),COUNTIF('⚖️ Wahrscheinlichkeit'!$B$6:$B$11,S528)&gt;0),1,0))</f>
        <v>0</v>
      </c>
      <c r="AR528" s="1" t="n">
        <f aca="false">IF(B528="",0,IF(AND(COUNT(J528:M528)=4,SUM(J528:M528)&gt;0),1,0))</f>
        <v>0</v>
      </c>
      <c r="AS528" s="1" t="n">
        <f aca="false">IF(B528="",0,IF(AND(AF528&lt;&gt;"",AG528&lt;&gt;""),1,0))</f>
        <v>0</v>
      </c>
      <c r="AT528" s="1" t="n">
        <f aca="false">IF(AND(R528="WON",AS528=1,AR528=1),1,0)</f>
        <v>0</v>
      </c>
      <c r="AU528" s="1" t="n">
        <f aca="false">IF(B528="",0,IF(AD528="Alternative – zählt nicht",0,1))</f>
        <v>0</v>
      </c>
      <c r="AV528" s="1" t="n">
        <f aca="false">IF(B528="",0,IF(COUNTIF($B$6:$B$860,B528)&gt;1,1,0))</f>
        <v>0</v>
      </c>
      <c r="AX528" s="269" t="str">
        <f aca="false">IF(AY528=1,DATE(YEAR(O528),MONTH(O528),1),"")</f>
        <v/>
      </c>
      <c r="AY528" s="1" t="n">
        <f aca="false">IF(B528="",0,IF(AND(ISNUMBER(O528),ISNUMBER(P528)),IF(P528&gt;=O528,1,0),0))</f>
        <v>0</v>
      </c>
      <c r="AZ528" s="1" t="n">
        <f aca="false">IF(ISNUMBER(Y528),Y528,0)</f>
        <v>0</v>
      </c>
      <c r="BA528" s="1" t="str">
        <f aca="false">IF(B528="","",IF(AND(R528="WON",AS528=0),"⛔ Beleg fehlt · ","")&amp;IF(AND(R528="WON",AR528=0),"⛔ Einstand fehlt · ","")&amp;IF(AND(R528&lt;&gt;"WON",AR528=0),"○ Einstand offen · ","")&amp;IF(AND(R528="WON",AB528=""),"⛔ Vertragsart fehlt · ","")&amp;IF(AND(ISNUMBER(O528),ISNUMBER(P528)),IF(P528&lt;O528,"⚠ Ende vor Start · ",""),"")&amp;IF(AND(R528="WON",AY528=0,NOT(AND(ISNUMBER(O528),ISNUMBER(P528)))),"⛔ Zeitraum fehlt · ","")&amp;IF(AND(R528&lt;&gt;"WON",AY528=0,NOT(AND(ISNUMBER(O528),ISNUMBER(P528)))),"○ Zeitraum offen · ",""))</f>
        <v/>
      </c>
      <c r="BB528" s="1" t="str">
        <f aca="false">IF(B528="","",IF(AND(R528="WON",AS528=0),"⛔ Nachweis fehlt",IF(AND(ISNUMBER(O528),ISNUMBER(P528),P528&lt;O528),"⚠ Ende vor Start",IF(AND(R528="WON",AY528=0),"⛔ Zeitraum fehlt",IF(AR528=0,"○ Einstand offen",IF(AY528=0,"○ Zeitraum offen",IF(R528="WON","✅ belegt","✔ erfasst")))))))</f>
        <v/>
      </c>
    </row>
    <row r="529" customFormat="false" ht="15" hidden="false" customHeight="true" outlineLevel="0" collapsed="false">
      <c r="G529" s="1" t="str">
        <f aca="false">IF(B529="","",IF(AY529=1,P529-O529+1,IF(AW529="","",AW529)))</f>
        <v/>
      </c>
      <c r="I529" s="270"/>
      <c r="J529" s="270"/>
      <c r="K529" s="270"/>
      <c r="L529" s="270"/>
      <c r="M529" s="270"/>
      <c r="N529" s="270"/>
      <c r="O529" s="263"/>
      <c r="P529" s="263"/>
      <c r="Q529" s="270" t="str">
        <f aca="false">IF(AND(ISNUMBER(I529),ISNUMBER(S529)),I529*AJ529,IF(OR(I529&lt;&gt;"",S529&lt;&gt;""),"tbd",""))</f>
        <v/>
      </c>
      <c r="S529" s="268"/>
      <c r="Y529" s="275" t="str">
        <f aca="false">IF(ISNUMBER(I529),I529/Netto_Faktor,"")</f>
        <v/>
      </c>
      <c r="Z529" s="275" t="str">
        <f aca="false">IF(B529="","",IF(COUNT(J529:N529)=0,"",SUM(J529:N529)))</f>
        <v/>
      </c>
      <c r="AA529" s="266"/>
      <c r="AB529" s="266"/>
      <c r="AC529" s="266"/>
      <c r="AD529" s="266"/>
      <c r="AE529" s="266"/>
      <c r="AF529" s="266"/>
      <c r="AG529" s="267"/>
      <c r="AH529" s="266" t="str">
        <f aca="false">IF(B529="","",IF(BA529="",IF(R529="WON","✅ belegt &amp; vollständig","✔ vollständig"),LEFT(BA529,LEN(BA529)-3)))</f>
        <v/>
      </c>
      <c r="AJ529" s="268" t="n">
        <f aca="false">IF(ISNUMBER(S529),IFERROR(LOOKUP(IF(S529&lt;=1,S529,S529/100),'⚖️ Wahrscheinlichkeit'!$B$17:$B$21,'⚖️ Wahrscheinlichkeit'!$D$17:$D$21),0),0)</f>
        <v>0</v>
      </c>
      <c r="AK529" s="1" t="str">
        <f aca="false">IF(AND(R529="WON",ISNUMBER(I529)),AL529+(861-ROW())*0.000001,"")</f>
        <v/>
      </c>
      <c r="AL529" s="1" t="n">
        <f aca="false">IFERROR(I529*1,0)</f>
        <v>0</v>
      </c>
      <c r="AM529" s="1" t="n">
        <f aca="false">N(AM528)+IF(AND(R529="WON",B529&lt;&gt;""),1,0)</f>
        <v>12</v>
      </c>
      <c r="AN529" s="1" t="n">
        <f aca="false">N(AN528)+IF(AND(OR(R529="offered",R529="to be offered",R529="on hold"),B529&lt;&gt;""),1,0)</f>
        <v>33</v>
      </c>
      <c r="AO529" s="1" t="n">
        <f aca="false">N(AO528)+IF(AND(OR(R529="follow-up",R529="Evaluation",R529="tbd",R529="In evaluation"),B529&lt;&gt;""),1,0)</f>
        <v>1</v>
      </c>
      <c r="AP529" s="1" t="n">
        <f aca="false">IF(B529="",0,IF(COUNTIF('⚖️ Wahrscheinlichkeit'!$J$17:$J$24,R529)&gt;0,1,0))</f>
        <v>0</v>
      </c>
      <c r="AQ529" s="1" t="n">
        <f aca="false">IF(B529="",0,IF(AND(ISNUMBER(S529),COUNTIF('⚖️ Wahrscheinlichkeit'!$B$6:$B$11,S529)&gt;0),1,0))</f>
        <v>0</v>
      </c>
      <c r="AR529" s="1" t="n">
        <f aca="false">IF(B529="",0,IF(AND(COUNT(J529:M529)=4,SUM(J529:M529)&gt;0),1,0))</f>
        <v>0</v>
      </c>
      <c r="AS529" s="1" t="n">
        <f aca="false">IF(B529="",0,IF(AND(AF529&lt;&gt;"",AG529&lt;&gt;""),1,0))</f>
        <v>0</v>
      </c>
      <c r="AT529" s="1" t="n">
        <f aca="false">IF(AND(R529="WON",AS529=1,AR529=1),1,0)</f>
        <v>0</v>
      </c>
      <c r="AU529" s="1" t="n">
        <f aca="false">IF(B529="",0,IF(AD529="Alternative – zählt nicht",0,1))</f>
        <v>0</v>
      </c>
      <c r="AV529" s="1" t="n">
        <f aca="false">IF(B529="",0,IF(COUNTIF($B$6:$B$860,B529)&gt;1,1,0))</f>
        <v>0</v>
      </c>
      <c r="AX529" s="269" t="str">
        <f aca="false">IF(AY529=1,DATE(YEAR(O529),MONTH(O529),1),"")</f>
        <v/>
      </c>
      <c r="AY529" s="1" t="n">
        <f aca="false">IF(B529="",0,IF(AND(ISNUMBER(O529),ISNUMBER(P529)),IF(P529&gt;=O529,1,0),0))</f>
        <v>0</v>
      </c>
      <c r="AZ529" s="1" t="n">
        <f aca="false">IF(ISNUMBER(Y529),Y529,0)</f>
        <v>0</v>
      </c>
      <c r="BA529" s="1" t="str">
        <f aca="false">IF(B529="","",IF(AND(R529="WON",AS529=0),"⛔ Beleg fehlt · ","")&amp;IF(AND(R529="WON",AR529=0),"⛔ Einstand fehlt · ","")&amp;IF(AND(R529&lt;&gt;"WON",AR529=0),"○ Einstand offen · ","")&amp;IF(AND(R529="WON",AB529=""),"⛔ Vertragsart fehlt · ","")&amp;IF(AND(ISNUMBER(O529),ISNUMBER(P529)),IF(P529&lt;O529,"⚠ Ende vor Start · ",""),"")&amp;IF(AND(R529="WON",AY529=0,NOT(AND(ISNUMBER(O529),ISNUMBER(P529)))),"⛔ Zeitraum fehlt · ","")&amp;IF(AND(R529&lt;&gt;"WON",AY529=0,NOT(AND(ISNUMBER(O529),ISNUMBER(P529)))),"○ Zeitraum offen · ",""))</f>
        <v/>
      </c>
      <c r="BB529" s="1" t="str">
        <f aca="false">IF(B529="","",IF(AND(R529="WON",AS529=0),"⛔ Nachweis fehlt",IF(AND(ISNUMBER(O529),ISNUMBER(P529),P529&lt;O529),"⚠ Ende vor Start",IF(AND(R529="WON",AY529=0),"⛔ Zeitraum fehlt",IF(AR529=0,"○ Einstand offen",IF(AY529=0,"○ Zeitraum offen",IF(R529="WON","✅ belegt","✔ erfasst")))))))</f>
        <v/>
      </c>
    </row>
    <row r="530" customFormat="false" ht="15" hidden="false" customHeight="true" outlineLevel="0" collapsed="false">
      <c r="G530" s="1" t="str">
        <f aca="false">IF(B530="","",IF(AY530=1,P530-O530+1,IF(AW530="","",AW530)))</f>
        <v/>
      </c>
      <c r="I530" s="270"/>
      <c r="J530" s="270"/>
      <c r="K530" s="270"/>
      <c r="L530" s="270"/>
      <c r="M530" s="270"/>
      <c r="N530" s="270"/>
      <c r="O530" s="263"/>
      <c r="P530" s="263"/>
      <c r="Q530" s="270" t="str">
        <f aca="false">IF(AND(ISNUMBER(I530),ISNUMBER(S530)),I530*AJ530,IF(OR(I530&lt;&gt;"",S530&lt;&gt;""),"tbd",""))</f>
        <v/>
      </c>
      <c r="S530" s="268"/>
      <c r="Y530" s="275" t="str">
        <f aca="false">IF(ISNUMBER(I530),I530/Netto_Faktor,"")</f>
        <v/>
      </c>
      <c r="Z530" s="275" t="str">
        <f aca="false">IF(B530="","",IF(COUNT(J530:N530)=0,"",SUM(J530:N530)))</f>
        <v/>
      </c>
      <c r="AA530" s="266"/>
      <c r="AB530" s="266"/>
      <c r="AC530" s="266"/>
      <c r="AD530" s="266"/>
      <c r="AE530" s="266"/>
      <c r="AF530" s="266"/>
      <c r="AG530" s="267"/>
      <c r="AH530" s="266" t="str">
        <f aca="false">IF(B530="","",IF(BA530="",IF(R530="WON","✅ belegt &amp; vollständig","✔ vollständig"),LEFT(BA530,LEN(BA530)-3)))</f>
        <v/>
      </c>
      <c r="AJ530" s="268" t="n">
        <f aca="false">IF(ISNUMBER(S530),IFERROR(LOOKUP(IF(S530&lt;=1,S530,S530/100),'⚖️ Wahrscheinlichkeit'!$B$17:$B$21,'⚖️ Wahrscheinlichkeit'!$D$17:$D$21),0),0)</f>
        <v>0</v>
      </c>
      <c r="AK530" s="1" t="str">
        <f aca="false">IF(AND(R530="WON",ISNUMBER(I530)),AL530+(861-ROW())*0.000001,"")</f>
        <v/>
      </c>
      <c r="AL530" s="1" t="n">
        <f aca="false">IFERROR(I530*1,0)</f>
        <v>0</v>
      </c>
      <c r="AM530" s="1" t="n">
        <f aca="false">N(AM529)+IF(AND(R530="WON",B530&lt;&gt;""),1,0)</f>
        <v>12</v>
      </c>
      <c r="AN530" s="1" t="n">
        <f aca="false">N(AN529)+IF(AND(OR(R530="offered",R530="to be offered",R530="on hold"),B530&lt;&gt;""),1,0)</f>
        <v>33</v>
      </c>
      <c r="AO530" s="1" t="n">
        <f aca="false">N(AO529)+IF(AND(OR(R530="follow-up",R530="Evaluation",R530="tbd",R530="In evaluation"),B530&lt;&gt;""),1,0)</f>
        <v>1</v>
      </c>
      <c r="AP530" s="1" t="n">
        <f aca="false">IF(B530="",0,IF(COUNTIF('⚖️ Wahrscheinlichkeit'!$J$17:$J$24,R530)&gt;0,1,0))</f>
        <v>0</v>
      </c>
      <c r="AQ530" s="1" t="n">
        <f aca="false">IF(B530="",0,IF(AND(ISNUMBER(S530),COUNTIF('⚖️ Wahrscheinlichkeit'!$B$6:$B$11,S530)&gt;0),1,0))</f>
        <v>0</v>
      </c>
      <c r="AR530" s="1" t="n">
        <f aca="false">IF(B530="",0,IF(AND(COUNT(J530:M530)=4,SUM(J530:M530)&gt;0),1,0))</f>
        <v>0</v>
      </c>
      <c r="AS530" s="1" t="n">
        <f aca="false">IF(B530="",0,IF(AND(AF530&lt;&gt;"",AG530&lt;&gt;""),1,0))</f>
        <v>0</v>
      </c>
      <c r="AT530" s="1" t="n">
        <f aca="false">IF(AND(R530="WON",AS530=1,AR530=1),1,0)</f>
        <v>0</v>
      </c>
      <c r="AU530" s="1" t="n">
        <f aca="false">IF(B530="",0,IF(AD530="Alternative – zählt nicht",0,1))</f>
        <v>0</v>
      </c>
      <c r="AV530" s="1" t="n">
        <f aca="false">IF(B530="",0,IF(COUNTIF($B$6:$B$860,B530)&gt;1,1,0))</f>
        <v>0</v>
      </c>
      <c r="AX530" s="269" t="str">
        <f aca="false">IF(AY530=1,DATE(YEAR(O530),MONTH(O530),1),"")</f>
        <v/>
      </c>
      <c r="AY530" s="1" t="n">
        <f aca="false">IF(B530="",0,IF(AND(ISNUMBER(O530),ISNUMBER(P530)),IF(P530&gt;=O530,1,0),0))</f>
        <v>0</v>
      </c>
      <c r="AZ530" s="1" t="n">
        <f aca="false">IF(ISNUMBER(Y530),Y530,0)</f>
        <v>0</v>
      </c>
      <c r="BA530" s="1" t="str">
        <f aca="false">IF(B530="","",IF(AND(R530="WON",AS530=0),"⛔ Beleg fehlt · ","")&amp;IF(AND(R530="WON",AR530=0),"⛔ Einstand fehlt · ","")&amp;IF(AND(R530&lt;&gt;"WON",AR530=0),"○ Einstand offen · ","")&amp;IF(AND(R530="WON",AB530=""),"⛔ Vertragsart fehlt · ","")&amp;IF(AND(ISNUMBER(O530),ISNUMBER(P530)),IF(P530&lt;O530,"⚠ Ende vor Start · ",""),"")&amp;IF(AND(R530="WON",AY530=0,NOT(AND(ISNUMBER(O530),ISNUMBER(P530)))),"⛔ Zeitraum fehlt · ","")&amp;IF(AND(R530&lt;&gt;"WON",AY530=0,NOT(AND(ISNUMBER(O530),ISNUMBER(P530)))),"○ Zeitraum offen · ",""))</f>
        <v/>
      </c>
      <c r="BB530" s="1" t="str">
        <f aca="false">IF(B530="","",IF(AND(R530="WON",AS530=0),"⛔ Nachweis fehlt",IF(AND(ISNUMBER(O530),ISNUMBER(P530),P530&lt;O530),"⚠ Ende vor Start",IF(AND(R530="WON",AY530=0),"⛔ Zeitraum fehlt",IF(AR530=0,"○ Einstand offen",IF(AY530=0,"○ Zeitraum offen",IF(R530="WON","✅ belegt","✔ erfasst")))))))</f>
        <v/>
      </c>
    </row>
    <row r="531" customFormat="false" ht="15" hidden="false" customHeight="true" outlineLevel="0" collapsed="false">
      <c r="G531" s="1" t="str">
        <f aca="false">IF(B531="","",IF(AY531=1,P531-O531+1,IF(AW531="","",AW531)))</f>
        <v/>
      </c>
      <c r="I531" s="270"/>
      <c r="J531" s="270"/>
      <c r="K531" s="270"/>
      <c r="L531" s="270"/>
      <c r="M531" s="270"/>
      <c r="N531" s="270"/>
      <c r="O531" s="263"/>
      <c r="P531" s="263"/>
      <c r="Q531" s="270" t="str">
        <f aca="false">IF(AND(ISNUMBER(I531),ISNUMBER(S531)),I531*AJ531,IF(OR(I531&lt;&gt;"",S531&lt;&gt;""),"tbd",""))</f>
        <v/>
      </c>
      <c r="S531" s="268"/>
      <c r="Y531" s="275" t="str">
        <f aca="false">IF(ISNUMBER(I531),I531/Netto_Faktor,"")</f>
        <v/>
      </c>
      <c r="Z531" s="275" t="str">
        <f aca="false">IF(B531="","",IF(COUNT(J531:N531)=0,"",SUM(J531:N531)))</f>
        <v/>
      </c>
      <c r="AA531" s="266"/>
      <c r="AB531" s="266"/>
      <c r="AC531" s="266"/>
      <c r="AD531" s="266"/>
      <c r="AE531" s="266"/>
      <c r="AF531" s="266"/>
      <c r="AG531" s="267"/>
      <c r="AH531" s="266" t="str">
        <f aca="false">IF(B531="","",IF(BA531="",IF(R531="WON","✅ belegt &amp; vollständig","✔ vollständig"),LEFT(BA531,LEN(BA531)-3)))</f>
        <v/>
      </c>
      <c r="AJ531" s="268" t="n">
        <f aca="false">IF(ISNUMBER(S531),IFERROR(LOOKUP(IF(S531&lt;=1,S531,S531/100),'⚖️ Wahrscheinlichkeit'!$B$17:$B$21,'⚖️ Wahrscheinlichkeit'!$D$17:$D$21),0),0)</f>
        <v>0</v>
      </c>
      <c r="AK531" s="1" t="str">
        <f aca="false">IF(AND(R531="WON",ISNUMBER(I531)),AL531+(861-ROW())*0.000001,"")</f>
        <v/>
      </c>
      <c r="AL531" s="1" t="n">
        <f aca="false">IFERROR(I531*1,0)</f>
        <v>0</v>
      </c>
      <c r="AM531" s="1" t="n">
        <f aca="false">N(AM530)+IF(AND(R531="WON",B531&lt;&gt;""),1,0)</f>
        <v>12</v>
      </c>
      <c r="AN531" s="1" t="n">
        <f aca="false">N(AN530)+IF(AND(OR(R531="offered",R531="to be offered",R531="on hold"),B531&lt;&gt;""),1,0)</f>
        <v>33</v>
      </c>
      <c r="AO531" s="1" t="n">
        <f aca="false">N(AO530)+IF(AND(OR(R531="follow-up",R531="Evaluation",R531="tbd",R531="In evaluation"),B531&lt;&gt;""),1,0)</f>
        <v>1</v>
      </c>
      <c r="AP531" s="1" t="n">
        <f aca="false">IF(B531="",0,IF(COUNTIF('⚖️ Wahrscheinlichkeit'!$J$17:$J$24,R531)&gt;0,1,0))</f>
        <v>0</v>
      </c>
      <c r="AQ531" s="1" t="n">
        <f aca="false">IF(B531="",0,IF(AND(ISNUMBER(S531),COUNTIF('⚖️ Wahrscheinlichkeit'!$B$6:$B$11,S531)&gt;0),1,0))</f>
        <v>0</v>
      </c>
      <c r="AR531" s="1" t="n">
        <f aca="false">IF(B531="",0,IF(AND(COUNT(J531:M531)=4,SUM(J531:M531)&gt;0),1,0))</f>
        <v>0</v>
      </c>
      <c r="AS531" s="1" t="n">
        <f aca="false">IF(B531="",0,IF(AND(AF531&lt;&gt;"",AG531&lt;&gt;""),1,0))</f>
        <v>0</v>
      </c>
      <c r="AT531" s="1" t="n">
        <f aca="false">IF(AND(R531="WON",AS531=1,AR531=1),1,0)</f>
        <v>0</v>
      </c>
      <c r="AU531" s="1" t="n">
        <f aca="false">IF(B531="",0,IF(AD531="Alternative – zählt nicht",0,1))</f>
        <v>0</v>
      </c>
      <c r="AV531" s="1" t="n">
        <f aca="false">IF(B531="",0,IF(COUNTIF($B$6:$B$860,B531)&gt;1,1,0))</f>
        <v>0</v>
      </c>
      <c r="AX531" s="269" t="str">
        <f aca="false">IF(AY531=1,DATE(YEAR(O531),MONTH(O531),1),"")</f>
        <v/>
      </c>
      <c r="AY531" s="1" t="n">
        <f aca="false">IF(B531="",0,IF(AND(ISNUMBER(O531),ISNUMBER(P531)),IF(P531&gt;=O531,1,0),0))</f>
        <v>0</v>
      </c>
      <c r="AZ531" s="1" t="n">
        <f aca="false">IF(ISNUMBER(Y531),Y531,0)</f>
        <v>0</v>
      </c>
      <c r="BA531" s="1" t="str">
        <f aca="false">IF(B531="","",IF(AND(R531="WON",AS531=0),"⛔ Beleg fehlt · ","")&amp;IF(AND(R531="WON",AR531=0),"⛔ Einstand fehlt · ","")&amp;IF(AND(R531&lt;&gt;"WON",AR531=0),"○ Einstand offen · ","")&amp;IF(AND(R531="WON",AB531=""),"⛔ Vertragsart fehlt · ","")&amp;IF(AND(ISNUMBER(O531),ISNUMBER(P531)),IF(P531&lt;O531,"⚠ Ende vor Start · ",""),"")&amp;IF(AND(R531="WON",AY531=0,NOT(AND(ISNUMBER(O531),ISNUMBER(P531)))),"⛔ Zeitraum fehlt · ","")&amp;IF(AND(R531&lt;&gt;"WON",AY531=0,NOT(AND(ISNUMBER(O531),ISNUMBER(P531)))),"○ Zeitraum offen · ",""))</f>
        <v/>
      </c>
      <c r="BB531" s="1" t="str">
        <f aca="false">IF(B531="","",IF(AND(R531="WON",AS531=0),"⛔ Nachweis fehlt",IF(AND(ISNUMBER(O531),ISNUMBER(P531),P531&lt;O531),"⚠ Ende vor Start",IF(AND(R531="WON",AY531=0),"⛔ Zeitraum fehlt",IF(AR531=0,"○ Einstand offen",IF(AY531=0,"○ Zeitraum offen",IF(R531="WON","✅ belegt","✔ erfasst")))))))</f>
        <v/>
      </c>
    </row>
    <row r="532" customFormat="false" ht="15" hidden="false" customHeight="true" outlineLevel="0" collapsed="false">
      <c r="G532" s="1" t="str">
        <f aca="false">IF(B532="","",IF(AY532=1,P532-O532+1,IF(AW532="","",AW532)))</f>
        <v/>
      </c>
      <c r="I532" s="270"/>
      <c r="J532" s="270"/>
      <c r="K532" s="270"/>
      <c r="L532" s="270"/>
      <c r="M532" s="270"/>
      <c r="N532" s="270"/>
      <c r="O532" s="263"/>
      <c r="P532" s="263"/>
      <c r="Q532" s="270" t="str">
        <f aca="false">IF(AND(ISNUMBER(I532),ISNUMBER(S532)),I532*AJ532,IF(OR(I532&lt;&gt;"",S532&lt;&gt;""),"tbd",""))</f>
        <v/>
      </c>
      <c r="S532" s="268"/>
      <c r="Y532" s="275" t="str">
        <f aca="false">IF(ISNUMBER(I532),I532/Netto_Faktor,"")</f>
        <v/>
      </c>
      <c r="Z532" s="275" t="str">
        <f aca="false">IF(B532="","",IF(COUNT(J532:N532)=0,"",SUM(J532:N532)))</f>
        <v/>
      </c>
      <c r="AA532" s="266"/>
      <c r="AB532" s="266"/>
      <c r="AC532" s="266"/>
      <c r="AD532" s="266"/>
      <c r="AE532" s="266"/>
      <c r="AF532" s="266"/>
      <c r="AG532" s="267"/>
      <c r="AH532" s="266" t="str">
        <f aca="false">IF(B532="","",IF(BA532="",IF(R532="WON","✅ belegt &amp; vollständig","✔ vollständig"),LEFT(BA532,LEN(BA532)-3)))</f>
        <v/>
      </c>
      <c r="AJ532" s="268" t="n">
        <f aca="false">IF(ISNUMBER(S532),IFERROR(LOOKUP(IF(S532&lt;=1,S532,S532/100),'⚖️ Wahrscheinlichkeit'!$B$17:$B$21,'⚖️ Wahrscheinlichkeit'!$D$17:$D$21),0),0)</f>
        <v>0</v>
      </c>
      <c r="AK532" s="1" t="str">
        <f aca="false">IF(AND(R532="WON",ISNUMBER(I532)),AL532+(861-ROW())*0.000001,"")</f>
        <v/>
      </c>
      <c r="AL532" s="1" t="n">
        <f aca="false">IFERROR(I532*1,0)</f>
        <v>0</v>
      </c>
      <c r="AM532" s="1" t="n">
        <f aca="false">N(AM531)+IF(AND(R532="WON",B532&lt;&gt;""),1,0)</f>
        <v>12</v>
      </c>
      <c r="AN532" s="1" t="n">
        <f aca="false">N(AN531)+IF(AND(OR(R532="offered",R532="to be offered",R532="on hold"),B532&lt;&gt;""),1,0)</f>
        <v>33</v>
      </c>
      <c r="AO532" s="1" t="n">
        <f aca="false">N(AO531)+IF(AND(OR(R532="follow-up",R532="Evaluation",R532="tbd",R532="In evaluation"),B532&lt;&gt;""),1,0)</f>
        <v>1</v>
      </c>
      <c r="AP532" s="1" t="n">
        <f aca="false">IF(B532="",0,IF(COUNTIF('⚖️ Wahrscheinlichkeit'!$J$17:$J$24,R532)&gt;0,1,0))</f>
        <v>0</v>
      </c>
      <c r="AQ532" s="1" t="n">
        <f aca="false">IF(B532="",0,IF(AND(ISNUMBER(S532),COUNTIF('⚖️ Wahrscheinlichkeit'!$B$6:$B$11,S532)&gt;0),1,0))</f>
        <v>0</v>
      </c>
      <c r="AR532" s="1" t="n">
        <f aca="false">IF(B532="",0,IF(AND(COUNT(J532:M532)=4,SUM(J532:M532)&gt;0),1,0))</f>
        <v>0</v>
      </c>
      <c r="AS532" s="1" t="n">
        <f aca="false">IF(B532="",0,IF(AND(AF532&lt;&gt;"",AG532&lt;&gt;""),1,0))</f>
        <v>0</v>
      </c>
      <c r="AT532" s="1" t="n">
        <f aca="false">IF(AND(R532="WON",AS532=1,AR532=1),1,0)</f>
        <v>0</v>
      </c>
      <c r="AU532" s="1" t="n">
        <f aca="false">IF(B532="",0,IF(AD532="Alternative – zählt nicht",0,1))</f>
        <v>0</v>
      </c>
      <c r="AV532" s="1" t="n">
        <f aca="false">IF(B532="",0,IF(COUNTIF($B$6:$B$860,B532)&gt;1,1,0))</f>
        <v>0</v>
      </c>
      <c r="AX532" s="269" t="str">
        <f aca="false">IF(AY532=1,DATE(YEAR(O532),MONTH(O532),1),"")</f>
        <v/>
      </c>
      <c r="AY532" s="1" t="n">
        <f aca="false">IF(B532="",0,IF(AND(ISNUMBER(O532),ISNUMBER(P532)),IF(P532&gt;=O532,1,0),0))</f>
        <v>0</v>
      </c>
      <c r="AZ532" s="1" t="n">
        <f aca="false">IF(ISNUMBER(Y532),Y532,0)</f>
        <v>0</v>
      </c>
      <c r="BA532" s="1" t="str">
        <f aca="false">IF(B532="","",IF(AND(R532="WON",AS532=0),"⛔ Beleg fehlt · ","")&amp;IF(AND(R532="WON",AR532=0),"⛔ Einstand fehlt · ","")&amp;IF(AND(R532&lt;&gt;"WON",AR532=0),"○ Einstand offen · ","")&amp;IF(AND(R532="WON",AB532=""),"⛔ Vertragsart fehlt · ","")&amp;IF(AND(ISNUMBER(O532),ISNUMBER(P532)),IF(P532&lt;O532,"⚠ Ende vor Start · ",""),"")&amp;IF(AND(R532="WON",AY532=0,NOT(AND(ISNUMBER(O532),ISNUMBER(P532)))),"⛔ Zeitraum fehlt · ","")&amp;IF(AND(R532&lt;&gt;"WON",AY532=0,NOT(AND(ISNUMBER(O532),ISNUMBER(P532)))),"○ Zeitraum offen · ",""))</f>
        <v/>
      </c>
      <c r="BB532" s="1" t="str">
        <f aca="false">IF(B532="","",IF(AND(R532="WON",AS532=0),"⛔ Nachweis fehlt",IF(AND(ISNUMBER(O532),ISNUMBER(P532),P532&lt;O532),"⚠ Ende vor Start",IF(AND(R532="WON",AY532=0),"⛔ Zeitraum fehlt",IF(AR532=0,"○ Einstand offen",IF(AY532=0,"○ Zeitraum offen",IF(R532="WON","✅ belegt","✔ erfasst")))))))</f>
        <v/>
      </c>
    </row>
    <row r="533" customFormat="false" ht="15" hidden="false" customHeight="true" outlineLevel="0" collapsed="false">
      <c r="G533" s="1" t="str">
        <f aca="false">IF(B533="","",IF(AY533=1,P533-O533+1,IF(AW533="","",AW533)))</f>
        <v/>
      </c>
      <c r="I533" s="270"/>
      <c r="J533" s="270"/>
      <c r="K533" s="270"/>
      <c r="L533" s="270"/>
      <c r="M533" s="270"/>
      <c r="N533" s="270"/>
      <c r="O533" s="263"/>
      <c r="P533" s="263"/>
      <c r="Q533" s="270" t="str">
        <f aca="false">IF(AND(ISNUMBER(I533),ISNUMBER(S533)),I533*AJ533,IF(OR(I533&lt;&gt;"",S533&lt;&gt;""),"tbd",""))</f>
        <v/>
      </c>
      <c r="S533" s="268"/>
      <c r="Y533" s="275" t="str">
        <f aca="false">IF(ISNUMBER(I533),I533/Netto_Faktor,"")</f>
        <v/>
      </c>
      <c r="Z533" s="275" t="str">
        <f aca="false">IF(B533="","",IF(COUNT(J533:N533)=0,"",SUM(J533:N533)))</f>
        <v/>
      </c>
      <c r="AA533" s="266"/>
      <c r="AB533" s="266"/>
      <c r="AC533" s="266"/>
      <c r="AD533" s="266"/>
      <c r="AE533" s="266"/>
      <c r="AF533" s="266"/>
      <c r="AG533" s="267"/>
      <c r="AH533" s="266" t="str">
        <f aca="false">IF(B533="","",IF(BA533="",IF(R533="WON","✅ belegt &amp; vollständig","✔ vollständig"),LEFT(BA533,LEN(BA533)-3)))</f>
        <v/>
      </c>
      <c r="AJ533" s="268" t="n">
        <f aca="false">IF(ISNUMBER(S533),IFERROR(LOOKUP(IF(S533&lt;=1,S533,S533/100),'⚖️ Wahrscheinlichkeit'!$B$17:$B$21,'⚖️ Wahrscheinlichkeit'!$D$17:$D$21),0),0)</f>
        <v>0</v>
      </c>
      <c r="AK533" s="1" t="str">
        <f aca="false">IF(AND(R533="WON",ISNUMBER(I533)),AL533+(861-ROW())*0.000001,"")</f>
        <v/>
      </c>
      <c r="AL533" s="1" t="n">
        <f aca="false">IFERROR(I533*1,0)</f>
        <v>0</v>
      </c>
      <c r="AM533" s="1" t="n">
        <f aca="false">N(AM532)+IF(AND(R533="WON",B533&lt;&gt;""),1,0)</f>
        <v>12</v>
      </c>
      <c r="AN533" s="1" t="n">
        <f aca="false">N(AN532)+IF(AND(OR(R533="offered",R533="to be offered",R533="on hold"),B533&lt;&gt;""),1,0)</f>
        <v>33</v>
      </c>
      <c r="AO533" s="1" t="n">
        <f aca="false">N(AO532)+IF(AND(OR(R533="follow-up",R533="Evaluation",R533="tbd",R533="In evaluation"),B533&lt;&gt;""),1,0)</f>
        <v>1</v>
      </c>
      <c r="AP533" s="1" t="n">
        <f aca="false">IF(B533="",0,IF(COUNTIF('⚖️ Wahrscheinlichkeit'!$J$17:$J$24,R533)&gt;0,1,0))</f>
        <v>0</v>
      </c>
      <c r="AQ533" s="1" t="n">
        <f aca="false">IF(B533="",0,IF(AND(ISNUMBER(S533),COUNTIF('⚖️ Wahrscheinlichkeit'!$B$6:$B$11,S533)&gt;0),1,0))</f>
        <v>0</v>
      </c>
      <c r="AR533" s="1" t="n">
        <f aca="false">IF(B533="",0,IF(AND(COUNT(J533:M533)=4,SUM(J533:M533)&gt;0),1,0))</f>
        <v>0</v>
      </c>
      <c r="AS533" s="1" t="n">
        <f aca="false">IF(B533="",0,IF(AND(AF533&lt;&gt;"",AG533&lt;&gt;""),1,0))</f>
        <v>0</v>
      </c>
      <c r="AT533" s="1" t="n">
        <f aca="false">IF(AND(R533="WON",AS533=1,AR533=1),1,0)</f>
        <v>0</v>
      </c>
      <c r="AU533" s="1" t="n">
        <f aca="false">IF(B533="",0,IF(AD533="Alternative – zählt nicht",0,1))</f>
        <v>0</v>
      </c>
      <c r="AV533" s="1" t="n">
        <f aca="false">IF(B533="",0,IF(COUNTIF($B$6:$B$860,B533)&gt;1,1,0))</f>
        <v>0</v>
      </c>
      <c r="AX533" s="269" t="str">
        <f aca="false">IF(AY533=1,DATE(YEAR(O533),MONTH(O533),1),"")</f>
        <v/>
      </c>
      <c r="AY533" s="1" t="n">
        <f aca="false">IF(B533="",0,IF(AND(ISNUMBER(O533),ISNUMBER(P533)),IF(P533&gt;=O533,1,0),0))</f>
        <v>0</v>
      </c>
      <c r="AZ533" s="1" t="n">
        <f aca="false">IF(ISNUMBER(Y533),Y533,0)</f>
        <v>0</v>
      </c>
      <c r="BA533" s="1" t="str">
        <f aca="false">IF(B533="","",IF(AND(R533="WON",AS533=0),"⛔ Beleg fehlt · ","")&amp;IF(AND(R533="WON",AR533=0),"⛔ Einstand fehlt · ","")&amp;IF(AND(R533&lt;&gt;"WON",AR533=0),"○ Einstand offen · ","")&amp;IF(AND(R533="WON",AB533=""),"⛔ Vertragsart fehlt · ","")&amp;IF(AND(ISNUMBER(O533),ISNUMBER(P533)),IF(P533&lt;O533,"⚠ Ende vor Start · ",""),"")&amp;IF(AND(R533="WON",AY533=0,NOT(AND(ISNUMBER(O533),ISNUMBER(P533)))),"⛔ Zeitraum fehlt · ","")&amp;IF(AND(R533&lt;&gt;"WON",AY533=0,NOT(AND(ISNUMBER(O533),ISNUMBER(P533)))),"○ Zeitraum offen · ",""))</f>
        <v/>
      </c>
      <c r="BB533" s="1" t="str">
        <f aca="false">IF(B533="","",IF(AND(R533="WON",AS533=0),"⛔ Nachweis fehlt",IF(AND(ISNUMBER(O533),ISNUMBER(P533),P533&lt;O533),"⚠ Ende vor Start",IF(AND(R533="WON",AY533=0),"⛔ Zeitraum fehlt",IF(AR533=0,"○ Einstand offen",IF(AY533=0,"○ Zeitraum offen",IF(R533="WON","✅ belegt","✔ erfasst")))))))</f>
        <v/>
      </c>
    </row>
    <row r="534" customFormat="false" ht="15" hidden="false" customHeight="true" outlineLevel="0" collapsed="false">
      <c r="G534" s="1" t="str">
        <f aca="false">IF(B534="","",IF(AY534=1,P534-O534+1,IF(AW534="","",AW534)))</f>
        <v/>
      </c>
      <c r="I534" s="270"/>
      <c r="J534" s="270"/>
      <c r="K534" s="270"/>
      <c r="L534" s="270"/>
      <c r="M534" s="270"/>
      <c r="N534" s="270"/>
      <c r="O534" s="263"/>
      <c r="P534" s="263"/>
      <c r="Q534" s="270" t="str">
        <f aca="false">IF(AND(ISNUMBER(I534),ISNUMBER(S534)),I534*AJ534,IF(OR(I534&lt;&gt;"",S534&lt;&gt;""),"tbd",""))</f>
        <v/>
      </c>
      <c r="S534" s="268"/>
      <c r="Y534" s="275" t="str">
        <f aca="false">IF(ISNUMBER(I534),I534/Netto_Faktor,"")</f>
        <v/>
      </c>
      <c r="Z534" s="275" t="str">
        <f aca="false">IF(B534="","",IF(COUNT(J534:N534)=0,"",SUM(J534:N534)))</f>
        <v/>
      </c>
      <c r="AA534" s="266"/>
      <c r="AB534" s="266"/>
      <c r="AC534" s="266"/>
      <c r="AD534" s="266"/>
      <c r="AE534" s="266"/>
      <c r="AF534" s="266"/>
      <c r="AG534" s="267"/>
      <c r="AH534" s="266" t="str">
        <f aca="false">IF(B534="","",IF(BA534="",IF(R534="WON","✅ belegt &amp; vollständig","✔ vollständig"),LEFT(BA534,LEN(BA534)-3)))</f>
        <v/>
      </c>
      <c r="AJ534" s="268" t="n">
        <f aca="false">IF(ISNUMBER(S534),IFERROR(LOOKUP(IF(S534&lt;=1,S534,S534/100),'⚖️ Wahrscheinlichkeit'!$B$17:$B$21,'⚖️ Wahrscheinlichkeit'!$D$17:$D$21),0),0)</f>
        <v>0</v>
      </c>
      <c r="AK534" s="1" t="str">
        <f aca="false">IF(AND(R534="WON",ISNUMBER(I534)),AL534+(861-ROW())*0.000001,"")</f>
        <v/>
      </c>
      <c r="AL534" s="1" t="n">
        <f aca="false">IFERROR(I534*1,0)</f>
        <v>0</v>
      </c>
      <c r="AM534" s="1" t="n">
        <f aca="false">N(AM533)+IF(AND(R534="WON",B534&lt;&gt;""),1,0)</f>
        <v>12</v>
      </c>
      <c r="AN534" s="1" t="n">
        <f aca="false">N(AN533)+IF(AND(OR(R534="offered",R534="to be offered",R534="on hold"),B534&lt;&gt;""),1,0)</f>
        <v>33</v>
      </c>
      <c r="AO534" s="1" t="n">
        <f aca="false">N(AO533)+IF(AND(OR(R534="follow-up",R534="Evaluation",R534="tbd",R534="In evaluation"),B534&lt;&gt;""),1,0)</f>
        <v>1</v>
      </c>
      <c r="AP534" s="1" t="n">
        <f aca="false">IF(B534="",0,IF(COUNTIF('⚖️ Wahrscheinlichkeit'!$J$17:$J$24,R534)&gt;0,1,0))</f>
        <v>0</v>
      </c>
      <c r="AQ534" s="1" t="n">
        <f aca="false">IF(B534="",0,IF(AND(ISNUMBER(S534),COUNTIF('⚖️ Wahrscheinlichkeit'!$B$6:$B$11,S534)&gt;0),1,0))</f>
        <v>0</v>
      </c>
      <c r="AR534" s="1" t="n">
        <f aca="false">IF(B534="",0,IF(AND(COUNT(J534:M534)=4,SUM(J534:M534)&gt;0),1,0))</f>
        <v>0</v>
      </c>
      <c r="AS534" s="1" t="n">
        <f aca="false">IF(B534="",0,IF(AND(AF534&lt;&gt;"",AG534&lt;&gt;""),1,0))</f>
        <v>0</v>
      </c>
      <c r="AT534" s="1" t="n">
        <f aca="false">IF(AND(R534="WON",AS534=1,AR534=1),1,0)</f>
        <v>0</v>
      </c>
      <c r="AU534" s="1" t="n">
        <f aca="false">IF(B534="",0,IF(AD534="Alternative – zählt nicht",0,1))</f>
        <v>0</v>
      </c>
      <c r="AV534" s="1" t="n">
        <f aca="false">IF(B534="",0,IF(COUNTIF($B$6:$B$860,B534)&gt;1,1,0))</f>
        <v>0</v>
      </c>
      <c r="AX534" s="269" t="str">
        <f aca="false">IF(AY534=1,DATE(YEAR(O534),MONTH(O534),1),"")</f>
        <v/>
      </c>
      <c r="AY534" s="1" t="n">
        <f aca="false">IF(B534="",0,IF(AND(ISNUMBER(O534),ISNUMBER(P534)),IF(P534&gt;=O534,1,0),0))</f>
        <v>0</v>
      </c>
      <c r="AZ534" s="1" t="n">
        <f aca="false">IF(ISNUMBER(Y534),Y534,0)</f>
        <v>0</v>
      </c>
      <c r="BA534" s="1" t="str">
        <f aca="false">IF(B534="","",IF(AND(R534="WON",AS534=0),"⛔ Beleg fehlt · ","")&amp;IF(AND(R534="WON",AR534=0),"⛔ Einstand fehlt · ","")&amp;IF(AND(R534&lt;&gt;"WON",AR534=0),"○ Einstand offen · ","")&amp;IF(AND(R534="WON",AB534=""),"⛔ Vertragsart fehlt · ","")&amp;IF(AND(ISNUMBER(O534),ISNUMBER(P534)),IF(P534&lt;O534,"⚠ Ende vor Start · ",""),"")&amp;IF(AND(R534="WON",AY534=0,NOT(AND(ISNUMBER(O534),ISNUMBER(P534)))),"⛔ Zeitraum fehlt · ","")&amp;IF(AND(R534&lt;&gt;"WON",AY534=0,NOT(AND(ISNUMBER(O534),ISNUMBER(P534)))),"○ Zeitraum offen · ",""))</f>
        <v/>
      </c>
      <c r="BB534" s="1" t="str">
        <f aca="false">IF(B534="","",IF(AND(R534="WON",AS534=0),"⛔ Nachweis fehlt",IF(AND(ISNUMBER(O534),ISNUMBER(P534),P534&lt;O534),"⚠ Ende vor Start",IF(AND(R534="WON",AY534=0),"⛔ Zeitraum fehlt",IF(AR534=0,"○ Einstand offen",IF(AY534=0,"○ Zeitraum offen",IF(R534="WON","✅ belegt","✔ erfasst")))))))</f>
        <v/>
      </c>
    </row>
    <row r="535" customFormat="false" ht="15" hidden="false" customHeight="true" outlineLevel="0" collapsed="false">
      <c r="G535" s="1" t="str">
        <f aca="false">IF(B535="","",IF(AY535=1,P535-O535+1,IF(AW535="","",AW535)))</f>
        <v/>
      </c>
      <c r="I535" s="270"/>
      <c r="J535" s="270"/>
      <c r="K535" s="270"/>
      <c r="L535" s="270"/>
      <c r="M535" s="270"/>
      <c r="N535" s="270"/>
      <c r="O535" s="263"/>
      <c r="P535" s="263"/>
      <c r="Q535" s="270" t="str">
        <f aca="false">IF(AND(ISNUMBER(I535),ISNUMBER(S535)),I535*AJ535,IF(OR(I535&lt;&gt;"",S535&lt;&gt;""),"tbd",""))</f>
        <v/>
      </c>
      <c r="S535" s="268"/>
      <c r="Y535" s="275" t="str">
        <f aca="false">IF(ISNUMBER(I535),I535/Netto_Faktor,"")</f>
        <v/>
      </c>
      <c r="Z535" s="275" t="str">
        <f aca="false">IF(B535="","",IF(COUNT(J535:N535)=0,"",SUM(J535:N535)))</f>
        <v/>
      </c>
      <c r="AA535" s="266"/>
      <c r="AB535" s="266"/>
      <c r="AC535" s="266"/>
      <c r="AD535" s="266"/>
      <c r="AE535" s="266"/>
      <c r="AF535" s="266"/>
      <c r="AG535" s="267"/>
      <c r="AH535" s="266" t="str">
        <f aca="false">IF(B535="","",IF(BA535="",IF(R535="WON","✅ belegt &amp; vollständig","✔ vollständig"),LEFT(BA535,LEN(BA535)-3)))</f>
        <v/>
      </c>
      <c r="AJ535" s="268" t="n">
        <f aca="false">IF(ISNUMBER(S535),IFERROR(LOOKUP(IF(S535&lt;=1,S535,S535/100),'⚖️ Wahrscheinlichkeit'!$B$17:$B$21,'⚖️ Wahrscheinlichkeit'!$D$17:$D$21),0),0)</f>
        <v>0</v>
      </c>
      <c r="AK535" s="1" t="str">
        <f aca="false">IF(AND(R535="WON",ISNUMBER(I535)),AL535+(861-ROW())*0.000001,"")</f>
        <v/>
      </c>
      <c r="AL535" s="1" t="n">
        <f aca="false">IFERROR(I535*1,0)</f>
        <v>0</v>
      </c>
      <c r="AM535" s="1" t="n">
        <f aca="false">N(AM534)+IF(AND(R535="WON",B535&lt;&gt;""),1,0)</f>
        <v>12</v>
      </c>
      <c r="AN535" s="1" t="n">
        <f aca="false">N(AN534)+IF(AND(OR(R535="offered",R535="to be offered",R535="on hold"),B535&lt;&gt;""),1,0)</f>
        <v>33</v>
      </c>
      <c r="AO535" s="1" t="n">
        <f aca="false">N(AO534)+IF(AND(OR(R535="follow-up",R535="Evaluation",R535="tbd",R535="In evaluation"),B535&lt;&gt;""),1,0)</f>
        <v>1</v>
      </c>
      <c r="AP535" s="1" t="n">
        <f aca="false">IF(B535="",0,IF(COUNTIF('⚖️ Wahrscheinlichkeit'!$J$17:$J$24,R535)&gt;0,1,0))</f>
        <v>0</v>
      </c>
      <c r="AQ535" s="1" t="n">
        <f aca="false">IF(B535="",0,IF(AND(ISNUMBER(S535),COUNTIF('⚖️ Wahrscheinlichkeit'!$B$6:$B$11,S535)&gt;0),1,0))</f>
        <v>0</v>
      </c>
      <c r="AR535" s="1" t="n">
        <f aca="false">IF(B535="",0,IF(AND(COUNT(J535:M535)=4,SUM(J535:M535)&gt;0),1,0))</f>
        <v>0</v>
      </c>
      <c r="AS535" s="1" t="n">
        <f aca="false">IF(B535="",0,IF(AND(AF535&lt;&gt;"",AG535&lt;&gt;""),1,0))</f>
        <v>0</v>
      </c>
      <c r="AT535" s="1" t="n">
        <f aca="false">IF(AND(R535="WON",AS535=1,AR535=1),1,0)</f>
        <v>0</v>
      </c>
      <c r="AU535" s="1" t="n">
        <f aca="false">IF(B535="",0,IF(AD535="Alternative – zählt nicht",0,1))</f>
        <v>0</v>
      </c>
      <c r="AV535" s="1" t="n">
        <f aca="false">IF(B535="",0,IF(COUNTIF($B$6:$B$860,B535)&gt;1,1,0))</f>
        <v>0</v>
      </c>
      <c r="AX535" s="269" t="str">
        <f aca="false">IF(AY535=1,DATE(YEAR(O535),MONTH(O535),1),"")</f>
        <v/>
      </c>
      <c r="AY535" s="1" t="n">
        <f aca="false">IF(B535="",0,IF(AND(ISNUMBER(O535),ISNUMBER(P535)),IF(P535&gt;=O535,1,0),0))</f>
        <v>0</v>
      </c>
      <c r="AZ535" s="1" t="n">
        <f aca="false">IF(ISNUMBER(Y535),Y535,0)</f>
        <v>0</v>
      </c>
      <c r="BA535" s="1" t="str">
        <f aca="false">IF(B535="","",IF(AND(R535="WON",AS535=0),"⛔ Beleg fehlt · ","")&amp;IF(AND(R535="WON",AR535=0),"⛔ Einstand fehlt · ","")&amp;IF(AND(R535&lt;&gt;"WON",AR535=0),"○ Einstand offen · ","")&amp;IF(AND(R535="WON",AB535=""),"⛔ Vertragsart fehlt · ","")&amp;IF(AND(ISNUMBER(O535),ISNUMBER(P535)),IF(P535&lt;O535,"⚠ Ende vor Start · ",""),"")&amp;IF(AND(R535="WON",AY535=0,NOT(AND(ISNUMBER(O535),ISNUMBER(P535)))),"⛔ Zeitraum fehlt · ","")&amp;IF(AND(R535&lt;&gt;"WON",AY535=0,NOT(AND(ISNUMBER(O535),ISNUMBER(P535)))),"○ Zeitraum offen · ",""))</f>
        <v/>
      </c>
      <c r="BB535" s="1" t="str">
        <f aca="false">IF(B535="","",IF(AND(R535="WON",AS535=0),"⛔ Nachweis fehlt",IF(AND(ISNUMBER(O535),ISNUMBER(P535),P535&lt;O535),"⚠ Ende vor Start",IF(AND(R535="WON",AY535=0),"⛔ Zeitraum fehlt",IF(AR535=0,"○ Einstand offen",IF(AY535=0,"○ Zeitraum offen",IF(R535="WON","✅ belegt","✔ erfasst")))))))</f>
        <v/>
      </c>
    </row>
    <row r="536" customFormat="false" ht="15" hidden="false" customHeight="true" outlineLevel="0" collapsed="false">
      <c r="G536" s="1" t="str">
        <f aca="false">IF(B536="","",IF(AY536=1,P536-O536+1,IF(AW536="","",AW536)))</f>
        <v/>
      </c>
      <c r="I536" s="270"/>
      <c r="J536" s="270"/>
      <c r="K536" s="270"/>
      <c r="L536" s="270"/>
      <c r="M536" s="270"/>
      <c r="N536" s="270"/>
      <c r="O536" s="263"/>
      <c r="P536" s="263"/>
      <c r="Q536" s="270" t="str">
        <f aca="false">IF(AND(ISNUMBER(I536),ISNUMBER(S536)),I536*AJ536,IF(OR(I536&lt;&gt;"",S536&lt;&gt;""),"tbd",""))</f>
        <v/>
      </c>
      <c r="S536" s="268"/>
      <c r="Y536" s="275" t="str">
        <f aca="false">IF(ISNUMBER(I536),I536/Netto_Faktor,"")</f>
        <v/>
      </c>
      <c r="Z536" s="275" t="str">
        <f aca="false">IF(B536="","",IF(COUNT(J536:N536)=0,"",SUM(J536:N536)))</f>
        <v/>
      </c>
      <c r="AA536" s="266"/>
      <c r="AB536" s="266"/>
      <c r="AC536" s="266"/>
      <c r="AD536" s="266"/>
      <c r="AE536" s="266"/>
      <c r="AF536" s="266"/>
      <c r="AG536" s="267"/>
      <c r="AH536" s="266" t="str">
        <f aca="false">IF(B536="","",IF(BA536="",IF(R536="WON","✅ belegt &amp; vollständig","✔ vollständig"),LEFT(BA536,LEN(BA536)-3)))</f>
        <v/>
      </c>
      <c r="AJ536" s="268" t="n">
        <f aca="false">IF(ISNUMBER(S536),IFERROR(LOOKUP(IF(S536&lt;=1,S536,S536/100),'⚖️ Wahrscheinlichkeit'!$B$17:$B$21,'⚖️ Wahrscheinlichkeit'!$D$17:$D$21),0),0)</f>
        <v>0</v>
      </c>
      <c r="AK536" s="1" t="str">
        <f aca="false">IF(AND(R536="WON",ISNUMBER(I536)),AL536+(861-ROW())*0.000001,"")</f>
        <v/>
      </c>
      <c r="AL536" s="1" t="n">
        <f aca="false">IFERROR(I536*1,0)</f>
        <v>0</v>
      </c>
      <c r="AM536" s="1" t="n">
        <f aca="false">N(AM535)+IF(AND(R536="WON",B536&lt;&gt;""),1,0)</f>
        <v>12</v>
      </c>
      <c r="AN536" s="1" t="n">
        <f aca="false">N(AN535)+IF(AND(OR(R536="offered",R536="to be offered",R536="on hold"),B536&lt;&gt;""),1,0)</f>
        <v>33</v>
      </c>
      <c r="AO536" s="1" t="n">
        <f aca="false">N(AO535)+IF(AND(OR(R536="follow-up",R536="Evaluation",R536="tbd",R536="In evaluation"),B536&lt;&gt;""),1,0)</f>
        <v>1</v>
      </c>
      <c r="AP536" s="1" t="n">
        <f aca="false">IF(B536="",0,IF(COUNTIF('⚖️ Wahrscheinlichkeit'!$J$17:$J$24,R536)&gt;0,1,0))</f>
        <v>0</v>
      </c>
      <c r="AQ536" s="1" t="n">
        <f aca="false">IF(B536="",0,IF(AND(ISNUMBER(S536),COUNTIF('⚖️ Wahrscheinlichkeit'!$B$6:$B$11,S536)&gt;0),1,0))</f>
        <v>0</v>
      </c>
      <c r="AR536" s="1" t="n">
        <f aca="false">IF(B536="",0,IF(AND(COUNT(J536:M536)=4,SUM(J536:M536)&gt;0),1,0))</f>
        <v>0</v>
      </c>
      <c r="AS536" s="1" t="n">
        <f aca="false">IF(B536="",0,IF(AND(AF536&lt;&gt;"",AG536&lt;&gt;""),1,0))</f>
        <v>0</v>
      </c>
      <c r="AT536" s="1" t="n">
        <f aca="false">IF(AND(R536="WON",AS536=1,AR536=1),1,0)</f>
        <v>0</v>
      </c>
      <c r="AU536" s="1" t="n">
        <f aca="false">IF(B536="",0,IF(AD536="Alternative – zählt nicht",0,1))</f>
        <v>0</v>
      </c>
      <c r="AV536" s="1" t="n">
        <f aca="false">IF(B536="",0,IF(COUNTIF($B$6:$B$860,B536)&gt;1,1,0))</f>
        <v>0</v>
      </c>
      <c r="AX536" s="269" t="str">
        <f aca="false">IF(AY536=1,DATE(YEAR(O536),MONTH(O536),1),"")</f>
        <v/>
      </c>
      <c r="AY536" s="1" t="n">
        <f aca="false">IF(B536="",0,IF(AND(ISNUMBER(O536),ISNUMBER(P536)),IF(P536&gt;=O536,1,0),0))</f>
        <v>0</v>
      </c>
      <c r="AZ536" s="1" t="n">
        <f aca="false">IF(ISNUMBER(Y536),Y536,0)</f>
        <v>0</v>
      </c>
      <c r="BA536" s="1" t="str">
        <f aca="false">IF(B536="","",IF(AND(R536="WON",AS536=0),"⛔ Beleg fehlt · ","")&amp;IF(AND(R536="WON",AR536=0),"⛔ Einstand fehlt · ","")&amp;IF(AND(R536&lt;&gt;"WON",AR536=0),"○ Einstand offen · ","")&amp;IF(AND(R536="WON",AB536=""),"⛔ Vertragsart fehlt · ","")&amp;IF(AND(ISNUMBER(O536),ISNUMBER(P536)),IF(P536&lt;O536,"⚠ Ende vor Start · ",""),"")&amp;IF(AND(R536="WON",AY536=0,NOT(AND(ISNUMBER(O536),ISNUMBER(P536)))),"⛔ Zeitraum fehlt · ","")&amp;IF(AND(R536&lt;&gt;"WON",AY536=0,NOT(AND(ISNUMBER(O536),ISNUMBER(P536)))),"○ Zeitraum offen · ",""))</f>
        <v/>
      </c>
      <c r="BB536" s="1" t="str">
        <f aca="false">IF(B536="","",IF(AND(R536="WON",AS536=0),"⛔ Nachweis fehlt",IF(AND(ISNUMBER(O536),ISNUMBER(P536),P536&lt;O536),"⚠ Ende vor Start",IF(AND(R536="WON",AY536=0),"⛔ Zeitraum fehlt",IF(AR536=0,"○ Einstand offen",IF(AY536=0,"○ Zeitraum offen",IF(R536="WON","✅ belegt","✔ erfasst")))))))</f>
        <v/>
      </c>
    </row>
    <row r="537" customFormat="false" ht="15" hidden="false" customHeight="true" outlineLevel="0" collapsed="false">
      <c r="G537" s="1" t="str">
        <f aca="false">IF(B537="","",IF(AY537=1,P537-O537+1,IF(AW537="","",AW537)))</f>
        <v/>
      </c>
      <c r="I537" s="270"/>
      <c r="J537" s="270"/>
      <c r="K537" s="270"/>
      <c r="L537" s="270"/>
      <c r="M537" s="270"/>
      <c r="N537" s="270"/>
      <c r="O537" s="263"/>
      <c r="P537" s="263"/>
      <c r="Q537" s="270" t="str">
        <f aca="false">IF(AND(ISNUMBER(I537),ISNUMBER(S537)),I537*AJ537,IF(OR(I537&lt;&gt;"",S537&lt;&gt;""),"tbd",""))</f>
        <v/>
      </c>
      <c r="S537" s="268"/>
      <c r="Y537" s="275" t="str">
        <f aca="false">IF(ISNUMBER(I537),I537/Netto_Faktor,"")</f>
        <v/>
      </c>
      <c r="Z537" s="275" t="str">
        <f aca="false">IF(B537="","",IF(COUNT(J537:N537)=0,"",SUM(J537:N537)))</f>
        <v/>
      </c>
      <c r="AA537" s="266"/>
      <c r="AB537" s="266"/>
      <c r="AC537" s="266"/>
      <c r="AD537" s="266"/>
      <c r="AE537" s="266"/>
      <c r="AF537" s="266"/>
      <c r="AG537" s="267"/>
      <c r="AH537" s="266" t="str">
        <f aca="false">IF(B537="","",IF(BA537="",IF(R537="WON","✅ belegt &amp; vollständig","✔ vollständig"),LEFT(BA537,LEN(BA537)-3)))</f>
        <v/>
      </c>
      <c r="AJ537" s="268" t="n">
        <f aca="false">IF(ISNUMBER(S537),IFERROR(LOOKUP(IF(S537&lt;=1,S537,S537/100),'⚖️ Wahrscheinlichkeit'!$B$17:$B$21,'⚖️ Wahrscheinlichkeit'!$D$17:$D$21),0),0)</f>
        <v>0</v>
      </c>
      <c r="AK537" s="1" t="str">
        <f aca="false">IF(AND(R537="WON",ISNUMBER(I537)),AL537+(861-ROW())*0.000001,"")</f>
        <v/>
      </c>
      <c r="AL537" s="1" t="n">
        <f aca="false">IFERROR(I537*1,0)</f>
        <v>0</v>
      </c>
      <c r="AM537" s="1" t="n">
        <f aca="false">N(AM536)+IF(AND(R537="WON",B537&lt;&gt;""),1,0)</f>
        <v>12</v>
      </c>
      <c r="AN537" s="1" t="n">
        <f aca="false">N(AN536)+IF(AND(OR(R537="offered",R537="to be offered",R537="on hold"),B537&lt;&gt;""),1,0)</f>
        <v>33</v>
      </c>
      <c r="AO537" s="1" t="n">
        <f aca="false">N(AO536)+IF(AND(OR(R537="follow-up",R537="Evaluation",R537="tbd",R537="In evaluation"),B537&lt;&gt;""),1,0)</f>
        <v>1</v>
      </c>
      <c r="AP537" s="1" t="n">
        <f aca="false">IF(B537="",0,IF(COUNTIF('⚖️ Wahrscheinlichkeit'!$J$17:$J$24,R537)&gt;0,1,0))</f>
        <v>0</v>
      </c>
      <c r="AQ537" s="1" t="n">
        <f aca="false">IF(B537="",0,IF(AND(ISNUMBER(S537),COUNTIF('⚖️ Wahrscheinlichkeit'!$B$6:$B$11,S537)&gt;0),1,0))</f>
        <v>0</v>
      </c>
      <c r="AR537" s="1" t="n">
        <f aca="false">IF(B537="",0,IF(AND(COUNT(J537:M537)=4,SUM(J537:M537)&gt;0),1,0))</f>
        <v>0</v>
      </c>
      <c r="AS537" s="1" t="n">
        <f aca="false">IF(B537="",0,IF(AND(AF537&lt;&gt;"",AG537&lt;&gt;""),1,0))</f>
        <v>0</v>
      </c>
      <c r="AT537" s="1" t="n">
        <f aca="false">IF(AND(R537="WON",AS537=1,AR537=1),1,0)</f>
        <v>0</v>
      </c>
      <c r="AU537" s="1" t="n">
        <f aca="false">IF(B537="",0,IF(AD537="Alternative – zählt nicht",0,1))</f>
        <v>0</v>
      </c>
      <c r="AV537" s="1" t="n">
        <f aca="false">IF(B537="",0,IF(COUNTIF($B$6:$B$860,B537)&gt;1,1,0))</f>
        <v>0</v>
      </c>
      <c r="AX537" s="269" t="str">
        <f aca="false">IF(AY537=1,DATE(YEAR(O537),MONTH(O537),1),"")</f>
        <v/>
      </c>
      <c r="AY537" s="1" t="n">
        <f aca="false">IF(B537="",0,IF(AND(ISNUMBER(O537),ISNUMBER(P537)),IF(P537&gt;=O537,1,0),0))</f>
        <v>0</v>
      </c>
      <c r="AZ537" s="1" t="n">
        <f aca="false">IF(ISNUMBER(Y537),Y537,0)</f>
        <v>0</v>
      </c>
      <c r="BA537" s="1" t="str">
        <f aca="false">IF(B537="","",IF(AND(R537="WON",AS537=0),"⛔ Beleg fehlt · ","")&amp;IF(AND(R537="WON",AR537=0),"⛔ Einstand fehlt · ","")&amp;IF(AND(R537&lt;&gt;"WON",AR537=0),"○ Einstand offen · ","")&amp;IF(AND(R537="WON",AB537=""),"⛔ Vertragsart fehlt · ","")&amp;IF(AND(ISNUMBER(O537),ISNUMBER(P537)),IF(P537&lt;O537,"⚠ Ende vor Start · ",""),"")&amp;IF(AND(R537="WON",AY537=0,NOT(AND(ISNUMBER(O537),ISNUMBER(P537)))),"⛔ Zeitraum fehlt · ","")&amp;IF(AND(R537&lt;&gt;"WON",AY537=0,NOT(AND(ISNUMBER(O537),ISNUMBER(P537)))),"○ Zeitraum offen · ",""))</f>
        <v/>
      </c>
      <c r="BB537" s="1" t="str">
        <f aca="false">IF(B537="","",IF(AND(R537="WON",AS537=0),"⛔ Nachweis fehlt",IF(AND(ISNUMBER(O537),ISNUMBER(P537),P537&lt;O537),"⚠ Ende vor Start",IF(AND(R537="WON",AY537=0),"⛔ Zeitraum fehlt",IF(AR537=0,"○ Einstand offen",IF(AY537=0,"○ Zeitraum offen",IF(R537="WON","✅ belegt","✔ erfasst")))))))</f>
        <v/>
      </c>
    </row>
    <row r="538" customFormat="false" ht="15" hidden="false" customHeight="true" outlineLevel="0" collapsed="false">
      <c r="G538" s="1" t="str">
        <f aca="false">IF(B538="","",IF(AY538=1,P538-O538+1,IF(AW538="","",AW538)))</f>
        <v/>
      </c>
      <c r="I538" s="270"/>
      <c r="J538" s="270"/>
      <c r="K538" s="270"/>
      <c r="L538" s="270"/>
      <c r="M538" s="270"/>
      <c r="N538" s="270"/>
      <c r="O538" s="263"/>
      <c r="P538" s="263"/>
      <c r="Q538" s="270" t="str">
        <f aca="false">IF(AND(ISNUMBER(I538),ISNUMBER(S538)),I538*AJ538,IF(OR(I538&lt;&gt;"",S538&lt;&gt;""),"tbd",""))</f>
        <v/>
      </c>
      <c r="S538" s="268"/>
      <c r="Y538" s="275" t="str">
        <f aca="false">IF(ISNUMBER(I538),I538/Netto_Faktor,"")</f>
        <v/>
      </c>
      <c r="Z538" s="275" t="str">
        <f aca="false">IF(B538="","",IF(COUNT(J538:N538)=0,"",SUM(J538:N538)))</f>
        <v/>
      </c>
      <c r="AA538" s="266"/>
      <c r="AB538" s="266"/>
      <c r="AC538" s="266"/>
      <c r="AD538" s="266"/>
      <c r="AE538" s="266"/>
      <c r="AF538" s="266"/>
      <c r="AG538" s="267"/>
      <c r="AH538" s="266" t="str">
        <f aca="false">IF(B538="","",IF(BA538="",IF(R538="WON","✅ belegt &amp; vollständig","✔ vollständig"),LEFT(BA538,LEN(BA538)-3)))</f>
        <v/>
      </c>
      <c r="AJ538" s="268" t="n">
        <f aca="false">IF(ISNUMBER(S538),IFERROR(LOOKUP(IF(S538&lt;=1,S538,S538/100),'⚖️ Wahrscheinlichkeit'!$B$17:$B$21,'⚖️ Wahrscheinlichkeit'!$D$17:$D$21),0),0)</f>
        <v>0</v>
      </c>
      <c r="AK538" s="1" t="str">
        <f aca="false">IF(AND(R538="WON",ISNUMBER(I538)),AL538+(861-ROW())*0.000001,"")</f>
        <v/>
      </c>
      <c r="AL538" s="1" t="n">
        <f aca="false">IFERROR(I538*1,0)</f>
        <v>0</v>
      </c>
      <c r="AM538" s="1" t="n">
        <f aca="false">N(AM537)+IF(AND(R538="WON",B538&lt;&gt;""),1,0)</f>
        <v>12</v>
      </c>
      <c r="AN538" s="1" t="n">
        <f aca="false">N(AN537)+IF(AND(OR(R538="offered",R538="to be offered",R538="on hold"),B538&lt;&gt;""),1,0)</f>
        <v>33</v>
      </c>
      <c r="AO538" s="1" t="n">
        <f aca="false">N(AO537)+IF(AND(OR(R538="follow-up",R538="Evaluation",R538="tbd",R538="In evaluation"),B538&lt;&gt;""),1,0)</f>
        <v>1</v>
      </c>
      <c r="AP538" s="1" t="n">
        <f aca="false">IF(B538="",0,IF(COUNTIF('⚖️ Wahrscheinlichkeit'!$J$17:$J$24,R538)&gt;0,1,0))</f>
        <v>0</v>
      </c>
      <c r="AQ538" s="1" t="n">
        <f aca="false">IF(B538="",0,IF(AND(ISNUMBER(S538),COUNTIF('⚖️ Wahrscheinlichkeit'!$B$6:$B$11,S538)&gt;0),1,0))</f>
        <v>0</v>
      </c>
      <c r="AR538" s="1" t="n">
        <f aca="false">IF(B538="",0,IF(AND(COUNT(J538:M538)=4,SUM(J538:M538)&gt;0),1,0))</f>
        <v>0</v>
      </c>
      <c r="AS538" s="1" t="n">
        <f aca="false">IF(B538="",0,IF(AND(AF538&lt;&gt;"",AG538&lt;&gt;""),1,0))</f>
        <v>0</v>
      </c>
      <c r="AT538" s="1" t="n">
        <f aca="false">IF(AND(R538="WON",AS538=1,AR538=1),1,0)</f>
        <v>0</v>
      </c>
      <c r="AU538" s="1" t="n">
        <f aca="false">IF(B538="",0,IF(AD538="Alternative – zählt nicht",0,1))</f>
        <v>0</v>
      </c>
      <c r="AV538" s="1" t="n">
        <f aca="false">IF(B538="",0,IF(COUNTIF($B$6:$B$860,B538)&gt;1,1,0))</f>
        <v>0</v>
      </c>
      <c r="AX538" s="269" t="str">
        <f aca="false">IF(AY538=1,DATE(YEAR(O538),MONTH(O538),1),"")</f>
        <v/>
      </c>
      <c r="AY538" s="1" t="n">
        <f aca="false">IF(B538="",0,IF(AND(ISNUMBER(O538),ISNUMBER(P538)),IF(P538&gt;=O538,1,0),0))</f>
        <v>0</v>
      </c>
      <c r="AZ538" s="1" t="n">
        <f aca="false">IF(ISNUMBER(Y538),Y538,0)</f>
        <v>0</v>
      </c>
      <c r="BA538" s="1" t="str">
        <f aca="false">IF(B538="","",IF(AND(R538="WON",AS538=0),"⛔ Beleg fehlt · ","")&amp;IF(AND(R538="WON",AR538=0),"⛔ Einstand fehlt · ","")&amp;IF(AND(R538&lt;&gt;"WON",AR538=0),"○ Einstand offen · ","")&amp;IF(AND(R538="WON",AB538=""),"⛔ Vertragsart fehlt · ","")&amp;IF(AND(ISNUMBER(O538),ISNUMBER(P538)),IF(P538&lt;O538,"⚠ Ende vor Start · ",""),"")&amp;IF(AND(R538="WON",AY538=0,NOT(AND(ISNUMBER(O538),ISNUMBER(P538)))),"⛔ Zeitraum fehlt · ","")&amp;IF(AND(R538&lt;&gt;"WON",AY538=0,NOT(AND(ISNUMBER(O538),ISNUMBER(P538)))),"○ Zeitraum offen · ",""))</f>
        <v/>
      </c>
      <c r="BB538" s="1" t="str">
        <f aca="false">IF(B538="","",IF(AND(R538="WON",AS538=0),"⛔ Nachweis fehlt",IF(AND(ISNUMBER(O538),ISNUMBER(P538),P538&lt;O538),"⚠ Ende vor Start",IF(AND(R538="WON",AY538=0),"⛔ Zeitraum fehlt",IF(AR538=0,"○ Einstand offen",IF(AY538=0,"○ Zeitraum offen",IF(R538="WON","✅ belegt","✔ erfasst")))))))</f>
        <v/>
      </c>
    </row>
    <row r="539" customFormat="false" ht="15" hidden="false" customHeight="true" outlineLevel="0" collapsed="false">
      <c r="G539" s="1" t="str">
        <f aca="false">IF(B539="","",IF(AY539=1,P539-O539+1,IF(AW539="","",AW539)))</f>
        <v/>
      </c>
      <c r="I539" s="270"/>
      <c r="J539" s="270"/>
      <c r="K539" s="270"/>
      <c r="L539" s="270"/>
      <c r="M539" s="270"/>
      <c r="N539" s="270"/>
      <c r="O539" s="263"/>
      <c r="P539" s="263"/>
      <c r="Q539" s="270" t="str">
        <f aca="false">IF(AND(ISNUMBER(I539),ISNUMBER(S539)),I539*AJ539,IF(OR(I539&lt;&gt;"",S539&lt;&gt;""),"tbd",""))</f>
        <v/>
      </c>
      <c r="S539" s="268"/>
      <c r="Y539" s="275" t="str">
        <f aca="false">IF(ISNUMBER(I539),I539/Netto_Faktor,"")</f>
        <v/>
      </c>
      <c r="Z539" s="275" t="str">
        <f aca="false">IF(B539="","",IF(COUNT(J539:N539)=0,"",SUM(J539:N539)))</f>
        <v/>
      </c>
      <c r="AA539" s="266"/>
      <c r="AB539" s="266"/>
      <c r="AC539" s="266"/>
      <c r="AD539" s="266"/>
      <c r="AE539" s="266"/>
      <c r="AF539" s="266"/>
      <c r="AG539" s="267"/>
      <c r="AH539" s="266" t="str">
        <f aca="false">IF(B539="","",IF(BA539="",IF(R539="WON","✅ belegt &amp; vollständig","✔ vollständig"),LEFT(BA539,LEN(BA539)-3)))</f>
        <v/>
      </c>
      <c r="AJ539" s="268" t="n">
        <f aca="false">IF(ISNUMBER(S539),IFERROR(LOOKUP(IF(S539&lt;=1,S539,S539/100),'⚖️ Wahrscheinlichkeit'!$B$17:$B$21,'⚖️ Wahrscheinlichkeit'!$D$17:$D$21),0),0)</f>
        <v>0</v>
      </c>
      <c r="AK539" s="1" t="str">
        <f aca="false">IF(AND(R539="WON",ISNUMBER(I539)),AL539+(861-ROW())*0.000001,"")</f>
        <v/>
      </c>
      <c r="AL539" s="1" t="n">
        <f aca="false">IFERROR(I539*1,0)</f>
        <v>0</v>
      </c>
      <c r="AM539" s="1" t="n">
        <f aca="false">N(AM538)+IF(AND(R539="WON",B539&lt;&gt;""),1,0)</f>
        <v>12</v>
      </c>
      <c r="AN539" s="1" t="n">
        <f aca="false">N(AN538)+IF(AND(OR(R539="offered",R539="to be offered",R539="on hold"),B539&lt;&gt;""),1,0)</f>
        <v>33</v>
      </c>
      <c r="AO539" s="1" t="n">
        <f aca="false">N(AO538)+IF(AND(OR(R539="follow-up",R539="Evaluation",R539="tbd",R539="In evaluation"),B539&lt;&gt;""),1,0)</f>
        <v>1</v>
      </c>
      <c r="AP539" s="1" t="n">
        <f aca="false">IF(B539="",0,IF(COUNTIF('⚖️ Wahrscheinlichkeit'!$J$17:$J$24,R539)&gt;0,1,0))</f>
        <v>0</v>
      </c>
      <c r="AQ539" s="1" t="n">
        <f aca="false">IF(B539="",0,IF(AND(ISNUMBER(S539),COUNTIF('⚖️ Wahrscheinlichkeit'!$B$6:$B$11,S539)&gt;0),1,0))</f>
        <v>0</v>
      </c>
      <c r="AR539" s="1" t="n">
        <f aca="false">IF(B539="",0,IF(AND(COUNT(J539:M539)=4,SUM(J539:M539)&gt;0),1,0))</f>
        <v>0</v>
      </c>
      <c r="AS539" s="1" t="n">
        <f aca="false">IF(B539="",0,IF(AND(AF539&lt;&gt;"",AG539&lt;&gt;""),1,0))</f>
        <v>0</v>
      </c>
      <c r="AT539" s="1" t="n">
        <f aca="false">IF(AND(R539="WON",AS539=1,AR539=1),1,0)</f>
        <v>0</v>
      </c>
      <c r="AU539" s="1" t="n">
        <f aca="false">IF(B539="",0,IF(AD539="Alternative – zählt nicht",0,1))</f>
        <v>0</v>
      </c>
      <c r="AV539" s="1" t="n">
        <f aca="false">IF(B539="",0,IF(COUNTIF($B$6:$B$860,B539)&gt;1,1,0))</f>
        <v>0</v>
      </c>
      <c r="AX539" s="269" t="str">
        <f aca="false">IF(AY539=1,DATE(YEAR(O539),MONTH(O539),1),"")</f>
        <v/>
      </c>
      <c r="AY539" s="1" t="n">
        <f aca="false">IF(B539="",0,IF(AND(ISNUMBER(O539),ISNUMBER(P539)),IF(P539&gt;=O539,1,0),0))</f>
        <v>0</v>
      </c>
      <c r="AZ539" s="1" t="n">
        <f aca="false">IF(ISNUMBER(Y539),Y539,0)</f>
        <v>0</v>
      </c>
      <c r="BA539" s="1" t="str">
        <f aca="false">IF(B539="","",IF(AND(R539="WON",AS539=0),"⛔ Beleg fehlt · ","")&amp;IF(AND(R539="WON",AR539=0),"⛔ Einstand fehlt · ","")&amp;IF(AND(R539&lt;&gt;"WON",AR539=0),"○ Einstand offen · ","")&amp;IF(AND(R539="WON",AB539=""),"⛔ Vertragsart fehlt · ","")&amp;IF(AND(ISNUMBER(O539),ISNUMBER(P539)),IF(P539&lt;O539,"⚠ Ende vor Start · ",""),"")&amp;IF(AND(R539="WON",AY539=0,NOT(AND(ISNUMBER(O539),ISNUMBER(P539)))),"⛔ Zeitraum fehlt · ","")&amp;IF(AND(R539&lt;&gt;"WON",AY539=0,NOT(AND(ISNUMBER(O539),ISNUMBER(P539)))),"○ Zeitraum offen · ",""))</f>
        <v/>
      </c>
      <c r="BB539" s="1" t="str">
        <f aca="false">IF(B539="","",IF(AND(R539="WON",AS539=0),"⛔ Nachweis fehlt",IF(AND(ISNUMBER(O539),ISNUMBER(P539),P539&lt;O539),"⚠ Ende vor Start",IF(AND(R539="WON",AY539=0),"⛔ Zeitraum fehlt",IF(AR539=0,"○ Einstand offen",IF(AY539=0,"○ Zeitraum offen",IF(R539="WON","✅ belegt","✔ erfasst")))))))</f>
        <v/>
      </c>
    </row>
    <row r="540" customFormat="false" ht="15" hidden="false" customHeight="true" outlineLevel="0" collapsed="false">
      <c r="G540" s="1" t="str">
        <f aca="false">IF(B540="","",IF(AY540=1,P540-O540+1,IF(AW540="","",AW540)))</f>
        <v/>
      </c>
      <c r="I540" s="270"/>
      <c r="J540" s="270"/>
      <c r="K540" s="270"/>
      <c r="L540" s="270"/>
      <c r="M540" s="270"/>
      <c r="N540" s="270"/>
      <c r="O540" s="263"/>
      <c r="P540" s="263"/>
      <c r="Q540" s="270" t="str">
        <f aca="false">IF(AND(ISNUMBER(I540),ISNUMBER(S540)),I540*AJ540,IF(OR(I540&lt;&gt;"",S540&lt;&gt;""),"tbd",""))</f>
        <v/>
      </c>
      <c r="S540" s="268"/>
      <c r="Y540" s="275" t="str">
        <f aca="false">IF(ISNUMBER(I540),I540/Netto_Faktor,"")</f>
        <v/>
      </c>
      <c r="Z540" s="275" t="str">
        <f aca="false">IF(B540="","",IF(COUNT(J540:N540)=0,"",SUM(J540:N540)))</f>
        <v/>
      </c>
      <c r="AA540" s="266"/>
      <c r="AB540" s="266"/>
      <c r="AC540" s="266"/>
      <c r="AD540" s="266"/>
      <c r="AE540" s="266"/>
      <c r="AF540" s="266"/>
      <c r="AG540" s="267"/>
      <c r="AH540" s="266" t="str">
        <f aca="false">IF(B540="","",IF(BA540="",IF(R540="WON","✅ belegt &amp; vollständig","✔ vollständig"),LEFT(BA540,LEN(BA540)-3)))</f>
        <v/>
      </c>
      <c r="AJ540" s="268" t="n">
        <f aca="false">IF(ISNUMBER(S540),IFERROR(LOOKUP(IF(S540&lt;=1,S540,S540/100),'⚖️ Wahrscheinlichkeit'!$B$17:$B$21,'⚖️ Wahrscheinlichkeit'!$D$17:$D$21),0),0)</f>
        <v>0</v>
      </c>
      <c r="AK540" s="1" t="str">
        <f aca="false">IF(AND(R540="WON",ISNUMBER(I540)),AL540+(861-ROW())*0.000001,"")</f>
        <v/>
      </c>
      <c r="AL540" s="1" t="n">
        <f aca="false">IFERROR(I540*1,0)</f>
        <v>0</v>
      </c>
      <c r="AM540" s="1" t="n">
        <f aca="false">N(AM539)+IF(AND(R540="WON",B540&lt;&gt;""),1,0)</f>
        <v>12</v>
      </c>
      <c r="AN540" s="1" t="n">
        <f aca="false">N(AN539)+IF(AND(OR(R540="offered",R540="to be offered",R540="on hold"),B540&lt;&gt;""),1,0)</f>
        <v>33</v>
      </c>
      <c r="AO540" s="1" t="n">
        <f aca="false">N(AO539)+IF(AND(OR(R540="follow-up",R540="Evaluation",R540="tbd",R540="In evaluation"),B540&lt;&gt;""),1,0)</f>
        <v>1</v>
      </c>
      <c r="AP540" s="1" t="n">
        <f aca="false">IF(B540="",0,IF(COUNTIF('⚖️ Wahrscheinlichkeit'!$J$17:$J$24,R540)&gt;0,1,0))</f>
        <v>0</v>
      </c>
      <c r="AQ540" s="1" t="n">
        <f aca="false">IF(B540="",0,IF(AND(ISNUMBER(S540),COUNTIF('⚖️ Wahrscheinlichkeit'!$B$6:$B$11,S540)&gt;0),1,0))</f>
        <v>0</v>
      </c>
      <c r="AR540" s="1" t="n">
        <f aca="false">IF(B540="",0,IF(AND(COUNT(J540:M540)=4,SUM(J540:M540)&gt;0),1,0))</f>
        <v>0</v>
      </c>
      <c r="AS540" s="1" t="n">
        <f aca="false">IF(B540="",0,IF(AND(AF540&lt;&gt;"",AG540&lt;&gt;""),1,0))</f>
        <v>0</v>
      </c>
      <c r="AT540" s="1" t="n">
        <f aca="false">IF(AND(R540="WON",AS540=1,AR540=1),1,0)</f>
        <v>0</v>
      </c>
      <c r="AU540" s="1" t="n">
        <f aca="false">IF(B540="",0,IF(AD540="Alternative – zählt nicht",0,1))</f>
        <v>0</v>
      </c>
      <c r="AV540" s="1" t="n">
        <f aca="false">IF(B540="",0,IF(COUNTIF($B$6:$B$860,B540)&gt;1,1,0))</f>
        <v>0</v>
      </c>
      <c r="AX540" s="269" t="str">
        <f aca="false">IF(AY540=1,DATE(YEAR(O540),MONTH(O540),1),"")</f>
        <v/>
      </c>
      <c r="AY540" s="1" t="n">
        <f aca="false">IF(B540="",0,IF(AND(ISNUMBER(O540),ISNUMBER(P540)),IF(P540&gt;=O540,1,0),0))</f>
        <v>0</v>
      </c>
      <c r="AZ540" s="1" t="n">
        <f aca="false">IF(ISNUMBER(Y540),Y540,0)</f>
        <v>0</v>
      </c>
      <c r="BA540" s="1" t="str">
        <f aca="false">IF(B540="","",IF(AND(R540="WON",AS540=0),"⛔ Beleg fehlt · ","")&amp;IF(AND(R540="WON",AR540=0),"⛔ Einstand fehlt · ","")&amp;IF(AND(R540&lt;&gt;"WON",AR540=0),"○ Einstand offen · ","")&amp;IF(AND(R540="WON",AB540=""),"⛔ Vertragsart fehlt · ","")&amp;IF(AND(ISNUMBER(O540),ISNUMBER(P540)),IF(P540&lt;O540,"⚠ Ende vor Start · ",""),"")&amp;IF(AND(R540="WON",AY540=0,NOT(AND(ISNUMBER(O540),ISNUMBER(P540)))),"⛔ Zeitraum fehlt · ","")&amp;IF(AND(R540&lt;&gt;"WON",AY540=0,NOT(AND(ISNUMBER(O540),ISNUMBER(P540)))),"○ Zeitraum offen · ",""))</f>
        <v/>
      </c>
      <c r="BB540" s="1" t="str">
        <f aca="false">IF(B540="","",IF(AND(R540="WON",AS540=0),"⛔ Nachweis fehlt",IF(AND(ISNUMBER(O540),ISNUMBER(P540),P540&lt;O540),"⚠ Ende vor Start",IF(AND(R540="WON",AY540=0),"⛔ Zeitraum fehlt",IF(AR540=0,"○ Einstand offen",IF(AY540=0,"○ Zeitraum offen",IF(R540="WON","✅ belegt","✔ erfasst")))))))</f>
        <v/>
      </c>
    </row>
    <row r="541" customFormat="false" ht="15" hidden="false" customHeight="true" outlineLevel="0" collapsed="false">
      <c r="G541" s="1" t="str">
        <f aca="false">IF(B541="","",IF(AY541=1,P541-O541+1,IF(AW541="","",AW541)))</f>
        <v/>
      </c>
      <c r="I541" s="270"/>
      <c r="J541" s="270"/>
      <c r="K541" s="270"/>
      <c r="L541" s="270"/>
      <c r="M541" s="270"/>
      <c r="N541" s="270"/>
      <c r="O541" s="263"/>
      <c r="P541" s="263"/>
      <c r="Q541" s="270" t="str">
        <f aca="false">IF(AND(ISNUMBER(I541),ISNUMBER(S541)),I541*AJ541,IF(OR(I541&lt;&gt;"",S541&lt;&gt;""),"tbd",""))</f>
        <v/>
      </c>
      <c r="S541" s="268"/>
      <c r="Y541" s="275" t="str">
        <f aca="false">IF(ISNUMBER(I541),I541/Netto_Faktor,"")</f>
        <v/>
      </c>
      <c r="Z541" s="275" t="str">
        <f aca="false">IF(B541="","",IF(COUNT(J541:N541)=0,"",SUM(J541:N541)))</f>
        <v/>
      </c>
      <c r="AA541" s="266"/>
      <c r="AB541" s="266"/>
      <c r="AC541" s="266"/>
      <c r="AD541" s="266"/>
      <c r="AE541" s="266"/>
      <c r="AF541" s="266"/>
      <c r="AG541" s="267"/>
      <c r="AH541" s="266" t="str">
        <f aca="false">IF(B541="","",IF(BA541="",IF(R541="WON","✅ belegt &amp; vollständig","✔ vollständig"),LEFT(BA541,LEN(BA541)-3)))</f>
        <v/>
      </c>
      <c r="AJ541" s="268" t="n">
        <f aca="false">IF(ISNUMBER(S541),IFERROR(LOOKUP(IF(S541&lt;=1,S541,S541/100),'⚖️ Wahrscheinlichkeit'!$B$17:$B$21,'⚖️ Wahrscheinlichkeit'!$D$17:$D$21),0),0)</f>
        <v>0</v>
      </c>
      <c r="AK541" s="1" t="str">
        <f aca="false">IF(AND(R541="WON",ISNUMBER(I541)),AL541+(861-ROW())*0.000001,"")</f>
        <v/>
      </c>
      <c r="AL541" s="1" t="n">
        <f aca="false">IFERROR(I541*1,0)</f>
        <v>0</v>
      </c>
      <c r="AM541" s="1" t="n">
        <f aca="false">N(AM540)+IF(AND(R541="WON",B541&lt;&gt;""),1,0)</f>
        <v>12</v>
      </c>
      <c r="AN541" s="1" t="n">
        <f aca="false">N(AN540)+IF(AND(OR(R541="offered",R541="to be offered",R541="on hold"),B541&lt;&gt;""),1,0)</f>
        <v>33</v>
      </c>
      <c r="AO541" s="1" t="n">
        <f aca="false">N(AO540)+IF(AND(OR(R541="follow-up",R541="Evaluation",R541="tbd",R541="In evaluation"),B541&lt;&gt;""),1,0)</f>
        <v>1</v>
      </c>
      <c r="AP541" s="1" t="n">
        <f aca="false">IF(B541="",0,IF(COUNTIF('⚖️ Wahrscheinlichkeit'!$J$17:$J$24,R541)&gt;0,1,0))</f>
        <v>0</v>
      </c>
      <c r="AQ541" s="1" t="n">
        <f aca="false">IF(B541="",0,IF(AND(ISNUMBER(S541),COUNTIF('⚖️ Wahrscheinlichkeit'!$B$6:$B$11,S541)&gt;0),1,0))</f>
        <v>0</v>
      </c>
      <c r="AR541" s="1" t="n">
        <f aca="false">IF(B541="",0,IF(AND(COUNT(J541:M541)=4,SUM(J541:M541)&gt;0),1,0))</f>
        <v>0</v>
      </c>
      <c r="AS541" s="1" t="n">
        <f aca="false">IF(B541="",0,IF(AND(AF541&lt;&gt;"",AG541&lt;&gt;""),1,0))</f>
        <v>0</v>
      </c>
      <c r="AT541" s="1" t="n">
        <f aca="false">IF(AND(R541="WON",AS541=1,AR541=1),1,0)</f>
        <v>0</v>
      </c>
      <c r="AU541" s="1" t="n">
        <f aca="false">IF(B541="",0,IF(AD541="Alternative – zählt nicht",0,1))</f>
        <v>0</v>
      </c>
      <c r="AV541" s="1" t="n">
        <f aca="false">IF(B541="",0,IF(COUNTIF($B$6:$B$860,B541)&gt;1,1,0))</f>
        <v>0</v>
      </c>
      <c r="AX541" s="269" t="str">
        <f aca="false">IF(AY541=1,DATE(YEAR(O541),MONTH(O541),1),"")</f>
        <v/>
      </c>
      <c r="AY541" s="1" t="n">
        <f aca="false">IF(B541="",0,IF(AND(ISNUMBER(O541),ISNUMBER(P541)),IF(P541&gt;=O541,1,0),0))</f>
        <v>0</v>
      </c>
      <c r="AZ541" s="1" t="n">
        <f aca="false">IF(ISNUMBER(Y541),Y541,0)</f>
        <v>0</v>
      </c>
      <c r="BA541" s="1" t="str">
        <f aca="false">IF(B541="","",IF(AND(R541="WON",AS541=0),"⛔ Beleg fehlt · ","")&amp;IF(AND(R541="WON",AR541=0),"⛔ Einstand fehlt · ","")&amp;IF(AND(R541&lt;&gt;"WON",AR541=0),"○ Einstand offen · ","")&amp;IF(AND(R541="WON",AB541=""),"⛔ Vertragsart fehlt · ","")&amp;IF(AND(ISNUMBER(O541),ISNUMBER(P541)),IF(P541&lt;O541,"⚠ Ende vor Start · ",""),"")&amp;IF(AND(R541="WON",AY541=0,NOT(AND(ISNUMBER(O541),ISNUMBER(P541)))),"⛔ Zeitraum fehlt · ","")&amp;IF(AND(R541&lt;&gt;"WON",AY541=0,NOT(AND(ISNUMBER(O541),ISNUMBER(P541)))),"○ Zeitraum offen · ",""))</f>
        <v/>
      </c>
      <c r="BB541" s="1" t="str">
        <f aca="false">IF(B541="","",IF(AND(R541="WON",AS541=0),"⛔ Nachweis fehlt",IF(AND(ISNUMBER(O541),ISNUMBER(P541),P541&lt;O541),"⚠ Ende vor Start",IF(AND(R541="WON",AY541=0),"⛔ Zeitraum fehlt",IF(AR541=0,"○ Einstand offen",IF(AY541=0,"○ Zeitraum offen",IF(R541="WON","✅ belegt","✔ erfasst")))))))</f>
        <v/>
      </c>
    </row>
    <row r="542" customFormat="false" ht="15" hidden="false" customHeight="true" outlineLevel="0" collapsed="false">
      <c r="G542" s="1" t="str">
        <f aca="false">IF(B542="","",IF(AY542=1,P542-O542+1,IF(AW542="","",AW542)))</f>
        <v/>
      </c>
      <c r="I542" s="270"/>
      <c r="J542" s="270"/>
      <c r="K542" s="270"/>
      <c r="L542" s="270"/>
      <c r="M542" s="270"/>
      <c r="N542" s="270"/>
      <c r="O542" s="263"/>
      <c r="P542" s="263"/>
      <c r="Q542" s="270" t="str">
        <f aca="false">IF(AND(ISNUMBER(I542),ISNUMBER(S542)),I542*AJ542,IF(OR(I542&lt;&gt;"",S542&lt;&gt;""),"tbd",""))</f>
        <v/>
      </c>
      <c r="S542" s="268"/>
      <c r="Y542" s="275" t="str">
        <f aca="false">IF(ISNUMBER(I542),I542/Netto_Faktor,"")</f>
        <v/>
      </c>
      <c r="Z542" s="275" t="str">
        <f aca="false">IF(B542="","",IF(COUNT(J542:N542)=0,"",SUM(J542:N542)))</f>
        <v/>
      </c>
      <c r="AA542" s="266"/>
      <c r="AB542" s="266"/>
      <c r="AC542" s="266"/>
      <c r="AD542" s="266"/>
      <c r="AE542" s="266"/>
      <c r="AF542" s="266"/>
      <c r="AG542" s="267"/>
      <c r="AH542" s="266" t="str">
        <f aca="false">IF(B542="","",IF(BA542="",IF(R542="WON","✅ belegt &amp; vollständig","✔ vollständig"),LEFT(BA542,LEN(BA542)-3)))</f>
        <v/>
      </c>
      <c r="AJ542" s="268" t="n">
        <f aca="false">IF(ISNUMBER(S542),IFERROR(LOOKUP(IF(S542&lt;=1,S542,S542/100),'⚖️ Wahrscheinlichkeit'!$B$17:$B$21,'⚖️ Wahrscheinlichkeit'!$D$17:$D$21),0),0)</f>
        <v>0</v>
      </c>
      <c r="AK542" s="1" t="str">
        <f aca="false">IF(AND(R542="WON",ISNUMBER(I542)),AL542+(861-ROW())*0.000001,"")</f>
        <v/>
      </c>
      <c r="AL542" s="1" t="n">
        <f aca="false">IFERROR(I542*1,0)</f>
        <v>0</v>
      </c>
      <c r="AM542" s="1" t="n">
        <f aca="false">N(AM541)+IF(AND(R542="WON",B542&lt;&gt;""),1,0)</f>
        <v>12</v>
      </c>
      <c r="AN542" s="1" t="n">
        <f aca="false">N(AN541)+IF(AND(OR(R542="offered",R542="to be offered",R542="on hold"),B542&lt;&gt;""),1,0)</f>
        <v>33</v>
      </c>
      <c r="AO542" s="1" t="n">
        <f aca="false">N(AO541)+IF(AND(OR(R542="follow-up",R542="Evaluation",R542="tbd",R542="In evaluation"),B542&lt;&gt;""),1,0)</f>
        <v>1</v>
      </c>
      <c r="AP542" s="1" t="n">
        <f aca="false">IF(B542="",0,IF(COUNTIF('⚖️ Wahrscheinlichkeit'!$J$17:$J$24,R542)&gt;0,1,0))</f>
        <v>0</v>
      </c>
      <c r="AQ542" s="1" t="n">
        <f aca="false">IF(B542="",0,IF(AND(ISNUMBER(S542),COUNTIF('⚖️ Wahrscheinlichkeit'!$B$6:$B$11,S542)&gt;0),1,0))</f>
        <v>0</v>
      </c>
      <c r="AR542" s="1" t="n">
        <f aca="false">IF(B542="",0,IF(AND(COUNT(J542:M542)=4,SUM(J542:M542)&gt;0),1,0))</f>
        <v>0</v>
      </c>
      <c r="AS542" s="1" t="n">
        <f aca="false">IF(B542="",0,IF(AND(AF542&lt;&gt;"",AG542&lt;&gt;""),1,0))</f>
        <v>0</v>
      </c>
      <c r="AT542" s="1" t="n">
        <f aca="false">IF(AND(R542="WON",AS542=1,AR542=1),1,0)</f>
        <v>0</v>
      </c>
      <c r="AU542" s="1" t="n">
        <f aca="false">IF(B542="",0,IF(AD542="Alternative – zählt nicht",0,1))</f>
        <v>0</v>
      </c>
      <c r="AV542" s="1" t="n">
        <f aca="false">IF(B542="",0,IF(COUNTIF($B$6:$B$860,B542)&gt;1,1,0))</f>
        <v>0</v>
      </c>
      <c r="AX542" s="269" t="str">
        <f aca="false">IF(AY542=1,DATE(YEAR(O542),MONTH(O542),1),"")</f>
        <v/>
      </c>
      <c r="AY542" s="1" t="n">
        <f aca="false">IF(B542="",0,IF(AND(ISNUMBER(O542),ISNUMBER(P542)),IF(P542&gt;=O542,1,0),0))</f>
        <v>0</v>
      </c>
      <c r="AZ542" s="1" t="n">
        <f aca="false">IF(ISNUMBER(Y542),Y542,0)</f>
        <v>0</v>
      </c>
      <c r="BA542" s="1" t="str">
        <f aca="false">IF(B542="","",IF(AND(R542="WON",AS542=0),"⛔ Beleg fehlt · ","")&amp;IF(AND(R542="WON",AR542=0),"⛔ Einstand fehlt · ","")&amp;IF(AND(R542&lt;&gt;"WON",AR542=0),"○ Einstand offen · ","")&amp;IF(AND(R542="WON",AB542=""),"⛔ Vertragsart fehlt · ","")&amp;IF(AND(ISNUMBER(O542),ISNUMBER(P542)),IF(P542&lt;O542,"⚠ Ende vor Start · ",""),"")&amp;IF(AND(R542="WON",AY542=0,NOT(AND(ISNUMBER(O542),ISNUMBER(P542)))),"⛔ Zeitraum fehlt · ","")&amp;IF(AND(R542&lt;&gt;"WON",AY542=0,NOT(AND(ISNUMBER(O542),ISNUMBER(P542)))),"○ Zeitraum offen · ",""))</f>
        <v/>
      </c>
      <c r="BB542" s="1" t="str">
        <f aca="false">IF(B542="","",IF(AND(R542="WON",AS542=0),"⛔ Nachweis fehlt",IF(AND(ISNUMBER(O542),ISNUMBER(P542),P542&lt;O542),"⚠ Ende vor Start",IF(AND(R542="WON",AY542=0),"⛔ Zeitraum fehlt",IF(AR542=0,"○ Einstand offen",IF(AY542=0,"○ Zeitraum offen",IF(R542="WON","✅ belegt","✔ erfasst")))))))</f>
        <v/>
      </c>
    </row>
    <row r="543" customFormat="false" ht="15" hidden="false" customHeight="true" outlineLevel="0" collapsed="false">
      <c r="G543" s="1" t="str">
        <f aca="false">IF(B543="","",IF(AY543=1,P543-O543+1,IF(AW543="","",AW543)))</f>
        <v/>
      </c>
      <c r="I543" s="270"/>
      <c r="J543" s="270"/>
      <c r="K543" s="270"/>
      <c r="L543" s="270"/>
      <c r="M543" s="270"/>
      <c r="N543" s="270"/>
      <c r="O543" s="263"/>
      <c r="P543" s="263"/>
      <c r="Q543" s="270" t="str">
        <f aca="false">IF(AND(ISNUMBER(I543),ISNUMBER(S543)),I543*AJ543,IF(OR(I543&lt;&gt;"",S543&lt;&gt;""),"tbd",""))</f>
        <v/>
      </c>
      <c r="S543" s="268"/>
      <c r="Y543" s="275" t="str">
        <f aca="false">IF(ISNUMBER(I543),I543/Netto_Faktor,"")</f>
        <v/>
      </c>
      <c r="Z543" s="275" t="str">
        <f aca="false">IF(B543="","",IF(COUNT(J543:N543)=0,"",SUM(J543:N543)))</f>
        <v/>
      </c>
      <c r="AA543" s="266"/>
      <c r="AB543" s="266"/>
      <c r="AC543" s="266"/>
      <c r="AD543" s="266"/>
      <c r="AE543" s="266"/>
      <c r="AF543" s="266"/>
      <c r="AG543" s="267"/>
      <c r="AH543" s="266" t="str">
        <f aca="false">IF(B543="","",IF(BA543="",IF(R543="WON","✅ belegt &amp; vollständig","✔ vollständig"),LEFT(BA543,LEN(BA543)-3)))</f>
        <v/>
      </c>
      <c r="AJ543" s="268" t="n">
        <f aca="false">IF(ISNUMBER(S543),IFERROR(LOOKUP(IF(S543&lt;=1,S543,S543/100),'⚖️ Wahrscheinlichkeit'!$B$17:$B$21,'⚖️ Wahrscheinlichkeit'!$D$17:$D$21),0),0)</f>
        <v>0</v>
      </c>
      <c r="AK543" s="1" t="str">
        <f aca="false">IF(AND(R543="WON",ISNUMBER(I543)),AL543+(861-ROW())*0.000001,"")</f>
        <v/>
      </c>
      <c r="AL543" s="1" t="n">
        <f aca="false">IFERROR(I543*1,0)</f>
        <v>0</v>
      </c>
      <c r="AM543" s="1" t="n">
        <f aca="false">N(AM542)+IF(AND(R543="WON",B543&lt;&gt;""),1,0)</f>
        <v>12</v>
      </c>
      <c r="AN543" s="1" t="n">
        <f aca="false">N(AN542)+IF(AND(OR(R543="offered",R543="to be offered",R543="on hold"),B543&lt;&gt;""),1,0)</f>
        <v>33</v>
      </c>
      <c r="AO543" s="1" t="n">
        <f aca="false">N(AO542)+IF(AND(OR(R543="follow-up",R543="Evaluation",R543="tbd",R543="In evaluation"),B543&lt;&gt;""),1,0)</f>
        <v>1</v>
      </c>
      <c r="AP543" s="1" t="n">
        <f aca="false">IF(B543="",0,IF(COUNTIF('⚖️ Wahrscheinlichkeit'!$J$17:$J$24,R543)&gt;0,1,0))</f>
        <v>0</v>
      </c>
      <c r="AQ543" s="1" t="n">
        <f aca="false">IF(B543="",0,IF(AND(ISNUMBER(S543),COUNTIF('⚖️ Wahrscheinlichkeit'!$B$6:$B$11,S543)&gt;0),1,0))</f>
        <v>0</v>
      </c>
      <c r="AR543" s="1" t="n">
        <f aca="false">IF(B543="",0,IF(AND(COUNT(J543:M543)=4,SUM(J543:M543)&gt;0),1,0))</f>
        <v>0</v>
      </c>
      <c r="AS543" s="1" t="n">
        <f aca="false">IF(B543="",0,IF(AND(AF543&lt;&gt;"",AG543&lt;&gt;""),1,0))</f>
        <v>0</v>
      </c>
      <c r="AT543" s="1" t="n">
        <f aca="false">IF(AND(R543="WON",AS543=1,AR543=1),1,0)</f>
        <v>0</v>
      </c>
      <c r="AU543" s="1" t="n">
        <f aca="false">IF(B543="",0,IF(AD543="Alternative – zählt nicht",0,1))</f>
        <v>0</v>
      </c>
      <c r="AV543" s="1" t="n">
        <f aca="false">IF(B543="",0,IF(COUNTIF($B$6:$B$860,B543)&gt;1,1,0))</f>
        <v>0</v>
      </c>
      <c r="AX543" s="269" t="str">
        <f aca="false">IF(AY543=1,DATE(YEAR(O543),MONTH(O543),1),"")</f>
        <v/>
      </c>
      <c r="AY543" s="1" t="n">
        <f aca="false">IF(B543="",0,IF(AND(ISNUMBER(O543),ISNUMBER(P543)),IF(P543&gt;=O543,1,0),0))</f>
        <v>0</v>
      </c>
      <c r="AZ543" s="1" t="n">
        <f aca="false">IF(ISNUMBER(Y543),Y543,0)</f>
        <v>0</v>
      </c>
      <c r="BA543" s="1" t="str">
        <f aca="false">IF(B543="","",IF(AND(R543="WON",AS543=0),"⛔ Beleg fehlt · ","")&amp;IF(AND(R543="WON",AR543=0),"⛔ Einstand fehlt · ","")&amp;IF(AND(R543&lt;&gt;"WON",AR543=0),"○ Einstand offen · ","")&amp;IF(AND(R543="WON",AB543=""),"⛔ Vertragsart fehlt · ","")&amp;IF(AND(ISNUMBER(O543),ISNUMBER(P543)),IF(P543&lt;O543,"⚠ Ende vor Start · ",""),"")&amp;IF(AND(R543="WON",AY543=0,NOT(AND(ISNUMBER(O543),ISNUMBER(P543)))),"⛔ Zeitraum fehlt · ","")&amp;IF(AND(R543&lt;&gt;"WON",AY543=0,NOT(AND(ISNUMBER(O543),ISNUMBER(P543)))),"○ Zeitraum offen · ",""))</f>
        <v/>
      </c>
      <c r="BB543" s="1" t="str">
        <f aca="false">IF(B543="","",IF(AND(R543="WON",AS543=0),"⛔ Nachweis fehlt",IF(AND(ISNUMBER(O543),ISNUMBER(P543),P543&lt;O543),"⚠ Ende vor Start",IF(AND(R543="WON",AY543=0),"⛔ Zeitraum fehlt",IF(AR543=0,"○ Einstand offen",IF(AY543=0,"○ Zeitraum offen",IF(R543="WON","✅ belegt","✔ erfasst")))))))</f>
        <v/>
      </c>
    </row>
    <row r="544" customFormat="false" ht="15" hidden="false" customHeight="true" outlineLevel="0" collapsed="false">
      <c r="G544" s="1" t="str">
        <f aca="false">IF(B544="","",IF(AY544=1,P544-O544+1,IF(AW544="","",AW544)))</f>
        <v/>
      </c>
      <c r="I544" s="270"/>
      <c r="J544" s="270"/>
      <c r="K544" s="270"/>
      <c r="L544" s="270"/>
      <c r="M544" s="270"/>
      <c r="N544" s="270"/>
      <c r="O544" s="263"/>
      <c r="P544" s="263"/>
      <c r="Q544" s="270" t="str">
        <f aca="false">IF(AND(ISNUMBER(I544),ISNUMBER(S544)),I544*AJ544,IF(OR(I544&lt;&gt;"",S544&lt;&gt;""),"tbd",""))</f>
        <v/>
      </c>
      <c r="S544" s="268"/>
      <c r="Y544" s="275" t="str">
        <f aca="false">IF(ISNUMBER(I544),I544/Netto_Faktor,"")</f>
        <v/>
      </c>
      <c r="Z544" s="275" t="str">
        <f aca="false">IF(B544="","",IF(COUNT(J544:N544)=0,"",SUM(J544:N544)))</f>
        <v/>
      </c>
      <c r="AA544" s="266"/>
      <c r="AB544" s="266"/>
      <c r="AC544" s="266"/>
      <c r="AD544" s="266"/>
      <c r="AE544" s="266"/>
      <c r="AF544" s="266"/>
      <c r="AG544" s="267"/>
      <c r="AH544" s="266" t="str">
        <f aca="false">IF(B544="","",IF(BA544="",IF(R544="WON","✅ belegt &amp; vollständig","✔ vollständig"),LEFT(BA544,LEN(BA544)-3)))</f>
        <v/>
      </c>
      <c r="AJ544" s="268" t="n">
        <f aca="false">IF(ISNUMBER(S544),IFERROR(LOOKUP(IF(S544&lt;=1,S544,S544/100),'⚖️ Wahrscheinlichkeit'!$B$17:$B$21,'⚖️ Wahrscheinlichkeit'!$D$17:$D$21),0),0)</f>
        <v>0</v>
      </c>
      <c r="AK544" s="1" t="str">
        <f aca="false">IF(AND(R544="WON",ISNUMBER(I544)),AL544+(861-ROW())*0.000001,"")</f>
        <v/>
      </c>
      <c r="AL544" s="1" t="n">
        <f aca="false">IFERROR(I544*1,0)</f>
        <v>0</v>
      </c>
      <c r="AM544" s="1" t="n">
        <f aca="false">N(AM543)+IF(AND(R544="WON",B544&lt;&gt;""),1,0)</f>
        <v>12</v>
      </c>
      <c r="AN544" s="1" t="n">
        <f aca="false">N(AN543)+IF(AND(OR(R544="offered",R544="to be offered",R544="on hold"),B544&lt;&gt;""),1,0)</f>
        <v>33</v>
      </c>
      <c r="AO544" s="1" t="n">
        <f aca="false">N(AO543)+IF(AND(OR(R544="follow-up",R544="Evaluation",R544="tbd",R544="In evaluation"),B544&lt;&gt;""),1,0)</f>
        <v>1</v>
      </c>
      <c r="AP544" s="1" t="n">
        <f aca="false">IF(B544="",0,IF(COUNTIF('⚖️ Wahrscheinlichkeit'!$J$17:$J$24,R544)&gt;0,1,0))</f>
        <v>0</v>
      </c>
      <c r="AQ544" s="1" t="n">
        <f aca="false">IF(B544="",0,IF(AND(ISNUMBER(S544),COUNTIF('⚖️ Wahrscheinlichkeit'!$B$6:$B$11,S544)&gt;0),1,0))</f>
        <v>0</v>
      </c>
      <c r="AR544" s="1" t="n">
        <f aca="false">IF(B544="",0,IF(AND(COUNT(J544:M544)=4,SUM(J544:M544)&gt;0),1,0))</f>
        <v>0</v>
      </c>
      <c r="AS544" s="1" t="n">
        <f aca="false">IF(B544="",0,IF(AND(AF544&lt;&gt;"",AG544&lt;&gt;""),1,0))</f>
        <v>0</v>
      </c>
      <c r="AT544" s="1" t="n">
        <f aca="false">IF(AND(R544="WON",AS544=1,AR544=1),1,0)</f>
        <v>0</v>
      </c>
      <c r="AU544" s="1" t="n">
        <f aca="false">IF(B544="",0,IF(AD544="Alternative – zählt nicht",0,1))</f>
        <v>0</v>
      </c>
      <c r="AV544" s="1" t="n">
        <f aca="false">IF(B544="",0,IF(COUNTIF($B$6:$B$860,B544)&gt;1,1,0))</f>
        <v>0</v>
      </c>
      <c r="AX544" s="269" t="str">
        <f aca="false">IF(AY544=1,DATE(YEAR(O544),MONTH(O544),1),"")</f>
        <v/>
      </c>
      <c r="AY544" s="1" t="n">
        <f aca="false">IF(B544="",0,IF(AND(ISNUMBER(O544),ISNUMBER(P544)),IF(P544&gt;=O544,1,0),0))</f>
        <v>0</v>
      </c>
      <c r="AZ544" s="1" t="n">
        <f aca="false">IF(ISNUMBER(Y544),Y544,0)</f>
        <v>0</v>
      </c>
      <c r="BA544" s="1" t="str">
        <f aca="false">IF(B544="","",IF(AND(R544="WON",AS544=0),"⛔ Beleg fehlt · ","")&amp;IF(AND(R544="WON",AR544=0),"⛔ Einstand fehlt · ","")&amp;IF(AND(R544&lt;&gt;"WON",AR544=0),"○ Einstand offen · ","")&amp;IF(AND(R544="WON",AB544=""),"⛔ Vertragsart fehlt · ","")&amp;IF(AND(ISNUMBER(O544),ISNUMBER(P544)),IF(P544&lt;O544,"⚠ Ende vor Start · ",""),"")&amp;IF(AND(R544="WON",AY544=0,NOT(AND(ISNUMBER(O544),ISNUMBER(P544)))),"⛔ Zeitraum fehlt · ","")&amp;IF(AND(R544&lt;&gt;"WON",AY544=0,NOT(AND(ISNUMBER(O544),ISNUMBER(P544)))),"○ Zeitraum offen · ",""))</f>
        <v/>
      </c>
      <c r="BB544" s="1" t="str">
        <f aca="false">IF(B544="","",IF(AND(R544="WON",AS544=0),"⛔ Nachweis fehlt",IF(AND(ISNUMBER(O544),ISNUMBER(P544),P544&lt;O544),"⚠ Ende vor Start",IF(AND(R544="WON",AY544=0),"⛔ Zeitraum fehlt",IF(AR544=0,"○ Einstand offen",IF(AY544=0,"○ Zeitraum offen",IF(R544="WON","✅ belegt","✔ erfasst")))))))</f>
        <v/>
      </c>
    </row>
    <row r="545" customFormat="false" ht="15" hidden="false" customHeight="true" outlineLevel="0" collapsed="false">
      <c r="G545" s="1" t="str">
        <f aca="false">IF(B545="","",IF(AY545=1,P545-O545+1,IF(AW545="","",AW545)))</f>
        <v/>
      </c>
      <c r="I545" s="270"/>
      <c r="J545" s="270"/>
      <c r="K545" s="270"/>
      <c r="L545" s="270"/>
      <c r="M545" s="270"/>
      <c r="N545" s="270"/>
      <c r="O545" s="263"/>
      <c r="P545" s="263"/>
      <c r="Q545" s="270" t="str">
        <f aca="false">IF(AND(ISNUMBER(I545),ISNUMBER(S545)),I545*AJ545,IF(OR(I545&lt;&gt;"",S545&lt;&gt;""),"tbd",""))</f>
        <v/>
      </c>
      <c r="S545" s="268"/>
      <c r="Y545" s="275" t="str">
        <f aca="false">IF(ISNUMBER(I545),I545/Netto_Faktor,"")</f>
        <v/>
      </c>
      <c r="Z545" s="275" t="str">
        <f aca="false">IF(B545="","",IF(COUNT(J545:N545)=0,"",SUM(J545:N545)))</f>
        <v/>
      </c>
      <c r="AA545" s="266"/>
      <c r="AB545" s="266"/>
      <c r="AC545" s="266"/>
      <c r="AD545" s="266"/>
      <c r="AE545" s="266"/>
      <c r="AF545" s="266"/>
      <c r="AG545" s="267"/>
      <c r="AH545" s="266" t="str">
        <f aca="false">IF(B545="","",IF(BA545="",IF(R545="WON","✅ belegt &amp; vollständig","✔ vollständig"),LEFT(BA545,LEN(BA545)-3)))</f>
        <v/>
      </c>
      <c r="AJ545" s="268" t="n">
        <f aca="false">IF(ISNUMBER(S545),IFERROR(LOOKUP(IF(S545&lt;=1,S545,S545/100),'⚖️ Wahrscheinlichkeit'!$B$17:$B$21,'⚖️ Wahrscheinlichkeit'!$D$17:$D$21),0),0)</f>
        <v>0</v>
      </c>
      <c r="AK545" s="1" t="str">
        <f aca="false">IF(AND(R545="WON",ISNUMBER(I545)),AL545+(861-ROW())*0.000001,"")</f>
        <v/>
      </c>
      <c r="AL545" s="1" t="n">
        <f aca="false">IFERROR(I545*1,0)</f>
        <v>0</v>
      </c>
      <c r="AM545" s="1" t="n">
        <f aca="false">N(AM544)+IF(AND(R545="WON",B545&lt;&gt;""),1,0)</f>
        <v>12</v>
      </c>
      <c r="AN545" s="1" t="n">
        <f aca="false">N(AN544)+IF(AND(OR(R545="offered",R545="to be offered",R545="on hold"),B545&lt;&gt;""),1,0)</f>
        <v>33</v>
      </c>
      <c r="AO545" s="1" t="n">
        <f aca="false">N(AO544)+IF(AND(OR(R545="follow-up",R545="Evaluation",R545="tbd",R545="In evaluation"),B545&lt;&gt;""),1,0)</f>
        <v>1</v>
      </c>
      <c r="AP545" s="1" t="n">
        <f aca="false">IF(B545="",0,IF(COUNTIF('⚖️ Wahrscheinlichkeit'!$J$17:$J$24,R545)&gt;0,1,0))</f>
        <v>0</v>
      </c>
      <c r="AQ545" s="1" t="n">
        <f aca="false">IF(B545="",0,IF(AND(ISNUMBER(S545),COUNTIF('⚖️ Wahrscheinlichkeit'!$B$6:$B$11,S545)&gt;0),1,0))</f>
        <v>0</v>
      </c>
      <c r="AR545" s="1" t="n">
        <f aca="false">IF(B545="",0,IF(AND(COUNT(J545:M545)=4,SUM(J545:M545)&gt;0),1,0))</f>
        <v>0</v>
      </c>
      <c r="AS545" s="1" t="n">
        <f aca="false">IF(B545="",0,IF(AND(AF545&lt;&gt;"",AG545&lt;&gt;""),1,0))</f>
        <v>0</v>
      </c>
      <c r="AT545" s="1" t="n">
        <f aca="false">IF(AND(R545="WON",AS545=1,AR545=1),1,0)</f>
        <v>0</v>
      </c>
      <c r="AU545" s="1" t="n">
        <f aca="false">IF(B545="",0,IF(AD545="Alternative – zählt nicht",0,1))</f>
        <v>0</v>
      </c>
      <c r="AV545" s="1" t="n">
        <f aca="false">IF(B545="",0,IF(COUNTIF($B$6:$B$860,B545)&gt;1,1,0))</f>
        <v>0</v>
      </c>
      <c r="AX545" s="269" t="str">
        <f aca="false">IF(AY545=1,DATE(YEAR(O545),MONTH(O545),1),"")</f>
        <v/>
      </c>
      <c r="AY545" s="1" t="n">
        <f aca="false">IF(B545="",0,IF(AND(ISNUMBER(O545),ISNUMBER(P545)),IF(P545&gt;=O545,1,0),0))</f>
        <v>0</v>
      </c>
      <c r="AZ545" s="1" t="n">
        <f aca="false">IF(ISNUMBER(Y545),Y545,0)</f>
        <v>0</v>
      </c>
      <c r="BA545" s="1" t="str">
        <f aca="false">IF(B545="","",IF(AND(R545="WON",AS545=0),"⛔ Beleg fehlt · ","")&amp;IF(AND(R545="WON",AR545=0),"⛔ Einstand fehlt · ","")&amp;IF(AND(R545&lt;&gt;"WON",AR545=0),"○ Einstand offen · ","")&amp;IF(AND(R545="WON",AB545=""),"⛔ Vertragsart fehlt · ","")&amp;IF(AND(ISNUMBER(O545),ISNUMBER(P545)),IF(P545&lt;O545,"⚠ Ende vor Start · ",""),"")&amp;IF(AND(R545="WON",AY545=0,NOT(AND(ISNUMBER(O545),ISNUMBER(P545)))),"⛔ Zeitraum fehlt · ","")&amp;IF(AND(R545&lt;&gt;"WON",AY545=0,NOT(AND(ISNUMBER(O545),ISNUMBER(P545)))),"○ Zeitraum offen · ",""))</f>
        <v/>
      </c>
      <c r="BB545" s="1" t="str">
        <f aca="false">IF(B545="","",IF(AND(R545="WON",AS545=0),"⛔ Nachweis fehlt",IF(AND(ISNUMBER(O545),ISNUMBER(P545),P545&lt;O545),"⚠ Ende vor Start",IF(AND(R545="WON",AY545=0),"⛔ Zeitraum fehlt",IF(AR545=0,"○ Einstand offen",IF(AY545=0,"○ Zeitraum offen",IF(R545="WON","✅ belegt","✔ erfasst")))))))</f>
        <v/>
      </c>
    </row>
    <row r="546" customFormat="false" ht="15" hidden="false" customHeight="true" outlineLevel="0" collapsed="false">
      <c r="G546" s="1" t="str">
        <f aca="false">IF(B546="","",IF(AY546=1,P546-O546+1,IF(AW546="","",AW546)))</f>
        <v/>
      </c>
      <c r="I546" s="270"/>
      <c r="J546" s="270"/>
      <c r="K546" s="270"/>
      <c r="L546" s="270"/>
      <c r="M546" s="270"/>
      <c r="N546" s="270"/>
      <c r="O546" s="263"/>
      <c r="P546" s="263"/>
      <c r="Q546" s="270" t="str">
        <f aca="false">IF(AND(ISNUMBER(I546),ISNUMBER(S546)),I546*AJ546,IF(OR(I546&lt;&gt;"",S546&lt;&gt;""),"tbd",""))</f>
        <v/>
      </c>
      <c r="S546" s="268"/>
      <c r="Y546" s="275" t="str">
        <f aca="false">IF(ISNUMBER(I546),I546/Netto_Faktor,"")</f>
        <v/>
      </c>
      <c r="Z546" s="275" t="str">
        <f aca="false">IF(B546="","",IF(COUNT(J546:N546)=0,"",SUM(J546:N546)))</f>
        <v/>
      </c>
      <c r="AA546" s="266"/>
      <c r="AB546" s="266"/>
      <c r="AC546" s="266"/>
      <c r="AD546" s="266"/>
      <c r="AE546" s="266"/>
      <c r="AF546" s="266"/>
      <c r="AG546" s="267"/>
      <c r="AH546" s="266" t="str">
        <f aca="false">IF(B546="","",IF(BA546="",IF(R546="WON","✅ belegt &amp; vollständig","✔ vollständig"),LEFT(BA546,LEN(BA546)-3)))</f>
        <v/>
      </c>
      <c r="AJ546" s="268" t="n">
        <f aca="false">IF(ISNUMBER(S546),IFERROR(LOOKUP(IF(S546&lt;=1,S546,S546/100),'⚖️ Wahrscheinlichkeit'!$B$17:$B$21,'⚖️ Wahrscheinlichkeit'!$D$17:$D$21),0),0)</f>
        <v>0</v>
      </c>
      <c r="AK546" s="1" t="str">
        <f aca="false">IF(AND(R546="WON",ISNUMBER(I546)),AL546+(861-ROW())*0.000001,"")</f>
        <v/>
      </c>
      <c r="AL546" s="1" t="n">
        <f aca="false">IFERROR(I546*1,0)</f>
        <v>0</v>
      </c>
      <c r="AM546" s="1" t="n">
        <f aca="false">N(AM545)+IF(AND(R546="WON",B546&lt;&gt;""),1,0)</f>
        <v>12</v>
      </c>
      <c r="AN546" s="1" t="n">
        <f aca="false">N(AN545)+IF(AND(OR(R546="offered",R546="to be offered",R546="on hold"),B546&lt;&gt;""),1,0)</f>
        <v>33</v>
      </c>
      <c r="AO546" s="1" t="n">
        <f aca="false">N(AO545)+IF(AND(OR(R546="follow-up",R546="Evaluation",R546="tbd",R546="In evaluation"),B546&lt;&gt;""),1,0)</f>
        <v>1</v>
      </c>
      <c r="AP546" s="1" t="n">
        <f aca="false">IF(B546="",0,IF(COUNTIF('⚖️ Wahrscheinlichkeit'!$J$17:$J$24,R546)&gt;0,1,0))</f>
        <v>0</v>
      </c>
      <c r="AQ546" s="1" t="n">
        <f aca="false">IF(B546="",0,IF(AND(ISNUMBER(S546),COUNTIF('⚖️ Wahrscheinlichkeit'!$B$6:$B$11,S546)&gt;0),1,0))</f>
        <v>0</v>
      </c>
      <c r="AR546" s="1" t="n">
        <f aca="false">IF(B546="",0,IF(AND(COUNT(J546:M546)=4,SUM(J546:M546)&gt;0),1,0))</f>
        <v>0</v>
      </c>
      <c r="AS546" s="1" t="n">
        <f aca="false">IF(B546="",0,IF(AND(AF546&lt;&gt;"",AG546&lt;&gt;""),1,0))</f>
        <v>0</v>
      </c>
      <c r="AT546" s="1" t="n">
        <f aca="false">IF(AND(R546="WON",AS546=1,AR546=1),1,0)</f>
        <v>0</v>
      </c>
      <c r="AU546" s="1" t="n">
        <f aca="false">IF(B546="",0,IF(AD546="Alternative – zählt nicht",0,1))</f>
        <v>0</v>
      </c>
      <c r="AV546" s="1" t="n">
        <f aca="false">IF(B546="",0,IF(COUNTIF($B$6:$B$860,B546)&gt;1,1,0))</f>
        <v>0</v>
      </c>
      <c r="AX546" s="269" t="str">
        <f aca="false">IF(AY546=1,DATE(YEAR(O546),MONTH(O546),1),"")</f>
        <v/>
      </c>
      <c r="AY546" s="1" t="n">
        <f aca="false">IF(B546="",0,IF(AND(ISNUMBER(O546),ISNUMBER(P546)),IF(P546&gt;=O546,1,0),0))</f>
        <v>0</v>
      </c>
      <c r="AZ546" s="1" t="n">
        <f aca="false">IF(ISNUMBER(Y546),Y546,0)</f>
        <v>0</v>
      </c>
      <c r="BA546" s="1" t="str">
        <f aca="false">IF(B546="","",IF(AND(R546="WON",AS546=0),"⛔ Beleg fehlt · ","")&amp;IF(AND(R546="WON",AR546=0),"⛔ Einstand fehlt · ","")&amp;IF(AND(R546&lt;&gt;"WON",AR546=0),"○ Einstand offen · ","")&amp;IF(AND(R546="WON",AB546=""),"⛔ Vertragsart fehlt · ","")&amp;IF(AND(ISNUMBER(O546),ISNUMBER(P546)),IF(P546&lt;O546,"⚠ Ende vor Start · ",""),"")&amp;IF(AND(R546="WON",AY546=0,NOT(AND(ISNUMBER(O546),ISNUMBER(P546)))),"⛔ Zeitraum fehlt · ","")&amp;IF(AND(R546&lt;&gt;"WON",AY546=0,NOT(AND(ISNUMBER(O546),ISNUMBER(P546)))),"○ Zeitraum offen · ",""))</f>
        <v/>
      </c>
      <c r="BB546" s="1" t="str">
        <f aca="false">IF(B546="","",IF(AND(R546="WON",AS546=0),"⛔ Nachweis fehlt",IF(AND(ISNUMBER(O546),ISNUMBER(P546),P546&lt;O546),"⚠ Ende vor Start",IF(AND(R546="WON",AY546=0),"⛔ Zeitraum fehlt",IF(AR546=0,"○ Einstand offen",IF(AY546=0,"○ Zeitraum offen",IF(R546="WON","✅ belegt","✔ erfasst")))))))</f>
        <v/>
      </c>
    </row>
    <row r="547" customFormat="false" ht="15" hidden="false" customHeight="true" outlineLevel="0" collapsed="false">
      <c r="G547" s="1" t="str">
        <f aca="false">IF(B547="","",IF(AY547=1,P547-O547+1,IF(AW547="","",AW547)))</f>
        <v/>
      </c>
      <c r="I547" s="270"/>
      <c r="J547" s="270"/>
      <c r="K547" s="270"/>
      <c r="L547" s="270"/>
      <c r="M547" s="270"/>
      <c r="N547" s="270"/>
      <c r="O547" s="263"/>
      <c r="P547" s="263"/>
      <c r="Q547" s="270" t="str">
        <f aca="false">IF(AND(ISNUMBER(I547),ISNUMBER(S547)),I547*AJ547,IF(OR(I547&lt;&gt;"",S547&lt;&gt;""),"tbd",""))</f>
        <v/>
      </c>
      <c r="S547" s="268"/>
      <c r="Y547" s="275" t="str">
        <f aca="false">IF(ISNUMBER(I547),I547/Netto_Faktor,"")</f>
        <v/>
      </c>
      <c r="Z547" s="275" t="str">
        <f aca="false">IF(B547="","",IF(COUNT(J547:N547)=0,"",SUM(J547:N547)))</f>
        <v/>
      </c>
      <c r="AA547" s="266"/>
      <c r="AB547" s="266"/>
      <c r="AC547" s="266"/>
      <c r="AD547" s="266"/>
      <c r="AE547" s="266"/>
      <c r="AF547" s="266"/>
      <c r="AG547" s="267"/>
      <c r="AH547" s="266" t="str">
        <f aca="false">IF(B547="","",IF(BA547="",IF(R547="WON","✅ belegt &amp; vollständig","✔ vollständig"),LEFT(BA547,LEN(BA547)-3)))</f>
        <v/>
      </c>
      <c r="AJ547" s="268" t="n">
        <f aca="false">IF(ISNUMBER(S547),IFERROR(LOOKUP(IF(S547&lt;=1,S547,S547/100),'⚖️ Wahrscheinlichkeit'!$B$17:$B$21,'⚖️ Wahrscheinlichkeit'!$D$17:$D$21),0),0)</f>
        <v>0</v>
      </c>
      <c r="AK547" s="1" t="str">
        <f aca="false">IF(AND(R547="WON",ISNUMBER(I547)),AL547+(861-ROW())*0.000001,"")</f>
        <v/>
      </c>
      <c r="AL547" s="1" t="n">
        <f aca="false">IFERROR(I547*1,0)</f>
        <v>0</v>
      </c>
      <c r="AM547" s="1" t="n">
        <f aca="false">N(AM546)+IF(AND(R547="WON",B547&lt;&gt;""),1,0)</f>
        <v>12</v>
      </c>
      <c r="AN547" s="1" t="n">
        <f aca="false">N(AN546)+IF(AND(OR(R547="offered",R547="to be offered",R547="on hold"),B547&lt;&gt;""),1,0)</f>
        <v>33</v>
      </c>
      <c r="AO547" s="1" t="n">
        <f aca="false">N(AO546)+IF(AND(OR(R547="follow-up",R547="Evaluation",R547="tbd",R547="In evaluation"),B547&lt;&gt;""),1,0)</f>
        <v>1</v>
      </c>
      <c r="AP547" s="1" t="n">
        <f aca="false">IF(B547="",0,IF(COUNTIF('⚖️ Wahrscheinlichkeit'!$J$17:$J$24,R547)&gt;0,1,0))</f>
        <v>0</v>
      </c>
      <c r="AQ547" s="1" t="n">
        <f aca="false">IF(B547="",0,IF(AND(ISNUMBER(S547),COUNTIF('⚖️ Wahrscheinlichkeit'!$B$6:$B$11,S547)&gt;0),1,0))</f>
        <v>0</v>
      </c>
      <c r="AR547" s="1" t="n">
        <f aca="false">IF(B547="",0,IF(AND(COUNT(J547:M547)=4,SUM(J547:M547)&gt;0),1,0))</f>
        <v>0</v>
      </c>
      <c r="AS547" s="1" t="n">
        <f aca="false">IF(B547="",0,IF(AND(AF547&lt;&gt;"",AG547&lt;&gt;""),1,0))</f>
        <v>0</v>
      </c>
      <c r="AT547" s="1" t="n">
        <f aca="false">IF(AND(R547="WON",AS547=1,AR547=1),1,0)</f>
        <v>0</v>
      </c>
      <c r="AU547" s="1" t="n">
        <f aca="false">IF(B547="",0,IF(AD547="Alternative – zählt nicht",0,1))</f>
        <v>0</v>
      </c>
      <c r="AV547" s="1" t="n">
        <f aca="false">IF(B547="",0,IF(COUNTIF($B$6:$B$860,B547)&gt;1,1,0))</f>
        <v>0</v>
      </c>
      <c r="AX547" s="269" t="str">
        <f aca="false">IF(AY547=1,DATE(YEAR(O547),MONTH(O547),1),"")</f>
        <v/>
      </c>
      <c r="AY547" s="1" t="n">
        <f aca="false">IF(B547="",0,IF(AND(ISNUMBER(O547),ISNUMBER(P547)),IF(P547&gt;=O547,1,0),0))</f>
        <v>0</v>
      </c>
      <c r="AZ547" s="1" t="n">
        <f aca="false">IF(ISNUMBER(Y547),Y547,0)</f>
        <v>0</v>
      </c>
      <c r="BA547" s="1" t="str">
        <f aca="false">IF(B547="","",IF(AND(R547="WON",AS547=0),"⛔ Beleg fehlt · ","")&amp;IF(AND(R547="WON",AR547=0),"⛔ Einstand fehlt · ","")&amp;IF(AND(R547&lt;&gt;"WON",AR547=0),"○ Einstand offen · ","")&amp;IF(AND(R547="WON",AB547=""),"⛔ Vertragsart fehlt · ","")&amp;IF(AND(ISNUMBER(O547),ISNUMBER(P547)),IF(P547&lt;O547,"⚠ Ende vor Start · ",""),"")&amp;IF(AND(R547="WON",AY547=0,NOT(AND(ISNUMBER(O547),ISNUMBER(P547)))),"⛔ Zeitraum fehlt · ","")&amp;IF(AND(R547&lt;&gt;"WON",AY547=0,NOT(AND(ISNUMBER(O547),ISNUMBER(P547)))),"○ Zeitraum offen · ",""))</f>
        <v/>
      </c>
      <c r="BB547" s="1" t="str">
        <f aca="false">IF(B547="","",IF(AND(R547="WON",AS547=0),"⛔ Nachweis fehlt",IF(AND(ISNUMBER(O547),ISNUMBER(P547),P547&lt;O547),"⚠ Ende vor Start",IF(AND(R547="WON",AY547=0),"⛔ Zeitraum fehlt",IF(AR547=0,"○ Einstand offen",IF(AY547=0,"○ Zeitraum offen",IF(R547="WON","✅ belegt","✔ erfasst")))))))</f>
        <v/>
      </c>
    </row>
    <row r="548" customFormat="false" ht="15" hidden="false" customHeight="true" outlineLevel="0" collapsed="false">
      <c r="G548" s="1" t="str">
        <f aca="false">IF(B548="","",IF(AY548=1,P548-O548+1,IF(AW548="","",AW548)))</f>
        <v/>
      </c>
      <c r="I548" s="270"/>
      <c r="J548" s="270"/>
      <c r="K548" s="270"/>
      <c r="L548" s="270"/>
      <c r="M548" s="270"/>
      <c r="N548" s="270"/>
      <c r="O548" s="263"/>
      <c r="P548" s="263"/>
      <c r="Q548" s="270" t="str">
        <f aca="false">IF(AND(ISNUMBER(I548),ISNUMBER(S548)),I548*AJ548,IF(OR(I548&lt;&gt;"",S548&lt;&gt;""),"tbd",""))</f>
        <v/>
      </c>
      <c r="S548" s="268"/>
      <c r="Y548" s="275" t="str">
        <f aca="false">IF(ISNUMBER(I548),I548/Netto_Faktor,"")</f>
        <v/>
      </c>
      <c r="Z548" s="275" t="str">
        <f aca="false">IF(B548="","",IF(COUNT(J548:N548)=0,"",SUM(J548:N548)))</f>
        <v/>
      </c>
      <c r="AA548" s="266"/>
      <c r="AB548" s="266"/>
      <c r="AC548" s="266"/>
      <c r="AD548" s="266"/>
      <c r="AE548" s="266"/>
      <c r="AF548" s="266"/>
      <c r="AG548" s="267"/>
      <c r="AH548" s="266" t="str">
        <f aca="false">IF(B548="","",IF(BA548="",IF(R548="WON","✅ belegt &amp; vollständig","✔ vollständig"),LEFT(BA548,LEN(BA548)-3)))</f>
        <v/>
      </c>
      <c r="AJ548" s="268" t="n">
        <f aca="false">IF(ISNUMBER(S548),IFERROR(LOOKUP(IF(S548&lt;=1,S548,S548/100),'⚖️ Wahrscheinlichkeit'!$B$17:$B$21,'⚖️ Wahrscheinlichkeit'!$D$17:$D$21),0),0)</f>
        <v>0</v>
      </c>
      <c r="AK548" s="1" t="str">
        <f aca="false">IF(AND(R548="WON",ISNUMBER(I548)),AL548+(861-ROW())*0.000001,"")</f>
        <v/>
      </c>
      <c r="AL548" s="1" t="n">
        <f aca="false">IFERROR(I548*1,0)</f>
        <v>0</v>
      </c>
      <c r="AM548" s="1" t="n">
        <f aca="false">N(AM547)+IF(AND(R548="WON",B548&lt;&gt;""),1,0)</f>
        <v>12</v>
      </c>
      <c r="AN548" s="1" t="n">
        <f aca="false">N(AN547)+IF(AND(OR(R548="offered",R548="to be offered",R548="on hold"),B548&lt;&gt;""),1,0)</f>
        <v>33</v>
      </c>
      <c r="AO548" s="1" t="n">
        <f aca="false">N(AO547)+IF(AND(OR(R548="follow-up",R548="Evaluation",R548="tbd",R548="In evaluation"),B548&lt;&gt;""),1,0)</f>
        <v>1</v>
      </c>
      <c r="AP548" s="1" t="n">
        <f aca="false">IF(B548="",0,IF(COUNTIF('⚖️ Wahrscheinlichkeit'!$J$17:$J$24,R548)&gt;0,1,0))</f>
        <v>0</v>
      </c>
      <c r="AQ548" s="1" t="n">
        <f aca="false">IF(B548="",0,IF(AND(ISNUMBER(S548),COUNTIF('⚖️ Wahrscheinlichkeit'!$B$6:$B$11,S548)&gt;0),1,0))</f>
        <v>0</v>
      </c>
      <c r="AR548" s="1" t="n">
        <f aca="false">IF(B548="",0,IF(AND(COUNT(J548:M548)=4,SUM(J548:M548)&gt;0),1,0))</f>
        <v>0</v>
      </c>
      <c r="AS548" s="1" t="n">
        <f aca="false">IF(B548="",0,IF(AND(AF548&lt;&gt;"",AG548&lt;&gt;""),1,0))</f>
        <v>0</v>
      </c>
      <c r="AT548" s="1" t="n">
        <f aca="false">IF(AND(R548="WON",AS548=1,AR548=1),1,0)</f>
        <v>0</v>
      </c>
      <c r="AU548" s="1" t="n">
        <f aca="false">IF(B548="",0,IF(AD548="Alternative – zählt nicht",0,1))</f>
        <v>0</v>
      </c>
      <c r="AV548" s="1" t="n">
        <f aca="false">IF(B548="",0,IF(COUNTIF($B$6:$B$860,B548)&gt;1,1,0))</f>
        <v>0</v>
      </c>
      <c r="AX548" s="269" t="str">
        <f aca="false">IF(AY548=1,DATE(YEAR(O548),MONTH(O548),1),"")</f>
        <v/>
      </c>
      <c r="AY548" s="1" t="n">
        <f aca="false">IF(B548="",0,IF(AND(ISNUMBER(O548),ISNUMBER(P548)),IF(P548&gt;=O548,1,0),0))</f>
        <v>0</v>
      </c>
      <c r="AZ548" s="1" t="n">
        <f aca="false">IF(ISNUMBER(Y548),Y548,0)</f>
        <v>0</v>
      </c>
      <c r="BA548" s="1" t="str">
        <f aca="false">IF(B548="","",IF(AND(R548="WON",AS548=0),"⛔ Beleg fehlt · ","")&amp;IF(AND(R548="WON",AR548=0),"⛔ Einstand fehlt · ","")&amp;IF(AND(R548&lt;&gt;"WON",AR548=0),"○ Einstand offen · ","")&amp;IF(AND(R548="WON",AB548=""),"⛔ Vertragsart fehlt · ","")&amp;IF(AND(ISNUMBER(O548),ISNUMBER(P548)),IF(P548&lt;O548,"⚠ Ende vor Start · ",""),"")&amp;IF(AND(R548="WON",AY548=0,NOT(AND(ISNUMBER(O548),ISNUMBER(P548)))),"⛔ Zeitraum fehlt · ","")&amp;IF(AND(R548&lt;&gt;"WON",AY548=0,NOT(AND(ISNUMBER(O548),ISNUMBER(P548)))),"○ Zeitraum offen · ",""))</f>
        <v/>
      </c>
      <c r="BB548" s="1" t="str">
        <f aca="false">IF(B548="","",IF(AND(R548="WON",AS548=0),"⛔ Nachweis fehlt",IF(AND(ISNUMBER(O548),ISNUMBER(P548),P548&lt;O548),"⚠ Ende vor Start",IF(AND(R548="WON",AY548=0),"⛔ Zeitraum fehlt",IF(AR548=0,"○ Einstand offen",IF(AY548=0,"○ Zeitraum offen",IF(R548="WON","✅ belegt","✔ erfasst")))))))</f>
        <v/>
      </c>
    </row>
    <row r="549" customFormat="false" ht="15" hidden="false" customHeight="true" outlineLevel="0" collapsed="false">
      <c r="G549" s="1" t="str">
        <f aca="false">IF(B549="","",IF(AY549=1,P549-O549+1,IF(AW549="","",AW549)))</f>
        <v/>
      </c>
      <c r="I549" s="270"/>
      <c r="J549" s="270"/>
      <c r="K549" s="270"/>
      <c r="L549" s="270"/>
      <c r="M549" s="270"/>
      <c r="N549" s="270"/>
      <c r="O549" s="263"/>
      <c r="P549" s="263"/>
      <c r="Q549" s="270" t="str">
        <f aca="false">IF(AND(ISNUMBER(I549),ISNUMBER(S549)),I549*AJ549,IF(OR(I549&lt;&gt;"",S549&lt;&gt;""),"tbd",""))</f>
        <v/>
      </c>
      <c r="S549" s="268"/>
      <c r="Y549" s="275" t="str">
        <f aca="false">IF(ISNUMBER(I549),I549/Netto_Faktor,"")</f>
        <v/>
      </c>
      <c r="Z549" s="275" t="str">
        <f aca="false">IF(B549="","",IF(COUNT(J549:N549)=0,"",SUM(J549:N549)))</f>
        <v/>
      </c>
      <c r="AA549" s="266"/>
      <c r="AB549" s="266"/>
      <c r="AC549" s="266"/>
      <c r="AD549" s="266"/>
      <c r="AE549" s="266"/>
      <c r="AF549" s="266"/>
      <c r="AG549" s="267"/>
      <c r="AH549" s="266" t="str">
        <f aca="false">IF(B549="","",IF(BA549="",IF(R549="WON","✅ belegt &amp; vollständig","✔ vollständig"),LEFT(BA549,LEN(BA549)-3)))</f>
        <v/>
      </c>
      <c r="AJ549" s="268" t="n">
        <f aca="false">IF(ISNUMBER(S549),IFERROR(LOOKUP(IF(S549&lt;=1,S549,S549/100),'⚖️ Wahrscheinlichkeit'!$B$17:$B$21,'⚖️ Wahrscheinlichkeit'!$D$17:$D$21),0),0)</f>
        <v>0</v>
      </c>
      <c r="AK549" s="1" t="str">
        <f aca="false">IF(AND(R549="WON",ISNUMBER(I549)),AL549+(861-ROW())*0.000001,"")</f>
        <v/>
      </c>
      <c r="AL549" s="1" t="n">
        <f aca="false">IFERROR(I549*1,0)</f>
        <v>0</v>
      </c>
      <c r="AM549" s="1" t="n">
        <f aca="false">N(AM548)+IF(AND(R549="WON",B549&lt;&gt;""),1,0)</f>
        <v>12</v>
      </c>
      <c r="AN549" s="1" t="n">
        <f aca="false">N(AN548)+IF(AND(OR(R549="offered",R549="to be offered",R549="on hold"),B549&lt;&gt;""),1,0)</f>
        <v>33</v>
      </c>
      <c r="AO549" s="1" t="n">
        <f aca="false">N(AO548)+IF(AND(OR(R549="follow-up",R549="Evaluation",R549="tbd",R549="In evaluation"),B549&lt;&gt;""),1,0)</f>
        <v>1</v>
      </c>
      <c r="AP549" s="1" t="n">
        <f aca="false">IF(B549="",0,IF(COUNTIF('⚖️ Wahrscheinlichkeit'!$J$17:$J$24,R549)&gt;0,1,0))</f>
        <v>0</v>
      </c>
      <c r="AQ549" s="1" t="n">
        <f aca="false">IF(B549="",0,IF(AND(ISNUMBER(S549),COUNTIF('⚖️ Wahrscheinlichkeit'!$B$6:$B$11,S549)&gt;0),1,0))</f>
        <v>0</v>
      </c>
      <c r="AR549" s="1" t="n">
        <f aca="false">IF(B549="",0,IF(AND(COUNT(J549:M549)=4,SUM(J549:M549)&gt;0),1,0))</f>
        <v>0</v>
      </c>
      <c r="AS549" s="1" t="n">
        <f aca="false">IF(B549="",0,IF(AND(AF549&lt;&gt;"",AG549&lt;&gt;""),1,0))</f>
        <v>0</v>
      </c>
      <c r="AT549" s="1" t="n">
        <f aca="false">IF(AND(R549="WON",AS549=1,AR549=1),1,0)</f>
        <v>0</v>
      </c>
      <c r="AU549" s="1" t="n">
        <f aca="false">IF(B549="",0,IF(AD549="Alternative – zählt nicht",0,1))</f>
        <v>0</v>
      </c>
      <c r="AV549" s="1" t="n">
        <f aca="false">IF(B549="",0,IF(COUNTIF($B$6:$B$860,B549)&gt;1,1,0))</f>
        <v>0</v>
      </c>
      <c r="AX549" s="269" t="str">
        <f aca="false">IF(AY549=1,DATE(YEAR(O549),MONTH(O549),1),"")</f>
        <v/>
      </c>
      <c r="AY549" s="1" t="n">
        <f aca="false">IF(B549="",0,IF(AND(ISNUMBER(O549),ISNUMBER(P549)),IF(P549&gt;=O549,1,0),0))</f>
        <v>0</v>
      </c>
      <c r="AZ549" s="1" t="n">
        <f aca="false">IF(ISNUMBER(Y549),Y549,0)</f>
        <v>0</v>
      </c>
      <c r="BA549" s="1" t="str">
        <f aca="false">IF(B549="","",IF(AND(R549="WON",AS549=0),"⛔ Beleg fehlt · ","")&amp;IF(AND(R549="WON",AR549=0),"⛔ Einstand fehlt · ","")&amp;IF(AND(R549&lt;&gt;"WON",AR549=0),"○ Einstand offen · ","")&amp;IF(AND(R549="WON",AB549=""),"⛔ Vertragsart fehlt · ","")&amp;IF(AND(ISNUMBER(O549),ISNUMBER(P549)),IF(P549&lt;O549,"⚠ Ende vor Start · ",""),"")&amp;IF(AND(R549="WON",AY549=0,NOT(AND(ISNUMBER(O549),ISNUMBER(P549)))),"⛔ Zeitraum fehlt · ","")&amp;IF(AND(R549&lt;&gt;"WON",AY549=0,NOT(AND(ISNUMBER(O549),ISNUMBER(P549)))),"○ Zeitraum offen · ",""))</f>
        <v/>
      </c>
      <c r="BB549" s="1" t="str">
        <f aca="false">IF(B549="","",IF(AND(R549="WON",AS549=0),"⛔ Nachweis fehlt",IF(AND(ISNUMBER(O549),ISNUMBER(P549),P549&lt;O549),"⚠ Ende vor Start",IF(AND(R549="WON",AY549=0),"⛔ Zeitraum fehlt",IF(AR549=0,"○ Einstand offen",IF(AY549=0,"○ Zeitraum offen",IF(R549="WON","✅ belegt","✔ erfasst")))))))</f>
        <v/>
      </c>
    </row>
    <row r="550" customFormat="false" ht="15" hidden="false" customHeight="true" outlineLevel="0" collapsed="false">
      <c r="G550" s="1" t="str">
        <f aca="false">IF(B550="","",IF(AY550=1,P550-O550+1,IF(AW550="","",AW550)))</f>
        <v/>
      </c>
      <c r="I550" s="270"/>
      <c r="J550" s="270"/>
      <c r="K550" s="270"/>
      <c r="L550" s="270"/>
      <c r="M550" s="270"/>
      <c r="N550" s="270"/>
      <c r="O550" s="263"/>
      <c r="P550" s="263"/>
      <c r="Q550" s="270" t="str">
        <f aca="false">IF(AND(ISNUMBER(I550),ISNUMBER(S550)),I550*AJ550,IF(OR(I550&lt;&gt;"",S550&lt;&gt;""),"tbd",""))</f>
        <v/>
      </c>
      <c r="S550" s="268"/>
      <c r="Y550" s="275" t="str">
        <f aca="false">IF(ISNUMBER(I550),I550/Netto_Faktor,"")</f>
        <v/>
      </c>
      <c r="Z550" s="275" t="str">
        <f aca="false">IF(B550="","",IF(COUNT(J550:N550)=0,"",SUM(J550:N550)))</f>
        <v/>
      </c>
      <c r="AA550" s="266"/>
      <c r="AB550" s="266"/>
      <c r="AC550" s="266"/>
      <c r="AD550" s="266"/>
      <c r="AE550" s="266"/>
      <c r="AF550" s="266"/>
      <c r="AG550" s="267"/>
      <c r="AH550" s="266" t="str">
        <f aca="false">IF(B550="","",IF(BA550="",IF(R550="WON","✅ belegt &amp; vollständig","✔ vollständig"),LEFT(BA550,LEN(BA550)-3)))</f>
        <v/>
      </c>
      <c r="AJ550" s="268" t="n">
        <f aca="false">IF(ISNUMBER(S550),IFERROR(LOOKUP(IF(S550&lt;=1,S550,S550/100),'⚖️ Wahrscheinlichkeit'!$B$17:$B$21,'⚖️ Wahrscheinlichkeit'!$D$17:$D$21),0),0)</f>
        <v>0</v>
      </c>
      <c r="AK550" s="1" t="str">
        <f aca="false">IF(AND(R550="WON",ISNUMBER(I550)),AL550+(861-ROW())*0.000001,"")</f>
        <v/>
      </c>
      <c r="AL550" s="1" t="n">
        <f aca="false">IFERROR(I550*1,0)</f>
        <v>0</v>
      </c>
      <c r="AM550" s="1" t="n">
        <f aca="false">N(AM549)+IF(AND(R550="WON",B550&lt;&gt;""),1,0)</f>
        <v>12</v>
      </c>
      <c r="AN550" s="1" t="n">
        <f aca="false">N(AN549)+IF(AND(OR(R550="offered",R550="to be offered",R550="on hold"),B550&lt;&gt;""),1,0)</f>
        <v>33</v>
      </c>
      <c r="AO550" s="1" t="n">
        <f aca="false">N(AO549)+IF(AND(OR(R550="follow-up",R550="Evaluation",R550="tbd",R550="In evaluation"),B550&lt;&gt;""),1,0)</f>
        <v>1</v>
      </c>
      <c r="AP550" s="1" t="n">
        <f aca="false">IF(B550="",0,IF(COUNTIF('⚖️ Wahrscheinlichkeit'!$J$17:$J$24,R550)&gt;0,1,0))</f>
        <v>0</v>
      </c>
      <c r="AQ550" s="1" t="n">
        <f aca="false">IF(B550="",0,IF(AND(ISNUMBER(S550),COUNTIF('⚖️ Wahrscheinlichkeit'!$B$6:$B$11,S550)&gt;0),1,0))</f>
        <v>0</v>
      </c>
      <c r="AR550" s="1" t="n">
        <f aca="false">IF(B550="",0,IF(AND(COUNT(J550:M550)=4,SUM(J550:M550)&gt;0),1,0))</f>
        <v>0</v>
      </c>
      <c r="AS550" s="1" t="n">
        <f aca="false">IF(B550="",0,IF(AND(AF550&lt;&gt;"",AG550&lt;&gt;""),1,0))</f>
        <v>0</v>
      </c>
      <c r="AT550" s="1" t="n">
        <f aca="false">IF(AND(R550="WON",AS550=1,AR550=1),1,0)</f>
        <v>0</v>
      </c>
      <c r="AU550" s="1" t="n">
        <f aca="false">IF(B550="",0,IF(AD550="Alternative – zählt nicht",0,1))</f>
        <v>0</v>
      </c>
      <c r="AV550" s="1" t="n">
        <f aca="false">IF(B550="",0,IF(COUNTIF($B$6:$B$860,B550)&gt;1,1,0))</f>
        <v>0</v>
      </c>
      <c r="AX550" s="269" t="str">
        <f aca="false">IF(AY550=1,DATE(YEAR(O550),MONTH(O550),1),"")</f>
        <v/>
      </c>
      <c r="AY550" s="1" t="n">
        <f aca="false">IF(B550="",0,IF(AND(ISNUMBER(O550),ISNUMBER(P550)),IF(P550&gt;=O550,1,0),0))</f>
        <v>0</v>
      </c>
      <c r="AZ550" s="1" t="n">
        <f aca="false">IF(ISNUMBER(Y550),Y550,0)</f>
        <v>0</v>
      </c>
      <c r="BA550" s="1" t="str">
        <f aca="false">IF(B550="","",IF(AND(R550="WON",AS550=0),"⛔ Beleg fehlt · ","")&amp;IF(AND(R550="WON",AR550=0),"⛔ Einstand fehlt · ","")&amp;IF(AND(R550&lt;&gt;"WON",AR550=0),"○ Einstand offen · ","")&amp;IF(AND(R550="WON",AB550=""),"⛔ Vertragsart fehlt · ","")&amp;IF(AND(ISNUMBER(O550),ISNUMBER(P550)),IF(P550&lt;O550,"⚠ Ende vor Start · ",""),"")&amp;IF(AND(R550="WON",AY550=0,NOT(AND(ISNUMBER(O550),ISNUMBER(P550)))),"⛔ Zeitraum fehlt · ","")&amp;IF(AND(R550&lt;&gt;"WON",AY550=0,NOT(AND(ISNUMBER(O550),ISNUMBER(P550)))),"○ Zeitraum offen · ",""))</f>
        <v/>
      </c>
      <c r="BB550" s="1" t="str">
        <f aca="false">IF(B550="","",IF(AND(R550="WON",AS550=0),"⛔ Nachweis fehlt",IF(AND(ISNUMBER(O550),ISNUMBER(P550),P550&lt;O550),"⚠ Ende vor Start",IF(AND(R550="WON",AY550=0),"⛔ Zeitraum fehlt",IF(AR550=0,"○ Einstand offen",IF(AY550=0,"○ Zeitraum offen",IF(R550="WON","✅ belegt","✔ erfasst")))))))</f>
        <v/>
      </c>
    </row>
    <row r="551" customFormat="false" ht="15" hidden="false" customHeight="true" outlineLevel="0" collapsed="false">
      <c r="G551" s="1" t="str">
        <f aca="false">IF(B551="","",IF(AY551=1,P551-O551+1,IF(AW551="","",AW551)))</f>
        <v/>
      </c>
      <c r="I551" s="270"/>
      <c r="J551" s="270"/>
      <c r="K551" s="270"/>
      <c r="L551" s="270"/>
      <c r="M551" s="270"/>
      <c r="N551" s="270"/>
      <c r="O551" s="263"/>
      <c r="P551" s="263"/>
      <c r="Q551" s="270" t="str">
        <f aca="false">IF(AND(ISNUMBER(I551),ISNUMBER(S551)),I551*AJ551,IF(OR(I551&lt;&gt;"",S551&lt;&gt;""),"tbd",""))</f>
        <v/>
      </c>
      <c r="S551" s="268"/>
      <c r="Y551" s="275" t="str">
        <f aca="false">IF(ISNUMBER(I551),I551/Netto_Faktor,"")</f>
        <v/>
      </c>
      <c r="Z551" s="275" t="str">
        <f aca="false">IF(B551="","",IF(COUNT(J551:N551)=0,"",SUM(J551:N551)))</f>
        <v/>
      </c>
      <c r="AA551" s="266"/>
      <c r="AB551" s="266"/>
      <c r="AC551" s="266"/>
      <c r="AD551" s="266"/>
      <c r="AE551" s="266"/>
      <c r="AF551" s="266"/>
      <c r="AG551" s="267"/>
      <c r="AH551" s="266" t="str">
        <f aca="false">IF(B551="","",IF(BA551="",IF(R551="WON","✅ belegt &amp; vollständig","✔ vollständig"),LEFT(BA551,LEN(BA551)-3)))</f>
        <v/>
      </c>
      <c r="AJ551" s="268" t="n">
        <f aca="false">IF(ISNUMBER(S551),IFERROR(LOOKUP(IF(S551&lt;=1,S551,S551/100),'⚖️ Wahrscheinlichkeit'!$B$17:$B$21,'⚖️ Wahrscheinlichkeit'!$D$17:$D$21),0),0)</f>
        <v>0</v>
      </c>
      <c r="AK551" s="1" t="str">
        <f aca="false">IF(AND(R551="WON",ISNUMBER(I551)),AL551+(861-ROW())*0.000001,"")</f>
        <v/>
      </c>
      <c r="AL551" s="1" t="n">
        <f aca="false">IFERROR(I551*1,0)</f>
        <v>0</v>
      </c>
      <c r="AM551" s="1" t="n">
        <f aca="false">N(AM550)+IF(AND(R551="WON",B551&lt;&gt;""),1,0)</f>
        <v>12</v>
      </c>
      <c r="AN551" s="1" t="n">
        <f aca="false">N(AN550)+IF(AND(OR(R551="offered",R551="to be offered",R551="on hold"),B551&lt;&gt;""),1,0)</f>
        <v>33</v>
      </c>
      <c r="AO551" s="1" t="n">
        <f aca="false">N(AO550)+IF(AND(OR(R551="follow-up",R551="Evaluation",R551="tbd",R551="In evaluation"),B551&lt;&gt;""),1,0)</f>
        <v>1</v>
      </c>
      <c r="AP551" s="1" t="n">
        <f aca="false">IF(B551="",0,IF(COUNTIF('⚖️ Wahrscheinlichkeit'!$J$17:$J$24,R551)&gt;0,1,0))</f>
        <v>0</v>
      </c>
      <c r="AQ551" s="1" t="n">
        <f aca="false">IF(B551="",0,IF(AND(ISNUMBER(S551),COUNTIF('⚖️ Wahrscheinlichkeit'!$B$6:$B$11,S551)&gt;0),1,0))</f>
        <v>0</v>
      </c>
      <c r="AR551" s="1" t="n">
        <f aca="false">IF(B551="",0,IF(AND(COUNT(J551:M551)=4,SUM(J551:M551)&gt;0),1,0))</f>
        <v>0</v>
      </c>
      <c r="AS551" s="1" t="n">
        <f aca="false">IF(B551="",0,IF(AND(AF551&lt;&gt;"",AG551&lt;&gt;""),1,0))</f>
        <v>0</v>
      </c>
      <c r="AT551" s="1" t="n">
        <f aca="false">IF(AND(R551="WON",AS551=1,AR551=1),1,0)</f>
        <v>0</v>
      </c>
      <c r="AU551" s="1" t="n">
        <f aca="false">IF(B551="",0,IF(AD551="Alternative – zählt nicht",0,1))</f>
        <v>0</v>
      </c>
      <c r="AV551" s="1" t="n">
        <f aca="false">IF(B551="",0,IF(COUNTIF($B$6:$B$860,B551)&gt;1,1,0))</f>
        <v>0</v>
      </c>
      <c r="AX551" s="269" t="str">
        <f aca="false">IF(AY551=1,DATE(YEAR(O551),MONTH(O551),1),"")</f>
        <v/>
      </c>
      <c r="AY551" s="1" t="n">
        <f aca="false">IF(B551="",0,IF(AND(ISNUMBER(O551),ISNUMBER(P551)),IF(P551&gt;=O551,1,0),0))</f>
        <v>0</v>
      </c>
      <c r="AZ551" s="1" t="n">
        <f aca="false">IF(ISNUMBER(Y551),Y551,0)</f>
        <v>0</v>
      </c>
      <c r="BA551" s="1" t="str">
        <f aca="false">IF(B551="","",IF(AND(R551="WON",AS551=0),"⛔ Beleg fehlt · ","")&amp;IF(AND(R551="WON",AR551=0),"⛔ Einstand fehlt · ","")&amp;IF(AND(R551&lt;&gt;"WON",AR551=0),"○ Einstand offen · ","")&amp;IF(AND(R551="WON",AB551=""),"⛔ Vertragsart fehlt · ","")&amp;IF(AND(ISNUMBER(O551),ISNUMBER(P551)),IF(P551&lt;O551,"⚠ Ende vor Start · ",""),"")&amp;IF(AND(R551="WON",AY551=0,NOT(AND(ISNUMBER(O551),ISNUMBER(P551)))),"⛔ Zeitraum fehlt · ","")&amp;IF(AND(R551&lt;&gt;"WON",AY551=0,NOT(AND(ISNUMBER(O551),ISNUMBER(P551)))),"○ Zeitraum offen · ",""))</f>
        <v/>
      </c>
      <c r="BB551" s="1" t="str">
        <f aca="false">IF(B551="","",IF(AND(R551="WON",AS551=0),"⛔ Nachweis fehlt",IF(AND(ISNUMBER(O551),ISNUMBER(P551),P551&lt;O551),"⚠ Ende vor Start",IF(AND(R551="WON",AY551=0),"⛔ Zeitraum fehlt",IF(AR551=0,"○ Einstand offen",IF(AY551=0,"○ Zeitraum offen",IF(R551="WON","✅ belegt","✔ erfasst")))))))</f>
        <v/>
      </c>
    </row>
    <row r="552" customFormat="false" ht="15" hidden="false" customHeight="true" outlineLevel="0" collapsed="false">
      <c r="G552" s="1" t="str">
        <f aca="false">IF(B552="","",IF(AY552=1,P552-O552+1,IF(AW552="","",AW552)))</f>
        <v/>
      </c>
      <c r="I552" s="270"/>
      <c r="J552" s="270"/>
      <c r="K552" s="270"/>
      <c r="L552" s="270"/>
      <c r="M552" s="270"/>
      <c r="N552" s="270"/>
      <c r="O552" s="263"/>
      <c r="P552" s="263"/>
      <c r="Q552" s="270" t="str">
        <f aca="false">IF(AND(ISNUMBER(I552),ISNUMBER(S552)),I552*AJ552,IF(OR(I552&lt;&gt;"",S552&lt;&gt;""),"tbd",""))</f>
        <v/>
      </c>
      <c r="S552" s="268"/>
      <c r="Y552" s="275" t="str">
        <f aca="false">IF(ISNUMBER(I552),I552/Netto_Faktor,"")</f>
        <v/>
      </c>
      <c r="Z552" s="275" t="str">
        <f aca="false">IF(B552="","",IF(COUNT(J552:N552)=0,"",SUM(J552:N552)))</f>
        <v/>
      </c>
      <c r="AA552" s="266"/>
      <c r="AB552" s="266"/>
      <c r="AC552" s="266"/>
      <c r="AD552" s="266"/>
      <c r="AE552" s="266"/>
      <c r="AF552" s="266"/>
      <c r="AG552" s="267"/>
      <c r="AH552" s="266" t="str">
        <f aca="false">IF(B552="","",IF(BA552="",IF(R552="WON","✅ belegt &amp; vollständig","✔ vollständig"),LEFT(BA552,LEN(BA552)-3)))</f>
        <v/>
      </c>
      <c r="AJ552" s="268" t="n">
        <f aca="false">IF(ISNUMBER(S552),IFERROR(LOOKUP(IF(S552&lt;=1,S552,S552/100),'⚖️ Wahrscheinlichkeit'!$B$17:$B$21,'⚖️ Wahrscheinlichkeit'!$D$17:$D$21),0),0)</f>
        <v>0</v>
      </c>
      <c r="AK552" s="1" t="str">
        <f aca="false">IF(AND(R552="WON",ISNUMBER(I552)),AL552+(861-ROW())*0.000001,"")</f>
        <v/>
      </c>
      <c r="AL552" s="1" t="n">
        <f aca="false">IFERROR(I552*1,0)</f>
        <v>0</v>
      </c>
      <c r="AM552" s="1" t="n">
        <f aca="false">N(AM551)+IF(AND(R552="WON",B552&lt;&gt;""),1,0)</f>
        <v>12</v>
      </c>
      <c r="AN552" s="1" t="n">
        <f aca="false">N(AN551)+IF(AND(OR(R552="offered",R552="to be offered",R552="on hold"),B552&lt;&gt;""),1,0)</f>
        <v>33</v>
      </c>
      <c r="AO552" s="1" t="n">
        <f aca="false">N(AO551)+IF(AND(OR(R552="follow-up",R552="Evaluation",R552="tbd",R552="In evaluation"),B552&lt;&gt;""),1,0)</f>
        <v>1</v>
      </c>
      <c r="AP552" s="1" t="n">
        <f aca="false">IF(B552="",0,IF(COUNTIF('⚖️ Wahrscheinlichkeit'!$J$17:$J$24,R552)&gt;0,1,0))</f>
        <v>0</v>
      </c>
      <c r="AQ552" s="1" t="n">
        <f aca="false">IF(B552="",0,IF(AND(ISNUMBER(S552),COUNTIF('⚖️ Wahrscheinlichkeit'!$B$6:$B$11,S552)&gt;0),1,0))</f>
        <v>0</v>
      </c>
      <c r="AR552" s="1" t="n">
        <f aca="false">IF(B552="",0,IF(AND(COUNT(J552:M552)=4,SUM(J552:M552)&gt;0),1,0))</f>
        <v>0</v>
      </c>
      <c r="AS552" s="1" t="n">
        <f aca="false">IF(B552="",0,IF(AND(AF552&lt;&gt;"",AG552&lt;&gt;""),1,0))</f>
        <v>0</v>
      </c>
      <c r="AT552" s="1" t="n">
        <f aca="false">IF(AND(R552="WON",AS552=1,AR552=1),1,0)</f>
        <v>0</v>
      </c>
      <c r="AU552" s="1" t="n">
        <f aca="false">IF(B552="",0,IF(AD552="Alternative – zählt nicht",0,1))</f>
        <v>0</v>
      </c>
      <c r="AV552" s="1" t="n">
        <f aca="false">IF(B552="",0,IF(COUNTIF($B$6:$B$860,B552)&gt;1,1,0))</f>
        <v>0</v>
      </c>
      <c r="AX552" s="269" t="str">
        <f aca="false">IF(AY552=1,DATE(YEAR(O552),MONTH(O552),1),"")</f>
        <v/>
      </c>
      <c r="AY552" s="1" t="n">
        <f aca="false">IF(B552="",0,IF(AND(ISNUMBER(O552),ISNUMBER(P552)),IF(P552&gt;=O552,1,0),0))</f>
        <v>0</v>
      </c>
      <c r="AZ552" s="1" t="n">
        <f aca="false">IF(ISNUMBER(Y552),Y552,0)</f>
        <v>0</v>
      </c>
      <c r="BA552" s="1" t="str">
        <f aca="false">IF(B552="","",IF(AND(R552="WON",AS552=0),"⛔ Beleg fehlt · ","")&amp;IF(AND(R552="WON",AR552=0),"⛔ Einstand fehlt · ","")&amp;IF(AND(R552&lt;&gt;"WON",AR552=0),"○ Einstand offen · ","")&amp;IF(AND(R552="WON",AB552=""),"⛔ Vertragsart fehlt · ","")&amp;IF(AND(ISNUMBER(O552),ISNUMBER(P552)),IF(P552&lt;O552,"⚠ Ende vor Start · ",""),"")&amp;IF(AND(R552="WON",AY552=0,NOT(AND(ISNUMBER(O552),ISNUMBER(P552)))),"⛔ Zeitraum fehlt · ","")&amp;IF(AND(R552&lt;&gt;"WON",AY552=0,NOT(AND(ISNUMBER(O552),ISNUMBER(P552)))),"○ Zeitraum offen · ",""))</f>
        <v/>
      </c>
      <c r="BB552" s="1" t="str">
        <f aca="false">IF(B552="","",IF(AND(R552="WON",AS552=0),"⛔ Nachweis fehlt",IF(AND(ISNUMBER(O552),ISNUMBER(P552),P552&lt;O552),"⚠ Ende vor Start",IF(AND(R552="WON",AY552=0),"⛔ Zeitraum fehlt",IF(AR552=0,"○ Einstand offen",IF(AY552=0,"○ Zeitraum offen",IF(R552="WON","✅ belegt","✔ erfasst")))))))</f>
        <v/>
      </c>
    </row>
    <row r="553" customFormat="false" ht="15" hidden="false" customHeight="true" outlineLevel="0" collapsed="false">
      <c r="G553" s="1" t="str">
        <f aca="false">IF(B553="","",IF(AY553=1,P553-O553+1,IF(AW553="","",AW553)))</f>
        <v/>
      </c>
      <c r="I553" s="270"/>
      <c r="J553" s="270"/>
      <c r="K553" s="270"/>
      <c r="L553" s="270"/>
      <c r="M553" s="270"/>
      <c r="N553" s="270"/>
      <c r="O553" s="263"/>
      <c r="P553" s="263"/>
      <c r="Q553" s="270" t="str">
        <f aca="false">IF(AND(ISNUMBER(I553),ISNUMBER(S553)),I553*AJ553,IF(OR(I553&lt;&gt;"",S553&lt;&gt;""),"tbd",""))</f>
        <v/>
      </c>
      <c r="S553" s="268"/>
      <c r="Y553" s="275" t="str">
        <f aca="false">IF(ISNUMBER(I553),I553/Netto_Faktor,"")</f>
        <v/>
      </c>
      <c r="Z553" s="275" t="str">
        <f aca="false">IF(B553="","",IF(COUNT(J553:N553)=0,"",SUM(J553:N553)))</f>
        <v/>
      </c>
      <c r="AA553" s="266"/>
      <c r="AB553" s="266"/>
      <c r="AC553" s="266"/>
      <c r="AD553" s="266"/>
      <c r="AE553" s="266"/>
      <c r="AF553" s="266"/>
      <c r="AG553" s="267"/>
      <c r="AH553" s="266" t="str">
        <f aca="false">IF(B553="","",IF(BA553="",IF(R553="WON","✅ belegt &amp; vollständig","✔ vollständig"),LEFT(BA553,LEN(BA553)-3)))</f>
        <v/>
      </c>
      <c r="AJ553" s="268" t="n">
        <f aca="false">IF(ISNUMBER(S553),IFERROR(LOOKUP(IF(S553&lt;=1,S553,S553/100),'⚖️ Wahrscheinlichkeit'!$B$17:$B$21,'⚖️ Wahrscheinlichkeit'!$D$17:$D$21),0),0)</f>
        <v>0</v>
      </c>
      <c r="AK553" s="1" t="str">
        <f aca="false">IF(AND(R553="WON",ISNUMBER(I553)),AL553+(861-ROW())*0.000001,"")</f>
        <v/>
      </c>
      <c r="AL553" s="1" t="n">
        <f aca="false">IFERROR(I553*1,0)</f>
        <v>0</v>
      </c>
      <c r="AM553" s="1" t="n">
        <f aca="false">N(AM552)+IF(AND(R553="WON",B553&lt;&gt;""),1,0)</f>
        <v>12</v>
      </c>
      <c r="AN553" s="1" t="n">
        <f aca="false">N(AN552)+IF(AND(OR(R553="offered",R553="to be offered",R553="on hold"),B553&lt;&gt;""),1,0)</f>
        <v>33</v>
      </c>
      <c r="AO553" s="1" t="n">
        <f aca="false">N(AO552)+IF(AND(OR(R553="follow-up",R553="Evaluation",R553="tbd",R553="In evaluation"),B553&lt;&gt;""),1,0)</f>
        <v>1</v>
      </c>
      <c r="AP553" s="1" t="n">
        <f aca="false">IF(B553="",0,IF(COUNTIF('⚖️ Wahrscheinlichkeit'!$J$17:$J$24,R553)&gt;0,1,0))</f>
        <v>0</v>
      </c>
      <c r="AQ553" s="1" t="n">
        <f aca="false">IF(B553="",0,IF(AND(ISNUMBER(S553),COUNTIF('⚖️ Wahrscheinlichkeit'!$B$6:$B$11,S553)&gt;0),1,0))</f>
        <v>0</v>
      </c>
      <c r="AR553" s="1" t="n">
        <f aca="false">IF(B553="",0,IF(AND(COUNT(J553:M553)=4,SUM(J553:M553)&gt;0),1,0))</f>
        <v>0</v>
      </c>
      <c r="AS553" s="1" t="n">
        <f aca="false">IF(B553="",0,IF(AND(AF553&lt;&gt;"",AG553&lt;&gt;""),1,0))</f>
        <v>0</v>
      </c>
      <c r="AT553" s="1" t="n">
        <f aca="false">IF(AND(R553="WON",AS553=1,AR553=1),1,0)</f>
        <v>0</v>
      </c>
      <c r="AU553" s="1" t="n">
        <f aca="false">IF(B553="",0,IF(AD553="Alternative – zählt nicht",0,1))</f>
        <v>0</v>
      </c>
      <c r="AV553" s="1" t="n">
        <f aca="false">IF(B553="",0,IF(COUNTIF($B$6:$B$860,B553)&gt;1,1,0))</f>
        <v>0</v>
      </c>
      <c r="AX553" s="269" t="str">
        <f aca="false">IF(AY553=1,DATE(YEAR(O553),MONTH(O553),1),"")</f>
        <v/>
      </c>
      <c r="AY553" s="1" t="n">
        <f aca="false">IF(B553="",0,IF(AND(ISNUMBER(O553),ISNUMBER(P553)),IF(P553&gt;=O553,1,0),0))</f>
        <v>0</v>
      </c>
      <c r="AZ553" s="1" t="n">
        <f aca="false">IF(ISNUMBER(Y553),Y553,0)</f>
        <v>0</v>
      </c>
      <c r="BA553" s="1" t="str">
        <f aca="false">IF(B553="","",IF(AND(R553="WON",AS553=0),"⛔ Beleg fehlt · ","")&amp;IF(AND(R553="WON",AR553=0),"⛔ Einstand fehlt · ","")&amp;IF(AND(R553&lt;&gt;"WON",AR553=0),"○ Einstand offen · ","")&amp;IF(AND(R553="WON",AB553=""),"⛔ Vertragsart fehlt · ","")&amp;IF(AND(ISNUMBER(O553),ISNUMBER(P553)),IF(P553&lt;O553,"⚠ Ende vor Start · ",""),"")&amp;IF(AND(R553="WON",AY553=0,NOT(AND(ISNUMBER(O553),ISNUMBER(P553)))),"⛔ Zeitraum fehlt · ","")&amp;IF(AND(R553&lt;&gt;"WON",AY553=0,NOT(AND(ISNUMBER(O553),ISNUMBER(P553)))),"○ Zeitraum offen · ",""))</f>
        <v/>
      </c>
      <c r="BB553" s="1" t="str">
        <f aca="false">IF(B553="","",IF(AND(R553="WON",AS553=0),"⛔ Nachweis fehlt",IF(AND(ISNUMBER(O553),ISNUMBER(P553),P553&lt;O553),"⚠ Ende vor Start",IF(AND(R553="WON",AY553=0),"⛔ Zeitraum fehlt",IF(AR553=0,"○ Einstand offen",IF(AY553=0,"○ Zeitraum offen",IF(R553="WON","✅ belegt","✔ erfasst")))))))</f>
        <v/>
      </c>
    </row>
    <row r="554" customFormat="false" ht="15" hidden="false" customHeight="true" outlineLevel="0" collapsed="false">
      <c r="G554" s="1" t="str">
        <f aca="false">IF(B554="","",IF(AY554=1,P554-O554+1,IF(AW554="","",AW554)))</f>
        <v/>
      </c>
      <c r="I554" s="270"/>
      <c r="J554" s="270"/>
      <c r="K554" s="270"/>
      <c r="L554" s="270"/>
      <c r="M554" s="270"/>
      <c r="N554" s="270"/>
      <c r="O554" s="263"/>
      <c r="P554" s="263"/>
      <c r="Q554" s="270" t="str">
        <f aca="false">IF(AND(ISNUMBER(I554),ISNUMBER(S554)),I554*AJ554,IF(OR(I554&lt;&gt;"",S554&lt;&gt;""),"tbd",""))</f>
        <v/>
      </c>
      <c r="S554" s="268"/>
      <c r="Y554" s="275" t="str">
        <f aca="false">IF(ISNUMBER(I554),I554/Netto_Faktor,"")</f>
        <v/>
      </c>
      <c r="Z554" s="275" t="str">
        <f aca="false">IF(B554="","",IF(COUNT(J554:N554)=0,"",SUM(J554:N554)))</f>
        <v/>
      </c>
      <c r="AA554" s="266"/>
      <c r="AB554" s="266"/>
      <c r="AC554" s="266"/>
      <c r="AD554" s="266"/>
      <c r="AE554" s="266"/>
      <c r="AF554" s="266"/>
      <c r="AG554" s="267"/>
      <c r="AH554" s="266" t="str">
        <f aca="false">IF(B554="","",IF(BA554="",IF(R554="WON","✅ belegt &amp; vollständig","✔ vollständig"),LEFT(BA554,LEN(BA554)-3)))</f>
        <v/>
      </c>
      <c r="AJ554" s="268" t="n">
        <f aca="false">IF(ISNUMBER(S554),IFERROR(LOOKUP(IF(S554&lt;=1,S554,S554/100),'⚖️ Wahrscheinlichkeit'!$B$17:$B$21,'⚖️ Wahrscheinlichkeit'!$D$17:$D$21),0),0)</f>
        <v>0</v>
      </c>
      <c r="AK554" s="1" t="str">
        <f aca="false">IF(AND(R554="WON",ISNUMBER(I554)),AL554+(861-ROW())*0.000001,"")</f>
        <v/>
      </c>
      <c r="AL554" s="1" t="n">
        <f aca="false">IFERROR(I554*1,0)</f>
        <v>0</v>
      </c>
      <c r="AM554" s="1" t="n">
        <f aca="false">N(AM553)+IF(AND(R554="WON",B554&lt;&gt;""),1,0)</f>
        <v>12</v>
      </c>
      <c r="AN554" s="1" t="n">
        <f aca="false">N(AN553)+IF(AND(OR(R554="offered",R554="to be offered",R554="on hold"),B554&lt;&gt;""),1,0)</f>
        <v>33</v>
      </c>
      <c r="AO554" s="1" t="n">
        <f aca="false">N(AO553)+IF(AND(OR(R554="follow-up",R554="Evaluation",R554="tbd",R554="In evaluation"),B554&lt;&gt;""),1,0)</f>
        <v>1</v>
      </c>
      <c r="AP554" s="1" t="n">
        <f aca="false">IF(B554="",0,IF(COUNTIF('⚖️ Wahrscheinlichkeit'!$J$17:$J$24,R554)&gt;0,1,0))</f>
        <v>0</v>
      </c>
      <c r="AQ554" s="1" t="n">
        <f aca="false">IF(B554="",0,IF(AND(ISNUMBER(S554),COUNTIF('⚖️ Wahrscheinlichkeit'!$B$6:$B$11,S554)&gt;0),1,0))</f>
        <v>0</v>
      </c>
      <c r="AR554" s="1" t="n">
        <f aca="false">IF(B554="",0,IF(AND(COUNT(J554:M554)=4,SUM(J554:M554)&gt;0),1,0))</f>
        <v>0</v>
      </c>
      <c r="AS554" s="1" t="n">
        <f aca="false">IF(B554="",0,IF(AND(AF554&lt;&gt;"",AG554&lt;&gt;""),1,0))</f>
        <v>0</v>
      </c>
      <c r="AT554" s="1" t="n">
        <f aca="false">IF(AND(R554="WON",AS554=1,AR554=1),1,0)</f>
        <v>0</v>
      </c>
      <c r="AU554" s="1" t="n">
        <f aca="false">IF(B554="",0,IF(AD554="Alternative – zählt nicht",0,1))</f>
        <v>0</v>
      </c>
      <c r="AV554" s="1" t="n">
        <f aca="false">IF(B554="",0,IF(COUNTIF($B$6:$B$860,B554)&gt;1,1,0))</f>
        <v>0</v>
      </c>
      <c r="AX554" s="269" t="str">
        <f aca="false">IF(AY554=1,DATE(YEAR(O554),MONTH(O554),1),"")</f>
        <v/>
      </c>
      <c r="AY554" s="1" t="n">
        <f aca="false">IF(B554="",0,IF(AND(ISNUMBER(O554),ISNUMBER(P554)),IF(P554&gt;=O554,1,0),0))</f>
        <v>0</v>
      </c>
      <c r="AZ554" s="1" t="n">
        <f aca="false">IF(ISNUMBER(Y554),Y554,0)</f>
        <v>0</v>
      </c>
      <c r="BA554" s="1" t="str">
        <f aca="false">IF(B554="","",IF(AND(R554="WON",AS554=0),"⛔ Beleg fehlt · ","")&amp;IF(AND(R554="WON",AR554=0),"⛔ Einstand fehlt · ","")&amp;IF(AND(R554&lt;&gt;"WON",AR554=0),"○ Einstand offen · ","")&amp;IF(AND(R554="WON",AB554=""),"⛔ Vertragsart fehlt · ","")&amp;IF(AND(ISNUMBER(O554),ISNUMBER(P554)),IF(P554&lt;O554,"⚠ Ende vor Start · ",""),"")&amp;IF(AND(R554="WON",AY554=0,NOT(AND(ISNUMBER(O554),ISNUMBER(P554)))),"⛔ Zeitraum fehlt · ","")&amp;IF(AND(R554&lt;&gt;"WON",AY554=0,NOT(AND(ISNUMBER(O554),ISNUMBER(P554)))),"○ Zeitraum offen · ",""))</f>
        <v/>
      </c>
      <c r="BB554" s="1" t="str">
        <f aca="false">IF(B554="","",IF(AND(R554="WON",AS554=0),"⛔ Nachweis fehlt",IF(AND(ISNUMBER(O554),ISNUMBER(P554),P554&lt;O554),"⚠ Ende vor Start",IF(AND(R554="WON",AY554=0),"⛔ Zeitraum fehlt",IF(AR554=0,"○ Einstand offen",IF(AY554=0,"○ Zeitraum offen",IF(R554="WON","✅ belegt","✔ erfasst")))))))</f>
        <v/>
      </c>
    </row>
    <row r="555" customFormat="false" ht="15" hidden="false" customHeight="true" outlineLevel="0" collapsed="false">
      <c r="G555" s="1" t="str">
        <f aca="false">IF(B555="","",IF(AY555=1,P555-O555+1,IF(AW555="","",AW555)))</f>
        <v/>
      </c>
      <c r="I555" s="270"/>
      <c r="J555" s="270"/>
      <c r="K555" s="270"/>
      <c r="L555" s="270"/>
      <c r="M555" s="270"/>
      <c r="N555" s="270"/>
      <c r="O555" s="263"/>
      <c r="P555" s="263"/>
      <c r="Q555" s="270" t="str">
        <f aca="false">IF(AND(ISNUMBER(I555),ISNUMBER(S555)),I555*AJ555,IF(OR(I555&lt;&gt;"",S555&lt;&gt;""),"tbd",""))</f>
        <v/>
      </c>
      <c r="S555" s="268"/>
      <c r="Y555" s="275" t="str">
        <f aca="false">IF(ISNUMBER(I555),I555/Netto_Faktor,"")</f>
        <v/>
      </c>
      <c r="Z555" s="275" t="str">
        <f aca="false">IF(B555="","",IF(COUNT(J555:N555)=0,"",SUM(J555:N555)))</f>
        <v/>
      </c>
      <c r="AA555" s="266"/>
      <c r="AB555" s="266"/>
      <c r="AC555" s="266"/>
      <c r="AD555" s="266"/>
      <c r="AE555" s="266"/>
      <c r="AF555" s="266"/>
      <c r="AG555" s="267"/>
      <c r="AH555" s="266" t="str">
        <f aca="false">IF(B555="","",IF(BA555="",IF(R555="WON","✅ belegt &amp; vollständig","✔ vollständig"),LEFT(BA555,LEN(BA555)-3)))</f>
        <v/>
      </c>
      <c r="AJ555" s="268" t="n">
        <f aca="false">IF(ISNUMBER(S555),IFERROR(LOOKUP(IF(S555&lt;=1,S555,S555/100),'⚖️ Wahrscheinlichkeit'!$B$17:$B$21,'⚖️ Wahrscheinlichkeit'!$D$17:$D$21),0),0)</f>
        <v>0</v>
      </c>
      <c r="AK555" s="1" t="str">
        <f aca="false">IF(AND(R555="WON",ISNUMBER(I555)),AL555+(861-ROW())*0.000001,"")</f>
        <v/>
      </c>
      <c r="AL555" s="1" t="n">
        <f aca="false">IFERROR(I555*1,0)</f>
        <v>0</v>
      </c>
      <c r="AM555" s="1" t="n">
        <f aca="false">N(AM554)+IF(AND(R555="WON",B555&lt;&gt;""),1,0)</f>
        <v>12</v>
      </c>
      <c r="AN555" s="1" t="n">
        <f aca="false">N(AN554)+IF(AND(OR(R555="offered",R555="to be offered",R555="on hold"),B555&lt;&gt;""),1,0)</f>
        <v>33</v>
      </c>
      <c r="AO555" s="1" t="n">
        <f aca="false">N(AO554)+IF(AND(OR(R555="follow-up",R555="Evaluation",R555="tbd",R555="In evaluation"),B555&lt;&gt;""),1,0)</f>
        <v>1</v>
      </c>
      <c r="AP555" s="1" t="n">
        <f aca="false">IF(B555="",0,IF(COUNTIF('⚖️ Wahrscheinlichkeit'!$J$17:$J$24,R555)&gt;0,1,0))</f>
        <v>0</v>
      </c>
      <c r="AQ555" s="1" t="n">
        <f aca="false">IF(B555="",0,IF(AND(ISNUMBER(S555),COUNTIF('⚖️ Wahrscheinlichkeit'!$B$6:$B$11,S555)&gt;0),1,0))</f>
        <v>0</v>
      </c>
      <c r="AR555" s="1" t="n">
        <f aca="false">IF(B555="",0,IF(AND(COUNT(J555:M555)=4,SUM(J555:M555)&gt;0),1,0))</f>
        <v>0</v>
      </c>
      <c r="AS555" s="1" t="n">
        <f aca="false">IF(B555="",0,IF(AND(AF555&lt;&gt;"",AG555&lt;&gt;""),1,0))</f>
        <v>0</v>
      </c>
      <c r="AT555" s="1" t="n">
        <f aca="false">IF(AND(R555="WON",AS555=1,AR555=1),1,0)</f>
        <v>0</v>
      </c>
      <c r="AU555" s="1" t="n">
        <f aca="false">IF(B555="",0,IF(AD555="Alternative – zählt nicht",0,1))</f>
        <v>0</v>
      </c>
      <c r="AV555" s="1" t="n">
        <f aca="false">IF(B555="",0,IF(COUNTIF($B$6:$B$860,B555)&gt;1,1,0))</f>
        <v>0</v>
      </c>
      <c r="AX555" s="269" t="str">
        <f aca="false">IF(AY555=1,DATE(YEAR(O555),MONTH(O555),1),"")</f>
        <v/>
      </c>
      <c r="AY555" s="1" t="n">
        <f aca="false">IF(B555="",0,IF(AND(ISNUMBER(O555),ISNUMBER(P555)),IF(P555&gt;=O555,1,0),0))</f>
        <v>0</v>
      </c>
      <c r="AZ555" s="1" t="n">
        <f aca="false">IF(ISNUMBER(Y555),Y555,0)</f>
        <v>0</v>
      </c>
      <c r="BA555" s="1" t="str">
        <f aca="false">IF(B555="","",IF(AND(R555="WON",AS555=0),"⛔ Beleg fehlt · ","")&amp;IF(AND(R555="WON",AR555=0),"⛔ Einstand fehlt · ","")&amp;IF(AND(R555&lt;&gt;"WON",AR555=0),"○ Einstand offen · ","")&amp;IF(AND(R555="WON",AB555=""),"⛔ Vertragsart fehlt · ","")&amp;IF(AND(ISNUMBER(O555),ISNUMBER(P555)),IF(P555&lt;O555,"⚠ Ende vor Start · ",""),"")&amp;IF(AND(R555="WON",AY555=0,NOT(AND(ISNUMBER(O555),ISNUMBER(P555)))),"⛔ Zeitraum fehlt · ","")&amp;IF(AND(R555&lt;&gt;"WON",AY555=0,NOT(AND(ISNUMBER(O555),ISNUMBER(P555)))),"○ Zeitraum offen · ",""))</f>
        <v/>
      </c>
      <c r="BB555" s="1" t="str">
        <f aca="false">IF(B555="","",IF(AND(R555="WON",AS555=0),"⛔ Nachweis fehlt",IF(AND(ISNUMBER(O555),ISNUMBER(P555),P555&lt;O555),"⚠ Ende vor Start",IF(AND(R555="WON",AY555=0),"⛔ Zeitraum fehlt",IF(AR555=0,"○ Einstand offen",IF(AY555=0,"○ Zeitraum offen",IF(R555="WON","✅ belegt","✔ erfasst")))))))</f>
        <v/>
      </c>
    </row>
    <row r="556" customFormat="false" ht="15" hidden="false" customHeight="true" outlineLevel="0" collapsed="false">
      <c r="G556" s="1" t="str">
        <f aca="false">IF(B556="","",IF(AY556=1,P556-O556+1,IF(AW556="","",AW556)))</f>
        <v/>
      </c>
      <c r="I556" s="270"/>
      <c r="J556" s="270"/>
      <c r="K556" s="270"/>
      <c r="L556" s="270"/>
      <c r="M556" s="270"/>
      <c r="N556" s="270"/>
      <c r="O556" s="263"/>
      <c r="P556" s="263"/>
      <c r="Q556" s="270" t="str">
        <f aca="false">IF(AND(ISNUMBER(I556),ISNUMBER(S556)),I556*AJ556,IF(OR(I556&lt;&gt;"",S556&lt;&gt;""),"tbd",""))</f>
        <v/>
      </c>
      <c r="S556" s="268"/>
      <c r="Y556" s="275" t="str">
        <f aca="false">IF(ISNUMBER(I556),I556/Netto_Faktor,"")</f>
        <v/>
      </c>
      <c r="Z556" s="275" t="str">
        <f aca="false">IF(B556="","",IF(COUNT(J556:N556)=0,"",SUM(J556:N556)))</f>
        <v/>
      </c>
      <c r="AA556" s="266"/>
      <c r="AB556" s="266"/>
      <c r="AC556" s="266"/>
      <c r="AD556" s="266"/>
      <c r="AE556" s="266"/>
      <c r="AF556" s="266"/>
      <c r="AG556" s="267"/>
      <c r="AH556" s="266" t="str">
        <f aca="false">IF(B556="","",IF(BA556="",IF(R556="WON","✅ belegt &amp; vollständig","✔ vollständig"),LEFT(BA556,LEN(BA556)-3)))</f>
        <v/>
      </c>
      <c r="AJ556" s="268" t="n">
        <f aca="false">IF(ISNUMBER(S556),IFERROR(LOOKUP(IF(S556&lt;=1,S556,S556/100),'⚖️ Wahrscheinlichkeit'!$B$17:$B$21,'⚖️ Wahrscheinlichkeit'!$D$17:$D$21),0),0)</f>
        <v>0</v>
      </c>
      <c r="AK556" s="1" t="str">
        <f aca="false">IF(AND(R556="WON",ISNUMBER(I556)),AL556+(861-ROW())*0.000001,"")</f>
        <v/>
      </c>
      <c r="AL556" s="1" t="n">
        <f aca="false">IFERROR(I556*1,0)</f>
        <v>0</v>
      </c>
      <c r="AM556" s="1" t="n">
        <f aca="false">N(AM555)+IF(AND(R556="WON",B556&lt;&gt;""),1,0)</f>
        <v>12</v>
      </c>
      <c r="AN556" s="1" t="n">
        <f aca="false">N(AN555)+IF(AND(OR(R556="offered",R556="to be offered",R556="on hold"),B556&lt;&gt;""),1,0)</f>
        <v>33</v>
      </c>
      <c r="AO556" s="1" t="n">
        <f aca="false">N(AO555)+IF(AND(OR(R556="follow-up",R556="Evaluation",R556="tbd",R556="In evaluation"),B556&lt;&gt;""),1,0)</f>
        <v>1</v>
      </c>
      <c r="AP556" s="1" t="n">
        <f aca="false">IF(B556="",0,IF(COUNTIF('⚖️ Wahrscheinlichkeit'!$J$17:$J$24,R556)&gt;0,1,0))</f>
        <v>0</v>
      </c>
      <c r="AQ556" s="1" t="n">
        <f aca="false">IF(B556="",0,IF(AND(ISNUMBER(S556),COUNTIF('⚖️ Wahrscheinlichkeit'!$B$6:$B$11,S556)&gt;0),1,0))</f>
        <v>0</v>
      </c>
      <c r="AR556" s="1" t="n">
        <f aca="false">IF(B556="",0,IF(AND(COUNT(J556:M556)=4,SUM(J556:M556)&gt;0),1,0))</f>
        <v>0</v>
      </c>
      <c r="AS556" s="1" t="n">
        <f aca="false">IF(B556="",0,IF(AND(AF556&lt;&gt;"",AG556&lt;&gt;""),1,0))</f>
        <v>0</v>
      </c>
      <c r="AT556" s="1" t="n">
        <f aca="false">IF(AND(R556="WON",AS556=1,AR556=1),1,0)</f>
        <v>0</v>
      </c>
      <c r="AU556" s="1" t="n">
        <f aca="false">IF(B556="",0,IF(AD556="Alternative – zählt nicht",0,1))</f>
        <v>0</v>
      </c>
      <c r="AV556" s="1" t="n">
        <f aca="false">IF(B556="",0,IF(COUNTIF($B$6:$B$860,B556)&gt;1,1,0))</f>
        <v>0</v>
      </c>
      <c r="AX556" s="269" t="str">
        <f aca="false">IF(AY556=1,DATE(YEAR(O556),MONTH(O556),1),"")</f>
        <v/>
      </c>
      <c r="AY556" s="1" t="n">
        <f aca="false">IF(B556="",0,IF(AND(ISNUMBER(O556),ISNUMBER(P556)),IF(P556&gt;=O556,1,0),0))</f>
        <v>0</v>
      </c>
      <c r="AZ556" s="1" t="n">
        <f aca="false">IF(ISNUMBER(Y556),Y556,0)</f>
        <v>0</v>
      </c>
      <c r="BA556" s="1" t="str">
        <f aca="false">IF(B556="","",IF(AND(R556="WON",AS556=0),"⛔ Beleg fehlt · ","")&amp;IF(AND(R556="WON",AR556=0),"⛔ Einstand fehlt · ","")&amp;IF(AND(R556&lt;&gt;"WON",AR556=0),"○ Einstand offen · ","")&amp;IF(AND(R556="WON",AB556=""),"⛔ Vertragsart fehlt · ","")&amp;IF(AND(ISNUMBER(O556),ISNUMBER(P556)),IF(P556&lt;O556,"⚠ Ende vor Start · ",""),"")&amp;IF(AND(R556="WON",AY556=0,NOT(AND(ISNUMBER(O556),ISNUMBER(P556)))),"⛔ Zeitraum fehlt · ","")&amp;IF(AND(R556&lt;&gt;"WON",AY556=0,NOT(AND(ISNUMBER(O556),ISNUMBER(P556)))),"○ Zeitraum offen · ",""))</f>
        <v/>
      </c>
      <c r="BB556" s="1" t="str">
        <f aca="false">IF(B556="","",IF(AND(R556="WON",AS556=0),"⛔ Nachweis fehlt",IF(AND(ISNUMBER(O556),ISNUMBER(P556),P556&lt;O556),"⚠ Ende vor Start",IF(AND(R556="WON",AY556=0),"⛔ Zeitraum fehlt",IF(AR556=0,"○ Einstand offen",IF(AY556=0,"○ Zeitraum offen",IF(R556="WON","✅ belegt","✔ erfasst")))))))</f>
        <v/>
      </c>
    </row>
    <row r="557" customFormat="false" ht="15" hidden="false" customHeight="true" outlineLevel="0" collapsed="false">
      <c r="G557" s="1" t="str">
        <f aca="false">IF(B557="","",IF(AY557=1,P557-O557+1,IF(AW557="","",AW557)))</f>
        <v/>
      </c>
      <c r="I557" s="270"/>
      <c r="J557" s="270"/>
      <c r="K557" s="270"/>
      <c r="L557" s="270"/>
      <c r="M557" s="270"/>
      <c r="N557" s="270"/>
      <c r="O557" s="263"/>
      <c r="P557" s="263"/>
      <c r="Q557" s="270" t="str">
        <f aca="false">IF(AND(ISNUMBER(I557),ISNUMBER(S557)),I557*AJ557,IF(OR(I557&lt;&gt;"",S557&lt;&gt;""),"tbd",""))</f>
        <v/>
      </c>
      <c r="S557" s="268"/>
      <c r="Y557" s="275" t="str">
        <f aca="false">IF(ISNUMBER(I557),I557/Netto_Faktor,"")</f>
        <v/>
      </c>
      <c r="Z557" s="275" t="str">
        <f aca="false">IF(B557="","",IF(COUNT(J557:N557)=0,"",SUM(J557:N557)))</f>
        <v/>
      </c>
      <c r="AA557" s="266"/>
      <c r="AB557" s="266"/>
      <c r="AC557" s="266"/>
      <c r="AD557" s="266"/>
      <c r="AE557" s="266"/>
      <c r="AF557" s="266"/>
      <c r="AG557" s="267"/>
      <c r="AH557" s="266" t="str">
        <f aca="false">IF(B557="","",IF(BA557="",IF(R557="WON","✅ belegt &amp; vollständig","✔ vollständig"),LEFT(BA557,LEN(BA557)-3)))</f>
        <v/>
      </c>
      <c r="AJ557" s="268" t="n">
        <f aca="false">IF(ISNUMBER(S557),IFERROR(LOOKUP(IF(S557&lt;=1,S557,S557/100),'⚖️ Wahrscheinlichkeit'!$B$17:$B$21,'⚖️ Wahrscheinlichkeit'!$D$17:$D$21),0),0)</f>
        <v>0</v>
      </c>
      <c r="AK557" s="1" t="str">
        <f aca="false">IF(AND(R557="WON",ISNUMBER(I557)),AL557+(861-ROW())*0.000001,"")</f>
        <v/>
      </c>
      <c r="AL557" s="1" t="n">
        <f aca="false">IFERROR(I557*1,0)</f>
        <v>0</v>
      </c>
      <c r="AM557" s="1" t="n">
        <f aca="false">N(AM556)+IF(AND(R557="WON",B557&lt;&gt;""),1,0)</f>
        <v>12</v>
      </c>
      <c r="AN557" s="1" t="n">
        <f aca="false">N(AN556)+IF(AND(OR(R557="offered",R557="to be offered",R557="on hold"),B557&lt;&gt;""),1,0)</f>
        <v>33</v>
      </c>
      <c r="AO557" s="1" t="n">
        <f aca="false">N(AO556)+IF(AND(OR(R557="follow-up",R557="Evaluation",R557="tbd",R557="In evaluation"),B557&lt;&gt;""),1,0)</f>
        <v>1</v>
      </c>
      <c r="AP557" s="1" t="n">
        <f aca="false">IF(B557="",0,IF(COUNTIF('⚖️ Wahrscheinlichkeit'!$J$17:$J$24,R557)&gt;0,1,0))</f>
        <v>0</v>
      </c>
      <c r="AQ557" s="1" t="n">
        <f aca="false">IF(B557="",0,IF(AND(ISNUMBER(S557),COUNTIF('⚖️ Wahrscheinlichkeit'!$B$6:$B$11,S557)&gt;0),1,0))</f>
        <v>0</v>
      </c>
      <c r="AR557" s="1" t="n">
        <f aca="false">IF(B557="",0,IF(AND(COUNT(J557:M557)=4,SUM(J557:M557)&gt;0),1,0))</f>
        <v>0</v>
      </c>
      <c r="AS557" s="1" t="n">
        <f aca="false">IF(B557="",0,IF(AND(AF557&lt;&gt;"",AG557&lt;&gt;""),1,0))</f>
        <v>0</v>
      </c>
      <c r="AT557" s="1" t="n">
        <f aca="false">IF(AND(R557="WON",AS557=1,AR557=1),1,0)</f>
        <v>0</v>
      </c>
      <c r="AU557" s="1" t="n">
        <f aca="false">IF(B557="",0,IF(AD557="Alternative – zählt nicht",0,1))</f>
        <v>0</v>
      </c>
      <c r="AV557" s="1" t="n">
        <f aca="false">IF(B557="",0,IF(COUNTIF($B$6:$B$860,B557)&gt;1,1,0))</f>
        <v>0</v>
      </c>
      <c r="AX557" s="269" t="str">
        <f aca="false">IF(AY557=1,DATE(YEAR(O557),MONTH(O557),1),"")</f>
        <v/>
      </c>
      <c r="AY557" s="1" t="n">
        <f aca="false">IF(B557="",0,IF(AND(ISNUMBER(O557),ISNUMBER(P557)),IF(P557&gt;=O557,1,0),0))</f>
        <v>0</v>
      </c>
      <c r="AZ557" s="1" t="n">
        <f aca="false">IF(ISNUMBER(Y557),Y557,0)</f>
        <v>0</v>
      </c>
      <c r="BA557" s="1" t="str">
        <f aca="false">IF(B557="","",IF(AND(R557="WON",AS557=0),"⛔ Beleg fehlt · ","")&amp;IF(AND(R557="WON",AR557=0),"⛔ Einstand fehlt · ","")&amp;IF(AND(R557&lt;&gt;"WON",AR557=0),"○ Einstand offen · ","")&amp;IF(AND(R557="WON",AB557=""),"⛔ Vertragsart fehlt · ","")&amp;IF(AND(ISNUMBER(O557),ISNUMBER(P557)),IF(P557&lt;O557,"⚠ Ende vor Start · ",""),"")&amp;IF(AND(R557="WON",AY557=0,NOT(AND(ISNUMBER(O557),ISNUMBER(P557)))),"⛔ Zeitraum fehlt · ","")&amp;IF(AND(R557&lt;&gt;"WON",AY557=0,NOT(AND(ISNUMBER(O557),ISNUMBER(P557)))),"○ Zeitraum offen · ",""))</f>
        <v/>
      </c>
      <c r="BB557" s="1" t="str">
        <f aca="false">IF(B557="","",IF(AND(R557="WON",AS557=0),"⛔ Nachweis fehlt",IF(AND(ISNUMBER(O557),ISNUMBER(P557),P557&lt;O557),"⚠ Ende vor Start",IF(AND(R557="WON",AY557=0),"⛔ Zeitraum fehlt",IF(AR557=0,"○ Einstand offen",IF(AY557=0,"○ Zeitraum offen",IF(R557="WON","✅ belegt","✔ erfasst")))))))</f>
        <v/>
      </c>
    </row>
    <row r="558" customFormat="false" ht="15" hidden="false" customHeight="true" outlineLevel="0" collapsed="false">
      <c r="G558" s="1" t="str">
        <f aca="false">IF(B558="","",IF(AY558=1,P558-O558+1,IF(AW558="","",AW558)))</f>
        <v/>
      </c>
      <c r="I558" s="270"/>
      <c r="J558" s="270"/>
      <c r="K558" s="270"/>
      <c r="L558" s="270"/>
      <c r="M558" s="270"/>
      <c r="N558" s="270"/>
      <c r="O558" s="263"/>
      <c r="P558" s="263"/>
      <c r="Q558" s="270" t="str">
        <f aca="false">IF(AND(ISNUMBER(I558),ISNUMBER(S558)),I558*AJ558,IF(OR(I558&lt;&gt;"",S558&lt;&gt;""),"tbd",""))</f>
        <v/>
      </c>
      <c r="S558" s="268"/>
      <c r="Y558" s="275" t="str">
        <f aca="false">IF(ISNUMBER(I558),I558/Netto_Faktor,"")</f>
        <v/>
      </c>
      <c r="Z558" s="275" t="str">
        <f aca="false">IF(B558="","",IF(COUNT(J558:N558)=0,"",SUM(J558:N558)))</f>
        <v/>
      </c>
      <c r="AA558" s="266"/>
      <c r="AB558" s="266"/>
      <c r="AC558" s="266"/>
      <c r="AD558" s="266"/>
      <c r="AE558" s="266"/>
      <c r="AF558" s="266"/>
      <c r="AG558" s="267"/>
      <c r="AH558" s="266" t="str">
        <f aca="false">IF(B558="","",IF(BA558="",IF(R558="WON","✅ belegt &amp; vollständig","✔ vollständig"),LEFT(BA558,LEN(BA558)-3)))</f>
        <v/>
      </c>
      <c r="AJ558" s="268" t="n">
        <f aca="false">IF(ISNUMBER(S558),IFERROR(LOOKUP(IF(S558&lt;=1,S558,S558/100),'⚖️ Wahrscheinlichkeit'!$B$17:$B$21,'⚖️ Wahrscheinlichkeit'!$D$17:$D$21),0),0)</f>
        <v>0</v>
      </c>
      <c r="AK558" s="1" t="str">
        <f aca="false">IF(AND(R558="WON",ISNUMBER(I558)),AL558+(861-ROW())*0.000001,"")</f>
        <v/>
      </c>
      <c r="AL558" s="1" t="n">
        <f aca="false">IFERROR(I558*1,0)</f>
        <v>0</v>
      </c>
      <c r="AM558" s="1" t="n">
        <f aca="false">N(AM557)+IF(AND(R558="WON",B558&lt;&gt;""),1,0)</f>
        <v>12</v>
      </c>
      <c r="AN558" s="1" t="n">
        <f aca="false">N(AN557)+IF(AND(OR(R558="offered",R558="to be offered",R558="on hold"),B558&lt;&gt;""),1,0)</f>
        <v>33</v>
      </c>
      <c r="AO558" s="1" t="n">
        <f aca="false">N(AO557)+IF(AND(OR(R558="follow-up",R558="Evaluation",R558="tbd",R558="In evaluation"),B558&lt;&gt;""),1,0)</f>
        <v>1</v>
      </c>
      <c r="AP558" s="1" t="n">
        <f aca="false">IF(B558="",0,IF(COUNTIF('⚖️ Wahrscheinlichkeit'!$J$17:$J$24,R558)&gt;0,1,0))</f>
        <v>0</v>
      </c>
      <c r="AQ558" s="1" t="n">
        <f aca="false">IF(B558="",0,IF(AND(ISNUMBER(S558),COUNTIF('⚖️ Wahrscheinlichkeit'!$B$6:$B$11,S558)&gt;0),1,0))</f>
        <v>0</v>
      </c>
      <c r="AR558" s="1" t="n">
        <f aca="false">IF(B558="",0,IF(AND(COUNT(J558:M558)=4,SUM(J558:M558)&gt;0),1,0))</f>
        <v>0</v>
      </c>
      <c r="AS558" s="1" t="n">
        <f aca="false">IF(B558="",0,IF(AND(AF558&lt;&gt;"",AG558&lt;&gt;""),1,0))</f>
        <v>0</v>
      </c>
      <c r="AT558" s="1" t="n">
        <f aca="false">IF(AND(R558="WON",AS558=1,AR558=1),1,0)</f>
        <v>0</v>
      </c>
      <c r="AU558" s="1" t="n">
        <f aca="false">IF(B558="",0,IF(AD558="Alternative – zählt nicht",0,1))</f>
        <v>0</v>
      </c>
      <c r="AV558" s="1" t="n">
        <f aca="false">IF(B558="",0,IF(COUNTIF($B$6:$B$860,B558)&gt;1,1,0))</f>
        <v>0</v>
      </c>
      <c r="AX558" s="269" t="str">
        <f aca="false">IF(AY558=1,DATE(YEAR(O558),MONTH(O558),1),"")</f>
        <v/>
      </c>
      <c r="AY558" s="1" t="n">
        <f aca="false">IF(B558="",0,IF(AND(ISNUMBER(O558),ISNUMBER(P558)),IF(P558&gt;=O558,1,0),0))</f>
        <v>0</v>
      </c>
      <c r="AZ558" s="1" t="n">
        <f aca="false">IF(ISNUMBER(Y558),Y558,0)</f>
        <v>0</v>
      </c>
      <c r="BA558" s="1" t="str">
        <f aca="false">IF(B558="","",IF(AND(R558="WON",AS558=0),"⛔ Beleg fehlt · ","")&amp;IF(AND(R558="WON",AR558=0),"⛔ Einstand fehlt · ","")&amp;IF(AND(R558&lt;&gt;"WON",AR558=0),"○ Einstand offen · ","")&amp;IF(AND(R558="WON",AB558=""),"⛔ Vertragsart fehlt · ","")&amp;IF(AND(ISNUMBER(O558),ISNUMBER(P558)),IF(P558&lt;O558,"⚠ Ende vor Start · ",""),"")&amp;IF(AND(R558="WON",AY558=0,NOT(AND(ISNUMBER(O558),ISNUMBER(P558)))),"⛔ Zeitraum fehlt · ","")&amp;IF(AND(R558&lt;&gt;"WON",AY558=0,NOT(AND(ISNUMBER(O558),ISNUMBER(P558)))),"○ Zeitraum offen · ",""))</f>
        <v/>
      </c>
      <c r="BB558" s="1" t="str">
        <f aca="false">IF(B558="","",IF(AND(R558="WON",AS558=0),"⛔ Nachweis fehlt",IF(AND(ISNUMBER(O558),ISNUMBER(P558),P558&lt;O558),"⚠ Ende vor Start",IF(AND(R558="WON",AY558=0),"⛔ Zeitraum fehlt",IF(AR558=0,"○ Einstand offen",IF(AY558=0,"○ Zeitraum offen",IF(R558="WON","✅ belegt","✔ erfasst")))))))</f>
        <v/>
      </c>
    </row>
    <row r="559" customFormat="false" ht="15" hidden="false" customHeight="true" outlineLevel="0" collapsed="false">
      <c r="G559" s="1" t="str">
        <f aca="false">IF(B559="","",IF(AY559=1,P559-O559+1,IF(AW559="","",AW559)))</f>
        <v/>
      </c>
      <c r="I559" s="270"/>
      <c r="J559" s="270"/>
      <c r="K559" s="270"/>
      <c r="L559" s="270"/>
      <c r="M559" s="270"/>
      <c r="N559" s="270"/>
      <c r="O559" s="263"/>
      <c r="P559" s="263"/>
      <c r="Q559" s="270" t="str">
        <f aca="false">IF(AND(ISNUMBER(I559),ISNUMBER(S559)),I559*AJ559,IF(OR(I559&lt;&gt;"",S559&lt;&gt;""),"tbd",""))</f>
        <v/>
      </c>
      <c r="S559" s="268"/>
      <c r="Y559" s="275" t="str">
        <f aca="false">IF(ISNUMBER(I559),I559/Netto_Faktor,"")</f>
        <v/>
      </c>
      <c r="Z559" s="275" t="str">
        <f aca="false">IF(B559="","",IF(COUNT(J559:N559)=0,"",SUM(J559:N559)))</f>
        <v/>
      </c>
      <c r="AA559" s="266"/>
      <c r="AB559" s="266"/>
      <c r="AC559" s="266"/>
      <c r="AD559" s="266"/>
      <c r="AE559" s="266"/>
      <c r="AF559" s="266"/>
      <c r="AG559" s="267"/>
      <c r="AH559" s="266" t="str">
        <f aca="false">IF(B559="","",IF(BA559="",IF(R559="WON","✅ belegt &amp; vollständig","✔ vollständig"),LEFT(BA559,LEN(BA559)-3)))</f>
        <v/>
      </c>
      <c r="AJ559" s="268" t="n">
        <f aca="false">IF(ISNUMBER(S559),IFERROR(LOOKUP(IF(S559&lt;=1,S559,S559/100),'⚖️ Wahrscheinlichkeit'!$B$17:$B$21,'⚖️ Wahrscheinlichkeit'!$D$17:$D$21),0),0)</f>
        <v>0</v>
      </c>
      <c r="AK559" s="1" t="str">
        <f aca="false">IF(AND(R559="WON",ISNUMBER(I559)),AL559+(861-ROW())*0.000001,"")</f>
        <v/>
      </c>
      <c r="AL559" s="1" t="n">
        <f aca="false">IFERROR(I559*1,0)</f>
        <v>0</v>
      </c>
      <c r="AM559" s="1" t="n">
        <f aca="false">N(AM558)+IF(AND(R559="WON",B559&lt;&gt;""),1,0)</f>
        <v>12</v>
      </c>
      <c r="AN559" s="1" t="n">
        <f aca="false">N(AN558)+IF(AND(OR(R559="offered",R559="to be offered",R559="on hold"),B559&lt;&gt;""),1,0)</f>
        <v>33</v>
      </c>
      <c r="AO559" s="1" t="n">
        <f aca="false">N(AO558)+IF(AND(OR(R559="follow-up",R559="Evaluation",R559="tbd",R559="In evaluation"),B559&lt;&gt;""),1,0)</f>
        <v>1</v>
      </c>
      <c r="AP559" s="1" t="n">
        <f aca="false">IF(B559="",0,IF(COUNTIF('⚖️ Wahrscheinlichkeit'!$J$17:$J$24,R559)&gt;0,1,0))</f>
        <v>0</v>
      </c>
      <c r="AQ559" s="1" t="n">
        <f aca="false">IF(B559="",0,IF(AND(ISNUMBER(S559),COUNTIF('⚖️ Wahrscheinlichkeit'!$B$6:$B$11,S559)&gt;0),1,0))</f>
        <v>0</v>
      </c>
      <c r="AR559" s="1" t="n">
        <f aca="false">IF(B559="",0,IF(AND(COUNT(J559:M559)=4,SUM(J559:M559)&gt;0),1,0))</f>
        <v>0</v>
      </c>
      <c r="AS559" s="1" t="n">
        <f aca="false">IF(B559="",0,IF(AND(AF559&lt;&gt;"",AG559&lt;&gt;""),1,0))</f>
        <v>0</v>
      </c>
      <c r="AT559" s="1" t="n">
        <f aca="false">IF(AND(R559="WON",AS559=1,AR559=1),1,0)</f>
        <v>0</v>
      </c>
      <c r="AU559" s="1" t="n">
        <f aca="false">IF(B559="",0,IF(AD559="Alternative – zählt nicht",0,1))</f>
        <v>0</v>
      </c>
      <c r="AV559" s="1" t="n">
        <f aca="false">IF(B559="",0,IF(COUNTIF($B$6:$B$860,B559)&gt;1,1,0))</f>
        <v>0</v>
      </c>
      <c r="AX559" s="269" t="str">
        <f aca="false">IF(AY559=1,DATE(YEAR(O559),MONTH(O559),1),"")</f>
        <v/>
      </c>
      <c r="AY559" s="1" t="n">
        <f aca="false">IF(B559="",0,IF(AND(ISNUMBER(O559),ISNUMBER(P559)),IF(P559&gt;=O559,1,0),0))</f>
        <v>0</v>
      </c>
      <c r="AZ559" s="1" t="n">
        <f aca="false">IF(ISNUMBER(Y559),Y559,0)</f>
        <v>0</v>
      </c>
      <c r="BA559" s="1" t="str">
        <f aca="false">IF(B559="","",IF(AND(R559="WON",AS559=0),"⛔ Beleg fehlt · ","")&amp;IF(AND(R559="WON",AR559=0),"⛔ Einstand fehlt · ","")&amp;IF(AND(R559&lt;&gt;"WON",AR559=0),"○ Einstand offen · ","")&amp;IF(AND(R559="WON",AB559=""),"⛔ Vertragsart fehlt · ","")&amp;IF(AND(ISNUMBER(O559),ISNUMBER(P559)),IF(P559&lt;O559,"⚠ Ende vor Start · ",""),"")&amp;IF(AND(R559="WON",AY559=0,NOT(AND(ISNUMBER(O559),ISNUMBER(P559)))),"⛔ Zeitraum fehlt · ","")&amp;IF(AND(R559&lt;&gt;"WON",AY559=0,NOT(AND(ISNUMBER(O559),ISNUMBER(P559)))),"○ Zeitraum offen · ",""))</f>
        <v/>
      </c>
      <c r="BB559" s="1" t="str">
        <f aca="false">IF(B559="","",IF(AND(R559="WON",AS559=0),"⛔ Nachweis fehlt",IF(AND(ISNUMBER(O559),ISNUMBER(P559),P559&lt;O559),"⚠ Ende vor Start",IF(AND(R559="WON",AY559=0),"⛔ Zeitraum fehlt",IF(AR559=0,"○ Einstand offen",IF(AY559=0,"○ Zeitraum offen",IF(R559="WON","✅ belegt","✔ erfasst")))))))</f>
        <v/>
      </c>
    </row>
    <row r="560" customFormat="false" ht="15" hidden="false" customHeight="true" outlineLevel="0" collapsed="false">
      <c r="G560" s="1" t="str">
        <f aca="false">IF(B560="","",IF(AY560=1,P560-O560+1,IF(AW560="","",AW560)))</f>
        <v/>
      </c>
      <c r="I560" s="270"/>
      <c r="J560" s="270"/>
      <c r="K560" s="270"/>
      <c r="L560" s="270"/>
      <c r="M560" s="270"/>
      <c r="N560" s="270"/>
      <c r="O560" s="263"/>
      <c r="P560" s="263"/>
      <c r="Q560" s="270" t="str">
        <f aca="false">IF(AND(ISNUMBER(I560),ISNUMBER(S560)),I560*AJ560,IF(OR(I560&lt;&gt;"",S560&lt;&gt;""),"tbd",""))</f>
        <v/>
      </c>
      <c r="S560" s="268"/>
      <c r="Y560" s="275" t="str">
        <f aca="false">IF(ISNUMBER(I560),I560/Netto_Faktor,"")</f>
        <v/>
      </c>
      <c r="Z560" s="275" t="str">
        <f aca="false">IF(B560="","",IF(COUNT(J560:N560)=0,"",SUM(J560:N560)))</f>
        <v/>
      </c>
      <c r="AA560" s="266"/>
      <c r="AB560" s="266"/>
      <c r="AC560" s="266"/>
      <c r="AD560" s="266"/>
      <c r="AE560" s="266"/>
      <c r="AF560" s="266"/>
      <c r="AG560" s="267"/>
      <c r="AH560" s="266" t="str">
        <f aca="false">IF(B560="","",IF(BA560="",IF(R560="WON","✅ belegt &amp; vollständig","✔ vollständig"),LEFT(BA560,LEN(BA560)-3)))</f>
        <v/>
      </c>
      <c r="AJ560" s="268" t="n">
        <f aca="false">IF(ISNUMBER(S560),IFERROR(LOOKUP(IF(S560&lt;=1,S560,S560/100),'⚖️ Wahrscheinlichkeit'!$B$17:$B$21,'⚖️ Wahrscheinlichkeit'!$D$17:$D$21),0),0)</f>
        <v>0</v>
      </c>
      <c r="AK560" s="1" t="str">
        <f aca="false">IF(AND(R560="WON",ISNUMBER(I560)),AL560+(861-ROW())*0.000001,"")</f>
        <v/>
      </c>
      <c r="AL560" s="1" t="n">
        <f aca="false">IFERROR(I560*1,0)</f>
        <v>0</v>
      </c>
      <c r="AM560" s="1" t="n">
        <f aca="false">N(AM559)+IF(AND(R560="WON",B560&lt;&gt;""),1,0)</f>
        <v>12</v>
      </c>
      <c r="AN560" s="1" t="n">
        <f aca="false">N(AN559)+IF(AND(OR(R560="offered",R560="to be offered",R560="on hold"),B560&lt;&gt;""),1,0)</f>
        <v>33</v>
      </c>
      <c r="AO560" s="1" t="n">
        <f aca="false">N(AO559)+IF(AND(OR(R560="follow-up",R560="Evaluation",R560="tbd",R560="In evaluation"),B560&lt;&gt;""),1,0)</f>
        <v>1</v>
      </c>
      <c r="AP560" s="1" t="n">
        <f aca="false">IF(B560="",0,IF(COUNTIF('⚖️ Wahrscheinlichkeit'!$J$17:$J$24,R560)&gt;0,1,0))</f>
        <v>0</v>
      </c>
      <c r="AQ560" s="1" t="n">
        <f aca="false">IF(B560="",0,IF(AND(ISNUMBER(S560),COUNTIF('⚖️ Wahrscheinlichkeit'!$B$6:$B$11,S560)&gt;0),1,0))</f>
        <v>0</v>
      </c>
      <c r="AR560" s="1" t="n">
        <f aca="false">IF(B560="",0,IF(AND(COUNT(J560:M560)=4,SUM(J560:M560)&gt;0),1,0))</f>
        <v>0</v>
      </c>
      <c r="AS560" s="1" t="n">
        <f aca="false">IF(B560="",0,IF(AND(AF560&lt;&gt;"",AG560&lt;&gt;""),1,0))</f>
        <v>0</v>
      </c>
      <c r="AT560" s="1" t="n">
        <f aca="false">IF(AND(R560="WON",AS560=1,AR560=1),1,0)</f>
        <v>0</v>
      </c>
      <c r="AU560" s="1" t="n">
        <f aca="false">IF(B560="",0,IF(AD560="Alternative – zählt nicht",0,1))</f>
        <v>0</v>
      </c>
      <c r="AV560" s="1" t="n">
        <f aca="false">IF(B560="",0,IF(COUNTIF($B$6:$B$860,B560)&gt;1,1,0))</f>
        <v>0</v>
      </c>
      <c r="AX560" s="269" t="str">
        <f aca="false">IF(AY560=1,DATE(YEAR(O560),MONTH(O560),1),"")</f>
        <v/>
      </c>
      <c r="AY560" s="1" t="n">
        <f aca="false">IF(B560="",0,IF(AND(ISNUMBER(O560),ISNUMBER(P560)),IF(P560&gt;=O560,1,0),0))</f>
        <v>0</v>
      </c>
      <c r="AZ560" s="1" t="n">
        <f aca="false">IF(ISNUMBER(Y560),Y560,0)</f>
        <v>0</v>
      </c>
      <c r="BA560" s="1" t="str">
        <f aca="false">IF(B560="","",IF(AND(R560="WON",AS560=0),"⛔ Beleg fehlt · ","")&amp;IF(AND(R560="WON",AR560=0),"⛔ Einstand fehlt · ","")&amp;IF(AND(R560&lt;&gt;"WON",AR560=0),"○ Einstand offen · ","")&amp;IF(AND(R560="WON",AB560=""),"⛔ Vertragsart fehlt · ","")&amp;IF(AND(ISNUMBER(O560),ISNUMBER(P560)),IF(P560&lt;O560,"⚠ Ende vor Start · ",""),"")&amp;IF(AND(R560="WON",AY560=0,NOT(AND(ISNUMBER(O560),ISNUMBER(P560)))),"⛔ Zeitraum fehlt · ","")&amp;IF(AND(R560&lt;&gt;"WON",AY560=0,NOT(AND(ISNUMBER(O560),ISNUMBER(P560)))),"○ Zeitraum offen · ",""))</f>
        <v/>
      </c>
      <c r="BB560" s="1" t="str">
        <f aca="false">IF(B560="","",IF(AND(R560="WON",AS560=0),"⛔ Nachweis fehlt",IF(AND(ISNUMBER(O560),ISNUMBER(P560),P560&lt;O560),"⚠ Ende vor Start",IF(AND(R560="WON",AY560=0),"⛔ Zeitraum fehlt",IF(AR560=0,"○ Einstand offen",IF(AY560=0,"○ Zeitraum offen",IF(R560="WON","✅ belegt","✔ erfasst")))))))</f>
        <v/>
      </c>
    </row>
    <row r="561" customFormat="false" ht="15" hidden="false" customHeight="true" outlineLevel="0" collapsed="false">
      <c r="G561" s="1" t="str">
        <f aca="false">IF(B561="","",IF(AY561=1,P561-O561+1,IF(AW561="","",AW561)))</f>
        <v/>
      </c>
      <c r="I561" s="270"/>
      <c r="J561" s="270"/>
      <c r="K561" s="270"/>
      <c r="L561" s="270"/>
      <c r="M561" s="270"/>
      <c r="N561" s="270"/>
      <c r="O561" s="263"/>
      <c r="P561" s="263"/>
      <c r="Q561" s="270" t="str">
        <f aca="false">IF(AND(ISNUMBER(I561),ISNUMBER(S561)),I561*AJ561,IF(OR(I561&lt;&gt;"",S561&lt;&gt;""),"tbd",""))</f>
        <v/>
      </c>
      <c r="S561" s="268"/>
      <c r="Y561" s="275" t="str">
        <f aca="false">IF(ISNUMBER(I561),I561/Netto_Faktor,"")</f>
        <v/>
      </c>
      <c r="Z561" s="275" t="str">
        <f aca="false">IF(B561="","",IF(COUNT(J561:N561)=0,"",SUM(J561:N561)))</f>
        <v/>
      </c>
      <c r="AA561" s="266"/>
      <c r="AB561" s="266"/>
      <c r="AC561" s="266"/>
      <c r="AD561" s="266"/>
      <c r="AE561" s="266"/>
      <c r="AF561" s="266"/>
      <c r="AG561" s="267"/>
      <c r="AH561" s="266" t="str">
        <f aca="false">IF(B561="","",IF(BA561="",IF(R561="WON","✅ belegt &amp; vollständig","✔ vollständig"),LEFT(BA561,LEN(BA561)-3)))</f>
        <v/>
      </c>
      <c r="AJ561" s="268" t="n">
        <f aca="false">IF(ISNUMBER(S561),IFERROR(LOOKUP(IF(S561&lt;=1,S561,S561/100),'⚖️ Wahrscheinlichkeit'!$B$17:$B$21,'⚖️ Wahrscheinlichkeit'!$D$17:$D$21),0),0)</f>
        <v>0</v>
      </c>
      <c r="AK561" s="1" t="str">
        <f aca="false">IF(AND(R561="WON",ISNUMBER(I561)),AL561+(861-ROW())*0.000001,"")</f>
        <v/>
      </c>
      <c r="AL561" s="1" t="n">
        <f aca="false">IFERROR(I561*1,0)</f>
        <v>0</v>
      </c>
      <c r="AM561" s="1" t="n">
        <f aca="false">N(AM560)+IF(AND(R561="WON",B561&lt;&gt;""),1,0)</f>
        <v>12</v>
      </c>
      <c r="AN561" s="1" t="n">
        <f aca="false">N(AN560)+IF(AND(OR(R561="offered",R561="to be offered",R561="on hold"),B561&lt;&gt;""),1,0)</f>
        <v>33</v>
      </c>
      <c r="AO561" s="1" t="n">
        <f aca="false">N(AO560)+IF(AND(OR(R561="follow-up",R561="Evaluation",R561="tbd",R561="In evaluation"),B561&lt;&gt;""),1,0)</f>
        <v>1</v>
      </c>
      <c r="AP561" s="1" t="n">
        <f aca="false">IF(B561="",0,IF(COUNTIF('⚖️ Wahrscheinlichkeit'!$J$17:$J$24,R561)&gt;0,1,0))</f>
        <v>0</v>
      </c>
      <c r="AQ561" s="1" t="n">
        <f aca="false">IF(B561="",0,IF(AND(ISNUMBER(S561),COUNTIF('⚖️ Wahrscheinlichkeit'!$B$6:$B$11,S561)&gt;0),1,0))</f>
        <v>0</v>
      </c>
      <c r="AR561" s="1" t="n">
        <f aca="false">IF(B561="",0,IF(AND(COUNT(J561:M561)=4,SUM(J561:M561)&gt;0),1,0))</f>
        <v>0</v>
      </c>
      <c r="AS561" s="1" t="n">
        <f aca="false">IF(B561="",0,IF(AND(AF561&lt;&gt;"",AG561&lt;&gt;""),1,0))</f>
        <v>0</v>
      </c>
      <c r="AT561" s="1" t="n">
        <f aca="false">IF(AND(R561="WON",AS561=1,AR561=1),1,0)</f>
        <v>0</v>
      </c>
      <c r="AU561" s="1" t="n">
        <f aca="false">IF(B561="",0,IF(AD561="Alternative – zählt nicht",0,1))</f>
        <v>0</v>
      </c>
      <c r="AV561" s="1" t="n">
        <f aca="false">IF(B561="",0,IF(COUNTIF($B$6:$B$860,B561)&gt;1,1,0))</f>
        <v>0</v>
      </c>
      <c r="AX561" s="269" t="str">
        <f aca="false">IF(AY561=1,DATE(YEAR(O561),MONTH(O561),1),"")</f>
        <v/>
      </c>
      <c r="AY561" s="1" t="n">
        <f aca="false">IF(B561="",0,IF(AND(ISNUMBER(O561),ISNUMBER(P561)),IF(P561&gt;=O561,1,0),0))</f>
        <v>0</v>
      </c>
      <c r="AZ561" s="1" t="n">
        <f aca="false">IF(ISNUMBER(Y561),Y561,0)</f>
        <v>0</v>
      </c>
      <c r="BA561" s="1" t="str">
        <f aca="false">IF(B561="","",IF(AND(R561="WON",AS561=0),"⛔ Beleg fehlt · ","")&amp;IF(AND(R561="WON",AR561=0),"⛔ Einstand fehlt · ","")&amp;IF(AND(R561&lt;&gt;"WON",AR561=0),"○ Einstand offen · ","")&amp;IF(AND(R561="WON",AB561=""),"⛔ Vertragsart fehlt · ","")&amp;IF(AND(ISNUMBER(O561),ISNUMBER(P561)),IF(P561&lt;O561,"⚠ Ende vor Start · ",""),"")&amp;IF(AND(R561="WON",AY561=0,NOT(AND(ISNUMBER(O561),ISNUMBER(P561)))),"⛔ Zeitraum fehlt · ","")&amp;IF(AND(R561&lt;&gt;"WON",AY561=0,NOT(AND(ISNUMBER(O561),ISNUMBER(P561)))),"○ Zeitraum offen · ",""))</f>
        <v/>
      </c>
      <c r="BB561" s="1" t="str">
        <f aca="false">IF(B561="","",IF(AND(R561="WON",AS561=0),"⛔ Nachweis fehlt",IF(AND(ISNUMBER(O561),ISNUMBER(P561),P561&lt;O561),"⚠ Ende vor Start",IF(AND(R561="WON",AY561=0),"⛔ Zeitraum fehlt",IF(AR561=0,"○ Einstand offen",IF(AY561=0,"○ Zeitraum offen",IF(R561="WON","✅ belegt","✔ erfasst")))))))</f>
        <v/>
      </c>
    </row>
    <row r="562" customFormat="false" ht="15" hidden="false" customHeight="true" outlineLevel="0" collapsed="false">
      <c r="G562" s="1" t="str">
        <f aca="false">IF(B562="","",IF(AY562=1,P562-O562+1,IF(AW562="","",AW562)))</f>
        <v/>
      </c>
      <c r="I562" s="270"/>
      <c r="J562" s="270"/>
      <c r="K562" s="270"/>
      <c r="L562" s="270"/>
      <c r="M562" s="270"/>
      <c r="N562" s="270"/>
      <c r="O562" s="263"/>
      <c r="P562" s="263"/>
      <c r="Q562" s="270" t="str">
        <f aca="false">IF(AND(ISNUMBER(I562),ISNUMBER(S562)),I562*AJ562,IF(OR(I562&lt;&gt;"",S562&lt;&gt;""),"tbd",""))</f>
        <v/>
      </c>
      <c r="S562" s="268"/>
      <c r="Y562" s="275" t="str">
        <f aca="false">IF(ISNUMBER(I562),I562/Netto_Faktor,"")</f>
        <v/>
      </c>
      <c r="Z562" s="275" t="str">
        <f aca="false">IF(B562="","",IF(COUNT(J562:N562)=0,"",SUM(J562:N562)))</f>
        <v/>
      </c>
      <c r="AA562" s="266"/>
      <c r="AB562" s="266"/>
      <c r="AC562" s="266"/>
      <c r="AD562" s="266"/>
      <c r="AE562" s="266"/>
      <c r="AF562" s="266"/>
      <c r="AG562" s="267"/>
      <c r="AH562" s="266" t="str">
        <f aca="false">IF(B562="","",IF(BA562="",IF(R562="WON","✅ belegt &amp; vollständig","✔ vollständig"),LEFT(BA562,LEN(BA562)-3)))</f>
        <v/>
      </c>
      <c r="AJ562" s="268" t="n">
        <f aca="false">IF(ISNUMBER(S562),IFERROR(LOOKUP(IF(S562&lt;=1,S562,S562/100),'⚖️ Wahrscheinlichkeit'!$B$17:$B$21,'⚖️ Wahrscheinlichkeit'!$D$17:$D$21),0),0)</f>
        <v>0</v>
      </c>
      <c r="AK562" s="1" t="str">
        <f aca="false">IF(AND(R562="WON",ISNUMBER(I562)),AL562+(861-ROW())*0.000001,"")</f>
        <v/>
      </c>
      <c r="AL562" s="1" t="n">
        <f aca="false">IFERROR(I562*1,0)</f>
        <v>0</v>
      </c>
      <c r="AM562" s="1" t="n">
        <f aca="false">N(AM561)+IF(AND(R562="WON",B562&lt;&gt;""),1,0)</f>
        <v>12</v>
      </c>
      <c r="AN562" s="1" t="n">
        <f aca="false">N(AN561)+IF(AND(OR(R562="offered",R562="to be offered",R562="on hold"),B562&lt;&gt;""),1,0)</f>
        <v>33</v>
      </c>
      <c r="AO562" s="1" t="n">
        <f aca="false">N(AO561)+IF(AND(OR(R562="follow-up",R562="Evaluation",R562="tbd",R562="In evaluation"),B562&lt;&gt;""),1,0)</f>
        <v>1</v>
      </c>
      <c r="AP562" s="1" t="n">
        <f aca="false">IF(B562="",0,IF(COUNTIF('⚖️ Wahrscheinlichkeit'!$J$17:$J$24,R562)&gt;0,1,0))</f>
        <v>0</v>
      </c>
      <c r="AQ562" s="1" t="n">
        <f aca="false">IF(B562="",0,IF(AND(ISNUMBER(S562),COUNTIF('⚖️ Wahrscheinlichkeit'!$B$6:$B$11,S562)&gt;0),1,0))</f>
        <v>0</v>
      </c>
      <c r="AR562" s="1" t="n">
        <f aca="false">IF(B562="",0,IF(AND(COUNT(J562:M562)=4,SUM(J562:M562)&gt;0),1,0))</f>
        <v>0</v>
      </c>
      <c r="AS562" s="1" t="n">
        <f aca="false">IF(B562="",0,IF(AND(AF562&lt;&gt;"",AG562&lt;&gt;""),1,0))</f>
        <v>0</v>
      </c>
      <c r="AT562" s="1" t="n">
        <f aca="false">IF(AND(R562="WON",AS562=1,AR562=1),1,0)</f>
        <v>0</v>
      </c>
      <c r="AU562" s="1" t="n">
        <f aca="false">IF(B562="",0,IF(AD562="Alternative – zählt nicht",0,1))</f>
        <v>0</v>
      </c>
      <c r="AV562" s="1" t="n">
        <f aca="false">IF(B562="",0,IF(COUNTIF($B$6:$B$860,B562)&gt;1,1,0))</f>
        <v>0</v>
      </c>
      <c r="AX562" s="269" t="str">
        <f aca="false">IF(AY562=1,DATE(YEAR(O562),MONTH(O562),1),"")</f>
        <v/>
      </c>
      <c r="AY562" s="1" t="n">
        <f aca="false">IF(B562="",0,IF(AND(ISNUMBER(O562),ISNUMBER(P562)),IF(P562&gt;=O562,1,0),0))</f>
        <v>0</v>
      </c>
      <c r="AZ562" s="1" t="n">
        <f aca="false">IF(ISNUMBER(Y562),Y562,0)</f>
        <v>0</v>
      </c>
      <c r="BA562" s="1" t="str">
        <f aca="false">IF(B562="","",IF(AND(R562="WON",AS562=0),"⛔ Beleg fehlt · ","")&amp;IF(AND(R562="WON",AR562=0),"⛔ Einstand fehlt · ","")&amp;IF(AND(R562&lt;&gt;"WON",AR562=0),"○ Einstand offen · ","")&amp;IF(AND(R562="WON",AB562=""),"⛔ Vertragsart fehlt · ","")&amp;IF(AND(ISNUMBER(O562),ISNUMBER(P562)),IF(P562&lt;O562,"⚠ Ende vor Start · ",""),"")&amp;IF(AND(R562="WON",AY562=0,NOT(AND(ISNUMBER(O562),ISNUMBER(P562)))),"⛔ Zeitraum fehlt · ","")&amp;IF(AND(R562&lt;&gt;"WON",AY562=0,NOT(AND(ISNUMBER(O562),ISNUMBER(P562)))),"○ Zeitraum offen · ",""))</f>
        <v/>
      </c>
      <c r="BB562" s="1" t="str">
        <f aca="false">IF(B562="","",IF(AND(R562="WON",AS562=0),"⛔ Nachweis fehlt",IF(AND(ISNUMBER(O562),ISNUMBER(P562),P562&lt;O562),"⚠ Ende vor Start",IF(AND(R562="WON",AY562=0),"⛔ Zeitraum fehlt",IF(AR562=0,"○ Einstand offen",IF(AY562=0,"○ Zeitraum offen",IF(R562="WON","✅ belegt","✔ erfasst")))))))</f>
        <v/>
      </c>
    </row>
    <row r="563" customFormat="false" ht="15" hidden="false" customHeight="true" outlineLevel="0" collapsed="false">
      <c r="G563" s="1" t="str">
        <f aca="false">IF(B563="","",IF(AY563=1,P563-O563+1,IF(AW563="","",AW563)))</f>
        <v/>
      </c>
      <c r="I563" s="270"/>
      <c r="J563" s="270"/>
      <c r="K563" s="270"/>
      <c r="L563" s="270"/>
      <c r="M563" s="270"/>
      <c r="N563" s="270"/>
      <c r="O563" s="263"/>
      <c r="P563" s="263"/>
      <c r="Q563" s="270" t="str">
        <f aca="false">IF(AND(ISNUMBER(I563),ISNUMBER(S563)),I563*AJ563,IF(OR(I563&lt;&gt;"",S563&lt;&gt;""),"tbd",""))</f>
        <v/>
      </c>
      <c r="S563" s="268"/>
      <c r="Y563" s="275" t="str">
        <f aca="false">IF(ISNUMBER(I563),I563/Netto_Faktor,"")</f>
        <v/>
      </c>
      <c r="Z563" s="275" t="str">
        <f aca="false">IF(B563="","",IF(COUNT(J563:N563)=0,"",SUM(J563:N563)))</f>
        <v/>
      </c>
      <c r="AA563" s="266"/>
      <c r="AB563" s="266"/>
      <c r="AC563" s="266"/>
      <c r="AD563" s="266"/>
      <c r="AE563" s="266"/>
      <c r="AF563" s="266"/>
      <c r="AG563" s="267"/>
      <c r="AH563" s="266" t="str">
        <f aca="false">IF(B563="","",IF(BA563="",IF(R563="WON","✅ belegt &amp; vollständig","✔ vollständig"),LEFT(BA563,LEN(BA563)-3)))</f>
        <v/>
      </c>
      <c r="AJ563" s="268" t="n">
        <f aca="false">IF(ISNUMBER(S563),IFERROR(LOOKUP(IF(S563&lt;=1,S563,S563/100),'⚖️ Wahrscheinlichkeit'!$B$17:$B$21,'⚖️ Wahrscheinlichkeit'!$D$17:$D$21),0),0)</f>
        <v>0</v>
      </c>
      <c r="AK563" s="1" t="str">
        <f aca="false">IF(AND(R563="WON",ISNUMBER(I563)),AL563+(861-ROW())*0.000001,"")</f>
        <v/>
      </c>
      <c r="AL563" s="1" t="n">
        <f aca="false">IFERROR(I563*1,0)</f>
        <v>0</v>
      </c>
      <c r="AM563" s="1" t="n">
        <f aca="false">N(AM562)+IF(AND(R563="WON",B563&lt;&gt;""),1,0)</f>
        <v>12</v>
      </c>
      <c r="AN563" s="1" t="n">
        <f aca="false">N(AN562)+IF(AND(OR(R563="offered",R563="to be offered",R563="on hold"),B563&lt;&gt;""),1,0)</f>
        <v>33</v>
      </c>
      <c r="AO563" s="1" t="n">
        <f aca="false">N(AO562)+IF(AND(OR(R563="follow-up",R563="Evaluation",R563="tbd",R563="In evaluation"),B563&lt;&gt;""),1,0)</f>
        <v>1</v>
      </c>
      <c r="AP563" s="1" t="n">
        <f aca="false">IF(B563="",0,IF(COUNTIF('⚖️ Wahrscheinlichkeit'!$J$17:$J$24,R563)&gt;0,1,0))</f>
        <v>0</v>
      </c>
      <c r="AQ563" s="1" t="n">
        <f aca="false">IF(B563="",0,IF(AND(ISNUMBER(S563),COUNTIF('⚖️ Wahrscheinlichkeit'!$B$6:$B$11,S563)&gt;0),1,0))</f>
        <v>0</v>
      </c>
      <c r="AR563" s="1" t="n">
        <f aca="false">IF(B563="",0,IF(AND(COUNT(J563:M563)=4,SUM(J563:M563)&gt;0),1,0))</f>
        <v>0</v>
      </c>
      <c r="AS563" s="1" t="n">
        <f aca="false">IF(B563="",0,IF(AND(AF563&lt;&gt;"",AG563&lt;&gt;""),1,0))</f>
        <v>0</v>
      </c>
      <c r="AT563" s="1" t="n">
        <f aca="false">IF(AND(R563="WON",AS563=1,AR563=1),1,0)</f>
        <v>0</v>
      </c>
      <c r="AU563" s="1" t="n">
        <f aca="false">IF(B563="",0,IF(AD563="Alternative – zählt nicht",0,1))</f>
        <v>0</v>
      </c>
      <c r="AV563" s="1" t="n">
        <f aca="false">IF(B563="",0,IF(COUNTIF($B$6:$B$860,B563)&gt;1,1,0))</f>
        <v>0</v>
      </c>
      <c r="AX563" s="269" t="str">
        <f aca="false">IF(AY563=1,DATE(YEAR(O563),MONTH(O563),1),"")</f>
        <v/>
      </c>
      <c r="AY563" s="1" t="n">
        <f aca="false">IF(B563="",0,IF(AND(ISNUMBER(O563),ISNUMBER(P563)),IF(P563&gt;=O563,1,0),0))</f>
        <v>0</v>
      </c>
      <c r="AZ563" s="1" t="n">
        <f aca="false">IF(ISNUMBER(Y563),Y563,0)</f>
        <v>0</v>
      </c>
      <c r="BA563" s="1" t="str">
        <f aca="false">IF(B563="","",IF(AND(R563="WON",AS563=0),"⛔ Beleg fehlt · ","")&amp;IF(AND(R563="WON",AR563=0),"⛔ Einstand fehlt · ","")&amp;IF(AND(R563&lt;&gt;"WON",AR563=0),"○ Einstand offen · ","")&amp;IF(AND(R563="WON",AB563=""),"⛔ Vertragsart fehlt · ","")&amp;IF(AND(ISNUMBER(O563),ISNUMBER(P563)),IF(P563&lt;O563,"⚠ Ende vor Start · ",""),"")&amp;IF(AND(R563="WON",AY563=0,NOT(AND(ISNUMBER(O563),ISNUMBER(P563)))),"⛔ Zeitraum fehlt · ","")&amp;IF(AND(R563&lt;&gt;"WON",AY563=0,NOT(AND(ISNUMBER(O563),ISNUMBER(P563)))),"○ Zeitraum offen · ",""))</f>
        <v/>
      </c>
      <c r="BB563" s="1" t="str">
        <f aca="false">IF(B563="","",IF(AND(R563="WON",AS563=0),"⛔ Nachweis fehlt",IF(AND(ISNUMBER(O563),ISNUMBER(P563),P563&lt;O563),"⚠ Ende vor Start",IF(AND(R563="WON",AY563=0),"⛔ Zeitraum fehlt",IF(AR563=0,"○ Einstand offen",IF(AY563=0,"○ Zeitraum offen",IF(R563="WON","✅ belegt","✔ erfasst")))))))</f>
        <v/>
      </c>
    </row>
    <row r="564" customFormat="false" ht="15" hidden="false" customHeight="true" outlineLevel="0" collapsed="false">
      <c r="G564" s="1" t="str">
        <f aca="false">IF(B564="","",IF(AY564=1,P564-O564+1,IF(AW564="","",AW564)))</f>
        <v/>
      </c>
      <c r="I564" s="270"/>
      <c r="J564" s="270"/>
      <c r="K564" s="270"/>
      <c r="L564" s="270"/>
      <c r="M564" s="270"/>
      <c r="N564" s="270"/>
      <c r="O564" s="263"/>
      <c r="P564" s="263"/>
      <c r="Q564" s="270" t="str">
        <f aca="false">IF(AND(ISNUMBER(I564),ISNUMBER(S564)),I564*AJ564,IF(OR(I564&lt;&gt;"",S564&lt;&gt;""),"tbd",""))</f>
        <v/>
      </c>
      <c r="S564" s="268"/>
      <c r="Y564" s="275" t="str">
        <f aca="false">IF(ISNUMBER(I564),I564/Netto_Faktor,"")</f>
        <v/>
      </c>
      <c r="Z564" s="275" t="str">
        <f aca="false">IF(B564="","",IF(COUNT(J564:N564)=0,"",SUM(J564:N564)))</f>
        <v/>
      </c>
      <c r="AA564" s="266"/>
      <c r="AB564" s="266"/>
      <c r="AC564" s="266"/>
      <c r="AD564" s="266"/>
      <c r="AE564" s="266"/>
      <c r="AF564" s="266"/>
      <c r="AG564" s="267"/>
      <c r="AH564" s="266" t="str">
        <f aca="false">IF(B564="","",IF(BA564="",IF(R564="WON","✅ belegt &amp; vollständig","✔ vollständig"),LEFT(BA564,LEN(BA564)-3)))</f>
        <v/>
      </c>
      <c r="AJ564" s="268" t="n">
        <f aca="false">IF(ISNUMBER(S564),IFERROR(LOOKUP(IF(S564&lt;=1,S564,S564/100),'⚖️ Wahrscheinlichkeit'!$B$17:$B$21,'⚖️ Wahrscheinlichkeit'!$D$17:$D$21),0),0)</f>
        <v>0</v>
      </c>
      <c r="AK564" s="1" t="str">
        <f aca="false">IF(AND(R564="WON",ISNUMBER(I564)),AL564+(861-ROW())*0.000001,"")</f>
        <v/>
      </c>
      <c r="AL564" s="1" t="n">
        <f aca="false">IFERROR(I564*1,0)</f>
        <v>0</v>
      </c>
      <c r="AM564" s="1" t="n">
        <f aca="false">N(AM563)+IF(AND(R564="WON",B564&lt;&gt;""),1,0)</f>
        <v>12</v>
      </c>
      <c r="AN564" s="1" t="n">
        <f aca="false">N(AN563)+IF(AND(OR(R564="offered",R564="to be offered",R564="on hold"),B564&lt;&gt;""),1,0)</f>
        <v>33</v>
      </c>
      <c r="AO564" s="1" t="n">
        <f aca="false">N(AO563)+IF(AND(OR(R564="follow-up",R564="Evaluation",R564="tbd",R564="In evaluation"),B564&lt;&gt;""),1,0)</f>
        <v>1</v>
      </c>
      <c r="AP564" s="1" t="n">
        <f aca="false">IF(B564="",0,IF(COUNTIF('⚖️ Wahrscheinlichkeit'!$J$17:$J$24,R564)&gt;0,1,0))</f>
        <v>0</v>
      </c>
      <c r="AQ564" s="1" t="n">
        <f aca="false">IF(B564="",0,IF(AND(ISNUMBER(S564),COUNTIF('⚖️ Wahrscheinlichkeit'!$B$6:$B$11,S564)&gt;0),1,0))</f>
        <v>0</v>
      </c>
      <c r="AR564" s="1" t="n">
        <f aca="false">IF(B564="",0,IF(AND(COUNT(J564:M564)=4,SUM(J564:M564)&gt;0),1,0))</f>
        <v>0</v>
      </c>
      <c r="AS564" s="1" t="n">
        <f aca="false">IF(B564="",0,IF(AND(AF564&lt;&gt;"",AG564&lt;&gt;""),1,0))</f>
        <v>0</v>
      </c>
      <c r="AT564" s="1" t="n">
        <f aca="false">IF(AND(R564="WON",AS564=1,AR564=1),1,0)</f>
        <v>0</v>
      </c>
      <c r="AU564" s="1" t="n">
        <f aca="false">IF(B564="",0,IF(AD564="Alternative – zählt nicht",0,1))</f>
        <v>0</v>
      </c>
      <c r="AV564" s="1" t="n">
        <f aca="false">IF(B564="",0,IF(COUNTIF($B$6:$B$860,B564)&gt;1,1,0))</f>
        <v>0</v>
      </c>
      <c r="AX564" s="269" t="str">
        <f aca="false">IF(AY564=1,DATE(YEAR(O564),MONTH(O564),1),"")</f>
        <v/>
      </c>
      <c r="AY564" s="1" t="n">
        <f aca="false">IF(B564="",0,IF(AND(ISNUMBER(O564),ISNUMBER(P564)),IF(P564&gt;=O564,1,0),0))</f>
        <v>0</v>
      </c>
      <c r="AZ564" s="1" t="n">
        <f aca="false">IF(ISNUMBER(Y564),Y564,0)</f>
        <v>0</v>
      </c>
      <c r="BA564" s="1" t="str">
        <f aca="false">IF(B564="","",IF(AND(R564="WON",AS564=0),"⛔ Beleg fehlt · ","")&amp;IF(AND(R564="WON",AR564=0),"⛔ Einstand fehlt · ","")&amp;IF(AND(R564&lt;&gt;"WON",AR564=0),"○ Einstand offen · ","")&amp;IF(AND(R564="WON",AB564=""),"⛔ Vertragsart fehlt · ","")&amp;IF(AND(ISNUMBER(O564),ISNUMBER(P564)),IF(P564&lt;O564,"⚠ Ende vor Start · ",""),"")&amp;IF(AND(R564="WON",AY564=0,NOT(AND(ISNUMBER(O564),ISNUMBER(P564)))),"⛔ Zeitraum fehlt · ","")&amp;IF(AND(R564&lt;&gt;"WON",AY564=0,NOT(AND(ISNUMBER(O564),ISNUMBER(P564)))),"○ Zeitraum offen · ",""))</f>
        <v/>
      </c>
      <c r="BB564" s="1" t="str">
        <f aca="false">IF(B564="","",IF(AND(R564="WON",AS564=0),"⛔ Nachweis fehlt",IF(AND(ISNUMBER(O564),ISNUMBER(P564),P564&lt;O564),"⚠ Ende vor Start",IF(AND(R564="WON",AY564=0),"⛔ Zeitraum fehlt",IF(AR564=0,"○ Einstand offen",IF(AY564=0,"○ Zeitraum offen",IF(R564="WON","✅ belegt","✔ erfasst")))))))</f>
        <v/>
      </c>
    </row>
    <row r="565" customFormat="false" ht="15" hidden="false" customHeight="true" outlineLevel="0" collapsed="false">
      <c r="G565" s="1" t="str">
        <f aca="false">IF(B565="","",IF(AY565=1,P565-O565+1,IF(AW565="","",AW565)))</f>
        <v/>
      </c>
      <c r="I565" s="270"/>
      <c r="J565" s="270"/>
      <c r="K565" s="270"/>
      <c r="L565" s="270"/>
      <c r="M565" s="270"/>
      <c r="N565" s="270"/>
      <c r="O565" s="263"/>
      <c r="P565" s="263"/>
      <c r="Q565" s="270" t="str">
        <f aca="false">IF(AND(ISNUMBER(I565),ISNUMBER(S565)),I565*AJ565,IF(OR(I565&lt;&gt;"",S565&lt;&gt;""),"tbd",""))</f>
        <v/>
      </c>
      <c r="S565" s="268"/>
      <c r="Y565" s="275" t="str">
        <f aca="false">IF(ISNUMBER(I565),I565/Netto_Faktor,"")</f>
        <v/>
      </c>
      <c r="Z565" s="275" t="str">
        <f aca="false">IF(B565="","",IF(COUNT(J565:N565)=0,"",SUM(J565:N565)))</f>
        <v/>
      </c>
      <c r="AA565" s="266"/>
      <c r="AB565" s="266"/>
      <c r="AC565" s="266"/>
      <c r="AD565" s="266"/>
      <c r="AE565" s="266"/>
      <c r="AF565" s="266"/>
      <c r="AG565" s="267"/>
      <c r="AH565" s="266" t="str">
        <f aca="false">IF(B565="","",IF(BA565="",IF(R565="WON","✅ belegt &amp; vollständig","✔ vollständig"),LEFT(BA565,LEN(BA565)-3)))</f>
        <v/>
      </c>
      <c r="AJ565" s="268" t="n">
        <f aca="false">IF(ISNUMBER(S565),IFERROR(LOOKUP(IF(S565&lt;=1,S565,S565/100),'⚖️ Wahrscheinlichkeit'!$B$17:$B$21,'⚖️ Wahrscheinlichkeit'!$D$17:$D$21),0),0)</f>
        <v>0</v>
      </c>
      <c r="AK565" s="1" t="str">
        <f aca="false">IF(AND(R565="WON",ISNUMBER(I565)),AL565+(861-ROW())*0.000001,"")</f>
        <v/>
      </c>
      <c r="AL565" s="1" t="n">
        <f aca="false">IFERROR(I565*1,0)</f>
        <v>0</v>
      </c>
      <c r="AM565" s="1" t="n">
        <f aca="false">N(AM564)+IF(AND(R565="WON",B565&lt;&gt;""),1,0)</f>
        <v>12</v>
      </c>
      <c r="AN565" s="1" t="n">
        <f aca="false">N(AN564)+IF(AND(OR(R565="offered",R565="to be offered",R565="on hold"),B565&lt;&gt;""),1,0)</f>
        <v>33</v>
      </c>
      <c r="AO565" s="1" t="n">
        <f aca="false">N(AO564)+IF(AND(OR(R565="follow-up",R565="Evaluation",R565="tbd",R565="In evaluation"),B565&lt;&gt;""),1,0)</f>
        <v>1</v>
      </c>
      <c r="AP565" s="1" t="n">
        <f aca="false">IF(B565="",0,IF(COUNTIF('⚖️ Wahrscheinlichkeit'!$J$17:$J$24,R565)&gt;0,1,0))</f>
        <v>0</v>
      </c>
      <c r="AQ565" s="1" t="n">
        <f aca="false">IF(B565="",0,IF(AND(ISNUMBER(S565),COUNTIF('⚖️ Wahrscheinlichkeit'!$B$6:$B$11,S565)&gt;0),1,0))</f>
        <v>0</v>
      </c>
      <c r="AR565" s="1" t="n">
        <f aca="false">IF(B565="",0,IF(AND(COUNT(J565:M565)=4,SUM(J565:M565)&gt;0),1,0))</f>
        <v>0</v>
      </c>
      <c r="AS565" s="1" t="n">
        <f aca="false">IF(B565="",0,IF(AND(AF565&lt;&gt;"",AG565&lt;&gt;""),1,0))</f>
        <v>0</v>
      </c>
      <c r="AT565" s="1" t="n">
        <f aca="false">IF(AND(R565="WON",AS565=1,AR565=1),1,0)</f>
        <v>0</v>
      </c>
      <c r="AU565" s="1" t="n">
        <f aca="false">IF(B565="",0,IF(AD565="Alternative – zählt nicht",0,1))</f>
        <v>0</v>
      </c>
      <c r="AV565" s="1" t="n">
        <f aca="false">IF(B565="",0,IF(COUNTIF($B$6:$B$860,B565)&gt;1,1,0))</f>
        <v>0</v>
      </c>
      <c r="AX565" s="269" t="str">
        <f aca="false">IF(AY565=1,DATE(YEAR(O565),MONTH(O565),1),"")</f>
        <v/>
      </c>
      <c r="AY565" s="1" t="n">
        <f aca="false">IF(B565="",0,IF(AND(ISNUMBER(O565),ISNUMBER(P565)),IF(P565&gt;=O565,1,0),0))</f>
        <v>0</v>
      </c>
      <c r="AZ565" s="1" t="n">
        <f aca="false">IF(ISNUMBER(Y565),Y565,0)</f>
        <v>0</v>
      </c>
      <c r="BA565" s="1" t="str">
        <f aca="false">IF(B565="","",IF(AND(R565="WON",AS565=0),"⛔ Beleg fehlt · ","")&amp;IF(AND(R565="WON",AR565=0),"⛔ Einstand fehlt · ","")&amp;IF(AND(R565&lt;&gt;"WON",AR565=0),"○ Einstand offen · ","")&amp;IF(AND(R565="WON",AB565=""),"⛔ Vertragsart fehlt · ","")&amp;IF(AND(ISNUMBER(O565),ISNUMBER(P565)),IF(P565&lt;O565,"⚠ Ende vor Start · ",""),"")&amp;IF(AND(R565="WON",AY565=0,NOT(AND(ISNUMBER(O565),ISNUMBER(P565)))),"⛔ Zeitraum fehlt · ","")&amp;IF(AND(R565&lt;&gt;"WON",AY565=0,NOT(AND(ISNUMBER(O565),ISNUMBER(P565)))),"○ Zeitraum offen · ",""))</f>
        <v/>
      </c>
      <c r="BB565" s="1" t="str">
        <f aca="false">IF(B565="","",IF(AND(R565="WON",AS565=0),"⛔ Nachweis fehlt",IF(AND(ISNUMBER(O565),ISNUMBER(P565),P565&lt;O565),"⚠ Ende vor Start",IF(AND(R565="WON",AY565=0),"⛔ Zeitraum fehlt",IF(AR565=0,"○ Einstand offen",IF(AY565=0,"○ Zeitraum offen",IF(R565="WON","✅ belegt","✔ erfasst")))))))</f>
        <v/>
      </c>
    </row>
    <row r="566" customFormat="false" ht="15" hidden="false" customHeight="true" outlineLevel="0" collapsed="false">
      <c r="G566" s="1" t="str">
        <f aca="false">IF(B566="","",IF(AY566=1,P566-O566+1,IF(AW566="","",AW566)))</f>
        <v/>
      </c>
      <c r="I566" s="270"/>
      <c r="J566" s="270"/>
      <c r="K566" s="270"/>
      <c r="L566" s="270"/>
      <c r="M566" s="270"/>
      <c r="N566" s="270"/>
      <c r="O566" s="263"/>
      <c r="P566" s="263"/>
      <c r="Q566" s="270" t="str">
        <f aca="false">IF(AND(ISNUMBER(I566),ISNUMBER(S566)),I566*AJ566,IF(OR(I566&lt;&gt;"",S566&lt;&gt;""),"tbd",""))</f>
        <v/>
      </c>
      <c r="S566" s="268"/>
      <c r="Y566" s="275" t="str">
        <f aca="false">IF(ISNUMBER(I566),I566/Netto_Faktor,"")</f>
        <v/>
      </c>
      <c r="Z566" s="275" t="str">
        <f aca="false">IF(B566="","",IF(COUNT(J566:N566)=0,"",SUM(J566:N566)))</f>
        <v/>
      </c>
      <c r="AA566" s="266"/>
      <c r="AB566" s="266"/>
      <c r="AC566" s="266"/>
      <c r="AD566" s="266"/>
      <c r="AE566" s="266"/>
      <c r="AF566" s="266"/>
      <c r="AG566" s="267"/>
      <c r="AH566" s="266" t="str">
        <f aca="false">IF(B566="","",IF(BA566="",IF(R566="WON","✅ belegt &amp; vollständig","✔ vollständig"),LEFT(BA566,LEN(BA566)-3)))</f>
        <v/>
      </c>
      <c r="AJ566" s="268" t="n">
        <f aca="false">IF(ISNUMBER(S566),IFERROR(LOOKUP(IF(S566&lt;=1,S566,S566/100),'⚖️ Wahrscheinlichkeit'!$B$17:$B$21,'⚖️ Wahrscheinlichkeit'!$D$17:$D$21),0),0)</f>
        <v>0</v>
      </c>
      <c r="AK566" s="1" t="str">
        <f aca="false">IF(AND(R566="WON",ISNUMBER(I566)),AL566+(861-ROW())*0.000001,"")</f>
        <v/>
      </c>
      <c r="AL566" s="1" t="n">
        <f aca="false">IFERROR(I566*1,0)</f>
        <v>0</v>
      </c>
      <c r="AM566" s="1" t="n">
        <f aca="false">N(AM565)+IF(AND(R566="WON",B566&lt;&gt;""),1,0)</f>
        <v>12</v>
      </c>
      <c r="AN566" s="1" t="n">
        <f aca="false">N(AN565)+IF(AND(OR(R566="offered",R566="to be offered",R566="on hold"),B566&lt;&gt;""),1,0)</f>
        <v>33</v>
      </c>
      <c r="AO566" s="1" t="n">
        <f aca="false">N(AO565)+IF(AND(OR(R566="follow-up",R566="Evaluation",R566="tbd",R566="In evaluation"),B566&lt;&gt;""),1,0)</f>
        <v>1</v>
      </c>
      <c r="AP566" s="1" t="n">
        <f aca="false">IF(B566="",0,IF(COUNTIF('⚖️ Wahrscheinlichkeit'!$J$17:$J$24,R566)&gt;0,1,0))</f>
        <v>0</v>
      </c>
      <c r="AQ566" s="1" t="n">
        <f aca="false">IF(B566="",0,IF(AND(ISNUMBER(S566),COUNTIF('⚖️ Wahrscheinlichkeit'!$B$6:$B$11,S566)&gt;0),1,0))</f>
        <v>0</v>
      </c>
      <c r="AR566" s="1" t="n">
        <f aca="false">IF(B566="",0,IF(AND(COUNT(J566:M566)=4,SUM(J566:M566)&gt;0),1,0))</f>
        <v>0</v>
      </c>
      <c r="AS566" s="1" t="n">
        <f aca="false">IF(B566="",0,IF(AND(AF566&lt;&gt;"",AG566&lt;&gt;""),1,0))</f>
        <v>0</v>
      </c>
      <c r="AT566" s="1" t="n">
        <f aca="false">IF(AND(R566="WON",AS566=1,AR566=1),1,0)</f>
        <v>0</v>
      </c>
      <c r="AU566" s="1" t="n">
        <f aca="false">IF(B566="",0,IF(AD566="Alternative – zählt nicht",0,1))</f>
        <v>0</v>
      </c>
      <c r="AV566" s="1" t="n">
        <f aca="false">IF(B566="",0,IF(COUNTIF($B$6:$B$860,B566)&gt;1,1,0))</f>
        <v>0</v>
      </c>
      <c r="AX566" s="269" t="str">
        <f aca="false">IF(AY566=1,DATE(YEAR(O566),MONTH(O566),1),"")</f>
        <v/>
      </c>
      <c r="AY566" s="1" t="n">
        <f aca="false">IF(B566="",0,IF(AND(ISNUMBER(O566),ISNUMBER(P566)),IF(P566&gt;=O566,1,0),0))</f>
        <v>0</v>
      </c>
      <c r="AZ566" s="1" t="n">
        <f aca="false">IF(ISNUMBER(Y566),Y566,0)</f>
        <v>0</v>
      </c>
      <c r="BA566" s="1" t="str">
        <f aca="false">IF(B566="","",IF(AND(R566="WON",AS566=0),"⛔ Beleg fehlt · ","")&amp;IF(AND(R566="WON",AR566=0),"⛔ Einstand fehlt · ","")&amp;IF(AND(R566&lt;&gt;"WON",AR566=0),"○ Einstand offen · ","")&amp;IF(AND(R566="WON",AB566=""),"⛔ Vertragsart fehlt · ","")&amp;IF(AND(ISNUMBER(O566),ISNUMBER(P566)),IF(P566&lt;O566,"⚠ Ende vor Start · ",""),"")&amp;IF(AND(R566="WON",AY566=0,NOT(AND(ISNUMBER(O566),ISNUMBER(P566)))),"⛔ Zeitraum fehlt · ","")&amp;IF(AND(R566&lt;&gt;"WON",AY566=0,NOT(AND(ISNUMBER(O566),ISNUMBER(P566)))),"○ Zeitraum offen · ",""))</f>
        <v/>
      </c>
      <c r="BB566" s="1" t="str">
        <f aca="false">IF(B566="","",IF(AND(R566="WON",AS566=0),"⛔ Nachweis fehlt",IF(AND(ISNUMBER(O566),ISNUMBER(P566),P566&lt;O566),"⚠ Ende vor Start",IF(AND(R566="WON",AY566=0),"⛔ Zeitraum fehlt",IF(AR566=0,"○ Einstand offen",IF(AY566=0,"○ Zeitraum offen",IF(R566="WON","✅ belegt","✔ erfasst")))))))</f>
        <v/>
      </c>
    </row>
    <row r="567" customFormat="false" ht="15" hidden="false" customHeight="true" outlineLevel="0" collapsed="false">
      <c r="G567" s="1" t="str">
        <f aca="false">IF(B567="","",IF(AY567=1,P567-O567+1,IF(AW567="","",AW567)))</f>
        <v/>
      </c>
      <c r="I567" s="270"/>
      <c r="J567" s="270"/>
      <c r="K567" s="270"/>
      <c r="L567" s="270"/>
      <c r="M567" s="270"/>
      <c r="N567" s="270"/>
      <c r="O567" s="263"/>
      <c r="P567" s="263"/>
      <c r="Q567" s="270" t="str">
        <f aca="false">IF(AND(ISNUMBER(I567),ISNUMBER(S567)),I567*AJ567,IF(OR(I567&lt;&gt;"",S567&lt;&gt;""),"tbd",""))</f>
        <v/>
      </c>
      <c r="S567" s="268"/>
      <c r="Y567" s="275" t="str">
        <f aca="false">IF(ISNUMBER(I567),I567/Netto_Faktor,"")</f>
        <v/>
      </c>
      <c r="Z567" s="275" t="str">
        <f aca="false">IF(B567="","",IF(COUNT(J567:N567)=0,"",SUM(J567:N567)))</f>
        <v/>
      </c>
      <c r="AA567" s="266"/>
      <c r="AB567" s="266"/>
      <c r="AC567" s="266"/>
      <c r="AD567" s="266"/>
      <c r="AE567" s="266"/>
      <c r="AF567" s="266"/>
      <c r="AG567" s="267"/>
      <c r="AH567" s="266" t="str">
        <f aca="false">IF(B567="","",IF(BA567="",IF(R567="WON","✅ belegt &amp; vollständig","✔ vollständig"),LEFT(BA567,LEN(BA567)-3)))</f>
        <v/>
      </c>
      <c r="AJ567" s="268" t="n">
        <f aca="false">IF(ISNUMBER(S567),IFERROR(LOOKUP(IF(S567&lt;=1,S567,S567/100),'⚖️ Wahrscheinlichkeit'!$B$17:$B$21,'⚖️ Wahrscheinlichkeit'!$D$17:$D$21),0),0)</f>
        <v>0</v>
      </c>
      <c r="AK567" s="1" t="str">
        <f aca="false">IF(AND(R567="WON",ISNUMBER(I567)),AL567+(861-ROW())*0.000001,"")</f>
        <v/>
      </c>
      <c r="AL567" s="1" t="n">
        <f aca="false">IFERROR(I567*1,0)</f>
        <v>0</v>
      </c>
      <c r="AM567" s="1" t="n">
        <f aca="false">N(AM566)+IF(AND(R567="WON",B567&lt;&gt;""),1,0)</f>
        <v>12</v>
      </c>
      <c r="AN567" s="1" t="n">
        <f aca="false">N(AN566)+IF(AND(OR(R567="offered",R567="to be offered",R567="on hold"),B567&lt;&gt;""),1,0)</f>
        <v>33</v>
      </c>
      <c r="AO567" s="1" t="n">
        <f aca="false">N(AO566)+IF(AND(OR(R567="follow-up",R567="Evaluation",R567="tbd",R567="In evaluation"),B567&lt;&gt;""),1,0)</f>
        <v>1</v>
      </c>
      <c r="AP567" s="1" t="n">
        <f aca="false">IF(B567="",0,IF(COUNTIF('⚖️ Wahrscheinlichkeit'!$J$17:$J$24,R567)&gt;0,1,0))</f>
        <v>0</v>
      </c>
      <c r="AQ567" s="1" t="n">
        <f aca="false">IF(B567="",0,IF(AND(ISNUMBER(S567),COUNTIF('⚖️ Wahrscheinlichkeit'!$B$6:$B$11,S567)&gt;0),1,0))</f>
        <v>0</v>
      </c>
      <c r="AR567" s="1" t="n">
        <f aca="false">IF(B567="",0,IF(AND(COUNT(J567:M567)=4,SUM(J567:M567)&gt;0),1,0))</f>
        <v>0</v>
      </c>
      <c r="AS567" s="1" t="n">
        <f aca="false">IF(B567="",0,IF(AND(AF567&lt;&gt;"",AG567&lt;&gt;""),1,0))</f>
        <v>0</v>
      </c>
      <c r="AT567" s="1" t="n">
        <f aca="false">IF(AND(R567="WON",AS567=1,AR567=1),1,0)</f>
        <v>0</v>
      </c>
      <c r="AU567" s="1" t="n">
        <f aca="false">IF(B567="",0,IF(AD567="Alternative – zählt nicht",0,1))</f>
        <v>0</v>
      </c>
      <c r="AV567" s="1" t="n">
        <f aca="false">IF(B567="",0,IF(COUNTIF($B$6:$B$860,B567)&gt;1,1,0))</f>
        <v>0</v>
      </c>
      <c r="AX567" s="269" t="str">
        <f aca="false">IF(AY567=1,DATE(YEAR(O567),MONTH(O567),1),"")</f>
        <v/>
      </c>
      <c r="AY567" s="1" t="n">
        <f aca="false">IF(B567="",0,IF(AND(ISNUMBER(O567),ISNUMBER(P567)),IF(P567&gt;=O567,1,0),0))</f>
        <v>0</v>
      </c>
      <c r="AZ567" s="1" t="n">
        <f aca="false">IF(ISNUMBER(Y567),Y567,0)</f>
        <v>0</v>
      </c>
      <c r="BA567" s="1" t="str">
        <f aca="false">IF(B567="","",IF(AND(R567="WON",AS567=0),"⛔ Beleg fehlt · ","")&amp;IF(AND(R567="WON",AR567=0),"⛔ Einstand fehlt · ","")&amp;IF(AND(R567&lt;&gt;"WON",AR567=0),"○ Einstand offen · ","")&amp;IF(AND(R567="WON",AB567=""),"⛔ Vertragsart fehlt · ","")&amp;IF(AND(ISNUMBER(O567),ISNUMBER(P567)),IF(P567&lt;O567,"⚠ Ende vor Start · ",""),"")&amp;IF(AND(R567="WON",AY567=0,NOT(AND(ISNUMBER(O567),ISNUMBER(P567)))),"⛔ Zeitraum fehlt · ","")&amp;IF(AND(R567&lt;&gt;"WON",AY567=0,NOT(AND(ISNUMBER(O567),ISNUMBER(P567)))),"○ Zeitraum offen · ",""))</f>
        <v/>
      </c>
      <c r="BB567" s="1" t="str">
        <f aca="false">IF(B567="","",IF(AND(R567="WON",AS567=0),"⛔ Nachweis fehlt",IF(AND(ISNUMBER(O567),ISNUMBER(P567),P567&lt;O567),"⚠ Ende vor Start",IF(AND(R567="WON",AY567=0),"⛔ Zeitraum fehlt",IF(AR567=0,"○ Einstand offen",IF(AY567=0,"○ Zeitraum offen",IF(R567="WON","✅ belegt","✔ erfasst")))))))</f>
        <v/>
      </c>
    </row>
    <row r="568" customFormat="false" ht="15" hidden="false" customHeight="true" outlineLevel="0" collapsed="false">
      <c r="G568" s="1" t="str">
        <f aca="false">IF(B568="","",IF(AY568=1,P568-O568+1,IF(AW568="","",AW568)))</f>
        <v/>
      </c>
      <c r="I568" s="270"/>
      <c r="J568" s="270"/>
      <c r="K568" s="270"/>
      <c r="L568" s="270"/>
      <c r="M568" s="270"/>
      <c r="N568" s="270"/>
      <c r="O568" s="263"/>
      <c r="P568" s="263"/>
      <c r="Q568" s="270" t="str">
        <f aca="false">IF(AND(ISNUMBER(I568),ISNUMBER(S568)),I568*AJ568,IF(OR(I568&lt;&gt;"",S568&lt;&gt;""),"tbd",""))</f>
        <v/>
      </c>
      <c r="S568" s="268"/>
      <c r="Y568" s="275" t="str">
        <f aca="false">IF(ISNUMBER(I568),I568/Netto_Faktor,"")</f>
        <v/>
      </c>
      <c r="Z568" s="275" t="str">
        <f aca="false">IF(B568="","",IF(COUNT(J568:N568)=0,"",SUM(J568:N568)))</f>
        <v/>
      </c>
      <c r="AA568" s="266"/>
      <c r="AB568" s="266"/>
      <c r="AC568" s="266"/>
      <c r="AD568" s="266"/>
      <c r="AE568" s="266"/>
      <c r="AF568" s="266"/>
      <c r="AG568" s="267"/>
      <c r="AH568" s="266" t="str">
        <f aca="false">IF(B568="","",IF(BA568="",IF(R568="WON","✅ belegt &amp; vollständig","✔ vollständig"),LEFT(BA568,LEN(BA568)-3)))</f>
        <v/>
      </c>
      <c r="AJ568" s="268" t="n">
        <f aca="false">IF(ISNUMBER(S568),IFERROR(LOOKUP(IF(S568&lt;=1,S568,S568/100),'⚖️ Wahrscheinlichkeit'!$B$17:$B$21,'⚖️ Wahrscheinlichkeit'!$D$17:$D$21),0),0)</f>
        <v>0</v>
      </c>
      <c r="AK568" s="1" t="str">
        <f aca="false">IF(AND(R568="WON",ISNUMBER(I568)),AL568+(861-ROW())*0.000001,"")</f>
        <v/>
      </c>
      <c r="AL568" s="1" t="n">
        <f aca="false">IFERROR(I568*1,0)</f>
        <v>0</v>
      </c>
      <c r="AM568" s="1" t="n">
        <f aca="false">N(AM567)+IF(AND(R568="WON",B568&lt;&gt;""),1,0)</f>
        <v>12</v>
      </c>
      <c r="AN568" s="1" t="n">
        <f aca="false">N(AN567)+IF(AND(OR(R568="offered",R568="to be offered",R568="on hold"),B568&lt;&gt;""),1,0)</f>
        <v>33</v>
      </c>
      <c r="AO568" s="1" t="n">
        <f aca="false">N(AO567)+IF(AND(OR(R568="follow-up",R568="Evaluation",R568="tbd",R568="In evaluation"),B568&lt;&gt;""),1,0)</f>
        <v>1</v>
      </c>
      <c r="AP568" s="1" t="n">
        <f aca="false">IF(B568="",0,IF(COUNTIF('⚖️ Wahrscheinlichkeit'!$J$17:$J$24,R568)&gt;0,1,0))</f>
        <v>0</v>
      </c>
      <c r="AQ568" s="1" t="n">
        <f aca="false">IF(B568="",0,IF(AND(ISNUMBER(S568),COUNTIF('⚖️ Wahrscheinlichkeit'!$B$6:$B$11,S568)&gt;0),1,0))</f>
        <v>0</v>
      </c>
      <c r="AR568" s="1" t="n">
        <f aca="false">IF(B568="",0,IF(AND(COUNT(J568:M568)=4,SUM(J568:M568)&gt;0),1,0))</f>
        <v>0</v>
      </c>
      <c r="AS568" s="1" t="n">
        <f aca="false">IF(B568="",0,IF(AND(AF568&lt;&gt;"",AG568&lt;&gt;""),1,0))</f>
        <v>0</v>
      </c>
      <c r="AT568" s="1" t="n">
        <f aca="false">IF(AND(R568="WON",AS568=1,AR568=1),1,0)</f>
        <v>0</v>
      </c>
      <c r="AU568" s="1" t="n">
        <f aca="false">IF(B568="",0,IF(AD568="Alternative – zählt nicht",0,1))</f>
        <v>0</v>
      </c>
      <c r="AV568" s="1" t="n">
        <f aca="false">IF(B568="",0,IF(COUNTIF($B$6:$B$860,B568)&gt;1,1,0))</f>
        <v>0</v>
      </c>
      <c r="AX568" s="269" t="str">
        <f aca="false">IF(AY568=1,DATE(YEAR(O568),MONTH(O568),1),"")</f>
        <v/>
      </c>
      <c r="AY568" s="1" t="n">
        <f aca="false">IF(B568="",0,IF(AND(ISNUMBER(O568),ISNUMBER(P568)),IF(P568&gt;=O568,1,0),0))</f>
        <v>0</v>
      </c>
      <c r="AZ568" s="1" t="n">
        <f aca="false">IF(ISNUMBER(Y568),Y568,0)</f>
        <v>0</v>
      </c>
      <c r="BA568" s="1" t="str">
        <f aca="false">IF(B568="","",IF(AND(R568="WON",AS568=0),"⛔ Beleg fehlt · ","")&amp;IF(AND(R568="WON",AR568=0),"⛔ Einstand fehlt · ","")&amp;IF(AND(R568&lt;&gt;"WON",AR568=0),"○ Einstand offen · ","")&amp;IF(AND(R568="WON",AB568=""),"⛔ Vertragsart fehlt · ","")&amp;IF(AND(ISNUMBER(O568),ISNUMBER(P568)),IF(P568&lt;O568,"⚠ Ende vor Start · ",""),"")&amp;IF(AND(R568="WON",AY568=0,NOT(AND(ISNUMBER(O568),ISNUMBER(P568)))),"⛔ Zeitraum fehlt · ","")&amp;IF(AND(R568&lt;&gt;"WON",AY568=0,NOT(AND(ISNUMBER(O568),ISNUMBER(P568)))),"○ Zeitraum offen · ",""))</f>
        <v/>
      </c>
      <c r="BB568" s="1" t="str">
        <f aca="false">IF(B568="","",IF(AND(R568="WON",AS568=0),"⛔ Nachweis fehlt",IF(AND(ISNUMBER(O568),ISNUMBER(P568),P568&lt;O568),"⚠ Ende vor Start",IF(AND(R568="WON",AY568=0),"⛔ Zeitraum fehlt",IF(AR568=0,"○ Einstand offen",IF(AY568=0,"○ Zeitraum offen",IF(R568="WON","✅ belegt","✔ erfasst")))))))</f>
        <v/>
      </c>
    </row>
    <row r="569" customFormat="false" ht="15" hidden="false" customHeight="true" outlineLevel="0" collapsed="false">
      <c r="G569" s="1" t="str">
        <f aca="false">IF(B569="","",IF(AY569=1,P569-O569+1,IF(AW569="","",AW569)))</f>
        <v/>
      </c>
      <c r="I569" s="270"/>
      <c r="J569" s="270"/>
      <c r="K569" s="270"/>
      <c r="L569" s="270"/>
      <c r="M569" s="270"/>
      <c r="N569" s="270"/>
      <c r="O569" s="263"/>
      <c r="P569" s="263"/>
      <c r="Q569" s="270" t="str">
        <f aca="false">IF(AND(ISNUMBER(I569),ISNUMBER(S569)),I569*AJ569,IF(OR(I569&lt;&gt;"",S569&lt;&gt;""),"tbd",""))</f>
        <v/>
      </c>
      <c r="S569" s="268"/>
      <c r="Y569" s="275" t="str">
        <f aca="false">IF(ISNUMBER(I569),I569/Netto_Faktor,"")</f>
        <v/>
      </c>
      <c r="Z569" s="275" t="str">
        <f aca="false">IF(B569="","",IF(COUNT(J569:N569)=0,"",SUM(J569:N569)))</f>
        <v/>
      </c>
      <c r="AA569" s="266"/>
      <c r="AB569" s="266"/>
      <c r="AC569" s="266"/>
      <c r="AD569" s="266"/>
      <c r="AE569" s="266"/>
      <c r="AF569" s="266"/>
      <c r="AG569" s="267"/>
      <c r="AH569" s="266" t="str">
        <f aca="false">IF(B569="","",IF(BA569="",IF(R569="WON","✅ belegt &amp; vollständig","✔ vollständig"),LEFT(BA569,LEN(BA569)-3)))</f>
        <v/>
      </c>
      <c r="AJ569" s="268" t="n">
        <f aca="false">IF(ISNUMBER(S569),IFERROR(LOOKUP(IF(S569&lt;=1,S569,S569/100),'⚖️ Wahrscheinlichkeit'!$B$17:$B$21,'⚖️ Wahrscheinlichkeit'!$D$17:$D$21),0),0)</f>
        <v>0</v>
      </c>
      <c r="AK569" s="1" t="str">
        <f aca="false">IF(AND(R569="WON",ISNUMBER(I569)),AL569+(861-ROW())*0.000001,"")</f>
        <v/>
      </c>
      <c r="AL569" s="1" t="n">
        <f aca="false">IFERROR(I569*1,0)</f>
        <v>0</v>
      </c>
      <c r="AM569" s="1" t="n">
        <f aca="false">N(AM568)+IF(AND(R569="WON",B569&lt;&gt;""),1,0)</f>
        <v>12</v>
      </c>
      <c r="AN569" s="1" t="n">
        <f aca="false">N(AN568)+IF(AND(OR(R569="offered",R569="to be offered",R569="on hold"),B569&lt;&gt;""),1,0)</f>
        <v>33</v>
      </c>
      <c r="AO569" s="1" t="n">
        <f aca="false">N(AO568)+IF(AND(OR(R569="follow-up",R569="Evaluation",R569="tbd",R569="In evaluation"),B569&lt;&gt;""),1,0)</f>
        <v>1</v>
      </c>
      <c r="AP569" s="1" t="n">
        <f aca="false">IF(B569="",0,IF(COUNTIF('⚖️ Wahrscheinlichkeit'!$J$17:$J$24,R569)&gt;0,1,0))</f>
        <v>0</v>
      </c>
      <c r="AQ569" s="1" t="n">
        <f aca="false">IF(B569="",0,IF(AND(ISNUMBER(S569),COUNTIF('⚖️ Wahrscheinlichkeit'!$B$6:$B$11,S569)&gt;0),1,0))</f>
        <v>0</v>
      </c>
      <c r="AR569" s="1" t="n">
        <f aca="false">IF(B569="",0,IF(AND(COUNT(J569:M569)=4,SUM(J569:M569)&gt;0),1,0))</f>
        <v>0</v>
      </c>
      <c r="AS569" s="1" t="n">
        <f aca="false">IF(B569="",0,IF(AND(AF569&lt;&gt;"",AG569&lt;&gt;""),1,0))</f>
        <v>0</v>
      </c>
      <c r="AT569" s="1" t="n">
        <f aca="false">IF(AND(R569="WON",AS569=1,AR569=1),1,0)</f>
        <v>0</v>
      </c>
      <c r="AU569" s="1" t="n">
        <f aca="false">IF(B569="",0,IF(AD569="Alternative – zählt nicht",0,1))</f>
        <v>0</v>
      </c>
      <c r="AV569" s="1" t="n">
        <f aca="false">IF(B569="",0,IF(COUNTIF($B$6:$B$860,B569)&gt;1,1,0))</f>
        <v>0</v>
      </c>
      <c r="AX569" s="269" t="str">
        <f aca="false">IF(AY569=1,DATE(YEAR(O569),MONTH(O569),1),"")</f>
        <v/>
      </c>
      <c r="AY569" s="1" t="n">
        <f aca="false">IF(B569="",0,IF(AND(ISNUMBER(O569),ISNUMBER(P569)),IF(P569&gt;=O569,1,0),0))</f>
        <v>0</v>
      </c>
      <c r="AZ569" s="1" t="n">
        <f aca="false">IF(ISNUMBER(Y569),Y569,0)</f>
        <v>0</v>
      </c>
      <c r="BA569" s="1" t="str">
        <f aca="false">IF(B569="","",IF(AND(R569="WON",AS569=0),"⛔ Beleg fehlt · ","")&amp;IF(AND(R569="WON",AR569=0),"⛔ Einstand fehlt · ","")&amp;IF(AND(R569&lt;&gt;"WON",AR569=0),"○ Einstand offen · ","")&amp;IF(AND(R569="WON",AB569=""),"⛔ Vertragsart fehlt · ","")&amp;IF(AND(ISNUMBER(O569),ISNUMBER(P569)),IF(P569&lt;O569,"⚠ Ende vor Start · ",""),"")&amp;IF(AND(R569="WON",AY569=0,NOT(AND(ISNUMBER(O569),ISNUMBER(P569)))),"⛔ Zeitraum fehlt · ","")&amp;IF(AND(R569&lt;&gt;"WON",AY569=0,NOT(AND(ISNUMBER(O569),ISNUMBER(P569)))),"○ Zeitraum offen · ",""))</f>
        <v/>
      </c>
      <c r="BB569" s="1" t="str">
        <f aca="false">IF(B569="","",IF(AND(R569="WON",AS569=0),"⛔ Nachweis fehlt",IF(AND(ISNUMBER(O569),ISNUMBER(P569),P569&lt;O569),"⚠ Ende vor Start",IF(AND(R569="WON",AY569=0),"⛔ Zeitraum fehlt",IF(AR569=0,"○ Einstand offen",IF(AY569=0,"○ Zeitraum offen",IF(R569="WON","✅ belegt","✔ erfasst")))))))</f>
        <v/>
      </c>
    </row>
    <row r="570" customFormat="false" ht="15" hidden="false" customHeight="true" outlineLevel="0" collapsed="false">
      <c r="G570" s="1" t="str">
        <f aca="false">IF(B570="","",IF(AY570=1,P570-O570+1,IF(AW570="","",AW570)))</f>
        <v/>
      </c>
      <c r="I570" s="270"/>
      <c r="J570" s="270"/>
      <c r="K570" s="270"/>
      <c r="L570" s="270"/>
      <c r="M570" s="270"/>
      <c r="N570" s="270"/>
      <c r="O570" s="263"/>
      <c r="P570" s="263"/>
      <c r="Q570" s="270" t="str">
        <f aca="false">IF(AND(ISNUMBER(I570),ISNUMBER(S570)),I570*AJ570,IF(OR(I570&lt;&gt;"",S570&lt;&gt;""),"tbd",""))</f>
        <v/>
      </c>
      <c r="S570" s="268"/>
      <c r="Y570" s="275" t="str">
        <f aca="false">IF(ISNUMBER(I570),I570/Netto_Faktor,"")</f>
        <v/>
      </c>
      <c r="Z570" s="275" t="str">
        <f aca="false">IF(B570="","",IF(COUNT(J570:N570)=0,"",SUM(J570:N570)))</f>
        <v/>
      </c>
      <c r="AA570" s="266"/>
      <c r="AB570" s="266"/>
      <c r="AC570" s="266"/>
      <c r="AD570" s="266"/>
      <c r="AE570" s="266"/>
      <c r="AF570" s="266"/>
      <c r="AG570" s="267"/>
      <c r="AH570" s="266" t="str">
        <f aca="false">IF(B570="","",IF(BA570="",IF(R570="WON","✅ belegt &amp; vollständig","✔ vollständig"),LEFT(BA570,LEN(BA570)-3)))</f>
        <v/>
      </c>
      <c r="AJ570" s="268" t="n">
        <f aca="false">IF(ISNUMBER(S570),IFERROR(LOOKUP(IF(S570&lt;=1,S570,S570/100),'⚖️ Wahrscheinlichkeit'!$B$17:$B$21,'⚖️ Wahrscheinlichkeit'!$D$17:$D$21),0),0)</f>
        <v>0</v>
      </c>
      <c r="AK570" s="1" t="str">
        <f aca="false">IF(AND(R570="WON",ISNUMBER(I570)),AL570+(861-ROW())*0.000001,"")</f>
        <v/>
      </c>
      <c r="AL570" s="1" t="n">
        <f aca="false">IFERROR(I570*1,0)</f>
        <v>0</v>
      </c>
      <c r="AM570" s="1" t="n">
        <f aca="false">N(AM569)+IF(AND(R570="WON",B570&lt;&gt;""),1,0)</f>
        <v>12</v>
      </c>
      <c r="AN570" s="1" t="n">
        <f aca="false">N(AN569)+IF(AND(OR(R570="offered",R570="to be offered",R570="on hold"),B570&lt;&gt;""),1,0)</f>
        <v>33</v>
      </c>
      <c r="AO570" s="1" t="n">
        <f aca="false">N(AO569)+IF(AND(OR(R570="follow-up",R570="Evaluation",R570="tbd",R570="In evaluation"),B570&lt;&gt;""),1,0)</f>
        <v>1</v>
      </c>
      <c r="AP570" s="1" t="n">
        <f aca="false">IF(B570="",0,IF(COUNTIF('⚖️ Wahrscheinlichkeit'!$J$17:$J$24,R570)&gt;0,1,0))</f>
        <v>0</v>
      </c>
      <c r="AQ570" s="1" t="n">
        <f aca="false">IF(B570="",0,IF(AND(ISNUMBER(S570),COUNTIF('⚖️ Wahrscheinlichkeit'!$B$6:$B$11,S570)&gt;0),1,0))</f>
        <v>0</v>
      </c>
      <c r="AR570" s="1" t="n">
        <f aca="false">IF(B570="",0,IF(AND(COUNT(J570:M570)=4,SUM(J570:M570)&gt;0),1,0))</f>
        <v>0</v>
      </c>
      <c r="AS570" s="1" t="n">
        <f aca="false">IF(B570="",0,IF(AND(AF570&lt;&gt;"",AG570&lt;&gt;""),1,0))</f>
        <v>0</v>
      </c>
      <c r="AT570" s="1" t="n">
        <f aca="false">IF(AND(R570="WON",AS570=1,AR570=1),1,0)</f>
        <v>0</v>
      </c>
      <c r="AU570" s="1" t="n">
        <f aca="false">IF(B570="",0,IF(AD570="Alternative – zählt nicht",0,1))</f>
        <v>0</v>
      </c>
      <c r="AV570" s="1" t="n">
        <f aca="false">IF(B570="",0,IF(COUNTIF($B$6:$B$860,B570)&gt;1,1,0))</f>
        <v>0</v>
      </c>
      <c r="AX570" s="269" t="str">
        <f aca="false">IF(AY570=1,DATE(YEAR(O570),MONTH(O570),1),"")</f>
        <v/>
      </c>
      <c r="AY570" s="1" t="n">
        <f aca="false">IF(B570="",0,IF(AND(ISNUMBER(O570),ISNUMBER(P570)),IF(P570&gt;=O570,1,0),0))</f>
        <v>0</v>
      </c>
      <c r="AZ570" s="1" t="n">
        <f aca="false">IF(ISNUMBER(Y570),Y570,0)</f>
        <v>0</v>
      </c>
      <c r="BA570" s="1" t="str">
        <f aca="false">IF(B570="","",IF(AND(R570="WON",AS570=0),"⛔ Beleg fehlt · ","")&amp;IF(AND(R570="WON",AR570=0),"⛔ Einstand fehlt · ","")&amp;IF(AND(R570&lt;&gt;"WON",AR570=0),"○ Einstand offen · ","")&amp;IF(AND(R570="WON",AB570=""),"⛔ Vertragsart fehlt · ","")&amp;IF(AND(ISNUMBER(O570),ISNUMBER(P570)),IF(P570&lt;O570,"⚠ Ende vor Start · ",""),"")&amp;IF(AND(R570="WON",AY570=0,NOT(AND(ISNUMBER(O570),ISNUMBER(P570)))),"⛔ Zeitraum fehlt · ","")&amp;IF(AND(R570&lt;&gt;"WON",AY570=0,NOT(AND(ISNUMBER(O570),ISNUMBER(P570)))),"○ Zeitraum offen · ",""))</f>
        <v/>
      </c>
      <c r="BB570" s="1" t="str">
        <f aca="false">IF(B570="","",IF(AND(R570="WON",AS570=0),"⛔ Nachweis fehlt",IF(AND(ISNUMBER(O570),ISNUMBER(P570),P570&lt;O570),"⚠ Ende vor Start",IF(AND(R570="WON",AY570=0),"⛔ Zeitraum fehlt",IF(AR570=0,"○ Einstand offen",IF(AY570=0,"○ Zeitraum offen",IF(R570="WON","✅ belegt","✔ erfasst")))))))</f>
        <v/>
      </c>
    </row>
    <row r="571" customFormat="false" ht="15" hidden="false" customHeight="true" outlineLevel="0" collapsed="false">
      <c r="G571" s="1" t="str">
        <f aca="false">IF(B571="","",IF(AY571=1,P571-O571+1,IF(AW571="","",AW571)))</f>
        <v/>
      </c>
      <c r="I571" s="270"/>
      <c r="J571" s="270"/>
      <c r="K571" s="270"/>
      <c r="L571" s="270"/>
      <c r="M571" s="270"/>
      <c r="N571" s="270"/>
      <c r="O571" s="263"/>
      <c r="P571" s="263"/>
      <c r="Q571" s="270" t="str">
        <f aca="false">IF(AND(ISNUMBER(I571),ISNUMBER(S571)),I571*AJ571,IF(OR(I571&lt;&gt;"",S571&lt;&gt;""),"tbd",""))</f>
        <v/>
      </c>
      <c r="S571" s="268"/>
      <c r="Y571" s="275" t="str">
        <f aca="false">IF(ISNUMBER(I571),I571/Netto_Faktor,"")</f>
        <v/>
      </c>
      <c r="Z571" s="275" t="str">
        <f aca="false">IF(B571="","",IF(COUNT(J571:N571)=0,"",SUM(J571:N571)))</f>
        <v/>
      </c>
      <c r="AA571" s="266"/>
      <c r="AB571" s="266"/>
      <c r="AC571" s="266"/>
      <c r="AD571" s="266"/>
      <c r="AE571" s="266"/>
      <c r="AF571" s="266"/>
      <c r="AG571" s="267"/>
      <c r="AH571" s="266" t="str">
        <f aca="false">IF(B571="","",IF(BA571="",IF(R571="WON","✅ belegt &amp; vollständig","✔ vollständig"),LEFT(BA571,LEN(BA571)-3)))</f>
        <v/>
      </c>
      <c r="AJ571" s="268" t="n">
        <f aca="false">IF(ISNUMBER(S571),IFERROR(LOOKUP(IF(S571&lt;=1,S571,S571/100),'⚖️ Wahrscheinlichkeit'!$B$17:$B$21,'⚖️ Wahrscheinlichkeit'!$D$17:$D$21),0),0)</f>
        <v>0</v>
      </c>
      <c r="AK571" s="1" t="str">
        <f aca="false">IF(AND(R571="WON",ISNUMBER(I571)),AL571+(861-ROW())*0.000001,"")</f>
        <v/>
      </c>
      <c r="AL571" s="1" t="n">
        <f aca="false">IFERROR(I571*1,0)</f>
        <v>0</v>
      </c>
      <c r="AM571" s="1" t="n">
        <f aca="false">N(AM570)+IF(AND(R571="WON",B571&lt;&gt;""),1,0)</f>
        <v>12</v>
      </c>
      <c r="AN571" s="1" t="n">
        <f aca="false">N(AN570)+IF(AND(OR(R571="offered",R571="to be offered",R571="on hold"),B571&lt;&gt;""),1,0)</f>
        <v>33</v>
      </c>
      <c r="AO571" s="1" t="n">
        <f aca="false">N(AO570)+IF(AND(OR(R571="follow-up",R571="Evaluation",R571="tbd",R571="In evaluation"),B571&lt;&gt;""),1,0)</f>
        <v>1</v>
      </c>
      <c r="AP571" s="1" t="n">
        <f aca="false">IF(B571="",0,IF(COUNTIF('⚖️ Wahrscheinlichkeit'!$J$17:$J$24,R571)&gt;0,1,0))</f>
        <v>0</v>
      </c>
      <c r="AQ571" s="1" t="n">
        <f aca="false">IF(B571="",0,IF(AND(ISNUMBER(S571),COUNTIF('⚖️ Wahrscheinlichkeit'!$B$6:$B$11,S571)&gt;0),1,0))</f>
        <v>0</v>
      </c>
      <c r="AR571" s="1" t="n">
        <f aca="false">IF(B571="",0,IF(AND(COUNT(J571:M571)=4,SUM(J571:M571)&gt;0),1,0))</f>
        <v>0</v>
      </c>
      <c r="AS571" s="1" t="n">
        <f aca="false">IF(B571="",0,IF(AND(AF571&lt;&gt;"",AG571&lt;&gt;""),1,0))</f>
        <v>0</v>
      </c>
      <c r="AT571" s="1" t="n">
        <f aca="false">IF(AND(R571="WON",AS571=1,AR571=1),1,0)</f>
        <v>0</v>
      </c>
      <c r="AU571" s="1" t="n">
        <f aca="false">IF(B571="",0,IF(AD571="Alternative – zählt nicht",0,1))</f>
        <v>0</v>
      </c>
      <c r="AV571" s="1" t="n">
        <f aca="false">IF(B571="",0,IF(COUNTIF($B$6:$B$860,B571)&gt;1,1,0))</f>
        <v>0</v>
      </c>
      <c r="AX571" s="269" t="str">
        <f aca="false">IF(AY571=1,DATE(YEAR(O571),MONTH(O571),1),"")</f>
        <v/>
      </c>
      <c r="AY571" s="1" t="n">
        <f aca="false">IF(B571="",0,IF(AND(ISNUMBER(O571),ISNUMBER(P571)),IF(P571&gt;=O571,1,0),0))</f>
        <v>0</v>
      </c>
      <c r="AZ571" s="1" t="n">
        <f aca="false">IF(ISNUMBER(Y571),Y571,0)</f>
        <v>0</v>
      </c>
      <c r="BA571" s="1" t="str">
        <f aca="false">IF(B571="","",IF(AND(R571="WON",AS571=0),"⛔ Beleg fehlt · ","")&amp;IF(AND(R571="WON",AR571=0),"⛔ Einstand fehlt · ","")&amp;IF(AND(R571&lt;&gt;"WON",AR571=0),"○ Einstand offen · ","")&amp;IF(AND(R571="WON",AB571=""),"⛔ Vertragsart fehlt · ","")&amp;IF(AND(ISNUMBER(O571),ISNUMBER(P571)),IF(P571&lt;O571,"⚠ Ende vor Start · ",""),"")&amp;IF(AND(R571="WON",AY571=0,NOT(AND(ISNUMBER(O571),ISNUMBER(P571)))),"⛔ Zeitraum fehlt · ","")&amp;IF(AND(R571&lt;&gt;"WON",AY571=0,NOT(AND(ISNUMBER(O571),ISNUMBER(P571)))),"○ Zeitraum offen · ",""))</f>
        <v/>
      </c>
      <c r="BB571" s="1" t="str">
        <f aca="false">IF(B571="","",IF(AND(R571="WON",AS571=0),"⛔ Nachweis fehlt",IF(AND(ISNUMBER(O571),ISNUMBER(P571),P571&lt;O571),"⚠ Ende vor Start",IF(AND(R571="WON",AY571=0),"⛔ Zeitraum fehlt",IF(AR571=0,"○ Einstand offen",IF(AY571=0,"○ Zeitraum offen",IF(R571="WON","✅ belegt","✔ erfasst")))))))</f>
        <v/>
      </c>
    </row>
    <row r="572" customFormat="false" ht="15" hidden="false" customHeight="true" outlineLevel="0" collapsed="false">
      <c r="G572" s="1" t="str">
        <f aca="false">IF(B572="","",IF(AY572=1,P572-O572+1,IF(AW572="","",AW572)))</f>
        <v/>
      </c>
      <c r="I572" s="270"/>
      <c r="J572" s="270"/>
      <c r="K572" s="270"/>
      <c r="L572" s="270"/>
      <c r="M572" s="270"/>
      <c r="N572" s="270"/>
      <c r="O572" s="263"/>
      <c r="P572" s="263"/>
      <c r="Q572" s="270" t="str">
        <f aca="false">IF(AND(ISNUMBER(I572),ISNUMBER(S572)),I572*AJ572,IF(OR(I572&lt;&gt;"",S572&lt;&gt;""),"tbd",""))</f>
        <v/>
      </c>
      <c r="S572" s="268"/>
      <c r="Y572" s="275" t="str">
        <f aca="false">IF(ISNUMBER(I572),I572/Netto_Faktor,"")</f>
        <v/>
      </c>
      <c r="Z572" s="275" t="str">
        <f aca="false">IF(B572="","",IF(COUNT(J572:N572)=0,"",SUM(J572:N572)))</f>
        <v/>
      </c>
      <c r="AA572" s="266"/>
      <c r="AB572" s="266"/>
      <c r="AC572" s="266"/>
      <c r="AD572" s="266"/>
      <c r="AE572" s="266"/>
      <c r="AF572" s="266"/>
      <c r="AG572" s="267"/>
      <c r="AH572" s="266" t="str">
        <f aca="false">IF(B572="","",IF(BA572="",IF(R572="WON","✅ belegt &amp; vollständig","✔ vollständig"),LEFT(BA572,LEN(BA572)-3)))</f>
        <v/>
      </c>
      <c r="AJ572" s="268" t="n">
        <f aca="false">IF(ISNUMBER(S572),IFERROR(LOOKUP(IF(S572&lt;=1,S572,S572/100),'⚖️ Wahrscheinlichkeit'!$B$17:$B$21,'⚖️ Wahrscheinlichkeit'!$D$17:$D$21),0),0)</f>
        <v>0</v>
      </c>
      <c r="AK572" s="1" t="str">
        <f aca="false">IF(AND(R572="WON",ISNUMBER(I572)),AL572+(861-ROW())*0.000001,"")</f>
        <v/>
      </c>
      <c r="AL572" s="1" t="n">
        <f aca="false">IFERROR(I572*1,0)</f>
        <v>0</v>
      </c>
      <c r="AM572" s="1" t="n">
        <f aca="false">N(AM571)+IF(AND(R572="WON",B572&lt;&gt;""),1,0)</f>
        <v>12</v>
      </c>
      <c r="AN572" s="1" t="n">
        <f aca="false">N(AN571)+IF(AND(OR(R572="offered",R572="to be offered",R572="on hold"),B572&lt;&gt;""),1,0)</f>
        <v>33</v>
      </c>
      <c r="AO572" s="1" t="n">
        <f aca="false">N(AO571)+IF(AND(OR(R572="follow-up",R572="Evaluation",R572="tbd",R572="In evaluation"),B572&lt;&gt;""),1,0)</f>
        <v>1</v>
      </c>
      <c r="AP572" s="1" t="n">
        <f aca="false">IF(B572="",0,IF(COUNTIF('⚖️ Wahrscheinlichkeit'!$J$17:$J$24,R572)&gt;0,1,0))</f>
        <v>0</v>
      </c>
      <c r="AQ572" s="1" t="n">
        <f aca="false">IF(B572="",0,IF(AND(ISNUMBER(S572),COUNTIF('⚖️ Wahrscheinlichkeit'!$B$6:$B$11,S572)&gt;0),1,0))</f>
        <v>0</v>
      </c>
      <c r="AR572" s="1" t="n">
        <f aca="false">IF(B572="",0,IF(AND(COUNT(J572:M572)=4,SUM(J572:M572)&gt;0),1,0))</f>
        <v>0</v>
      </c>
      <c r="AS572" s="1" t="n">
        <f aca="false">IF(B572="",0,IF(AND(AF572&lt;&gt;"",AG572&lt;&gt;""),1,0))</f>
        <v>0</v>
      </c>
      <c r="AT572" s="1" t="n">
        <f aca="false">IF(AND(R572="WON",AS572=1,AR572=1),1,0)</f>
        <v>0</v>
      </c>
      <c r="AU572" s="1" t="n">
        <f aca="false">IF(B572="",0,IF(AD572="Alternative – zählt nicht",0,1))</f>
        <v>0</v>
      </c>
      <c r="AV572" s="1" t="n">
        <f aca="false">IF(B572="",0,IF(COUNTIF($B$6:$B$860,B572)&gt;1,1,0))</f>
        <v>0</v>
      </c>
      <c r="AX572" s="269" t="str">
        <f aca="false">IF(AY572=1,DATE(YEAR(O572),MONTH(O572),1),"")</f>
        <v/>
      </c>
      <c r="AY572" s="1" t="n">
        <f aca="false">IF(B572="",0,IF(AND(ISNUMBER(O572),ISNUMBER(P572)),IF(P572&gt;=O572,1,0),0))</f>
        <v>0</v>
      </c>
      <c r="AZ572" s="1" t="n">
        <f aca="false">IF(ISNUMBER(Y572),Y572,0)</f>
        <v>0</v>
      </c>
      <c r="BA572" s="1" t="str">
        <f aca="false">IF(B572="","",IF(AND(R572="WON",AS572=0),"⛔ Beleg fehlt · ","")&amp;IF(AND(R572="WON",AR572=0),"⛔ Einstand fehlt · ","")&amp;IF(AND(R572&lt;&gt;"WON",AR572=0),"○ Einstand offen · ","")&amp;IF(AND(R572="WON",AB572=""),"⛔ Vertragsart fehlt · ","")&amp;IF(AND(ISNUMBER(O572),ISNUMBER(P572)),IF(P572&lt;O572,"⚠ Ende vor Start · ",""),"")&amp;IF(AND(R572="WON",AY572=0,NOT(AND(ISNUMBER(O572),ISNUMBER(P572)))),"⛔ Zeitraum fehlt · ","")&amp;IF(AND(R572&lt;&gt;"WON",AY572=0,NOT(AND(ISNUMBER(O572),ISNUMBER(P572)))),"○ Zeitraum offen · ",""))</f>
        <v/>
      </c>
      <c r="BB572" s="1" t="str">
        <f aca="false">IF(B572="","",IF(AND(R572="WON",AS572=0),"⛔ Nachweis fehlt",IF(AND(ISNUMBER(O572),ISNUMBER(P572),P572&lt;O572),"⚠ Ende vor Start",IF(AND(R572="WON",AY572=0),"⛔ Zeitraum fehlt",IF(AR572=0,"○ Einstand offen",IF(AY572=0,"○ Zeitraum offen",IF(R572="WON","✅ belegt","✔ erfasst")))))))</f>
        <v/>
      </c>
    </row>
    <row r="573" customFormat="false" ht="15" hidden="false" customHeight="true" outlineLevel="0" collapsed="false">
      <c r="G573" s="1" t="str">
        <f aca="false">IF(B573="","",IF(AY573=1,P573-O573+1,IF(AW573="","",AW573)))</f>
        <v/>
      </c>
      <c r="I573" s="270"/>
      <c r="J573" s="270"/>
      <c r="K573" s="270"/>
      <c r="L573" s="270"/>
      <c r="M573" s="270"/>
      <c r="N573" s="270"/>
      <c r="O573" s="263"/>
      <c r="P573" s="263"/>
      <c r="Q573" s="270" t="str">
        <f aca="false">IF(AND(ISNUMBER(I573),ISNUMBER(S573)),I573*AJ573,IF(OR(I573&lt;&gt;"",S573&lt;&gt;""),"tbd",""))</f>
        <v/>
      </c>
      <c r="S573" s="268"/>
      <c r="Y573" s="275" t="str">
        <f aca="false">IF(ISNUMBER(I573),I573/Netto_Faktor,"")</f>
        <v/>
      </c>
      <c r="Z573" s="275" t="str">
        <f aca="false">IF(B573="","",IF(COUNT(J573:N573)=0,"",SUM(J573:N573)))</f>
        <v/>
      </c>
      <c r="AA573" s="266"/>
      <c r="AB573" s="266"/>
      <c r="AC573" s="266"/>
      <c r="AD573" s="266"/>
      <c r="AE573" s="266"/>
      <c r="AF573" s="266"/>
      <c r="AG573" s="267"/>
      <c r="AH573" s="266" t="str">
        <f aca="false">IF(B573="","",IF(BA573="",IF(R573="WON","✅ belegt &amp; vollständig","✔ vollständig"),LEFT(BA573,LEN(BA573)-3)))</f>
        <v/>
      </c>
      <c r="AJ573" s="268" t="n">
        <f aca="false">IF(ISNUMBER(S573),IFERROR(LOOKUP(IF(S573&lt;=1,S573,S573/100),'⚖️ Wahrscheinlichkeit'!$B$17:$B$21,'⚖️ Wahrscheinlichkeit'!$D$17:$D$21),0),0)</f>
        <v>0</v>
      </c>
      <c r="AK573" s="1" t="str">
        <f aca="false">IF(AND(R573="WON",ISNUMBER(I573)),AL573+(861-ROW())*0.000001,"")</f>
        <v/>
      </c>
      <c r="AL573" s="1" t="n">
        <f aca="false">IFERROR(I573*1,0)</f>
        <v>0</v>
      </c>
      <c r="AM573" s="1" t="n">
        <f aca="false">N(AM572)+IF(AND(R573="WON",B573&lt;&gt;""),1,0)</f>
        <v>12</v>
      </c>
      <c r="AN573" s="1" t="n">
        <f aca="false">N(AN572)+IF(AND(OR(R573="offered",R573="to be offered",R573="on hold"),B573&lt;&gt;""),1,0)</f>
        <v>33</v>
      </c>
      <c r="AO573" s="1" t="n">
        <f aca="false">N(AO572)+IF(AND(OR(R573="follow-up",R573="Evaluation",R573="tbd",R573="In evaluation"),B573&lt;&gt;""),1,0)</f>
        <v>1</v>
      </c>
      <c r="AP573" s="1" t="n">
        <f aca="false">IF(B573="",0,IF(COUNTIF('⚖️ Wahrscheinlichkeit'!$J$17:$J$24,R573)&gt;0,1,0))</f>
        <v>0</v>
      </c>
      <c r="AQ573" s="1" t="n">
        <f aca="false">IF(B573="",0,IF(AND(ISNUMBER(S573),COUNTIF('⚖️ Wahrscheinlichkeit'!$B$6:$B$11,S573)&gt;0),1,0))</f>
        <v>0</v>
      </c>
      <c r="AR573" s="1" t="n">
        <f aca="false">IF(B573="",0,IF(AND(COUNT(J573:M573)=4,SUM(J573:M573)&gt;0),1,0))</f>
        <v>0</v>
      </c>
      <c r="AS573" s="1" t="n">
        <f aca="false">IF(B573="",0,IF(AND(AF573&lt;&gt;"",AG573&lt;&gt;""),1,0))</f>
        <v>0</v>
      </c>
      <c r="AT573" s="1" t="n">
        <f aca="false">IF(AND(R573="WON",AS573=1,AR573=1),1,0)</f>
        <v>0</v>
      </c>
      <c r="AU573" s="1" t="n">
        <f aca="false">IF(B573="",0,IF(AD573="Alternative – zählt nicht",0,1))</f>
        <v>0</v>
      </c>
      <c r="AV573" s="1" t="n">
        <f aca="false">IF(B573="",0,IF(COUNTIF($B$6:$B$860,B573)&gt;1,1,0))</f>
        <v>0</v>
      </c>
      <c r="AX573" s="269" t="str">
        <f aca="false">IF(AY573=1,DATE(YEAR(O573),MONTH(O573),1),"")</f>
        <v/>
      </c>
      <c r="AY573" s="1" t="n">
        <f aca="false">IF(B573="",0,IF(AND(ISNUMBER(O573),ISNUMBER(P573)),IF(P573&gt;=O573,1,0),0))</f>
        <v>0</v>
      </c>
      <c r="AZ573" s="1" t="n">
        <f aca="false">IF(ISNUMBER(Y573),Y573,0)</f>
        <v>0</v>
      </c>
      <c r="BA573" s="1" t="str">
        <f aca="false">IF(B573="","",IF(AND(R573="WON",AS573=0),"⛔ Beleg fehlt · ","")&amp;IF(AND(R573="WON",AR573=0),"⛔ Einstand fehlt · ","")&amp;IF(AND(R573&lt;&gt;"WON",AR573=0),"○ Einstand offen · ","")&amp;IF(AND(R573="WON",AB573=""),"⛔ Vertragsart fehlt · ","")&amp;IF(AND(ISNUMBER(O573),ISNUMBER(P573)),IF(P573&lt;O573,"⚠ Ende vor Start · ",""),"")&amp;IF(AND(R573="WON",AY573=0,NOT(AND(ISNUMBER(O573),ISNUMBER(P573)))),"⛔ Zeitraum fehlt · ","")&amp;IF(AND(R573&lt;&gt;"WON",AY573=0,NOT(AND(ISNUMBER(O573),ISNUMBER(P573)))),"○ Zeitraum offen · ",""))</f>
        <v/>
      </c>
      <c r="BB573" s="1" t="str">
        <f aca="false">IF(B573="","",IF(AND(R573="WON",AS573=0),"⛔ Nachweis fehlt",IF(AND(ISNUMBER(O573),ISNUMBER(P573),P573&lt;O573),"⚠ Ende vor Start",IF(AND(R573="WON",AY573=0),"⛔ Zeitraum fehlt",IF(AR573=0,"○ Einstand offen",IF(AY573=0,"○ Zeitraum offen",IF(R573="WON","✅ belegt","✔ erfasst")))))))</f>
        <v/>
      </c>
    </row>
    <row r="574" customFormat="false" ht="15" hidden="false" customHeight="true" outlineLevel="0" collapsed="false">
      <c r="G574" s="1" t="str">
        <f aca="false">IF(B574="","",IF(AY574=1,P574-O574+1,IF(AW574="","",AW574)))</f>
        <v/>
      </c>
      <c r="I574" s="270"/>
      <c r="J574" s="270"/>
      <c r="K574" s="270"/>
      <c r="L574" s="270"/>
      <c r="M574" s="270"/>
      <c r="N574" s="270"/>
      <c r="O574" s="263"/>
      <c r="P574" s="263"/>
      <c r="Q574" s="270" t="str">
        <f aca="false">IF(AND(ISNUMBER(I574),ISNUMBER(S574)),I574*AJ574,IF(OR(I574&lt;&gt;"",S574&lt;&gt;""),"tbd",""))</f>
        <v/>
      </c>
      <c r="S574" s="268"/>
      <c r="Y574" s="275" t="str">
        <f aca="false">IF(ISNUMBER(I574),I574/Netto_Faktor,"")</f>
        <v/>
      </c>
      <c r="Z574" s="275" t="str">
        <f aca="false">IF(B574="","",IF(COUNT(J574:N574)=0,"",SUM(J574:N574)))</f>
        <v/>
      </c>
      <c r="AA574" s="266"/>
      <c r="AB574" s="266"/>
      <c r="AC574" s="266"/>
      <c r="AD574" s="266"/>
      <c r="AE574" s="266"/>
      <c r="AF574" s="266"/>
      <c r="AG574" s="267"/>
      <c r="AH574" s="266" t="str">
        <f aca="false">IF(B574="","",IF(BA574="",IF(R574="WON","✅ belegt &amp; vollständig","✔ vollständig"),LEFT(BA574,LEN(BA574)-3)))</f>
        <v/>
      </c>
      <c r="AJ574" s="268" t="n">
        <f aca="false">IF(ISNUMBER(S574),IFERROR(LOOKUP(IF(S574&lt;=1,S574,S574/100),'⚖️ Wahrscheinlichkeit'!$B$17:$B$21,'⚖️ Wahrscheinlichkeit'!$D$17:$D$21),0),0)</f>
        <v>0</v>
      </c>
      <c r="AK574" s="1" t="str">
        <f aca="false">IF(AND(R574="WON",ISNUMBER(I574)),AL574+(861-ROW())*0.000001,"")</f>
        <v/>
      </c>
      <c r="AL574" s="1" t="n">
        <f aca="false">IFERROR(I574*1,0)</f>
        <v>0</v>
      </c>
      <c r="AM574" s="1" t="n">
        <f aca="false">N(AM573)+IF(AND(R574="WON",B574&lt;&gt;""),1,0)</f>
        <v>12</v>
      </c>
      <c r="AN574" s="1" t="n">
        <f aca="false">N(AN573)+IF(AND(OR(R574="offered",R574="to be offered",R574="on hold"),B574&lt;&gt;""),1,0)</f>
        <v>33</v>
      </c>
      <c r="AO574" s="1" t="n">
        <f aca="false">N(AO573)+IF(AND(OR(R574="follow-up",R574="Evaluation",R574="tbd",R574="In evaluation"),B574&lt;&gt;""),1,0)</f>
        <v>1</v>
      </c>
      <c r="AP574" s="1" t="n">
        <f aca="false">IF(B574="",0,IF(COUNTIF('⚖️ Wahrscheinlichkeit'!$J$17:$J$24,R574)&gt;0,1,0))</f>
        <v>0</v>
      </c>
      <c r="AQ574" s="1" t="n">
        <f aca="false">IF(B574="",0,IF(AND(ISNUMBER(S574),COUNTIF('⚖️ Wahrscheinlichkeit'!$B$6:$B$11,S574)&gt;0),1,0))</f>
        <v>0</v>
      </c>
      <c r="AR574" s="1" t="n">
        <f aca="false">IF(B574="",0,IF(AND(COUNT(J574:M574)=4,SUM(J574:M574)&gt;0),1,0))</f>
        <v>0</v>
      </c>
      <c r="AS574" s="1" t="n">
        <f aca="false">IF(B574="",0,IF(AND(AF574&lt;&gt;"",AG574&lt;&gt;""),1,0))</f>
        <v>0</v>
      </c>
      <c r="AT574" s="1" t="n">
        <f aca="false">IF(AND(R574="WON",AS574=1,AR574=1),1,0)</f>
        <v>0</v>
      </c>
      <c r="AU574" s="1" t="n">
        <f aca="false">IF(B574="",0,IF(AD574="Alternative – zählt nicht",0,1))</f>
        <v>0</v>
      </c>
      <c r="AV574" s="1" t="n">
        <f aca="false">IF(B574="",0,IF(COUNTIF($B$6:$B$860,B574)&gt;1,1,0))</f>
        <v>0</v>
      </c>
      <c r="AX574" s="269" t="str">
        <f aca="false">IF(AY574=1,DATE(YEAR(O574),MONTH(O574),1),"")</f>
        <v/>
      </c>
      <c r="AY574" s="1" t="n">
        <f aca="false">IF(B574="",0,IF(AND(ISNUMBER(O574),ISNUMBER(P574)),IF(P574&gt;=O574,1,0),0))</f>
        <v>0</v>
      </c>
      <c r="AZ574" s="1" t="n">
        <f aca="false">IF(ISNUMBER(Y574),Y574,0)</f>
        <v>0</v>
      </c>
      <c r="BA574" s="1" t="str">
        <f aca="false">IF(B574="","",IF(AND(R574="WON",AS574=0),"⛔ Beleg fehlt · ","")&amp;IF(AND(R574="WON",AR574=0),"⛔ Einstand fehlt · ","")&amp;IF(AND(R574&lt;&gt;"WON",AR574=0),"○ Einstand offen · ","")&amp;IF(AND(R574="WON",AB574=""),"⛔ Vertragsart fehlt · ","")&amp;IF(AND(ISNUMBER(O574),ISNUMBER(P574)),IF(P574&lt;O574,"⚠ Ende vor Start · ",""),"")&amp;IF(AND(R574="WON",AY574=0,NOT(AND(ISNUMBER(O574),ISNUMBER(P574)))),"⛔ Zeitraum fehlt · ","")&amp;IF(AND(R574&lt;&gt;"WON",AY574=0,NOT(AND(ISNUMBER(O574),ISNUMBER(P574)))),"○ Zeitraum offen · ",""))</f>
        <v/>
      </c>
      <c r="BB574" s="1" t="str">
        <f aca="false">IF(B574="","",IF(AND(R574="WON",AS574=0),"⛔ Nachweis fehlt",IF(AND(ISNUMBER(O574),ISNUMBER(P574),P574&lt;O574),"⚠ Ende vor Start",IF(AND(R574="WON",AY574=0),"⛔ Zeitraum fehlt",IF(AR574=0,"○ Einstand offen",IF(AY574=0,"○ Zeitraum offen",IF(R574="WON","✅ belegt","✔ erfasst")))))))</f>
        <v/>
      </c>
    </row>
    <row r="575" customFormat="false" ht="15" hidden="false" customHeight="true" outlineLevel="0" collapsed="false">
      <c r="G575" s="1" t="str">
        <f aca="false">IF(B575="","",IF(AY575=1,P575-O575+1,IF(AW575="","",AW575)))</f>
        <v/>
      </c>
      <c r="I575" s="270"/>
      <c r="J575" s="270"/>
      <c r="K575" s="270"/>
      <c r="L575" s="270"/>
      <c r="M575" s="270"/>
      <c r="N575" s="270"/>
      <c r="O575" s="263"/>
      <c r="P575" s="263"/>
      <c r="Q575" s="270" t="str">
        <f aca="false">IF(AND(ISNUMBER(I575),ISNUMBER(S575)),I575*AJ575,IF(OR(I575&lt;&gt;"",S575&lt;&gt;""),"tbd",""))</f>
        <v/>
      </c>
      <c r="S575" s="268"/>
      <c r="Y575" s="275" t="str">
        <f aca="false">IF(ISNUMBER(I575),I575/Netto_Faktor,"")</f>
        <v/>
      </c>
      <c r="Z575" s="275" t="str">
        <f aca="false">IF(B575="","",IF(COUNT(J575:N575)=0,"",SUM(J575:N575)))</f>
        <v/>
      </c>
      <c r="AA575" s="266"/>
      <c r="AB575" s="266"/>
      <c r="AC575" s="266"/>
      <c r="AD575" s="266"/>
      <c r="AE575" s="266"/>
      <c r="AF575" s="266"/>
      <c r="AG575" s="267"/>
      <c r="AH575" s="266" t="str">
        <f aca="false">IF(B575="","",IF(BA575="",IF(R575="WON","✅ belegt &amp; vollständig","✔ vollständig"),LEFT(BA575,LEN(BA575)-3)))</f>
        <v/>
      </c>
      <c r="AJ575" s="268" t="n">
        <f aca="false">IF(ISNUMBER(S575),IFERROR(LOOKUP(IF(S575&lt;=1,S575,S575/100),'⚖️ Wahrscheinlichkeit'!$B$17:$B$21,'⚖️ Wahrscheinlichkeit'!$D$17:$D$21),0),0)</f>
        <v>0</v>
      </c>
      <c r="AK575" s="1" t="str">
        <f aca="false">IF(AND(R575="WON",ISNUMBER(I575)),AL575+(861-ROW())*0.000001,"")</f>
        <v/>
      </c>
      <c r="AL575" s="1" t="n">
        <f aca="false">IFERROR(I575*1,0)</f>
        <v>0</v>
      </c>
      <c r="AM575" s="1" t="n">
        <f aca="false">N(AM574)+IF(AND(R575="WON",B575&lt;&gt;""),1,0)</f>
        <v>12</v>
      </c>
      <c r="AN575" s="1" t="n">
        <f aca="false">N(AN574)+IF(AND(OR(R575="offered",R575="to be offered",R575="on hold"),B575&lt;&gt;""),1,0)</f>
        <v>33</v>
      </c>
      <c r="AO575" s="1" t="n">
        <f aca="false">N(AO574)+IF(AND(OR(R575="follow-up",R575="Evaluation",R575="tbd",R575="In evaluation"),B575&lt;&gt;""),1,0)</f>
        <v>1</v>
      </c>
      <c r="AP575" s="1" t="n">
        <f aca="false">IF(B575="",0,IF(COUNTIF('⚖️ Wahrscheinlichkeit'!$J$17:$J$24,R575)&gt;0,1,0))</f>
        <v>0</v>
      </c>
      <c r="AQ575" s="1" t="n">
        <f aca="false">IF(B575="",0,IF(AND(ISNUMBER(S575),COUNTIF('⚖️ Wahrscheinlichkeit'!$B$6:$B$11,S575)&gt;0),1,0))</f>
        <v>0</v>
      </c>
      <c r="AR575" s="1" t="n">
        <f aca="false">IF(B575="",0,IF(AND(COUNT(J575:M575)=4,SUM(J575:M575)&gt;0),1,0))</f>
        <v>0</v>
      </c>
      <c r="AS575" s="1" t="n">
        <f aca="false">IF(B575="",0,IF(AND(AF575&lt;&gt;"",AG575&lt;&gt;""),1,0))</f>
        <v>0</v>
      </c>
      <c r="AT575" s="1" t="n">
        <f aca="false">IF(AND(R575="WON",AS575=1,AR575=1),1,0)</f>
        <v>0</v>
      </c>
      <c r="AU575" s="1" t="n">
        <f aca="false">IF(B575="",0,IF(AD575="Alternative – zählt nicht",0,1))</f>
        <v>0</v>
      </c>
      <c r="AV575" s="1" t="n">
        <f aca="false">IF(B575="",0,IF(COUNTIF($B$6:$B$860,B575)&gt;1,1,0))</f>
        <v>0</v>
      </c>
      <c r="AX575" s="269" t="str">
        <f aca="false">IF(AY575=1,DATE(YEAR(O575),MONTH(O575),1),"")</f>
        <v/>
      </c>
      <c r="AY575" s="1" t="n">
        <f aca="false">IF(B575="",0,IF(AND(ISNUMBER(O575),ISNUMBER(P575)),IF(P575&gt;=O575,1,0),0))</f>
        <v>0</v>
      </c>
      <c r="AZ575" s="1" t="n">
        <f aca="false">IF(ISNUMBER(Y575),Y575,0)</f>
        <v>0</v>
      </c>
      <c r="BA575" s="1" t="str">
        <f aca="false">IF(B575="","",IF(AND(R575="WON",AS575=0),"⛔ Beleg fehlt · ","")&amp;IF(AND(R575="WON",AR575=0),"⛔ Einstand fehlt · ","")&amp;IF(AND(R575&lt;&gt;"WON",AR575=0),"○ Einstand offen · ","")&amp;IF(AND(R575="WON",AB575=""),"⛔ Vertragsart fehlt · ","")&amp;IF(AND(ISNUMBER(O575),ISNUMBER(P575)),IF(P575&lt;O575,"⚠ Ende vor Start · ",""),"")&amp;IF(AND(R575="WON",AY575=0,NOT(AND(ISNUMBER(O575),ISNUMBER(P575)))),"⛔ Zeitraum fehlt · ","")&amp;IF(AND(R575&lt;&gt;"WON",AY575=0,NOT(AND(ISNUMBER(O575),ISNUMBER(P575)))),"○ Zeitraum offen · ",""))</f>
        <v/>
      </c>
      <c r="BB575" s="1" t="str">
        <f aca="false">IF(B575="","",IF(AND(R575="WON",AS575=0),"⛔ Nachweis fehlt",IF(AND(ISNUMBER(O575),ISNUMBER(P575),P575&lt;O575),"⚠ Ende vor Start",IF(AND(R575="WON",AY575=0),"⛔ Zeitraum fehlt",IF(AR575=0,"○ Einstand offen",IF(AY575=0,"○ Zeitraum offen",IF(R575="WON","✅ belegt","✔ erfasst")))))))</f>
        <v/>
      </c>
    </row>
    <row r="576" customFormat="false" ht="15" hidden="false" customHeight="true" outlineLevel="0" collapsed="false">
      <c r="G576" s="1" t="str">
        <f aca="false">IF(B576="","",IF(AY576=1,P576-O576+1,IF(AW576="","",AW576)))</f>
        <v/>
      </c>
      <c r="I576" s="270"/>
      <c r="J576" s="270"/>
      <c r="K576" s="270"/>
      <c r="L576" s="270"/>
      <c r="M576" s="270"/>
      <c r="N576" s="270"/>
      <c r="O576" s="263"/>
      <c r="P576" s="263"/>
      <c r="Q576" s="270" t="str">
        <f aca="false">IF(AND(ISNUMBER(I576),ISNUMBER(S576)),I576*AJ576,IF(OR(I576&lt;&gt;"",S576&lt;&gt;""),"tbd",""))</f>
        <v/>
      </c>
      <c r="S576" s="268"/>
      <c r="Y576" s="275" t="str">
        <f aca="false">IF(ISNUMBER(I576),I576/Netto_Faktor,"")</f>
        <v/>
      </c>
      <c r="Z576" s="275" t="str">
        <f aca="false">IF(B576="","",IF(COUNT(J576:N576)=0,"",SUM(J576:N576)))</f>
        <v/>
      </c>
      <c r="AA576" s="266"/>
      <c r="AB576" s="266"/>
      <c r="AC576" s="266"/>
      <c r="AD576" s="266"/>
      <c r="AE576" s="266"/>
      <c r="AF576" s="266"/>
      <c r="AG576" s="267"/>
      <c r="AH576" s="266" t="str">
        <f aca="false">IF(B576="","",IF(BA576="",IF(R576="WON","✅ belegt &amp; vollständig","✔ vollständig"),LEFT(BA576,LEN(BA576)-3)))</f>
        <v/>
      </c>
      <c r="AJ576" s="268" t="n">
        <f aca="false">IF(ISNUMBER(S576),IFERROR(LOOKUP(IF(S576&lt;=1,S576,S576/100),'⚖️ Wahrscheinlichkeit'!$B$17:$B$21,'⚖️ Wahrscheinlichkeit'!$D$17:$D$21),0),0)</f>
        <v>0</v>
      </c>
      <c r="AK576" s="1" t="str">
        <f aca="false">IF(AND(R576="WON",ISNUMBER(I576)),AL576+(861-ROW())*0.000001,"")</f>
        <v/>
      </c>
      <c r="AL576" s="1" t="n">
        <f aca="false">IFERROR(I576*1,0)</f>
        <v>0</v>
      </c>
      <c r="AM576" s="1" t="n">
        <f aca="false">N(AM575)+IF(AND(R576="WON",B576&lt;&gt;""),1,0)</f>
        <v>12</v>
      </c>
      <c r="AN576" s="1" t="n">
        <f aca="false">N(AN575)+IF(AND(OR(R576="offered",R576="to be offered",R576="on hold"),B576&lt;&gt;""),1,0)</f>
        <v>33</v>
      </c>
      <c r="AO576" s="1" t="n">
        <f aca="false">N(AO575)+IF(AND(OR(R576="follow-up",R576="Evaluation",R576="tbd",R576="In evaluation"),B576&lt;&gt;""),1,0)</f>
        <v>1</v>
      </c>
      <c r="AP576" s="1" t="n">
        <f aca="false">IF(B576="",0,IF(COUNTIF('⚖️ Wahrscheinlichkeit'!$J$17:$J$24,R576)&gt;0,1,0))</f>
        <v>0</v>
      </c>
      <c r="AQ576" s="1" t="n">
        <f aca="false">IF(B576="",0,IF(AND(ISNUMBER(S576),COUNTIF('⚖️ Wahrscheinlichkeit'!$B$6:$B$11,S576)&gt;0),1,0))</f>
        <v>0</v>
      </c>
      <c r="AR576" s="1" t="n">
        <f aca="false">IF(B576="",0,IF(AND(COUNT(J576:M576)=4,SUM(J576:M576)&gt;0),1,0))</f>
        <v>0</v>
      </c>
      <c r="AS576" s="1" t="n">
        <f aca="false">IF(B576="",0,IF(AND(AF576&lt;&gt;"",AG576&lt;&gt;""),1,0))</f>
        <v>0</v>
      </c>
      <c r="AT576" s="1" t="n">
        <f aca="false">IF(AND(R576="WON",AS576=1,AR576=1),1,0)</f>
        <v>0</v>
      </c>
      <c r="AU576" s="1" t="n">
        <f aca="false">IF(B576="",0,IF(AD576="Alternative – zählt nicht",0,1))</f>
        <v>0</v>
      </c>
      <c r="AV576" s="1" t="n">
        <f aca="false">IF(B576="",0,IF(COUNTIF($B$6:$B$860,B576)&gt;1,1,0))</f>
        <v>0</v>
      </c>
      <c r="AX576" s="269" t="str">
        <f aca="false">IF(AY576=1,DATE(YEAR(O576),MONTH(O576),1),"")</f>
        <v/>
      </c>
      <c r="AY576" s="1" t="n">
        <f aca="false">IF(B576="",0,IF(AND(ISNUMBER(O576),ISNUMBER(P576)),IF(P576&gt;=O576,1,0),0))</f>
        <v>0</v>
      </c>
      <c r="AZ576" s="1" t="n">
        <f aca="false">IF(ISNUMBER(Y576),Y576,0)</f>
        <v>0</v>
      </c>
      <c r="BA576" s="1" t="str">
        <f aca="false">IF(B576="","",IF(AND(R576="WON",AS576=0),"⛔ Beleg fehlt · ","")&amp;IF(AND(R576="WON",AR576=0),"⛔ Einstand fehlt · ","")&amp;IF(AND(R576&lt;&gt;"WON",AR576=0),"○ Einstand offen · ","")&amp;IF(AND(R576="WON",AB576=""),"⛔ Vertragsart fehlt · ","")&amp;IF(AND(ISNUMBER(O576),ISNUMBER(P576)),IF(P576&lt;O576,"⚠ Ende vor Start · ",""),"")&amp;IF(AND(R576="WON",AY576=0,NOT(AND(ISNUMBER(O576),ISNUMBER(P576)))),"⛔ Zeitraum fehlt · ","")&amp;IF(AND(R576&lt;&gt;"WON",AY576=0,NOT(AND(ISNUMBER(O576),ISNUMBER(P576)))),"○ Zeitraum offen · ",""))</f>
        <v/>
      </c>
      <c r="BB576" s="1" t="str">
        <f aca="false">IF(B576="","",IF(AND(R576="WON",AS576=0),"⛔ Nachweis fehlt",IF(AND(ISNUMBER(O576),ISNUMBER(P576),P576&lt;O576),"⚠ Ende vor Start",IF(AND(R576="WON",AY576=0),"⛔ Zeitraum fehlt",IF(AR576=0,"○ Einstand offen",IF(AY576=0,"○ Zeitraum offen",IF(R576="WON","✅ belegt","✔ erfasst")))))))</f>
        <v/>
      </c>
    </row>
    <row r="577" customFormat="false" ht="15" hidden="false" customHeight="true" outlineLevel="0" collapsed="false">
      <c r="G577" s="1" t="str">
        <f aca="false">IF(B577="","",IF(AY577=1,P577-O577+1,IF(AW577="","",AW577)))</f>
        <v/>
      </c>
      <c r="I577" s="270"/>
      <c r="J577" s="270"/>
      <c r="K577" s="270"/>
      <c r="L577" s="270"/>
      <c r="M577" s="270"/>
      <c r="N577" s="270"/>
      <c r="O577" s="263"/>
      <c r="P577" s="263"/>
      <c r="Q577" s="270" t="str">
        <f aca="false">IF(AND(ISNUMBER(I577),ISNUMBER(S577)),I577*AJ577,IF(OR(I577&lt;&gt;"",S577&lt;&gt;""),"tbd",""))</f>
        <v/>
      </c>
      <c r="S577" s="268"/>
      <c r="Y577" s="275" t="str">
        <f aca="false">IF(ISNUMBER(I577),I577/Netto_Faktor,"")</f>
        <v/>
      </c>
      <c r="Z577" s="275" t="str">
        <f aca="false">IF(B577="","",IF(COUNT(J577:N577)=0,"",SUM(J577:N577)))</f>
        <v/>
      </c>
      <c r="AA577" s="266"/>
      <c r="AB577" s="266"/>
      <c r="AC577" s="266"/>
      <c r="AD577" s="266"/>
      <c r="AE577" s="266"/>
      <c r="AF577" s="266"/>
      <c r="AG577" s="267"/>
      <c r="AH577" s="266" t="str">
        <f aca="false">IF(B577="","",IF(BA577="",IF(R577="WON","✅ belegt &amp; vollständig","✔ vollständig"),LEFT(BA577,LEN(BA577)-3)))</f>
        <v/>
      </c>
      <c r="AJ577" s="268" t="n">
        <f aca="false">IF(ISNUMBER(S577),IFERROR(LOOKUP(IF(S577&lt;=1,S577,S577/100),'⚖️ Wahrscheinlichkeit'!$B$17:$B$21,'⚖️ Wahrscheinlichkeit'!$D$17:$D$21),0),0)</f>
        <v>0</v>
      </c>
      <c r="AK577" s="1" t="str">
        <f aca="false">IF(AND(R577="WON",ISNUMBER(I577)),AL577+(861-ROW())*0.000001,"")</f>
        <v/>
      </c>
      <c r="AL577" s="1" t="n">
        <f aca="false">IFERROR(I577*1,0)</f>
        <v>0</v>
      </c>
      <c r="AM577" s="1" t="n">
        <f aca="false">N(AM576)+IF(AND(R577="WON",B577&lt;&gt;""),1,0)</f>
        <v>12</v>
      </c>
      <c r="AN577" s="1" t="n">
        <f aca="false">N(AN576)+IF(AND(OR(R577="offered",R577="to be offered",R577="on hold"),B577&lt;&gt;""),1,0)</f>
        <v>33</v>
      </c>
      <c r="AO577" s="1" t="n">
        <f aca="false">N(AO576)+IF(AND(OR(R577="follow-up",R577="Evaluation",R577="tbd",R577="In evaluation"),B577&lt;&gt;""),1,0)</f>
        <v>1</v>
      </c>
      <c r="AP577" s="1" t="n">
        <f aca="false">IF(B577="",0,IF(COUNTIF('⚖️ Wahrscheinlichkeit'!$J$17:$J$24,R577)&gt;0,1,0))</f>
        <v>0</v>
      </c>
      <c r="AQ577" s="1" t="n">
        <f aca="false">IF(B577="",0,IF(AND(ISNUMBER(S577),COUNTIF('⚖️ Wahrscheinlichkeit'!$B$6:$B$11,S577)&gt;0),1,0))</f>
        <v>0</v>
      </c>
      <c r="AR577" s="1" t="n">
        <f aca="false">IF(B577="",0,IF(AND(COUNT(J577:M577)=4,SUM(J577:M577)&gt;0),1,0))</f>
        <v>0</v>
      </c>
      <c r="AS577" s="1" t="n">
        <f aca="false">IF(B577="",0,IF(AND(AF577&lt;&gt;"",AG577&lt;&gt;""),1,0))</f>
        <v>0</v>
      </c>
      <c r="AT577" s="1" t="n">
        <f aca="false">IF(AND(R577="WON",AS577=1,AR577=1),1,0)</f>
        <v>0</v>
      </c>
      <c r="AU577" s="1" t="n">
        <f aca="false">IF(B577="",0,IF(AD577="Alternative – zählt nicht",0,1))</f>
        <v>0</v>
      </c>
      <c r="AV577" s="1" t="n">
        <f aca="false">IF(B577="",0,IF(COUNTIF($B$6:$B$860,B577)&gt;1,1,0))</f>
        <v>0</v>
      </c>
      <c r="AX577" s="269" t="str">
        <f aca="false">IF(AY577=1,DATE(YEAR(O577),MONTH(O577),1),"")</f>
        <v/>
      </c>
      <c r="AY577" s="1" t="n">
        <f aca="false">IF(B577="",0,IF(AND(ISNUMBER(O577),ISNUMBER(P577)),IF(P577&gt;=O577,1,0),0))</f>
        <v>0</v>
      </c>
      <c r="AZ577" s="1" t="n">
        <f aca="false">IF(ISNUMBER(Y577),Y577,0)</f>
        <v>0</v>
      </c>
      <c r="BA577" s="1" t="str">
        <f aca="false">IF(B577="","",IF(AND(R577="WON",AS577=0),"⛔ Beleg fehlt · ","")&amp;IF(AND(R577="WON",AR577=0),"⛔ Einstand fehlt · ","")&amp;IF(AND(R577&lt;&gt;"WON",AR577=0),"○ Einstand offen · ","")&amp;IF(AND(R577="WON",AB577=""),"⛔ Vertragsart fehlt · ","")&amp;IF(AND(ISNUMBER(O577),ISNUMBER(P577)),IF(P577&lt;O577,"⚠ Ende vor Start · ",""),"")&amp;IF(AND(R577="WON",AY577=0,NOT(AND(ISNUMBER(O577),ISNUMBER(P577)))),"⛔ Zeitraum fehlt · ","")&amp;IF(AND(R577&lt;&gt;"WON",AY577=0,NOT(AND(ISNUMBER(O577),ISNUMBER(P577)))),"○ Zeitraum offen · ",""))</f>
        <v/>
      </c>
      <c r="BB577" s="1" t="str">
        <f aca="false">IF(B577="","",IF(AND(R577="WON",AS577=0),"⛔ Nachweis fehlt",IF(AND(ISNUMBER(O577),ISNUMBER(P577),P577&lt;O577),"⚠ Ende vor Start",IF(AND(R577="WON",AY577=0),"⛔ Zeitraum fehlt",IF(AR577=0,"○ Einstand offen",IF(AY577=0,"○ Zeitraum offen",IF(R577="WON","✅ belegt","✔ erfasst")))))))</f>
        <v/>
      </c>
    </row>
    <row r="578" customFormat="false" ht="15" hidden="false" customHeight="true" outlineLevel="0" collapsed="false">
      <c r="G578" s="1" t="str">
        <f aca="false">IF(B578="","",IF(AY578=1,P578-O578+1,IF(AW578="","",AW578)))</f>
        <v/>
      </c>
      <c r="I578" s="270"/>
      <c r="J578" s="270"/>
      <c r="K578" s="270"/>
      <c r="L578" s="270"/>
      <c r="M578" s="270"/>
      <c r="N578" s="270"/>
      <c r="O578" s="263"/>
      <c r="P578" s="263"/>
      <c r="Q578" s="270" t="str">
        <f aca="false">IF(AND(ISNUMBER(I578),ISNUMBER(S578)),I578*AJ578,IF(OR(I578&lt;&gt;"",S578&lt;&gt;""),"tbd",""))</f>
        <v/>
      </c>
      <c r="S578" s="268"/>
      <c r="Y578" s="275" t="str">
        <f aca="false">IF(ISNUMBER(I578),I578/Netto_Faktor,"")</f>
        <v/>
      </c>
      <c r="Z578" s="275" t="str">
        <f aca="false">IF(B578="","",IF(COUNT(J578:N578)=0,"",SUM(J578:N578)))</f>
        <v/>
      </c>
      <c r="AA578" s="266"/>
      <c r="AB578" s="266"/>
      <c r="AC578" s="266"/>
      <c r="AD578" s="266"/>
      <c r="AE578" s="266"/>
      <c r="AF578" s="266"/>
      <c r="AG578" s="267"/>
      <c r="AH578" s="266" t="str">
        <f aca="false">IF(B578="","",IF(BA578="",IF(R578="WON","✅ belegt &amp; vollständig","✔ vollständig"),LEFT(BA578,LEN(BA578)-3)))</f>
        <v/>
      </c>
      <c r="AJ578" s="268" t="n">
        <f aca="false">IF(ISNUMBER(S578),IFERROR(LOOKUP(IF(S578&lt;=1,S578,S578/100),'⚖️ Wahrscheinlichkeit'!$B$17:$B$21,'⚖️ Wahrscheinlichkeit'!$D$17:$D$21),0),0)</f>
        <v>0</v>
      </c>
      <c r="AK578" s="1" t="str">
        <f aca="false">IF(AND(R578="WON",ISNUMBER(I578)),AL578+(861-ROW())*0.000001,"")</f>
        <v/>
      </c>
      <c r="AL578" s="1" t="n">
        <f aca="false">IFERROR(I578*1,0)</f>
        <v>0</v>
      </c>
      <c r="AM578" s="1" t="n">
        <f aca="false">N(AM577)+IF(AND(R578="WON",B578&lt;&gt;""),1,0)</f>
        <v>12</v>
      </c>
      <c r="AN578" s="1" t="n">
        <f aca="false">N(AN577)+IF(AND(OR(R578="offered",R578="to be offered",R578="on hold"),B578&lt;&gt;""),1,0)</f>
        <v>33</v>
      </c>
      <c r="AO578" s="1" t="n">
        <f aca="false">N(AO577)+IF(AND(OR(R578="follow-up",R578="Evaluation",R578="tbd",R578="In evaluation"),B578&lt;&gt;""),1,0)</f>
        <v>1</v>
      </c>
      <c r="AP578" s="1" t="n">
        <f aca="false">IF(B578="",0,IF(COUNTIF('⚖️ Wahrscheinlichkeit'!$J$17:$J$24,R578)&gt;0,1,0))</f>
        <v>0</v>
      </c>
      <c r="AQ578" s="1" t="n">
        <f aca="false">IF(B578="",0,IF(AND(ISNUMBER(S578),COUNTIF('⚖️ Wahrscheinlichkeit'!$B$6:$B$11,S578)&gt;0),1,0))</f>
        <v>0</v>
      </c>
      <c r="AR578" s="1" t="n">
        <f aca="false">IF(B578="",0,IF(AND(COUNT(J578:M578)=4,SUM(J578:M578)&gt;0),1,0))</f>
        <v>0</v>
      </c>
      <c r="AS578" s="1" t="n">
        <f aca="false">IF(B578="",0,IF(AND(AF578&lt;&gt;"",AG578&lt;&gt;""),1,0))</f>
        <v>0</v>
      </c>
      <c r="AT578" s="1" t="n">
        <f aca="false">IF(AND(R578="WON",AS578=1,AR578=1),1,0)</f>
        <v>0</v>
      </c>
      <c r="AU578" s="1" t="n">
        <f aca="false">IF(B578="",0,IF(AD578="Alternative – zählt nicht",0,1))</f>
        <v>0</v>
      </c>
      <c r="AV578" s="1" t="n">
        <f aca="false">IF(B578="",0,IF(COUNTIF($B$6:$B$860,B578)&gt;1,1,0))</f>
        <v>0</v>
      </c>
      <c r="AX578" s="269" t="str">
        <f aca="false">IF(AY578=1,DATE(YEAR(O578),MONTH(O578),1),"")</f>
        <v/>
      </c>
      <c r="AY578" s="1" t="n">
        <f aca="false">IF(B578="",0,IF(AND(ISNUMBER(O578),ISNUMBER(P578)),IF(P578&gt;=O578,1,0),0))</f>
        <v>0</v>
      </c>
      <c r="AZ578" s="1" t="n">
        <f aca="false">IF(ISNUMBER(Y578),Y578,0)</f>
        <v>0</v>
      </c>
      <c r="BA578" s="1" t="str">
        <f aca="false">IF(B578="","",IF(AND(R578="WON",AS578=0),"⛔ Beleg fehlt · ","")&amp;IF(AND(R578="WON",AR578=0),"⛔ Einstand fehlt · ","")&amp;IF(AND(R578&lt;&gt;"WON",AR578=0),"○ Einstand offen · ","")&amp;IF(AND(R578="WON",AB578=""),"⛔ Vertragsart fehlt · ","")&amp;IF(AND(ISNUMBER(O578),ISNUMBER(P578)),IF(P578&lt;O578,"⚠ Ende vor Start · ",""),"")&amp;IF(AND(R578="WON",AY578=0,NOT(AND(ISNUMBER(O578),ISNUMBER(P578)))),"⛔ Zeitraum fehlt · ","")&amp;IF(AND(R578&lt;&gt;"WON",AY578=0,NOT(AND(ISNUMBER(O578),ISNUMBER(P578)))),"○ Zeitraum offen · ",""))</f>
        <v/>
      </c>
      <c r="BB578" s="1" t="str">
        <f aca="false">IF(B578="","",IF(AND(R578="WON",AS578=0),"⛔ Nachweis fehlt",IF(AND(ISNUMBER(O578),ISNUMBER(P578),P578&lt;O578),"⚠ Ende vor Start",IF(AND(R578="WON",AY578=0),"⛔ Zeitraum fehlt",IF(AR578=0,"○ Einstand offen",IF(AY578=0,"○ Zeitraum offen",IF(R578="WON","✅ belegt","✔ erfasst")))))))</f>
        <v/>
      </c>
    </row>
    <row r="579" customFormat="false" ht="15" hidden="false" customHeight="true" outlineLevel="0" collapsed="false">
      <c r="G579" s="1" t="str">
        <f aca="false">IF(B579="","",IF(AY579=1,P579-O579+1,IF(AW579="","",AW579)))</f>
        <v/>
      </c>
      <c r="I579" s="270"/>
      <c r="J579" s="270"/>
      <c r="K579" s="270"/>
      <c r="L579" s="270"/>
      <c r="M579" s="270"/>
      <c r="N579" s="270"/>
      <c r="O579" s="263"/>
      <c r="P579" s="263"/>
      <c r="Q579" s="270" t="str">
        <f aca="false">IF(AND(ISNUMBER(I579),ISNUMBER(S579)),I579*AJ579,IF(OR(I579&lt;&gt;"",S579&lt;&gt;""),"tbd",""))</f>
        <v/>
      </c>
      <c r="S579" s="268"/>
      <c r="Y579" s="275" t="str">
        <f aca="false">IF(ISNUMBER(I579),I579/Netto_Faktor,"")</f>
        <v/>
      </c>
      <c r="Z579" s="275" t="str">
        <f aca="false">IF(B579="","",IF(COUNT(J579:N579)=0,"",SUM(J579:N579)))</f>
        <v/>
      </c>
      <c r="AA579" s="266"/>
      <c r="AB579" s="266"/>
      <c r="AC579" s="266"/>
      <c r="AD579" s="266"/>
      <c r="AE579" s="266"/>
      <c r="AF579" s="266"/>
      <c r="AG579" s="267"/>
      <c r="AH579" s="266" t="str">
        <f aca="false">IF(B579="","",IF(BA579="",IF(R579="WON","✅ belegt &amp; vollständig","✔ vollständig"),LEFT(BA579,LEN(BA579)-3)))</f>
        <v/>
      </c>
      <c r="AJ579" s="268" t="n">
        <f aca="false">IF(ISNUMBER(S579),IFERROR(LOOKUP(IF(S579&lt;=1,S579,S579/100),'⚖️ Wahrscheinlichkeit'!$B$17:$B$21,'⚖️ Wahrscheinlichkeit'!$D$17:$D$21),0),0)</f>
        <v>0</v>
      </c>
      <c r="AK579" s="1" t="str">
        <f aca="false">IF(AND(R579="WON",ISNUMBER(I579)),AL579+(861-ROW())*0.000001,"")</f>
        <v/>
      </c>
      <c r="AL579" s="1" t="n">
        <f aca="false">IFERROR(I579*1,0)</f>
        <v>0</v>
      </c>
      <c r="AM579" s="1" t="n">
        <f aca="false">N(AM578)+IF(AND(R579="WON",B579&lt;&gt;""),1,0)</f>
        <v>12</v>
      </c>
      <c r="AN579" s="1" t="n">
        <f aca="false">N(AN578)+IF(AND(OR(R579="offered",R579="to be offered",R579="on hold"),B579&lt;&gt;""),1,0)</f>
        <v>33</v>
      </c>
      <c r="AO579" s="1" t="n">
        <f aca="false">N(AO578)+IF(AND(OR(R579="follow-up",R579="Evaluation",R579="tbd",R579="In evaluation"),B579&lt;&gt;""),1,0)</f>
        <v>1</v>
      </c>
      <c r="AP579" s="1" t="n">
        <f aca="false">IF(B579="",0,IF(COUNTIF('⚖️ Wahrscheinlichkeit'!$J$17:$J$24,R579)&gt;0,1,0))</f>
        <v>0</v>
      </c>
      <c r="AQ579" s="1" t="n">
        <f aca="false">IF(B579="",0,IF(AND(ISNUMBER(S579),COUNTIF('⚖️ Wahrscheinlichkeit'!$B$6:$B$11,S579)&gt;0),1,0))</f>
        <v>0</v>
      </c>
      <c r="AR579" s="1" t="n">
        <f aca="false">IF(B579="",0,IF(AND(COUNT(J579:M579)=4,SUM(J579:M579)&gt;0),1,0))</f>
        <v>0</v>
      </c>
      <c r="AS579" s="1" t="n">
        <f aca="false">IF(B579="",0,IF(AND(AF579&lt;&gt;"",AG579&lt;&gt;""),1,0))</f>
        <v>0</v>
      </c>
      <c r="AT579" s="1" t="n">
        <f aca="false">IF(AND(R579="WON",AS579=1,AR579=1),1,0)</f>
        <v>0</v>
      </c>
      <c r="AU579" s="1" t="n">
        <f aca="false">IF(B579="",0,IF(AD579="Alternative – zählt nicht",0,1))</f>
        <v>0</v>
      </c>
      <c r="AV579" s="1" t="n">
        <f aca="false">IF(B579="",0,IF(COUNTIF($B$6:$B$860,B579)&gt;1,1,0))</f>
        <v>0</v>
      </c>
      <c r="AX579" s="269" t="str">
        <f aca="false">IF(AY579=1,DATE(YEAR(O579),MONTH(O579),1),"")</f>
        <v/>
      </c>
      <c r="AY579" s="1" t="n">
        <f aca="false">IF(B579="",0,IF(AND(ISNUMBER(O579),ISNUMBER(P579)),IF(P579&gt;=O579,1,0),0))</f>
        <v>0</v>
      </c>
      <c r="AZ579" s="1" t="n">
        <f aca="false">IF(ISNUMBER(Y579),Y579,0)</f>
        <v>0</v>
      </c>
      <c r="BA579" s="1" t="str">
        <f aca="false">IF(B579="","",IF(AND(R579="WON",AS579=0),"⛔ Beleg fehlt · ","")&amp;IF(AND(R579="WON",AR579=0),"⛔ Einstand fehlt · ","")&amp;IF(AND(R579&lt;&gt;"WON",AR579=0),"○ Einstand offen · ","")&amp;IF(AND(R579="WON",AB579=""),"⛔ Vertragsart fehlt · ","")&amp;IF(AND(ISNUMBER(O579),ISNUMBER(P579)),IF(P579&lt;O579,"⚠ Ende vor Start · ",""),"")&amp;IF(AND(R579="WON",AY579=0,NOT(AND(ISNUMBER(O579),ISNUMBER(P579)))),"⛔ Zeitraum fehlt · ","")&amp;IF(AND(R579&lt;&gt;"WON",AY579=0,NOT(AND(ISNUMBER(O579),ISNUMBER(P579)))),"○ Zeitraum offen · ",""))</f>
        <v/>
      </c>
      <c r="BB579" s="1" t="str">
        <f aca="false">IF(B579="","",IF(AND(R579="WON",AS579=0),"⛔ Nachweis fehlt",IF(AND(ISNUMBER(O579),ISNUMBER(P579),P579&lt;O579),"⚠ Ende vor Start",IF(AND(R579="WON",AY579=0),"⛔ Zeitraum fehlt",IF(AR579=0,"○ Einstand offen",IF(AY579=0,"○ Zeitraum offen",IF(R579="WON","✅ belegt","✔ erfasst")))))))</f>
        <v/>
      </c>
    </row>
    <row r="580" customFormat="false" ht="15" hidden="false" customHeight="true" outlineLevel="0" collapsed="false">
      <c r="G580" s="1" t="str">
        <f aca="false">IF(B580="","",IF(AY580=1,P580-O580+1,IF(AW580="","",AW580)))</f>
        <v/>
      </c>
      <c r="I580" s="270"/>
      <c r="J580" s="270"/>
      <c r="K580" s="270"/>
      <c r="L580" s="270"/>
      <c r="M580" s="270"/>
      <c r="N580" s="270"/>
      <c r="O580" s="263"/>
      <c r="P580" s="263"/>
      <c r="Q580" s="270" t="str">
        <f aca="false">IF(AND(ISNUMBER(I580),ISNUMBER(S580)),I580*AJ580,IF(OR(I580&lt;&gt;"",S580&lt;&gt;""),"tbd",""))</f>
        <v/>
      </c>
      <c r="S580" s="268"/>
      <c r="Y580" s="275" t="str">
        <f aca="false">IF(ISNUMBER(I580),I580/Netto_Faktor,"")</f>
        <v/>
      </c>
      <c r="Z580" s="275" t="str">
        <f aca="false">IF(B580="","",IF(COUNT(J580:N580)=0,"",SUM(J580:N580)))</f>
        <v/>
      </c>
      <c r="AA580" s="266"/>
      <c r="AB580" s="266"/>
      <c r="AC580" s="266"/>
      <c r="AD580" s="266"/>
      <c r="AE580" s="266"/>
      <c r="AF580" s="266"/>
      <c r="AG580" s="267"/>
      <c r="AH580" s="266" t="str">
        <f aca="false">IF(B580="","",IF(BA580="",IF(R580="WON","✅ belegt &amp; vollständig","✔ vollständig"),LEFT(BA580,LEN(BA580)-3)))</f>
        <v/>
      </c>
      <c r="AJ580" s="268" t="n">
        <f aca="false">IF(ISNUMBER(S580),IFERROR(LOOKUP(IF(S580&lt;=1,S580,S580/100),'⚖️ Wahrscheinlichkeit'!$B$17:$B$21,'⚖️ Wahrscheinlichkeit'!$D$17:$D$21),0),0)</f>
        <v>0</v>
      </c>
      <c r="AK580" s="1" t="str">
        <f aca="false">IF(AND(R580="WON",ISNUMBER(I580)),AL580+(861-ROW())*0.000001,"")</f>
        <v/>
      </c>
      <c r="AL580" s="1" t="n">
        <f aca="false">IFERROR(I580*1,0)</f>
        <v>0</v>
      </c>
      <c r="AM580" s="1" t="n">
        <f aca="false">N(AM579)+IF(AND(R580="WON",B580&lt;&gt;""),1,0)</f>
        <v>12</v>
      </c>
      <c r="AN580" s="1" t="n">
        <f aca="false">N(AN579)+IF(AND(OR(R580="offered",R580="to be offered",R580="on hold"),B580&lt;&gt;""),1,0)</f>
        <v>33</v>
      </c>
      <c r="AO580" s="1" t="n">
        <f aca="false">N(AO579)+IF(AND(OR(R580="follow-up",R580="Evaluation",R580="tbd",R580="In evaluation"),B580&lt;&gt;""),1,0)</f>
        <v>1</v>
      </c>
      <c r="AP580" s="1" t="n">
        <f aca="false">IF(B580="",0,IF(COUNTIF('⚖️ Wahrscheinlichkeit'!$J$17:$J$24,R580)&gt;0,1,0))</f>
        <v>0</v>
      </c>
      <c r="AQ580" s="1" t="n">
        <f aca="false">IF(B580="",0,IF(AND(ISNUMBER(S580),COUNTIF('⚖️ Wahrscheinlichkeit'!$B$6:$B$11,S580)&gt;0),1,0))</f>
        <v>0</v>
      </c>
      <c r="AR580" s="1" t="n">
        <f aca="false">IF(B580="",0,IF(AND(COUNT(J580:M580)=4,SUM(J580:M580)&gt;0),1,0))</f>
        <v>0</v>
      </c>
      <c r="AS580" s="1" t="n">
        <f aca="false">IF(B580="",0,IF(AND(AF580&lt;&gt;"",AG580&lt;&gt;""),1,0))</f>
        <v>0</v>
      </c>
      <c r="AT580" s="1" t="n">
        <f aca="false">IF(AND(R580="WON",AS580=1,AR580=1),1,0)</f>
        <v>0</v>
      </c>
      <c r="AU580" s="1" t="n">
        <f aca="false">IF(B580="",0,IF(AD580="Alternative – zählt nicht",0,1))</f>
        <v>0</v>
      </c>
      <c r="AV580" s="1" t="n">
        <f aca="false">IF(B580="",0,IF(COUNTIF($B$6:$B$860,B580)&gt;1,1,0))</f>
        <v>0</v>
      </c>
      <c r="AX580" s="269" t="str">
        <f aca="false">IF(AY580=1,DATE(YEAR(O580),MONTH(O580),1),"")</f>
        <v/>
      </c>
      <c r="AY580" s="1" t="n">
        <f aca="false">IF(B580="",0,IF(AND(ISNUMBER(O580),ISNUMBER(P580)),IF(P580&gt;=O580,1,0),0))</f>
        <v>0</v>
      </c>
      <c r="AZ580" s="1" t="n">
        <f aca="false">IF(ISNUMBER(Y580),Y580,0)</f>
        <v>0</v>
      </c>
      <c r="BA580" s="1" t="str">
        <f aca="false">IF(B580="","",IF(AND(R580="WON",AS580=0),"⛔ Beleg fehlt · ","")&amp;IF(AND(R580="WON",AR580=0),"⛔ Einstand fehlt · ","")&amp;IF(AND(R580&lt;&gt;"WON",AR580=0),"○ Einstand offen · ","")&amp;IF(AND(R580="WON",AB580=""),"⛔ Vertragsart fehlt · ","")&amp;IF(AND(ISNUMBER(O580),ISNUMBER(P580)),IF(P580&lt;O580,"⚠ Ende vor Start · ",""),"")&amp;IF(AND(R580="WON",AY580=0,NOT(AND(ISNUMBER(O580),ISNUMBER(P580)))),"⛔ Zeitraum fehlt · ","")&amp;IF(AND(R580&lt;&gt;"WON",AY580=0,NOT(AND(ISNUMBER(O580),ISNUMBER(P580)))),"○ Zeitraum offen · ",""))</f>
        <v/>
      </c>
      <c r="BB580" s="1" t="str">
        <f aca="false">IF(B580="","",IF(AND(R580="WON",AS580=0),"⛔ Nachweis fehlt",IF(AND(ISNUMBER(O580),ISNUMBER(P580),P580&lt;O580),"⚠ Ende vor Start",IF(AND(R580="WON",AY580=0),"⛔ Zeitraum fehlt",IF(AR580=0,"○ Einstand offen",IF(AY580=0,"○ Zeitraum offen",IF(R580="WON","✅ belegt","✔ erfasst")))))))</f>
        <v/>
      </c>
    </row>
    <row r="581" customFormat="false" ht="15" hidden="false" customHeight="true" outlineLevel="0" collapsed="false">
      <c r="G581" s="1" t="str">
        <f aca="false">IF(B581="","",IF(AY581=1,P581-O581+1,IF(AW581="","",AW581)))</f>
        <v/>
      </c>
      <c r="I581" s="270"/>
      <c r="J581" s="270"/>
      <c r="K581" s="270"/>
      <c r="L581" s="270"/>
      <c r="M581" s="270"/>
      <c r="N581" s="270"/>
      <c r="O581" s="263"/>
      <c r="P581" s="263"/>
      <c r="Q581" s="270" t="str">
        <f aca="false">IF(AND(ISNUMBER(I581),ISNUMBER(S581)),I581*AJ581,IF(OR(I581&lt;&gt;"",S581&lt;&gt;""),"tbd",""))</f>
        <v/>
      </c>
      <c r="S581" s="268"/>
      <c r="Y581" s="275" t="str">
        <f aca="false">IF(ISNUMBER(I581),I581/Netto_Faktor,"")</f>
        <v/>
      </c>
      <c r="Z581" s="275" t="str">
        <f aca="false">IF(B581="","",IF(COUNT(J581:N581)=0,"",SUM(J581:N581)))</f>
        <v/>
      </c>
      <c r="AA581" s="266"/>
      <c r="AB581" s="266"/>
      <c r="AC581" s="266"/>
      <c r="AD581" s="266"/>
      <c r="AE581" s="266"/>
      <c r="AF581" s="266"/>
      <c r="AG581" s="267"/>
      <c r="AH581" s="266" t="str">
        <f aca="false">IF(B581="","",IF(BA581="",IF(R581="WON","✅ belegt &amp; vollständig","✔ vollständig"),LEFT(BA581,LEN(BA581)-3)))</f>
        <v/>
      </c>
      <c r="AJ581" s="268" t="n">
        <f aca="false">IF(ISNUMBER(S581),IFERROR(LOOKUP(IF(S581&lt;=1,S581,S581/100),'⚖️ Wahrscheinlichkeit'!$B$17:$B$21,'⚖️ Wahrscheinlichkeit'!$D$17:$D$21),0),0)</f>
        <v>0</v>
      </c>
      <c r="AK581" s="1" t="str">
        <f aca="false">IF(AND(R581="WON",ISNUMBER(I581)),AL581+(861-ROW())*0.000001,"")</f>
        <v/>
      </c>
      <c r="AL581" s="1" t="n">
        <f aca="false">IFERROR(I581*1,0)</f>
        <v>0</v>
      </c>
      <c r="AM581" s="1" t="n">
        <f aca="false">N(AM580)+IF(AND(R581="WON",B581&lt;&gt;""),1,0)</f>
        <v>12</v>
      </c>
      <c r="AN581" s="1" t="n">
        <f aca="false">N(AN580)+IF(AND(OR(R581="offered",R581="to be offered",R581="on hold"),B581&lt;&gt;""),1,0)</f>
        <v>33</v>
      </c>
      <c r="AO581" s="1" t="n">
        <f aca="false">N(AO580)+IF(AND(OR(R581="follow-up",R581="Evaluation",R581="tbd",R581="In evaluation"),B581&lt;&gt;""),1,0)</f>
        <v>1</v>
      </c>
      <c r="AP581" s="1" t="n">
        <f aca="false">IF(B581="",0,IF(COUNTIF('⚖️ Wahrscheinlichkeit'!$J$17:$J$24,R581)&gt;0,1,0))</f>
        <v>0</v>
      </c>
      <c r="AQ581" s="1" t="n">
        <f aca="false">IF(B581="",0,IF(AND(ISNUMBER(S581),COUNTIF('⚖️ Wahrscheinlichkeit'!$B$6:$B$11,S581)&gt;0),1,0))</f>
        <v>0</v>
      </c>
      <c r="AR581" s="1" t="n">
        <f aca="false">IF(B581="",0,IF(AND(COUNT(J581:M581)=4,SUM(J581:M581)&gt;0),1,0))</f>
        <v>0</v>
      </c>
      <c r="AS581" s="1" t="n">
        <f aca="false">IF(B581="",0,IF(AND(AF581&lt;&gt;"",AG581&lt;&gt;""),1,0))</f>
        <v>0</v>
      </c>
      <c r="AT581" s="1" t="n">
        <f aca="false">IF(AND(R581="WON",AS581=1,AR581=1),1,0)</f>
        <v>0</v>
      </c>
      <c r="AU581" s="1" t="n">
        <f aca="false">IF(B581="",0,IF(AD581="Alternative – zählt nicht",0,1))</f>
        <v>0</v>
      </c>
      <c r="AV581" s="1" t="n">
        <f aca="false">IF(B581="",0,IF(COUNTIF($B$6:$B$860,B581)&gt;1,1,0))</f>
        <v>0</v>
      </c>
      <c r="AX581" s="269" t="str">
        <f aca="false">IF(AY581=1,DATE(YEAR(O581),MONTH(O581),1),"")</f>
        <v/>
      </c>
      <c r="AY581" s="1" t="n">
        <f aca="false">IF(B581="",0,IF(AND(ISNUMBER(O581),ISNUMBER(P581)),IF(P581&gt;=O581,1,0),0))</f>
        <v>0</v>
      </c>
      <c r="AZ581" s="1" t="n">
        <f aca="false">IF(ISNUMBER(Y581),Y581,0)</f>
        <v>0</v>
      </c>
      <c r="BA581" s="1" t="str">
        <f aca="false">IF(B581="","",IF(AND(R581="WON",AS581=0),"⛔ Beleg fehlt · ","")&amp;IF(AND(R581="WON",AR581=0),"⛔ Einstand fehlt · ","")&amp;IF(AND(R581&lt;&gt;"WON",AR581=0),"○ Einstand offen · ","")&amp;IF(AND(R581="WON",AB581=""),"⛔ Vertragsart fehlt · ","")&amp;IF(AND(ISNUMBER(O581),ISNUMBER(P581)),IF(P581&lt;O581,"⚠ Ende vor Start · ",""),"")&amp;IF(AND(R581="WON",AY581=0,NOT(AND(ISNUMBER(O581),ISNUMBER(P581)))),"⛔ Zeitraum fehlt · ","")&amp;IF(AND(R581&lt;&gt;"WON",AY581=0,NOT(AND(ISNUMBER(O581),ISNUMBER(P581)))),"○ Zeitraum offen · ",""))</f>
        <v/>
      </c>
      <c r="BB581" s="1" t="str">
        <f aca="false">IF(B581="","",IF(AND(R581="WON",AS581=0),"⛔ Nachweis fehlt",IF(AND(ISNUMBER(O581),ISNUMBER(P581),P581&lt;O581),"⚠ Ende vor Start",IF(AND(R581="WON",AY581=0),"⛔ Zeitraum fehlt",IF(AR581=0,"○ Einstand offen",IF(AY581=0,"○ Zeitraum offen",IF(R581="WON","✅ belegt","✔ erfasst")))))))</f>
        <v/>
      </c>
    </row>
    <row r="582" customFormat="false" ht="15" hidden="false" customHeight="true" outlineLevel="0" collapsed="false">
      <c r="G582" s="1" t="str">
        <f aca="false">IF(B582="","",IF(AY582=1,P582-O582+1,IF(AW582="","",AW582)))</f>
        <v/>
      </c>
      <c r="I582" s="270"/>
      <c r="J582" s="270"/>
      <c r="K582" s="270"/>
      <c r="L582" s="270"/>
      <c r="M582" s="270"/>
      <c r="N582" s="270"/>
      <c r="O582" s="263"/>
      <c r="P582" s="263"/>
      <c r="Q582" s="270" t="str">
        <f aca="false">IF(AND(ISNUMBER(I582),ISNUMBER(S582)),I582*AJ582,IF(OR(I582&lt;&gt;"",S582&lt;&gt;""),"tbd",""))</f>
        <v/>
      </c>
      <c r="S582" s="268"/>
      <c r="Y582" s="275" t="str">
        <f aca="false">IF(ISNUMBER(I582),I582/Netto_Faktor,"")</f>
        <v/>
      </c>
      <c r="Z582" s="275" t="str">
        <f aca="false">IF(B582="","",IF(COUNT(J582:N582)=0,"",SUM(J582:N582)))</f>
        <v/>
      </c>
      <c r="AA582" s="266"/>
      <c r="AB582" s="266"/>
      <c r="AC582" s="266"/>
      <c r="AD582" s="266"/>
      <c r="AE582" s="266"/>
      <c r="AF582" s="266"/>
      <c r="AG582" s="267"/>
      <c r="AH582" s="266" t="str">
        <f aca="false">IF(B582="","",IF(BA582="",IF(R582="WON","✅ belegt &amp; vollständig","✔ vollständig"),LEFT(BA582,LEN(BA582)-3)))</f>
        <v/>
      </c>
      <c r="AJ582" s="268" t="n">
        <f aca="false">IF(ISNUMBER(S582),IFERROR(LOOKUP(IF(S582&lt;=1,S582,S582/100),'⚖️ Wahrscheinlichkeit'!$B$17:$B$21,'⚖️ Wahrscheinlichkeit'!$D$17:$D$21),0),0)</f>
        <v>0</v>
      </c>
      <c r="AK582" s="1" t="str">
        <f aca="false">IF(AND(R582="WON",ISNUMBER(I582)),AL582+(861-ROW())*0.000001,"")</f>
        <v/>
      </c>
      <c r="AL582" s="1" t="n">
        <f aca="false">IFERROR(I582*1,0)</f>
        <v>0</v>
      </c>
      <c r="AM582" s="1" t="n">
        <f aca="false">N(AM581)+IF(AND(R582="WON",B582&lt;&gt;""),1,0)</f>
        <v>12</v>
      </c>
      <c r="AN582" s="1" t="n">
        <f aca="false">N(AN581)+IF(AND(OR(R582="offered",R582="to be offered",R582="on hold"),B582&lt;&gt;""),1,0)</f>
        <v>33</v>
      </c>
      <c r="AO582" s="1" t="n">
        <f aca="false">N(AO581)+IF(AND(OR(R582="follow-up",R582="Evaluation",R582="tbd",R582="In evaluation"),B582&lt;&gt;""),1,0)</f>
        <v>1</v>
      </c>
      <c r="AP582" s="1" t="n">
        <f aca="false">IF(B582="",0,IF(COUNTIF('⚖️ Wahrscheinlichkeit'!$J$17:$J$24,R582)&gt;0,1,0))</f>
        <v>0</v>
      </c>
      <c r="AQ582" s="1" t="n">
        <f aca="false">IF(B582="",0,IF(AND(ISNUMBER(S582),COUNTIF('⚖️ Wahrscheinlichkeit'!$B$6:$B$11,S582)&gt;0),1,0))</f>
        <v>0</v>
      </c>
      <c r="AR582" s="1" t="n">
        <f aca="false">IF(B582="",0,IF(AND(COUNT(J582:M582)=4,SUM(J582:M582)&gt;0),1,0))</f>
        <v>0</v>
      </c>
      <c r="AS582" s="1" t="n">
        <f aca="false">IF(B582="",0,IF(AND(AF582&lt;&gt;"",AG582&lt;&gt;""),1,0))</f>
        <v>0</v>
      </c>
      <c r="AT582" s="1" t="n">
        <f aca="false">IF(AND(R582="WON",AS582=1,AR582=1),1,0)</f>
        <v>0</v>
      </c>
      <c r="AU582" s="1" t="n">
        <f aca="false">IF(B582="",0,IF(AD582="Alternative – zählt nicht",0,1))</f>
        <v>0</v>
      </c>
      <c r="AV582" s="1" t="n">
        <f aca="false">IF(B582="",0,IF(COUNTIF($B$6:$B$860,B582)&gt;1,1,0))</f>
        <v>0</v>
      </c>
      <c r="AX582" s="269" t="str">
        <f aca="false">IF(AY582=1,DATE(YEAR(O582),MONTH(O582),1),"")</f>
        <v/>
      </c>
      <c r="AY582" s="1" t="n">
        <f aca="false">IF(B582="",0,IF(AND(ISNUMBER(O582),ISNUMBER(P582)),IF(P582&gt;=O582,1,0),0))</f>
        <v>0</v>
      </c>
      <c r="AZ582" s="1" t="n">
        <f aca="false">IF(ISNUMBER(Y582),Y582,0)</f>
        <v>0</v>
      </c>
      <c r="BA582" s="1" t="str">
        <f aca="false">IF(B582="","",IF(AND(R582="WON",AS582=0),"⛔ Beleg fehlt · ","")&amp;IF(AND(R582="WON",AR582=0),"⛔ Einstand fehlt · ","")&amp;IF(AND(R582&lt;&gt;"WON",AR582=0),"○ Einstand offen · ","")&amp;IF(AND(R582="WON",AB582=""),"⛔ Vertragsart fehlt · ","")&amp;IF(AND(ISNUMBER(O582),ISNUMBER(P582)),IF(P582&lt;O582,"⚠ Ende vor Start · ",""),"")&amp;IF(AND(R582="WON",AY582=0,NOT(AND(ISNUMBER(O582),ISNUMBER(P582)))),"⛔ Zeitraum fehlt · ","")&amp;IF(AND(R582&lt;&gt;"WON",AY582=0,NOT(AND(ISNUMBER(O582),ISNUMBER(P582)))),"○ Zeitraum offen · ",""))</f>
        <v/>
      </c>
      <c r="BB582" s="1" t="str">
        <f aca="false">IF(B582="","",IF(AND(R582="WON",AS582=0),"⛔ Nachweis fehlt",IF(AND(ISNUMBER(O582),ISNUMBER(P582),P582&lt;O582),"⚠ Ende vor Start",IF(AND(R582="WON",AY582=0),"⛔ Zeitraum fehlt",IF(AR582=0,"○ Einstand offen",IF(AY582=0,"○ Zeitraum offen",IF(R582="WON","✅ belegt","✔ erfasst")))))))</f>
        <v/>
      </c>
    </row>
    <row r="583" customFormat="false" ht="15" hidden="false" customHeight="true" outlineLevel="0" collapsed="false">
      <c r="G583" s="1" t="str">
        <f aca="false">IF(B583="","",IF(AY583=1,P583-O583+1,IF(AW583="","",AW583)))</f>
        <v/>
      </c>
      <c r="I583" s="270"/>
      <c r="J583" s="270"/>
      <c r="K583" s="270"/>
      <c r="L583" s="270"/>
      <c r="M583" s="270"/>
      <c r="N583" s="270"/>
      <c r="O583" s="263"/>
      <c r="P583" s="263"/>
      <c r="Q583" s="270" t="str">
        <f aca="false">IF(AND(ISNUMBER(I583),ISNUMBER(S583)),I583*AJ583,IF(OR(I583&lt;&gt;"",S583&lt;&gt;""),"tbd",""))</f>
        <v/>
      </c>
      <c r="S583" s="268"/>
      <c r="Y583" s="275" t="str">
        <f aca="false">IF(ISNUMBER(I583),I583/Netto_Faktor,"")</f>
        <v/>
      </c>
      <c r="Z583" s="275" t="str">
        <f aca="false">IF(B583="","",IF(COUNT(J583:N583)=0,"",SUM(J583:N583)))</f>
        <v/>
      </c>
      <c r="AA583" s="266"/>
      <c r="AB583" s="266"/>
      <c r="AC583" s="266"/>
      <c r="AD583" s="266"/>
      <c r="AE583" s="266"/>
      <c r="AF583" s="266"/>
      <c r="AG583" s="267"/>
      <c r="AH583" s="266" t="str">
        <f aca="false">IF(B583="","",IF(BA583="",IF(R583="WON","✅ belegt &amp; vollständig","✔ vollständig"),LEFT(BA583,LEN(BA583)-3)))</f>
        <v/>
      </c>
      <c r="AJ583" s="268" t="n">
        <f aca="false">IF(ISNUMBER(S583),IFERROR(LOOKUP(IF(S583&lt;=1,S583,S583/100),'⚖️ Wahrscheinlichkeit'!$B$17:$B$21,'⚖️ Wahrscheinlichkeit'!$D$17:$D$21),0),0)</f>
        <v>0</v>
      </c>
      <c r="AK583" s="1" t="str">
        <f aca="false">IF(AND(R583="WON",ISNUMBER(I583)),AL583+(861-ROW())*0.000001,"")</f>
        <v/>
      </c>
      <c r="AL583" s="1" t="n">
        <f aca="false">IFERROR(I583*1,0)</f>
        <v>0</v>
      </c>
      <c r="AM583" s="1" t="n">
        <f aca="false">N(AM582)+IF(AND(R583="WON",B583&lt;&gt;""),1,0)</f>
        <v>12</v>
      </c>
      <c r="AN583" s="1" t="n">
        <f aca="false">N(AN582)+IF(AND(OR(R583="offered",R583="to be offered",R583="on hold"),B583&lt;&gt;""),1,0)</f>
        <v>33</v>
      </c>
      <c r="AO583" s="1" t="n">
        <f aca="false">N(AO582)+IF(AND(OR(R583="follow-up",R583="Evaluation",R583="tbd",R583="In evaluation"),B583&lt;&gt;""),1,0)</f>
        <v>1</v>
      </c>
      <c r="AP583" s="1" t="n">
        <f aca="false">IF(B583="",0,IF(COUNTIF('⚖️ Wahrscheinlichkeit'!$J$17:$J$24,R583)&gt;0,1,0))</f>
        <v>0</v>
      </c>
      <c r="AQ583" s="1" t="n">
        <f aca="false">IF(B583="",0,IF(AND(ISNUMBER(S583),COUNTIF('⚖️ Wahrscheinlichkeit'!$B$6:$B$11,S583)&gt;0),1,0))</f>
        <v>0</v>
      </c>
      <c r="AR583" s="1" t="n">
        <f aca="false">IF(B583="",0,IF(AND(COUNT(J583:M583)=4,SUM(J583:M583)&gt;0),1,0))</f>
        <v>0</v>
      </c>
      <c r="AS583" s="1" t="n">
        <f aca="false">IF(B583="",0,IF(AND(AF583&lt;&gt;"",AG583&lt;&gt;""),1,0))</f>
        <v>0</v>
      </c>
      <c r="AT583" s="1" t="n">
        <f aca="false">IF(AND(R583="WON",AS583=1,AR583=1),1,0)</f>
        <v>0</v>
      </c>
      <c r="AU583" s="1" t="n">
        <f aca="false">IF(B583="",0,IF(AD583="Alternative – zählt nicht",0,1))</f>
        <v>0</v>
      </c>
      <c r="AV583" s="1" t="n">
        <f aca="false">IF(B583="",0,IF(COUNTIF($B$6:$B$860,B583)&gt;1,1,0))</f>
        <v>0</v>
      </c>
      <c r="AX583" s="269" t="str">
        <f aca="false">IF(AY583=1,DATE(YEAR(O583),MONTH(O583),1),"")</f>
        <v/>
      </c>
      <c r="AY583" s="1" t="n">
        <f aca="false">IF(B583="",0,IF(AND(ISNUMBER(O583),ISNUMBER(P583)),IF(P583&gt;=O583,1,0),0))</f>
        <v>0</v>
      </c>
      <c r="AZ583" s="1" t="n">
        <f aca="false">IF(ISNUMBER(Y583),Y583,0)</f>
        <v>0</v>
      </c>
      <c r="BA583" s="1" t="str">
        <f aca="false">IF(B583="","",IF(AND(R583="WON",AS583=0),"⛔ Beleg fehlt · ","")&amp;IF(AND(R583="WON",AR583=0),"⛔ Einstand fehlt · ","")&amp;IF(AND(R583&lt;&gt;"WON",AR583=0),"○ Einstand offen · ","")&amp;IF(AND(R583="WON",AB583=""),"⛔ Vertragsart fehlt · ","")&amp;IF(AND(ISNUMBER(O583),ISNUMBER(P583)),IF(P583&lt;O583,"⚠ Ende vor Start · ",""),"")&amp;IF(AND(R583="WON",AY583=0,NOT(AND(ISNUMBER(O583),ISNUMBER(P583)))),"⛔ Zeitraum fehlt · ","")&amp;IF(AND(R583&lt;&gt;"WON",AY583=0,NOT(AND(ISNUMBER(O583),ISNUMBER(P583)))),"○ Zeitraum offen · ",""))</f>
        <v/>
      </c>
      <c r="BB583" s="1" t="str">
        <f aca="false">IF(B583="","",IF(AND(R583="WON",AS583=0),"⛔ Nachweis fehlt",IF(AND(ISNUMBER(O583),ISNUMBER(P583),P583&lt;O583),"⚠ Ende vor Start",IF(AND(R583="WON",AY583=0),"⛔ Zeitraum fehlt",IF(AR583=0,"○ Einstand offen",IF(AY583=0,"○ Zeitraum offen",IF(R583="WON","✅ belegt","✔ erfasst")))))))</f>
        <v/>
      </c>
    </row>
    <row r="584" customFormat="false" ht="15" hidden="false" customHeight="true" outlineLevel="0" collapsed="false">
      <c r="G584" s="1" t="str">
        <f aca="false">IF(B584="","",IF(AY584=1,P584-O584+1,IF(AW584="","",AW584)))</f>
        <v/>
      </c>
      <c r="I584" s="270"/>
      <c r="J584" s="270"/>
      <c r="K584" s="270"/>
      <c r="L584" s="270"/>
      <c r="M584" s="270"/>
      <c r="N584" s="270"/>
      <c r="O584" s="263"/>
      <c r="P584" s="263"/>
      <c r="Q584" s="270" t="str">
        <f aca="false">IF(AND(ISNUMBER(I584),ISNUMBER(S584)),I584*AJ584,IF(OR(I584&lt;&gt;"",S584&lt;&gt;""),"tbd",""))</f>
        <v/>
      </c>
      <c r="S584" s="268"/>
      <c r="Y584" s="275" t="str">
        <f aca="false">IF(ISNUMBER(I584),I584/Netto_Faktor,"")</f>
        <v/>
      </c>
      <c r="Z584" s="275" t="str">
        <f aca="false">IF(B584="","",IF(COUNT(J584:N584)=0,"",SUM(J584:N584)))</f>
        <v/>
      </c>
      <c r="AA584" s="266"/>
      <c r="AB584" s="266"/>
      <c r="AC584" s="266"/>
      <c r="AD584" s="266"/>
      <c r="AE584" s="266"/>
      <c r="AF584" s="266"/>
      <c r="AG584" s="267"/>
      <c r="AH584" s="266" t="str">
        <f aca="false">IF(B584="","",IF(BA584="",IF(R584="WON","✅ belegt &amp; vollständig","✔ vollständig"),LEFT(BA584,LEN(BA584)-3)))</f>
        <v/>
      </c>
      <c r="AJ584" s="268" t="n">
        <f aca="false">IF(ISNUMBER(S584),IFERROR(LOOKUP(IF(S584&lt;=1,S584,S584/100),'⚖️ Wahrscheinlichkeit'!$B$17:$B$21,'⚖️ Wahrscheinlichkeit'!$D$17:$D$21),0),0)</f>
        <v>0</v>
      </c>
      <c r="AK584" s="1" t="str">
        <f aca="false">IF(AND(R584="WON",ISNUMBER(I584)),AL584+(861-ROW())*0.000001,"")</f>
        <v/>
      </c>
      <c r="AL584" s="1" t="n">
        <f aca="false">IFERROR(I584*1,0)</f>
        <v>0</v>
      </c>
      <c r="AM584" s="1" t="n">
        <f aca="false">N(AM583)+IF(AND(R584="WON",B584&lt;&gt;""),1,0)</f>
        <v>12</v>
      </c>
      <c r="AN584" s="1" t="n">
        <f aca="false">N(AN583)+IF(AND(OR(R584="offered",R584="to be offered",R584="on hold"),B584&lt;&gt;""),1,0)</f>
        <v>33</v>
      </c>
      <c r="AO584" s="1" t="n">
        <f aca="false">N(AO583)+IF(AND(OR(R584="follow-up",R584="Evaluation",R584="tbd",R584="In evaluation"),B584&lt;&gt;""),1,0)</f>
        <v>1</v>
      </c>
      <c r="AP584" s="1" t="n">
        <f aca="false">IF(B584="",0,IF(COUNTIF('⚖️ Wahrscheinlichkeit'!$J$17:$J$24,R584)&gt;0,1,0))</f>
        <v>0</v>
      </c>
      <c r="AQ584" s="1" t="n">
        <f aca="false">IF(B584="",0,IF(AND(ISNUMBER(S584),COUNTIF('⚖️ Wahrscheinlichkeit'!$B$6:$B$11,S584)&gt;0),1,0))</f>
        <v>0</v>
      </c>
      <c r="AR584" s="1" t="n">
        <f aca="false">IF(B584="",0,IF(AND(COUNT(J584:M584)=4,SUM(J584:M584)&gt;0),1,0))</f>
        <v>0</v>
      </c>
      <c r="AS584" s="1" t="n">
        <f aca="false">IF(B584="",0,IF(AND(AF584&lt;&gt;"",AG584&lt;&gt;""),1,0))</f>
        <v>0</v>
      </c>
      <c r="AT584" s="1" t="n">
        <f aca="false">IF(AND(R584="WON",AS584=1,AR584=1),1,0)</f>
        <v>0</v>
      </c>
      <c r="AU584" s="1" t="n">
        <f aca="false">IF(B584="",0,IF(AD584="Alternative – zählt nicht",0,1))</f>
        <v>0</v>
      </c>
      <c r="AV584" s="1" t="n">
        <f aca="false">IF(B584="",0,IF(COUNTIF($B$6:$B$860,B584)&gt;1,1,0))</f>
        <v>0</v>
      </c>
      <c r="AX584" s="269" t="str">
        <f aca="false">IF(AY584=1,DATE(YEAR(O584),MONTH(O584),1),"")</f>
        <v/>
      </c>
      <c r="AY584" s="1" t="n">
        <f aca="false">IF(B584="",0,IF(AND(ISNUMBER(O584),ISNUMBER(P584)),IF(P584&gt;=O584,1,0),0))</f>
        <v>0</v>
      </c>
      <c r="AZ584" s="1" t="n">
        <f aca="false">IF(ISNUMBER(Y584),Y584,0)</f>
        <v>0</v>
      </c>
      <c r="BA584" s="1" t="str">
        <f aca="false">IF(B584="","",IF(AND(R584="WON",AS584=0),"⛔ Beleg fehlt · ","")&amp;IF(AND(R584="WON",AR584=0),"⛔ Einstand fehlt · ","")&amp;IF(AND(R584&lt;&gt;"WON",AR584=0),"○ Einstand offen · ","")&amp;IF(AND(R584="WON",AB584=""),"⛔ Vertragsart fehlt · ","")&amp;IF(AND(ISNUMBER(O584),ISNUMBER(P584)),IF(P584&lt;O584,"⚠ Ende vor Start · ",""),"")&amp;IF(AND(R584="WON",AY584=0,NOT(AND(ISNUMBER(O584),ISNUMBER(P584)))),"⛔ Zeitraum fehlt · ","")&amp;IF(AND(R584&lt;&gt;"WON",AY584=0,NOT(AND(ISNUMBER(O584),ISNUMBER(P584)))),"○ Zeitraum offen · ",""))</f>
        <v/>
      </c>
      <c r="BB584" s="1" t="str">
        <f aca="false">IF(B584="","",IF(AND(R584="WON",AS584=0),"⛔ Nachweis fehlt",IF(AND(ISNUMBER(O584),ISNUMBER(P584),P584&lt;O584),"⚠ Ende vor Start",IF(AND(R584="WON",AY584=0),"⛔ Zeitraum fehlt",IF(AR584=0,"○ Einstand offen",IF(AY584=0,"○ Zeitraum offen",IF(R584="WON","✅ belegt","✔ erfasst")))))))</f>
        <v/>
      </c>
    </row>
    <row r="585" customFormat="false" ht="15" hidden="false" customHeight="true" outlineLevel="0" collapsed="false">
      <c r="G585" s="1" t="str">
        <f aca="false">IF(B585="","",IF(AY585=1,P585-O585+1,IF(AW585="","",AW585)))</f>
        <v/>
      </c>
      <c r="I585" s="270"/>
      <c r="J585" s="270"/>
      <c r="K585" s="270"/>
      <c r="L585" s="270"/>
      <c r="M585" s="270"/>
      <c r="N585" s="270"/>
      <c r="O585" s="263"/>
      <c r="P585" s="263"/>
      <c r="Q585" s="270" t="str">
        <f aca="false">IF(AND(ISNUMBER(I585),ISNUMBER(S585)),I585*AJ585,IF(OR(I585&lt;&gt;"",S585&lt;&gt;""),"tbd",""))</f>
        <v/>
      </c>
      <c r="S585" s="268"/>
      <c r="Y585" s="275" t="str">
        <f aca="false">IF(ISNUMBER(I585),I585/Netto_Faktor,"")</f>
        <v/>
      </c>
      <c r="Z585" s="275" t="str">
        <f aca="false">IF(B585="","",IF(COUNT(J585:N585)=0,"",SUM(J585:N585)))</f>
        <v/>
      </c>
      <c r="AA585" s="266"/>
      <c r="AB585" s="266"/>
      <c r="AC585" s="266"/>
      <c r="AD585" s="266"/>
      <c r="AE585" s="266"/>
      <c r="AF585" s="266"/>
      <c r="AG585" s="267"/>
      <c r="AH585" s="266" t="str">
        <f aca="false">IF(B585="","",IF(BA585="",IF(R585="WON","✅ belegt &amp; vollständig","✔ vollständig"),LEFT(BA585,LEN(BA585)-3)))</f>
        <v/>
      </c>
      <c r="AJ585" s="268" t="n">
        <f aca="false">IF(ISNUMBER(S585),IFERROR(LOOKUP(IF(S585&lt;=1,S585,S585/100),'⚖️ Wahrscheinlichkeit'!$B$17:$B$21,'⚖️ Wahrscheinlichkeit'!$D$17:$D$21),0),0)</f>
        <v>0</v>
      </c>
      <c r="AK585" s="1" t="str">
        <f aca="false">IF(AND(R585="WON",ISNUMBER(I585)),AL585+(861-ROW())*0.000001,"")</f>
        <v/>
      </c>
      <c r="AL585" s="1" t="n">
        <f aca="false">IFERROR(I585*1,0)</f>
        <v>0</v>
      </c>
      <c r="AM585" s="1" t="n">
        <f aca="false">N(AM584)+IF(AND(R585="WON",B585&lt;&gt;""),1,0)</f>
        <v>12</v>
      </c>
      <c r="AN585" s="1" t="n">
        <f aca="false">N(AN584)+IF(AND(OR(R585="offered",R585="to be offered",R585="on hold"),B585&lt;&gt;""),1,0)</f>
        <v>33</v>
      </c>
      <c r="AO585" s="1" t="n">
        <f aca="false">N(AO584)+IF(AND(OR(R585="follow-up",R585="Evaluation",R585="tbd",R585="In evaluation"),B585&lt;&gt;""),1,0)</f>
        <v>1</v>
      </c>
      <c r="AP585" s="1" t="n">
        <f aca="false">IF(B585="",0,IF(COUNTIF('⚖️ Wahrscheinlichkeit'!$J$17:$J$24,R585)&gt;0,1,0))</f>
        <v>0</v>
      </c>
      <c r="AQ585" s="1" t="n">
        <f aca="false">IF(B585="",0,IF(AND(ISNUMBER(S585),COUNTIF('⚖️ Wahrscheinlichkeit'!$B$6:$B$11,S585)&gt;0),1,0))</f>
        <v>0</v>
      </c>
      <c r="AR585" s="1" t="n">
        <f aca="false">IF(B585="",0,IF(AND(COUNT(J585:M585)=4,SUM(J585:M585)&gt;0),1,0))</f>
        <v>0</v>
      </c>
      <c r="AS585" s="1" t="n">
        <f aca="false">IF(B585="",0,IF(AND(AF585&lt;&gt;"",AG585&lt;&gt;""),1,0))</f>
        <v>0</v>
      </c>
      <c r="AT585" s="1" t="n">
        <f aca="false">IF(AND(R585="WON",AS585=1,AR585=1),1,0)</f>
        <v>0</v>
      </c>
      <c r="AU585" s="1" t="n">
        <f aca="false">IF(B585="",0,IF(AD585="Alternative – zählt nicht",0,1))</f>
        <v>0</v>
      </c>
      <c r="AV585" s="1" t="n">
        <f aca="false">IF(B585="",0,IF(COUNTIF($B$6:$B$860,B585)&gt;1,1,0))</f>
        <v>0</v>
      </c>
      <c r="AX585" s="269" t="str">
        <f aca="false">IF(AY585=1,DATE(YEAR(O585),MONTH(O585),1),"")</f>
        <v/>
      </c>
      <c r="AY585" s="1" t="n">
        <f aca="false">IF(B585="",0,IF(AND(ISNUMBER(O585),ISNUMBER(P585)),IF(P585&gt;=O585,1,0),0))</f>
        <v>0</v>
      </c>
      <c r="AZ585" s="1" t="n">
        <f aca="false">IF(ISNUMBER(Y585),Y585,0)</f>
        <v>0</v>
      </c>
      <c r="BA585" s="1" t="str">
        <f aca="false">IF(B585="","",IF(AND(R585="WON",AS585=0),"⛔ Beleg fehlt · ","")&amp;IF(AND(R585="WON",AR585=0),"⛔ Einstand fehlt · ","")&amp;IF(AND(R585&lt;&gt;"WON",AR585=0),"○ Einstand offen · ","")&amp;IF(AND(R585="WON",AB585=""),"⛔ Vertragsart fehlt · ","")&amp;IF(AND(ISNUMBER(O585),ISNUMBER(P585)),IF(P585&lt;O585,"⚠ Ende vor Start · ",""),"")&amp;IF(AND(R585="WON",AY585=0,NOT(AND(ISNUMBER(O585),ISNUMBER(P585)))),"⛔ Zeitraum fehlt · ","")&amp;IF(AND(R585&lt;&gt;"WON",AY585=0,NOT(AND(ISNUMBER(O585),ISNUMBER(P585)))),"○ Zeitraum offen · ",""))</f>
        <v/>
      </c>
      <c r="BB585" s="1" t="str">
        <f aca="false">IF(B585="","",IF(AND(R585="WON",AS585=0),"⛔ Nachweis fehlt",IF(AND(ISNUMBER(O585),ISNUMBER(P585),P585&lt;O585),"⚠ Ende vor Start",IF(AND(R585="WON",AY585=0),"⛔ Zeitraum fehlt",IF(AR585=0,"○ Einstand offen",IF(AY585=0,"○ Zeitraum offen",IF(R585="WON","✅ belegt","✔ erfasst")))))))</f>
        <v/>
      </c>
    </row>
    <row r="586" customFormat="false" ht="15" hidden="false" customHeight="true" outlineLevel="0" collapsed="false">
      <c r="G586" s="1" t="str">
        <f aca="false">IF(B586="","",IF(AY586=1,P586-O586+1,IF(AW586="","",AW586)))</f>
        <v/>
      </c>
      <c r="I586" s="270"/>
      <c r="J586" s="270"/>
      <c r="K586" s="270"/>
      <c r="L586" s="270"/>
      <c r="M586" s="270"/>
      <c r="N586" s="270"/>
      <c r="O586" s="263"/>
      <c r="P586" s="263"/>
      <c r="Q586" s="270" t="str">
        <f aca="false">IF(AND(ISNUMBER(I586),ISNUMBER(S586)),I586*AJ586,IF(OR(I586&lt;&gt;"",S586&lt;&gt;""),"tbd",""))</f>
        <v/>
      </c>
      <c r="S586" s="268"/>
      <c r="Y586" s="275" t="str">
        <f aca="false">IF(ISNUMBER(I586),I586/Netto_Faktor,"")</f>
        <v/>
      </c>
      <c r="Z586" s="275" t="str">
        <f aca="false">IF(B586="","",IF(COUNT(J586:N586)=0,"",SUM(J586:N586)))</f>
        <v/>
      </c>
      <c r="AA586" s="266"/>
      <c r="AB586" s="266"/>
      <c r="AC586" s="266"/>
      <c r="AD586" s="266"/>
      <c r="AE586" s="266"/>
      <c r="AF586" s="266"/>
      <c r="AG586" s="267"/>
      <c r="AH586" s="266" t="str">
        <f aca="false">IF(B586="","",IF(BA586="",IF(R586="WON","✅ belegt &amp; vollständig","✔ vollständig"),LEFT(BA586,LEN(BA586)-3)))</f>
        <v/>
      </c>
      <c r="AJ586" s="268" t="n">
        <f aca="false">IF(ISNUMBER(S586),IFERROR(LOOKUP(IF(S586&lt;=1,S586,S586/100),'⚖️ Wahrscheinlichkeit'!$B$17:$B$21,'⚖️ Wahrscheinlichkeit'!$D$17:$D$21),0),0)</f>
        <v>0</v>
      </c>
      <c r="AK586" s="1" t="str">
        <f aca="false">IF(AND(R586="WON",ISNUMBER(I586)),AL586+(861-ROW())*0.000001,"")</f>
        <v/>
      </c>
      <c r="AL586" s="1" t="n">
        <f aca="false">IFERROR(I586*1,0)</f>
        <v>0</v>
      </c>
      <c r="AM586" s="1" t="n">
        <f aca="false">N(AM585)+IF(AND(R586="WON",B586&lt;&gt;""),1,0)</f>
        <v>12</v>
      </c>
      <c r="AN586" s="1" t="n">
        <f aca="false">N(AN585)+IF(AND(OR(R586="offered",R586="to be offered",R586="on hold"),B586&lt;&gt;""),1,0)</f>
        <v>33</v>
      </c>
      <c r="AO586" s="1" t="n">
        <f aca="false">N(AO585)+IF(AND(OR(R586="follow-up",R586="Evaluation",R586="tbd",R586="In evaluation"),B586&lt;&gt;""),1,0)</f>
        <v>1</v>
      </c>
      <c r="AP586" s="1" t="n">
        <f aca="false">IF(B586="",0,IF(COUNTIF('⚖️ Wahrscheinlichkeit'!$J$17:$J$24,R586)&gt;0,1,0))</f>
        <v>0</v>
      </c>
      <c r="AQ586" s="1" t="n">
        <f aca="false">IF(B586="",0,IF(AND(ISNUMBER(S586),COUNTIF('⚖️ Wahrscheinlichkeit'!$B$6:$B$11,S586)&gt;0),1,0))</f>
        <v>0</v>
      </c>
      <c r="AR586" s="1" t="n">
        <f aca="false">IF(B586="",0,IF(AND(COUNT(J586:M586)=4,SUM(J586:M586)&gt;0),1,0))</f>
        <v>0</v>
      </c>
      <c r="AS586" s="1" t="n">
        <f aca="false">IF(B586="",0,IF(AND(AF586&lt;&gt;"",AG586&lt;&gt;""),1,0))</f>
        <v>0</v>
      </c>
      <c r="AT586" s="1" t="n">
        <f aca="false">IF(AND(R586="WON",AS586=1,AR586=1),1,0)</f>
        <v>0</v>
      </c>
      <c r="AU586" s="1" t="n">
        <f aca="false">IF(B586="",0,IF(AD586="Alternative – zählt nicht",0,1))</f>
        <v>0</v>
      </c>
      <c r="AV586" s="1" t="n">
        <f aca="false">IF(B586="",0,IF(COUNTIF($B$6:$B$860,B586)&gt;1,1,0))</f>
        <v>0</v>
      </c>
      <c r="AX586" s="269" t="str">
        <f aca="false">IF(AY586=1,DATE(YEAR(O586),MONTH(O586),1),"")</f>
        <v/>
      </c>
      <c r="AY586" s="1" t="n">
        <f aca="false">IF(B586="",0,IF(AND(ISNUMBER(O586),ISNUMBER(P586)),IF(P586&gt;=O586,1,0),0))</f>
        <v>0</v>
      </c>
      <c r="AZ586" s="1" t="n">
        <f aca="false">IF(ISNUMBER(Y586),Y586,0)</f>
        <v>0</v>
      </c>
      <c r="BA586" s="1" t="str">
        <f aca="false">IF(B586="","",IF(AND(R586="WON",AS586=0),"⛔ Beleg fehlt · ","")&amp;IF(AND(R586="WON",AR586=0),"⛔ Einstand fehlt · ","")&amp;IF(AND(R586&lt;&gt;"WON",AR586=0),"○ Einstand offen · ","")&amp;IF(AND(R586="WON",AB586=""),"⛔ Vertragsart fehlt · ","")&amp;IF(AND(ISNUMBER(O586),ISNUMBER(P586)),IF(P586&lt;O586,"⚠ Ende vor Start · ",""),"")&amp;IF(AND(R586="WON",AY586=0,NOT(AND(ISNUMBER(O586),ISNUMBER(P586)))),"⛔ Zeitraum fehlt · ","")&amp;IF(AND(R586&lt;&gt;"WON",AY586=0,NOT(AND(ISNUMBER(O586),ISNUMBER(P586)))),"○ Zeitraum offen · ",""))</f>
        <v/>
      </c>
      <c r="BB586" s="1" t="str">
        <f aca="false">IF(B586="","",IF(AND(R586="WON",AS586=0),"⛔ Nachweis fehlt",IF(AND(ISNUMBER(O586),ISNUMBER(P586),P586&lt;O586),"⚠ Ende vor Start",IF(AND(R586="WON",AY586=0),"⛔ Zeitraum fehlt",IF(AR586=0,"○ Einstand offen",IF(AY586=0,"○ Zeitraum offen",IF(R586="WON","✅ belegt","✔ erfasst")))))))</f>
        <v/>
      </c>
    </row>
    <row r="587" customFormat="false" ht="15" hidden="false" customHeight="true" outlineLevel="0" collapsed="false">
      <c r="G587" s="1" t="str">
        <f aca="false">IF(B587="","",IF(AY587=1,P587-O587+1,IF(AW587="","",AW587)))</f>
        <v/>
      </c>
      <c r="I587" s="270"/>
      <c r="J587" s="270"/>
      <c r="K587" s="270"/>
      <c r="L587" s="270"/>
      <c r="M587" s="270"/>
      <c r="N587" s="270"/>
      <c r="O587" s="263"/>
      <c r="P587" s="263"/>
      <c r="Q587" s="270" t="str">
        <f aca="false">IF(AND(ISNUMBER(I587),ISNUMBER(S587)),I587*AJ587,IF(OR(I587&lt;&gt;"",S587&lt;&gt;""),"tbd",""))</f>
        <v/>
      </c>
      <c r="S587" s="268"/>
      <c r="Y587" s="275" t="str">
        <f aca="false">IF(ISNUMBER(I587),I587/Netto_Faktor,"")</f>
        <v/>
      </c>
      <c r="Z587" s="275" t="str">
        <f aca="false">IF(B587="","",IF(COUNT(J587:N587)=0,"",SUM(J587:N587)))</f>
        <v/>
      </c>
      <c r="AA587" s="266"/>
      <c r="AB587" s="266"/>
      <c r="AC587" s="266"/>
      <c r="AD587" s="266"/>
      <c r="AE587" s="266"/>
      <c r="AF587" s="266"/>
      <c r="AG587" s="267"/>
      <c r="AH587" s="266" t="str">
        <f aca="false">IF(B587="","",IF(BA587="",IF(R587="WON","✅ belegt &amp; vollständig","✔ vollständig"),LEFT(BA587,LEN(BA587)-3)))</f>
        <v/>
      </c>
      <c r="AJ587" s="268" t="n">
        <f aca="false">IF(ISNUMBER(S587),IFERROR(LOOKUP(IF(S587&lt;=1,S587,S587/100),'⚖️ Wahrscheinlichkeit'!$B$17:$B$21,'⚖️ Wahrscheinlichkeit'!$D$17:$D$21),0),0)</f>
        <v>0</v>
      </c>
      <c r="AK587" s="1" t="str">
        <f aca="false">IF(AND(R587="WON",ISNUMBER(I587)),AL587+(861-ROW())*0.000001,"")</f>
        <v/>
      </c>
      <c r="AL587" s="1" t="n">
        <f aca="false">IFERROR(I587*1,0)</f>
        <v>0</v>
      </c>
      <c r="AM587" s="1" t="n">
        <f aca="false">N(AM586)+IF(AND(R587="WON",B587&lt;&gt;""),1,0)</f>
        <v>12</v>
      </c>
      <c r="AN587" s="1" t="n">
        <f aca="false">N(AN586)+IF(AND(OR(R587="offered",R587="to be offered",R587="on hold"),B587&lt;&gt;""),1,0)</f>
        <v>33</v>
      </c>
      <c r="AO587" s="1" t="n">
        <f aca="false">N(AO586)+IF(AND(OR(R587="follow-up",R587="Evaluation",R587="tbd",R587="In evaluation"),B587&lt;&gt;""),1,0)</f>
        <v>1</v>
      </c>
      <c r="AP587" s="1" t="n">
        <f aca="false">IF(B587="",0,IF(COUNTIF('⚖️ Wahrscheinlichkeit'!$J$17:$J$24,R587)&gt;0,1,0))</f>
        <v>0</v>
      </c>
      <c r="AQ587" s="1" t="n">
        <f aca="false">IF(B587="",0,IF(AND(ISNUMBER(S587),COUNTIF('⚖️ Wahrscheinlichkeit'!$B$6:$B$11,S587)&gt;0),1,0))</f>
        <v>0</v>
      </c>
      <c r="AR587" s="1" t="n">
        <f aca="false">IF(B587="",0,IF(AND(COUNT(J587:M587)=4,SUM(J587:M587)&gt;0),1,0))</f>
        <v>0</v>
      </c>
      <c r="AS587" s="1" t="n">
        <f aca="false">IF(B587="",0,IF(AND(AF587&lt;&gt;"",AG587&lt;&gt;""),1,0))</f>
        <v>0</v>
      </c>
      <c r="AT587" s="1" t="n">
        <f aca="false">IF(AND(R587="WON",AS587=1,AR587=1),1,0)</f>
        <v>0</v>
      </c>
      <c r="AU587" s="1" t="n">
        <f aca="false">IF(B587="",0,IF(AD587="Alternative – zählt nicht",0,1))</f>
        <v>0</v>
      </c>
      <c r="AV587" s="1" t="n">
        <f aca="false">IF(B587="",0,IF(COUNTIF($B$6:$B$860,B587)&gt;1,1,0))</f>
        <v>0</v>
      </c>
      <c r="AX587" s="269" t="str">
        <f aca="false">IF(AY587=1,DATE(YEAR(O587),MONTH(O587),1),"")</f>
        <v/>
      </c>
      <c r="AY587" s="1" t="n">
        <f aca="false">IF(B587="",0,IF(AND(ISNUMBER(O587),ISNUMBER(P587)),IF(P587&gt;=O587,1,0),0))</f>
        <v>0</v>
      </c>
      <c r="AZ587" s="1" t="n">
        <f aca="false">IF(ISNUMBER(Y587),Y587,0)</f>
        <v>0</v>
      </c>
      <c r="BA587" s="1" t="str">
        <f aca="false">IF(B587="","",IF(AND(R587="WON",AS587=0),"⛔ Beleg fehlt · ","")&amp;IF(AND(R587="WON",AR587=0),"⛔ Einstand fehlt · ","")&amp;IF(AND(R587&lt;&gt;"WON",AR587=0),"○ Einstand offen · ","")&amp;IF(AND(R587="WON",AB587=""),"⛔ Vertragsart fehlt · ","")&amp;IF(AND(ISNUMBER(O587),ISNUMBER(P587)),IF(P587&lt;O587,"⚠ Ende vor Start · ",""),"")&amp;IF(AND(R587="WON",AY587=0,NOT(AND(ISNUMBER(O587),ISNUMBER(P587)))),"⛔ Zeitraum fehlt · ","")&amp;IF(AND(R587&lt;&gt;"WON",AY587=0,NOT(AND(ISNUMBER(O587),ISNUMBER(P587)))),"○ Zeitraum offen · ",""))</f>
        <v/>
      </c>
      <c r="BB587" s="1" t="str">
        <f aca="false">IF(B587="","",IF(AND(R587="WON",AS587=0),"⛔ Nachweis fehlt",IF(AND(ISNUMBER(O587),ISNUMBER(P587),P587&lt;O587),"⚠ Ende vor Start",IF(AND(R587="WON",AY587=0),"⛔ Zeitraum fehlt",IF(AR587=0,"○ Einstand offen",IF(AY587=0,"○ Zeitraum offen",IF(R587="WON","✅ belegt","✔ erfasst")))))))</f>
        <v/>
      </c>
    </row>
    <row r="588" customFormat="false" ht="15" hidden="false" customHeight="true" outlineLevel="0" collapsed="false">
      <c r="G588" s="1" t="str">
        <f aca="false">IF(B588="","",IF(AY588=1,P588-O588+1,IF(AW588="","",AW588)))</f>
        <v/>
      </c>
      <c r="I588" s="270"/>
      <c r="J588" s="270"/>
      <c r="K588" s="270"/>
      <c r="L588" s="270"/>
      <c r="M588" s="270"/>
      <c r="N588" s="270"/>
      <c r="O588" s="263"/>
      <c r="P588" s="263"/>
      <c r="Q588" s="270" t="str">
        <f aca="false">IF(AND(ISNUMBER(I588),ISNUMBER(S588)),I588*AJ588,IF(OR(I588&lt;&gt;"",S588&lt;&gt;""),"tbd",""))</f>
        <v/>
      </c>
      <c r="S588" s="268"/>
      <c r="Y588" s="275" t="str">
        <f aca="false">IF(ISNUMBER(I588),I588/Netto_Faktor,"")</f>
        <v/>
      </c>
      <c r="Z588" s="275" t="str">
        <f aca="false">IF(B588="","",IF(COUNT(J588:N588)=0,"",SUM(J588:N588)))</f>
        <v/>
      </c>
      <c r="AA588" s="266"/>
      <c r="AB588" s="266"/>
      <c r="AC588" s="266"/>
      <c r="AD588" s="266"/>
      <c r="AE588" s="266"/>
      <c r="AF588" s="266"/>
      <c r="AG588" s="267"/>
      <c r="AH588" s="266" t="str">
        <f aca="false">IF(B588="","",IF(BA588="",IF(R588="WON","✅ belegt &amp; vollständig","✔ vollständig"),LEFT(BA588,LEN(BA588)-3)))</f>
        <v/>
      </c>
      <c r="AJ588" s="268" t="n">
        <f aca="false">IF(ISNUMBER(S588),IFERROR(LOOKUP(IF(S588&lt;=1,S588,S588/100),'⚖️ Wahrscheinlichkeit'!$B$17:$B$21,'⚖️ Wahrscheinlichkeit'!$D$17:$D$21),0),0)</f>
        <v>0</v>
      </c>
      <c r="AK588" s="1" t="str">
        <f aca="false">IF(AND(R588="WON",ISNUMBER(I588)),AL588+(861-ROW())*0.000001,"")</f>
        <v/>
      </c>
      <c r="AL588" s="1" t="n">
        <f aca="false">IFERROR(I588*1,0)</f>
        <v>0</v>
      </c>
      <c r="AM588" s="1" t="n">
        <f aca="false">N(AM587)+IF(AND(R588="WON",B588&lt;&gt;""),1,0)</f>
        <v>12</v>
      </c>
      <c r="AN588" s="1" t="n">
        <f aca="false">N(AN587)+IF(AND(OR(R588="offered",R588="to be offered",R588="on hold"),B588&lt;&gt;""),1,0)</f>
        <v>33</v>
      </c>
      <c r="AO588" s="1" t="n">
        <f aca="false">N(AO587)+IF(AND(OR(R588="follow-up",R588="Evaluation",R588="tbd",R588="In evaluation"),B588&lt;&gt;""),1,0)</f>
        <v>1</v>
      </c>
      <c r="AP588" s="1" t="n">
        <f aca="false">IF(B588="",0,IF(COUNTIF('⚖️ Wahrscheinlichkeit'!$J$17:$J$24,R588)&gt;0,1,0))</f>
        <v>0</v>
      </c>
      <c r="AQ588" s="1" t="n">
        <f aca="false">IF(B588="",0,IF(AND(ISNUMBER(S588),COUNTIF('⚖️ Wahrscheinlichkeit'!$B$6:$B$11,S588)&gt;0),1,0))</f>
        <v>0</v>
      </c>
      <c r="AR588" s="1" t="n">
        <f aca="false">IF(B588="",0,IF(AND(COUNT(J588:M588)=4,SUM(J588:M588)&gt;0),1,0))</f>
        <v>0</v>
      </c>
      <c r="AS588" s="1" t="n">
        <f aca="false">IF(B588="",0,IF(AND(AF588&lt;&gt;"",AG588&lt;&gt;""),1,0))</f>
        <v>0</v>
      </c>
      <c r="AT588" s="1" t="n">
        <f aca="false">IF(AND(R588="WON",AS588=1,AR588=1),1,0)</f>
        <v>0</v>
      </c>
      <c r="AU588" s="1" t="n">
        <f aca="false">IF(B588="",0,IF(AD588="Alternative – zählt nicht",0,1))</f>
        <v>0</v>
      </c>
      <c r="AV588" s="1" t="n">
        <f aca="false">IF(B588="",0,IF(COUNTIF($B$6:$B$860,B588)&gt;1,1,0))</f>
        <v>0</v>
      </c>
      <c r="AX588" s="269" t="str">
        <f aca="false">IF(AY588=1,DATE(YEAR(O588),MONTH(O588),1),"")</f>
        <v/>
      </c>
      <c r="AY588" s="1" t="n">
        <f aca="false">IF(B588="",0,IF(AND(ISNUMBER(O588),ISNUMBER(P588)),IF(P588&gt;=O588,1,0),0))</f>
        <v>0</v>
      </c>
      <c r="AZ588" s="1" t="n">
        <f aca="false">IF(ISNUMBER(Y588),Y588,0)</f>
        <v>0</v>
      </c>
      <c r="BA588" s="1" t="str">
        <f aca="false">IF(B588="","",IF(AND(R588="WON",AS588=0),"⛔ Beleg fehlt · ","")&amp;IF(AND(R588="WON",AR588=0),"⛔ Einstand fehlt · ","")&amp;IF(AND(R588&lt;&gt;"WON",AR588=0),"○ Einstand offen · ","")&amp;IF(AND(R588="WON",AB588=""),"⛔ Vertragsart fehlt · ","")&amp;IF(AND(ISNUMBER(O588),ISNUMBER(P588)),IF(P588&lt;O588,"⚠ Ende vor Start · ",""),"")&amp;IF(AND(R588="WON",AY588=0,NOT(AND(ISNUMBER(O588),ISNUMBER(P588)))),"⛔ Zeitraum fehlt · ","")&amp;IF(AND(R588&lt;&gt;"WON",AY588=0,NOT(AND(ISNUMBER(O588),ISNUMBER(P588)))),"○ Zeitraum offen · ",""))</f>
        <v/>
      </c>
      <c r="BB588" s="1" t="str">
        <f aca="false">IF(B588="","",IF(AND(R588="WON",AS588=0),"⛔ Nachweis fehlt",IF(AND(ISNUMBER(O588),ISNUMBER(P588),P588&lt;O588),"⚠ Ende vor Start",IF(AND(R588="WON",AY588=0),"⛔ Zeitraum fehlt",IF(AR588=0,"○ Einstand offen",IF(AY588=0,"○ Zeitraum offen",IF(R588="WON","✅ belegt","✔ erfasst")))))))</f>
        <v/>
      </c>
    </row>
    <row r="589" customFormat="false" ht="15" hidden="false" customHeight="true" outlineLevel="0" collapsed="false">
      <c r="G589" s="1" t="str">
        <f aca="false">IF(B589="","",IF(AY589=1,P589-O589+1,IF(AW589="","",AW589)))</f>
        <v/>
      </c>
      <c r="I589" s="270"/>
      <c r="J589" s="270"/>
      <c r="K589" s="270"/>
      <c r="L589" s="270"/>
      <c r="M589" s="270"/>
      <c r="N589" s="270"/>
      <c r="O589" s="263"/>
      <c r="P589" s="263"/>
      <c r="Q589" s="270" t="str">
        <f aca="false">IF(AND(ISNUMBER(I589),ISNUMBER(S589)),I589*AJ589,IF(OR(I589&lt;&gt;"",S589&lt;&gt;""),"tbd",""))</f>
        <v/>
      </c>
      <c r="S589" s="268"/>
      <c r="Y589" s="275" t="str">
        <f aca="false">IF(ISNUMBER(I589),I589/Netto_Faktor,"")</f>
        <v/>
      </c>
      <c r="Z589" s="275" t="str">
        <f aca="false">IF(B589="","",IF(COUNT(J589:N589)=0,"",SUM(J589:N589)))</f>
        <v/>
      </c>
      <c r="AA589" s="266"/>
      <c r="AB589" s="266"/>
      <c r="AC589" s="266"/>
      <c r="AD589" s="266"/>
      <c r="AE589" s="266"/>
      <c r="AF589" s="266"/>
      <c r="AG589" s="267"/>
      <c r="AH589" s="266" t="str">
        <f aca="false">IF(B589="","",IF(BA589="",IF(R589="WON","✅ belegt &amp; vollständig","✔ vollständig"),LEFT(BA589,LEN(BA589)-3)))</f>
        <v/>
      </c>
      <c r="AJ589" s="268" t="n">
        <f aca="false">IF(ISNUMBER(S589),IFERROR(LOOKUP(IF(S589&lt;=1,S589,S589/100),'⚖️ Wahrscheinlichkeit'!$B$17:$B$21,'⚖️ Wahrscheinlichkeit'!$D$17:$D$21),0),0)</f>
        <v>0</v>
      </c>
      <c r="AK589" s="1" t="str">
        <f aca="false">IF(AND(R589="WON",ISNUMBER(I589)),AL589+(861-ROW())*0.000001,"")</f>
        <v/>
      </c>
      <c r="AL589" s="1" t="n">
        <f aca="false">IFERROR(I589*1,0)</f>
        <v>0</v>
      </c>
      <c r="AM589" s="1" t="n">
        <f aca="false">N(AM588)+IF(AND(R589="WON",B589&lt;&gt;""),1,0)</f>
        <v>12</v>
      </c>
      <c r="AN589" s="1" t="n">
        <f aca="false">N(AN588)+IF(AND(OR(R589="offered",R589="to be offered",R589="on hold"),B589&lt;&gt;""),1,0)</f>
        <v>33</v>
      </c>
      <c r="AO589" s="1" t="n">
        <f aca="false">N(AO588)+IF(AND(OR(R589="follow-up",R589="Evaluation",R589="tbd",R589="In evaluation"),B589&lt;&gt;""),1,0)</f>
        <v>1</v>
      </c>
      <c r="AP589" s="1" t="n">
        <f aca="false">IF(B589="",0,IF(COUNTIF('⚖️ Wahrscheinlichkeit'!$J$17:$J$24,R589)&gt;0,1,0))</f>
        <v>0</v>
      </c>
      <c r="AQ589" s="1" t="n">
        <f aca="false">IF(B589="",0,IF(AND(ISNUMBER(S589),COUNTIF('⚖️ Wahrscheinlichkeit'!$B$6:$B$11,S589)&gt;0),1,0))</f>
        <v>0</v>
      </c>
      <c r="AR589" s="1" t="n">
        <f aca="false">IF(B589="",0,IF(AND(COUNT(J589:M589)=4,SUM(J589:M589)&gt;0),1,0))</f>
        <v>0</v>
      </c>
      <c r="AS589" s="1" t="n">
        <f aca="false">IF(B589="",0,IF(AND(AF589&lt;&gt;"",AG589&lt;&gt;""),1,0))</f>
        <v>0</v>
      </c>
      <c r="AT589" s="1" t="n">
        <f aca="false">IF(AND(R589="WON",AS589=1,AR589=1),1,0)</f>
        <v>0</v>
      </c>
      <c r="AU589" s="1" t="n">
        <f aca="false">IF(B589="",0,IF(AD589="Alternative – zählt nicht",0,1))</f>
        <v>0</v>
      </c>
      <c r="AV589" s="1" t="n">
        <f aca="false">IF(B589="",0,IF(COUNTIF($B$6:$B$860,B589)&gt;1,1,0))</f>
        <v>0</v>
      </c>
      <c r="AX589" s="269" t="str">
        <f aca="false">IF(AY589=1,DATE(YEAR(O589),MONTH(O589),1),"")</f>
        <v/>
      </c>
      <c r="AY589" s="1" t="n">
        <f aca="false">IF(B589="",0,IF(AND(ISNUMBER(O589),ISNUMBER(P589)),IF(P589&gt;=O589,1,0),0))</f>
        <v>0</v>
      </c>
      <c r="AZ589" s="1" t="n">
        <f aca="false">IF(ISNUMBER(Y589),Y589,0)</f>
        <v>0</v>
      </c>
      <c r="BA589" s="1" t="str">
        <f aca="false">IF(B589="","",IF(AND(R589="WON",AS589=0),"⛔ Beleg fehlt · ","")&amp;IF(AND(R589="WON",AR589=0),"⛔ Einstand fehlt · ","")&amp;IF(AND(R589&lt;&gt;"WON",AR589=0),"○ Einstand offen · ","")&amp;IF(AND(R589="WON",AB589=""),"⛔ Vertragsart fehlt · ","")&amp;IF(AND(ISNUMBER(O589),ISNUMBER(P589)),IF(P589&lt;O589,"⚠ Ende vor Start · ",""),"")&amp;IF(AND(R589="WON",AY589=0,NOT(AND(ISNUMBER(O589),ISNUMBER(P589)))),"⛔ Zeitraum fehlt · ","")&amp;IF(AND(R589&lt;&gt;"WON",AY589=0,NOT(AND(ISNUMBER(O589),ISNUMBER(P589)))),"○ Zeitraum offen · ",""))</f>
        <v/>
      </c>
      <c r="BB589" s="1" t="str">
        <f aca="false">IF(B589="","",IF(AND(R589="WON",AS589=0),"⛔ Nachweis fehlt",IF(AND(ISNUMBER(O589),ISNUMBER(P589),P589&lt;O589),"⚠ Ende vor Start",IF(AND(R589="WON",AY589=0),"⛔ Zeitraum fehlt",IF(AR589=0,"○ Einstand offen",IF(AY589=0,"○ Zeitraum offen",IF(R589="WON","✅ belegt","✔ erfasst")))))))</f>
        <v/>
      </c>
    </row>
    <row r="590" customFormat="false" ht="15" hidden="false" customHeight="true" outlineLevel="0" collapsed="false">
      <c r="G590" s="1" t="str">
        <f aca="false">IF(B590="","",IF(AY590=1,P590-O590+1,IF(AW590="","",AW590)))</f>
        <v/>
      </c>
      <c r="I590" s="270"/>
      <c r="J590" s="270"/>
      <c r="K590" s="270"/>
      <c r="L590" s="270"/>
      <c r="M590" s="270"/>
      <c r="N590" s="270"/>
      <c r="O590" s="263"/>
      <c r="P590" s="263"/>
      <c r="Q590" s="270" t="str">
        <f aca="false">IF(AND(ISNUMBER(I590),ISNUMBER(S590)),I590*AJ590,IF(OR(I590&lt;&gt;"",S590&lt;&gt;""),"tbd",""))</f>
        <v/>
      </c>
      <c r="S590" s="268"/>
      <c r="Y590" s="275" t="str">
        <f aca="false">IF(ISNUMBER(I590),I590/Netto_Faktor,"")</f>
        <v/>
      </c>
      <c r="Z590" s="275" t="str">
        <f aca="false">IF(B590="","",IF(COUNT(J590:N590)=0,"",SUM(J590:N590)))</f>
        <v/>
      </c>
      <c r="AA590" s="266"/>
      <c r="AB590" s="266"/>
      <c r="AC590" s="266"/>
      <c r="AD590" s="266"/>
      <c r="AE590" s="266"/>
      <c r="AF590" s="266"/>
      <c r="AG590" s="267"/>
      <c r="AH590" s="266" t="str">
        <f aca="false">IF(B590="","",IF(BA590="",IF(R590="WON","✅ belegt &amp; vollständig","✔ vollständig"),LEFT(BA590,LEN(BA590)-3)))</f>
        <v/>
      </c>
      <c r="AJ590" s="268" t="n">
        <f aca="false">IF(ISNUMBER(S590),IFERROR(LOOKUP(IF(S590&lt;=1,S590,S590/100),'⚖️ Wahrscheinlichkeit'!$B$17:$B$21,'⚖️ Wahrscheinlichkeit'!$D$17:$D$21),0),0)</f>
        <v>0</v>
      </c>
      <c r="AK590" s="1" t="str">
        <f aca="false">IF(AND(R590="WON",ISNUMBER(I590)),AL590+(861-ROW())*0.000001,"")</f>
        <v/>
      </c>
      <c r="AL590" s="1" t="n">
        <f aca="false">IFERROR(I590*1,0)</f>
        <v>0</v>
      </c>
      <c r="AM590" s="1" t="n">
        <f aca="false">N(AM589)+IF(AND(R590="WON",B590&lt;&gt;""),1,0)</f>
        <v>12</v>
      </c>
      <c r="AN590" s="1" t="n">
        <f aca="false">N(AN589)+IF(AND(OR(R590="offered",R590="to be offered",R590="on hold"),B590&lt;&gt;""),1,0)</f>
        <v>33</v>
      </c>
      <c r="AO590" s="1" t="n">
        <f aca="false">N(AO589)+IF(AND(OR(R590="follow-up",R590="Evaluation",R590="tbd",R590="In evaluation"),B590&lt;&gt;""),1,0)</f>
        <v>1</v>
      </c>
      <c r="AP590" s="1" t="n">
        <f aca="false">IF(B590="",0,IF(COUNTIF('⚖️ Wahrscheinlichkeit'!$J$17:$J$24,R590)&gt;0,1,0))</f>
        <v>0</v>
      </c>
      <c r="AQ590" s="1" t="n">
        <f aca="false">IF(B590="",0,IF(AND(ISNUMBER(S590),COUNTIF('⚖️ Wahrscheinlichkeit'!$B$6:$B$11,S590)&gt;0),1,0))</f>
        <v>0</v>
      </c>
      <c r="AR590" s="1" t="n">
        <f aca="false">IF(B590="",0,IF(AND(COUNT(J590:M590)=4,SUM(J590:M590)&gt;0),1,0))</f>
        <v>0</v>
      </c>
      <c r="AS590" s="1" t="n">
        <f aca="false">IF(B590="",0,IF(AND(AF590&lt;&gt;"",AG590&lt;&gt;""),1,0))</f>
        <v>0</v>
      </c>
      <c r="AT590" s="1" t="n">
        <f aca="false">IF(AND(R590="WON",AS590=1,AR590=1),1,0)</f>
        <v>0</v>
      </c>
      <c r="AU590" s="1" t="n">
        <f aca="false">IF(B590="",0,IF(AD590="Alternative – zählt nicht",0,1))</f>
        <v>0</v>
      </c>
      <c r="AV590" s="1" t="n">
        <f aca="false">IF(B590="",0,IF(COUNTIF($B$6:$B$860,B590)&gt;1,1,0))</f>
        <v>0</v>
      </c>
      <c r="AX590" s="269" t="str">
        <f aca="false">IF(AY590=1,DATE(YEAR(O590),MONTH(O590),1),"")</f>
        <v/>
      </c>
      <c r="AY590" s="1" t="n">
        <f aca="false">IF(B590="",0,IF(AND(ISNUMBER(O590),ISNUMBER(P590)),IF(P590&gt;=O590,1,0),0))</f>
        <v>0</v>
      </c>
      <c r="AZ590" s="1" t="n">
        <f aca="false">IF(ISNUMBER(Y590),Y590,0)</f>
        <v>0</v>
      </c>
      <c r="BA590" s="1" t="str">
        <f aca="false">IF(B590="","",IF(AND(R590="WON",AS590=0),"⛔ Beleg fehlt · ","")&amp;IF(AND(R590="WON",AR590=0),"⛔ Einstand fehlt · ","")&amp;IF(AND(R590&lt;&gt;"WON",AR590=0),"○ Einstand offen · ","")&amp;IF(AND(R590="WON",AB590=""),"⛔ Vertragsart fehlt · ","")&amp;IF(AND(ISNUMBER(O590),ISNUMBER(P590)),IF(P590&lt;O590,"⚠ Ende vor Start · ",""),"")&amp;IF(AND(R590="WON",AY590=0,NOT(AND(ISNUMBER(O590),ISNUMBER(P590)))),"⛔ Zeitraum fehlt · ","")&amp;IF(AND(R590&lt;&gt;"WON",AY590=0,NOT(AND(ISNUMBER(O590),ISNUMBER(P590)))),"○ Zeitraum offen · ",""))</f>
        <v/>
      </c>
      <c r="BB590" s="1" t="str">
        <f aca="false">IF(B590="","",IF(AND(R590="WON",AS590=0),"⛔ Nachweis fehlt",IF(AND(ISNUMBER(O590),ISNUMBER(P590),P590&lt;O590),"⚠ Ende vor Start",IF(AND(R590="WON",AY590=0),"⛔ Zeitraum fehlt",IF(AR590=0,"○ Einstand offen",IF(AY590=0,"○ Zeitraum offen",IF(R590="WON","✅ belegt","✔ erfasst")))))))</f>
        <v/>
      </c>
    </row>
    <row r="591" customFormat="false" ht="15" hidden="false" customHeight="true" outlineLevel="0" collapsed="false">
      <c r="G591" s="1" t="str">
        <f aca="false">IF(B591="","",IF(AY591=1,P591-O591+1,IF(AW591="","",AW591)))</f>
        <v/>
      </c>
      <c r="I591" s="270"/>
      <c r="J591" s="270"/>
      <c r="K591" s="270"/>
      <c r="L591" s="270"/>
      <c r="M591" s="270"/>
      <c r="N591" s="270"/>
      <c r="O591" s="263"/>
      <c r="P591" s="263"/>
      <c r="Q591" s="270" t="str">
        <f aca="false">IF(AND(ISNUMBER(I591),ISNUMBER(S591)),I591*AJ591,IF(OR(I591&lt;&gt;"",S591&lt;&gt;""),"tbd",""))</f>
        <v/>
      </c>
      <c r="S591" s="268"/>
      <c r="Y591" s="275" t="str">
        <f aca="false">IF(ISNUMBER(I591),I591/Netto_Faktor,"")</f>
        <v/>
      </c>
      <c r="Z591" s="275" t="str">
        <f aca="false">IF(B591="","",IF(COUNT(J591:N591)=0,"",SUM(J591:N591)))</f>
        <v/>
      </c>
      <c r="AA591" s="266"/>
      <c r="AB591" s="266"/>
      <c r="AC591" s="266"/>
      <c r="AD591" s="266"/>
      <c r="AE591" s="266"/>
      <c r="AF591" s="266"/>
      <c r="AG591" s="267"/>
      <c r="AH591" s="266" t="str">
        <f aca="false">IF(B591="","",IF(BA591="",IF(R591="WON","✅ belegt &amp; vollständig","✔ vollständig"),LEFT(BA591,LEN(BA591)-3)))</f>
        <v/>
      </c>
      <c r="AJ591" s="268" t="n">
        <f aca="false">IF(ISNUMBER(S591),IFERROR(LOOKUP(IF(S591&lt;=1,S591,S591/100),'⚖️ Wahrscheinlichkeit'!$B$17:$B$21,'⚖️ Wahrscheinlichkeit'!$D$17:$D$21),0),0)</f>
        <v>0</v>
      </c>
      <c r="AK591" s="1" t="str">
        <f aca="false">IF(AND(R591="WON",ISNUMBER(I591)),AL591+(861-ROW())*0.000001,"")</f>
        <v/>
      </c>
      <c r="AL591" s="1" t="n">
        <f aca="false">IFERROR(I591*1,0)</f>
        <v>0</v>
      </c>
      <c r="AM591" s="1" t="n">
        <f aca="false">N(AM590)+IF(AND(R591="WON",B591&lt;&gt;""),1,0)</f>
        <v>12</v>
      </c>
      <c r="AN591" s="1" t="n">
        <f aca="false">N(AN590)+IF(AND(OR(R591="offered",R591="to be offered",R591="on hold"),B591&lt;&gt;""),1,0)</f>
        <v>33</v>
      </c>
      <c r="AO591" s="1" t="n">
        <f aca="false">N(AO590)+IF(AND(OR(R591="follow-up",R591="Evaluation",R591="tbd",R591="In evaluation"),B591&lt;&gt;""),1,0)</f>
        <v>1</v>
      </c>
      <c r="AP591" s="1" t="n">
        <f aca="false">IF(B591="",0,IF(COUNTIF('⚖️ Wahrscheinlichkeit'!$J$17:$J$24,R591)&gt;0,1,0))</f>
        <v>0</v>
      </c>
      <c r="AQ591" s="1" t="n">
        <f aca="false">IF(B591="",0,IF(AND(ISNUMBER(S591),COUNTIF('⚖️ Wahrscheinlichkeit'!$B$6:$B$11,S591)&gt;0),1,0))</f>
        <v>0</v>
      </c>
      <c r="AR591" s="1" t="n">
        <f aca="false">IF(B591="",0,IF(AND(COUNT(J591:M591)=4,SUM(J591:M591)&gt;0),1,0))</f>
        <v>0</v>
      </c>
      <c r="AS591" s="1" t="n">
        <f aca="false">IF(B591="",0,IF(AND(AF591&lt;&gt;"",AG591&lt;&gt;""),1,0))</f>
        <v>0</v>
      </c>
      <c r="AT591" s="1" t="n">
        <f aca="false">IF(AND(R591="WON",AS591=1,AR591=1),1,0)</f>
        <v>0</v>
      </c>
      <c r="AU591" s="1" t="n">
        <f aca="false">IF(B591="",0,IF(AD591="Alternative – zählt nicht",0,1))</f>
        <v>0</v>
      </c>
      <c r="AV591" s="1" t="n">
        <f aca="false">IF(B591="",0,IF(COUNTIF($B$6:$B$860,B591)&gt;1,1,0))</f>
        <v>0</v>
      </c>
      <c r="AX591" s="269" t="str">
        <f aca="false">IF(AY591=1,DATE(YEAR(O591),MONTH(O591),1),"")</f>
        <v/>
      </c>
      <c r="AY591" s="1" t="n">
        <f aca="false">IF(B591="",0,IF(AND(ISNUMBER(O591),ISNUMBER(P591)),IF(P591&gt;=O591,1,0),0))</f>
        <v>0</v>
      </c>
      <c r="AZ591" s="1" t="n">
        <f aca="false">IF(ISNUMBER(Y591),Y591,0)</f>
        <v>0</v>
      </c>
      <c r="BA591" s="1" t="str">
        <f aca="false">IF(B591="","",IF(AND(R591="WON",AS591=0),"⛔ Beleg fehlt · ","")&amp;IF(AND(R591="WON",AR591=0),"⛔ Einstand fehlt · ","")&amp;IF(AND(R591&lt;&gt;"WON",AR591=0),"○ Einstand offen · ","")&amp;IF(AND(R591="WON",AB591=""),"⛔ Vertragsart fehlt · ","")&amp;IF(AND(ISNUMBER(O591),ISNUMBER(P591)),IF(P591&lt;O591,"⚠ Ende vor Start · ",""),"")&amp;IF(AND(R591="WON",AY591=0,NOT(AND(ISNUMBER(O591),ISNUMBER(P591)))),"⛔ Zeitraum fehlt · ","")&amp;IF(AND(R591&lt;&gt;"WON",AY591=0,NOT(AND(ISNUMBER(O591),ISNUMBER(P591)))),"○ Zeitraum offen · ",""))</f>
        <v/>
      </c>
      <c r="BB591" s="1" t="str">
        <f aca="false">IF(B591="","",IF(AND(R591="WON",AS591=0),"⛔ Nachweis fehlt",IF(AND(ISNUMBER(O591),ISNUMBER(P591),P591&lt;O591),"⚠ Ende vor Start",IF(AND(R591="WON",AY591=0),"⛔ Zeitraum fehlt",IF(AR591=0,"○ Einstand offen",IF(AY591=0,"○ Zeitraum offen",IF(R591="WON","✅ belegt","✔ erfasst")))))))</f>
        <v/>
      </c>
    </row>
    <row r="592" customFormat="false" ht="15" hidden="false" customHeight="true" outlineLevel="0" collapsed="false">
      <c r="G592" s="1" t="str">
        <f aca="false">IF(B592="","",IF(AY592=1,P592-O592+1,IF(AW592="","",AW592)))</f>
        <v/>
      </c>
      <c r="I592" s="270"/>
      <c r="J592" s="270"/>
      <c r="K592" s="270"/>
      <c r="L592" s="270"/>
      <c r="M592" s="270"/>
      <c r="N592" s="270"/>
      <c r="O592" s="263"/>
      <c r="P592" s="263"/>
      <c r="Q592" s="270" t="str">
        <f aca="false">IF(AND(ISNUMBER(I592),ISNUMBER(S592)),I592*AJ592,IF(OR(I592&lt;&gt;"",S592&lt;&gt;""),"tbd",""))</f>
        <v/>
      </c>
      <c r="S592" s="268"/>
      <c r="Y592" s="275" t="str">
        <f aca="false">IF(ISNUMBER(I592),I592/Netto_Faktor,"")</f>
        <v/>
      </c>
      <c r="Z592" s="275" t="str">
        <f aca="false">IF(B592="","",IF(COUNT(J592:N592)=0,"",SUM(J592:N592)))</f>
        <v/>
      </c>
      <c r="AA592" s="266"/>
      <c r="AB592" s="266"/>
      <c r="AC592" s="266"/>
      <c r="AD592" s="266"/>
      <c r="AE592" s="266"/>
      <c r="AF592" s="266"/>
      <c r="AG592" s="267"/>
      <c r="AH592" s="266" t="str">
        <f aca="false">IF(B592="","",IF(BA592="",IF(R592="WON","✅ belegt &amp; vollständig","✔ vollständig"),LEFT(BA592,LEN(BA592)-3)))</f>
        <v/>
      </c>
      <c r="AJ592" s="268" t="n">
        <f aca="false">IF(ISNUMBER(S592),IFERROR(LOOKUP(IF(S592&lt;=1,S592,S592/100),'⚖️ Wahrscheinlichkeit'!$B$17:$B$21,'⚖️ Wahrscheinlichkeit'!$D$17:$D$21),0),0)</f>
        <v>0</v>
      </c>
      <c r="AK592" s="1" t="str">
        <f aca="false">IF(AND(R592="WON",ISNUMBER(I592)),AL592+(861-ROW())*0.000001,"")</f>
        <v/>
      </c>
      <c r="AL592" s="1" t="n">
        <f aca="false">IFERROR(I592*1,0)</f>
        <v>0</v>
      </c>
      <c r="AM592" s="1" t="n">
        <f aca="false">N(AM591)+IF(AND(R592="WON",B592&lt;&gt;""),1,0)</f>
        <v>12</v>
      </c>
      <c r="AN592" s="1" t="n">
        <f aca="false">N(AN591)+IF(AND(OR(R592="offered",R592="to be offered",R592="on hold"),B592&lt;&gt;""),1,0)</f>
        <v>33</v>
      </c>
      <c r="AO592" s="1" t="n">
        <f aca="false">N(AO591)+IF(AND(OR(R592="follow-up",R592="Evaluation",R592="tbd",R592="In evaluation"),B592&lt;&gt;""),1,0)</f>
        <v>1</v>
      </c>
      <c r="AP592" s="1" t="n">
        <f aca="false">IF(B592="",0,IF(COUNTIF('⚖️ Wahrscheinlichkeit'!$J$17:$J$24,R592)&gt;0,1,0))</f>
        <v>0</v>
      </c>
      <c r="AQ592" s="1" t="n">
        <f aca="false">IF(B592="",0,IF(AND(ISNUMBER(S592),COUNTIF('⚖️ Wahrscheinlichkeit'!$B$6:$B$11,S592)&gt;0),1,0))</f>
        <v>0</v>
      </c>
      <c r="AR592" s="1" t="n">
        <f aca="false">IF(B592="",0,IF(AND(COUNT(J592:M592)=4,SUM(J592:M592)&gt;0),1,0))</f>
        <v>0</v>
      </c>
      <c r="AS592" s="1" t="n">
        <f aca="false">IF(B592="",0,IF(AND(AF592&lt;&gt;"",AG592&lt;&gt;""),1,0))</f>
        <v>0</v>
      </c>
      <c r="AT592" s="1" t="n">
        <f aca="false">IF(AND(R592="WON",AS592=1,AR592=1),1,0)</f>
        <v>0</v>
      </c>
      <c r="AU592" s="1" t="n">
        <f aca="false">IF(B592="",0,IF(AD592="Alternative – zählt nicht",0,1))</f>
        <v>0</v>
      </c>
      <c r="AV592" s="1" t="n">
        <f aca="false">IF(B592="",0,IF(COUNTIF($B$6:$B$860,B592)&gt;1,1,0))</f>
        <v>0</v>
      </c>
      <c r="AX592" s="269" t="str">
        <f aca="false">IF(AY592=1,DATE(YEAR(O592),MONTH(O592),1),"")</f>
        <v/>
      </c>
      <c r="AY592" s="1" t="n">
        <f aca="false">IF(B592="",0,IF(AND(ISNUMBER(O592),ISNUMBER(P592)),IF(P592&gt;=O592,1,0),0))</f>
        <v>0</v>
      </c>
      <c r="AZ592" s="1" t="n">
        <f aca="false">IF(ISNUMBER(Y592),Y592,0)</f>
        <v>0</v>
      </c>
      <c r="BA592" s="1" t="str">
        <f aca="false">IF(B592="","",IF(AND(R592="WON",AS592=0),"⛔ Beleg fehlt · ","")&amp;IF(AND(R592="WON",AR592=0),"⛔ Einstand fehlt · ","")&amp;IF(AND(R592&lt;&gt;"WON",AR592=0),"○ Einstand offen · ","")&amp;IF(AND(R592="WON",AB592=""),"⛔ Vertragsart fehlt · ","")&amp;IF(AND(ISNUMBER(O592),ISNUMBER(P592)),IF(P592&lt;O592,"⚠ Ende vor Start · ",""),"")&amp;IF(AND(R592="WON",AY592=0,NOT(AND(ISNUMBER(O592),ISNUMBER(P592)))),"⛔ Zeitraum fehlt · ","")&amp;IF(AND(R592&lt;&gt;"WON",AY592=0,NOT(AND(ISNUMBER(O592),ISNUMBER(P592)))),"○ Zeitraum offen · ",""))</f>
        <v/>
      </c>
      <c r="BB592" s="1" t="str">
        <f aca="false">IF(B592="","",IF(AND(R592="WON",AS592=0),"⛔ Nachweis fehlt",IF(AND(ISNUMBER(O592),ISNUMBER(P592),P592&lt;O592),"⚠ Ende vor Start",IF(AND(R592="WON",AY592=0),"⛔ Zeitraum fehlt",IF(AR592=0,"○ Einstand offen",IF(AY592=0,"○ Zeitraum offen",IF(R592="WON","✅ belegt","✔ erfasst")))))))</f>
        <v/>
      </c>
    </row>
    <row r="593" customFormat="false" ht="15" hidden="false" customHeight="true" outlineLevel="0" collapsed="false">
      <c r="G593" s="1" t="str">
        <f aca="false">IF(B593="","",IF(AY593=1,P593-O593+1,IF(AW593="","",AW593)))</f>
        <v/>
      </c>
      <c r="I593" s="270"/>
      <c r="J593" s="270"/>
      <c r="K593" s="270"/>
      <c r="L593" s="270"/>
      <c r="M593" s="270"/>
      <c r="N593" s="270"/>
      <c r="O593" s="263"/>
      <c r="P593" s="263"/>
      <c r="Q593" s="270" t="str">
        <f aca="false">IF(AND(ISNUMBER(I593),ISNUMBER(S593)),I593*AJ593,IF(OR(I593&lt;&gt;"",S593&lt;&gt;""),"tbd",""))</f>
        <v/>
      </c>
      <c r="S593" s="268"/>
      <c r="Y593" s="275" t="str">
        <f aca="false">IF(ISNUMBER(I593),I593/Netto_Faktor,"")</f>
        <v/>
      </c>
      <c r="Z593" s="275" t="str">
        <f aca="false">IF(B593="","",IF(COUNT(J593:N593)=0,"",SUM(J593:N593)))</f>
        <v/>
      </c>
      <c r="AA593" s="266"/>
      <c r="AB593" s="266"/>
      <c r="AC593" s="266"/>
      <c r="AD593" s="266"/>
      <c r="AE593" s="266"/>
      <c r="AF593" s="266"/>
      <c r="AG593" s="267"/>
      <c r="AH593" s="266" t="str">
        <f aca="false">IF(B593="","",IF(BA593="",IF(R593="WON","✅ belegt &amp; vollständig","✔ vollständig"),LEFT(BA593,LEN(BA593)-3)))</f>
        <v/>
      </c>
      <c r="AJ593" s="268" t="n">
        <f aca="false">IF(ISNUMBER(S593),IFERROR(LOOKUP(IF(S593&lt;=1,S593,S593/100),'⚖️ Wahrscheinlichkeit'!$B$17:$B$21,'⚖️ Wahrscheinlichkeit'!$D$17:$D$21),0),0)</f>
        <v>0</v>
      </c>
      <c r="AK593" s="1" t="str">
        <f aca="false">IF(AND(R593="WON",ISNUMBER(I593)),AL593+(861-ROW())*0.000001,"")</f>
        <v/>
      </c>
      <c r="AL593" s="1" t="n">
        <f aca="false">IFERROR(I593*1,0)</f>
        <v>0</v>
      </c>
      <c r="AM593" s="1" t="n">
        <f aca="false">N(AM592)+IF(AND(R593="WON",B593&lt;&gt;""),1,0)</f>
        <v>12</v>
      </c>
      <c r="AN593" s="1" t="n">
        <f aca="false">N(AN592)+IF(AND(OR(R593="offered",R593="to be offered",R593="on hold"),B593&lt;&gt;""),1,0)</f>
        <v>33</v>
      </c>
      <c r="AO593" s="1" t="n">
        <f aca="false">N(AO592)+IF(AND(OR(R593="follow-up",R593="Evaluation",R593="tbd",R593="In evaluation"),B593&lt;&gt;""),1,0)</f>
        <v>1</v>
      </c>
      <c r="AP593" s="1" t="n">
        <f aca="false">IF(B593="",0,IF(COUNTIF('⚖️ Wahrscheinlichkeit'!$J$17:$J$24,R593)&gt;0,1,0))</f>
        <v>0</v>
      </c>
      <c r="AQ593" s="1" t="n">
        <f aca="false">IF(B593="",0,IF(AND(ISNUMBER(S593),COUNTIF('⚖️ Wahrscheinlichkeit'!$B$6:$B$11,S593)&gt;0),1,0))</f>
        <v>0</v>
      </c>
      <c r="AR593" s="1" t="n">
        <f aca="false">IF(B593="",0,IF(AND(COUNT(J593:M593)=4,SUM(J593:M593)&gt;0),1,0))</f>
        <v>0</v>
      </c>
      <c r="AS593" s="1" t="n">
        <f aca="false">IF(B593="",0,IF(AND(AF593&lt;&gt;"",AG593&lt;&gt;""),1,0))</f>
        <v>0</v>
      </c>
      <c r="AT593" s="1" t="n">
        <f aca="false">IF(AND(R593="WON",AS593=1,AR593=1),1,0)</f>
        <v>0</v>
      </c>
      <c r="AU593" s="1" t="n">
        <f aca="false">IF(B593="",0,IF(AD593="Alternative – zählt nicht",0,1))</f>
        <v>0</v>
      </c>
      <c r="AV593" s="1" t="n">
        <f aca="false">IF(B593="",0,IF(COUNTIF($B$6:$B$860,B593)&gt;1,1,0))</f>
        <v>0</v>
      </c>
      <c r="AX593" s="269" t="str">
        <f aca="false">IF(AY593=1,DATE(YEAR(O593),MONTH(O593),1),"")</f>
        <v/>
      </c>
      <c r="AY593" s="1" t="n">
        <f aca="false">IF(B593="",0,IF(AND(ISNUMBER(O593),ISNUMBER(P593)),IF(P593&gt;=O593,1,0),0))</f>
        <v>0</v>
      </c>
      <c r="AZ593" s="1" t="n">
        <f aca="false">IF(ISNUMBER(Y593),Y593,0)</f>
        <v>0</v>
      </c>
      <c r="BA593" s="1" t="str">
        <f aca="false">IF(B593="","",IF(AND(R593="WON",AS593=0),"⛔ Beleg fehlt · ","")&amp;IF(AND(R593="WON",AR593=0),"⛔ Einstand fehlt · ","")&amp;IF(AND(R593&lt;&gt;"WON",AR593=0),"○ Einstand offen · ","")&amp;IF(AND(R593="WON",AB593=""),"⛔ Vertragsart fehlt · ","")&amp;IF(AND(ISNUMBER(O593),ISNUMBER(P593)),IF(P593&lt;O593,"⚠ Ende vor Start · ",""),"")&amp;IF(AND(R593="WON",AY593=0,NOT(AND(ISNUMBER(O593),ISNUMBER(P593)))),"⛔ Zeitraum fehlt · ","")&amp;IF(AND(R593&lt;&gt;"WON",AY593=0,NOT(AND(ISNUMBER(O593),ISNUMBER(P593)))),"○ Zeitraum offen · ",""))</f>
        <v/>
      </c>
      <c r="BB593" s="1" t="str">
        <f aca="false">IF(B593="","",IF(AND(R593="WON",AS593=0),"⛔ Nachweis fehlt",IF(AND(ISNUMBER(O593),ISNUMBER(P593),P593&lt;O593),"⚠ Ende vor Start",IF(AND(R593="WON",AY593=0),"⛔ Zeitraum fehlt",IF(AR593=0,"○ Einstand offen",IF(AY593=0,"○ Zeitraum offen",IF(R593="WON","✅ belegt","✔ erfasst")))))))</f>
        <v/>
      </c>
    </row>
    <row r="594" customFormat="false" ht="15" hidden="false" customHeight="true" outlineLevel="0" collapsed="false">
      <c r="G594" s="1" t="str">
        <f aca="false">IF(B594="","",IF(AY594=1,P594-O594+1,IF(AW594="","",AW594)))</f>
        <v/>
      </c>
      <c r="I594" s="270"/>
      <c r="J594" s="270"/>
      <c r="K594" s="270"/>
      <c r="L594" s="270"/>
      <c r="M594" s="270"/>
      <c r="N594" s="270"/>
      <c r="O594" s="263"/>
      <c r="P594" s="263"/>
      <c r="Q594" s="270" t="str">
        <f aca="false">IF(AND(ISNUMBER(I594),ISNUMBER(S594)),I594*AJ594,IF(OR(I594&lt;&gt;"",S594&lt;&gt;""),"tbd",""))</f>
        <v/>
      </c>
      <c r="S594" s="268"/>
      <c r="Y594" s="275" t="str">
        <f aca="false">IF(ISNUMBER(I594),I594/Netto_Faktor,"")</f>
        <v/>
      </c>
      <c r="Z594" s="275" t="str">
        <f aca="false">IF(B594="","",IF(COUNT(J594:N594)=0,"",SUM(J594:N594)))</f>
        <v/>
      </c>
      <c r="AA594" s="266"/>
      <c r="AB594" s="266"/>
      <c r="AC594" s="266"/>
      <c r="AD594" s="266"/>
      <c r="AE594" s="266"/>
      <c r="AF594" s="266"/>
      <c r="AG594" s="267"/>
      <c r="AH594" s="266" t="str">
        <f aca="false">IF(B594="","",IF(BA594="",IF(R594="WON","✅ belegt &amp; vollständig","✔ vollständig"),LEFT(BA594,LEN(BA594)-3)))</f>
        <v/>
      </c>
      <c r="AJ594" s="268" t="n">
        <f aca="false">IF(ISNUMBER(S594),IFERROR(LOOKUP(IF(S594&lt;=1,S594,S594/100),'⚖️ Wahrscheinlichkeit'!$B$17:$B$21,'⚖️ Wahrscheinlichkeit'!$D$17:$D$21),0),0)</f>
        <v>0</v>
      </c>
      <c r="AK594" s="1" t="str">
        <f aca="false">IF(AND(R594="WON",ISNUMBER(I594)),AL594+(861-ROW())*0.000001,"")</f>
        <v/>
      </c>
      <c r="AL594" s="1" t="n">
        <f aca="false">IFERROR(I594*1,0)</f>
        <v>0</v>
      </c>
      <c r="AM594" s="1" t="n">
        <f aca="false">N(AM593)+IF(AND(R594="WON",B594&lt;&gt;""),1,0)</f>
        <v>12</v>
      </c>
      <c r="AN594" s="1" t="n">
        <f aca="false">N(AN593)+IF(AND(OR(R594="offered",R594="to be offered",R594="on hold"),B594&lt;&gt;""),1,0)</f>
        <v>33</v>
      </c>
      <c r="AO594" s="1" t="n">
        <f aca="false">N(AO593)+IF(AND(OR(R594="follow-up",R594="Evaluation",R594="tbd",R594="In evaluation"),B594&lt;&gt;""),1,0)</f>
        <v>1</v>
      </c>
      <c r="AP594" s="1" t="n">
        <f aca="false">IF(B594="",0,IF(COUNTIF('⚖️ Wahrscheinlichkeit'!$J$17:$J$24,R594)&gt;0,1,0))</f>
        <v>0</v>
      </c>
      <c r="AQ594" s="1" t="n">
        <f aca="false">IF(B594="",0,IF(AND(ISNUMBER(S594),COUNTIF('⚖️ Wahrscheinlichkeit'!$B$6:$B$11,S594)&gt;0),1,0))</f>
        <v>0</v>
      </c>
      <c r="AR594" s="1" t="n">
        <f aca="false">IF(B594="",0,IF(AND(COUNT(J594:M594)=4,SUM(J594:M594)&gt;0),1,0))</f>
        <v>0</v>
      </c>
      <c r="AS594" s="1" t="n">
        <f aca="false">IF(B594="",0,IF(AND(AF594&lt;&gt;"",AG594&lt;&gt;""),1,0))</f>
        <v>0</v>
      </c>
      <c r="AT594" s="1" t="n">
        <f aca="false">IF(AND(R594="WON",AS594=1,AR594=1),1,0)</f>
        <v>0</v>
      </c>
      <c r="AU594" s="1" t="n">
        <f aca="false">IF(B594="",0,IF(AD594="Alternative – zählt nicht",0,1))</f>
        <v>0</v>
      </c>
      <c r="AV594" s="1" t="n">
        <f aca="false">IF(B594="",0,IF(COUNTIF($B$6:$B$860,B594)&gt;1,1,0))</f>
        <v>0</v>
      </c>
      <c r="AX594" s="269" t="str">
        <f aca="false">IF(AY594=1,DATE(YEAR(O594),MONTH(O594),1),"")</f>
        <v/>
      </c>
      <c r="AY594" s="1" t="n">
        <f aca="false">IF(B594="",0,IF(AND(ISNUMBER(O594),ISNUMBER(P594)),IF(P594&gt;=O594,1,0),0))</f>
        <v>0</v>
      </c>
      <c r="AZ594" s="1" t="n">
        <f aca="false">IF(ISNUMBER(Y594),Y594,0)</f>
        <v>0</v>
      </c>
      <c r="BA594" s="1" t="str">
        <f aca="false">IF(B594="","",IF(AND(R594="WON",AS594=0),"⛔ Beleg fehlt · ","")&amp;IF(AND(R594="WON",AR594=0),"⛔ Einstand fehlt · ","")&amp;IF(AND(R594&lt;&gt;"WON",AR594=0),"○ Einstand offen · ","")&amp;IF(AND(R594="WON",AB594=""),"⛔ Vertragsart fehlt · ","")&amp;IF(AND(ISNUMBER(O594),ISNUMBER(P594)),IF(P594&lt;O594,"⚠ Ende vor Start · ",""),"")&amp;IF(AND(R594="WON",AY594=0,NOT(AND(ISNUMBER(O594),ISNUMBER(P594)))),"⛔ Zeitraum fehlt · ","")&amp;IF(AND(R594&lt;&gt;"WON",AY594=0,NOT(AND(ISNUMBER(O594),ISNUMBER(P594)))),"○ Zeitraum offen · ",""))</f>
        <v/>
      </c>
      <c r="BB594" s="1" t="str">
        <f aca="false">IF(B594="","",IF(AND(R594="WON",AS594=0),"⛔ Nachweis fehlt",IF(AND(ISNUMBER(O594),ISNUMBER(P594),P594&lt;O594),"⚠ Ende vor Start",IF(AND(R594="WON",AY594=0),"⛔ Zeitraum fehlt",IF(AR594=0,"○ Einstand offen",IF(AY594=0,"○ Zeitraum offen",IF(R594="WON","✅ belegt","✔ erfasst")))))))</f>
        <v/>
      </c>
    </row>
    <row r="595" customFormat="false" ht="15" hidden="false" customHeight="true" outlineLevel="0" collapsed="false">
      <c r="G595" s="1" t="str">
        <f aca="false">IF(B595="","",IF(AY595=1,P595-O595+1,IF(AW595="","",AW595)))</f>
        <v/>
      </c>
      <c r="I595" s="270"/>
      <c r="J595" s="270"/>
      <c r="K595" s="270"/>
      <c r="L595" s="270"/>
      <c r="M595" s="270"/>
      <c r="N595" s="270"/>
      <c r="O595" s="263"/>
      <c r="P595" s="263"/>
      <c r="Q595" s="270" t="str">
        <f aca="false">IF(AND(ISNUMBER(I595),ISNUMBER(S595)),I595*AJ595,IF(OR(I595&lt;&gt;"",S595&lt;&gt;""),"tbd",""))</f>
        <v/>
      </c>
      <c r="S595" s="268"/>
      <c r="Y595" s="275" t="str">
        <f aca="false">IF(ISNUMBER(I595),I595/Netto_Faktor,"")</f>
        <v/>
      </c>
      <c r="Z595" s="275" t="str">
        <f aca="false">IF(B595="","",IF(COUNT(J595:N595)=0,"",SUM(J595:N595)))</f>
        <v/>
      </c>
      <c r="AA595" s="266"/>
      <c r="AB595" s="266"/>
      <c r="AC595" s="266"/>
      <c r="AD595" s="266"/>
      <c r="AE595" s="266"/>
      <c r="AF595" s="266"/>
      <c r="AG595" s="267"/>
      <c r="AH595" s="266" t="str">
        <f aca="false">IF(B595="","",IF(BA595="",IF(R595="WON","✅ belegt &amp; vollständig","✔ vollständig"),LEFT(BA595,LEN(BA595)-3)))</f>
        <v/>
      </c>
      <c r="AJ595" s="268" t="n">
        <f aca="false">IF(ISNUMBER(S595),IFERROR(LOOKUP(IF(S595&lt;=1,S595,S595/100),'⚖️ Wahrscheinlichkeit'!$B$17:$B$21,'⚖️ Wahrscheinlichkeit'!$D$17:$D$21),0),0)</f>
        <v>0</v>
      </c>
      <c r="AK595" s="1" t="str">
        <f aca="false">IF(AND(R595="WON",ISNUMBER(I595)),AL595+(861-ROW())*0.000001,"")</f>
        <v/>
      </c>
      <c r="AL595" s="1" t="n">
        <f aca="false">IFERROR(I595*1,0)</f>
        <v>0</v>
      </c>
      <c r="AM595" s="1" t="n">
        <f aca="false">N(AM594)+IF(AND(R595="WON",B595&lt;&gt;""),1,0)</f>
        <v>12</v>
      </c>
      <c r="AN595" s="1" t="n">
        <f aca="false">N(AN594)+IF(AND(OR(R595="offered",R595="to be offered",R595="on hold"),B595&lt;&gt;""),1,0)</f>
        <v>33</v>
      </c>
      <c r="AO595" s="1" t="n">
        <f aca="false">N(AO594)+IF(AND(OR(R595="follow-up",R595="Evaluation",R595="tbd",R595="In evaluation"),B595&lt;&gt;""),1,0)</f>
        <v>1</v>
      </c>
      <c r="AP595" s="1" t="n">
        <f aca="false">IF(B595="",0,IF(COUNTIF('⚖️ Wahrscheinlichkeit'!$J$17:$J$24,R595)&gt;0,1,0))</f>
        <v>0</v>
      </c>
      <c r="AQ595" s="1" t="n">
        <f aca="false">IF(B595="",0,IF(AND(ISNUMBER(S595),COUNTIF('⚖️ Wahrscheinlichkeit'!$B$6:$B$11,S595)&gt;0),1,0))</f>
        <v>0</v>
      </c>
      <c r="AR595" s="1" t="n">
        <f aca="false">IF(B595="",0,IF(AND(COUNT(J595:M595)=4,SUM(J595:M595)&gt;0),1,0))</f>
        <v>0</v>
      </c>
      <c r="AS595" s="1" t="n">
        <f aca="false">IF(B595="",0,IF(AND(AF595&lt;&gt;"",AG595&lt;&gt;""),1,0))</f>
        <v>0</v>
      </c>
      <c r="AT595" s="1" t="n">
        <f aca="false">IF(AND(R595="WON",AS595=1,AR595=1),1,0)</f>
        <v>0</v>
      </c>
      <c r="AU595" s="1" t="n">
        <f aca="false">IF(B595="",0,IF(AD595="Alternative – zählt nicht",0,1))</f>
        <v>0</v>
      </c>
      <c r="AV595" s="1" t="n">
        <f aca="false">IF(B595="",0,IF(COUNTIF($B$6:$B$860,B595)&gt;1,1,0))</f>
        <v>0</v>
      </c>
      <c r="AX595" s="269" t="str">
        <f aca="false">IF(AY595=1,DATE(YEAR(O595),MONTH(O595),1),"")</f>
        <v/>
      </c>
      <c r="AY595" s="1" t="n">
        <f aca="false">IF(B595="",0,IF(AND(ISNUMBER(O595),ISNUMBER(P595)),IF(P595&gt;=O595,1,0),0))</f>
        <v>0</v>
      </c>
      <c r="AZ595" s="1" t="n">
        <f aca="false">IF(ISNUMBER(Y595),Y595,0)</f>
        <v>0</v>
      </c>
      <c r="BA595" s="1" t="str">
        <f aca="false">IF(B595="","",IF(AND(R595="WON",AS595=0),"⛔ Beleg fehlt · ","")&amp;IF(AND(R595="WON",AR595=0),"⛔ Einstand fehlt · ","")&amp;IF(AND(R595&lt;&gt;"WON",AR595=0),"○ Einstand offen · ","")&amp;IF(AND(R595="WON",AB595=""),"⛔ Vertragsart fehlt · ","")&amp;IF(AND(ISNUMBER(O595),ISNUMBER(P595)),IF(P595&lt;O595,"⚠ Ende vor Start · ",""),"")&amp;IF(AND(R595="WON",AY595=0,NOT(AND(ISNUMBER(O595),ISNUMBER(P595)))),"⛔ Zeitraum fehlt · ","")&amp;IF(AND(R595&lt;&gt;"WON",AY595=0,NOT(AND(ISNUMBER(O595),ISNUMBER(P595)))),"○ Zeitraum offen · ",""))</f>
        <v/>
      </c>
      <c r="BB595" s="1" t="str">
        <f aca="false">IF(B595="","",IF(AND(R595="WON",AS595=0),"⛔ Nachweis fehlt",IF(AND(ISNUMBER(O595),ISNUMBER(P595),P595&lt;O595),"⚠ Ende vor Start",IF(AND(R595="WON",AY595=0),"⛔ Zeitraum fehlt",IF(AR595=0,"○ Einstand offen",IF(AY595=0,"○ Zeitraum offen",IF(R595="WON","✅ belegt","✔ erfasst")))))))</f>
        <v/>
      </c>
    </row>
    <row r="596" customFormat="false" ht="15" hidden="false" customHeight="true" outlineLevel="0" collapsed="false">
      <c r="G596" s="1" t="str">
        <f aca="false">IF(B596="","",IF(AY596=1,P596-O596+1,IF(AW596="","",AW596)))</f>
        <v/>
      </c>
      <c r="I596" s="270"/>
      <c r="J596" s="270"/>
      <c r="K596" s="270"/>
      <c r="L596" s="270"/>
      <c r="M596" s="270"/>
      <c r="N596" s="270"/>
      <c r="O596" s="263"/>
      <c r="P596" s="263"/>
      <c r="Q596" s="270" t="str">
        <f aca="false">IF(AND(ISNUMBER(I596),ISNUMBER(S596)),I596*AJ596,IF(OR(I596&lt;&gt;"",S596&lt;&gt;""),"tbd",""))</f>
        <v/>
      </c>
      <c r="S596" s="268"/>
      <c r="Y596" s="275" t="str">
        <f aca="false">IF(ISNUMBER(I596),I596/Netto_Faktor,"")</f>
        <v/>
      </c>
      <c r="Z596" s="275" t="str">
        <f aca="false">IF(B596="","",IF(COUNT(J596:N596)=0,"",SUM(J596:N596)))</f>
        <v/>
      </c>
      <c r="AA596" s="266"/>
      <c r="AB596" s="266"/>
      <c r="AC596" s="266"/>
      <c r="AD596" s="266"/>
      <c r="AE596" s="266"/>
      <c r="AF596" s="266"/>
      <c r="AG596" s="267"/>
      <c r="AH596" s="266" t="str">
        <f aca="false">IF(B596="","",IF(BA596="",IF(R596="WON","✅ belegt &amp; vollständig","✔ vollständig"),LEFT(BA596,LEN(BA596)-3)))</f>
        <v/>
      </c>
      <c r="AJ596" s="268" t="n">
        <f aca="false">IF(ISNUMBER(S596),IFERROR(LOOKUP(IF(S596&lt;=1,S596,S596/100),'⚖️ Wahrscheinlichkeit'!$B$17:$B$21,'⚖️ Wahrscheinlichkeit'!$D$17:$D$21),0),0)</f>
        <v>0</v>
      </c>
      <c r="AK596" s="1" t="str">
        <f aca="false">IF(AND(R596="WON",ISNUMBER(I596)),AL596+(861-ROW())*0.000001,"")</f>
        <v/>
      </c>
      <c r="AL596" s="1" t="n">
        <f aca="false">IFERROR(I596*1,0)</f>
        <v>0</v>
      </c>
      <c r="AM596" s="1" t="n">
        <f aca="false">N(AM595)+IF(AND(R596="WON",B596&lt;&gt;""),1,0)</f>
        <v>12</v>
      </c>
      <c r="AN596" s="1" t="n">
        <f aca="false">N(AN595)+IF(AND(OR(R596="offered",R596="to be offered",R596="on hold"),B596&lt;&gt;""),1,0)</f>
        <v>33</v>
      </c>
      <c r="AO596" s="1" t="n">
        <f aca="false">N(AO595)+IF(AND(OR(R596="follow-up",R596="Evaluation",R596="tbd",R596="In evaluation"),B596&lt;&gt;""),1,0)</f>
        <v>1</v>
      </c>
      <c r="AP596" s="1" t="n">
        <f aca="false">IF(B596="",0,IF(COUNTIF('⚖️ Wahrscheinlichkeit'!$J$17:$J$24,R596)&gt;0,1,0))</f>
        <v>0</v>
      </c>
      <c r="AQ596" s="1" t="n">
        <f aca="false">IF(B596="",0,IF(AND(ISNUMBER(S596),COUNTIF('⚖️ Wahrscheinlichkeit'!$B$6:$B$11,S596)&gt;0),1,0))</f>
        <v>0</v>
      </c>
      <c r="AR596" s="1" t="n">
        <f aca="false">IF(B596="",0,IF(AND(COUNT(J596:M596)=4,SUM(J596:M596)&gt;0),1,0))</f>
        <v>0</v>
      </c>
      <c r="AS596" s="1" t="n">
        <f aca="false">IF(B596="",0,IF(AND(AF596&lt;&gt;"",AG596&lt;&gt;""),1,0))</f>
        <v>0</v>
      </c>
      <c r="AT596" s="1" t="n">
        <f aca="false">IF(AND(R596="WON",AS596=1,AR596=1),1,0)</f>
        <v>0</v>
      </c>
      <c r="AU596" s="1" t="n">
        <f aca="false">IF(B596="",0,IF(AD596="Alternative – zählt nicht",0,1))</f>
        <v>0</v>
      </c>
      <c r="AV596" s="1" t="n">
        <f aca="false">IF(B596="",0,IF(COUNTIF($B$6:$B$860,B596)&gt;1,1,0))</f>
        <v>0</v>
      </c>
      <c r="AX596" s="269" t="str">
        <f aca="false">IF(AY596=1,DATE(YEAR(O596),MONTH(O596),1),"")</f>
        <v/>
      </c>
      <c r="AY596" s="1" t="n">
        <f aca="false">IF(B596="",0,IF(AND(ISNUMBER(O596),ISNUMBER(P596)),IF(P596&gt;=O596,1,0),0))</f>
        <v>0</v>
      </c>
      <c r="AZ596" s="1" t="n">
        <f aca="false">IF(ISNUMBER(Y596),Y596,0)</f>
        <v>0</v>
      </c>
      <c r="BA596" s="1" t="str">
        <f aca="false">IF(B596="","",IF(AND(R596="WON",AS596=0),"⛔ Beleg fehlt · ","")&amp;IF(AND(R596="WON",AR596=0),"⛔ Einstand fehlt · ","")&amp;IF(AND(R596&lt;&gt;"WON",AR596=0),"○ Einstand offen · ","")&amp;IF(AND(R596="WON",AB596=""),"⛔ Vertragsart fehlt · ","")&amp;IF(AND(ISNUMBER(O596),ISNUMBER(P596)),IF(P596&lt;O596,"⚠ Ende vor Start · ",""),"")&amp;IF(AND(R596="WON",AY596=0,NOT(AND(ISNUMBER(O596),ISNUMBER(P596)))),"⛔ Zeitraum fehlt · ","")&amp;IF(AND(R596&lt;&gt;"WON",AY596=0,NOT(AND(ISNUMBER(O596),ISNUMBER(P596)))),"○ Zeitraum offen · ",""))</f>
        <v/>
      </c>
      <c r="BB596" s="1" t="str">
        <f aca="false">IF(B596="","",IF(AND(R596="WON",AS596=0),"⛔ Nachweis fehlt",IF(AND(ISNUMBER(O596),ISNUMBER(P596),P596&lt;O596),"⚠ Ende vor Start",IF(AND(R596="WON",AY596=0),"⛔ Zeitraum fehlt",IF(AR596=0,"○ Einstand offen",IF(AY596=0,"○ Zeitraum offen",IF(R596="WON","✅ belegt","✔ erfasst")))))))</f>
        <v/>
      </c>
    </row>
    <row r="597" customFormat="false" ht="15" hidden="false" customHeight="true" outlineLevel="0" collapsed="false">
      <c r="G597" s="1" t="str">
        <f aca="false">IF(B597="","",IF(AY597=1,P597-O597+1,IF(AW597="","",AW597)))</f>
        <v/>
      </c>
      <c r="I597" s="270"/>
      <c r="J597" s="270"/>
      <c r="K597" s="270"/>
      <c r="L597" s="270"/>
      <c r="M597" s="270"/>
      <c r="N597" s="270"/>
      <c r="O597" s="263"/>
      <c r="P597" s="263"/>
      <c r="Q597" s="270" t="str">
        <f aca="false">IF(AND(ISNUMBER(I597),ISNUMBER(S597)),I597*AJ597,IF(OR(I597&lt;&gt;"",S597&lt;&gt;""),"tbd",""))</f>
        <v/>
      </c>
      <c r="S597" s="268"/>
      <c r="Y597" s="275" t="str">
        <f aca="false">IF(ISNUMBER(I597),I597/Netto_Faktor,"")</f>
        <v/>
      </c>
      <c r="Z597" s="275" t="str">
        <f aca="false">IF(B597="","",IF(COUNT(J597:N597)=0,"",SUM(J597:N597)))</f>
        <v/>
      </c>
      <c r="AA597" s="266"/>
      <c r="AB597" s="266"/>
      <c r="AC597" s="266"/>
      <c r="AD597" s="266"/>
      <c r="AE597" s="266"/>
      <c r="AF597" s="266"/>
      <c r="AG597" s="267"/>
      <c r="AH597" s="266" t="str">
        <f aca="false">IF(B597="","",IF(BA597="",IF(R597="WON","✅ belegt &amp; vollständig","✔ vollständig"),LEFT(BA597,LEN(BA597)-3)))</f>
        <v/>
      </c>
      <c r="AJ597" s="268" t="n">
        <f aca="false">IF(ISNUMBER(S597),IFERROR(LOOKUP(IF(S597&lt;=1,S597,S597/100),'⚖️ Wahrscheinlichkeit'!$B$17:$B$21,'⚖️ Wahrscheinlichkeit'!$D$17:$D$21),0),0)</f>
        <v>0</v>
      </c>
      <c r="AK597" s="1" t="str">
        <f aca="false">IF(AND(R597="WON",ISNUMBER(I597)),AL597+(861-ROW())*0.000001,"")</f>
        <v/>
      </c>
      <c r="AL597" s="1" t="n">
        <f aca="false">IFERROR(I597*1,0)</f>
        <v>0</v>
      </c>
      <c r="AM597" s="1" t="n">
        <f aca="false">N(AM596)+IF(AND(R597="WON",B597&lt;&gt;""),1,0)</f>
        <v>12</v>
      </c>
      <c r="AN597" s="1" t="n">
        <f aca="false">N(AN596)+IF(AND(OR(R597="offered",R597="to be offered",R597="on hold"),B597&lt;&gt;""),1,0)</f>
        <v>33</v>
      </c>
      <c r="AO597" s="1" t="n">
        <f aca="false">N(AO596)+IF(AND(OR(R597="follow-up",R597="Evaluation",R597="tbd",R597="In evaluation"),B597&lt;&gt;""),1,0)</f>
        <v>1</v>
      </c>
      <c r="AP597" s="1" t="n">
        <f aca="false">IF(B597="",0,IF(COUNTIF('⚖️ Wahrscheinlichkeit'!$J$17:$J$24,R597)&gt;0,1,0))</f>
        <v>0</v>
      </c>
      <c r="AQ597" s="1" t="n">
        <f aca="false">IF(B597="",0,IF(AND(ISNUMBER(S597),COUNTIF('⚖️ Wahrscheinlichkeit'!$B$6:$B$11,S597)&gt;0),1,0))</f>
        <v>0</v>
      </c>
      <c r="AR597" s="1" t="n">
        <f aca="false">IF(B597="",0,IF(AND(COUNT(J597:M597)=4,SUM(J597:M597)&gt;0),1,0))</f>
        <v>0</v>
      </c>
      <c r="AS597" s="1" t="n">
        <f aca="false">IF(B597="",0,IF(AND(AF597&lt;&gt;"",AG597&lt;&gt;""),1,0))</f>
        <v>0</v>
      </c>
      <c r="AT597" s="1" t="n">
        <f aca="false">IF(AND(R597="WON",AS597=1,AR597=1),1,0)</f>
        <v>0</v>
      </c>
      <c r="AU597" s="1" t="n">
        <f aca="false">IF(B597="",0,IF(AD597="Alternative – zählt nicht",0,1))</f>
        <v>0</v>
      </c>
      <c r="AV597" s="1" t="n">
        <f aca="false">IF(B597="",0,IF(COUNTIF($B$6:$B$860,B597)&gt;1,1,0))</f>
        <v>0</v>
      </c>
      <c r="AX597" s="269" t="str">
        <f aca="false">IF(AY597=1,DATE(YEAR(O597),MONTH(O597),1),"")</f>
        <v/>
      </c>
      <c r="AY597" s="1" t="n">
        <f aca="false">IF(B597="",0,IF(AND(ISNUMBER(O597),ISNUMBER(P597)),IF(P597&gt;=O597,1,0),0))</f>
        <v>0</v>
      </c>
      <c r="AZ597" s="1" t="n">
        <f aca="false">IF(ISNUMBER(Y597),Y597,0)</f>
        <v>0</v>
      </c>
      <c r="BA597" s="1" t="str">
        <f aca="false">IF(B597="","",IF(AND(R597="WON",AS597=0),"⛔ Beleg fehlt · ","")&amp;IF(AND(R597="WON",AR597=0),"⛔ Einstand fehlt · ","")&amp;IF(AND(R597&lt;&gt;"WON",AR597=0),"○ Einstand offen · ","")&amp;IF(AND(R597="WON",AB597=""),"⛔ Vertragsart fehlt · ","")&amp;IF(AND(ISNUMBER(O597),ISNUMBER(P597)),IF(P597&lt;O597,"⚠ Ende vor Start · ",""),"")&amp;IF(AND(R597="WON",AY597=0,NOT(AND(ISNUMBER(O597),ISNUMBER(P597)))),"⛔ Zeitraum fehlt · ","")&amp;IF(AND(R597&lt;&gt;"WON",AY597=0,NOT(AND(ISNUMBER(O597),ISNUMBER(P597)))),"○ Zeitraum offen · ",""))</f>
        <v/>
      </c>
      <c r="BB597" s="1" t="str">
        <f aca="false">IF(B597="","",IF(AND(R597="WON",AS597=0),"⛔ Nachweis fehlt",IF(AND(ISNUMBER(O597),ISNUMBER(P597),P597&lt;O597),"⚠ Ende vor Start",IF(AND(R597="WON",AY597=0),"⛔ Zeitraum fehlt",IF(AR597=0,"○ Einstand offen",IF(AY597=0,"○ Zeitraum offen",IF(R597="WON","✅ belegt","✔ erfasst")))))))</f>
        <v/>
      </c>
    </row>
    <row r="598" customFormat="false" ht="15" hidden="false" customHeight="true" outlineLevel="0" collapsed="false">
      <c r="G598" s="1" t="str">
        <f aca="false">IF(B598="","",IF(AY598=1,P598-O598+1,IF(AW598="","",AW598)))</f>
        <v/>
      </c>
      <c r="I598" s="270"/>
      <c r="J598" s="270"/>
      <c r="K598" s="270"/>
      <c r="L598" s="270"/>
      <c r="M598" s="270"/>
      <c r="N598" s="270"/>
      <c r="O598" s="263"/>
      <c r="P598" s="263"/>
      <c r="Q598" s="270" t="str">
        <f aca="false">IF(AND(ISNUMBER(I598),ISNUMBER(S598)),I598*AJ598,IF(OR(I598&lt;&gt;"",S598&lt;&gt;""),"tbd",""))</f>
        <v/>
      </c>
      <c r="S598" s="268"/>
      <c r="Y598" s="275" t="str">
        <f aca="false">IF(ISNUMBER(I598),I598/Netto_Faktor,"")</f>
        <v/>
      </c>
      <c r="Z598" s="275" t="str">
        <f aca="false">IF(B598="","",IF(COUNT(J598:N598)=0,"",SUM(J598:N598)))</f>
        <v/>
      </c>
      <c r="AA598" s="266"/>
      <c r="AB598" s="266"/>
      <c r="AC598" s="266"/>
      <c r="AD598" s="266"/>
      <c r="AE598" s="266"/>
      <c r="AF598" s="266"/>
      <c r="AG598" s="267"/>
      <c r="AH598" s="266" t="str">
        <f aca="false">IF(B598="","",IF(BA598="",IF(R598="WON","✅ belegt &amp; vollständig","✔ vollständig"),LEFT(BA598,LEN(BA598)-3)))</f>
        <v/>
      </c>
      <c r="AJ598" s="268" t="n">
        <f aca="false">IF(ISNUMBER(S598),IFERROR(LOOKUP(IF(S598&lt;=1,S598,S598/100),'⚖️ Wahrscheinlichkeit'!$B$17:$B$21,'⚖️ Wahrscheinlichkeit'!$D$17:$D$21),0),0)</f>
        <v>0</v>
      </c>
      <c r="AK598" s="1" t="str">
        <f aca="false">IF(AND(R598="WON",ISNUMBER(I598)),AL598+(861-ROW())*0.000001,"")</f>
        <v/>
      </c>
      <c r="AL598" s="1" t="n">
        <f aca="false">IFERROR(I598*1,0)</f>
        <v>0</v>
      </c>
      <c r="AM598" s="1" t="n">
        <f aca="false">N(AM597)+IF(AND(R598="WON",B598&lt;&gt;""),1,0)</f>
        <v>12</v>
      </c>
      <c r="AN598" s="1" t="n">
        <f aca="false">N(AN597)+IF(AND(OR(R598="offered",R598="to be offered",R598="on hold"),B598&lt;&gt;""),1,0)</f>
        <v>33</v>
      </c>
      <c r="AO598" s="1" t="n">
        <f aca="false">N(AO597)+IF(AND(OR(R598="follow-up",R598="Evaluation",R598="tbd",R598="In evaluation"),B598&lt;&gt;""),1,0)</f>
        <v>1</v>
      </c>
      <c r="AP598" s="1" t="n">
        <f aca="false">IF(B598="",0,IF(COUNTIF('⚖️ Wahrscheinlichkeit'!$J$17:$J$24,R598)&gt;0,1,0))</f>
        <v>0</v>
      </c>
      <c r="AQ598" s="1" t="n">
        <f aca="false">IF(B598="",0,IF(AND(ISNUMBER(S598),COUNTIF('⚖️ Wahrscheinlichkeit'!$B$6:$B$11,S598)&gt;0),1,0))</f>
        <v>0</v>
      </c>
      <c r="AR598" s="1" t="n">
        <f aca="false">IF(B598="",0,IF(AND(COUNT(J598:M598)=4,SUM(J598:M598)&gt;0),1,0))</f>
        <v>0</v>
      </c>
      <c r="AS598" s="1" t="n">
        <f aca="false">IF(B598="",0,IF(AND(AF598&lt;&gt;"",AG598&lt;&gt;""),1,0))</f>
        <v>0</v>
      </c>
      <c r="AT598" s="1" t="n">
        <f aca="false">IF(AND(R598="WON",AS598=1,AR598=1),1,0)</f>
        <v>0</v>
      </c>
      <c r="AU598" s="1" t="n">
        <f aca="false">IF(B598="",0,IF(AD598="Alternative – zählt nicht",0,1))</f>
        <v>0</v>
      </c>
      <c r="AV598" s="1" t="n">
        <f aca="false">IF(B598="",0,IF(COUNTIF($B$6:$B$860,B598)&gt;1,1,0))</f>
        <v>0</v>
      </c>
      <c r="AX598" s="269" t="str">
        <f aca="false">IF(AY598=1,DATE(YEAR(O598),MONTH(O598),1),"")</f>
        <v/>
      </c>
      <c r="AY598" s="1" t="n">
        <f aca="false">IF(B598="",0,IF(AND(ISNUMBER(O598),ISNUMBER(P598)),IF(P598&gt;=O598,1,0),0))</f>
        <v>0</v>
      </c>
      <c r="AZ598" s="1" t="n">
        <f aca="false">IF(ISNUMBER(Y598),Y598,0)</f>
        <v>0</v>
      </c>
      <c r="BA598" s="1" t="str">
        <f aca="false">IF(B598="","",IF(AND(R598="WON",AS598=0),"⛔ Beleg fehlt · ","")&amp;IF(AND(R598="WON",AR598=0),"⛔ Einstand fehlt · ","")&amp;IF(AND(R598&lt;&gt;"WON",AR598=0),"○ Einstand offen · ","")&amp;IF(AND(R598="WON",AB598=""),"⛔ Vertragsart fehlt · ","")&amp;IF(AND(ISNUMBER(O598),ISNUMBER(P598)),IF(P598&lt;O598,"⚠ Ende vor Start · ",""),"")&amp;IF(AND(R598="WON",AY598=0,NOT(AND(ISNUMBER(O598),ISNUMBER(P598)))),"⛔ Zeitraum fehlt · ","")&amp;IF(AND(R598&lt;&gt;"WON",AY598=0,NOT(AND(ISNUMBER(O598),ISNUMBER(P598)))),"○ Zeitraum offen · ",""))</f>
        <v/>
      </c>
      <c r="BB598" s="1" t="str">
        <f aca="false">IF(B598="","",IF(AND(R598="WON",AS598=0),"⛔ Nachweis fehlt",IF(AND(ISNUMBER(O598),ISNUMBER(P598),P598&lt;O598),"⚠ Ende vor Start",IF(AND(R598="WON",AY598=0),"⛔ Zeitraum fehlt",IF(AR598=0,"○ Einstand offen",IF(AY598=0,"○ Zeitraum offen",IF(R598="WON","✅ belegt","✔ erfasst")))))))</f>
        <v/>
      </c>
    </row>
    <row r="599" customFormat="false" ht="15" hidden="false" customHeight="true" outlineLevel="0" collapsed="false">
      <c r="G599" s="1" t="str">
        <f aca="false">IF(B599="","",IF(AY599=1,P599-O599+1,IF(AW599="","",AW599)))</f>
        <v/>
      </c>
      <c r="I599" s="270"/>
      <c r="J599" s="270"/>
      <c r="K599" s="270"/>
      <c r="L599" s="270"/>
      <c r="M599" s="270"/>
      <c r="N599" s="270"/>
      <c r="O599" s="263"/>
      <c r="P599" s="263"/>
      <c r="Q599" s="270" t="str">
        <f aca="false">IF(AND(ISNUMBER(I599),ISNUMBER(S599)),I599*AJ599,IF(OR(I599&lt;&gt;"",S599&lt;&gt;""),"tbd",""))</f>
        <v/>
      </c>
      <c r="S599" s="268"/>
      <c r="Y599" s="275" t="str">
        <f aca="false">IF(ISNUMBER(I599),I599/Netto_Faktor,"")</f>
        <v/>
      </c>
      <c r="Z599" s="275" t="str">
        <f aca="false">IF(B599="","",IF(COUNT(J599:N599)=0,"",SUM(J599:N599)))</f>
        <v/>
      </c>
      <c r="AA599" s="266"/>
      <c r="AB599" s="266"/>
      <c r="AC599" s="266"/>
      <c r="AD599" s="266"/>
      <c r="AE599" s="266"/>
      <c r="AF599" s="266"/>
      <c r="AG599" s="267"/>
      <c r="AH599" s="266" t="str">
        <f aca="false">IF(B599="","",IF(BA599="",IF(R599="WON","✅ belegt &amp; vollständig","✔ vollständig"),LEFT(BA599,LEN(BA599)-3)))</f>
        <v/>
      </c>
      <c r="AJ599" s="268" t="n">
        <f aca="false">IF(ISNUMBER(S599),IFERROR(LOOKUP(IF(S599&lt;=1,S599,S599/100),'⚖️ Wahrscheinlichkeit'!$B$17:$B$21,'⚖️ Wahrscheinlichkeit'!$D$17:$D$21),0),0)</f>
        <v>0</v>
      </c>
      <c r="AK599" s="1" t="str">
        <f aca="false">IF(AND(R599="WON",ISNUMBER(I599)),AL599+(861-ROW())*0.000001,"")</f>
        <v/>
      </c>
      <c r="AL599" s="1" t="n">
        <f aca="false">IFERROR(I599*1,0)</f>
        <v>0</v>
      </c>
      <c r="AM599" s="1" t="n">
        <f aca="false">N(AM598)+IF(AND(R599="WON",B599&lt;&gt;""),1,0)</f>
        <v>12</v>
      </c>
      <c r="AN599" s="1" t="n">
        <f aca="false">N(AN598)+IF(AND(OR(R599="offered",R599="to be offered",R599="on hold"),B599&lt;&gt;""),1,0)</f>
        <v>33</v>
      </c>
      <c r="AO599" s="1" t="n">
        <f aca="false">N(AO598)+IF(AND(OR(R599="follow-up",R599="Evaluation",R599="tbd",R599="In evaluation"),B599&lt;&gt;""),1,0)</f>
        <v>1</v>
      </c>
      <c r="AP599" s="1" t="n">
        <f aca="false">IF(B599="",0,IF(COUNTIF('⚖️ Wahrscheinlichkeit'!$J$17:$J$24,R599)&gt;0,1,0))</f>
        <v>0</v>
      </c>
      <c r="AQ599" s="1" t="n">
        <f aca="false">IF(B599="",0,IF(AND(ISNUMBER(S599),COUNTIF('⚖️ Wahrscheinlichkeit'!$B$6:$B$11,S599)&gt;0),1,0))</f>
        <v>0</v>
      </c>
      <c r="AR599" s="1" t="n">
        <f aca="false">IF(B599="",0,IF(AND(COUNT(J599:M599)=4,SUM(J599:M599)&gt;0),1,0))</f>
        <v>0</v>
      </c>
      <c r="AS599" s="1" t="n">
        <f aca="false">IF(B599="",0,IF(AND(AF599&lt;&gt;"",AG599&lt;&gt;""),1,0))</f>
        <v>0</v>
      </c>
      <c r="AT599" s="1" t="n">
        <f aca="false">IF(AND(R599="WON",AS599=1,AR599=1),1,0)</f>
        <v>0</v>
      </c>
      <c r="AU599" s="1" t="n">
        <f aca="false">IF(B599="",0,IF(AD599="Alternative – zählt nicht",0,1))</f>
        <v>0</v>
      </c>
      <c r="AV599" s="1" t="n">
        <f aca="false">IF(B599="",0,IF(COUNTIF($B$6:$B$860,B599)&gt;1,1,0))</f>
        <v>0</v>
      </c>
      <c r="AX599" s="269" t="str">
        <f aca="false">IF(AY599=1,DATE(YEAR(O599),MONTH(O599),1),"")</f>
        <v/>
      </c>
      <c r="AY599" s="1" t="n">
        <f aca="false">IF(B599="",0,IF(AND(ISNUMBER(O599),ISNUMBER(P599)),IF(P599&gt;=O599,1,0),0))</f>
        <v>0</v>
      </c>
      <c r="AZ599" s="1" t="n">
        <f aca="false">IF(ISNUMBER(Y599),Y599,0)</f>
        <v>0</v>
      </c>
      <c r="BA599" s="1" t="str">
        <f aca="false">IF(B599="","",IF(AND(R599="WON",AS599=0),"⛔ Beleg fehlt · ","")&amp;IF(AND(R599="WON",AR599=0),"⛔ Einstand fehlt · ","")&amp;IF(AND(R599&lt;&gt;"WON",AR599=0),"○ Einstand offen · ","")&amp;IF(AND(R599="WON",AB599=""),"⛔ Vertragsart fehlt · ","")&amp;IF(AND(ISNUMBER(O599),ISNUMBER(P599)),IF(P599&lt;O599,"⚠ Ende vor Start · ",""),"")&amp;IF(AND(R599="WON",AY599=0,NOT(AND(ISNUMBER(O599),ISNUMBER(P599)))),"⛔ Zeitraum fehlt · ","")&amp;IF(AND(R599&lt;&gt;"WON",AY599=0,NOT(AND(ISNUMBER(O599),ISNUMBER(P599)))),"○ Zeitraum offen · ",""))</f>
        <v/>
      </c>
      <c r="BB599" s="1" t="str">
        <f aca="false">IF(B599="","",IF(AND(R599="WON",AS599=0),"⛔ Nachweis fehlt",IF(AND(ISNUMBER(O599),ISNUMBER(P599),P599&lt;O599),"⚠ Ende vor Start",IF(AND(R599="WON",AY599=0),"⛔ Zeitraum fehlt",IF(AR599=0,"○ Einstand offen",IF(AY599=0,"○ Zeitraum offen",IF(R599="WON","✅ belegt","✔ erfasst")))))))</f>
        <v/>
      </c>
    </row>
    <row r="600" customFormat="false" ht="15" hidden="false" customHeight="true" outlineLevel="0" collapsed="false">
      <c r="G600" s="1" t="str">
        <f aca="false">IF(B600="","",IF(AY600=1,P600-O600+1,IF(AW600="","",AW600)))</f>
        <v/>
      </c>
      <c r="I600" s="270"/>
      <c r="J600" s="270"/>
      <c r="K600" s="270"/>
      <c r="L600" s="270"/>
      <c r="M600" s="270"/>
      <c r="N600" s="270"/>
      <c r="O600" s="263"/>
      <c r="P600" s="263"/>
      <c r="Q600" s="270" t="str">
        <f aca="false">IF(AND(ISNUMBER(I600),ISNUMBER(S600)),I600*AJ600,IF(OR(I600&lt;&gt;"",S600&lt;&gt;""),"tbd",""))</f>
        <v/>
      </c>
      <c r="S600" s="268"/>
      <c r="Y600" s="275" t="str">
        <f aca="false">IF(ISNUMBER(I600),I600/Netto_Faktor,"")</f>
        <v/>
      </c>
      <c r="Z600" s="275" t="str">
        <f aca="false">IF(B600="","",IF(COUNT(J600:N600)=0,"",SUM(J600:N600)))</f>
        <v/>
      </c>
      <c r="AA600" s="266"/>
      <c r="AB600" s="266"/>
      <c r="AC600" s="266"/>
      <c r="AD600" s="266"/>
      <c r="AE600" s="266"/>
      <c r="AF600" s="266"/>
      <c r="AG600" s="267"/>
      <c r="AH600" s="266" t="str">
        <f aca="false">IF(B600="","",IF(BA600="",IF(R600="WON","✅ belegt &amp; vollständig","✔ vollständig"),LEFT(BA600,LEN(BA600)-3)))</f>
        <v/>
      </c>
      <c r="AJ600" s="268" t="n">
        <f aca="false">IF(ISNUMBER(S600),IFERROR(LOOKUP(IF(S600&lt;=1,S600,S600/100),'⚖️ Wahrscheinlichkeit'!$B$17:$B$21,'⚖️ Wahrscheinlichkeit'!$D$17:$D$21),0),0)</f>
        <v>0</v>
      </c>
      <c r="AK600" s="1" t="str">
        <f aca="false">IF(AND(R600="WON",ISNUMBER(I600)),AL600+(861-ROW())*0.000001,"")</f>
        <v/>
      </c>
      <c r="AL600" s="1" t="n">
        <f aca="false">IFERROR(I600*1,0)</f>
        <v>0</v>
      </c>
      <c r="AM600" s="1" t="n">
        <f aca="false">N(AM599)+IF(AND(R600="WON",B600&lt;&gt;""),1,0)</f>
        <v>12</v>
      </c>
      <c r="AN600" s="1" t="n">
        <f aca="false">N(AN599)+IF(AND(OR(R600="offered",R600="to be offered",R600="on hold"),B600&lt;&gt;""),1,0)</f>
        <v>33</v>
      </c>
      <c r="AO600" s="1" t="n">
        <f aca="false">N(AO599)+IF(AND(OR(R600="follow-up",R600="Evaluation",R600="tbd",R600="In evaluation"),B600&lt;&gt;""),1,0)</f>
        <v>1</v>
      </c>
      <c r="AP600" s="1" t="n">
        <f aca="false">IF(B600="",0,IF(COUNTIF('⚖️ Wahrscheinlichkeit'!$J$17:$J$24,R600)&gt;0,1,0))</f>
        <v>0</v>
      </c>
      <c r="AQ600" s="1" t="n">
        <f aca="false">IF(B600="",0,IF(AND(ISNUMBER(S600),COUNTIF('⚖️ Wahrscheinlichkeit'!$B$6:$B$11,S600)&gt;0),1,0))</f>
        <v>0</v>
      </c>
      <c r="AR600" s="1" t="n">
        <f aca="false">IF(B600="",0,IF(AND(COUNT(J600:M600)=4,SUM(J600:M600)&gt;0),1,0))</f>
        <v>0</v>
      </c>
      <c r="AS600" s="1" t="n">
        <f aca="false">IF(B600="",0,IF(AND(AF600&lt;&gt;"",AG600&lt;&gt;""),1,0))</f>
        <v>0</v>
      </c>
      <c r="AT600" s="1" t="n">
        <f aca="false">IF(AND(R600="WON",AS600=1,AR600=1),1,0)</f>
        <v>0</v>
      </c>
      <c r="AU600" s="1" t="n">
        <f aca="false">IF(B600="",0,IF(AD600="Alternative – zählt nicht",0,1))</f>
        <v>0</v>
      </c>
      <c r="AV600" s="1" t="n">
        <f aca="false">IF(B600="",0,IF(COUNTIF($B$6:$B$860,B600)&gt;1,1,0))</f>
        <v>0</v>
      </c>
      <c r="AX600" s="269" t="str">
        <f aca="false">IF(AY600=1,DATE(YEAR(O600),MONTH(O600),1),"")</f>
        <v/>
      </c>
      <c r="AY600" s="1" t="n">
        <f aca="false">IF(B600="",0,IF(AND(ISNUMBER(O600),ISNUMBER(P600)),IF(P600&gt;=O600,1,0),0))</f>
        <v>0</v>
      </c>
      <c r="AZ600" s="1" t="n">
        <f aca="false">IF(ISNUMBER(Y600),Y600,0)</f>
        <v>0</v>
      </c>
      <c r="BA600" s="1" t="str">
        <f aca="false">IF(B600="","",IF(AND(R600="WON",AS600=0),"⛔ Beleg fehlt · ","")&amp;IF(AND(R600="WON",AR600=0),"⛔ Einstand fehlt · ","")&amp;IF(AND(R600&lt;&gt;"WON",AR600=0),"○ Einstand offen · ","")&amp;IF(AND(R600="WON",AB600=""),"⛔ Vertragsart fehlt · ","")&amp;IF(AND(ISNUMBER(O600),ISNUMBER(P600)),IF(P600&lt;O600,"⚠ Ende vor Start · ",""),"")&amp;IF(AND(R600="WON",AY600=0,NOT(AND(ISNUMBER(O600),ISNUMBER(P600)))),"⛔ Zeitraum fehlt · ","")&amp;IF(AND(R600&lt;&gt;"WON",AY600=0,NOT(AND(ISNUMBER(O600),ISNUMBER(P600)))),"○ Zeitraum offen · ",""))</f>
        <v/>
      </c>
      <c r="BB600" s="1" t="str">
        <f aca="false">IF(B600="","",IF(AND(R600="WON",AS600=0),"⛔ Nachweis fehlt",IF(AND(ISNUMBER(O600),ISNUMBER(P600),P600&lt;O600),"⚠ Ende vor Start",IF(AND(R600="WON",AY600=0),"⛔ Zeitraum fehlt",IF(AR600=0,"○ Einstand offen",IF(AY600=0,"○ Zeitraum offen",IF(R600="WON","✅ belegt","✔ erfasst")))))))</f>
        <v/>
      </c>
    </row>
    <row r="601" customFormat="false" ht="15" hidden="false" customHeight="true" outlineLevel="0" collapsed="false">
      <c r="G601" s="1" t="str">
        <f aca="false">IF(B601="","",IF(AY601=1,P601-O601+1,IF(AW601="","",AW601)))</f>
        <v/>
      </c>
      <c r="I601" s="270"/>
      <c r="J601" s="270"/>
      <c r="K601" s="270"/>
      <c r="L601" s="270"/>
      <c r="M601" s="270"/>
      <c r="N601" s="270"/>
      <c r="O601" s="263"/>
      <c r="P601" s="263"/>
      <c r="Q601" s="270" t="str">
        <f aca="false">IF(AND(ISNUMBER(I601),ISNUMBER(S601)),I601*AJ601,IF(OR(I601&lt;&gt;"",S601&lt;&gt;""),"tbd",""))</f>
        <v/>
      </c>
      <c r="S601" s="268"/>
      <c r="Y601" s="275" t="str">
        <f aca="false">IF(ISNUMBER(I601),I601/Netto_Faktor,"")</f>
        <v/>
      </c>
      <c r="Z601" s="275" t="str">
        <f aca="false">IF(B601="","",IF(COUNT(J601:N601)=0,"",SUM(J601:N601)))</f>
        <v/>
      </c>
      <c r="AA601" s="266"/>
      <c r="AB601" s="266"/>
      <c r="AC601" s="266"/>
      <c r="AD601" s="266"/>
      <c r="AE601" s="266"/>
      <c r="AF601" s="266"/>
      <c r="AG601" s="267"/>
      <c r="AH601" s="266" t="str">
        <f aca="false">IF(B601="","",IF(BA601="",IF(R601="WON","✅ belegt &amp; vollständig","✔ vollständig"),LEFT(BA601,LEN(BA601)-3)))</f>
        <v/>
      </c>
      <c r="AJ601" s="268" t="n">
        <f aca="false">IF(ISNUMBER(S601),IFERROR(LOOKUP(IF(S601&lt;=1,S601,S601/100),'⚖️ Wahrscheinlichkeit'!$B$17:$B$21,'⚖️ Wahrscheinlichkeit'!$D$17:$D$21),0),0)</f>
        <v>0</v>
      </c>
      <c r="AK601" s="1" t="str">
        <f aca="false">IF(AND(R601="WON",ISNUMBER(I601)),AL601+(861-ROW())*0.000001,"")</f>
        <v/>
      </c>
      <c r="AL601" s="1" t="n">
        <f aca="false">IFERROR(I601*1,0)</f>
        <v>0</v>
      </c>
      <c r="AM601" s="1" t="n">
        <f aca="false">N(AM600)+IF(AND(R601="WON",B601&lt;&gt;""),1,0)</f>
        <v>12</v>
      </c>
      <c r="AN601" s="1" t="n">
        <f aca="false">N(AN600)+IF(AND(OR(R601="offered",R601="to be offered",R601="on hold"),B601&lt;&gt;""),1,0)</f>
        <v>33</v>
      </c>
      <c r="AO601" s="1" t="n">
        <f aca="false">N(AO600)+IF(AND(OR(R601="follow-up",R601="Evaluation",R601="tbd",R601="In evaluation"),B601&lt;&gt;""),1,0)</f>
        <v>1</v>
      </c>
      <c r="AP601" s="1" t="n">
        <f aca="false">IF(B601="",0,IF(COUNTIF('⚖️ Wahrscheinlichkeit'!$J$17:$J$24,R601)&gt;0,1,0))</f>
        <v>0</v>
      </c>
      <c r="AQ601" s="1" t="n">
        <f aca="false">IF(B601="",0,IF(AND(ISNUMBER(S601),COUNTIF('⚖️ Wahrscheinlichkeit'!$B$6:$B$11,S601)&gt;0),1,0))</f>
        <v>0</v>
      </c>
      <c r="AR601" s="1" t="n">
        <f aca="false">IF(B601="",0,IF(AND(COUNT(J601:M601)=4,SUM(J601:M601)&gt;0),1,0))</f>
        <v>0</v>
      </c>
      <c r="AS601" s="1" t="n">
        <f aca="false">IF(B601="",0,IF(AND(AF601&lt;&gt;"",AG601&lt;&gt;""),1,0))</f>
        <v>0</v>
      </c>
      <c r="AT601" s="1" t="n">
        <f aca="false">IF(AND(R601="WON",AS601=1,AR601=1),1,0)</f>
        <v>0</v>
      </c>
      <c r="AU601" s="1" t="n">
        <f aca="false">IF(B601="",0,IF(AD601="Alternative – zählt nicht",0,1))</f>
        <v>0</v>
      </c>
      <c r="AV601" s="1" t="n">
        <f aca="false">IF(B601="",0,IF(COUNTIF($B$6:$B$860,B601)&gt;1,1,0))</f>
        <v>0</v>
      </c>
      <c r="AX601" s="269" t="str">
        <f aca="false">IF(AY601=1,DATE(YEAR(O601),MONTH(O601),1),"")</f>
        <v/>
      </c>
      <c r="AY601" s="1" t="n">
        <f aca="false">IF(B601="",0,IF(AND(ISNUMBER(O601),ISNUMBER(P601)),IF(P601&gt;=O601,1,0),0))</f>
        <v>0</v>
      </c>
      <c r="AZ601" s="1" t="n">
        <f aca="false">IF(ISNUMBER(Y601),Y601,0)</f>
        <v>0</v>
      </c>
      <c r="BA601" s="1" t="str">
        <f aca="false">IF(B601="","",IF(AND(R601="WON",AS601=0),"⛔ Beleg fehlt · ","")&amp;IF(AND(R601="WON",AR601=0),"⛔ Einstand fehlt · ","")&amp;IF(AND(R601&lt;&gt;"WON",AR601=0),"○ Einstand offen · ","")&amp;IF(AND(R601="WON",AB601=""),"⛔ Vertragsart fehlt · ","")&amp;IF(AND(ISNUMBER(O601),ISNUMBER(P601)),IF(P601&lt;O601,"⚠ Ende vor Start · ",""),"")&amp;IF(AND(R601="WON",AY601=0,NOT(AND(ISNUMBER(O601),ISNUMBER(P601)))),"⛔ Zeitraum fehlt · ","")&amp;IF(AND(R601&lt;&gt;"WON",AY601=0,NOT(AND(ISNUMBER(O601),ISNUMBER(P601)))),"○ Zeitraum offen · ",""))</f>
        <v/>
      </c>
      <c r="BB601" s="1" t="str">
        <f aca="false">IF(B601="","",IF(AND(R601="WON",AS601=0),"⛔ Nachweis fehlt",IF(AND(ISNUMBER(O601),ISNUMBER(P601),P601&lt;O601),"⚠ Ende vor Start",IF(AND(R601="WON",AY601=0),"⛔ Zeitraum fehlt",IF(AR601=0,"○ Einstand offen",IF(AY601=0,"○ Zeitraum offen",IF(R601="WON","✅ belegt","✔ erfasst")))))))</f>
        <v/>
      </c>
    </row>
    <row r="602" customFormat="false" ht="15" hidden="false" customHeight="true" outlineLevel="0" collapsed="false">
      <c r="G602" s="1" t="str">
        <f aca="false">IF(B602="","",IF(AY602=1,P602-O602+1,IF(AW602="","",AW602)))</f>
        <v/>
      </c>
      <c r="I602" s="270"/>
      <c r="J602" s="270"/>
      <c r="K602" s="270"/>
      <c r="L602" s="270"/>
      <c r="M602" s="270"/>
      <c r="N602" s="270"/>
      <c r="O602" s="263"/>
      <c r="P602" s="263"/>
      <c r="Q602" s="270" t="str">
        <f aca="false">IF(AND(ISNUMBER(I602),ISNUMBER(S602)),I602*AJ602,IF(OR(I602&lt;&gt;"",S602&lt;&gt;""),"tbd",""))</f>
        <v/>
      </c>
      <c r="S602" s="268"/>
      <c r="Y602" s="275" t="str">
        <f aca="false">IF(ISNUMBER(I602),I602/Netto_Faktor,"")</f>
        <v/>
      </c>
      <c r="Z602" s="275" t="str">
        <f aca="false">IF(B602="","",IF(COUNT(J602:N602)=0,"",SUM(J602:N602)))</f>
        <v/>
      </c>
      <c r="AA602" s="266"/>
      <c r="AB602" s="266"/>
      <c r="AC602" s="266"/>
      <c r="AD602" s="266"/>
      <c r="AE602" s="266"/>
      <c r="AF602" s="266"/>
      <c r="AG602" s="267"/>
      <c r="AH602" s="266" t="str">
        <f aca="false">IF(B602="","",IF(BA602="",IF(R602="WON","✅ belegt &amp; vollständig","✔ vollständig"),LEFT(BA602,LEN(BA602)-3)))</f>
        <v/>
      </c>
      <c r="AJ602" s="268" t="n">
        <f aca="false">IF(ISNUMBER(S602),IFERROR(LOOKUP(IF(S602&lt;=1,S602,S602/100),'⚖️ Wahrscheinlichkeit'!$B$17:$B$21,'⚖️ Wahrscheinlichkeit'!$D$17:$D$21),0),0)</f>
        <v>0</v>
      </c>
      <c r="AK602" s="1" t="str">
        <f aca="false">IF(AND(R602="WON",ISNUMBER(I602)),AL602+(861-ROW())*0.000001,"")</f>
        <v/>
      </c>
      <c r="AL602" s="1" t="n">
        <f aca="false">IFERROR(I602*1,0)</f>
        <v>0</v>
      </c>
      <c r="AM602" s="1" t="n">
        <f aca="false">N(AM601)+IF(AND(R602="WON",B602&lt;&gt;""),1,0)</f>
        <v>12</v>
      </c>
      <c r="AN602" s="1" t="n">
        <f aca="false">N(AN601)+IF(AND(OR(R602="offered",R602="to be offered",R602="on hold"),B602&lt;&gt;""),1,0)</f>
        <v>33</v>
      </c>
      <c r="AO602" s="1" t="n">
        <f aca="false">N(AO601)+IF(AND(OR(R602="follow-up",R602="Evaluation",R602="tbd",R602="In evaluation"),B602&lt;&gt;""),1,0)</f>
        <v>1</v>
      </c>
      <c r="AP602" s="1" t="n">
        <f aca="false">IF(B602="",0,IF(COUNTIF('⚖️ Wahrscheinlichkeit'!$J$17:$J$24,R602)&gt;0,1,0))</f>
        <v>0</v>
      </c>
      <c r="AQ602" s="1" t="n">
        <f aca="false">IF(B602="",0,IF(AND(ISNUMBER(S602),COUNTIF('⚖️ Wahrscheinlichkeit'!$B$6:$B$11,S602)&gt;0),1,0))</f>
        <v>0</v>
      </c>
      <c r="AR602" s="1" t="n">
        <f aca="false">IF(B602="",0,IF(AND(COUNT(J602:M602)=4,SUM(J602:M602)&gt;0),1,0))</f>
        <v>0</v>
      </c>
      <c r="AS602" s="1" t="n">
        <f aca="false">IF(B602="",0,IF(AND(AF602&lt;&gt;"",AG602&lt;&gt;""),1,0))</f>
        <v>0</v>
      </c>
      <c r="AT602" s="1" t="n">
        <f aca="false">IF(AND(R602="WON",AS602=1,AR602=1),1,0)</f>
        <v>0</v>
      </c>
      <c r="AU602" s="1" t="n">
        <f aca="false">IF(B602="",0,IF(AD602="Alternative – zählt nicht",0,1))</f>
        <v>0</v>
      </c>
      <c r="AV602" s="1" t="n">
        <f aca="false">IF(B602="",0,IF(COUNTIF($B$6:$B$860,B602)&gt;1,1,0))</f>
        <v>0</v>
      </c>
      <c r="AX602" s="269" t="str">
        <f aca="false">IF(AY602=1,DATE(YEAR(O602),MONTH(O602),1),"")</f>
        <v/>
      </c>
      <c r="AY602" s="1" t="n">
        <f aca="false">IF(B602="",0,IF(AND(ISNUMBER(O602),ISNUMBER(P602)),IF(P602&gt;=O602,1,0),0))</f>
        <v>0</v>
      </c>
      <c r="AZ602" s="1" t="n">
        <f aca="false">IF(ISNUMBER(Y602),Y602,0)</f>
        <v>0</v>
      </c>
      <c r="BA602" s="1" t="str">
        <f aca="false">IF(B602="","",IF(AND(R602="WON",AS602=0),"⛔ Beleg fehlt · ","")&amp;IF(AND(R602="WON",AR602=0),"⛔ Einstand fehlt · ","")&amp;IF(AND(R602&lt;&gt;"WON",AR602=0),"○ Einstand offen · ","")&amp;IF(AND(R602="WON",AB602=""),"⛔ Vertragsart fehlt · ","")&amp;IF(AND(ISNUMBER(O602),ISNUMBER(P602)),IF(P602&lt;O602,"⚠ Ende vor Start · ",""),"")&amp;IF(AND(R602="WON",AY602=0,NOT(AND(ISNUMBER(O602),ISNUMBER(P602)))),"⛔ Zeitraum fehlt · ","")&amp;IF(AND(R602&lt;&gt;"WON",AY602=0,NOT(AND(ISNUMBER(O602),ISNUMBER(P602)))),"○ Zeitraum offen · ",""))</f>
        <v/>
      </c>
      <c r="BB602" s="1" t="str">
        <f aca="false">IF(B602="","",IF(AND(R602="WON",AS602=0),"⛔ Nachweis fehlt",IF(AND(ISNUMBER(O602),ISNUMBER(P602),P602&lt;O602),"⚠ Ende vor Start",IF(AND(R602="WON",AY602=0),"⛔ Zeitraum fehlt",IF(AR602=0,"○ Einstand offen",IF(AY602=0,"○ Zeitraum offen",IF(R602="WON","✅ belegt","✔ erfasst")))))))</f>
        <v/>
      </c>
    </row>
    <row r="603" customFormat="false" ht="15" hidden="false" customHeight="true" outlineLevel="0" collapsed="false">
      <c r="G603" s="1" t="str">
        <f aca="false">IF(B603="","",IF(AY603=1,P603-O603+1,IF(AW603="","",AW603)))</f>
        <v/>
      </c>
      <c r="I603" s="270"/>
      <c r="J603" s="270"/>
      <c r="K603" s="270"/>
      <c r="L603" s="270"/>
      <c r="M603" s="270"/>
      <c r="N603" s="270"/>
      <c r="O603" s="263"/>
      <c r="P603" s="263"/>
      <c r="Q603" s="270" t="str">
        <f aca="false">IF(AND(ISNUMBER(I603),ISNUMBER(S603)),I603*AJ603,IF(OR(I603&lt;&gt;"",S603&lt;&gt;""),"tbd",""))</f>
        <v/>
      </c>
      <c r="S603" s="268"/>
      <c r="Y603" s="275" t="str">
        <f aca="false">IF(ISNUMBER(I603),I603/Netto_Faktor,"")</f>
        <v/>
      </c>
      <c r="Z603" s="275" t="str">
        <f aca="false">IF(B603="","",IF(COUNT(J603:N603)=0,"",SUM(J603:N603)))</f>
        <v/>
      </c>
      <c r="AA603" s="266"/>
      <c r="AB603" s="266"/>
      <c r="AC603" s="266"/>
      <c r="AD603" s="266"/>
      <c r="AE603" s="266"/>
      <c r="AF603" s="266"/>
      <c r="AG603" s="267"/>
      <c r="AH603" s="266" t="str">
        <f aca="false">IF(B603="","",IF(BA603="",IF(R603="WON","✅ belegt &amp; vollständig","✔ vollständig"),LEFT(BA603,LEN(BA603)-3)))</f>
        <v/>
      </c>
      <c r="AJ603" s="268" t="n">
        <f aca="false">IF(ISNUMBER(S603),IFERROR(LOOKUP(IF(S603&lt;=1,S603,S603/100),'⚖️ Wahrscheinlichkeit'!$B$17:$B$21,'⚖️ Wahrscheinlichkeit'!$D$17:$D$21),0),0)</f>
        <v>0</v>
      </c>
      <c r="AK603" s="1" t="str">
        <f aca="false">IF(AND(R603="WON",ISNUMBER(I603)),AL603+(861-ROW())*0.000001,"")</f>
        <v/>
      </c>
      <c r="AL603" s="1" t="n">
        <f aca="false">IFERROR(I603*1,0)</f>
        <v>0</v>
      </c>
      <c r="AM603" s="1" t="n">
        <f aca="false">N(AM602)+IF(AND(R603="WON",B603&lt;&gt;""),1,0)</f>
        <v>12</v>
      </c>
      <c r="AN603" s="1" t="n">
        <f aca="false">N(AN602)+IF(AND(OR(R603="offered",R603="to be offered",R603="on hold"),B603&lt;&gt;""),1,0)</f>
        <v>33</v>
      </c>
      <c r="AO603" s="1" t="n">
        <f aca="false">N(AO602)+IF(AND(OR(R603="follow-up",R603="Evaluation",R603="tbd",R603="In evaluation"),B603&lt;&gt;""),1,0)</f>
        <v>1</v>
      </c>
      <c r="AP603" s="1" t="n">
        <f aca="false">IF(B603="",0,IF(COUNTIF('⚖️ Wahrscheinlichkeit'!$J$17:$J$24,R603)&gt;0,1,0))</f>
        <v>0</v>
      </c>
      <c r="AQ603" s="1" t="n">
        <f aca="false">IF(B603="",0,IF(AND(ISNUMBER(S603),COUNTIF('⚖️ Wahrscheinlichkeit'!$B$6:$B$11,S603)&gt;0),1,0))</f>
        <v>0</v>
      </c>
      <c r="AR603" s="1" t="n">
        <f aca="false">IF(B603="",0,IF(AND(COUNT(J603:M603)=4,SUM(J603:M603)&gt;0),1,0))</f>
        <v>0</v>
      </c>
      <c r="AS603" s="1" t="n">
        <f aca="false">IF(B603="",0,IF(AND(AF603&lt;&gt;"",AG603&lt;&gt;""),1,0))</f>
        <v>0</v>
      </c>
      <c r="AT603" s="1" t="n">
        <f aca="false">IF(AND(R603="WON",AS603=1,AR603=1),1,0)</f>
        <v>0</v>
      </c>
      <c r="AU603" s="1" t="n">
        <f aca="false">IF(B603="",0,IF(AD603="Alternative – zählt nicht",0,1))</f>
        <v>0</v>
      </c>
      <c r="AV603" s="1" t="n">
        <f aca="false">IF(B603="",0,IF(COUNTIF($B$6:$B$860,B603)&gt;1,1,0))</f>
        <v>0</v>
      </c>
      <c r="AX603" s="269" t="str">
        <f aca="false">IF(AY603=1,DATE(YEAR(O603),MONTH(O603),1),"")</f>
        <v/>
      </c>
      <c r="AY603" s="1" t="n">
        <f aca="false">IF(B603="",0,IF(AND(ISNUMBER(O603),ISNUMBER(P603)),IF(P603&gt;=O603,1,0),0))</f>
        <v>0</v>
      </c>
      <c r="AZ603" s="1" t="n">
        <f aca="false">IF(ISNUMBER(Y603),Y603,0)</f>
        <v>0</v>
      </c>
      <c r="BA603" s="1" t="str">
        <f aca="false">IF(B603="","",IF(AND(R603="WON",AS603=0),"⛔ Beleg fehlt · ","")&amp;IF(AND(R603="WON",AR603=0),"⛔ Einstand fehlt · ","")&amp;IF(AND(R603&lt;&gt;"WON",AR603=0),"○ Einstand offen · ","")&amp;IF(AND(R603="WON",AB603=""),"⛔ Vertragsart fehlt · ","")&amp;IF(AND(ISNUMBER(O603),ISNUMBER(P603)),IF(P603&lt;O603,"⚠ Ende vor Start · ",""),"")&amp;IF(AND(R603="WON",AY603=0,NOT(AND(ISNUMBER(O603),ISNUMBER(P603)))),"⛔ Zeitraum fehlt · ","")&amp;IF(AND(R603&lt;&gt;"WON",AY603=0,NOT(AND(ISNUMBER(O603),ISNUMBER(P603)))),"○ Zeitraum offen · ",""))</f>
        <v/>
      </c>
      <c r="BB603" s="1" t="str">
        <f aca="false">IF(B603="","",IF(AND(R603="WON",AS603=0),"⛔ Nachweis fehlt",IF(AND(ISNUMBER(O603),ISNUMBER(P603),P603&lt;O603),"⚠ Ende vor Start",IF(AND(R603="WON",AY603=0),"⛔ Zeitraum fehlt",IF(AR603=0,"○ Einstand offen",IF(AY603=0,"○ Zeitraum offen",IF(R603="WON","✅ belegt","✔ erfasst")))))))</f>
        <v/>
      </c>
    </row>
    <row r="604" customFormat="false" ht="15" hidden="false" customHeight="true" outlineLevel="0" collapsed="false">
      <c r="G604" s="1" t="str">
        <f aca="false">IF(B604="","",IF(AY604=1,P604-O604+1,IF(AW604="","",AW604)))</f>
        <v/>
      </c>
      <c r="I604" s="270"/>
      <c r="J604" s="270"/>
      <c r="K604" s="270"/>
      <c r="L604" s="270"/>
      <c r="M604" s="270"/>
      <c r="N604" s="270"/>
      <c r="O604" s="263"/>
      <c r="P604" s="263"/>
      <c r="Q604" s="270" t="str">
        <f aca="false">IF(AND(ISNUMBER(I604),ISNUMBER(S604)),I604*AJ604,IF(OR(I604&lt;&gt;"",S604&lt;&gt;""),"tbd",""))</f>
        <v/>
      </c>
      <c r="S604" s="268"/>
      <c r="Y604" s="275" t="str">
        <f aca="false">IF(ISNUMBER(I604),I604/Netto_Faktor,"")</f>
        <v/>
      </c>
      <c r="Z604" s="275" t="str">
        <f aca="false">IF(B604="","",IF(COUNT(J604:N604)=0,"",SUM(J604:N604)))</f>
        <v/>
      </c>
      <c r="AA604" s="266"/>
      <c r="AB604" s="266"/>
      <c r="AC604" s="266"/>
      <c r="AD604" s="266"/>
      <c r="AE604" s="266"/>
      <c r="AF604" s="266"/>
      <c r="AG604" s="267"/>
      <c r="AH604" s="266" t="str">
        <f aca="false">IF(B604="","",IF(BA604="",IF(R604="WON","✅ belegt &amp; vollständig","✔ vollständig"),LEFT(BA604,LEN(BA604)-3)))</f>
        <v/>
      </c>
      <c r="AJ604" s="268" t="n">
        <f aca="false">IF(ISNUMBER(S604),IFERROR(LOOKUP(IF(S604&lt;=1,S604,S604/100),'⚖️ Wahrscheinlichkeit'!$B$17:$B$21,'⚖️ Wahrscheinlichkeit'!$D$17:$D$21),0),0)</f>
        <v>0</v>
      </c>
      <c r="AK604" s="1" t="str">
        <f aca="false">IF(AND(R604="WON",ISNUMBER(I604)),AL604+(861-ROW())*0.000001,"")</f>
        <v/>
      </c>
      <c r="AL604" s="1" t="n">
        <f aca="false">IFERROR(I604*1,0)</f>
        <v>0</v>
      </c>
      <c r="AM604" s="1" t="n">
        <f aca="false">N(AM603)+IF(AND(R604="WON",B604&lt;&gt;""),1,0)</f>
        <v>12</v>
      </c>
      <c r="AN604" s="1" t="n">
        <f aca="false">N(AN603)+IF(AND(OR(R604="offered",R604="to be offered",R604="on hold"),B604&lt;&gt;""),1,0)</f>
        <v>33</v>
      </c>
      <c r="AO604" s="1" t="n">
        <f aca="false">N(AO603)+IF(AND(OR(R604="follow-up",R604="Evaluation",R604="tbd",R604="In evaluation"),B604&lt;&gt;""),1,0)</f>
        <v>1</v>
      </c>
      <c r="AP604" s="1" t="n">
        <f aca="false">IF(B604="",0,IF(COUNTIF('⚖️ Wahrscheinlichkeit'!$J$17:$J$24,R604)&gt;0,1,0))</f>
        <v>0</v>
      </c>
      <c r="AQ604" s="1" t="n">
        <f aca="false">IF(B604="",0,IF(AND(ISNUMBER(S604),COUNTIF('⚖️ Wahrscheinlichkeit'!$B$6:$B$11,S604)&gt;0),1,0))</f>
        <v>0</v>
      </c>
      <c r="AR604" s="1" t="n">
        <f aca="false">IF(B604="",0,IF(AND(COUNT(J604:M604)=4,SUM(J604:M604)&gt;0),1,0))</f>
        <v>0</v>
      </c>
      <c r="AS604" s="1" t="n">
        <f aca="false">IF(B604="",0,IF(AND(AF604&lt;&gt;"",AG604&lt;&gt;""),1,0))</f>
        <v>0</v>
      </c>
      <c r="AT604" s="1" t="n">
        <f aca="false">IF(AND(R604="WON",AS604=1,AR604=1),1,0)</f>
        <v>0</v>
      </c>
      <c r="AU604" s="1" t="n">
        <f aca="false">IF(B604="",0,IF(AD604="Alternative – zählt nicht",0,1))</f>
        <v>0</v>
      </c>
      <c r="AV604" s="1" t="n">
        <f aca="false">IF(B604="",0,IF(COUNTIF($B$6:$B$860,B604)&gt;1,1,0))</f>
        <v>0</v>
      </c>
      <c r="AX604" s="269" t="str">
        <f aca="false">IF(AY604=1,DATE(YEAR(O604),MONTH(O604),1),"")</f>
        <v/>
      </c>
      <c r="AY604" s="1" t="n">
        <f aca="false">IF(B604="",0,IF(AND(ISNUMBER(O604),ISNUMBER(P604)),IF(P604&gt;=O604,1,0),0))</f>
        <v>0</v>
      </c>
      <c r="AZ604" s="1" t="n">
        <f aca="false">IF(ISNUMBER(Y604),Y604,0)</f>
        <v>0</v>
      </c>
      <c r="BA604" s="1" t="str">
        <f aca="false">IF(B604="","",IF(AND(R604="WON",AS604=0),"⛔ Beleg fehlt · ","")&amp;IF(AND(R604="WON",AR604=0),"⛔ Einstand fehlt · ","")&amp;IF(AND(R604&lt;&gt;"WON",AR604=0),"○ Einstand offen · ","")&amp;IF(AND(R604="WON",AB604=""),"⛔ Vertragsart fehlt · ","")&amp;IF(AND(ISNUMBER(O604),ISNUMBER(P604)),IF(P604&lt;O604,"⚠ Ende vor Start · ",""),"")&amp;IF(AND(R604="WON",AY604=0,NOT(AND(ISNUMBER(O604),ISNUMBER(P604)))),"⛔ Zeitraum fehlt · ","")&amp;IF(AND(R604&lt;&gt;"WON",AY604=0,NOT(AND(ISNUMBER(O604),ISNUMBER(P604)))),"○ Zeitraum offen · ",""))</f>
        <v/>
      </c>
      <c r="BB604" s="1" t="str">
        <f aca="false">IF(B604="","",IF(AND(R604="WON",AS604=0),"⛔ Nachweis fehlt",IF(AND(ISNUMBER(O604),ISNUMBER(P604),P604&lt;O604),"⚠ Ende vor Start",IF(AND(R604="WON",AY604=0),"⛔ Zeitraum fehlt",IF(AR604=0,"○ Einstand offen",IF(AY604=0,"○ Zeitraum offen",IF(R604="WON","✅ belegt","✔ erfasst")))))))</f>
        <v/>
      </c>
    </row>
    <row r="605" customFormat="false" ht="15" hidden="false" customHeight="true" outlineLevel="0" collapsed="false">
      <c r="G605" s="1" t="str">
        <f aca="false">IF(B605="","",IF(AY605=1,P605-O605+1,IF(AW605="","",AW605)))</f>
        <v/>
      </c>
      <c r="I605" s="270"/>
      <c r="J605" s="270"/>
      <c r="K605" s="270"/>
      <c r="L605" s="270"/>
      <c r="M605" s="270"/>
      <c r="N605" s="270"/>
      <c r="O605" s="263"/>
      <c r="P605" s="263"/>
      <c r="Q605" s="270" t="str">
        <f aca="false">IF(AND(ISNUMBER(I605),ISNUMBER(S605)),I605*AJ605,IF(OR(I605&lt;&gt;"",S605&lt;&gt;""),"tbd",""))</f>
        <v/>
      </c>
      <c r="S605" s="268"/>
      <c r="Y605" s="275" t="str">
        <f aca="false">IF(ISNUMBER(I605),I605/Netto_Faktor,"")</f>
        <v/>
      </c>
      <c r="Z605" s="275" t="str">
        <f aca="false">IF(B605="","",IF(COUNT(J605:N605)=0,"",SUM(J605:N605)))</f>
        <v/>
      </c>
      <c r="AA605" s="266"/>
      <c r="AB605" s="266"/>
      <c r="AC605" s="266"/>
      <c r="AD605" s="266"/>
      <c r="AE605" s="266"/>
      <c r="AF605" s="266"/>
      <c r="AG605" s="267"/>
      <c r="AH605" s="266" t="str">
        <f aca="false">IF(B605="","",IF(BA605="",IF(R605="WON","✅ belegt &amp; vollständig","✔ vollständig"),LEFT(BA605,LEN(BA605)-3)))</f>
        <v/>
      </c>
      <c r="AJ605" s="268" t="n">
        <f aca="false">IF(ISNUMBER(S605),IFERROR(LOOKUP(IF(S605&lt;=1,S605,S605/100),'⚖️ Wahrscheinlichkeit'!$B$17:$B$21,'⚖️ Wahrscheinlichkeit'!$D$17:$D$21),0),0)</f>
        <v>0</v>
      </c>
      <c r="AK605" s="1" t="str">
        <f aca="false">IF(AND(R605="WON",ISNUMBER(I605)),AL605+(861-ROW())*0.000001,"")</f>
        <v/>
      </c>
      <c r="AL605" s="1" t="n">
        <f aca="false">IFERROR(I605*1,0)</f>
        <v>0</v>
      </c>
      <c r="AM605" s="1" t="n">
        <f aca="false">N(AM604)+IF(AND(R605="WON",B605&lt;&gt;""),1,0)</f>
        <v>12</v>
      </c>
      <c r="AN605" s="1" t="n">
        <f aca="false">N(AN604)+IF(AND(OR(R605="offered",R605="to be offered",R605="on hold"),B605&lt;&gt;""),1,0)</f>
        <v>33</v>
      </c>
      <c r="AO605" s="1" t="n">
        <f aca="false">N(AO604)+IF(AND(OR(R605="follow-up",R605="Evaluation",R605="tbd",R605="In evaluation"),B605&lt;&gt;""),1,0)</f>
        <v>1</v>
      </c>
      <c r="AP605" s="1" t="n">
        <f aca="false">IF(B605="",0,IF(COUNTIF('⚖️ Wahrscheinlichkeit'!$J$17:$J$24,R605)&gt;0,1,0))</f>
        <v>0</v>
      </c>
      <c r="AQ605" s="1" t="n">
        <f aca="false">IF(B605="",0,IF(AND(ISNUMBER(S605),COUNTIF('⚖️ Wahrscheinlichkeit'!$B$6:$B$11,S605)&gt;0),1,0))</f>
        <v>0</v>
      </c>
      <c r="AR605" s="1" t="n">
        <f aca="false">IF(B605="",0,IF(AND(COUNT(J605:M605)=4,SUM(J605:M605)&gt;0),1,0))</f>
        <v>0</v>
      </c>
      <c r="AS605" s="1" t="n">
        <f aca="false">IF(B605="",0,IF(AND(AF605&lt;&gt;"",AG605&lt;&gt;""),1,0))</f>
        <v>0</v>
      </c>
      <c r="AT605" s="1" t="n">
        <f aca="false">IF(AND(R605="WON",AS605=1,AR605=1),1,0)</f>
        <v>0</v>
      </c>
      <c r="AU605" s="1" t="n">
        <f aca="false">IF(B605="",0,IF(AD605="Alternative – zählt nicht",0,1))</f>
        <v>0</v>
      </c>
      <c r="AV605" s="1" t="n">
        <f aca="false">IF(B605="",0,IF(COUNTIF($B$6:$B$860,B605)&gt;1,1,0))</f>
        <v>0</v>
      </c>
      <c r="AX605" s="269" t="str">
        <f aca="false">IF(AY605=1,DATE(YEAR(O605),MONTH(O605),1),"")</f>
        <v/>
      </c>
      <c r="AY605" s="1" t="n">
        <f aca="false">IF(B605="",0,IF(AND(ISNUMBER(O605),ISNUMBER(P605)),IF(P605&gt;=O605,1,0),0))</f>
        <v>0</v>
      </c>
      <c r="AZ605" s="1" t="n">
        <f aca="false">IF(ISNUMBER(Y605),Y605,0)</f>
        <v>0</v>
      </c>
      <c r="BA605" s="1" t="str">
        <f aca="false">IF(B605="","",IF(AND(R605="WON",AS605=0),"⛔ Beleg fehlt · ","")&amp;IF(AND(R605="WON",AR605=0),"⛔ Einstand fehlt · ","")&amp;IF(AND(R605&lt;&gt;"WON",AR605=0),"○ Einstand offen · ","")&amp;IF(AND(R605="WON",AB605=""),"⛔ Vertragsart fehlt · ","")&amp;IF(AND(ISNUMBER(O605),ISNUMBER(P605)),IF(P605&lt;O605,"⚠ Ende vor Start · ",""),"")&amp;IF(AND(R605="WON",AY605=0,NOT(AND(ISNUMBER(O605),ISNUMBER(P605)))),"⛔ Zeitraum fehlt · ","")&amp;IF(AND(R605&lt;&gt;"WON",AY605=0,NOT(AND(ISNUMBER(O605),ISNUMBER(P605)))),"○ Zeitraum offen · ",""))</f>
        <v/>
      </c>
      <c r="BB605" s="1" t="str">
        <f aca="false">IF(B605="","",IF(AND(R605="WON",AS605=0),"⛔ Nachweis fehlt",IF(AND(ISNUMBER(O605),ISNUMBER(P605),P605&lt;O605),"⚠ Ende vor Start",IF(AND(R605="WON",AY605=0),"⛔ Zeitraum fehlt",IF(AR605=0,"○ Einstand offen",IF(AY605=0,"○ Zeitraum offen",IF(R605="WON","✅ belegt","✔ erfasst")))))))</f>
        <v/>
      </c>
    </row>
    <row r="606" customFormat="false" ht="15" hidden="false" customHeight="true" outlineLevel="0" collapsed="false">
      <c r="G606" s="1" t="str">
        <f aca="false">IF(B606="","",IF(AY606=1,P606-O606+1,IF(AW606="","",AW606)))</f>
        <v/>
      </c>
      <c r="I606" s="270"/>
      <c r="J606" s="270"/>
      <c r="K606" s="270"/>
      <c r="L606" s="270"/>
      <c r="M606" s="270"/>
      <c r="N606" s="270"/>
      <c r="O606" s="263"/>
      <c r="P606" s="263"/>
      <c r="Q606" s="270" t="str">
        <f aca="false">IF(AND(ISNUMBER(I606),ISNUMBER(S606)),I606*AJ606,IF(OR(I606&lt;&gt;"",S606&lt;&gt;""),"tbd",""))</f>
        <v/>
      </c>
      <c r="S606" s="268"/>
      <c r="Y606" s="275" t="str">
        <f aca="false">IF(ISNUMBER(I606),I606/Netto_Faktor,"")</f>
        <v/>
      </c>
      <c r="Z606" s="275" t="str">
        <f aca="false">IF(B606="","",IF(COUNT(J606:N606)=0,"",SUM(J606:N606)))</f>
        <v/>
      </c>
      <c r="AA606" s="266"/>
      <c r="AB606" s="266"/>
      <c r="AC606" s="266"/>
      <c r="AD606" s="266"/>
      <c r="AE606" s="266"/>
      <c r="AF606" s="266"/>
      <c r="AG606" s="267"/>
      <c r="AH606" s="266" t="str">
        <f aca="false">IF(B606="","",IF(BA606="",IF(R606="WON","✅ belegt &amp; vollständig","✔ vollständig"),LEFT(BA606,LEN(BA606)-3)))</f>
        <v/>
      </c>
      <c r="AJ606" s="268" t="n">
        <f aca="false">IF(ISNUMBER(S606),IFERROR(LOOKUP(IF(S606&lt;=1,S606,S606/100),'⚖️ Wahrscheinlichkeit'!$B$17:$B$21,'⚖️ Wahrscheinlichkeit'!$D$17:$D$21),0),0)</f>
        <v>0</v>
      </c>
      <c r="AK606" s="1" t="str">
        <f aca="false">IF(AND(R606="WON",ISNUMBER(I606)),AL606+(861-ROW())*0.000001,"")</f>
        <v/>
      </c>
      <c r="AL606" s="1" t="n">
        <f aca="false">IFERROR(I606*1,0)</f>
        <v>0</v>
      </c>
      <c r="AM606" s="1" t="n">
        <f aca="false">N(AM605)+IF(AND(R606="WON",B606&lt;&gt;""),1,0)</f>
        <v>12</v>
      </c>
      <c r="AN606" s="1" t="n">
        <f aca="false">N(AN605)+IF(AND(OR(R606="offered",R606="to be offered",R606="on hold"),B606&lt;&gt;""),1,0)</f>
        <v>33</v>
      </c>
      <c r="AO606" s="1" t="n">
        <f aca="false">N(AO605)+IF(AND(OR(R606="follow-up",R606="Evaluation",R606="tbd",R606="In evaluation"),B606&lt;&gt;""),1,0)</f>
        <v>1</v>
      </c>
      <c r="AP606" s="1" t="n">
        <f aca="false">IF(B606="",0,IF(COUNTIF('⚖️ Wahrscheinlichkeit'!$J$17:$J$24,R606)&gt;0,1,0))</f>
        <v>0</v>
      </c>
      <c r="AQ606" s="1" t="n">
        <f aca="false">IF(B606="",0,IF(AND(ISNUMBER(S606),COUNTIF('⚖️ Wahrscheinlichkeit'!$B$6:$B$11,S606)&gt;0),1,0))</f>
        <v>0</v>
      </c>
      <c r="AR606" s="1" t="n">
        <f aca="false">IF(B606="",0,IF(AND(COUNT(J606:M606)=4,SUM(J606:M606)&gt;0),1,0))</f>
        <v>0</v>
      </c>
      <c r="AS606" s="1" t="n">
        <f aca="false">IF(B606="",0,IF(AND(AF606&lt;&gt;"",AG606&lt;&gt;""),1,0))</f>
        <v>0</v>
      </c>
      <c r="AT606" s="1" t="n">
        <f aca="false">IF(AND(R606="WON",AS606=1,AR606=1),1,0)</f>
        <v>0</v>
      </c>
      <c r="AU606" s="1" t="n">
        <f aca="false">IF(B606="",0,IF(AD606="Alternative – zählt nicht",0,1))</f>
        <v>0</v>
      </c>
      <c r="AV606" s="1" t="n">
        <f aca="false">IF(B606="",0,IF(COUNTIF($B$6:$B$860,B606)&gt;1,1,0))</f>
        <v>0</v>
      </c>
      <c r="AX606" s="269" t="str">
        <f aca="false">IF(AY606=1,DATE(YEAR(O606),MONTH(O606),1),"")</f>
        <v/>
      </c>
      <c r="AY606" s="1" t="n">
        <f aca="false">IF(B606="",0,IF(AND(ISNUMBER(O606),ISNUMBER(P606)),IF(P606&gt;=O606,1,0),0))</f>
        <v>0</v>
      </c>
      <c r="AZ606" s="1" t="n">
        <f aca="false">IF(ISNUMBER(Y606),Y606,0)</f>
        <v>0</v>
      </c>
      <c r="BA606" s="1" t="str">
        <f aca="false">IF(B606="","",IF(AND(R606="WON",AS606=0),"⛔ Beleg fehlt · ","")&amp;IF(AND(R606="WON",AR606=0),"⛔ Einstand fehlt · ","")&amp;IF(AND(R606&lt;&gt;"WON",AR606=0),"○ Einstand offen · ","")&amp;IF(AND(R606="WON",AB606=""),"⛔ Vertragsart fehlt · ","")&amp;IF(AND(ISNUMBER(O606),ISNUMBER(P606)),IF(P606&lt;O606,"⚠ Ende vor Start · ",""),"")&amp;IF(AND(R606="WON",AY606=0,NOT(AND(ISNUMBER(O606),ISNUMBER(P606)))),"⛔ Zeitraum fehlt · ","")&amp;IF(AND(R606&lt;&gt;"WON",AY606=0,NOT(AND(ISNUMBER(O606),ISNUMBER(P606)))),"○ Zeitraum offen · ",""))</f>
        <v/>
      </c>
      <c r="BB606" s="1" t="str">
        <f aca="false">IF(B606="","",IF(AND(R606="WON",AS606=0),"⛔ Nachweis fehlt",IF(AND(ISNUMBER(O606),ISNUMBER(P606),P606&lt;O606),"⚠ Ende vor Start",IF(AND(R606="WON",AY606=0),"⛔ Zeitraum fehlt",IF(AR606=0,"○ Einstand offen",IF(AY606=0,"○ Zeitraum offen",IF(R606="WON","✅ belegt","✔ erfasst")))))))</f>
        <v/>
      </c>
    </row>
    <row r="607" customFormat="false" ht="15" hidden="false" customHeight="true" outlineLevel="0" collapsed="false">
      <c r="G607" s="1" t="str">
        <f aca="false">IF(B607="","",IF(AY607=1,P607-O607+1,IF(AW607="","",AW607)))</f>
        <v/>
      </c>
      <c r="I607" s="270"/>
      <c r="J607" s="270"/>
      <c r="K607" s="270"/>
      <c r="L607" s="270"/>
      <c r="M607" s="270"/>
      <c r="N607" s="270"/>
      <c r="O607" s="263"/>
      <c r="P607" s="263"/>
      <c r="Q607" s="270" t="str">
        <f aca="false">IF(AND(ISNUMBER(I607),ISNUMBER(S607)),I607*AJ607,IF(OR(I607&lt;&gt;"",S607&lt;&gt;""),"tbd",""))</f>
        <v/>
      </c>
      <c r="S607" s="268"/>
      <c r="Y607" s="275" t="str">
        <f aca="false">IF(ISNUMBER(I607),I607/Netto_Faktor,"")</f>
        <v/>
      </c>
      <c r="Z607" s="275" t="str">
        <f aca="false">IF(B607="","",IF(COUNT(J607:N607)=0,"",SUM(J607:N607)))</f>
        <v/>
      </c>
      <c r="AA607" s="266"/>
      <c r="AB607" s="266"/>
      <c r="AC607" s="266"/>
      <c r="AD607" s="266"/>
      <c r="AE607" s="266"/>
      <c r="AF607" s="266"/>
      <c r="AG607" s="267"/>
      <c r="AH607" s="266" t="str">
        <f aca="false">IF(B607="","",IF(BA607="",IF(R607="WON","✅ belegt &amp; vollständig","✔ vollständig"),LEFT(BA607,LEN(BA607)-3)))</f>
        <v/>
      </c>
      <c r="AJ607" s="268" t="n">
        <f aca="false">IF(ISNUMBER(S607),IFERROR(LOOKUP(IF(S607&lt;=1,S607,S607/100),'⚖️ Wahrscheinlichkeit'!$B$17:$B$21,'⚖️ Wahrscheinlichkeit'!$D$17:$D$21),0),0)</f>
        <v>0</v>
      </c>
      <c r="AK607" s="1" t="str">
        <f aca="false">IF(AND(R607="WON",ISNUMBER(I607)),AL607+(861-ROW())*0.000001,"")</f>
        <v/>
      </c>
      <c r="AL607" s="1" t="n">
        <f aca="false">IFERROR(I607*1,0)</f>
        <v>0</v>
      </c>
      <c r="AM607" s="1" t="n">
        <f aca="false">N(AM606)+IF(AND(R607="WON",B607&lt;&gt;""),1,0)</f>
        <v>12</v>
      </c>
      <c r="AN607" s="1" t="n">
        <f aca="false">N(AN606)+IF(AND(OR(R607="offered",R607="to be offered",R607="on hold"),B607&lt;&gt;""),1,0)</f>
        <v>33</v>
      </c>
      <c r="AO607" s="1" t="n">
        <f aca="false">N(AO606)+IF(AND(OR(R607="follow-up",R607="Evaluation",R607="tbd",R607="In evaluation"),B607&lt;&gt;""),1,0)</f>
        <v>1</v>
      </c>
      <c r="AP607" s="1" t="n">
        <f aca="false">IF(B607="",0,IF(COUNTIF('⚖️ Wahrscheinlichkeit'!$J$17:$J$24,R607)&gt;0,1,0))</f>
        <v>0</v>
      </c>
      <c r="AQ607" s="1" t="n">
        <f aca="false">IF(B607="",0,IF(AND(ISNUMBER(S607),COUNTIF('⚖️ Wahrscheinlichkeit'!$B$6:$B$11,S607)&gt;0),1,0))</f>
        <v>0</v>
      </c>
      <c r="AR607" s="1" t="n">
        <f aca="false">IF(B607="",0,IF(AND(COUNT(J607:M607)=4,SUM(J607:M607)&gt;0),1,0))</f>
        <v>0</v>
      </c>
      <c r="AS607" s="1" t="n">
        <f aca="false">IF(B607="",0,IF(AND(AF607&lt;&gt;"",AG607&lt;&gt;""),1,0))</f>
        <v>0</v>
      </c>
      <c r="AT607" s="1" t="n">
        <f aca="false">IF(AND(R607="WON",AS607=1,AR607=1),1,0)</f>
        <v>0</v>
      </c>
      <c r="AU607" s="1" t="n">
        <f aca="false">IF(B607="",0,IF(AD607="Alternative – zählt nicht",0,1))</f>
        <v>0</v>
      </c>
      <c r="AV607" s="1" t="n">
        <f aca="false">IF(B607="",0,IF(COUNTIF($B$6:$B$860,B607)&gt;1,1,0))</f>
        <v>0</v>
      </c>
      <c r="AX607" s="269" t="str">
        <f aca="false">IF(AY607=1,DATE(YEAR(O607),MONTH(O607),1),"")</f>
        <v/>
      </c>
      <c r="AY607" s="1" t="n">
        <f aca="false">IF(B607="",0,IF(AND(ISNUMBER(O607),ISNUMBER(P607)),IF(P607&gt;=O607,1,0),0))</f>
        <v>0</v>
      </c>
      <c r="AZ607" s="1" t="n">
        <f aca="false">IF(ISNUMBER(Y607),Y607,0)</f>
        <v>0</v>
      </c>
      <c r="BA607" s="1" t="str">
        <f aca="false">IF(B607="","",IF(AND(R607="WON",AS607=0),"⛔ Beleg fehlt · ","")&amp;IF(AND(R607="WON",AR607=0),"⛔ Einstand fehlt · ","")&amp;IF(AND(R607&lt;&gt;"WON",AR607=0),"○ Einstand offen · ","")&amp;IF(AND(R607="WON",AB607=""),"⛔ Vertragsart fehlt · ","")&amp;IF(AND(ISNUMBER(O607),ISNUMBER(P607)),IF(P607&lt;O607,"⚠ Ende vor Start · ",""),"")&amp;IF(AND(R607="WON",AY607=0,NOT(AND(ISNUMBER(O607),ISNUMBER(P607)))),"⛔ Zeitraum fehlt · ","")&amp;IF(AND(R607&lt;&gt;"WON",AY607=0,NOT(AND(ISNUMBER(O607),ISNUMBER(P607)))),"○ Zeitraum offen · ",""))</f>
        <v/>
      </c>
      <c r="BB607" s="1" t="str">
        <f aca="false">IF(B607="","",IF(AND(R607="WON",AS607=0),"⛔ Nachweis fehlt",IF(AND(ISNUMBER(O607),ISNUMBER(P607),P607&lt;O607),"⚠ Ende vor Start",IF(AND(R607="WON",AY607=0),"⛔ Zeitraum fehlt",IF(AR607=0,"○ Einstand offen",IF(AY607=0,"○ Zeitraum offen",IF(R607="WON","✅ belegt","✔ erfasst")))))))</f>
        <v/>
      </c>
    </row>
    <row r="608" customFormat="false" ht="15" hidden="false" customHeight="true" outlineLevel="0" collapsed="false">
      <c r="G608" s="1" t="str">
        <f aca="false">IF(B608="","",IF(AY608=1,P608-O608+1,IF(AW608="","",AW608)))</f>
        <v/>
      </c>
      <c r="I608" s="270"/>
      <c r="J608" s="270"/>
      <c r="K608" s="270"/>
      <c r="L608" s="270"/>
      <c r="M608" s="270"/>
      <c r="N608" s="270"/>
      <c r="O608" s="263"/>
      <c r="P608" s="263"/>
      <c r="Q608" s="270" t="str">
        <f aca="false">IF(AND(ISNUMBER(I608),ISNUMBER(S608)),I608*AJ608,IF(OR(I608&lt;&gt;"",S608&lt;&gt;""),"tbd",""))</f>
        <v/>
      </c>
      <c r="S608" s="268"/>
      <c r="Y608" s="275" t="str">
        <f aca="false">IF(ISNUMBER(I608),I608/Netto_Faktor,"")</f>
        <v/>
      </c>
      <c r="Z608" s="275" t="str">
        <f aca="false">IF(B608="","",IF(COUNT(J608:N608)=0,"",SUM(J608:N608)))</f>
        <v/>
      </c>
      <c r="AA608" s="266"/>
      <c r="AB608" s="266"/>
      <c r="AC608" s="266"/>
      <c r="AD608" s="266"/>
      <c r="AE608" s="266"/>
      <c r="AF608" s="266"/>
      <c r="AG608" s="267"/>
      <c r="AH608" s="266" t="str">
        <f aca="false">IF(B608="","",IF(BA608="",IF(R608="WON","✅ belegt &amp; vollständig","✔ vollständig"),LEFT(BA608,LEN(BA608)-3)))</f>
        <v/>
      </c>
      <c r="AJ608" s="268" t="n">
        <f aca="false">IF(ISNUMBER(S608),IFERROR(LOOKUP(IF(S608&lt;=1,S608,S608/100),'⚖️ Wahrscheinlichkeit'!$B$17:$B$21,'⚖️ Wahrscheinlichkeit'!$D$17:$D$21),0),0)</f>
        <v>0</v>
      </c>
      <c r="AK608" s="1" t="str">
        <f aca="false">IF(AND(R608="WON",ISNUMBER(I608)),AL608+(861-ROW())*0.000001,"")</f>
        <v/>
      </c>
      <c r="AL608" s="1" t="n">
        <f aca="false">IFERROR(I608*1,0)</f>
        <v>0</v>
      </c>
      <c r="AM608" s="1" t="n">
        <f aca="false">N(AM607)+IF(AND(R608="WON",B608&lt;&gt;""),1,0)</f>
        <v>12</v>
      </c>
      <c r="AN608" s="1" t="n">
        <f aca="false">N(AN607)+IF(AND(OR(R608="offered",R608="to be offered",R608="on hold"),B608&lt;&gt;""),1,0)</f>
        <v>33</v>
      </c>
      <c r="AO608" s="1" t="n">
        <f aca="false">N(AO607)+IF(AND(OR(R608="follow-up",R608="Evaluation",R608="tbd",R608="In evaluation"),B608&lt;&gt;""),1,0)</f>
        <v>1</v>
      </c>
      <c r="AP608" s="1" t="n">
        <f aca="false">IF(B608="",0,IF(COUNTIF('⚖️ Wahrscheinlichkeit'!$J$17:$J$24,R608)&gt;0,1,0))</f>
        <v>0</v>
      </c>
      <c r="AQ608" s="1" t="n">
        <f aca="false">IF(B608="",0,IF(AND(ISNUMBER(S608),COUNTIF('⚖️ Wahrscheinlichkeit'!$B$6:$B$11,S608)&gt;0),1,0))</f>
        <v>0</v>
      </c>
      <c r="AR608" s="1" t="n">
        <f aca="false">IF(B608="",0,IF(AND(COUNT(J608:M608)=4,SUM(J608:M608)&gt;0),1,0))</f>
        <v>0</v>
      </c>
      <c r="AS608" s="1" t="n">
        <f aca="false">IF(B608="",0,IF(AND(AF608&lt;&gt;"",AG608&lt;&gt;""),1,0))</f>
        <v>0</v>
      </c>
      <c r="AT608" s="1" t="n">
        <f aca="false">IF(AND(R608="WON",AS608=1,AR608=1),1,0)</f>
        <v>0</v>
      </c>
      <c r="AU608" s="1" t="n">
        <f aca="false">IF(B608="",0,IF(AD608="Alternative – zählt nicht",0,1))</f>
        <v>0</v>
      </c>
      <c r="AV608" s="1" t="n">
        <f aca="false">IF(B608="",0,IF(COUNTIF($B$6:$B$860,B608)&gt;1,1,0))</f>
        <v>0</v>
      </c>
      <c r="AX608" s="269" t="str">
        <f aca="false">IF(AY608=1,DATE(YEAR(O608),MONTH(O608),1),"")</f>
        <v/>
      </c>
      <c r="AY608" s="1" t="n">
        <f aca="false">IF(B608="",0,IF(AND(ISNUMBER(O608),ISNUMBER(P608)),IF(P608&gt;=O608,1,0),0))</f>
        <v>0</v>
      </c>
      <c r="AZ608" s="1" t="n">
        <f aca="false">IF(ISNUMBER(Y608),Y608,0)</f>
        <v>0</v>
      </c>
      <c r="BA608" s="1" t="str">
        <f aca="false">IF(B608="","",IF(AND(R608="WON",AS608=0),"⛔ Beleg fehlt · ","")&amp;IF(AND(R608="WON",AR608=0),"⛔ Einstand fehlt · ","")&amp;IF(AND(R608&lt;&gt;"WON",AR608=0),"○ Einstand offen · ","")&amp;IF(AND(R608="WON",AB608=""),"⛔ Vertragsart fehlt · ","")&amp;IF(AND(ISNUMBER(O608),ISNUMBER(P608)),IF(P608&lt;O608,"⚠ Ende vor Start · ",""),"")&amp;IF(AND(R608="WON",AY608=0,NOT(AND(ISNUMBER(O608),ISNUMBER(P608)))),"⛔ Zeitraum fehlt · ","")&amp;IF(AND(R608&lt;&gt;"WON",AY608=0,NOT(AND(ISNUMBER(O608),ISNUMBER(P608)))),"○ Zeitraum offen · ",""))</f>
        <v/>
      </c>
      <c r="BB608" s="1" t="str">
        <f aca="false">IF(B608="","",IF(AND(R608="WON",AS608=0),"⛔ Nachweis fehlt",IF(AND(ISNUMBER(O608),ISNUMBER(P608),P608&lt;O608),"⚠ Ende vor Start",IF(AND(R608="WON",AY608=0),"⛔ Zeitraum fehlt",IF(AR608=0,"○ Einstand offen",IF(AY608=0,"○ Zeitraum offen",IF(R608="WON","✅ belegt","✔ erfasst")))))))</f>
        <v/>
      </c>
    </row>
    <row r="609" customFormat="false" ht="15" hidden="false" customHeight="true" outlineLevel="0" collapsed="false">
      <c r="G609" s="1" t="str">
        <f aca="false">IF(B609="","",IF(AY609=1,P609-O609+1,IF(AW609="","",AW609)))</f>
        <v/>
      </c>
      <c r="I609" s="270"/>
      <c r="J609" s="270"/>
      <c r="K609" s="270"/>
      <c r="L609" s="270"/>
      <c r="M609" s="270"/>
      <c r="N609" s="270"/>
      <c r="O609" s="263"/>
      <c r="P609" s="263"/>
      <c r="Q609" s="270" t="str">
        <f aca="false">IF(AND(ISNUMBER(I609),ISNUMBER(S609)),I609*AJ609,IF(OR(I609&lt;&gt;"",S609&lt;&gt;""),"tbd",""))</f>
        <v/>
      </c>
      <c r="S609" s="268"/>
      <c r="Y609" s="275" t="str">
        <f aca="false">IF(ISNUMBER(I609),I609/Netto_Faktor,"")</f>
        <v/>
      </c>
      <c r="Z609" s="275" t="str">
        <f aca="false">IF(B609="","",IF(COUNT(J609:N609)=0,"",SUM(J609:N609)))</f>
        <v/>
      </c>
      <c r="AA609" s="266"/>
      <c r="AB609" s="266"/>
      <c r="AC609" s="266"/>
      <c r="AD609" s="266"/>
      <c r="AE609" s="266"/>
      <c r="AF609" s="266"/>
      <c r="AG609" s="267"/>
      <c r="AH609" s="266" t="str">
        <f aca="false">IF(B609="","",IF(BA609="",IF(R609="WON","✅ belegt &amp; vollständig","✔ vollständig"),LEFT(BA609,LEN(BA609)-3)))</f>
        <v/>
      </c>
      <c r="AJ609" s="268" t="n">
        <f aca="false">IF(ISNUMBER(S609),IFERROR(LOOKUP(IF(S609&lt;=1,S609,S609/100),'⚖️ Wahrscheinlichkeit'!$B$17:$B$21,'⚖️ Wahrscheinlichkeit'!$D$17:$D$21),0),0)</f>
        <v>0</v>
      </c>
      <c r="AK609" s="1" t="str">
        <f aca="false">IF(AND(R609="WON",ISNUMBER(I609)),AL609+(861-ROW())*0.000001,"")</f>
        <v/>
      </c>
      <c r="AL609" s="1" t="n">
        <f aca="false">IFERROR(I609*1,0)</f>
        <v>0</v>
      </c>
      <c r="AM609" s="1" t="n">
        <f aca="false">N(AM608)+IF(AND(R609="WON",B609&lt;&gt;""),1,0)</f>
        <v>12</v>
      </c>
      <c r="AN609" s="1" t="n">
        <f aca="false">N(AN608)+IF(AND(OR(R609="offered",R609="to be offered",R609="on hold"),B609&lt;&gt;""),1,0)</f>
        <v>33</v>
      </c>
      <c r="AO609" s="1" t="n">
        <f aca="false">N(AO608)+IF(AND(OR(R609="follow-up",R609="Evaluation",R609="tbd",R609="In evaluation"),B609&lt;&gt;""),1,0)</f>
        <v>1</v>
      </c>
      <c r="AP609" s="1" t="n">
        <f aca="false">IF(B609="",0,IF(COUNTIF('⚖️ Wahrscheinlichkeit'!$J$17:$J$24,R609)&gt;0,1,0))</f>
        <v>0</v>
      </c>
      <c r="AQ609" s="1" t="n">
        <f aca="false">IF(B609="",0,IF(AND(ISNUMBER(S609),COUNTIF('⚖️ Wahrscheinlichkeit'!$B$6:$B$11,S609)&gt;0),1,0))</f>
        <v>0</v>
      </c>
      <c r="AR609" s="1" t="n">
        <f aca="false">IF(B609="",0,IF(AND(COUNT(J609:M609)=4,SUM(J609:M609)&gt;0),1,0))</f>
        <v>0</v>
      </c>
      <c r="AS609" s="1" t="n">
        <f aca="false">IF(B609="",0,IF(AND(AF609&lt;&gt;"",AG609&lt;&gt;""),1,0))</f>
        <v>0</v>
      </c>
      <c r="AT609" s="1" t="n">
        <f aca="false">IF(AND(R609="WON",AS609=1,AR609=1),1,0)</f>
        <v>0</v>
      </c>
      <c r="AU609" s="1" t="n">
        <f aca="false">IF(B609="",0,IF(AD609="Alternative – zählt nicht",0,1))</f>
        <v>0</v>
      </c>
      <c r="AV609" s="1" t="n">
        <f aca="false">IF(B609="",0,IF(COUNTIF($B$6:$B$860,B609)&gt;1,1,0))</f>
        <v>0</v>
      </c>
      <c r="AX609" s="269" t="str">
        <f aca="false">IF(AY609=1,DATE(YEAR(O609),MONTH(O609),1),"")</f>
        <v/>
      </c>
      <c r="AY609" s="1" t="n">
        <f aca="false">IF(B609="",0,IF(AND(ISNUMBER(O609),ISNUMBER(P609)),IF(P609&gt;=O609,1,0),0))</f>
        <v>0</v>
      </c>
      <c r="AZ609" s="1" t="n">
        <f aca="false">IF(ISNUMBER(Y609),Y609,0)</f>
        <v>0</v>
      </c>
      <c r="BA609" s="1" t="str">
        <f aca="false">IF(B609="","",IF(AND(R609="WON",AS609=0),"⛔ Beleg fehlt · ","")&amp;IF(AND(R609="WON",AR609=0),"⛔ Einstand fehlt · ","")&amp;IF(AND(R609&lt;&gt;"WON",AR609=0),"○ Einstand offen · ","")&amp;IF(AND(R609="WON",AB609=""),"⛔ Vertragsart fehlt · ","")&amp;IF(AND(ISNUMBER(O609),ISNUMBER(P609)),IF(P609&lt;O609,"⚠ Ende vor Start · ",""),"")&amp;IF(AND(R609="WON",AY609=0,NOT(AND(ISNUMBER(O609),ISNUMBER(P609)))),"⛔ Zeitraum fehlt · ","")&amp;IF(AND(R609&lt;&gt;"WON",AY609=0,NOT(AND(ISNUMBER(O609),ISNUMBER(P609)))),"○ Zeitraum offen · ",""))</f>
        <v/>
      </c>
      <c r="BB609" s="1" t="str">
        <f aca="false">IF(B609="","",IF(AND(R609="WON",AS609=0),"⛔ Nachweis fehlt",IF(AND(ISNUMBER(O609),ISNUMBER(P609),P609&lt;O609),"⚠ Ende vor Start",IF(AND(R609="WON",AY609=0),"⛔ Zeitraum fehlt",IF(AR609=0,"○ Einstand offen",IF(AY609=0,"○ Zeitraum offen",IF(R609="WON","✅ belegt","✔ erfasst")))))))</f>
        <v/>
      </c>
    </row>
    <row r="610" customFormat="false" ht="15" hidden="false" customHeight="true" outlineLevel="0" collapsed="false">
      <c r="G610" s="1" t="str">
        <f aca="false">IF(B610="","",IF(AY610=1,P610-O610+1,IF(AW610="","",AW610)))</f>
        <v/>
      </c>
      <c r="I610" s="270"/>
      <c r="J610" s="270"/>
      <c r="K610" s="270"/>
      <c r="L610" s="270"/>
      <c r="M610" s="270"/>
      <c r="N610" s="270"/>
      <c r="O610" s="263"/>
      <c r="P610" s="263"/>
      <c r="Q610" s="270" t="str">
        <f aca="false">IF(AND(ISNUMBER(I610),ISNUMBER(S610)),I610*AJ610,IF(OR(I610&lt;&gt;"",S610&lt;&gt;""),"tbd",""))</f>
        <v/>
      </c>
      <c r="S610" s="268"/>
      <c r="Y610" s="275" t="str">
        <f aca="false">IF(ISNUMBER(I610),I610/Netto_Faktor,"")</f>
        <v/>
      </c>
      <c r="Z610" s="275" t="str">
        <f aca="false">IF(B610="","",IF(COUNT(J610:N610)=0,"",SUM(J610:N610)))</f>
        <v/>
      </c>
      <c r="AA610" s="266"/>
      <c r="AB610" s="266"/>
      <c r="AC610" s="266"/>
      <c r="AD610" s="266"/>
      <c r="AE610" s="266"/>
      <c r="AF610" s="266"/>
      <c r="AG610" s="267"/>
      <c r="AH610" s="266" t="str">
        <f aca="false">IF(B610="","",IF(BA610="",IF(R610="WON","✅ belegt &amp; vollständig","✔ vollständig"),LEFT(BA610,LEN(BA610)-3)))</f>
        <v/>
      </c>
      <c r="AJ610" s="268" t="n">
        <f aca="false">IF(ISNUMBER(S610),IFERROR(LOOKUP(IF(S610&lt;=1,S610,S610/100),'⚖️ Wahrscheinlichkeit'!$B$17:$B$21,'⚖️ Wahrscheinlichkeit'!$D$17:$D$21),0),0)</f>
        <v>0</v>
      </c>
      <c r="AK610" s="1" t="str">
        <f aca="false">IF(AND(R610="WON",ISNUMBER(I610)),AL610+(861-ROW())*0.000001,"")</f>
        <v/>
      </c>
      <c r="AL610" s="1" t="n">
        <f aca="false">IFERROR(I610*1,0)</f>
        <v>0</v>
      </c>
      <c r="AM610" s="1" t="n">
        <f aca="false">N(AM609)+IF(AND(R610="WON",B610&lt;&gt;""),1,0)</f>
        <v>12</v>
      </c>
      <c r="AN610" s="1" t="n">
        <f aca="false">N(AN609)+IF(AND(OR(R610="offered",R610="to be offered",R610="on hold"),B610&lt;&gt;""),1,0)</f>
        <v>33</v>
      </c>
      <c r="AO610" s="1" t="n">
        <f aca="false">N(AO609)+IF(AND(OR(R610="follow-up",R610="Evaluation",R610="tbd",R610="In evaluation"),B610&lt;&gt;""),1,0)</f>
        <v>1</v>
      </c>
      <c r="AP610" s="1" t="n">
        <f aca="false">IF(B610="",0,IF(COUNTIF('⚖️ Wahrscheinlichkeit'!$J$17:$J$24,R610)&gt;0,1,0))</f>
        <v>0</v>
      </c>
      <c r="AQ610" s="1" t="n">
        <f aca="false">IF(B610="",0,IF(AND(ISNUMBER(S610),COUNTIF('⚖️ Wahrscheinlichkeit'!$B$6:$B$11,S610)&gt;0),1,0))</f>
        <v>0</v>
      </c>
      <c r="AR610" s="1" t="n">
        <f aca="false">IF(B610="",0,IF(AND(COUNT(J610:M610)=4,SUM(J610:M610)&gt;0),1,0))</f>
        <v>0</v>
      </c>
      <c r="AS610" s="1" t="n">
        <f aca="false">IF(B610="",0,IF(AND(AF610&lt;&gt;"",AG610&lt;&gt;""),1,0))</f>
        <v>0</v>
      </c>
      <c r="AT610" s="1" t="n">
        <f aca="false">IF(AND(R610="WON",AS610=1,AR610=1),1,0)</f>
        <v>0</v>
      </c>
      <c r="AU610" s="1" t="n">
        <f aca="false">IF(B610="",0,IF(AD610="Alternative – zählt nicht",0,1))</f>
        <v>0</v>
      </c>
      <c r="AV610" s="1" t="n">
        <f aca="false">IF(B610="",0,IF(COUNTIF($B$6:$B$860,B610)&gt;1,1,0))</f>
        <v>0</v>
      </c>
      <c r="AX610" s="269" t="str">
        <f aca="false">IF(AY610=1,DATE(YEAR(O610),MONTH(O610),1),"")</f>
        <v/>
      </c>
      <c r="AY610" s="1" t="n">
        <f aca="false">IF(B610="",0,IF(AND(ISNUMBER(O610),ISNUMBER(P610)),IF(P610&gt;=O610,1,0),0))</f>
        <v>0</v>
      </c>
      <c r="AZ610" s="1" t="n">
        <f aca="false">IF(ISNUMBER(Y610),Y610,0)</f>
        <v>0</v>
      </c>
      <c r="BA610" s="1" t="str">
        <f aca="false">IF(B610="","",IF(AND(R610="WON",AS610=0),"⛔ Beleg fehlt · ","")&amp;IF(AND(R610="WON",AR610=0),"⛔ Einstand fehlt · ","")&amp;IF(AND(R610&lt;&gt;"WON",AR610=0),"○ Einstand offen · ","")&amp;IF(AND(R610="WON",AB610=""),"⛔ Vertragsart fehlt · ","")&amp;IF(AND(ISNUMBER(O610),ISNUMBER(P610)),IF(P610&lt;O610,"⚠ Ende vor Start · ",""),"")&amp;IF(AND(R610="WON",AY610=0,NOT(AND(ISNUMBER(O610),ISNUMBER(P610)))),"⛔ Zeitraum fehlt · ","")&amp;IF(AND(R610&lt;&gt;"WON",AY610=0,NOT(AND(ISNUMBER(O610),ISNUMBER(P610)))),"○ Zeitraum offen · ",""))</f>
        <v/>
      </c>
      <c r="BB610" s="1" t="str">
        <f aca="false">IF(B610="","",IF(AND(R610="WON",AS610=0),"⛔ Nachweis fehlt",IF(AND(ISNUMBER(O610),ISNUMBER(P610),P610&lt;O610),"⚠ Ende vor Start",IF(AND(R610="WON",AY610=0),"⛔ Zeitraum fehlt",IF(AR610=0,"○ Einstand offen",IF(AY610=0,"○ Zeitraum offen",IF(R610="WON","✅ belegt","✔ erfasst")))))))</f>
        <v/>
      </c>
    </row>
    <row r="611" customFormat="false" ht="15" hidden="false" customHeight="true" outlineLevel="0" collapsed="false">
      <c r="G611" s="1" t="str">
        <f aca="false">IF(B611="","",IF(AY611=1,P611-O611+1,IF(AW611="","",AW611)))</f>
        <v/>
      </c>
      <c r="I611" s="270"/>
      <c r="J611" s="270"/>
      <c r="K611" s="270"/>
      <c r="L611" s="270"/>
      <c r="M611" s="270"/>
      <c r="N611" s="270"/>
      <c r="O611" s="263"/>
      <c r="P611" s="263"/>
      <c r="Q611" s="270" t="str">
        <f aca="false">IF(AND(ISNUMBER(I611),ISNUMBER(S611)),I611*AJ611,IF(OR(I611&lt;&gt;"",S611&lt;&gt;""),"tbd",""))</f>
        <v/>
      </c>
      <c r="S611" s="268"/>
      <c r="Y611" s="275" t="str">
        <f aca="false">IF(ISNUMBER(I611),I611/Netto_Faktor,"")</f>
        <v/>
      </c>
      <c r="Z611" s="275" t="str">
        <f aca="false">IF(B611="","",IF(COUNT(J611:N611)=0,"",SUM(J611:N611)))</f>
        <v/>
      </c>
      <c r="AA611" s="266"/>
      <c r="AB611" s="266"/>
      <c r="AC611" s="266"/>
      <c r="AD611" s="266"/>
      <c r="AE611" s="266"/>
      <c r="AF611" s="266"/>
      <c r="AG611" s="267"/>
      <c r="AH611" s="266" t="str">
        <f aca="false">IF(B611="","",IF(BA611="",IF(R611="WON","✅ belegt &amp; vollständig","✔ vollständig"),LEFT(BA611,LEN(BA611)-3)))</f>
        <v/>
      </c>
      <c r="AJ611" s="268" t="n">
        <f aca="false">IF(ISNUMBER(S611),IFERROR(LOOKUP(IF(S611&lt;=1,S611,S611/100),'⚖️ Wahrscheinlichkeit'!$B$17:$B$21,'⚖️ Wahrscheinlichkeit'!$D$17:$D$21),0),0)</f>
        <v>0</v>
      </c>
      <c r="AK611" s="1" t="str">
        <f aca="false">IF(AND(R611="WON",ISNUMBER(I611)),AL611+(861-ROW())*0.000001,"")</f>
        <v/>
      </c>
      <c r="AL611" s="1" t="n">
        <f aca="false">IFERROR(I611*1,0)</f>
        <v>0</v>
      </c>
      <c r="AM611" s="1" t="n">
        <f aca="false">N(AM610)+IF(AND(R611="WON",B611&lt;&gt;""),1,0)</f>
        <v>12</v>
      </c>
      <c r="AN611" s="1" t="n">
        <f aca="false">N(AN610)+IF(AND(OR(R611="offered",R611="to be offered",R611="on hold"),B611&lt;&gt;""),1,0)</f>
        <v>33</v>
      </c>
      <c r="AO611" s="1" t="n">
        <f aca="false">N(AO610)+IF(AND(OR(R611="follow-up",R611="Evaluation",R611="tbd",R611="In evaluation"),B611&lt;&gt;""),1,0)</f>
        <v>1</v>
      </c>
      <c r="AP611" s="1" t="n">
        <f aca="false">IF(B611="",0,IF(COUNTIF('⚖️ Wahrscheinlichkeit'!$J$17:$J$24,R611)&gt;0,1,0))</f>
        <v>0</v>
      </c>
      <c r="AQ611" s="1" t="n">
        <f aca="false">IF(B611="",0,IF(AND(ISNUMBER(S611),COUNTIF('⚖️ Wahrscheinlichkeit'!$B$6:$B$11,S611)&gt;0),1,0))</f>
        <v>0</v>
      </c>
      <c r="AR611" s="1" t="n">
        <f aca="false">IF(B611="",0,IF(AND(COUNT(J611:M611)=4,SUM(J611:M611)&gt;0),1,0))</f>
        <v>0</v>
      </c>
      <c r="AS611" s="1" t="n">
        <f aca="false">IF(B611="",0,IF(AND(AF611&lt;&gt;"",AG611&lt;&gt;""),1,0))</f>
        <v>0</v>
      </c>
      <c r="AT611" s="1" t="n">
        <f aca="false">IF(AND(R611="WON",AS611=1,AR611=1),1,0)</f>
        <v>0</v>
      </c>
      <c r="AU611" s="1" t="n">
        <f aca="false">IF(B611="",0,IF(AD611="Alternative – zählt nicht",0,1))</f>
        <v>0</v>
      </c>
      <c r="AV611" s="1" t="n">
        <f aca="false">IF(B611="",0,IF(COUNTIF($B$6:$B$860,B611)&gt;1,1,0))</f>
        <v>0</v>
      </c>
      <c r="AX611" s="269" t="str">
        <f aca="false">IF(AY611=1,DATE(YEAR(O611),MONTH(O611),1),"")</f>
        <v/>
      </c>
      <c r="AY611" s="1" t="n">
        <f aca="false">IF(B611="",0,IF(AND(ISNUMBER(O611),ISNUMBER(P611)),IF(P611&gt;=O611,1,0),0))</f>
        <v>0</v>
      </c>
      <c r="AZ611" s="1" t="n">
        <f aca="false">IF(ISNUMBER(Y611),Y611,0)</f>
        <v>0</v>
      </c>
      <c r="BA611" s="1" t="str">
        <f aca="false">IF(B611="","",IF(AND(R611="WON",AS611=0),"⛔ Beleg fehlt · ","")&amp;IF(AND(R611="WON",AR611=0),"⛔ Einstand fehlt · ","")&amp;IF(AND(R611&lt;&gt;"WON",AR611=0),"○ Einstand offen · ","")&amp;IF(AND(R611="WON",AB611=""),"⛔ Vertragsart fehlt · ","")&amp;IF(AND(ISNUMBER(O611),ISNUMBER(P611)),IF(P611&lt;O611,"⚠ Ende vor Start · ",""),"")&amp;IF(AND(R611="WON",AY611=0,NOT(AND(ISNUMBER(O611),ISNUMBER(P611)))),"⛔ Zeitraum fehlt · ","")&amp;IF(AND(R611&lt;&gt;"WON",AY611=0,NOT(AND(ISNUMBER(O611),ISNUMBER(P611)))),"○ Zeitraum offen · ",""))</f>
        <v/>
      </c>
      <c r="BB611" s="1" t="str">
        <f aca="false">IF(B611="","",IF(AND(R611="WON",AS611=0),"⛔ Nachweis fehlt",IF(AND(ISNUMBER(O611),ISNUMBER(P611),P611&lt;O611),"⚠ Ende vor Start",IF(AND(R611="WON",AY611=0),"⛔ Zeitraum fehlt",IF(AR611=0,"○ Einstand offen",IF(AY611=0,"○ Zeitraum offen",IF(R611="WON","✅ belegt","✔ erfasst")))))))</f>
        <v/>
      </c>
    </row>
    <row r="612" customFormat="false" ht="15" hidden="false" customHeight="true" outlineLevel="0" collapsed="false">
      <c r="G612" s="1" t="str">
        <f aca="false">IF(B612="","",IF(AY612=1,P612-O612+1,IF(AW612="","",AW612)))</f>
        <v/>
      </c>
      <c r="I612" s="270"/>
      <c r="J612" s="270"/>
      <c r="K612" s="270"/>
      <c r="L612" s="270"/>
      <c r="M612" s="270"/>
      <c r="N612" s="270"/>
      <c r="O612" s="263"/>
      <c r="P612" s="263"/>
      <c r="Q612" s="270" t="str">
        <f aca="false">IF(AND(ISNUMBER(I612),ISNUMBER(S612)),I612*AJ612,IF(OR(I612&lt;&gt;"",S612&lt;&gt;""),"tbd",""))</f>
        <v/>
      </c>
      <c r="S612" s="268"/>
      <c r="Y612" s="275" t="str">
        <f aca="false">IF(ISNUMBER(I612),I612/Netto_Faktor,"")</f>
        <v/>
      </c>
      <c r="Z612" s="275" t="str">
        <f aca="false">IF(B612="","",IF(COUNT(J612:N612)=0,"",SUM(J612:N612)))</f>
        <v/>
      </c>
      <c r="AA612" s="266"/>
      <c r="AB612" s="266"/>
      <c r="AC612" s="266"/>
      <c r="AD612" s="266"/>
      <c r="AE612" s="266"/>
      <c r="AF612" s="266"/>
      <c r="AG612" s="267"/>
      <c r="AH612" s="266" t="str">
        <f aca="false">IF(B612="","",IF(BA612="",IF(R612="WON","✅ belegt &amp; vollständig","✔ vollständig"),LEFT(BA612,LEN(BA612)-3)))</f>
        <v/>
      </c>
      <c r="AJ612" s="268" t="n">
        <f aca="false">IF(ISNUMBER(S612),IFERROR(LOOKUP(IF(S612&lt;=1,S612,S612/100),'⚖️ Wahrscheinlichkeit'!$B$17:$B$21,'⚖️ Wahrscheinlichkeit'!$D$17:$D$21),0),0)</f>
        <v>0</v>
      </c>
      <c r="AK612" s="1" t="str">
        <f aca="false">IF(AND(R612="WON",ISNUMBER(I612)),AL612+(861-ROW())*0.000001,"")</f>
        <v/>
      </c>
      <c r="AL612" s="1" t="n">
        <f aca="false">IFERROR(I612*1,0)</f>
        <v>0</v>
      </c>
      <c r="AM612" s="1" t="n">
        <f aca="false">N(AM611)+IF(AND(R612="WON",B612&lt;&gt;""),1,0)</f>
        <v>12</v>
      </c>
      <c r="AN612" s="1" t="n">
        <f aca="false">N(AN611)+IF(AND(OR(R612="offered",R612="to be offered",R612="on hold"),B612&lt;&gt;""),1,0)</f>
        <v>33</v>
      </c>
      <c r="AO612" s="1" t="n">
        <f aca="false">N(AO611)+IF(AND(OR(R612="follow-up",R612="Evaluation",R612="tbd",R612="In evaluation"),B612&lt;&gt;""),1,0)</f>
        <v>1</v>
      </c>
      <c r="AP612" s="1" t="n">
        <f aca="false">IF(B612="",0,IF(COUNTIF('⚖️ Wahrscheinlichkeit'!$J$17:$J$24,R612)&gt;0,1,0))</f>
        <v>0</v>
      </c>
      <c r="AQ612" s="1" t="n">
        <f aca="false">IF(B612="",0,IF(AND(ISNUMBER(S612),COUNTIF('⚖️ Wahrscheinlichkeit'!$B$6:$B$11,S612)&gt;0),1,0))</f>
        <v>0</v>
      </c>
      <c r="AR612" s="1" t="n">
        <f aca="false">IF(B612="",0,IF(AND(COUNT(J612:M612)=4,SUM(J612:M612)&gt;0),1,0))</f>
        <v>0</v>
      </c>
      <c r="AS612" s="1" t="n">
        <f aca="false">IF(B612="",0,IF(AND(AF612&lt;&gt;"",AG612&lt;&gt;""),1,0))</f>
        <v>0</v>
      </c>
      <c r="AT612" s="1" t="n">
        <f aca="false">IF(AND(R612="WON",AS612=1,AR612=1),1,0)</f>
        <v>0</v>
      </c>
      <c r="AU612" s="1" t="n">
        <f aca="false">IF(B612="",0,IF(AD612="Alternative – zählt nicht",0,1))</f>
        <v>0</v>
      </c>
      <c r="AV612" s="1" t="n">
        <f aca="false">IF(B612="",0,IF(COUNTIF($B$6:$B$860,B612)&gt;1,1,0))</f>
        <v>0</v>
      </c>
      <c r="AX612" s="269" t="str">
        <f aca="false">IF(AY612=1,DATE(YEAR(O612),MONTH(O612),1),"")</f>
        <v/>
      </c>
      <c r="AY612" s="1" t="n">
        <f aca="false">IF(B612="",0,IF(AND(ISNUMBER(O612),ISNUMBER(P612)),IF(P612&gt;=O612,1,0),0))</f>
        <v>0</v>
      </c>
      <c r="AZ612" s="1" t="n">
        <f aca="false">IF(ISNUMBER(Y612),Y612,0)</f>
        <v>0</v>
      </c>
      <c r="BA612" s="1" t="str">
        <f aca="false">IF(B612="","",IF(AND(R612="WON",AS612=0),"⛔ Beleg fehlt · ","")&amp;IF(AND(R612="WON",AR612=0),"⛔ Einstand fehlt · ","")&amp;IF(AND(R612&lt;&gt;"WON",AR612=0),"○ Einstand offen · ","")&amp;IF(AND(R612="WON",AB612=""),"⛔ Vertragsart fehlt · ","")&amp;IF(AND(ISNUMBER(O612),ISNUMBER(P612)),IF(P612&lt;O612,"⚠ Ende vor Start · ",""),"")&amp;IF(AND(R612="WON",AY612=0,NOT(AND(ISNUMBER(O612),ISNUMBER(P612)))),"⛔ Zeitraum fehlt · ","")&amp;IF(AND(R612&lt;&gt;"WON",AY612=0,NOT(AND(ISNUMBER(O612),ISNUMBER(P612)))),"○ Zeitraum offen · ",""))</f>
        <v/>
      </c>
      <c r="BB612" s="1" t="str">
        <f aca="false">IF(B612="","",IF(AND(R612="WON",AS612=0),"⛔ Nachweis fehlt",IF(AND(ISNUMBER(O612),ISNUMBER(P612),P612&lt;O612),"⚠ Ende vor Start",IF(AND(R612="WON",AY612=0),"⛔ Zeitraum fehlt",IF(AR612=0,"○ Einstand offen",IF(AY612=0,"○ Zeitraum offen",IF(R612="WON","✅ belegt","✔ erfasst")))))))</f>
        <v/>
      </c>
    </row>
    <row r="613" customFormat="false" ht="15" hidden="false" customHeight="true" outlineLevel="0" collapsed="false">
      <c r="G613" s="1" t="str">
        <f aca="false">IF(B613="","",IF(AY613=1,P613-O613+1,IF(AW613="","",AW613)))</f>
        <v/>
      </c>
      <c r="I613" s="270"/>
      <c r="J613" s="270"/>
      <c r="K613" s="270"/>
      <c r="L613" s="270"/>
      <c r="M613" s="270"/>
      <c r="N613" s="270"/>
      <c r="O613" s="263"/>
      <c r="P613" s="263"/>
      <c r="Q613" s="270" t="str">
        <f aca="false">IF(AND(ISNUMBER(I613),ISNUMBER(S613)),I613*AJ613,IF(OR(I613&lt;&gt;"",S613&lt;&gt;""),"tbd",""))</f>
        <v/>
      </c>
      <c r="S613" s="268"/>
      <c r="Y613" s="275" t="str">
        <f aca="false">IF(ISNUMBER(I613),I613/Netto_Faktor,"")</f>
        <v/>
      </c>
      <c r="Z613" s="275" t="str">
        <f aca="false">IF(B613="","",IF(COUNT(J613:N613)=0,"",SUM(J613:N613)))</f>
        <v/>
      </c>
      <c r="AA613" s="266"/>
      <c r="AB613" s="266"/>
      <c r="AC613" s="266"/>
      <c r="AD613" s="266"/>
      <c r="AE613" s="266"/>
      <c r="AF613" s="266"/>
      <c r="AG613" s="267"/>
      <c r="AH613" s="266" t="str">
        <f aca="false">IF(B613="","",IF(BA613="",IF(R613="WON","✅ belegt &amp; vollständig","✔ vollständig"),LEFT(BA613,LEN(BA613)-3)))</f>
        <v/>
      </c>
      <c r="AJ613" s="268" t="n">
        <f aca="false">IF(ISNUMBER(S613),IFERROR(LOOKUP(IF(S613&lt;=1,S613,S613/100),'⚖️ Wahrscheinlichkeit'!$B$17:$B$21,'⚖️ Wahrscheinlichkeit'!$D$17:$D$21),0),0)</f>
        <v>0</v>
      </c>
      <c r="AK613" s="1" t="str">
        <f aca="false">IF(AND(R613="WON",ISNUMBER(I613)),AL613+(861-ROW())*0.000001,"")</f>
        <v/>
      </c>
      <c r="AL613" s="1" t="n">
        <f aca="false">IFERROR(I613*1,0)</f>
        <v>0</v>
      </c>
      <c r="AM613" s="1" t="n">
        <f aca="false">N(AM612)+IF(AND(R613="WON",B613&lt;&gt;""),1,0)</f>
        <v>12</v>
      </c>
      <c r="AN613" s="1" t="n">
        <f aca="false">N(AN612)+IF(AND(OR(R613="offered",R613="to be offered",R613="on hold"),B613&lt;&gt;""),1,0)</f>
        <v>33</v>
      </c>
      <c r="AO613" s="1" t="n">
        <f aca="false">N(AO612)+IF(AND(OR(R613="follow-up",R613="Evaluation",R613="tbd",R613="In evaluation"),B613&lt;&gt;""),1,0)</f>
        <v>1</v>
      </c>
      <c r="AP613" s="1" t="n">
        <f aca="false">IF(B613="",0,IF(COUNTIF('⚖️ Wahrscheinlichkeit'!$J$17:$J$24,R613)&gt;0,1,0))</f>
        <v>0</v>
      </c>
      <c r="AQ613" s="1" t="n">
        <f aca="false">IF(B613="",0,IF(AND(ISNUMBER(S613),COUNTIF('⚖️ Wahrscheinlichkeit'!$B$6:$B$11,S613)&gt;0),1,0))</f>
        <v>0</v>
      </c>
      <c r="AR613" s="1" t="n">
        <f aca="false">IF(B613="",0,IF(AND(COUNT(J613:M613)=4,SUM(J613:M613)&gt;0),1,0))</f>
        <v>0</v>
      </c>
      <c r="AS613" s="1" t="n">
        <f aca="false">IF(B613="",0,IF(AND(AF613&lt;&gt;"",AG613&lt;&gt;""),1,0))</f>
        <v>0</v>
      </c>
      <c r="AT613" s="1" t="n">
        <f aca="false">IF(AND(R613="WON",AS613=1,AR613=1),1,0)</f>
        <v>0</v>
      </c>
      <c r="AU613" s="1" t="n">
        <f aca="false">IF(B613="",0,IF(AD613="Alternative – zählt nicht",0,1))</f>
        <v>0</v>
      </c>
      <c r="AV613" s="1" t="n">
        <f aca="false">IF(B613="",0,IF(COUNTIF($B$6:$B$860,B613)&gt;1,1,0))</f>
        <v>0</v>
      </c>
      <c r="AX613" s="269" t="str">
        <f aca="false">IF(AY613=1,DATE(YEAR(O613),MONTH(O613),1),"")</f>
        <v/>
      </c>
      <c r="AY613" s="1" t="n">
        <f aca="false">IF(B613="",0,IF(AND(ISNUMBER(O613),ISNUMBER(P613)),IF(P613&gt;=O613,1,0),0))</f>
        <v>0</v>
      </c>
      <c r="AZ613" s="1" t="n">
        <f aca="false">IF(ISNUMBER(Y613),Y613,0)</f>
        <v>0</v>
      </c>
      <c r="BA613" s="1" t="str">
        <f aca="false">IF(B613="","",IF(AND(R613="WON",AS613=0),"⛔ Beleg fehlt · ","")&amp;IF(AND(R613="WON",AR613=0),"⛔ Einstand fehlt · ","")&amp;IF(AND(R613&lt;&gt;"WON",AR613=0),"○ Einstand offen · ","")&amp;IF(AND(R613="WON",AB613=""),"⛔ Vertragsart fehlt · ","")&amp;IF(AND(ISNUMBER(O613),ISNUMBER(P613)),IF(P613&lt;O613,"⚠ Ende vor Start · ",""),"")&amp;IF(AND(R613="WON",AY613=0,NOT(AND(ISNUMBER(O613),ISNUMBER(P613)))),"⛔ Zeitraum fehlt · ","")&amp;IF(AND(R613&lt;&gt;"WON",AY613=0,NOT(AND(ISNUMBER(O613),ISNUMBER(P613)))),"○ Zeitraum offen · ",""))</f>
        <v/>
      </c>
      <c r="BB613" s="1" t="str">
        <f aca="false">IF(B613="","",IF(AND(R613="WON",AS613=0),"⛔ Nachweis fehlt",IF(AND(ISNUMBER(O613),ISNUMBER(P613),P613&lt;O613),"⚠ Ende vor Start",IF(AND(R613="WON",AY613=0),"⛔ Zeitraum fehlt",IF(AR613=0,"○ Einstand offen",IF(AY613=0,"○ Zeitraum offen",IF(R613="WON","✅ belegt","✔ erfasst")))))))</f>
        <v/>
      </c>
    </row>
    <row r="614" customFormat="false" ht="15" hidden="false" customHeight="true" outlineLevel="0" collapsed="false">
      <c r="G614" s="1" t="str">
        <f aca="false">IF(B614="","",IF(AY614=1,P614-O614+1,IF(AW614="","",AW614)))</f>
        <v/>
      </c>
      <c r="I614" s="270"/>
      <c r="J614" s="270"/>
      <c r="K614" s="270"/>
      <c r="L614" s="270"/>
      <c r="M614" s="270"/>
      <c r="N614" s="270"/>
      <c r="O614" s="263"/>
      <c r="P614" s="263"/>
      <c r="Q614" s="270" t="str">
        <f aca="false">IF(AND(ISNUMBER(I614),ISNUMBER(S614)),I614*AJ614,IF(OR(I614&lt;&gt;"",S614&lt;&gt;""),"tbd",""))</f>
        <v/>
      </c>
      <c r="S614" s="268"/>
      <c r="Y614" s="275" t="str">
        <f aca="false">IF(ISNUMBER(I614),I614/Netto_Faktor,"")</f>
        <v/>
      </c>
      <c r="Z614" s="275" t="str">
        <f aca="false">IF(B614="","",IF(COUNT(J614:N614)=0,"",SUM(J614:N614)))</f>
        <v/>
      </c>
      <c r="AA614" s="266"/>
      <c r="AB614" s="266"/>
      <c r="AC614" s="266"/>
      <c r="AD614" s="266"/>
      <c r="AE614" s="266"/>
      <c r="AF614" s="266"/>
      <c r="AG614" s="267"/>
      <c r="AH614" s="266" t="str">
        <f aca="false">IF(B614="","",IF(BA614="",IF(R614="WON","✅ belegt &amp; vollständig","✔ vollständig"),LEFT(BA614,LEN(BA614)-3)))</f>
        <v/>
      </c>
      <c r="AJ614" s="268" t="n">
        <f aca="false">IF(ISNUMBER(S614),IFERROR(LOOKUP(IF(S614&lt;=1,S614,S614/100),'⚖️ Wahrscheinlichkeit'!$B$17:$B$21,'⚖️ Wahrscheinlichkeit'!$D$17:$D$21),0),0)</f>
        <v>0</v>
      </c>
      <c r="AK614" s="1" t="str">
        <f aca="false">IF(AND(R614="WON",ISNUMBER(I614)),AL614+(861-ROW())*0.000001,"")</f>
        <v/>
      </c>
      <c r="AL614" s="1" t="n">
        <f aca="false">IFERROR(I614*1,0)</f>
        <v>0</v>
      </c>
      <c r="AM614" s="1" t="n">
        <f aca="false">N(AM613)+IF(AND(R614="WON",B614&lt;&gt;""),1,0)</f>
        <v>12</v>
      </c>
      <c r="AN614" s="1" t="n">
        <f aca="false">N(AN613)+IF(AND(OR(R614="offered",R614="to be offered",R614="on hold"),B614&lt;&gt;""),1,0)</f>
        <v>33</v>
      </c>
      <c r="AO614" s="1" t="n">
        <f aca="false">N(AO613)+IF(AND(OR(R614="follow-up",R614="Evaluation",R614="tbd",R614="In evaluation"),B614&lt;&gt;""),1,0)</f>
        <v>1</v>
      </c>
      <c r="AP614" s="1" t="n">
        <f aca="false">IF(B614="",0,IF(COUNTIF('⚖️ Wahrscheinlichkeit'!$J$17:$J$24,R614)&gt;0,1,0))</f>
        <v>0</v>
      </c>
      <c r="AQ614" s="1" t="n">
        <f aca="false">IF(B614="",0,IF(AND(ISNUMBER(S614),COUNTIF('⚖️ Wahrscheinlichkeit'!$B$6:$B$11,S614)&gt;0),1,0))</f>
        <v>0</v>
      </c>
      <c r="AR614" s="1" t="n">
        <f aca="false">IF(B614="",0,IF(AND(COUNT(J614:M614)=4,SUM(J614:M614)&gt;0),1,0))</f>
        <v>0</v>
      </c>
      <c r="AS614" s="1" t="n">
        <f aca="false">IF(B614="",0,IF(AND(AF614&lt;&gt;"",AG614&lt;&gt;""),1,0))</f>
        <v>0</v>
      </c>
      <c r="AT614" s="1" t="n">
        <f aca="false">IF(AND(R614="WON",AS614=1,AR614=1),1,0)</f>
        <v>0</v>
      </c>
      <c r="AU614" s="1" t="n">
        <f aca="false">IF(B614="",0,IF(AD614="Alternative – zählt nicht",0,1))</f>
        <v>0</v>
      </c>
      <c r="AV614" s="1" t="n">
        <f aca="false">IF(B614="",0,IF(COUNTIF($B$6:$B$860,B614)&gt;1,1,0))</f>
        <v>0</v>
      </c>
      <c r="AX614" s="269" t="str">
        <f aca="false">IF(AY614=1,DATE(YEAR(O614),MONTH(O614),1),"")</f>
        <v/>
      </c>
      <c r="AY614" s="1" t="n">
        <f aca="false">IF(B614="",0,IF(AND(ISNUMBER(O614),ISNUMBER(P614)),IF(P614&gt;=O614,1,0),0))</f>
        <v>0</v>
      </c>
      <c r="AZ614" s="1" t="n">
        <f aca="false">IF(ISNUMBER(Y614),Y614,0)</f>
        <v>0</v>
      </c>
      <c r="BA614" s="1" t="str">
        <f aca="false">IF(B614="","",IF(AND(R614="WON",AS614=0),"⛔ Beleg fehlt · ","")&amp;IF(AND(R614="WON",AR614=0),"⛔ Einstand fehlt · ","")&amp;IF(AND(R614&lt;&gt;"WON",AR614=0),"○ Einstand offen · ","")&amp;IF(AND(R614="WON",AB614=""),"⛔ Vertragsart fehlt · ","")&amp;IF(AND(ISNUMBER(O614),ISNUMBER(P614)),IF(P614&lt;O614,"⚠ Ende vor Start · ",""),"")&amp;IF(AND(R614="WON",AY614=0,NOT(AND(ISNUMBER(O614),ISNUMBER(P614)))),"⛔ Zeitraum fehlt · ","")&amp;IF(AND(R614&lt;&gt;"WON",AY614=0,NOT(AND(ISNUMBER(O614),ISNUMBER(P614)))),"○ Zeitraum offen · ",""))</f>
        <v/>
      </c>
      <c r="BB614" s="1" t="str">
        <f aca="false">IF(B614="","",IF(AND(R614="WON",AS614=0),"⛔ Nachweis fehlt",IF(AND(ISNUMBER(O614),ISNUMBER(P614),P614&lt;O614),"⚠ Ende vor Start",IF(AND(R614="WON",AY614=0),"⛔ Zeitraum fehlt",IF(AR614=0,"○ Einstand offen",IF(AY614=0,"○ Zeitraum offen",IF(R614="WON","✅ belegt","✔ erfasst")))))))</f>
        <v/>
      </c>
    </row>
    <row r="615" customFormat="false" ht="15" hidden="false" customHeight="true" outlineLevel="0" collapsed="false">
      <c r="G615" s="1" t="str">
        <f aca="false">IF(B615="","",IF(AY615=1,P615-O615+1,IF(AW615="","",AW615)))</f>
        <v/>
      </c>
      <c r="I615" s="270"/>
      <c r="J615" s="270"/>
      <c r="K615" s="270"/>
      <c r="L615" s="270"/>
      <c r="M615" s="270"/>
      <c r="N615" s="270"/>
      <c r="O615" s="263"/>
      <c r="P615" s="263"/>
      <c r="Q615" s="270" t="str">
        <f aca="false">IF(AND(ISNUMBER(I615),ISNUMBER(S615)),I615*AJ615,IF(OR(I615&lt;&gt;"",S615&lt;&gt;""),"tbd",""))</f>
        <v/>
      </c>
      <c r="S615" s="268"/>
      <c r="Y615" s="275" t="str">
        <f aca="false">IF(ISNUMBER(I615),I615/Netto_Faktor,"")</f>
        <v/>
      </c>
      <c r="Z615" s="275" t="str">
        <f aca="false">IF(B615="","",IF(COUNT(J615:N615)=0,"",SUM(J615:N615)))</f>
        <v/>
      </c>
      <c r="AA615" s="266"/>
      <c r="AB615" s="266"/>
      <c r="AC615" s="266"/>
      <c r="AD615" s="266"/>
      <c r="AE615" s="266"/>
      <c r="AF615" s="266"/>
      <c r="AG615" s="267"/>
      <c r="AH615" s="266" t="str">
        <f aca="false">IF(B615="","",IF(BA615="",IF(R615="WON","✅ belegt &amp; vollständig","✔ vollständig"),LEFT(BA615,LEN(BA615)-3)))</f>
        <v/>
      </c>
      <c r="AJ615" s="268" t="n">
        <f aca="false">IF(ISNUMBER(S615),IFERROR(LOOKUP(IF(S615&lt;=1,S615,S615/100),'⚖️ Wahrscheinlichkeit'!$B$17:$B$21,'⚖️ Wahrscheinlichkeit'!$D$17:$D$21),0),0)</f>
        <v>0</v>
      </c>
      <c r="AK615" s="1" t="str">
        <f aca="false">IF(AND(R615="WON",ISNUMBER(I615)),AL615+(861-ROW())*0.000001,"")</f>
        <v/>
      </c>
      <c r="AL615" s="1" t="n">
        <f aca="false">IFERROR(I615*1,0)</f>
        <v>0</v>
      </c>
      <c r="AM615" s="1" t="n">
        <f aca="false">N(AM614)+IF(AND(R615="WON",B615&lt;&gt;""),1,0)</f>
        <v>12</v>
      </c>
      <c r="AN615" s="1" t="n">
        <f aca="false">N(AN614)+IF(AND(OR(R615="offered",R615="to be offered",R615="on hold"),B615&lt;&gt;""),1,0)</f>
        <v>33</v>
      </c>
      <c r="AO615" s="1" t="n">
        <f aca="false">N(AO614)+IF(AND(OR(R615="follow-up",R615="Evaluation",R615="tbd",R615="In evaluation"),B615&lt;&gt;""),1,0)</f>
        <v>1</v>
      </c>
      <c r="AP615" s="1" t="n">
        <f aca="false">IF(B615="",0,IF(COUNTIF('⚖️ Wahrscheinlichkeit'!$J$17:$J$24,R615)&gt;0,1,0))</f>
        <v>0</v>
      </c>
      <c r="AQ615" s="1" t="n">
        <f aca="false">IF(B615="",0,IF(AND(ISNUMBER(S615),COUNTIF('⚖️ Wahrscheinlichkeit'!$B$6:$B$11,S615)&gt;0),1,0))</f>
        <v>0</v>
      </c>
      <c r="AR615" s="1" t="n">
        <f aca="false">IF(B615="",0,IF(AND(COUNT(J615:M615)=4,SUM(J615:M615)&gt;0),1,0))</f>
        <v>0</v>
      </c>
      <c r="AS615" s="1" t="n">
        <f aca="false">IF(B615="",0,IF(AND(AF615&lt;&gt;"",AG615&lt;&gt;""),1,0))</f>
        <v>0</v>
      </c>
      <c r="AT615" s="1" t="n">
        <f aca="false">IF(AND(R615="WON",AS615=1,AR615=1),1,0)</f>
        <v>0</v>
      </c>
      <c r="AU615" s="1" t="n">
        <f aca="false">IF(B615="",0,IF(AD615="Alternative – zählt nicht",0,1))</f>
        <v>0</v>
      </c>
      <c r="AV615" s="1" t="n">
        <f aca="false">IF(B615="",0,IF(COUNTIF($B$6:$B$860,B615)&gt;1,1,0))</f>
        <v>0</v>
      </c>
      <c r="AX615" s="269" t="str">
        <f aca="false">IF(AY615=1,DATE(YEAR(O615),MONTH(O615),1),"")</f>
        <v/>
      </c>
      <c r="AY615" s="1" t="n">
        <f aca="false">IF(B615="",0,IF(AND(ISNUMBER(O615),ISNUMBER(P615)),IF(P615&gt;=O615,1,0),0))</f>
        <v>0</v>
      </c>
      <c r="AZ615" s="1" t="n">
        <f aca="false">IF(ISNUMBER(Y615),Y615,0)</f>
        <v>0</v>
      </c>
      <c r="BA615" s="1" t="str">
        <f aca="false">IF(B615="","",IF(AND(R615="WON",AS615=0),"⛔ Beleg fehlt · ","")&amp;IF(AND(R615="WON",AR615=0),"⛔ Einstand fehlt · ","")&amp;IF(AND(R615&lt;&gt;"WON",AR615=0),"○ Einstand offen · ","")&amp;IF(AND(R615="WON",AB615=""),"⛔ Vertragsart fehlt · ","")&amp;IF(AND(ISNUMBER(O615),ISNUMBER(P615)),IF(P615&lt;O615,"⚠ Ende vor Start · ",""),"")&amp;IF(AND(R615="WON",AY615=0,NOT(AND(ISNUMBER(O615),ISNUMBER(P615)))),"⛔ Zeitraum fehlt · ","")&amp;IF(AND(R615&lt;&gt;"WON",AY615=0,NOT(AND(ISNUMBER(O615),ISNUMBER(P615)))),"○ Zeitraum offen · ",""))</f>
        <v/>
      </c>
      <c r="BB615" s="1" t="str">
        <f aca="false">IF(B615="","",IF(AND(R615="WON",AS615=0),"⛔ Nachweis fehlt",IF(AND(ISNUMBER(O615),ISNUMBER(P615),P615&lt;O615),"⚠ Ende vor Start",IF(AND(R615="WON",AY615=0),"⛔ Zeitraum fehlt",IF(AR615=0,"○ Einstand offen",IF(AY615=0,"○ Zeitraum offen",IF(R615="WON","✅ belegt","✔ erfasst")))))))</f>
        <v/>
      </c>
    </row>
    <row r="616" customFormat="false" ht="15" hidden="false" customHeight="true" outlineLevel="0" collapsed="false">
      <c r="G616" s="1" t="str">
        <f aca="false">IF(B616="","",IF(AY616=1,P616-O616+1,IF(AW616="","",AW616)))</f>
        <v/>
      </c>
      <c r="I616" s="270"/>
      <c r="J616" s="270"/>
      <c r="K616" s="270"/>
      <c r="L616" s="270"/>
      <c r="M616" s="270"/>
      <c r="N616" s="270"/>
      <c r="O616" s="263"/>
      <c r="P616" s="263"/>
      <c r="Q616" s="270" t="str">
        <f aca="false">IF(AND(ISNUMBER(I616),ISNUMBER(S616)),I616*AJ616,IF(OR(I616&lt;&gt;"",S616&lt;&gt;""),"tbd",""))</f>
        <v/>
      </c>
      <c r="S616" s="268"/>
      <c r="Y616" s="275" t="str">
        <f aca="false">IF(ISNUMBER(I616),I616/Netto_Faktor,"")</f>
        <v/>
      </c>
      <c r="Z616" s="275" t="str">
        <f aca="false">IF(B616="","",IF(COUNT(J616:N616)=0,"",SUM(J616:N616)))</f>
        <v/>
      </c>
      <c r="AA616" s="266"/>
      <c r="AB616" s="266"/>
      <c r="AC616" s="266"/>
      <c r="AD616" s="266"/>
      <c r="AE616" s="266"/>
      <c r="AF616" s="266"/>
      <c r="AG616" s="267"/>
      <c r="AH616" s="266" t="str">
        <f aca="false">IF(B616="","",IF(BA616="",IF(R616="WON","✅ belegt &amp; vollständig","✔ vollständig"),LEFT(BA616,LEN(BA616)-3)))</f>
        <v/>
      </c>
      <c r="AJ616" s="268" t="n">
        <f aca="false">IF(ISNUMBER(S616),IFERROR(LOOKUP(IF(S616&lt;=1,S616,S616/100),'⚖️ Wahrscheinlichkeit'!$B$17:$B$21,'⚖️ Wahrscheinlichkeit'!$D$17:$D$21),0),0)</f>
        <v>0</v>
      </c>
      <c r="AK616" s="1" t="str">
        <f aca="false">IF(AND(R616="WON",ISNUMBER(I616)),AL616+(861-ROW())*0.000001,"")</f>
        <v/>
      </c>
      <c r="AL616" s="1" t="n">
        <f aca="false">IFERROR(I616*1,0)</f>
        <v>0</v>
      </c>
      <c r="AM616" s="1" t="n">
        <f aca="false">N(AM615)+IF(AND(R616="WON",B616&lt;&gt;""),1,0)</f>
        <v>12</v>
      </c>
      <c r="AN616" s="1" t="n">
        <f aca="false">N(AN615)+IF(AND(OR(R616="offered",R616="to be offered",R616="on hold"),B616&lt;&gt;""),1,0)</f>
        <v>33</v>
      </c>
      <c r="AO616" s="1" t="n">
        <f aca="false">N(AO615)+IF(AND(OR(R616="follow-up",R616="Evaluation",R616="tbd",R616="In evaluation"),B616&lt;&gt;""),1,0)</f>
        <v>1</v>
      </c>
      <c r="AP616" s="1" t="n">
        <f aca="false">IF(B616="",0,IF(COUNTIF('⚖️ Wahrscheinlichkeit'!$J$17:$J$24,R616)&gt;0,1,0))</f>
        <v>0</v>
      </c>
      <c r="AQ616" s="1" t="n">
        <f aca="false">IF(B616="",0,IF(AND(ISNUMBER(S616),COUNTIF('⚖️ Wahrscheinlichkeit'!$B$6:$B$11,S616)&gt;0),1,0))</f>
        <v>0</v>
      </c>
      <c r="AR616" s="1" t="n">
        <f aca="false">IF(B616="",0,IF(AND(COUNT(J616:M616)=4,SUM(J616:M616)&gt;0),1,0))</f>
        <v>0</v>
      </c>
      <c r="AS616" s="1" t="n">
        <f aca="false">IF(B616="",0,IF(AND(AF616&lt;&gt;"",AG616&lt;&gt;""),1,0))</f>
        <v>0</v>
      </c>
      <c r="AT616" s="1" t="n">
        <f aca="false">IF(AND(R616="WON",AS616=1,AR616=1),1,0)</f>
        <v>0</v>
      </c>
      <c r="AU616" s="1" t="n">
        <f aca="false">IF(B616="",0,IF(AD616="Alternative – zählt nicht",0,1))</f>
        <v>0</v>
      </c>
      <c r="AV616" s="1" t="n">
        <f aca="false">IF(B616="",0,IF(COUNTIF($B$6:$B$860,B616)&gt;1,1,0))</f>
        <v>0</v>
      </c>
      <c r="AX616" s="269" t="str">
        <f aca="false">IF(AY616=1,DATE(YEAR(O616),MONTH(O616),1),"")</f>
        <v/>
      </c>
      <c r="AY616" s="1" t="n">
        <f aca="false">IF(B616="",0,IF(AND(ISNUMBER(O616),ISNUMBER(P616)),IF(P616&gt;=O616,1,0),0))</f>
        <v>0</v>
      </c>
      <c r="AZ616" s="1" t="n">
        <f aca="false">IF(ISNUMBER(Y616),Y616,0)</f>
        <v>0</v>
      </c>
      <c r="BA616" s="1" t="str">
        <f aca="false">IF(B616="","",IF(AND(R616="WON",AS616=0),"⛔ Beleg fehlt · ","")&amp;IF(AND(R616="WON",AR616=0),"⛔ Einstand fehlt · ","")&amp;IF(AND(R616&lt;&gt;"WON",AR616=0),"○ Einstand offen · ","")&amp;IF(AND(R616="WON",AB616=""),"⛔ Vertragsart fehlt · ","")&amp;IF(AND(ISNUMBER(O616),ISNUMBER(P616)),IF(P616&lt;O616,"⚠ Ende vor Start · ",""),"")&amp;IF(AND(R616="WON",AY616=0,NOT(AND(ISNUMBER(O616),ISNUMBER(P616)))),"⛔ Zeitraum fehlt · ","")&amp;IF(AND(R616&lt;&gt;"WON",AY616=0,NOT(AND(ISNUMBER(O616),ISNUMBER(P616)))),"○ Zeitraum offen · ",""))</f>
        <v/>
      </c>
      <c r="BB616" s="1" t="str">
        <f aca="false">IF(B616="","",IF(AND(R616="WON",AS616=0),"⛔ Nachweis fehlt",IF(AND(ISNUMBER(O616),ISNUMBER(P616),P616&lt;O616),"⚠ Ende vor Start",IF(AND(R616="WON",AY616=0),"⛔ Zeitraum fehlt",IF(AR616=0,"○ Einstand offen",IF(AY616=0,"○ Zeitraum offen",IF(R616="WON","✅ belegt","✔ erfasst")))))))</f>
        <v/>
      </c>
    </row>
    <row r="617" customFormat="false" ht="15" hidden="false" customHeight="true" outlineLevel="0" collapsed="false">
      <c r="G617" s="1" t="str">
        <f aca="false">IF(B617="","",IF(AY617=1,P617-O617+1,IF(AW617="","",AW617)))</f>
        <v/>
      </c>
      <c r="I617" s="270"/>
      <c r="J617" s="270"/>
      <c r="K617" s="270"/>
      <c r="L617" s="270"/>
      <c r="M617" s="270"/>
      <c r="N617" s="270"/>
      <c r="O617" s="263"/>
      <c r="P617" s="263"/>
      <c r="Q617" s="270" t="str">
        <f aca="false">IF(AND(ISNUMBER(I617),ISNUMBER(S617)),I617*AJ617,IF(OR(I617&lt;&gt;"",S617&lt;&gt;""),"tbd",""))</f>
        <v/>
      </c>
      <c r="S617" s="268"/>
      <c r="Y617" s="275" t="str">
        <f aca="false">IF(ISNUMBER(I617),I617/Netto_Faktor,"")</f>
        <v/>
      </c>
      <c r="Z617" s="275" t="str">
        <f aca="false">IF(B617="","",IF(COUNT(J617:N617)=0,"",SUM(J617:N617)))</f>
        <v/>
      </c>
      <c r="AA617" s="266"/>
      <c r="AB617" s="266"/>
      <c r="AC617" s="266"/>
      <c r="AD617" s="266"/>
      <c r="AE617" s="266"/>
      <c r="AF617" s="266"/>
      <c r="AG617" s="267"/>
      <c r="AH617" s="266" t="str">
        <f aca="false">IF(B617="","",IF(BA617="",IF(R617="WON","✅ belegt &amp; vollständig","✔ vollständig"),LEFT(BA617,LEN(BA617)-3)))</f>
        <v/>
      </c>
      <c r="AJ617" s="268" t="n">
        <f aca="false">IF(ISNUMBER(S617),IFERROR(LOOKUP(IF(S617&lt;=1,S617,S617/100),'⚖️ Wahrscheinlichkeit'!$B$17:$B$21,'⚖️ Wahrscheinlichkeit'!$D$17:$D$21),0),0)</f>
        <v>0</v>
      </c>
      <c r="AK617" s="1" t="str">
        <f aca="false">IF(AND(R617="WON",ISNUMBER(I617)),AL617+(861-ROW())*0.000001,"")</f>
        <v/>
      </c>
      <c r="AL617" s="1" t="n">
        <f aca="false">IFERROR(I617*1,0)</f>
        <v>0</v>
      </c>
      <c r="AM617" s="1" t="n">
        <f aca="false">N(AM616)+IF(AND(R617="WON",B617&lt;&gt;""),1,0)</f>
        <v>12</v>
      </c>
      <c r="AN617" s="1" t="n">
        <f aca="false">N(AN616)+IF(AND(OR(R617="offered",R617="to be offered",R617="on hold"),B617&lt;&gt;""),1,0)</f>
        <v>33</v>
      </c>
      <c r="AO617" s="1" t="n">
        <f aca="false">N(AO616)+IF(AND(OR(R617="follow-up",R617="Evaluation",R617="tbd",R617="In evaluation"),B617&lt;&gt;""),1,0)</f>
        <v>1</v>
      </c>
      <c r="AP617" s="1" t="n">
        <f aca="false">IF(B617="",0,IF(COUNTIF('⚖️ Wahrscheinlichkeit'!$J$17:$J$24,R617)&gt;0,1,0))</f>
        <v>0</v>
      </c>
      <c r="AQ617" s="1" t="n">
        <f aca="false">IF(B617="",0,IF(AND(ISNUMBER(S617),COUNTIF('⚖️ Wahrscheinlichkeit'!$B$6:$B$11,S617)&gt;0),1,0))</f>
        <v>0</v>
      </c>
      <c r="AR617" s="1" t="n">
        <f aca="false">IF(B617="",0,IF(AND(COUNT(J617:M617)=4,SUM(J617:M617)&gt;0),1,0))</f>
        <v>0</v>
      </c>
      <c r="AS617" s="1" t="n">
        <f aca="false">IF(B617="",0,IF(AND(AF617&lt;&gt;"",AG617&lt;&gt;""),1,0))</f>
        <v>0</v>
      </c>
      <c r="AT617" s="1" t="n">
        <f aca="false">IF(AND(R617="WON",AS617=1,AR617=1),1,0)</f>
        <v>0</v>
      </c>
      <c r="AU617" s="1" t="n">
        <f aca="false">IF(B617="",0,IF(AD617="Alternative – zählt nicht",0,1))</f>
        <v>0</v>
      </c>
      <c r="AV617" s="1" t="n">
        <f aca="false">IF(B617="",0,IF(COUNTIF($B$6:$B$860,B617)&gt;1,1,0))</f>
        <v>0</v>
      </c>
      <c r="AX617" s="269" t="str">
        <f aca="false">IF(AY617=1,DATE(YEAR(O617),MONTH(O617),1),"")</f>
        <v/>
      </c>
      <c r="AY617" s="1" t="n">
        <f aca="false">IF(B617="",0,IF(AND(ISNUMBER(O617),ISNUMBER(P617)),IF(P617&gt;=O617,1,0),0))</f>
        <v>0</v>
      </c>
      <c r="AZ617" s="1" t="n">
        <f aca="false">IF(ISNUMBER(Y617),Y617,0)</f>
        <v>0</v>
      </c>
      <c r="BA617" s="1" t="str">
        <f aca="false">IF(B617="","",IF(AND(R617="WON",AS617=0),"⛔ Beleg fehlt · ","")&amp;IF(AND(R617="WON",AR617=0),"⛔ Einstand fehlt · ","")&amp;IF(AND(R617&lt;&gt;"WON",AR617=0),"○ Einstand offen · ","")&amp;IF(AND(R617="WON",AB617=""),"⛔ Vertragsart fehlt · ","")&amp;IF(AND(ISNUMBER(O617),ISNUMBER(P617)),IF(P617&lt;O617,"⚠ Ende vor Start · ",""),"")&amp;IF(AND(R617="WON",AY617=0,NOT(AND(ISNUMBER(O617),ISNUMBER(P617)))),"⛔ Zeitraum fehlt · ","")&amp;IF(AND(R617&lt;&gt;"WON",AY617=0,NOT(AND(ISNUMBER(O617),ISNUMBER(P617)))),"○ Zeitraum offen · ",""))</f>
        <v/>
      </c>
      <c r="BB617" s="1" t="str">
        <f aca="false">IF(B617="","",IF(AND(R617="WON",AS617=0),"⛔ Nachweis fehlt",IF(AND(ISNUMBER(O617),ISNUMBER(P617),P617&lt;O617),"⚠ Ende vor Start",IF(AND(R617="WON",AY617=0),"⛔ Zeitraum fehlt",IF(AR617=0,"○ Einstand offen",IF(AY617=0,"○ Zeitraum offen",IF(R617="WON","✅ belegt","✔ erfasst")))))))</f>
        <v/>
      </c>
    </row>
    <row r="618" customFormat="false" ht="15" hidden="false" customHeight="true" outlineLevel="0" collapsed="false">
      <c r="G618" s="1" t="str">
        <f aca="false">IF(B618="","",IF(AY618=1,P618-O618+1,IF(AW618="","",AW618)))</f>
        <v/>
      </c>
      <c r="I618" s="270"/>
      <c r="J618" s="270"/>
      <c r="K618" s="270"/>
      <c r="L618" s="270"/>
      <c r="M618" s="270"/>
      <c r="N618" s="270"/>
      <c r="O618" s="263"/>
      <c r="P618" s="263"/>
      <c r="Q618" s="270" t="str">
        <f aca="false">IF(AND(ISNUMBER(I618),ISNUMBER(S618)),I618*AJ618,IF(OR(I618&lt;&gt;"",S618&lt;&gt;""),"tbd",""))</f>
        <v/>
      </c>
      <c r="S618" s="268"/>
      <c r="Y618" s="275" t="str">
        <f aca="false">IF(ISNUMBER(I618),I618/Netto_Faktor,"")</f>
        <v/>
      </c>
      <c r="Z618" s="275" t="str">
        <f aca="false">IF(B618="","",IF(COUNT(J618:N618)=0,"",SUM(J618:N618)))</f>
        <v/>
      </c>
      <c r="AA618" s="266"/>
      <c r="AB618" s="266"/>
      <c r="AC618" s="266"/>
      <c r="AD618" s="266"/>
      <c r="AE618" s="266"/>
      <c r="AF618" s="266"/>
      <c r="AG618" s="267"/>
      <c r="AH618" s="266" t="str">
        <f aca="false">IF(B618="","",IF(BA618="",IF(R618="WON","✅ belegt &amp; vollständig","✔ vollständig"),LEFT(BA618,LEN(BA618)-3)))</f>
        <v/>
      </c>
      <c r="AJ618" s="268" t="n">
        <f aca="false">IF(ISNUMBER(S618),IFERROR(LOOKUP(IF(S618&lt;=1,S618,S618/100),'⚖️ Wahrscheinlichkeit'!$B$17:$B$21,'⚖️ Wahrscheinlichkeit'!$D$17:$D$21),0),0)</f>
        <v>0</v>
      </c>
      <c r="AK618" s="1" t="str">
        <f aca="false">IF(AND(R618="WON",ISNUMBER(I618)),AL618+(861-ROW())*0.000001,"")</f>
        <v/>
      </c>
      <c r="AL618" s="1" t="n">
        <f aca="false">IFERROR(I618*1,0)</f>
        <v>0</v>
      </c>
      <c r="AM618" s="1" t="n">
        <f aca="false">N(AM617)+IF(AND(R618="WON",B618&lt;&gt;""),1,0)</f>
        <v>12</v>
      </c>
      <c r="AN618" s="1" t="n">
        <f aca="false">N(AN617)+IF(AND(OR(R618="offered",R618="to be offered",R618="on hold"),B618&lt;&gt;""),1,0)</f>
        <v>33</v>
      </c>
      <c r="AO618" s="1" t="n">
        <f aca="false">N(AO617)+IF(AND(OR(R618="follow-up",R618="Evaluation",R618="tbd",R618="In evaluation"),B618&lt;&gt;""),1,0)</f>
        <v>1</v>
      </c>
      <c r="AP618" s="1" t="n">
        <f aca="false">IF(B618="",0,IF(COUNTIF('⚖️ Wahrscheinlichkeit'!$J$17:$J$24,R618)&gt;0,1,0))</f>
        <v>0</v>
      </c>
      <c r="AQ618" s="1" t="n">
        <f aca="false">IF(B618="",0,IF(AND(ISNUMBER(S618),COUNTIF('⚖️ Wahrscheinlichkeit'!$B$6:$B$11,S618)&gt;0),1,0))</f>
        <v>0</v>
      </c>
      <c r="AR618" s="1" t="n">
        <f aca="false">IF(B618="",0,IF(AND(COUNT(J618:M618)=4,SUM(J618:M618)&gt;0),1,0))</f>
        <v>0</v>
      </c>
      <c r="AS618" s="1" t="n">
        <f aca="false">IF(B618="",0,IF(AND(AF618&lt;&gt;"",AG618&lt;&gt;""),1,0))</f>
        <v>0</v>
      </c>
      <c r="AT618" s="1" t="n">
        <f aca="false">IF(AND(R618="WON",AS618=1,AR618=1),1,0)</f>
        <v>0</v>
      </c>
      <c r="AU618" s="1" t="n">
        <f aca="false">IF(B618="",0,IF(AD618="Alternative – zählt nicht",0,1))</f>
        <v>0</v>
      </c>
      <c r="AV618" s="1" t="n">
        <f aca="false">IF(B618="",0,IF(COUNTIF($B$6:$B$860,B618)&gt;1,1,0))</f>
        <v>0</v>
      </c>
      <c r="AX618" s="269" t="str">
        <f aca="false">IF(AY618=1,DATE(YEAR(O618),MONTH(O618),1),"")</f>
        <v/>
      </c>
      <c r="AY618" s="1" t="n">
        <f aca="false">IF(B618="",0,IF(AND(ISNUMBER(O618),ISNUMBER(P618)),IF(P618&gt;=O618,1,0),0))</f>
        <v>0</v>
      </c>
      <c r="AZ618" s="1" t="n">
        <f aca="false">IF(ISNUMBER(Y618),Y618,0)</f>
        <v>0</v>
      </c>
      <c r="BA618" s="1" t="str">
        <f aca="false">IF(B618="","",IF(AND(R618="WON",AS618=0),"⛔ Beleg fehlt · ","")&amp;IF(AND(R618="WON",AR618=0),"⛔ Einstand fehlt · ","")&amp;IF(AND(R618&lt;&gt;"WON",AR618=0),"○ Einstand offen · ","")&amp;IF(AND(R618="WON",AB618=""),"⛔ Vertragsart fehlt · ","")&amp;IF(AND(ISNUMBER(O618),ISNUMBER(P618)),IF(P618&lt;O618,"⚠ Ende vor Start · ",""),"")&amp;IF(AND(R618="WON",AY618=0,NOT(AND(ISNUMBER(O618),ISNUMBER(P618)))),"⛔ Zeitraum fehlt · ","")&amp;IF(AND(R618&lt;&gt;"WON",AY618=0,NOT(AND(ISNUMBER(O618),ISNUMBER(P618)))),"○ Zeitraum offen · ",""))</f>
        <v/>
      </c>
      <c r="BB618" s="1" t="str">
        <f aca="false">IF(B618="","",IF(AND(R618="WON",AS618=0),"⛔ Nachweis fehlt",IF(AND(ISNUMBER(O618),ISNUMBER(P618),P618&lt;O618),"⚠ Ende vor Start",IF(AND(R618="WON",AY618=0),"⛔ Zeitraum fehlt",IF(AR618=0,"○ Einstand offen",IF(AY618=0,"○ Zeitraum offen",IF(R618="WON","✅ belegt","✔ erfasst")))))))</f>
        <v/>
      </c>
    </row>
    <row r="619" customFormat="false" ht="15" hidden="false" customHeight="true" outlineLevel="0" collapsed="false">
      <c r="G619" s="1" t="str">
        <f aca="false">IF(B619="","",IF(AY619=1,P619-O619+1,IF(AW619="","",AW619)))</f>
        <v/>
      </c>
      <c r="I619" s="270"/>
      <c r="J619" s="270"/>
      <c r="K619" s="270"/>
      <c r="L619" s="270"/>
      <c r="M619" s="270"/>
      <c r="N619" s="270"/>
      <c r="O619" s="263"/>
      <c r="P619" s="263"/>
      <c r="Q619" s="270" t="str">
        <f aca="false">IF(AND(ISNUMBER(I619),ISNUMBER(S619)),I619*AJ619,IF(OR(I619&lt;&gt;"",S619&lt;&gt;""),"tbd",""))</f>
        <v/>
      </c>
      <c r="S619" s="268"/>
      <c r="Y619" s="275" t="str">
        <f aca="false">IF(ISNUMBER(I619),I619/Netto_Faktor,"")</f>
        <v/>
      </c>
      <c r="Z619" s="275" t="str">
        <f aca="false">IF(B619="","",IF(COUNT(J619:N619)=0,"",SUM(J619:N619)))</f>
        <v/>
      </c>
      <c r="AA619" s="266"/>
      <c r="AB619" s="266"/>
      <c r="AC619" s="266"/>
      <c r="AD619" s="266"/>
      <c r="AE619" s="266"/>
      <c r="AF619" s="266"/>
      <c r="AG619" s="267"/>
      <c r="AH619" s="266" t="str">
        <f aca="false">IF(B619="","",IF(BA619="",IF(R619="WON","✅ belegt &amp; vollständig","✔ vollständig"),LEFT(BA619,LEN(BA619)-3)))</f>
        <v/>
      </c>
      <c r="AJ619" s="268" t="n">
        <f aca="false">IF(ISNUMBER(S619),IFERROR(LOOKUP(IF(S619&lt;=1,S619,S619/100),'⚖️ Wahrscheinlichkeit'!$B$17:$B$21,'⚖️ Wahrscheinlichkeit'!$D$17:$D$21),0),0)</f>
        <v>0</v>
      </c>
      <c r="AK619" s="1" t="str">
        <f aca="false">IF(AND(R619="WON",ISNUMBER(I619)),AL619+(861-ROW())*0.000001,"")</f>
        <v/>
      </c>
      <c r="AL619" s="1" t="n">
        <f aca="false">IFERROR(I619*1,0)</f>
        <v>0</v>
      </c>
      <c r="AM619" s="1" t="n">
        <f aca="false">N(AM618)+IF(AND(R619="WON",B619&lt;&gt;""),1,0)</f>
        <v>12</v>
      </c>
      <c r="AN619" s="1" t="n">
        <f aca="false">N(AN618)+IF(AND(OR(R619="offered",R619="to be offered",R619="on hold"),B619&lt;&gt;""),1,0)</f>
        <v>33</v>
      </c>
      <c r="AO619" s="1" t="n">
        <f aca="false">N(AO618)+IF(AND(OR(R619="follow-up",R619="Evaluation",R619="tbd",R619="In evaluation"),B619&lt;&gt;""),1,0)</f>
        <v>1</v>
      </c>
      <c r="AP619" s="1" t="n">
        <f aca="false">IF(B619="",0,IF(COUNTIF('⚖️ Wahrscheinlichkeit'!$J$17:$J$24,R619)&gt;0,1,0))</f>
        <v>0</v>
      </c>
      <c r="AQ619" s="1" t="n">
        <f aca="false">IF(B619="",0,IF(AND(ISNUMBER(S619),COUNTIF('⚖️ Wahrscheinlichkeit'!$B$6:$B$11,S619)&gt;0),1,0))</f>
        <v>0</v>
      </c>
      <c r="AR619" s="1" t="n">
        <f aca="false">IF(B619="",0,IF(AND(COUNT(J619:M619)=4,SUM(J619:M619)&gt;0),1,0))</f>
        <v>0</v>
      </c>
      <c r="AS619" s="1" t="n">
        <f aca="false">IF(B619="",0,IF(AND(AF619&lt;&gt;"",AG619&lt;&gt;""),1,0))</f>
        <v>0</v>
      </c>
      <c r="AT619" s="1" t="n">
        <f aca="false">IF(AND(R619="WON",AS619=1,AR619=1),1,0)</f>
        <v>0</v>
      </c>
      <c r="AU619" s="1" t="n">
        <f aca="false">IF(B619="",0,IF(AD619="Alternative – zählt nicht",0,1))</f>
        <v>0</v>
      </c>
      <c r="AV619" s="1" t="n">
        <f aca="false">IF(B619="",0,IF(COUNTIF($B$6:$B$860,B619)&gt;1,1,0))</f>
        <v>0</v>
      </c>
      <c r="AX619" s="269" t="str">
        <f aca="false">IF(AY619=1,DATE(YEAR(O619),MONTH(O619),1),"")</f>
        <v/>
      </c>
      <c r="AY619" s="1" t="n">
        <f aca="false">IF(B619="",0,IF(AND(ISNUMBER(O619),ISNUMBER(P619)),IF(P619&gt;=O619,1,0),0))</f>
        <v>0</v>
      </c>
      <c r="AZ619" s="1" t="n">
        <f aca="false">IF(ISNUMBER(Y619),Y619,0)</f>
        <v>0</v>
      </c>
      <c r="BA619" s="1" t="str">
        <f aca="false">IF(B619="","",IF(AND(R619="WON",AS619=0),"⛔ Beleg fehlt · ","")&amp;IF(AND(R619="WON",AR619=0),"⛔ Einstand fehlt · ","")&amp;IF(AND(R619&lt;&gt;"WON",AR619=0),"○ Einstand offen · ","")&amp;IF(AND(R619="WON",AB619=""),"⛔ Vertragsart fehlt · ","")&amp;IF(AND(ISNUMBER(O619),ISNUMBER(P619)),IF(P619&lt;O619,"⚠ Ende vor Start · ",""),"")&amp;IF(AND(R619="WON",AY619=0,NOT(AND(ISNUMBER(O619),ISNUMBER(P619)))),"⛔ Zeitraum fehlt · ","")&amp;IF(AND(R619&lt;&gt;"WON",AY619=0,NOT(AND(ISNUMBER(O619),ISNUMBER(P619)))),"○ Zeitraum offen · ",""))</f>
        <v/>
      </c>
      <c r="BB619" s="1" t="str">
        <f aca="false">IF(B619="","",IF(AND(R619="WON",AS619=0),"⛔ Nachweis fehlt",IF(AND(ISNUMBER(O619),ISNUMBER(P619),P619&lt;O619),"⚠ Ende vor Start",IF(AND(R619="WON",AY619=0),"⛔ Zeitraum fehlt",IF(AR619=0,"○ Einstand offen",IF(AY619=0,"○ Zeitraum offen",IF(R619="WON","✅ belegt","✔ erfasst")))))))</f>
        <v/>
      </c>
    </row>
    <row r="620" customFormat="false" ht="15" hidden="false" customHeight="true" outlineLevel="0" collapsed="false">
      <c r="G620" s="1" t="str">
        <f aca="false">IF(B620="","",IF(AY620=1,P620-O620+1,IF(AW620="","",AW620)))</f>
        <v/>
      </c>
      <c r="I620" s="270"/>
      <c r="J620" s="270"/>
      <c r="K620" s="270"/>
      <c r="L620" s="270"/>
      <c r="M620" s="270"/>
      <c r="N620" s="270"/>
      <c r="O620" s="263"/>
      <c r="P620" s="263"/>
      <c r="Q620" s="270" t="str">
        <f aca="false">IF(AND(ISNUMBER(I620),ISNUMBER(S620)),I620*AJ620,IF(OR(I620&lt;&gt;"",S620&lt;&gt;""),"tbd",""))</f>
        <v/>
      </c>
      <c r="S620" s="268"/>
      <c r="Y620" s="275" t="str">
        <f aca="false">IF(ISNUMBER(I620),I620/Netto_Faktor,"")</f>
        <v/>
      </c>
      <c r="Z620" s="275" t="str">
        <f aca="false">IF(B620="","",IF(COUNT(J620:N620)=0,"",SUM(J620:N620)))</f>
        <v/>
      </c>
      <c r="AA620" s="266"/>
      <c r="AB620" s="266"/>
      <c r="AC620" s="266"/>
      <c r="AD620" s="266"/>
      <c r="AE620" s="266"/>
      <c r="AF620" s="266"/>
      <c r="AG620" s="267"/>
      <c r="AH620" s="266" t="str">
        <f aca="false">IF(B620="","",IF(BA620="",IF(R620="WON","✅ belegt &amp; vollständig","✔ vollständig"),LEFT(BA620,LEN(BA620)-3)))</f>
        <v/>
      </c>
      <c r="AJ620" s="268" t="n">
        <f aca="false">IF(ISNUMBER(S620),IFERROR(LOOKUP(IF(S620&lt;=1,S620,S620/100),'⚖️ Wahrscheinlichkeit'!$B$17:$B$21,'⚖️ Wahrscheinlichkeit'!$D$17:$D$21),0),0)</f>
        <v>0</v>
      </c>
      <c r="AK620" s="1" t="str">
        <f aca="false">IF(AND(R620="WON",ISNUMBER(I620)),AL620+(861-ROW())*0.000001,"")</f>
        <v/>
      </c>
      <c r="AL620" s="1" t="n">
        <f aca="false">IFERROR(I620*1,0)</f>
        <v>0</v>
      </c>
      <c r="AM620" s="1" t="n">
        <f aca="false">N(AM619)+IF(AND(R620="WON",B620&lt;&gt;""),1,0)</f>
        <v>12</v>
      </c>
      <c r="AN620" s="1" t="n">
        <f aca="false">N(AN619)+IF(AND(OR(R620="offered",R620="to be offered",R620="on hold"),B620&lt;&gt;""),1,0)</f>
        <v>33</v>
      </c>
      <c r="AO620" s="1" t="n">
        <f aca="false">N(AO619)+IF(AND(OR(R620="follow-up",R620="Evaluation",R620="tbd",R620="In evaluation"),B620&lt;&gt;""),1,0)</f>
        <v>1</v>
      </c>
      <c r="AP620" s="1" t="n">
        <f aca="false">IF(B620="",0,IF(COUNTIF('⚖️ Wahrscheinlichkeit'!$J$17:$J$24,R620)&gt;0,1,0))</f>
        <v>0</v>
      </c>
      <c r="AQ620" s="1" t="n">
        <f aca="false">IF(B620="",0,IF(AND(ISNUMBER(S620),COUNTIF('⚖️ Wahrscheinlichkeit'!$B$6:$B$11,S620)&gt;0),1,0))</f>
        <v>0</v>
      </c>
      <c r="AR620" s="1" t="n">
        <f aca="false">IF(B620="",0,IF(AND(COUNT(J620:M620)=4,SUM(J620:M620)&gt;0),1,0))</f>
        <v>0</v>
      </c>
      <c r="AS620" s="1" t="n">
        <f aca="false">IF(B620="",0,IF(AND(AF620&lt;&gt;"",AG620&lt;&gt;""),1,0))</f>
        <v>0</v>
      </c>
      <c r="AT620" s="1" t="n">
        <f aca="false">IF(AND(R620="WON",AS620=1,AR620=1),1,0)</f>
        <v>0</v>
      </c>
      <c r="AU620" s="1" t="n">
        <f aca="false">IF(B620="",0,IF(AD620="Alternative – zählt nicht",0,1))</f>
        <v>0</v>
      </c>
      <c r="AV620" s="1" t="n">
        <f aca="false">IF(B620="",0,IF(COUNTIF($B$6:$B$860,B620)&gt;1,1,0))</f>
        <v>0</v>
      </c>
      <c r="AX620" s="269" t="str">
        <f aca="false">IF(AY620=1,DATE(YEAR(O620),MONTH(O620),1),"")</f>
        <v/>
      </c>
      <c r="AY620" s="1" t="n">
        <f aca="false">IF(B620="",0,IF(AND(ISNUMBER(O620),ISNUMBER(P620)),IF(P620&gt;=O620,1,0),0))</f>
        <v>0</v>
      </c>
      <c r="AZ620" s="1" t="n">
        <f aca="false">IF(ISNUMBER(Y620),Y620,0)</f>
        <v>0</v>
      </c>
      <c r="BA620" s="1" t="str">
        <f aca="false">IF(B620="","",IF(AND(R620="WON",AS620=0),"⛔ Beleg fehlt · ","")&amp;IF(AND(R620="WON",AR620=0),"⛔ Einstand fehlt · ","")&amp;IF(AND(R620&lt;&gt;"WON",AR620=0),"○ Einstand offen · ","")&amp;IF(AND(R620="WON",AB620=""),"⛔ Vertragsart fehlt · ","")&amp;IF(AND(ISNUMBER(O620),ISNUMBER(P620)),IF(P620&lt;O620,"⚠ Ende vor Start · ",""),"")&amp;IF(AND(R620="WON",AY620=0,NOT(AND(ISNUMBER(O620),ISNUMBER(P620)))),"⛔ Zeitraum fehlt · ","")&amp;IF(AND(R620&lt;&gt;"WON",AY620=0,NOT(AND(ISNUMBER(O620),ISNUMBER(P620)))),"○ Zeitraum offen · ",""))</f>
        <v/>
      </c>
      <c r="BB620" s="1" t="str">
        <f aca="false">IF(B620="","",IF(AND(R620="WON",AS620=0),"⛔ Nachweis fehlt",IF(AND(ISNUMBER(O620),ISNUMBER(P620),P620&lt;O620),"⚠ Ende vor Start",IF(AND(R620="WON",AY620=0),"⛔ Zeitraum fehlt",IF(AR620=0,"○ Einstand offen",IF(AY620=0,"○ Zeitraum offen",IF(R620="WON","✅ belegt","✔ erfasst")))))))</f>
        <v/>
      </c>
    </row>
    <row r="621" customFormat="false" ht="15" hidden="false" customHeight="true" outlineLevel="0" collapsed="false">
      <c r="G621" s="1" t="str">
        <f aca="false">IF(B621="","",IF(AY621=1,P621-O621+1,IF(AW621="","",AW621)))</f>
        <v/>
      </c>
      <c r="I621" s="270"/>
      <c r="J621" s="270"/>
      <c r="K621" s="270"/>
      <c r="L621" s="270"/>
      <c r="M621" s="270"/>
      <c r="N621" s="270"/>
      <c r="O621" s="263"/>
      <c r="P621" s="263"/>
      <c r="Q621" s="270" t="str">
        <f aca="false">IF(AND(ISNUMBER(I621),ISNUMBER(S621)),I621*AJ621,IF(OR(I621&lt;&gt;"",S621&lt;&gt;""),"tbd",""))</f>
        <v/>
      </c>
      <c r="S621" s="268"/>
      <c r="Y621" s="275" t="str">
        <f aca="false">IF(ISNUMBER(I621),I621/Netto_Faktor,"")</f>
        <v/>
      </c>
      <c r="Z621" s="275" t="str">
        <f aca="false">IF(B621="","",IF(COUNT(J621:N621)=0,"",SUM(J621:N621)))</f>
        <v/>
      </c>
      <c r="AA621" s="266"/>
      <c r="AB621" s="266"/>
      <c r="AC621" s="266"/>
      <c r="AD621" s="266"/>
      <c r="AE621" s="266"/>
      <c r="AF621" s="266"/>
      <c r="AG621" s="267"/>
      <c r="AH621" s="266" t="str">
        <f aca="false">IF(B621="","",IF(BA621="",IF(R621="WON","✅ belegt &amp; vollständig","✔ vollständig"),LEFT(BA621,LEN(BA621)-3)))</f>
        <v/>
      </c>
      <c r="AJ621" s="268" t="n">
        <f aca="false">IF(ISNUMBER(S621),IFERROR(LOOKUP(IF(S621&lt;=1,S621,S621/100),'⚖️ Wahrscheinlichkeit'!$B$17:$B$21,'⚖️ Wahrscheinlichkeit'!$D$17:$D$21),0),0)</f>
        <v>0</v>
      </c>
      <c r="AK621" s="1" t="str">
        <f aca="false">IF(AND(R621="WON",ISNUMBER(I621)),AL621+(861-ROW())*0.000001,"")</f>
        <v/>
      </c>
      <c r="AL621" s="1" t="n">
        <f aca="false">IFERROR(I621*1,0)</f>
        <v>0</v>
      </c>
      <c r="AM621" s="1" t="n">
        <f aca="false">N(AM620)+IF(AND(R621="WON",B621&lt;&gt;""),1,0)</f>
        <v>12</v>
      </c>
      <c r="AN621" s="1" t="n">
        <f aca="false">N(AN620)+IF(AND(OR(R621="offered",R621="to be offered",R621="on hold"),B621&lt;&gt;""),1,0)</f>
        <v>33</v>
      </c>
      <c r="AO621" s="1" t="n">
        <f aca="false">N(AO620)+IF(AND(OR(R621="follow-up",R621="Evaluation",R621="tbd",R621="In evaluation"),B621&lt;&gt;""),1,0)</f>
        <v>1</v>
      </c>
      <c r="AP621" s="1" t="n">
        <f aca="false">IF(B621="",0,IF(COUNTIF('⚖️ Wahrscheinlichkeit'!$J$17:$J$24,R621)&gt;0,1,0))</f>
        <v>0</v>
      </c>
      <c r="AQ621" s="1" t="n">
        <f aca="false">IF(B621="",0,IF(AND(ISNUMBER(S621),COUNTIF('⚖️ Wahrscheinlichkeit'!$B$6:$B$11,S621)&gt;0),1,0))</f>
        <v>0</v>
      </c>
      <c r="AR621" s="1" t="n">
        <f aca="false">IF(B621="",0,IF(AND(COUNT(J621:M621)=4,SUM(J621:M621)&gt;0),1,0))</f>
        <v>0</v>
      </c>
      <c r="AS621" s="1" t="n">
        <f aca="false">IF(B621="",0,IF(AND(AF621&lt;&gt;"",AG621&lt;&gt;""),1,0))</f>
        <v>0</v>
      </c>
      <c r="AT621" s="1" t="n">
        <f aca="false">IF(AND(R621="WON",AS621=1,AR621=1),1,0)</f>
        <v>0</v>
      </c>
      <c r="AU621" s="1" t="n">
        <f aca="false">IF(B621="",0,IF(AD621="Alternative – zählt nicht",0,1))</f>
        <v>0</v>
      </c>
      <c r="AV621" s="1" t="n">
        <f aca="false">IF(B621="",0,IF(COUNTIF($B$6:$B$860,B621)&gt;1,1,0))</f>
        <v>0</v>
      </c>
      <c r="AX621" s="269" t="str">
        <f aca="false">IF(AY621=1,DATE(YEAR(O621),MONTH(O621),1),"")</f>
        <v/>
      </c>
      <c r="AY621" s="1" t="n">
        <f aca="false">IF(B621="",0,IF(AND(ISNUMBER(O621),ISNUMBER(P621)),IF(P621&gt;=O621,1,0),0))</f>
        <v>0</v>
      </c>
      <c r="AZ621" s="1" t="n">
        <f aca="false">IF(ISNUMBER(Y621),Y621,0)</f>
        <v>0</v>
      </c>
      <c r="BA621" s="1" t="str">
        <f aca="false">IF(B621="","",IF(AND(R621="WON",AS621=0),"⛔ Beleg fehlt · ","")&amp;IF(AND(R621="WON",AR621=0),"⛔ Einstand fehlt · ","")&amp;IF(AND(R621&lt;&gt;"WON",AR621=0),"○ Einstand offen · ","")&amp;IF(AND(R621="WON",AB621=""),"⛔ Vertragsart fehlt · ","")&amp;IF(AND(ISNUMBER(O621),ISNUMBER(P621)),IF(P621&lt;O621,"⚠ Ende vor Start · ",""),"")&amp;IF(AND(R621="WON",AY621=0,NOT(AND(ISNUMBER(O621),ISNUMBER(P621)))),"⛔ Zeitraum fehlt · ","")&amp;IF(AND(R621&lt;&gt;"WON",AY621=0,NOT(AND(ISNUMBER(O621),ISNUMBER(P621)))),"○ Zeitraum offen · ",""))</f>
        <v/>
      </c>
      <c r="BB621" s="1" t="str">
        <f aca="false">IF(B621="","",IF(AND(R621="WON",AS621=0),"⛔ Nachweis fehlt",IF(AND(ISNUMBER(O621),ISNUMBER(P621),P621&lt;O621),"⚠ Ende vor Start",IF(AND(R621="WON",AY621=0),"⛔ Zeitraum fehlt",IF(AR621=0,"○ Einstand offen",IF(AY621=0,"○ Zeitraum offen",IF(R621="WON","✅ belegt","✔ erfasst")))))))</f>
        <v/>
      </c>
    </row>
    <row r="622" customFormat="false" ht="15" hidden="false" customHeight="true" outlineLevel="0" collapsed="false">
      <c r="G622" s="1" t="str">
        <f aca="false">IF(B622="","",IF(AY622=1,P622-O622+1,IF(AW622="","",AW622)))</f>
        <v/>
      </c>
      <c r="I622" s="270"/>
      <c r="J622" s="270"/>
      <c r="K622" s="270"/>
      <c r="L622" s="270"/>
      <c r="M622" s="270"/>
      <c r="N622" s="270"/>
      <c r="O622" s="263"/>
      <c r="P622" s="263"/>
      <c r="Q622" s="270" t="str">
        <f aca="false">IF(AND(ISNUMBER(I622),ISNUMBER(S622)),I622*AJ622,IF(OR(I622&lt;&gt;"",S622&lt;&gt;""),"tbd",""))</f>
        <v/>
      </c>
      <c r="S622" s="268"/>
      <c r="Y622" s="275" t="str">
        <f aca="false">IF(ISNUMBER(I622),I622/Netto_Faktor,"")</f>
        <v/>
      </c>
      <c r="Z622" s="275" t="str">
        <f aca="false">IF(B622="","",IF(COUNT(J622:N622)=0,"",SUM(J622:N622)))</f>
        <v/>
      </c>
      <c r="AA622" s="266"/>
      <c r="AB622" s="266"/>
      <c r="AC622" s="266"/>
      <c r="AD622" s="266"/>
      <c r="AE622" s="266"/>
      <c r="AF622" s="266"/>
      <c r="AG622" s="267"/>
      <c r="AH622" s="266" t="str">
        <f aca="false">IF(B622="","",IF(BA622="",IF(R622="WON","✅ belegt &amp; vollständig","✔ vollständig"),LEFT(BA622,LEN(BA622)-3)))</f>
        <v/>
      </c>
      <c r="AJ622" s="268" t="n">
        <f aca="false">IF(ISNUMBER(S622),IFERROR(LOOKUP(IF(S622&lt;=1,S622,S622/100),'⚖️ Wahrscheinlichkeit'!$B$17:$B$21,'⚖️ Wahrscheinlichkeit'!$D$17:$D$21),0),0)</f>
        <v>0</v>
      </c>
      <c r="AK622" s="1" t="str">
        <f aca="false">IF(AND(R622="WON",ISNUMBER(I622)),AL622+(861-ROW())*0.000001,"")</f>
        <v/>
      </c>
      <c r="AL622" s="1" t="n">
        <f aca="false">IFERROR(I622*1,0)</f>
        <v>0</v>
      </c>
      <c r="AM622" s="1" t="n">
        <f aca="false">N(AM621)+IF(AND(R622="WON",B622&lt;&gt;""),1,0)</f>
        <v>12</v>
      </c>
      <c r="AN622" s="1" t="n">
        <f aca="false">N(AN621)+IF(AND(OR(R622="offered",R622="to be offered",R622="on hold"),B622&lt;&gt;""),1,0)</f>
        <v>33</v>
      </c>
      <c r="AO622" s="1" t="n">
        <f aca="false">N(AO621)+IF(AND(OR(R622="follow-up",R622="Evaluation",R622="tbd",R622="In evaluation"),B622&lt;&gt;""),1,0)</f>
        <v>1</v>
      </c>
      <c r="AP622" s="1" t="n">
        <f aca="false">IF(B622="",0,IF(COUNTIF('⚖️ Wahrscheinlichkeit'!$J$17:$J$24,R622)&gt;0,1,0))</f>
        <v>0</v>
      </c>
      <c r="AQ622" s="1" t="n">
        <f aca="false">IF(B622="",0,IF(AND(ISNUMBER(S622),COUNTIF('⚖️ Wahrscheinlichkeit'!$B$6:$B$11,S622)&gt;0),1,0))</f>
        <v>0</v>
      </c>
      <c r="AR622" s="1" t="n">
        <f aca="false">IF(B622="",0,IF(AND(COUNT(J622:M622)=4,SUM(J622:M622)&gt;0),1,0))</f>
        <v>0</v>
      </c>
      <c r="AS622" s="1" t="n">
        <f aca="false">IF(B622="",0,IF(AND(AF622&lt;&gt;"",AG622&lt;&gt;""),1,0))</f>
        <v>0</v>
      </c>
      <c r="AT622" s="1" t="n">
        <f aca="false">IF(AND(R622="WON",AS622=1,AR622=1),1,0)</f>
        <v>0</v>
      </c>
      <c r="AU622" s="1" t="n">
        <f aca="false">IF(B622="",0,IF(AD622="Alternative – zählt nicht",0,1))</f>
        <v>0</v>
      </c>
      <c r="AV622" s="1" t="n">
        <f aca="false">IF(B622="",0,IF(COUNTIF($B$6:$B$860,B622)&gt;1,1,0))</f>
        <v>0</v>
      </c>
      <c r="AX622" s="269" t="str">
        <f aca="false">IF(AY622=1,DATE(YEAR(O622),MONTH(O622),1),"")</f>
        <v/>
      </c>
      <c r="AY622" s="1" t="n">
        <f aca="false">IF(B622="",0,IF(AND(ISNUMBER(O622),ISNUMBER(P622)),IF(P622&gt;=O622,1,0),0))</f>
        <v>0</v>
      </c>
      <c r="AZ622" s="1" t="n">
        <f aca="false">IF(ISNUMBER(Y622),Y622,0)</f>
        <v>0</v>
      </c>
      <c r="BA622" s="1" t="str">
        <f aca="false">IF(B622="","",IF(AND(R622="WON",AS622=0),"⛔ Beleg fehlt · ","")&amp;IF(AND(R622="WON",AR622=0),"⛔ Einstand fehlt · ","")&amp;IF(AND(R622&lt;&gt;"WON",AR622=0),"○ Einstand offen · ","")&amp;IF(AND(R622="WON",AB622=""),"⛔ Vertragsart fehlt · ","")&amp;IF(AND(ISNUMBER(O622),ISNUMBER(P622)),IF(P622&lt;O622,"⚠ Ende vor Start · ",""),"")&amp;IF(AND(R622="WON",AY622=0,NOT(AND(ISNUMBER(O622),ISNUMBER(P622)))),"⛔ Zeitraum fehlt · ","")&amp;IF(AND(R622&lt;&gt;"WON",AY622=0,NOT(AND(ISNUMBER(O622),ISNUMBER(P622)))),"○ Zeitraum offen · ",""))</f>
        <v/>
      </c>
      <c r="BB622" s="1" t="str">
        <f aca="false">IF(B622="","",IF(AND(R622="WON",AS622=0),"⛔ Nachweis fehlt",IF(AND(ISNUMBER(O622),ISNUMBER(P622),P622&lt;O622),"⚠ Ende vor Start",IF(AND(R622="WON",AY622=0),"⛔ Zeitraum fehlt",IF(AR622=0,"○ Einstand offen",IF(AY622=0,"○ Zeitraum offen",IF(R622="WON","✅ belegt","✔ erfasst")))))))</f>
        <v/>
      </c>
    </row>
    <row r="623" customFormat="false" ht="15" hidden="false" customHeight="true" outlineLevel="0" collapsed="false">
      <c r="G623" s="1" t="str">
        <f aca="false">IF(B623="","",IF(AY623=1,P623-O623+1,IF(AW623="","",AW623)))</f>
        <v/>
      </c>
      <c r="I623" s="270"/>
      <c r="J623" s="270"/>
      <c r="K623" s="270"/>
      <c r="L623" s="270"/>
      <c r="M623" s="270"/>
      <c r="N623" s="270"/>
      <c r="O623" s="263"/>
      <c r="P623" s="263"/>
      <c r="Q623" s="270" t="str">
        <f aca="false">IF(AND(ISNUMBER(I623),ISNUMBER(S623)),I623*AJ623,IF(OR(I623&lt;&gt;"",S623&lt;&gt;""),"tbd",""))</f>
        <v/>
      </c>
      <c r="S623" s="268"/>
      <c r="Y623" s="275" t="str">
        <f aca="false">IF(ISNUMBER(I623),I623/Netto_Faktor,"")</f>
        <v/>
      </c>
      <c r="Z623" s="275" t="str">
        <f aca="false">IF(B623="","",IF(COUNT(J623:N623)=0,"",SUM(J623:N623)))</f>
        <v/>
      </c>
      <c r="AA623" s="266"/>
      <c r="AB623" s="266"/>
      <c r="AC623" s="266"/>
      <c r="AD623" s="266"/>
      <c r="AE623" s="266"/>
      <c r="AF623" s="266"/>
      <c r="AG623" s="267"/>
      <c r="AH623" s="266" t="str">
        <f aca="false">IF(B623="","",IF(BA623="",IF(R623="WON","✅ belegt &amp; vollständig","✔ vollständig"),LEFT(BA623,LEN(BA623)-3)))</f>
        <v/>
      </c>
      <c r="AJ623" s="268" t="n">
        <f aca="false">IF(ISNUMBER(S623),IFERROR(LOOKUP(IF(S623&lt;=1,S623,S623/100),'⚖️ Wahrscheinlichkeit'!$B$17:$B$21,'⚖️ Wahrscheinlichkeit'!$D$17:$D$21),0),0)</f>
        <v>0</v>
      </c>
      <c r="AK623" s="1" t="str">
        <f aca="false">IF(AND(R623="WON",ISNUMBER(I623)),AL623+(861-ROW())*0.000001,"")</f>
        <v/>
      </c>
      <c r="AL623" s="1" t="n">
        <f aca="false">IFERROR(I623*1,0)</f>
        <v>0</v>
      </c>
      <c r="AM623" s="1" t="n">
        <f aca="false">N(AM622)+IF(AND(R623="WON",B623&lt;&gt;""),1,0)</f>
        <v>12</v>
      </c>
      <c r="AN623" s="1" t="n">
        <f aca="false">N(AN622)+IF(AND(OR(R623="offered",R623="to be offered",R623="on hold"),B623&lt;&gt;""),1,0)</f>
        <v>33</v>
      </c>
      <c r="AO623" s="1" t="n">
        <f aca="false">N(AO622)+IF(AND(OR(R623="follow-up",R623="Evaluation",R623="tbd",R623="In evaluation"),B623&lt;&gt;""),1,0)</f>
        <v>1</v>
      </c>
      <c r="AP623" s="1" t="n">
        <f aca="false">IF(B623="",0,IF(COUNTIF('⚖️ Wahrscheinlichkeit'!$J$17:$J$24,R623)&gt;0,1,0))</f>
        <v>0</v>
      </c>
      <c r="AQ623" s="1" t="n">
        <f aca="false">IF(B623="",0,IF(AND(ISNUMBER(S623),COUNTIF('⚖️ Wahrscheinlichkeit'!$B$6:$B$11,S623)&gt;0),1,0))</f>
        <v>0</v>
      </c>
      <c r="AR623" s="1" t="n">
        <f aca="false">IF(B623="",0,IF(AND(COUNT(J623:M623)=4,SUM(J623:M623)&gt;0),1,0))</f>
        <v>0</v>
      </c>
      <c r="AS623" s="1" t="n">
        <f aca="false">IF(B623="",0,IF(AND(AF623&lt;&gt;"",AG623&lt;&gt;""),1,0))</f>
        <v>0</v>
      </c>
      <c r="AT623" s="1" t="n">
        <f aca="false">IF(AND(R623="WON",AS623=1,AR623=1),1,0)</f>
        <v>0</v>
      </c>
      <c r="AU623" s="1" t="n">
        <f aca="false">IF(B623="",0,IF(AD623="Alternative – zählt nicht",0,1))</f>
        <v>0</v>
      </c>
      <c r="AV623" s="1" t="n">
        <f aca="false">IF(B623="",0,IF(COUNTIF($B$6:$B$860,B623)&gt;1,1,0))</f>
        <v>0</v>
      </c>
      <c r="AX623" s="269" t="str">
        <f aca="false">IF(AY623=1,DATE(YEAR(O623),MONTH(O623),1),"")</f>
        <v/>
      </c>
      <c r="AY623" s="1" t="n">
        <f aca="false">IF(B623="",0,IF(AND(ISNUMBER(O623),ISNUMBER(P623)),IF(P623&gt;=O623,1,0),0))</f>
        <v>0</v>
      </c>
      <c r="AZ623" s="1" t="n">
        <f aca="false">IF(ISNUMBER(Y623),Y623,0)</f>
        <v>0</v>
      </c>
      <c r="BA623" s="1" t="str">
        <f aca="false">IF(B623="","",IF(AND(R623="WON",AS623=0),"⛔ Beleg fehlt · ","")&amp;IF(AND(R623="WON",AR623=0),"⛔ Einstand fehlt · ","")&amp;IF(AND(R623&lt;&gt;"WON",AR623=0),"○ Einstand offen · ","")&amp;IF(AND(R623="WON",AB623=""),"⛔ Vertragsart fehlt · ","")&amp;IF(AND(ISNUMBER(O623),ISNUMBER(P623)),IF(P623&lt;O623,"⚠ Ende vor Start · ",""),"")&amp;IF(AND(R623="WON",AY623=0,NOT(AND(ISNUMBER(O623),ISNUMBER(P623)))),"⛔ Zeitraum fehlt · ","")&amp;IF(AND(R623&lt;&gt;"WON",AY623=0,NOT(AND(ISNUMBER(O623),ISNUMBER(P623)))),"○ Zeitraum offen · ",""))</f>
        <v/>
      </c>
      <c r="BB623" s="1" t="str">
        <f aca="false">IF(B623="","",IF(AND(R623="WON",AS623=0),"⛔ Nachweis fehlt",IF(AND(ISNUMBER(O623),ISNUMBER(P623),P623&lt;O623),"⚠ Ende vor Start",IF(AND(R623="WON",AY623=0),"⛔ Zeitraum fehlt",IF(AR623=0,"○ Einstand offen",IF(AY623=0,"○ Zeitraum offen",IF(R623="WON","✅ belegt","✔ erfasst")))))))</f>
        <v/>
      </c>
    </row>
    <row r="624" customFormat="false" ht="15" hidden="false" customHeight="true" outlineLevel="0" collapsed="false">
      <c r="G624" s="1" t="str">
        <f aca="false">IF(B624="","",IF(AY624=1,P624-O624+1,IF(AW624="","",AW624)))</f>
        <v/>
      </c>
      <c r="I624" s="270"/>
      <c r="J624" s="270"/>
      <c r="K624" s="270"/>
      <c r="L624" s="270"/>
      <c r="M624" s="270"/>
      <c r="N624" s="270"/>
      <c r="O624" s="263"/>
      <c r="P624" s="263"/>
      <c r="Q624" s="270" t="str">
        <f aca="false">IF(AND(ISNUMBER(I624),ISNUMBER(S624)),I624*AJ624,IF(OR(I624&lt;&gt;"",S624&lt;&gt;""),"tbd",""))</f>
        <v/>
      </c>
      <c r="S624" s="268"/>
      <c r="Y624" s="275" t="str">
        <f aca="false">IF(ISNUMBER(I624),I624/Netto_Faktor,"")</f>
        <v/>
      </c>
      <c r="Z624" s="275" t="str">
        <f aca="false">IF(B624="","",IF(COUNT(J624:N624)=0,"",SUM(J624:N624)))</f>
        <v/>
      </c>
      <c r="AA624" s="266"/>
      <c r="AB624" s="266"/>
      <c r="AC624" s="266"/>
      <c r="AD624" s="266"/>
      <c r="AE624" s="266"/>
      <c r="AF624" s="266"/>
      <c r="AG624" s="267"/>
      <c r="AH624" s="266" t="str">
        <f aca="false">IF(B624="","",IF(BA624="",IF(R624="WON","✅ belegt &amp; vollständig","✔ vollständig"),LEFT(BA624,LEN(BA624)-3)))</f>
        <v/>
      </c>
      <c r="AJ624" s="268" t="n">
        <f aca="false">IF(ISNUMBER(S624),IFERROR(LOOKUP(IF(S624&lt;=1,S624,S624/100),'⚖️ Wahrscheinlichkeit'!$B$17:$B$21,'⚖️ Wahrscheinlichkeit'!$D$17:$D$21),0),0)</f>
        <v>0</v>
      </c>
      <c r="AK624" s="1" t="str">
        <f aca="false">IF(AND(R624="WON",ISNUMBER(I624)),AL624+(861-ROW())*0.000001,"")</f>
        <v/>
      </c>
      <c r="AL624" s="1" t="n">
        <f aca="false">IFERROR(I624*1,0)</f>
        <v>0</v>
      </c>
      <c r="AM624" s="1" t="n">
        <f aca="false">N(AM623)+IF(AND(R624="WON",B624&lt;&gt;""),1,0)</f>
        <v>12</v>
      </c>
      <c r="AN624" s="1" t="n">
        <f aca="false">N(AN623)+IF(AND(OR(R624="offered",R624="to be offered",R624="on hold"),B624&lt;&gt;""),1,0)</f>
        <v>33</v>
      </c>
      <c r="AO624" s="1" t="n">
        <f aca="false">N(AO623)+IF(AND(OR(R624="follow-up",R624="Evaluation",R624="tbd",R624="In evaluation"),B624&lt;&gt;""),1,0)</f>
        <v>1</v>
      </c>
      <c r="AP624" s="1" t="n">
        <f aca="false">IF(B624="",0,IF(COUNTIF('⚖️ Wahrscheinlichkeit'!$J$17:$J$24,R624)&gt;0,1,0))</f>
        <v>0</v>
      </c>
      <c r="AQ624" s="1" t="n">
        <f aca="false">IF(B624="",0,IF(AND(ISNUMBER(S624),COUNTIF('⚖️ Wahrscheinlichkeit'!$B$6:$B$11,S624)&gt;0),1,0))</f>
        <v>0</v>
      </c>
      <c r="AR624" s="1" t="n">
        <f aca="false">IF(B624="",0,IF(AND(COUNT(J624:M624)=4,SUM(J624:M624)&gt;0),1,0))</f>
        <v>0</v>
      </c>
      <c r="AS624" s="1" t="n">
        <f aca="false">IF(B624="",0,IF(AND(AF624&lt;&gt;"",AG624&lt;&gt;""),1,0))</f>
        <v>0</v>
      </c>
      <c r="AT624" s="1" t="n">
        <f aca="false">IF(AND(R624="WON",AS624=1,AR624=1),1,0)</f>
        <v>0</v>
      </c>
      <c r="AU624" s="1" t="n">
        <f aca="false">IF(B624="",0,IF(AD624="Alternative – zählt nicht",0,1))</f>
        <v>0</v>
      </c>
      <c r="AV624" s="1" t="n">
        <f aca="false">IF(B624="",0,IF(COUNTIF($B$6:$B$860,B624)&gt;1,1,0))</f>
        <v>0</v>
      </c>
      <c r="AX624" s="269" t="str">
        <f aca="false">IF(AY624=1,DATE(YEAR(O624),MONTH(O624),1),"")</f>
        <v/>
      </c>
      <c r="AY624" s="1" t="n">
        <f aca="false">IF(B624="",0,IF(AND(ISNUMBER(O624),ISNUMBER(P624)),IF(P624&gt;=O624,1,0),0))</f>
        <v>0</v>
      </c>
      <c r="AZ624" s="1" t="n">
        <f aca="false">IF(ISNUMBER(Y624),Y624,0)</f>
        <v>0</v>
      </c>
      <c r="BA624" s="1" t="str">
        <f aca="false">IF(B624="","",IF(AND(R624="WON",AS624=0),"⛔ Beleg fehlt · ","")&amp;IF(AND(R624="WON",AR624=0),"⛔ Einstand fehlt · ","")&amp;IF(AND(R624&lt;&gt;"WON",AR624=0),"○ Einstand offen · ","")&amp;IF(AND(R624="WON",AB624=""),"⛔ Vertragsart fehlt · ","")&amp;IF(AND(ISNUMBER(O624),ISNUMBER(P624)),IF(P624&lt;O624,"⚠ Ende vor Start · ",""),"")&amp;IF(AND(R624="WON",AY624=0,NOT(AND(ISNUMBER(O624),ISNUMBER(P624)))),"⛔ Zeitraum fehlt · ","")&amp;IF(AND(R624&lt;&gt;"WON",AY624=0,NOT(AND(ISNUMBER(O624),ISNUMBER(P624)))),"○ Zeitraum offen · ",""))</f>
        <v/>
      </c>
      <c r="BB624" s="1" t="str">
        <f aca="false">IF(B624="","",IF(AND(R624="WON",AS624=0),"⛔ Nachweis fehlt",IF(AND(ISNUMBER(O624),ISNUMBER(P624),P624&lt;O624),"⚠ Ende vor Start",IF(AND(R624="WON",AY624=0),"⛔ Zeitraum fehlt",IF(AR624=0,"○ Einstand offen",IF(AY624=0,"○ Zeitraum offen",IF(R624="WON","✅ belegt","✔ erfasst")))))))</f>
        <v/>
      </c>
    </row>
    <row r="625" customFormat="false" ht="15" hidden="false" customHeight="true" outlineLevel="0" collapsed="false">
      <c r="G625" s="1" t="str">
        <f aca="false">IF(B625="","",IF(AY625=1,P625-O625+1,IF(AW625="","",AW625)))</f>
        <v/>
      </c>
      <c r="I625" s="270"/>
      <c r="J625" s="270"/>
      <c r="K625" s="270"/>
      <c r="L625" s="270"/>
      <c r="M625" s="270"/>
      <c r="N625" s="270"/>
      <c r="O625" s="263"/>
      <c r="P625" s="263"/>
      <c r="Q625" s="270" t="str">
        <f aca="false">IF(AND(ISNUMBER(I625),ISNUMBER(S625)),I625*AJ625,IF(OR(I625&lt;&gt;"",S625&lt;&gt;""),"tbd",""))</f>
        <v/>
      </c>
      <c r="S625" s="268"/>
      <c r="Y625" s="275" t="str">
        <f aca="false">IF(ISNUMBER(I625),I625/Netto_Faktor,"")</f>
        <v/>
      </c>
      <c r="Z625" s="275" t="str">
        <f aca="false">IF(B625="","",IF(COUNT(J625:N625)=0,"",SUM(J625:N625)))</f>
        <v/>
      </c>
      <c r="AA625" s="266"/>
      <c r="AB625" s="266"/>
      <c r="AC625" s="266"/>
      <c r="AD625" s="266"/>
      <c r="AE625" s="266"/>
      <c r="AF625" s="266"/>
      <c r="AG625" s="267"/>
      <c r="AH625" s="266" t="str">
        <f aca="false">IF(B625="","",IF(BA625="",IF(R625="WON","✅ belegt &amp; vollständig","✔ vollständig"),LEFT(BA625,LEN(BA625)-3)))</f>
        <v/>
      </c>
      <c r="AJ625" s="268" t="n">
        <f aca="false">IF(ISNUMBER(S625),IFERROR(LOOKUP(IF(S625&lt;=1,S625,S625/100),'⚖️ Wahrscheinlichkeit'!$B$17:$B$21,'⚖️ Wahrscheinlichkeit'!$D$17:$D$21),0),0)</f>
        <v>0</v>
      </c>
      <c r="AK625" s="1" t="str">
        <f aca="false">IF(AND(R625="WON",ISNUMBER(I625)),AL625+(861-ROW())*0.000001,"")</f>
        <v/>
      </c>
      <c r="AL625" s="1" t="n">
        <f aca="false">IFERROR(I625*1,0)</f>
        <v>0</v>
      </c>
      <c r="AM625" s="1" t="n">
        <f aca="false">N(AM624)+IF(AND(R625="WON",B625&lt;&gt;""),1,0)</f>
        <v>12</v>
      </c>
      <c r="AN625" s="1" t="n">
        <f aca="false">N(AN624)+IF(AND(OR(R625="offered",R625="to be offered",R625="on hold"),B625&lt;&gt;""),1,0)</f>
        <v>33</v>
      </c>
      <c r="AO625" s="1" t="n">
        <f aca="false">N(AO624)+IF(AND(OR(R625="follow-up",R625="Evaluation",R625="tbd",R625="In evaluation"),B625&lt;&gt;""),1,0)</f>
        <v>1</v>
      </c>
      <c r="AP625" s="1" t="n">
        <f aca="false">IF(B625="",0,IF(COUNTIF('⚖️ Wahrscheinlichkeit'!$J$17:$J$24,R625)&gt;0,1,0))</f>
        <v>0</v>
      </c>
      <c r="AQ625" s="1" t="n">
        <f aca="false">IF(B625="",0,IF(AND(ISNUMBER(S625),COUNTIF('⚖️ Wahrscheinlichkeit'!$B$6:$B$11,S625)&gt;0),1,0))</f>
        <v>0</v>
      </c>
      <c r="AR625" s="1" t="n">
        <f aca="false">IF(B625="",0,IF(AND(COUNT(J625:M625)=4,SUM(J625:M625)&gt;0),1,0))</f>
        <v>0</v>
      </c>
      <c r="AS625" s="1" t="n">
        <f aca="false">IF(B625="",0,IF(AND(AF625&lt;&gt;"",AG625&lt;&gt;""),1,0))</f>
        <v>0</v>
      </c>
      <c r="AT625" s="1" t="n">
        <f aca="false">IF(AND(R625="WON",AS625=1,AR625=1),1,0)</f>
        <v>0</v>
      </c>
      <c r="AU625" s="1" t="n">
        <f aca="false">IF(B625="",0,IF(AD625="Alternative – zählt nicht",0,1))</f>
        <v>0</v>
      </c>
      <c r="AV625" s="1" t="n">
        <f aca="false">IF(B625="",0,IF(COUNTIF($B$6:$B$860,B625)&gt;1,1,0))</f>
        <v>0</v>
      </c>
      <c r="AX625" s="269" t="str">
        <f aca="false">IF(AY625=1,DATE(YEAR(O625),MONTH(O625),1),"")</f>
        <v/>
      </c>
      <c r="AY625" s="1" t="n">
        <f aca="false">IF(B625="",0,IF(AND(ISNUMBER(O625),ISNUMBER(P625)),IF(P625&gt;=O625,1,0),0))</f>
        <v>0</v>
      </c>
      <c r="AZ625" s="1" t="n">
        <f aca="false">IF(ISNUMBER(Y625),Y625,0)</f>
        <v>0</v>
      </c>
      <c r="BA625" s="1" t="str">
        <f aca="false">IF(B625="","",IF(AND(R625="WON",AS625=0),"⛔ Beleg fehlt · ","")&amp;IF(AND(R625="WON",AR625=0),"⛔ Einstand fehlt · ","")&amp;IF(AND(R625&lt;&gt;"WON",AR625=0),"○ Einstand offen · ","")&amp;IF(AND(R625="WON",AB625=""),"⛔ Vertragsart fehlt · ","")&amp;IF(AND(ISNUMBER(O625),ISNUMBER(P625)),IF(P625&lt;O625,"⚠ Ende vor Start · ",""),"")&amp;IF(AND(R625="WON",AY625=0,NOT(AND(ISNUMBER(O625),ISNUMBER(P625)))),"⛔ Zeitraum fehlt · ","")&amp;IF(AND(R625&lt;&gt;"WON",AY625=0,NOT(AND(ISNUMBER(O625),ISNUMBER(P625)))),"○ Zeitraum offen · ",""))</f>
        <v/>
      </c>
      <c r="BB625" s="1" t="str">
        <f aca="false">IF(B625="","",IF(AND(R625="WON",AS625=0),"⛔ Nachweis fehlt",IF(AND(ISNUMBER(O625),ISNUMBER(P625),P625&lt;O625),"⚠ Ende vor Start",IF(AND(R625="WON",AY625=0),"⛔ Zeitraum fehlt",IF(AR625=0,"○ Einstand offen",IF(AY625=0,"○ Zeitraum offen",IF(R625="WON","✅ belegt","✔ erfasst")))))))</f>
        <v/>
      </c>
    </row>
    <row r="626" customFormat="false" ht="15" hidden="false" customHeight="true" outlineLevel="0" collapsed="false">
      <c r="G626" s="1" t="str">
        <f aca="false">IF(B626="","",IF(AY626=1,P626-O626+1,IF(AW626="","",AW626)))</f>
        <v/>
      </c>
      <c r="I626" s="270"/>
      <c r="J626" s="270"/>
      <c r="K626" s="270"/>
      <c r="L626" s="270"/>
      <c r="M626" s="270"/>
      <c r="N626" s="270"/>
      <c r="O626" s="263"/>
      <c r="P626" s="263"/>
      <c r="Q626" s="270" t="str">
        <f aca="false">IF(AND(ISNUMBER(I626),ISNUMBER(S626)),I626*AJ626,IF(OR(I626&lt;&gt;"",S626&lt;&gt;""),"tbd",""))</f>
        <v/>
      </c>
      <c r="S626" s="268"/>
      <c r="Y626" s="275" t="str">
        <f aca="false">IF(ISNUMBER(I626),I626/Netto_Faktor,"")</f>
        <v/>
      </c>
      <c r="Z626" s="275" t="str">
        <f aca="false">IF(B626="","",IF(COUNT(J626:N626)=0,"",SUM(J626:N626)))</f>
        <v/>
      </c>
      <c r="AA626" s="266"/>
      <c r="AB626" s="266"/>
      <c r="AC626" s="266"/>
      <c r="AD626" s="266"/>
      <c r="AE626" s="266"/>
      <c r="AF626" s="266"/>
      <c r="AG626" s="267"/>
      <c r="AH626" s="266" t="str">
        <f aca="false">IF(B626="","",IF(BA626="",IF(R626="WON","✅ belegt &amp; vollständig","✔ vollständig"),LEFT(BA626,LEN(BA626)-3)))</f>
        <v/>
      </c>
      <c r="AJ626" s="268" t="n">
        <f aca="false">IF(ISNUMBER(S626),IFERROR(LOOKUP(IF(S626&lt;=1,S626,S626/100),'⚖️ Wahrscheinlichkeit'!$B$17:$B$21,'⚖️ Wahrscheinlichkeit'!$D$17:$D$21),0),0)</f>
        <v>0</v>
      </c>
      <c r="AK626" s="1" t="str">
        <f aca="false">IF(AND(R626="WON",ISNUMBER(I626)),AL626+(861-ROW())*0.000001,"")</f>
        <v/>
      </c>
      <c r="AL626" s="1" t="n">
        <f aca="false">IFERROR(I626*1,0)</f>
        <v>0</v>
      </c>
      <c r="AM626" s="1" t="n">
        <f aca="false">N(AM625)+IF(AND(R626="WON",B626&lt;&gt;""),1,0)</f>
        <v>12</v>
      </c>
      <c r="AN626" s="1" t="n">
        <f aca="false">N(AN625)+IF(AND(OR(R626="offered",R626="to be offered",R626="on hold"),B626&lt;&gt;""),1,0)</f>
        <v>33</v>
      </c>
      <c r="AO626" s="1" t="n">
        <f aca="false">N(AO625)+IF(AND(OR(R626="follow-up",R626="Evaluation",R626="tbd",R626="In evaluation"),B626&lt;&gt;""),1,0)</f>
        <v>1</v>
      </c>
      <c r="AP626" s="1" t="n">
        <f aca="false">IF(B626="",0,IF(COUNTIF('⚖️ Wahrscheinlichkeit'!$J$17:$J$24,R626)&gt;0,1,0))</f>
        <v>0</v>
      </c>
      <c r="AQ626" s="1" t="n">
        <f aca="false">IF(B626="",0,IF(AND(ISNUMBER(S626),COUNTIF('⚖️ Wahrscheinlichkeit'!$B$6:$B$11,S626)&gt;0),1,0))</f>
        <v>0</v>
      </c>
      <c r="AR626" s="1" t="n">
        <f aca="false">IF(B626="",0,IF(AND(COUNT(J626:M626)=4,SUM(J626:M626)&gt;0),1,0))</f>
        <v>0</v>
      </c>
      <c r="AS626" s="1" t="n">
        <f aca="false">IF(B626="",0,IF(AND(AF626&lt;&gt;"",AG626&lt;&gt;""),1,0))</f>
        <v>0</v>
      </c>
      <c r="AT626" s="1" t="n">
        <f aca="false">IF(AND(R626="WON",AS626=1,AR626=1),1,0)</f>
        <v>0</v>
      </c>
      <c r="AU626" s="1" t="n">
        <f aca="false">IF(B626="",0,IF(AD626="Alternative – zählt nicht",0,1))</f>
        <v>0</v>
      </c>
      <c r="AV626" s="1" t="n">
        <f aca="false">IF(B626="",0,IF(COUNTIF($B$6:$B$860,B626)&gt;1,1,0))</f>
        <v>0</v>
      </c>
      <c r="AX626" s="269" t="str">
        <f aca="false">IF(AY626=1,DATE(YEAR(O626),MONTH(O626),1),"")</f>
        <v/>
      </c>
      <c r="AY626" s="1" t="n">
        <f aca="false">IF(B626="",0,IF(AND(ISNUMBER(O626),ISNUMBER(P626)),IF(P626&gt;=O626,1,0),0))</f>
        <v>0</v>
      </c>
      <c r="AZ626" s="1" t="n">
        <f aca="false">IF(ISNUMBER(Y626),Y626,0)</f>
        <v>0</v>
      </c>
      <c r="BA626" s="1" t="str">
        <f aca="false">IF(B626="","",IF(AND(R626="WON",AS626=0),"⛔ Beleg fehlt · ","")&amp;IF(AND(R626="WON",AR626=0),"⛔ Einstand fehlt · ","")&amp;IF(AND(R626&lt;&gt;"WON",AR626=0),"○ Einstand offen · ","")&amp;IF(AND(R626="WON",AB626=""),"⛔ Vertragsart fehlt · ","")&amp;IF(AND(ISNUMBER(O626),ISNUMBER(P626)),IF(P626&lt;O626,"⚠ Ende vor Start · ",""),"")&amp;IF(AND(R626="WON",AY626=0,NOT(AND(ISNUMBER(O626),ISNUMBER(P626)))),"⛔ Zeitraum fehlt · ","")&amp;IF(AND(R626&lt;&gt;"WON",AY626=0,NOT(AND(ISNUMBER(O626),ISNUMBER(P626)))),"○ Zeitraum offen · ",""))</f>
        <v/>
      </c>
      <c r="BB626" s="1" t="str">
        <f aca="false">IF(B626="","",IF(AND(R626="WON",AS626=0),"⛔ Nachweis fehlt",IF(AND(ISNUMBER(O626),ISNUMBER(P626),P626&lt;O626),"⚠ Ende vor Start",IF(AND(R626="WON",AY626=0),"⛔ Zeitraum fehlt",IF(AR626=0,"○ Einstand offen",IF(AY626=0,"○ Zeitraum offen",IF(R626="WON","✅ belegt","✔ erfasst")))))))</f>
        <v/>
      </c>
    </row>
    <row r="627" customFormat="false" ht="15" hidden="false" customHeight="true" outlineLevel="0" collapsed="false">
      <c r="G627" s="1" t="str">
        <f aca="false">IF(B627="","",IF(AY627=1,P627-O627+1,IF(AW627="","",AW627)))</f>
        <v/>
      </c>
      <c r="I627" s="270"/>
      <c r="J627" s="270"/>
      <c r="K627" s="270"/>
      <c r="L627" s="270"/>
      <c r="M627" s="270"/>
      <c r="N627" s="270"/>
      <c r="O627" s="263"/>
      <c r="P627" s="263"/>
      <c r="Q627" s="270" t="str">
        <f aca="false">IF(AND(ISNUMBER(I627),ISNUMBER(S627)),I627*AJ627,IF(OR(I627&lt;&gt;"",S627&lt;&gt;""),"tbd",""))</f>
        <v/>
      </c>
      <c r="S627" s="268"/>
      <c r="Y627" s="275" t="str">
        <f aca="false">IF(ISNUMBER(I627),I627/Netto_Faktor,"")</f>
        <v/>
      </c>
      <c r="Z627" s="275" t="str">
        <f aca="false">IF(B627="","",IF(COUNT(J627:N627)=0,"",SUM(J627:N627)))</f>
        <v/>
      </c>
      <c r="AA627" s="266"/>
      <c r="AB627" s="266"/>
      <c r="AC627" s="266"/>
      <c r="AD627" s="266"/>
      <c r="AE627" s="266"/>
      <c r="AF627" s="266"/>
      <c r="AG627" s="267"/>
      <c r="AH627" s="266" t="str">
        <f aca="false">IF(B627="","",IF(BA627="",IF(R627="WON","✅ belegt &amp; vollständig","✔ vollständig"),LEFT(BA627,LEN(BA627)-3)))</f>
        <v/>
      </c>
      <c r="AJ627" s="268" t="n">
        <f aca="false">IF(ISNUMBER(S627),IFERROR(LOOKUP(IF(S627&lt;=1,S627,S627/100),'⚖️ Wahrscheinlichkeit'!$B$17:$B$21,'⚖️ Wahrscheinlichkeit'!$D$17:$D$21),0),0)</f>
        <v>0</v>
      </c>
      <c r="AK627" s="1" t="str">
        <f aca="false">IF(AND(R627="WON",ISNUMBER(I627)),AL627+(861-ROW())*0.000001,"")</f>
        <v/>
      </c>
      <c r="AL627" s="1" t="n">
        <f aca="false">IFERROR(I627*1,0)</f>
        <v>0</v>
      </c>
      <c r="AM627" s="1" t="n">
        <f aca="false">N(AM626)+IF(AND(R627="WON",B627&lt;&gt;""),1,0)</f>
        <v>12</v>
      </c>
      <c r="AN627" s="1" t="n">
        <f aca="false">N(AN626)+IF(AND(OR(R627="offered",R627="to be offered",R627="on hold"),B627&lt;&gt;""),1,0)</f>
        <v>33</v>
      </c>
      <c r="AO627" s="1" t="n">
        <f aca="false">N(AO626)+IF(AND(OR(R627="follow-up",R627="Evaluation",R627="tbd",R627="In evaluation"),B627&lt;&gt;""),1,0)</f>
        <v>1</v>
      </c>
      <c r="AP627" s="1" t="n">
        <f aca="false">IF(B627="",0,IF(COUNTIF('⚖️ Wahrscheinlichkeit'!$J$17:$J$24,R627)&gt;0,1,0))</f>
        <v>0</v>
      </c>
      <c r="AQ627" s="1" t="n">
        <f aca="false">IF(B627="",0,IF(AND(ISNUMBER(S627),COUNTIF('⚖️ Wahrscheinlichkeit'!$B$6:$B$11,S627)&gt;0),1,0))</f>
        <v>0</v>
      </c>
      <c r="AR627" s="1" t="n">
        <f aca="false">IF(B627="",0,IF(AND(COUNT(J627:M627)=4,SUM(J627:M627)&gt;0),1,0))</f>
        <v>0</v>
      </c>
      <c r="AS627" s="1" t="n">
        <f aca="false">IF(B627="",0,IF(AND(AF627&lt;&gt;"",AG627&lt;&gt;""),1,0))</f>
        <v>0</v>
      </c>
      <c r="AT627" s="1" t="n">
        <f aca="false">IF(AND(R627="WON",AS627=1,AR627=1),1,0)</f>
        <v>0</v>
      </c>
      <c r="AU627" s="1" t="n">
        <f aca="false">IF(B627="",0,IF(AD627="Alternative – zählt nicht",0,1))</f>
        <v>0</v>
      </c>
      <c r="AV627" s="1" t="n">
        <f aca="false">IF(B627="",0,IF(COUNTIF($B$6:$B$860,B627)&gt;1,1,0))</f>
        <v>0</v>
      </c>
      <c r="AX627" s="269" t="str">
        <f aca="false">IF(AY627=1,DATE(YEAR(O627),MONTH(O627),1),"")</f>
        <v/>
      </c>
      <c r="AY627" s="1" t="n">
        <f aca="false">IF(B627="",0,IF(AND(ISNUMBER(O627),ISNUMBER(P627)),IF(P627&gt;=O627,1,0),0))</f>
        <v>0</v>
      </c>
      <c r="AZ627" s="1" t="n">
        <f aca="false">IF(ISNUMBER(Y627),Y627,0)</f>
        <v>0</v>
      </c>
      <c r="BA627" s="1" t="str">
        <f aca="false">IF(B627="","",IF(AND(R627="WON",AS627=0),"⛔ Beleg fehlt · ","")&amp;IF(AND(R627="WON",AR627=0),"⛔ Einstand fehlt · ","")&amp;IF(AND(R627&lt;&gt;"WON",AR627=0),"○ Einstand offen · ","")&amp;IF(AND(R627="WON",AB627=""),"⛔ Vertragsart fehlt · ","")&amp;IF(AND(ISNUMBER(O627),ISNUMBER(P627)),IF(P627&lt;O627,"⚠ Ende vor Start · ",""),"")&amp;IF(AND(R627="WON",AY627=0,NOT(AND(ISNUMBER(O627),ISNUMBER(P627)))),"⛔ Zeitraum fehlt · ","")&amp;IF(AND(R627&lt;&gt;"WON",AY627=0,NOT(AND(ISNUMBER(O627),ISNUMBER(P627)))),"○ Zeitraum offen · ",""))</f>
        <v/>
      </c>
      <c r="BB627" s="1" t="str">
        <f aca="false">IF(B627="","",IF(AND(R627="WON",AS627=0),"⛔ Nachweis fehlt",IF(AND(ISNUMBER(O627),ISNUMBER(P627),P627&lt;O627),"⚠ Ende vor Start",IF(AND(R627="WON",AY627=0),"⛔ Zeitraum fehlt",IF(AR627=0,"○ Einstand offen",IF(AY627=0,"○ Zeitraum offen",IF(R627="WON","✅ belegt","✔ erfasst")))))))</f>
        <v/>
      </c>
    </row>
    <row r="628" customFormat="false" ht="15" hidden="false" customHeight="true" outlineLevel="0" collapsed="false">
      <c r="G628" s="1" t="str">
        <f aca="false">IF(B628="","",IF(AY628=1,P628-O628+1,IF(AW628="","",AW628)))</f>
        <v/>
      </c>
      <c r="I628" s="270"/>
      <c r="J628" s="270"/>
      <c r="K628" s="270"/>
      <c r="L628" s="270"/>
      <c r="M628" s="270"/>
      <c r="N628" s="270"/>
      <c r="O628" s="263"/>
      <c r="P628" s="263"/>
      <c r="Q628" s="270" t="str">
        <f aca="false">IF(AND(ISNUMBER(I628),ISNUMBER(S628)),I628*AJ628,IF(OR(I628&lt;&gt;"",S628&lt;&gt;""),"tbd",""))</f>
        <v/>
      </c>
      <c r="S628" s="268"/>
      <c r="Y628" s="275" t="str">
        <f aca="false">IF(ISNUMBER(I628),I628/Netto_Faktor,"")</f>
        <v/>
      </c>
      <c r="Z628" s="275" t="str">
        <f aca="false">IF(B628="","",IF(COUNT(J628:N628)=0,"",SUM(J628:N628)))</f>
        <v/>
      </c>
      <c r="AA628" s="266"/>
      <c r="AB628" s="266"/>
      <c r="AC628" s="266"/>
      <c r="AD628" s="266"/>
      <c r="AE628" s="266"/>
      <c r="AF628" s="266"/>
      <c r="AG628" s="267"/>
      <c r="AH628" s="266" t="str">
        <f aca="false">IF(B628="","",IF(BA628="",IF(R628="WON","✅ belegt &amp; vollständig","✔ vollständig"),LEFT(BA628,LEN(BA628)-3)))</f>
        <v/>
      </c>
      <c r="AJ628" s="268" t="n">
        <f aca="false">IF(ISNUMBER(S628),IFERROR(LOOKUP(IF(S628&lt;=1,S628,S628/100),'⚖️ Wahrscheinlichkeit'!$B$17:$B$21,'⚖️ Wahrscheinlichkeit'!$D$17:$D$21),0),0)</f>
        <v>0</v>
      </c>
      <c r="AK628" s="1" t="str">
        <f aca="false">IF(AND(R628="WON",ISNUMBER(I628)),AL628+(861-ROW())*0.000001,"")</f>
        <v/>
      </c>
      <c r="AL628" s="1" t="n">
        <f aca="false">IFERROR(I628*1,0)</f>
        <v>0</v>
      </c>
      <c r="AM628" s="1" t="n">
        <f aca="false">N(AM627)+IF(AND(R628="WON",B628&lt;&gt;""),1,0)</f>
        <v>12</v>
      </c>
      <c r="AN628" s="1" t="n">
        <f aca="false">N(AN627)+IF(AND(OR(R628="offered",R628="to be offered",R628="on hold"),B628&lt;&gt;""),1,0)</f>
        <v>33</v>
      </c>
      <c r="AO628" s="1" t="n">
        <f aca="false">N(AO627)+IF(AND(OR(R628="follow-up",R628="Evaluation",R628="tbd",R628="In evaluation"),B628&lt;&gt;""),1,0)</f>
        <v>1</v>
      </c>
      <c r="AP628" s="1" t="n">
        <f aca="false">IF(B628="",0,IF(COUNTIF('⚖️ Wahrscheinlichkeit'!$J$17:$J$24,R628)&gt;0,1,0))</f>
        <v>0</v>
      </c>
      <c r="AQ628" s="1" t="n">
        <f aca="false">IF(B628="",0,IF(AND(ISNUMBER(S628),COUNTIF('⚖️ Wahrscheinlichkeit'!$B$6:$B$11,S628)&gt;0),1,0))</f>
        <v>0</v>
      </c>
      <c r="AR628" s="1" t="n">
        <f aca="false">IF(B628="",0,IF(AND(COUNT(J628:M628)=4,SUM(J628:M628)&gt;0),1,0))</f>
        <v>0</v>
      </c>
      <c r="AS628" s="1" t="n">
        <f aca="false">IF(B628="",0,IF(AND(AF628&lt;&gt;"",AG628&lt;&gt;""),1,0))</f>
        <v>0</v>
      </c>
      <c r="AT628" s="1" t="n">
        <f aca="false">IF(AND(R628="WON",AS628=1,AR628=1),1,0)</f>
        <v>0</v>
      </c>
      <c r="AU628" s="1" t="n">
        <f aca="false">IF(B628="",0,IF(AD628="Alternative – zählt nicht",0,1))</f>
        <v>0</v>
      </c>
      <c r="AV628" s="1" t="n">
        <f aca="false">IF(B628="",0,IF(COUNTIF($B$6:$B$860,B628)&gt;1,1,0))</f>
        <v>0</v>
      </c>
      <c r="AX628" s="269" t="str">
        <f aca="false">IF(AY628=1,DATE(YEAR(O628),MONTH(O628),1),"")</f>
        <v/>
      </c>
      <c r="AY628" s="1" t="n">
        <f aca="false">IF(B628="",0,IF(AND(ISNUMBER(O628),ISNUMBER(P628)),IF(P628&gt;=O628,1,0),0))</f>
        <v>0</v>
      </c>
      <c r="AZ628" s="1" t="n">
        <f aca="false">IF(ISNUMBER(Y628),Y628,0)</f>
        <v>0</v>
      </c>
      <c r="BA628" s="1" t="str">
        <f aca="false">IF(B628="","",IF(AND(R628="WON",AS628=0),"⛔ Beleg fehlt · ","")&amp;IF(AND(R628="WON",AR628=0),"⛔ Einstand fehlt · ","")&amp;IF(AND(R628&lt;&gt;"WON",AR628=0),"○ Einstand offen · ","")&amp;IF(AND(R628="WON",AB628=""),"⛔ Vertragsart fehlt · ","")&amp;IF(AND(ISNUMBER(O628),ISNUMBER(P628)),IF(P628&lt;O628,"⚠ Ende vor Start · ",""),"")&amp;IF(AND(R628="WON",AY628=0,NOT(AND(ISNUMBER(O628),ISNUMBER(P628)))),"⛔ Zeitraum fehlt · ","")&amp;IF(AND(R628&lt;&gt;"WON",AY628=0,NOT(AND(ISNUMBER(O628),ISNUMBER(P628)))),"○ Zeitraum offen · ",""))</f>
        <v/>
      </c>
      <c r="BB628" s="1" t="str">
        <f aca="false">IF(B628="","",IF(AND(R628="WON",AS628=0),"⛔ Nachweis fehlt",IF(AND(ISNUMBER(O628),ISNUMBER(P628),P628&lt;O628),"⚠ Ende vor Start",IF(AND(R628="WON",AY628=0),"⛔ Zeitraum fehlt",IF(AR628=0,"○ Einstand offen",IF(AY628=0,"○ Zeitraum offen",IF(R628="WON","✅ belegt","✔ erfasst")))))))</f>
        <v/>
      </c>
    </row>
    <row r="629" customFormat="false" ht="15" hidden="false" customHeight="true" outlineLevel="0" collapsed="false">
      <c r="G629" s="1" t="str">
        <f aca="false">IF(B629="","",IF(AY629=1,P629-O629+1,IF(AW629="","",AW629)))</f>
        <v/>
      </c>
      <c r="I629" s="270"/>
      <c r="J629" s="270"/>
      <c r="K629" s="270"/>
      <c r="L629" s="270"/>
      <c r="M629" s="270"/>
      <c r="N629" s="270"/>
      <c r="O629" s="263"/>
      <c r="P629" s="263"/>
      <c r="Q629" s="270" t="str">
        <f aca="false">IF(AND(ISNUMBER(I629),ISNUMBER(S629)),I629*AJ629,IF(OR(I629&lt;&gt;"",S629&lt;&gt;""),"tbd",""))</f>
        <v/>
      </c>
      <c r="S629" s="268"/>
      <c r="Y629" s="275" t="str">
        <f aca="false">IF(ISNUMBER(I629),I629/Netto_Faktor,"")</f>
        <v/>
      </c>
      <c r="Z629" s="275" t="str">
        <f aca="false">IF(B629="","",IF(COUNT(J629:N629)=0,"",SUM(J629:N629)))</f>
        <v/>
      </c>
      <c r="AA629" s="266"/>
      <c r="AB629" s="266"/>
      <c r="AC629" s="266"/>
      <c r="AD629" s="266"/>
      <c r="AE629" s="266"/>
      <c r="AF629" s="266"/>
      <c r="AG629" s="267"/>
      <c r="AH629" s="266" t="str">
        <f aca="false">IF(B629="","",IF(BA629="",IF(R629="WON","✅ belegt &amp; vollständig","✔ vollständig"),LEFT(BA629,LEN(BA629)-3)))</f>
        <v/>
      </c>
      <c r="AJ629" s="268" t="n">
        <f aca="false">IF(ISNUMBER(S629),IFERROR(LOOKUP(IF(S629&lt;=1,S629,S629/100),'⚖️ Wahrscheinlichkeit'!$B$17:$B$21,'⚖️ Wahrscheinlichkeit'!$D$17:$D$21),0),0)</f>
        <v>0</v>
      </c>
      <c r="AK629" s="1" t="str">
        <f aca="false">IF(AND(R629="WON",ISNUMBER(I629)),AL629+(861-ROW())*0.000001,"")</f>
        <v/>
      </c>
      <c r="AL629" s="1" t="n">
        <f aca="false">IFERROR(I629*1,0)</f>
        <v>0</v>
      </c>
      <c r="AM629" s="1" t="n">
        <f aca="false">N(AM628)+IF(AND(R629="WON",B629&lt;&gt;""),1,0)</f>
        <v>12</v>
      </c>
      <c r="AN629" s="1" t="n">
        <f aca="false">N(AN628)+IF(AND(OR(R629="offered",R629="to be offered",R629="on hold"),B629&lt;&gt;""),1,0)</f>
        <v>33</v>
      </c>
      <c r="AO629" s="1" t="n">
        <f aca="false">N(AO628)+IF(AND(OR(R629="follow-up",R629="Evaluation",R629="tbd",R629="In evaluation"),B629&lt;&gt;""),1,0)</f>
        <v>1</v>
      </c>
      <c r="AP629" s="1" t="n">
        <f aca="false">IF(B629="",0,IF(COUNTIF('⚖️ Wahrscheinlichkeit'!$J$17:$J$24,R629)&gt;0,1,0))</f>
        <v>0</v>
      </c>
      <c r="AQ629" s="1" t="n">
        <f aca="false">IF(B629="",0,IF(AND(ISNUMBER(S629),COUNTIF('⚖️ Wahrscheinlichkeit'!$B$6:$B$11,S629)&gt;0),1,0))</f>
        <v>0</v>
      </c>
      <c r="AR629" s="1" t="n">
        <f aca="false">IF(B629="",0,IF(AND(COUNT(J629:M629)=4,SUM(J629:M629)&gt;0),1,0))</f>
        <v>0</v>
      </c>
      <c r="AS629" s="1" t="n">
        <f aca="false">IF(B629="",0,IF(AND(AF629&lt;&gt;"",AG629&lt;&gt;""),1,0))</f>
        <v>0</v>
      </c>
      <c r="AT629" s="1" t="n">
        <f aca="false">IF(AND(R629="WON",AS629=1,AR629=1),1,0)</f>
        <v>0</v>
      </c>
      <c r="AU629" s="1" t="n">
        <f aca="false">IF(B629="",0,IF(AD629="Alternative – zählt nicht",0,1))</f>
        <v>0</v>
      </c>
      <c r="AV629" s="1" t="n">
        <f aca="false">IF(B629="",0,IF(COUNTIF($B$6:$B$860,B629)&gt;1,1,0))</f>
        <v>0</v>
      </c>
      <c r="AX629" s="269" t="str">
        <f aca="false">IF(AY629=1,DATE(YEAR(O629),MONTH(O629),1),"")</f>
        <v/>
      </c>
      <c r="AY629" s="1" t="n">
        <f aca="false">IF(B629="",0,IF(AND(ISNUMBER(O629),ISNUMBER(P629)),IF(P629&gt;=O629,1,0),0))</f>
        <v>0</v>
      </c>
      <c r="AZ629" s="1" t="n">
        <f aca="false">IF(ISNUMBER(Y629),Y629,0)</f>
        <v>0</v>
      </c>
      <c r="BA629" s="1" t="str">
        <f aca="false">IF(B629="","",IF(AND(R629="WON",AS629=0),"⛔ Beleg fehlt · ","")&amp;IF(AND(R629="WON",AR629=0),"⛔ Einstand fehlt · ","")&amp;IF(AND(R629&lt;&gt;"WON",AR629=0),"○ Einstand offen · ","")&amp;IF(AND(R629="WON",AB629=""),"⛔ Vertragsart fehlt · ","")&amp;IF(AND(ISNUMBER(O629),ISNUMBER(P629)),IF(P629&lt;O629,"⚠ Ende vor Start · ",""),"")&amp;IF(AND(R629="WON",AY629=0,NOT(AND(ISNUMBER(O629),ISNUMBER(P629)))),"⛔ Zeitraum fehlt · ","")&amp;IF(AND(R629&lt;&gt;"WON",AY629=0,NOT(AND(ISNUMBER(O629),ISNUMBER(P629)))),"○ Zeitraum offen · ",""))</f>
        <v/>
      </c>
      <c r="BB629" s="1" t="str">
        <f aca="false">IF(B629="","",IF(AND(R629="WON",AS629=0),"⛔ Nachweis fehlt",IF(AND(ISNUMBER(O629),ISNUMBER(P629),P629&lt;O629),"⚠ Ende vor Start",IF(AND(R629="WON",AY629=0),"⛔ Zeitraum fehlt",IF(AR629=0,"○ Einstand offen",IF(AY629=0,"○ Zeitraum offen",IF(R629="WON","✅ belegt","✔ erfasst")))))))</f>
        <v/>
      </c>
    </row>
    <row r="630" customFormat="false" ht="15" hidden="false" customHeight="true" outlineLevel="0" collapsed="false">
      <c r="G630" s="1" t="str">
        <f aca="false">IF(B630="","",IF(AY630=1,P630-O630+1,IF(AW630="","",AW630)))</f>
        <v/>
      </c>
      <c r="I630" s="270"/>
      <c r="J630" s="270"/>
      <c r="K630" s="270"/>
      <c r="L630" s="270"/>
      <c r="M630" s="270"/>
      <c r="N630" s="270"/>
      <c r="O630" s="263"/>
      <c r="P630" s="263"/>
      <c r="Q630" s="270" t="str">
        <f aca="false">IF(AND(ISNUMBER(I630),ISNUMBER(S630)),I630*AJ630,IF(OR(I630&lt;&gt;"",S630&lt;&gt;""),"tbd",""))</f>
        <v/>
      </c>
      <c r="S630" s="268"/>
      <c r="Y630" s="275" t="str">
        <f aca="false">IF(ISNUMBER(I630),I630/Netto_Faktor,"")</f>
        <v/>
      </c>
      <c r="Z630" s="275" t="str">
        <f aca="false">IF(B630="","",IF(COUNT(J630:N630)=0,"",SUM(J630:N630)))</f>
        <v/>
      </c>
      <c r="AA630" s="266"/>
      <c r="AB630" s="266"/>
      <c r="AC630" s="266"/>
      <c r="AD630" s="266"/>
      <c r="AE630" s="266"/>
      <c r="AF630" s="266"/>
      <c r="AG630" s="267"/>
      <c r="AH630" s="266" t="str">
        <f aca="false">IF(B630="","",IF(BA630="",IF(R630="WON","✅ belegt &amp; vollständig","✔ vollständig"),LEFT(BA630,LEN(BA630)-3)))</f>
        <v/>
      </c>
      <c r="AJ630" s="268" t="n">
        <f aca="false">IF(ISNUMBER(S630),IFERROR(LOOKUP(IF(S630&lt;=1,S630,S630/100),'⚖️ Wahrscheinlichkeit'!$B$17:$B$21,'⚖️ Wahrscheinlichkeit'!$D$17:$D$21),0),0)</f>
        <v>0</v>
      </c>
      <c r="AK630" s="1" t="str">
        <f aca="false">IF(AND(R630="WON",ISNUMBER(I630)),AL630+(861-ROW())*0.000001,"")</f>
        <v/>
      </c>
      <c r="AL630" s="1" t="n">
        <f aca="false">IFERROR(I630*1,0)</f>
        <v>0</v>
      </c>
      <c r="AM630" s="1" t="n">
        <f aca="false">N(AM629)+IF(AND(R630="WON",B630&lt;&gt;""),1,0)</f>
        <v>12</v>
      </c>
      <c r="AN630" s="1" t="n">
        <f aca="false">N(AN629)+IF(AND(OR(R630="offered",R630="to be offered",R630="on hold"),B630&lt;&gt;""),1,0)</f>
        <v>33</v>
      </c>
      <c r="AO630" s="1" t="n">
        <f aca="false">N(AO629)+IF(AND(OR(R630="follow-up",R630="Evaluation",R630="tbd",R630="In evaluation"),B630&lt;&gt;""),1,0)</f>
        <v>1</v>
      </c>
      <c r="AP630" s="1" t="n">
        <f aca="false">IF(B630="",0,IF(COUNTIF('⚖️ Wahrscheinlichkeit'!$J$17:$J$24,R630)&gt;0,1,0))</f>
        <v>0</v>
      </c>
      <c r="AQ630" s="1" t="n">
        <f aca="false">IF(B630="",0,IF(AND(ISNUMBER(S630),COUNTIF('⚖️ Wahrscheinlichkeit'!$B$6:$B$11,S630)&gt;0),1,0))</f>
        <v>0</v>
      </c>
      <c r="AR630" s="1" t="n">
        <f aca="false">IF(B630="",0,IF(AND(COUNT(J630:M630)=4,SUM(J630:M630)&gt;0),1,0))</f>
        <v>0</v>
      </c>
      <c r="AS630" s="1" t="n">
        <f aca="false">IF(B630="",0,IF(AND(AF630&lt;&gt;"",AG630&lt;&gt;""),1,0))</f>
        <v>0</v>
      </c>
      <c r="AT630" s="1" t="n">
        <f aca="false">IF(AND(R630="WON",AS630=1,AR630=1),1,0)</f>
        <v>0</v>
      </c>
      <c r="AU630" s="1" t="n">
        <f aca="false">IF(B630="",0,IF(AD630="Alternative – zählt nicht",0,1))</f>
        <v>0</v>
      </c>
      <c r="AV630" s="1" t="n">
        <f aca="false">IF(B630="",0,IF(COUNTIF($B$6:$B$860,B630)&gt;1,1,0))</f>
        <v>0</v>
      </c>
      <c r="AX630" s="269" t="str">
        <f aca="false">IF(AY630=1,DATE(YEAR(O630),MONTH(O630),1),"")</f>
        <v/>
      </c>
      <c r="AY630" s="1" t="n">
        <f aca="false">IF(B630="",0,IF(AND(ISNUMBER(O630),ISNUMBER(P630)),IF(P630&gt;=O630,1,0),0))</f>
        <v>0</v>
      </c>
      <c r="AZ630" s="1" t="n">
        <f aca="false">IF(ISNUMBER(Y630),Y630,0)</f>
        <v>0</v>
      </c>
      <c r="BA630" s="1" t="str">
        <f aca="false">IF(B630="","",IF(AND(R630="WON",AS630=0),"⛔ Beleg fehlt · ","")&amp;IF(AND(R630="WON",AR630=0),"⛔ Einstand fehlt · ","")&amp;IF(AND(R630&lt;&gt;"WON",AR630=0),"○ Einstand offen · ","")&amp;IF(AND(R630="WON",AB630=""),"⛔ Vertragsart fehlt · ","")&amp;IF(AND(ISNUMBER(O630),ISNUMBER(P630)),IF(P630&lt;O630,"⚠ Ende vor Start · ",""),"")&amp;IF(AND(R630="WON",AY630=0,NOT(AND(ISNUMBER(O630),ISNUMBER(P630)))),"⛔ Zeitraum fehlt · ","")&amp;IF(AND(R630&lt;&gt;"WON",AY630=0,NOT(AND(ISNUMBER(O630),ISNUMBER(P630)))),"○ Zeitraum offen · ",""))</f>
        <v/>
      </c>
      <c r="BB630" s="1" t="str">
        <f aca="false">IF(B630="","",IF(AND(R630="WON",AS630=0),"⛔ Nachweis fehlt",IF(AND(ISNUMBER(O630),ISNUMBER(P630),P630&lt;O630),"⚠ Ende vor Start",IF(AND(R630="WON",AY630=0),"⛔ Zeitraum fehlt",IF(AR630=0,"○ Einstand offen",IF(AY630=0,"○ Zeitraum offen",IF(R630="WON","✅ belegt","✔ erfasst")))))))</f>
        <v/>
      </c>
    </row>
    <row r="631" customFormat="false" ht="15" hidden="false" customHeight="true" outlineLevel="0" collapsed="false">
      <c r="G631" s="1" t="str">
        <f aca="false">IF(B631="","",IF(AY631=1,P631-O631+1,IF(AW631="","",AW631)))</f>
        <v/>
      </c>
      <c r="I631" s="270"/>
      <c r="J631" s="270"/>
      <c r="K631" s="270"/>
      <c r="L631" s="270"/>
      <c r="M631" s="270"/>
      <c r="N631" s="270"/>
      <c r="O631" s="263"/>
      <c r="P631" s="263"/>
      <c r="Q631" s="270" t="str">
        <f aca="false">IF(AND(ISNUMBER(I631),ISNUMBER(S631)),I631*AJ631,IF(OR(I631&lt;&gt;"",S631&lt;&gt;""),"tbd",""))</f>
        <v/>
      </c>
      <c r="S631" s="268"/>
      <c r="Y631" s="275" t="str">
        <f aca="false">IF(ISNUMBER(I631),I631/Netto_Faktor,"")</f>
        <v/>
      </c>
      <c r="Z631" s="275" t="str">
        <f aca="false">IF(B631="","",IF(COUNT(J631:N631)=0,"",SUM(J631:N631)))</f>
        <v/>
      </c>
      <c r="AA631" s="266"/>
      <c r="AB631" s="266"/>
      <c r="AC631" s="266"/>
      <c r="AD631" s="266"/>
      <c r="AE631" s="266"/>
      <c r="AF631" s="266"/>
      <c r="AG631" s="267"/>
      <c r="AH631" s="266" t="str">
        <f aca="false">IF(B631="","",IF(BA631="",IF(R631="WON","✅ belegt &amp; vollständig","✔ vollständig"),LEFT(BA631,LEN(BA631)-3)))</f>
        <v/>
      </c>
      <c r="AJ631" s="268" t="n">
        <f aca="false">IF(ISNUMBER(S631),IFERROR(LOOKUP(IF(S631&lt;=1,S631,S631/100),'⚖️ Wahrscheinlichkeit'!$B$17:$B$21,'⚖️ Wahrscheinlichkeit'!$D$17:$D$21),0),0)</f>
        <v>0</v>
      </c>
      <c r="AK631" s="1" t="str">
        <f aca="false">IF(AND(R631="WON",ISNUMBER(I631)),AL631+(861-ROW())*0.000001,"")</f>
        <v/>
      </c>
      <c r="AL631" s="1" t="n">
        <f aca="false">IFERROR(I631*1,0)</f>
        <v>0</v>
      </c>
      <c r="AM631" s="1" t="n">
        <f aca="false">N(AM630)+IF(AND(R631="WON",B631&lt;&gt;""),1,0)</f>
        <v>12</v>
      </c>
      <c r="AN631" s="1" t="n">
        <f aca="false">N(AN630)+IF(AND(OR(R631="offered",R631="to be offered",R631="on hold"),B631&lt;&gt;""),1,0)</f>
        <v>33</v>
      </c>
      <c r="AO631" s="1" t="n">
        <f aca="false">N(AO630)+IF(AND(OR(R631="follow-up",R631="Evaluation",R631="tbd",R631="In evaluation"),B631&lt;&gt;""),1,0)</f>
        <v>1</v>
      </c>
      <c r="AP631" s="1" t="n">
        <f aca="false">IF(B631="",0,IF(COUNTIF('⚖️ Wahrscheinlichkeit'!$J$17:$J$24,R631)&gt;0,1,0))</f>
        <v>0</v>
      </c>
      <c r="AQ631" s="1" t="n">
        <f aca="false">IF(B631="",0,IF(AND(ISNUMBER(S631),COUNTIF('⚖️ Wahrscheinlichkeit'!$B$6:$B$11,S631)&gt;0),1,0))</f>
        <v>0</v>
      </c>
      <c r="AR631" s="1" t="n">
        <f aca="false">IF(B631="",0,IF(AND(COUNT(J631:M631)=4,SUM(J631:M631)&gt;0),1,0))</f>
        <v>0</v>
      </c>
      <c r="AS631" s="1" t="n">
        <f aca="false">IF(B631="",0,IF(AND(AF631&lt;&gt;"",AG631&lt;&gt;""),1,0))</f>
        <v>0</v>
      </c>
      <c r="AT631" s="1" t="n">
        <f aca="false">IF(AND(R631="WON",AS631=1,AR631=1),1,0)</f>
        <v>0</v>
      </c>
      <c r="AU631" s="1" t="n">
        <f aca="false">IF(B631="",0,IF(AD631="Alternative – zählt nicht",0,1))</f>
        <v>0</v>
      </c>
      <c r="AV631" s="1" t="n">
        <f aca="false">IF(B631="",0,IF(COUNTIF($B$6:$B$860,B631)&gt;1,1,0))</f>
        <v>0</v>
      </c>
      <c r="AX631" s="269" t="str">
        <f aca="false">IF(AY631=1,DATE(YEAR(O631),MONTH(O631),1),"")</f>
        <v/>
      </c>
      <c r="AY631" s="1" t="n">
        <f aca="false">IF(B631="",0,IF(AND(ISNUMBER(O631),ISNUMBER(P631)),IF(P631&gt;=O631,1,0),0))</f>
        <v>0</v>
      </c>
      <c r="AZ631" s="1" t="n">
        <f aca="false">IF(ISNUMBER(Y631),Y631,0)</f>
        <v>0</v>
      </c>
      <c r="BA631" s="1" t="str">
        <f aca="false">IF(B631="","",IF(AND(R631="WON",AS631=0),"⛔ Beleg fehlt · ","")&amp;IF(AND(R631="WON",AR631=0),"⛔ Einstand fehlt · ","")&amp;IF(AND(R631&lt;&gt;"WON",AR631=0),"○ Einstand offen · ","")&amp;IF(AND(R631="WON",AB631=""),"⛔ Vertragsart fehlt · ","")&amp;IF(AND(ISNUMBER(O631),ISNUMBER(P631)),IF(P631&lt;O631,"⚠ Ende vor Start · ",""),"")&amp;IF(AND(R631="WON",AY631=0,NOT(AND(ISNUMBER(O631),ISNUMBER(P631)))),"⛔ Zeitraum fehlt · ","")&amp;IF(AND(R631&lt;&gt;"WON",AY631=0,NOT(AND(ISNUMBER(O631),ISNUMBER(P631)))),"○ Zeitraum offen · ",""))</f>
        <v/>
      </c>
      <c r="BB631" s="1" t="str">
        <f aca="false">IF(B631="","",IF(AND(R631="WON",AS631=0),"⛔ Nachweis fehlt",IF(AND(ISNUMBER(O631),ISNUMBER(P631),P631&lt;O631),"⚠ Ende vor Start",IF(AND(R631="WON",AY631=0),"⛔ Zeitraum fehlt",IF(AR631=0,"○ Einstand offen",IF(AY631=0,"○ Zeitraum offen",IF(R631="WON","✅ belegt","✔ erfasst")))))))</f>
        <v/>
      </c>
    </row>
    <row r="632" customFormat="false" ht="15" hidden="false" customHeight="true" outlineLevel="0" collapsed="false">
      <c r="G632" s="1" t="str">
        <f aca="false">IF(B632="","",IF(AY632=1,P632-O632+1,IF(AW632="","",AW632)))</f>
        <v/>
      </c>
      <c r="I632" s="270"/>
      <c r="J632" s="270"/>
      <c r="K632" s="270"/>
      <c r="L632" s="270"/>
      <c r="M632" s="270"/>
      <c r="N632" s="270"/>
      <c r="O632" s="263"/>
      <c r="P632" s="263"/>
      <c r="Q632" s="270" t="str">
        <f aca="false">IF(AND(ISNUMBER(I632),ISNUMBER(S632)),I632*AJ632,IF(OR(I632&lt;&gt;"",S632&lt;&gt;""),"tbd",""))</f>
        <v/>
      </c>
      <c r="S632" s="268"/>
      <c r="Y632" s="275" t="str">
        <f aca="false">IF(ISNUMBER(I632),I632/Netto_Faktor,"")</f>
        <v/>
      </c>
      <c r="Z632" s="275" t="str">
        <f aca="false">IF(B632="","",IF(COUNT(J632:N632)=0,"",SUM(J632:N632)))</f>
        <v/>
      </c>
      <c r="AA632" s="266"/>
      <c r="AB632" s="266"/>
      <c r="AC632" s="266"/>
      <c r="AD632" s="266"/>
      <c r="AE632" s="266"/>
      <c r="AF632" s="266"/>
      <c r="AG632" s="267"/>
      <c r="AH632" s="266" t="str">
        <f aca="false">IF(B632="","",IF(BA632="",IF(R632="WON","✅ belegt &amp; vollständig","✔ vollständig"),LEFT(BA632,LEN(BA632)-3)))</f>
        <v/>
      </c>
      <c r="AJ632" s="268" t="n">
        <f aca="false">IF(ISNUMBER(S632),IFERROR(LOOKUP(IF(S632&lt;=1,S632,S632/100),'⚖️ Wahrscheinlichkeit'!$B$17:$B$21,'⚖️ Wahrscheinlichkeit'!$D$17:$D$21),0),0)</f>
        <v>0</v>
      </c>
      <c r="AK632" s="1" t="str">
        <f aca="false">IF(AND(R632="WON",ISNUMBER(I632)),AL632+(861-ROW())*0.000001,"")</f>
        <v/>
      </c>
      <c r="AL632" s="1" t="n">
        <f aca="false">IFERROR(I632*1,0)</f>
        <v>0</v>
      </c>
      <c r="AM632" s="1" t="n">
        <f aca="false">N(AM631)+IF(AND(R632="WON",B632&lt;&gt;""),1,0)</f>
        <v>12</v>
      </c>
      <c r="AN632" s="1" t="n">
        <f aca="false">N(AN631)+IF(AND(OR(R632="offered",R632="to be offered",R632="on hold"),B632&lt;&gt;""),1,0)</f>
        <v>33</v>
      </c>
      <c r="AO632" s="1" t="n">
        <f aca="false">N(AO631)+IF(AND(OR(R632="follow-up",R632="Evaluation",R632="tbd",R632="In evaluation"),B632&lt;&gt;""),1,0)</f>
        <v>1</v>
      </c>
      <c r="AP632" s="1" t="n">
        <f aca="false">IF(B632="",0,IF(COUNTIF('⚖️ Wahrscheinlichkeit'!$J$17:$J$24,R632)&gt;0,1,0))</f>
        <v>0</v>
      </c>
      <c r="AQ632" s="1" t="n">
        <f aca="false">IF(B632="",0,IF(AND(ISNUMBER(S632),COUNTIF('⚖️ Wahrscheinlichkeit'!$B$6:$B$11,S632)&gt;0),1,0))</f>
        <v>0</v>
      </c>
      <c r="AR632" s="1" t="n">
        <f aca="false">IF(B632="",0,IF(AND(COUNT(J632:M632)=4,SUM(J632:M632)&gt;0),1,0))</f>
        <v>0</v>
      </c>
      <c r="AS632" s="1" t="n">
        <f aca="false">IF(B632="",0,IF(AND(AF632&lt;&gt;"",AG632&lt;&gt;""),1,0))</f>
        <v>0</v>
      </c>
      <c r="AT632" s="1" t="n">
        <f aca="false">IF(AND(R632="WON",AS632=1,AR632=1),1,0)</f>
        <v>0</v>
      </c>
      <c r="AU632" s="1" t="n">
        <f aca="false">IF(B632="",0,IF(AD632="Alternative – zählt nicht",0,1))</f>
        <v>0</v>
      </c>
      <c r="AV632" s="1" t="n">
        <f aca="false">IF(B632="",0,IF(COUNTIF($B$6:$B$860,B632)&gt;1,1,0))</f>
        <v>0</v>
      </c>
      <c r="AX632" s="269" t="str">
        <f aca="false">IF(AY632=1,DATE(YEAR(O632),MONTH(O632),1),"")</f>
        <v/>
      </c>
      <c r="AY632" s="1" t="n">
        <f aca="false">IF(B632="",0,IF(AND(ISNUMBER(O632),ISNUMBER(P632)),IF(P632&gt;=O632,1,0),0))</f>
        <v>0</v>
      </c>
      <c r="AZ632" s="1" t="n">
        <f aca="false">IF(ISNUMBER(Y632),Y632,0)</f>
        <v>0</v>
      </c>
      <c r="BA632" s="1" t="str">
        <f aca="false">IF(B632="","",IF(AND(R632="WON",AS632=0),"⛔ Beleg fehlt · ","")&amp;IF(AND(R632="WON",AR632=0),"⛔ Einstand fehlt · ","")&amp;IF(AND(R632&lt;&gt;"WON",AR632=0),"○ Einstand offen · ","")&amp;IF(AND(R632="WON",AB632=""),"⛔ Vertragsart fehlt · ","")&amp;IF(AND(ISNUMBER(O632),ISNUMBER(P632)),IF(P632&lt;O632,"⚠ Ende vor Start · ",""),"")&amp;IF(AND(R632="WON",AY632=0,NOT(AND(ISNUMBER(O632),ISNUMBER(P632)))),"⛔ Zeitraum fehlt · ","")&amp;IF(AND(R632&lt;&gt;"WON",AY632=0,NOT(AND(ISNUMBER(O632),ISNUMBER(P632)))),"○ Zeitraum offen · ",""))</f>
        <v/>
      </c>
      <c r="BB632" s="1" t="str">
        <f aca="false">IF(B632="","",IF(AND(R632="WON",AS632=0),"⛔ Nachweis fehlt",IF(AND(ISNUMBER(O632),ISNUMBER(P632),P632&lt;O632),"⚠ Ende vor Start",IF(AND(R632="WON",AY632=0),"⛔ Zeitraum fehlt",IF(AR632=0,"○ Einstand offen",IF(AY632=0,"○ Zeitraum offen",IF(R632="WON","✅ belegt","✔ erfasst")))))))</f>
        <v/>
      </c>
    </row>
    <row r="633" customFormat="false" ht="15" hidden="false" customHeight="true" outlineLevel="0" collapsed="false">
      <c r="G633" s="1" t="str">
        <f aca="false">IF(B633="","",IF(AY633=1,P633-O633+1,IF(AW633="","",AW633)))</f>
        <v/>
      </c>
      <c r="I633" s="270"/>
      <c r="J633" s="270"/>
      <c r="K633" s="270"/>
      <c r="L633" s="270"/>
      <c r="M633" s="270"/>
      <c r="N633" s="270"/>
      <c r="O633" s="263"/>
      <c r="P633" s="263"/>
      <c r="Q633" s="270" t="str">
        <f aca="false">IF(AND(ISNUMBER(I633),ISNUMBER(S633)),I633*AJ633,IF(OR(I633&lt;&gt;"",S633&lt;&gt;""),"tbd",""))</f>
        <v/>
      </c>
      <c r="S633" s="268"/>
      <c r="Y633" s="275" t="str">
        <f aca="false">IF(ISNUMBER(I633),I633/Netto_Faktor,"")</f>
        <v/>
      </c>
      <c r="Z633" s="275" t="str">
        <f aca="false">IF(B633="","",IF(COUNT(J633:N633)=0,"",SUM(J633:N633)))</f>
        <v/>
      </c>
      <c r="AA633" s="266"/>
      <c r="AB633" s="266"/>
      <c r="AC633" s="266"/>
      <c r="AD633" s="266"/>
      <c r="AE633" s="266"/>
      <c r="AF633" s="266"/>
      <c r="AG633" s="267"/>
      <c r="AH633" s="266" t="str">
        <f aca="false">IF(B633="","",IF(BA633="",IF(R633="WON","✅ belegt &amp; vollständig","✔ vollständig"),LEFT(BA633,LEN(BA633)-3)))</f>
        <v/>
      </c>
      <c r="AJ633" s="268" t="n">
        <f aca="false">IF(ISNUMBER(S633),IFERROR(LOOKUP(IF(S633&lt;=1,S633,S633/100),'⚖️ Wahrscheinlichkeit'!$B$17:$B$21,'⚖️ Wahrscheinlichkeit'!$D$17:$D$21),0),0)</f>
        <v>0</v>
      </c>
      <c r="AK633" s="1" t="str">
        <f aca="false">IF(AND(R633="WON",ISNUMBER(I633)),AL633+(861-ROW())*0.000001,"")</f>
        <v/>
      </c>
      <c r="AL633" s="1" t="n">
        <f aca="false">IFERROR(I633*1,0)</f>
        <v>0</v>
      </c>
      <c r="AM633" s="1" t="n">
        <f aca="false">N(AM632)+IF(AND(R633="WON",B633&lt;&gt;""),1,0)</f>
        <v>12</v>
      </c>
      <c r="AN633" s="1" t="n">
        <f aca="false">N(AN632)+IF(AND(OR(R633="offered",R633="to be offered",R633="on hold"),B633&lt;&gt;""),1,0)</f>
        <v>33</v>
      </c>
      <c r="AO633" s="1" t="n">
        <f aca="false">N(AO632)+IF(AND(OR(R633="follow-up",R633="Evaluation",R633="tbd",R633="In evaluation"),B633&lt;&gt;""),1,0)</f>
        <v>1</v>
      </c>
      <c r="AP633" s="1" t="n">
        <f aca="false">IF(B633="",0,IF(COUNTIF('⚖️ Wahrscheinlichkeit'!$J$17:$J$24,R633)&gt;0,1,0))</f>
        <v>0</v>
      </c>
      <c r="AQ633" s="1" t="n">
        <f aca="false">IF(B633="",0,IF(AND(ISNUMBER(S633),COUNTIF('⚖️ Wahrscheinlichkeit'!$B$6:$B$11,S633)&gt;0),1,0))</f>
        <v>0</v>
      </c>
      <c r="AR633" s="1" t="n">
        <f aca="false">IF(B633="",0,IF(AND(COUNT(J633:M633)=4,SUM(J633:M633)&gt;0),1,0))</f>
        <v>0</v>
      </c>
      <c r="AS633" s="1" t="n">
        <f aca="false">IF(B633="",0,IF(AND(AF633&lt;&gt;"",AG633&lt;&gt;""),1,0))</f>
        <v>0</v>
      </c>
      <c r="AT633" s="1" t="n">
        <f aca="false">IF(AND(R633="WON",AS633=1,AR633=1),1,0)</f>
        <v>0</v>
      </c>
      <c r="AU633" s="1" t="n">
        <f aca="false">IF(B633="",0,IF(AD633="Alternative – zählt nicht",0,1))</f>
        <v>0</v>
      </c>
      <c r="AV633" s="1" t="n">
        <f aca="false">IF(B633="",0,IF(COUNTIF($B$6:$B$860,B633)&gt;1,1,0))</f>
        <v>0</v>
      </c>
      <c r="AX633" s="269" t="str">
        <f aca="false">IF(AY633=1,DATE(YEAR(O633),MONTH(O633),1),"")</f>
        <v/>
      </c>
      <c r="AY633" s="1" t="n">
        <f aca="false">IF(B633="",0,IF(AND(ISNUMBER(O633),ISNUMBER(P633)),IF(P633&gt;=O633,1,0),0))</f>
        <v>0</v>
      </c>
      <c r="AZ633" s="1" t="n">
        <f aca="false">IF(ISNUMBER(Y633),Y633,0)</f>
        <v>0</v>
      </c>
      <c r="BA633" s="1" t="str">
        <f aca="false">IF(B633="","",IF(AND(R633="WON",AS633=0),"⛔ Beleg fehlt · ","")&amp;IF(AND(R633="WON",AR633=0),"⛔ Einstand fehlt · ","")&amp;IF(AND(R633&lt;&gt;"WON",AR633=0),"○ Einstand offen · ","")&amp;IF(AND(R633="WON",AB633=""),"⛔ Vertragsart fehlt · ","")&amp;IF(AND(ISNUMBER(O633),ISNUMBER(P633)),IF(P633&lt;O633,"⚠ Ende vor Start · ",""),"")&amp;IF(AND(R633="WON",AY633=0,NOT(AND(ISNUMBER(O633),ISNUMBER(P633)))),"⛔ Zeitraum fehlt · ","")&amp;IF(AND(R633&lt;&gt;"WON",AY633=0,NOT(AND(ISNUMBER(O633),ISNUMBER(P633)))),"○ Zeitraum offen · ",""))</f>
        <v/>
      </c>
      <c r="BB633" s="1" t="str">
        <f aca="false">IF(B633="","",IF(AND(R633="WON",AS633=0),"⛔ Nachweis fehlt",IF(AND(ISNUMBER(O633),ISNUMBER(P633),P633&lt;O633),"⚠ Ende vor Start",IF(AND(R633="WON",AY633=0),"⛔ Zeitraum fehlt",IF(AR633=0,"○ Einstand offen",IF(AY633=0,"○ Zeitraum offen",IF(R633="WON","✅ belegt","✔ erfasst")))))))</f>
        <v/>
      </c>
    </row>
    <row r="634" customFormat="false" ht="15" hidden="false" customHeight="true" outlineLevel="0" collapsed="false">
      <c r="G634" s="1" t="str">
        <f aca="false">IF(B634="","",IF(AY634=1,P634-O634+1,IF(AW634="","",AW634)))</f>
        <v/>
      </c>
      <c r="I634" s="270"/>
      <c r="J634" s="270"/>
      <c r="K634" s="270"/>
      <c r="L634" s="270"/>
      <c r="M634" s="270"/>
      <c r="N634" s="270"/>
      <c r="O634" s="263"/>
      <c r="P634" s="263"/>
      <c r="Q634" s="270" t="str">
        <f aca="false">IF(AND(ISNUMBER(I634),ISNUMBER(S634)),I634*AJ634,IF(OR(I634&lt;&gt;"",S634&lt;&gt;""),"tbd",""))</f>
        <v/>
      </c>
      <c r="S634" s="268"/>
      <c r="Y634" s="275" t="str">
        <f aca="false">IF(ISNUMBER(I634),I634/Netto_Faktor,"")</f>
        <v/>
      </c>
      <c r="Z634" s="275" t="str">
        <f aca="false">IF(B634="","",IF(COUNT(J634:N634)=0,"",SUM(J634:N634)))</f>
        <v/>
      </c>
      <c r="AA634" s="266"/>
      <c r="AB634" s="266"/>
      <c r="AC634" s="266"/>
      <c r="AD634" s="266"/>
      <c r="AE634" s="266"/>
      <c r="AF634" s="266"/>
      <c r="AG634" s="267"/>
      <c r="AH634" s="266" t="str">
        <f aca="false">IF(B634="","",IF(BA634="",IF(R634="WON","✅ belegt &amp; vollständig","✔ vollständig"),LEFT(BA634,LEN(BA634)-3)))</f>
        <v/>
      </c>
      <c r="AJ634" s="268" t="n">
        <f aca="false">IF(ISNUMBER(S634),IFERROR(LOOKUP(IF(S634&lt;=1,S634,S634/100),'⚖️ Wahrscheinlichkeit'!$B$17:$B$21,'⚖️ Wahrscheinlichkeit'!$D$17:$D$21),0),0)</f>
        <v>0</v>
      </c>
      <c r="AK634" s="1" t="str">
        <f aca="false">IF(AND(R634="WON",ISNUMBER(I634)),AL634+(861-ROW())*0.000001,"")</f>
        <v/>
      </c>
      <c r="AL634" s="1" t="n">
        <f aca="false">IFERROR(I634*1,0)</f>
        <v>0</v>
      </c>
      <c r="AM634" s="1" t="n">
        <f aca="false">N(AM633)+IF(AND(R634="WON",B634&lt;&gt;""),1,0)</f>
        <v>12</v>
      </c>
      <c r="AN634" s="1" t="n">
        <f aca="false">N(AN633)+IF(AND(OR(R634="offered",R634="to be offered",R634="on hold"),B634&lt;&gt;""),1,0)</f>
        <v>33</v>
      </c>
      <c r="AO634" s="1" t="n">
        <f aca="false">N(AO633)+IF(AND(OR(R634="follow-up",R634="Evaluation",R634="tbd",R634="In evaluation"),B634&lt;&gt;""),1,0)</f>
        <v>1</v>
      </c>
      <c r="AP634" s="1" t="n">
        <f aca="false">IF(B634="",0,IF(COUNTIF('⚖️ Wahrscheinlichkeit'!$J$17:$J$24,R634)&gt;0,1,0))</f>
        <v>0</v>
      </c>
      <c r="AQ634" s="1" t="n">
        <f aca="false">IF(B634="",0,IF(AND(ISNUMBER(S634),COUNTIF('⚖️ Wahrscheinlichkeit'!$B$6:$B$11,S634)&gt;0),1,0))</f>
        <v>0</v>
      </c>
      <c r="AR634" s="1" t="n">
        <f aca="false">IF(B634="",0,IF(AND(COUNT(J634:M634)=4,SUM(J634:M634)&gt;0),1,0))</f>
        <v>0</v>
      </c>
      <c r="AS634" s="1" t="n">
        <f aca="false">IF(B634="",0,IF(AND(AF634&lt;&gt;"",AG634&lt;&gt;""),1,0))</f>
        <v>0</v>
      </c>
      <c r="AT634" s="1" t="n">
        <f aca="false">IF(AND(R634="WON",AS634=1,AR634=1),1,0)</f>
        <v>0</v>
      </c>
      <c r="AU634" s="1" t="n">
        <f aca="false">IF(B634="",0,IF(AD634="Alternative – zählt nicht",0,1))</f>
        <v>0</v>
      </c>
      <c r="AV634" s="1" t="n">
        <f aca="false">IF(B634="",0,IF(COUNTIF($B$6:$B$860,B634)&gt;1,1,0))</f>
        <v>0</v>
      </c>
      <c r="AX634" s="269" t="str">
        <f aca="false">IF(AY634=1,DATE(YEAR(O634),MONTH(O634),1),"")</f>
        <v/>
      </c>
      <c r="AY634" s="1" t="n">
        <f aca="false">IF(B634="",0,IF(AND(ISNUMBER(O634),ISNUMBER(P634)),IF(P634&gt;=O634,1,0),0))</f>
        <v>0</v>
      </c>
      <c r="AZ634" s="1" t="n">
        <f aca="false">IF(ISNUMBER(Y634),Y634,0)</f>
        <v>0</v>
      </c>
      <c r="BA634" s="1" t="str">
        <f aca="false">IF(B634="","",IF(AND(R634="WON",AS634=0),"⛔ Beleg fehlt · ","")&amp;IF(AND(R634="WON",AR634=0),"⛔ Einstand fehlt · ","")&amp;IF(AND(R634&lt;&gt;"WON",AR634=0),"○ Einstand offen · ","")&amp;IF(AND(R634="WON",AB634=""),"⛔ Vertragsart fehlt · ","")&amp;IF(AND(ISNUMBER(O634),ISNUMBER(P634)),IF(P634&lt;O634,"⚠ Ende vor Start · ",""),"")&amp;IF(AND(R634="WON",AY634=0,NOT(AND(ISNUMBER(O634),ISNUMBER(P634)))),"⛔ Zeitraum fehlt · ","")&amp;IF(AND(R634&lt;&gt;"WON",AY634=0,NOT(AND(ISNUMBER(O634),ISNUMBER(P634)))),"○ Zeitraum offen · ",""))</f>
        <v/>
      </c>
      <c r="BB634" s="1" t="str">
        <f aca="false">IF(B634="","",IF(AND(R634="WON",AS634=0),"⛔ Nachweis fehlt",IF(AND(ISNUMBER(O634),ISNUMBER(P634),P634&lt;O634),"⚠ Ende vor Start",IF(AND(R634="WON",AY634=0),"⛔ Zeitraum fehlt",IF(AR634=0,"○ Einstand offen",IF(AY634=0,"○ Zeitraum offen",IF(R634="WON","✅ belegt","✔ erfasst")))))))</f>
        <v/>
      </c>
    </row>
    <row r="635" customFormat="false" ht="15" hidden="false" customHeight="true" outlineLevel="0" collapsed="false">
      <c r="G635" s="1" t="str">
        <f aca="false">IF(B635="","",IF(AY635=1,P635-O635+1,IF(AW635="","",AW635)))</f>
        <v/>
      </c>
      <c r="I635" s="270"/>
      <c r="J635" s="270"/>
      <c r="K635" s="270"/>
      <c r="L635" s="270"/>
      <c r="M635" s="270"/>
      <c r="N635" s="270"/>
      <c r="O635" s="263"/>
      <c r="P635" s="263"/>
      <c r="Q635" s="270" t="str">
        <f aca="false">IF(AND(ISNUMBER(I635),ISNUMBER(S635)),I635*AJ635,IF(OR(I635&lt;&gt;"",S635&lt;&gt;""),"tbd",""))</f>
        <v/>
      </c>
      <c r="S635" s="268"/>
      <c r="Y635" s="275" t="str">
        <f aca="false">IF(ISNUMBER(I635),I635/Netto_Faktor,"")</f>
        <v/>
      </c>
      <c r="Z635" s="275" t="str">
        <f aca="false">IF(B635="","",IF(COUNT(J635:N635)=0,"",SUM(J635:N635)))</f>
        <v/>
      </c>
      <c r="AA635" s="266"/>
      <c r="AB635" s="266"/>
      <c r="AC635" s="266"/>
      <c r="AD635" s="266"/>
      <c r="AE635" s="266"/>
      <c r="AF635" s="266"/>
      <c r="AG635" s="267"/>
      <c r="AH635" s="266" t="str">
        <f aca="false">IF(B635="","",IF(BA635="",IF(R635="WON","✅ belegt &amp; vollständig","✔ vollständig"),LEFT(BA635,LEN(BA635)-3)))</f>
        <v/>
      </c>
      <c r="AJ635" s="268" t="n">
        <f aca="false">IF(ISNUMBER(S635),IFERROR(LOOKUP(IF(S635&lt;=1,S635,S635/100),'⚖️ Wahrscheinlichkeit'!$B$17:$B$21,'⚖️ Wahrscheinlichkeit'!$D$17:$D$21),0),0)</f>
        <v>0</v>
      </c>
      <c r="AK635" s="1" t="str">
        <f aca="false">IF(AND(R635="WON",ISNUMBER(I635)),AL635+(861-ROW())*0.000001,"")</f>
        <v/>
      </c>
      <c r="AL635" s="1" t="n">
        <f aca="false">IFERROR(I635*1,0)</f>
        <v>0</v>
      </c>
      <c r="AM635" s="1" t="n">
        <f aca="false">N(AM634)+IF(AND(R635="WON",B635&lt;&gt;""),1,0)</f>
        <v>12</v>
      </c>
      <c r="AN635" s="1" t="n">
        <f aca="false">N(AN634)+IF(AND(OR(R635="offered",R635="to be offered",R635="on hold"),B635&lt;&gt;""),1,0)</f>
        <v>33</v>
      </c>
      <c r="AO635" s="1" t="n">
        <f aca="false">N(AO634)+IF(AND(OR(R635="follow-up",R635="Evaluation",R635="tbd",R635="In evaluation"),B635&lt;&gt;""),1,0)</f>
        <v>1</v>
      </c>
      <c r="AP635" s="1" t="n">
        <f aca="false">IF(B635="",0,IF(COUNTIF('⚖️ Wahrscheinlichkeit'!$J$17:$J$24,R635)&gt;0,1,0))</f>
        <v>0</v>
      </c>
      <c r="AQ635" s="1" t="n">
        <f aca="false">IF(B635="",0,IF(AND(ISNUMBER(S635),COUNTIF('⚖️ Wahrscheinlichkeit'!$B$6:$B$11,S635)&gt;0),1,0))</f>
        <v>0</v>
      </c>
      <c r="AR635" s="1" t="n">
        <f aca="false">IF(B635="",0,IF(AND(COUNT(J635:M635)=4,SUM(J635:M635)&gt;0),1,0))</f>
        <v>0</v>
      </c>
      <c r="AS635" s="1" t="n">
        <f aca="false">IF(B635="",0,IF(AND(AF635&lt;&gt;"",AG635&lt;&gt;""),1,0))</f>
        <v>0</v>
      </c>
      <c r="AT635" s="1" t="n">
        <f aca="false">IF(AND(R635="WON",AS635=1,AR635=1),1,0)</f>
        <v>0</v>
      </c>
      <c r="AU635" s="1" t="n">
        <f aca="false">IF(B635="",0,IF(AD635="Alternative – zählt nicht",0,1))</f>
        <v>0</v>
      </c>
      <c r="AV635" s="1" t="n">
        <f aca="false">IF(B635="",0,IF(COUNTIF($B$6:$B$860,B635)&gt;1,1,0))</f>
        <v>0</v>
      </c>
      <c r="AX635" s="269" t="str">
        <f aca="false">IF(AY635=1,DATE(YEAR(O635),MONTH(O635),1),"")</f>
        <v/>
      </c>
      <c r="AY635" s="1" t="n">
        <f aca="false">IF(B635="",0,IF(AND(ISNUMBER(O635),ISNUMBER(P635)),IF(P635&gt;=O635,1,0),0))</f>
        <v>0</v>
      </c>
      <c r="AZ635" s="1" t="n">
        <f aca="false">IF(ISNUMBER(Y635),Y635,0)</f>
        <v>0</v>
      </c>
      <c r="BA635" s="1" t="str">
        <f aca="false">IF(B635="","",IF(AND(R635="WON",AS635=0),"⛔ Beleg fehlt · ","")&amp;IF(AND(R635="WON",AR635=0),"⛔ Einstand fehlt · ","")&amp;IF(AND(R635&lt;&gt;"WON",AR635=0),"○ Einstand offen · ","")&amp;IF(AND(R635="WON",AB635=""),"⛔ Vertragsart fehlt · ","")&amp;IF(AND(ISNUMBER(O635),ISNUMBER(P635)),IF(P635&lt;O635,"⚠ Ende vor Start · ",""),"")&amp;IF(AND(R635="WON",AY635=0,NOT(AND(ISNUMBER(O635),ISNUMBER(P635)))),"⛔ Zeitraum fehlt · ","")&amp;IF(AND(R635&lt;&gt;"WON",AY635=0,NOT(AND(ISNUMBER(O635),ISNUMBER(P635)))),"○ Zeitraum offen · ",""))</f>
        <v/>
      </c>
      <c r="BB635" s="1" t="str">
        <f aca="false">IF(B635="","",IF(AND(R635="WON",AS635=0),"⛔ Nachweis fehlt",IF(AND(ISNUMBER(O635),ISNUMBER(P635),P635&lt;O635),"⚠ Ende vor Start",IF(AND(R635="WON",AY635=0),"⛔ Zeitraum fehlt",IF(AR635=0,"○ Einstand offen",IF(AY635=0,"○ Zeitraum offen",IF(R635="WON","✅ belegt","✔ erfasst")))))))</f>
        <v/>
      </c>
    </row>
    <row r="636" customFormat="false" ht="15" hidden="false" customHeight="true" outlineLevel="0" collapsed="false">
      <c r="G636" s="1" t="str">
        <f aca="false">IF(B636="","",IF(AY636=1,P636-O636+1,IF(AW636="","",AW636)))</f>
        <v/>
      </c>
      <c r="I636" s="270"/>
      <c r="J636" s="270"/>
      <c r="K636" s="270"/>
      <c r="L636" s="270"/>
      <c r="M636" s="270"/>
      <c r="N636" s="270"/>
      <c r="O636" s="263"/>
      <c r="P636" s="263"/>
      <c r="Q636" s="270" t="str">
        <f aca="false">IF(AND(ISNUMBER(I636),ISNUMBER(S636)),I636*AJ636,IF(OR(I636&lt;&gt;"",S636&lt;&gt;""),"tbd",""))</f>
        <v/>
      </c>
      <c r="S636" s="268"/>
      <c r="Y636" s="275" t="str">
        <f aca="false">IF(ISNUMBER(I636),I636/Netto_Faktor,"")</f>
        <v/>
      </c>
      <c r="Z636" s="275" t="str">
        <f aca="false">IF(B636="","",IF(COUNT(J636:N636)=0,"",SUM(J636:N636)))</f>
        <v/>
      </c>
      <c r="AA636" s="266"/>
      <c r="AB636" s="266"/>
      <c r="AC636" s="266"/>
      <c r="AD636" s="266"/>
      <c r="AE636" s="266"/>
      <c r="AF636" s="266"/>
      <c r="AG636" s="267"/>
      <c r="AH636" s="266" t="str">
        <f aca="false">IF(B636="","",IF(BA636="",IF(R636="WON","✅ belegt &amp; vollständig","✔ vollständig"),LEFT(BA636,LEN(BA636)-3)))</f>
        <v/>
      </c>
      <c r="AJ636" s="268" t="n">
        <f aca="false">IF(ISNUMBER(S636),IFERROR(LOOKUP(IF(S636&lt;=1,S636,S636/100),'⚖️ Wahrscheinlichkeit'!$B$17:$B$21,'⚖️ Wahrscheinlichkeit'!$D$17:$D$21),0),0)</f>
        <v>0</v>
      </c>
      <c r="AK636" s="1" t="str">
        <f aca="false">IF(AND(R636="WON",ISNUMBER(I636)),AL636+(861-ROW())*0.000001,"")</f>
        <v/>
      </c>
      <c r="AL636" s="1" t="n">
        <f aca="false">IFERROR(I636*1,0)</f>
        <v>0</v>
      </c>
      <c r="AM636" s="1" t="n">
        <f aca="false">N(AM635)+IF(AND(R636="WON",B636&lt;&gt;""),1,0)</f>
        <v>12</v>
      </c>
      <c r="AN636" s="1" t="n">
        <f aca="false">N(AN635)+IF(AND(OR(R636="offered",R636="to be offered",R636="on hold"),B636&lt;&gt;""),1,0)</f>
        <v>33</v>
      </c>
      <c r="AO636" s="1" t="n">
        <f aca="false">N(AO635)+IF(AND(OR(R636="follow-up",R636="Evaluation",R636="tbd",R636="In evaluation"),B636&lt;&gt;""),1,0)</f>
        <v>1</v>
      </c>
      <c r="AP636" s="1" t="n">
        <f aca="false">IF(B636="",0,IF(COUNTIF('⚖️ Wahrscheinlichkeit'!$J$17:$J$24,R636)&gt;0,1,0))</f>
        <v>0</v>
      </c>
      <c r="AQ636" s="1" t="n">
        <f aca="false">IF(B636="",0,IF(AND(ISNUMBER(S636),COUNTIF('⚖️ Wahrscheinlichkeit'!$B$6:$B$11,S636)&gt;0),1,0))</f>
        <v>0</v>
      </c>
      <c r="AR636" s="1" t="n">
        <f aca="false">IF(B636="",0,IF(AND(COUNT(J636:M636)=4,SUM(J636:M636)&gt;0),1,0))</f>
        <v>0</v>
      </c>
      <c r="AS636" s="1" t="n">
        <f aca="false">IF(B636="",0,IF(AND(AF636&lt;&gt;"",AG636&lt;&gt;""),1,0))</f>
        <v>0</v>
      </c>
      <c r="AT636" s="1" t="n">
        <f aca="false">IF(AND(R636="WON",AS636=1,AR636=1),1,0)</f>
        <v>0</v>
      </c>
      <c r="AU636" s="1" t="n">
        <f aca="false">IF(B636="",0,IF(AD636="Alternative – zählt nicht",0,1))</f>
        <v>0</v>
      </c>
      <c r="AV636" s="1" t="n">
        <f aca="false">IF(B636="",0,IF(COUNTIF($B$6:$B$860,B636)&gt;1,1,0))</f>
        <v>0</v>
      </c>
      <c r="AX636" s="269" t="str">
        <f aca="false">IF(AY636=1,DATE(YEAR(O636),MONTH(O636),1),"")</f>
        <v/>
      </c>
      <c r="AY636" s="1" t="n">
        <f aca="false">IF(B636="",0,IF(AND(ISNUMBER(O636),ISNUMBER(P636)),IF(P636&gt;=O636,1,0),0))</f>
        <v>0</v>
      </c>
      <c r="AZ636" s="1" t="n">
        <f aca="false">IF(ISNUMBER(Y636),Y636,0)</f>
        <v>0</v>
      </c>
      <c r="BA636" s="1" t="str">
        <f aca="false">IF(B636="","",IF(AND(R636="WON",AS636=0),"⛔ Beleg fehlt · ","")&amp;IF(AND(R636="WON",AR636=0),"⛔ Einstand fehlt · ","")&amp;IF(AND(R636&lt;&gt;"WON",AR636=0),"○ Einstand offen · ","")&amp;IF(AND(R636="WON",AB636=""),"⛔ Vertragsart fehlt · ","")&amp;IF(AND(ISNUMBER(O636),ISNUMBER(P636)),IF(P636&lt;O636,"⚠ Ende vor Start · ",""),"")&amp;IF(AND(R636="WON",AY636=0,NOT(AND(ISNUMBER(O636),ISNUMBER(P636)))),"⛔ Zeitraum fehlt · ","")&amp;IF(AND(R636&lt;&gt;"WON",AY636=0,NOT(AND(ISNUMBER(O636),ISNUMBER(P636)))),"○ Zeitraum offen · ",""))</f>
        <v/>
      </c>
      <c r="BB636" s="1" t="str">
        <f aca="false">IF(B636="","",IF(AND(R636="WON",AS636=0),"⛔ Nachweis fehlt",IF(AND(ISNUMBER(O636),ISNUMBER(P636),P636&lt;O636),"⚠ Ende vor Start",IF(AND(R636="WON",AY636=0),"⛔ Zeitraum fehlt",IF(AR636=0,"○ Einstand offen",IF(AY636=0,"○ Zeitraum offen",IF(R636="WON","✅ belegt","✔ erfasst")))))))</f>
        <v/>
      </c>
    </row>
    <row r="637" customFormat="false" ht="15" hidden="false" customHeight="true" outlineLevel="0" collapsed="false">
      <c r="G637" s="1" t="str">
        <f aca="false">IF(B637="","",IF(AY637=1,P637-O637+1,IF(AW637="","",AW637)))</f>
        <v/>
      </c>
      <c r="I637" s="270"/>
      <c r="J637" s="270"/>
      <c r="K637" s="270"/>
      <c r="L637" s="270"/>
      <c r="M637" s="270"/>
      <c r="N637" s="270"/>
      <c r="O637" s="263"/>
      <c r="P637" s="263"/>
      <c r="Q637" s="270" t="str">
        <f aca="false">IF(AND(ISNUMBER(I637),ISNUMBER(S637)),I637*AJ637,IF(OR(I637&lt;&gt;"",S637&lt;&gt;""),"tbd",""))</f>
        <v/>
      </c>
      <c r="S637" s="268"/>
      <c r="Y637" s="275" t="str">
        <f aca="false">IF(ISNUMBER(I637),I637/Netto_Faktor,"")</f>
        <v/>
      </c>
      <c r="Z637" s="275" t="str">
        <f aca="false">IF(B637="","",IF(COUNT(J637:N637)=0,"",SUM(J637:N637)))</f>
        <v/>
      </c>
      <c r="AA637" s="266"/>
      <c r="AB637" s="266"/>
      <c r="AC637" s="266"/>
      <c r="AD637" s="266"/>
      <c r="AE637" s="266"/>
      <c r="AF637" s="266"/>
      <c r="AG637" s="267"/>
      <c r="AH637" s="266" t="str">
        <f aca="false">IF(B637="","",IF(BA637="",IF(R637="WON","✅ belegt &amp; vollständig","✔ vollständig"),LEFT(BA637,LEN(BA637)-3)))</f>
        <v/>
      </c>
      <c r="AJ637" s="268" t="n">
        <f aca="false">IF(ISNUMBER(S637),IFERROR(LOOKUP(IF(S637&lt;=1,S637,S637/100),'⚖️ Wahrscheinlichkeit'!$B$17:$B$21,'⚖️ Wahrscheinlichkeit'!$D$17:$D$21),0),0)</f>
        <v>0</v>
      </c>
      <c r="AK637" s="1" t="str">
        <f aca="false">IF(AND(R637="WON",ISNUMBER(I637)),AL637+(861-ROW())*0.000001,"")</f>
        <v/>
      </c>
      <c r="AL637" s="1" t="n">
        <f aca="false">IFERROR(I637*1,0)</f>
        <v>0</v>
      </c>
      <c r="AM637" s="1" t="n">
        <f aca="false">N(AM636)+IF(AND(R637="WON",B637&lt;&gt;""),1,0)</f>
        <v>12</v>
      </c>
      <c r="AN637" s="1" t="n">
        <f aca="false">N(AN636)+IF(AND(OR(R637="offered",R637="to be offered",R637="on hold"),B637&lt;&gt;""),1,0)</f>
        <v>33</v>
      </c>
      <c r="AO637" s="1" t="n">
        <f aca="false">N(AO636)+IF(AND(OR(R637="follow-up",R637="Evaluation",R637="tbd",R637="In evaluation"),B637&lt;&gt;""),1,0)</f>
        <v>1</v>
      </c>
      <c r="AP637" s="1" t="n">
        <f aca="false">IF(B637="",0,IF(COUNTIF('⚖️ Wahrscheinlichkeit'!$J$17:$J$24,R637)&gt;0,1,0))</f>
        <v>0</v>
      </c>
      <c r="AQ637" s="1" t="n">
        <f aca="false">IF(B637="",0,IF(AND(ISNUMBER(S637),COUNTIF('⚖️ Wahrscheinlichkeit'!$B$6:$B$11,S637)&gt;0),1,0))</f>
        <v>0</v>
      </c>
      <c r="AR637" s="1" t="n">
        <f aca="false">IF(B637="",0,IF(AND(COUNT(J637:M637)=4,SUM(J637:M637)&gt;0),1,0))</f>
        <v>0</v>
      </c>
      <c r="AS637" s="1" t="n">
        <f aca="false">IF(B637="",0,IF(AND(AF637&lt;&gt;"",AG637&lt;&gt;""),1,0))</f>
        <v>0</v>
      </c>
      <c r="AT637" s="1" t="n">
        <f aca="false">IF(AND(R637="WON",AS637=1,AR637=1),1,0)</f>
        <v>0</v>
      </c>
      <c r="AU637" s="1" t="n">
        <f aca="false">IF(B637="",0,IF(AD637="Alternative – zählt nicht",0,1))</f>
        <v>0</v>
      </c>
      <c r="AV637" s="1" t="n">
        <f aca="false">IF(B637="",0,IF(COUNTIF($B$6:$B$860,B637)&gt;1,1,0))</f>
        <v>0</v>
      </c>
      <c r="AX637" s="269" t="str">
        <f aca="false">IF(AY637=1,DATE(YEAR(O637),MONTH(O637),1),"")</f>
        <v/>
      </c>
      <c r="AY637" s="1" t="n">
        <f aca="false">IF(B637="",0,IF(AND(ISNUMBER(O637),ISNUMBER(P637)),IF(P637&gt;=O637,1,0),0))</f>
        <v>0</v>
      </c>
      <c r="AZ637" s="1" t="n">
        <f aca="false">IF(ISNUMBER(Y637),Y637,0)</f>
        <v>0</v>
      </c>
      <c r="BA637" s="1" t="str">
        <f aca="false">IF(B637="","",IF(AND(R637="WON",AS637=0),"⛔ Beleg fehlt · ","")&amp;IF(AND(R637="WON",AR637=0),"⛔ Einstand fehlt · ","")&amp;IF(AND(R637&lt;&gt;"WON",AR637=0),"○ Einstand offen · ","")&amp;IF(AND(R637="WON",AB637=""),"⛔ Vertragsart fehlt · ","")&amp;IF(AND(ISNUMBER(O637),ISNUMBER(P637)),IF(P637&lt;O637,"⚠ Ende vor Start · ",""),"")&amp;IF(AND(R637="WON",AY637=0,NOT(AND(ISNUMBER(O637),ISNUMBER(P637)))),"⛔ Zeitraum fehlt · ","")&amp;IF(AND(R637&lt;&gt;"WON",AY637=0,NOT(AND(ISNUMBER(O637),ISNUMBER(P637)))),"○ Zeitraum offen · ",""))</f>
        <v/>
      </c>
      <c r="BB637" s="1" t="str">
        <f aca="false">IF(B637="","",IF(AND(R637="WON",AS637=0),"⛔ Nachweis fehlt",IF(AND(ISNUMBER(O637),ISNUMBER(P637),P637&lt;O637),"⚠ Ende vor Start",IF(AND(R637="WON",AY637=0),"⛔ Zeitraum fehlt",IF(AR637=0,"○ Einstand offen",IF(AY637=0,"○ Zeitraum offen",IF(R637="WON","✅ belegt","✔ erfasst")))))))</f>
        <v/>
      </c>
    </row>
    <row r="638" customFormat="false" ht="15" hidden="false" customHeight="true" outlineLevel="0" collapsed="false">
      <c r="G638" s="1" t="str">
        <f aca="false">IF(B638="","",IF(AY638=1,P638-O638+1,IF(AW638="","",AW638)))</f>
        <v/>
      </c>
      <c r="I638" s="270"/>
      <c r="J638" s="270"/>
      <c r="K638" s="270"/>
      <c r="L638" s="270"/>
      <c r="M638" s="270"/>
      <c r="N638" s="270"/>
      <c r="O638" s="263"/>
      <c r="P638" s="263"/>
      <c r="Q638" s="270" t="str">
        <f aca="false">IF(AND(ISNUMBER(I638),ISNUMBER(S638)),I638*AJ638,IF(OR(I638&lt;&gt;"",S638&lt;&gt;""),"tbd",""))</f>
        <v/>
      </c>
      <c r="S638" s="268"/>
      <c r="Y638" s="275" t="str">
        <f aca="false">IF(ISNUMBER(I638),I638/Netto_Faktor,"")</f>
        <v/>
      </c>
      <c r="Z638" s="275" t="str">
        <f aca="false">IF(B638="","",IF(COUNT(J638:N638)=0,"",SUM(J638:N638)))</f>
        <v/>
      </c>
      <c r="AA638" s="266"/>
      <c r="AB638" s="266"/>
      <c r="AC638" s="266"/>
      <c r="AD638" s="266"/>
      <c r="AE638" s="266"/>
      <c r="AF638" s="266"/>
      <c r="AG638" s="267"/>
      <c r="AH638" s="266" t="str">
        <f aca="false">IF(B638="","",IF(BA638="",IF(R638="WON","✅ belegt &amp; vollständig","✔ vollständig"),LEFT(BA638,LEN(BA638)-3)))</f>
        <v/>
      </c>
      <c r="AJ638" s="268" t="n">
        <f aca="false">IF(ISNUMBER(S638),IFERROR(LOOKUP(IF(S638&lt;=1,S638,S638/100),'⚖️ Wahrscheinlichkeit'!$B$17:$B$21,'⚖️ Wahrscheinlichkeit'!$D$17:$D$21),0),0)</f>
        <v>0</v>
      </c>
      <c r="AK638" s="1" t="str">
        <f aca="false">IF(AND(R638="WON",ISNUMBER(I638)),AL638+(861-ROW())*0.000001,"")</f>
        <v/>
      </c>
      <c r="AL638" s="1" t="n">
        <f aca="false">IFERROR(I638*1,0)</f>
        <v>0</v>
      </c>
      <c r="AM638" s="1" t="n">
        <f aca="false">N(AM637)+IF(AND(R638="WON",B638&lt;&gt;""),1,0)</f>
        <v>12</v>
      </c>
      <c r="AN638" s="1" t="n">
        <f aca="false">N(AN637)+IF(AND(OR(R638="offered",R638="to be offered",R638="on hold"),B638&lt;&gt;""),1,0)</f>
        <v>33</v>
      </c>
      <c r="AO638" s="1" t="n">
        <f aca="false">N(AO637)+IF(AND(OR(R638="follow-up",R638="Evaluation",R638="tbd",R638="In evaluation"),B638&lt;&gt;""),1,0)</f>
        <v>1</v>
      </c>
      <c r="AP638" s="1" t="n">
        <f aca="false">IF(B638="",0,IF(COUNTIF('⚖️ Wahrscheinlichkeit'!$J$17:$J$24,R638)&gt;0,1,0))</f>
        <v>0</v>
      </c>
      <c r="AQ638" s="1" t="n">
        <f aca="false">IF(B638="",0,IF(AND(ISNUMBER(S638),COUNTIF('⚖️ Wahrscheinlichkeit'!$B$6:$B$11,S638)&gt;0),1,0))</f>
        <v>0</v>
      </c>
      <c r="AR638" s="1" t="n">
        <f aca="false">IF(B638="",0,IF(AND(COUNT(J638:M638)=4,SUM(J638:M638)&gt;0),1,0))</f>
        <v>0</v>
      </c>
      <c r="AS638" s="1" t="n">
        <f aca="false">IF(B638="",0,IF(AND(AF638&lt;&gt;"",AG638&lt;&gt;""),1,0))</f>
        <v>0</v>
      </c>
      <c r="AT638" s="1" t="n">
        <f aca="false">IF(AND(R638="WON",AS638=1,AR638=1),1,0)</f>
        <v>0</v>
      </c>
      <c r="AU638" s="1" t="n">
        <f aca="false">IF(B638="",0,IF(AD638="Alternative – zählt nicht",0,1))</f>
        <v>0</v>
      </c>
      <c r="AV638" s="1" t="n">
        <f aca="false">IF(B638="",0,IF(COUNTIF($B$6:$B$860,B638)&gt;1,1,0))</f>
        <v>0</v>
      </c>
      <c r="AX638" s="269" t="str">
        <f aca="false">IF(AY638=1,DATE(YEAR(O638),MONTH(O638),1),"")</f>
        <v/>
      </c>
      <c r="AY638" s="1" t="n">
        <f aca="false">IF(B638="",0,IF(AND(ISNUMBER(O638),ISNUMBER(P638)),IF(P638&gt;=O638,1,0),0))</f>
        <v>0</v>
      </c>
      <c r="AZ638" s="1" t="n">
        <f aca="false">IF(ISNUMBER(Y638),Y638,0)</f>
        <v>0</v>
      </c>
      <c r="BA638" s="1" t="str">
        <f aca="false">IF(B638="","",IF(AND(R638="WON",AS638=0),"⛔ Beleg fehlt · ","")&amp;IF(AND(R638="WON",AR638=0),"⛔ Einstand fehlt · ","")&amp;IF(AND(R638&lt;&gt;"WON",AR638=0),"○ Einstand offen · ","")&amp;IF(AND(R638="WON",AB638=""),"⛔ Vertragsart fehlt · ","")&amp;IF(AND(ISNUMBER(O638),ISNUMBER(P638)),IF(P638&lt;O638,"⚠ Ende vor Start · ",""),"")&amp;IF(AND(R638="WON",AY638=0,NOT(AND(ISNUMBER(O638),ISNUMBER(P638)))),"⛔ Zeitraum fehlt · ","")&amp;IF(AND(R638&lt;&gt;"WON",AY638=0,NOT(AND(ISNUMBER(O638),ISNUMBER(P638)))),"○ Zeitraum offen · ",""))</f>
        <v/>
      </c>
      <c r="BB638" s="1" t="str">
        <f aca="false">IF(B638="","",IF(AND(R638="WON",AS638=0),"⛔ Nachweis fehlt",IF(AND(ISNUMBER(O638),ISNUMBER(P638),P638&lt;O638),"⚠ Ende vor Start",IF(AND(R638="WON",AY638=0),"⛔ Zeitraum fehlt",IF(AR638=0,"○ Einstand offen",IF(AY638=0,"○ Zeitraum offen",IF(R638="WON","✅ belegt","✔ erfasst")))))))</f>
        <v/>
      </c>
    </row>
    <row r="639" customFormat="false" ht="15" hidden="false" customHeight="true" outlineLevel="0" collapsed="false">
      <c r="G639" s="1" t="str">
        <f aca="false">IF(B639="","",IF(AY639=1,P639-O639+1,IF(AW639="","",AW639)))</f>
        <v/>
      </c>
      <c r="I639" s="270"/>
      <c r="J639" s="270"/>
      <c r="K639" s="270"/>
      <c r="L639" s="270"/>
      <c r="M639" s="270"/>
      <c r="N639" s="270"/>
      <c r="O639" s="263"/>
      <c r="P639" s="263"/>
      <c r="Q639" s="270" t="str">
        <f aca="false">IF(AND(ISNUMBER(I639),ISNUMBER(S639)),I639*AJ639,IF(OR(I639&lt;&gt;"",S639&lt;&gt;""),"tbd",""))</f>
        <v/>
      </c>
      <c r="S639" s="268"/>
      <c r="Y639" s="275" t="str">
        <f aca="false">IF(ISNUMBER(I639),I639/Netto_Faktor,"")</f>
        <v/>
      </c>
      <c r="Z639" s="275" t="str">
        <f aca="false">IF(B639="","",IF(COUNT(J639:N639)=0,"",SUM(J639:N639)))</f>
        <v/>
      </c>
      <c r="AA639" s="266"/>
      <c r="AB639" s="266"/>
      <c r="AC639" s="266"/>
      <c r="AD639" s="266"/>
      <c r="AE639" s="266"/>
      <c r="AF639" s="266"/>
      <c r="AG639" s="267"/>
      <c r="AH639" s="266" t="str">
        <f aca="false">IF(B639="","",IF(BA639="",IF(R639="WON","✅ belegt &amp; vollständig","✔ vollständig"),LEFT(BA639,LEN(BA639)-3)))</f>
        <v/>
      </c>
      <c r="AJ639" s="268" t="n">
        <f aca="false">IF(ISNUMBER(S639),IFERROR(LOOKUP(IF(S639&lt;=1,S639,S639/100),'⚖️ Wahrscheinlichkeit'!$B$17:$B$21,'⚖️ Wahrscheinlichkeit'!$D$17:$D$21),0),0)</f>
        <v>0</v>
      </c>
      <c r="AK639" s="1" t="str">
        <f aca="false">IF(AND(R639="WON",ISNUMBER(I639)),AL639+(861-ROW())*0.000001,"")</f>
        <v/>
      </c>
      <c r="AL639" s="1" t="n">
        <f aca="false">IFERROR(I639*1,0)</f>
        <v>0</v>
      </c>
      <c r="AM639" s="1" t="n">
        <f aca="false">N(AM638)+IF(AND(R639="WON",B639&lt;&gt;""),1,0)</f>
        <v>12</v>
      </c>
      <c r="AN639" s="1" t="n">
        <f aca="false">N(AN638)+IF(AND(OR(R639="offered",R639="to be offered",R639="on hold"),B639&lt;&gt;""),1,0)</f>
        <v>33</v>
      </c>
      <c r="AO639" s="1" t="n">
        <f aca="false">N(AO638)+IF(AND(OR(R639="follow-up",R639="Evaluation",R639="tbd",R639="In evaluation"),B639&lt;&gt;""),1,0)</f>
        <v>1</v>
      </c>
      <c r="AP639" s="1" t="n">
        <f aca="false">IF(B639="",0,IF(COUNTIF('⚖️ Wahrscheinlichkeit'!$J$17:$J$24,R639)&gt;0,1,0))</f>
        <v>0</v>
      </c>
      <c r="AQ639" s="1" t="n">
        <f aca="false">IF(B639="",0,IF(AND(ISNUMBER(S639),COUNTIF('⚖️ Wahrscheinlichkeit'!$B$6:$B$11,S639)&gt;0),1,0))</f>
        <v>0</v>
      </c>
      <c r="AR639" s="1" t="n">
        <f aca="false">IF(B639="",0,IF(AND(COUNT(J639:M639)=4,SUM(J639:M639)&gt;0),1,0))</f>
        <v>0</v>
      </c>
      <c r="AS639" s="1" t="n">
        <f aca="false">IF(B639="",0,IF(AND(AF639&lt;&gt;"",AG639&lt;&gt;""),1,0))</f>
        <v>0</v>
      </c>
      <c r="AT639" s="1" t="n">
        <f aca="false">IF(AND(R639="WON",AS639=1,AR639=1),1,0)</f>
        <v>0</v>
      </c>
      <c r="AU639" s="1" t="n">
        <f aca="false">IF(B639="",0,IF(AD639="Alternative – zählt nicht",0,1))</f>
        <v>0</v>
      </c>
      <c r="AV639" s="1" t="n">
        <f aca="false">IF(B639="",0,IF(COUNTIF($B$6:$B$860,B639)&gt;1,1,0))</f>
        <v>0</v>
      </c>
      <c r="AX639" s="269" t="str">
        <f aca="false">IF(AY639=1,DATE(YEAR(O639),MONTH(O639),1),"")</f>
        <v/>
      </c>
      <c r="AY639" s="1" t="n">
        <f aca="false">IF(B639="",0,IF(AND(ISNUMBER(O639),ISNUMBER(P639)),IF(P639&gt;=O639,1,0),0))</f>
        <v>0</v>
      </c>
      <c r="AZ639" s="1" t="n">
        <f aca="false">IF(ISNUMBER(Y639),Y639,0)</f>
        <v>0</v>
      </c>
      <c r="BA639" s="1" t="str">
        <f aca="false">IF(B639="","",IF(AND(R639="WON",AS639=0),"⛔ Beleg fehlt · ","")&amp;IF(AND(R639="WON",AR639=0),"⛔ Einstand fehlt · ","")&amp;IF(AND(R639&lt;&gt;"WON",AR639=0),"○ Einstand offen · ","")&amp;IF(AND(R639="WON",AB639=""),"⛔ Vertragsart fehlt · ","")&amp;IF(AND(ISNUMBER(O639),ISNUMBER(P639)),IF(P639&lt;O639,"⚠ Ende vor Start · ",""),"")&amp;IF(AND(R639="WON",AY639=0,NOT(AND(ISNUMBER(O639),ISNUMBER(P639)))),"⛔ Zeitraum fehlt · ","")&amp;IF(AND(R639&lt;&gt;"WON",AY639=0,NOT(AND(ISNUMBER(O639),ISNUMBER(P639)))),"○ Zeitraum offen · ",""))</f>
        <v/>
      </c>
      <c r="BB639" s="1" t="str">
        <f aca="false">IF(B639="","",IF(AND(R639="WON",AS639=0),"⛔ Nachweis fehlt",IF(AND(ISNUMBER(O639),ISNUMBER(P639),P639&lt;O639),"⚠ Ende vor Start",IF(AND(R639="WON",AY639=0),"⛔ Zeitraum fehlt",IF(AR639=0,"○ Einstand offen",IF(AY639=0,"○ Zeitraum offen",IF(R639="WON","✅ belegt","✔ erfasst")))))))</f>
        <v/>
      </c>
    </row>
    <row r="640" customFormat="false" ht="15" hidden="false" customHeight="true" outlineLevel="0" collapsed="false">
      <c r="G640" s="1" t="str">
        <f aca="false">IF(B640="","",IF(AY640=1,P640-O640+1,IF(AW640="","",AW640)))</f>
        <v/>
      </c>
      <c r="I640" s="270"/>
      <c r="J640" s="270"/>
      <c r="K640" s="270"/>
      <c r="L640" s="270"/>
      <c r="M640" s="270"/>
      <c r="N640" s="270"/>
      <c r="O640" s="263"/>
      <c r="P640" s="263"/>
      <c r="Q640" s="270" t="str">
        <f aca="false">IF(AND(ISNUMBER(I640),ISNUMBER(S640)),I640*AJ640,IF(OR(I640&lt;&gt;"",S640&lt;&gt;""),"tbd",""))</f>
        <v/>
      </c>
      <c r="S640" s="268"/>
      <c r="Y640" s="275" t="str">
        <f aca="false">IF(ISNUMBER(I640),I640/Netto_Faktor,"")</f>
        <v/>
      </c>
      <c r="Z640" s="275" t="str">
        <f aca="false">IF(B640="","",IF(COUNT(J640:N640)=0,"",SUM(J640:N640)))</f>
        <v/>
      </c>
      <c r="AA640" s="266"/>
      <c r="AB640" s="266"/>
      <c r="AC640" s="266"/>
      <c r="AD640" s="266"/>
      <c r="AE640" s="266"/>
      <c r="AF640" s="266"/>
      <c r="AG640" s="267"/>
      <c r="AH640" s="266" t="str">
        <f aca="false">IF(B640="","",IF(BA640="",IF(R640="WON","✅ belegt &amp; vollständig","✔ vollständig"),LEFT(BA640,LEN(BA640)-3)))</f>
        <v/>
      </c>
      <c r="AJ640" s="268" t="n">
        <f aca="false">IF(ISNUMBER(S640),IFERROR(LOOKUP(IF(S640&lt;=1,S640,S640/100),'⚖️ Wahrscheinlichkeit'!$B$17:$B$21,'⚖️ Wahrscheinlichkeit'!$D$17:$D$21),0),0)</f>
        <v>0</v>
      </c>
      <c r="AK640" s="1" t="str">
        <f aca="false">IF(AND(R640="WON",ISNUMBER(I640)),AL640+(861-ROW())*0.000001,"")</f>
        <v/>
      </c>
      <c r="AL640" s="1" t="n">
        <f aca="false">IFERROR(I640*1,0)</f>
        <v>0</v>
      </c>
      <c r="AM640" s="1" t="n">
        <f aca="false">N(AM639)+IF(AND(R640="WON",B640&lt;&gt;""),1,0)</f>
        <v>12</v>
      </c>
      <c r="AN640" s="1" t="n">
        <f aca="false">N(AN639)+IF(AND(OR(R640="offered",R640="to be offered",R640="on hold"),B640&lt;&gt;""),1,0)</f>
        <v>33</v>
      </c>
      <c r="AO640" s="1" t="n">
        <f aca="false">N(AO639)+IF(AND(OR(R640="follow-up",R640="Evaluation",R640="tbd",R640="In evaluation"),B640&lt;&gt;""),1,0)</f>
        <v>1</v>
      </c>
      <c r="AP640" s="1" t="n">
        <f aca="false">IF(B640="",0,IF(COUNTIF('⚖️ Wahrscheinlichkeit'!$J$17:$J$24,R640)&gt;0,1,0))</f>
        <v>0</v>
      </c>
      <c r="AQ640" s="1" t="n">
        <f aca="false">IF(B640="",0,IF(AND(ISNUMBER(S640),COUNTIF('⚖️ Wahrscheinlichkeit'!$B$6:$B$11,S640)&gt;0),1,0))</f>
        <v>0</v>
      </c>
      <c r="AR640" s="1" t="n">
        <f aca="false">IF(B640="",0,IF(AND(COUNT(J640:M640)=4,SUM(J640:M640)&gt;0),1,0))</f>
        <v>0</v>
      </c>
      <c r="AS640" s="1" t="n">
        <f aca="false">IF(B640="",0,IF(AND(AF640&lt;&gt;"",AG640&lt;&gt;""),1,0))</f>
        <v>0</v>
      </c>
      <c r="AT640" s="1" t="n">
        <f aca="false">IF(AND(R640="WON",AS640=1,AR640=1),1,0)</f>
        <v>0</v>
      </c>
      <c r="AU640" s="1" t="n">
        <f aca="false">IF(B640="",0,IF(AD640="Alternative – zählt nicht",0,1))</f>
        <v>0</v>
      </c>
      <c r="AV640" s="1" t="n">
        <f aca="false">IF(B640="",0,IF(COUNTIF($B$6:$B$860,B640)&gt;1,1,0))</f>
        <v>0</v>
      </c>
      <c r="AX640" s="269" t="str">
        <f aca="false">IF(AY640=1,DATE(YEAR(O640),MONTH(O640),1),"")</f>
        <v/>
      </c>
      <c r="AY640" s="1" t="n">
        <f aca="false">IF(B640="",0,IF(AND(ISNUMBER(O640),ISNUMBER(P640)),IF(P640&gt;=O640,1,0),0))</f>
        <v>0</v>
      </c>
      <c r="AZ640" s="1" t="n">
        <f aca="false">IF(ISNUMBER(Y640),Y640,0)</f>
        <v>0</v>
      </c>
      <c r="BA640" s="1" t="str">
        <f aca="false">IF(B640="","",IF(AND(R640="WON",AS640=0),"⛔ Beleg fehlt · ","")&amp;IF(AND(R640="WON",AR640=0),"⛔ Einstand fehlt · ","")&amp;IF(AND(R640&lt;&gt;"WON",AR640=0),"○ Einstand offen · ","")&amp;IF(AND(R640="WON",AB640=""),"⛔ Vertragsart fehlt · ","")&amp;IF(AND(ISNUMBER(O640),ISNUMBER(P640)),IF(P640&lt;O640,"⚠ Ende vor Start · ",""),"")&amp;IF(AND(R640="WON",AY640=0,NOT(AND(ISNUMBER(O640),ISNUMBER(P640)))),"⛔ Zeitraum fehlt · ","")&amp;IF(AND(R640&lt;&gt;"WON",AY640=0,NOT(AND(ISNUMBER(O640),ISNUMBER(P640)))),"○ Zeitraum offen · ",""))</f>
        <v/>
      </c>
      <c r="BB640" s="1" t="str">
        <f aca="false">IF(B640="","",IF(AND(R640="WON",AS640=0),"⛔ Nachweis fehlt",IF(AND(ISNUMBER(O640),ISNUMBER(P640),P640&lt;O640),"⚠ Ende vor Start",IF(AND(R640="WON",AY640=0),"⛔ Zeitraum fehlt",IF(AR640=0,"○ Einstand offen",IF(AY640=0,"○ Zeitraum offen",IF(R640="WON","✅ belegt","✔ erfasst")))))))</f>
        <v/>
      </c>
    </row>
    <row r="641" customFormat="false" ht="15" hidden="false" customHeight="true" outlineLevel="0" collapsed="false">
      <c r="G641" s="1" t="str">
        <f aca="false">IF(B641="","",IF(AY641=1,P641-O641+1,IF(AW641="","",AW641)))</f>
        <v/>
      </c>
      <c r="I641" s="270"/>
      <c r="J641" s="270"/>
      <c r="K641" s="270"/>
      <c r="L641" s="270"/>
      <c r="M641" s="270"/>
      <c r="N641" s="270"/>
      <c r="O641" s="263"/>
      <c r="P641" s="263"/>
      <c r="Q641" s="270" t="str">
        <f aca="false">IF(AND(ISNUMBER(I641),ISNUMBER(S641)),I641*AJ641,IF(OR(I641&lt;&gt;"",S641&lt;&gt;""),"tbd",""))</f>
        <v/>
      </c>
      <c r="S641" s="268"/>
      <c r="Y641" s="275" t="str">
        <f aca="false">IF(ISNUMBER(I641),I641/Netto_Faktor,"")</f>
        <v/>
      </c>
      <c r="Z641" s="275" t="str">
        <f aca="false">IF(B641="","",IF(COUNT(J641:N641)=0,"",SUM(J641:N641)))</f>
        <v/>
      </c>
      <c r="AA641" s="266"/>
      <c r="AB641" s="266"/>
      <c r="AC641" s="266"/>
      <c r="AD641" s="266"/>
      <c r="AE641" s="266"/>
      <c r="AF641" s="266"/>
      <c r="AG641" s="267"/>
      <c r="AH641" s="266" t="str">
        <f aca="false">IF(B641="","",IF(BA641="",IF(R641="WON","✅ belegt &amp; vollständig","✔ vollständig"),LEFT(BA641,LEN(BA641)-3)))</f>
        <v/>
      </c>
      <c r="AJ641" s="268" t="n">
        <f aca="false">IF(ISNUMBER(S641),IFERROR(LOOKUP(IF(S641&lt;=1,S641,S641/100),'⚖️ Wahrscheinlichkeit'!$B$17:$B$21,'⚖️ Wahrscheinlichkeit'!$D$17:$D$21),0),0)</f>
        <v>0</v>
      </c>
      <c r="AK641" s="1" t="str">
        <f aca="false">IF(AND(R641="WON",ISNUMBER(I641)),AL641+(861-ROW())*0.000001,"")</f>
        <v/>
      </c>
      <c r="AL641" s="1" t="n">
        <f aca="false">IFERROR(I641*1,0)</f>
        <v>0</v>
      </c>
      <c r="AM641" s="1" t="n">
        <f aca="false">N(AM640)+IF(AND(R641="WON",B641&lt;&gt;""),1,0)</f>
        <v>12</v>
      </c>
      <c r="AN641" s="1" t="n">
        <f aca="false">N(AN640)+IF(AND(OR(R641="offered",R641="to be offered",R641="on hold"),B641&lt;&gt;""),1,0)</f>
        <v>33</v>
      </c>
      <c r="AO641" s="1" t="n">
        <f aca="false">N(AO640)+IF(AND(OR(R641="follow-up",R641="Evaluation",R641="tbd",R641="In evaluation"),B641&lt;&gt;""),1,0)</f>
        <v>1</v>
      </c>
      <c r="AP641" s="1" t="n">
        <f aca="false">IF(B641="",0,IF(COUNTIF('⚖️ Wahrscheinlichkeit'!$J$17:$J$24,R641)&gt;0,1,0))</f>
        <v>0</v>
      </c>
      <c r="AQ641" s="1" t="n">
        <f aca="false">IF(B641="",0,IF(AND(ISNUMBER(S641),COUNTIF('⚖️ Wahrscheinlichkeit'!$B$6:$B$11,S641)&gt;0),1,0))</f>
        <v>0</v>
      </c>
      <c r="AR641" s="1" t="n">
        <f aca="false">IF(B641="",0,IF(AND(COUNT(J641:M641)=4,SUM(J641:M641)&gt;0),1,0))</f>
        <v>0</v>
      </c>
      <c r="AS641" s="1" t="n">
        <f aca="false">IF(B641="",0,IF(AND(AF641&lt;&gt;"",AG641&lt;&gt;""),1,0))</f>
        <v>0</v>
      </c>
      <c r="AT641" s="1" t="n">
        <f aca="false">IF(AND(R641="WON",AS641=1,AR641=1),1,0)</f>
        <v>0</v>
      </c>
      <c r="AU641" s="1" t="n">
        <f aca="false">IF(B641="",0,IF(AD641="Alternative – zählt nicht",0,1))</f>
        <v>0</v>
      </c>
      <c r="AV641" s="1" t="n">
        <f aca="false">IF(B641="",0,IF(COUNTIF($B$6:$B$860,B641)&gt;1,1,0))</f>
        <v>0</v>
      </c>
      <c r="AX641" s="269" t="str">
        <f aca="false">IF(AY641=1,DATE(YEAR(O641),MONTH(O641),1),"")</f>
        <v/>
      </c>
      <c r="AY641" s="1" t="n">
        <f aca="false">IF(B641="",0,IF(AND(ISNUMBER(O641),ISNUMBER(P641)),IF(P641&gt;=O641,1,0),0))</f>
        <v>0</v>
      </c>
      <c r="AZ641" s="1" t="n">
        <f aca="false">IF(ISNUMBER(Y641),Y641,0)</f>
        <v>0</v>
      </c>
      <c r="BA641" s="1" t="str">
        <f aca="false">IF(B641="","",IF(AND(R641="WON",AS641=0),"⛔ Beleg fehlt · ","")&amp;IF(AND(R641="WON",AR641=0),"⛔ Einstand fehlt · ","")&amp;IF(AND(R641&lt;&gt;"WON",AR641=0),"○ Einstand offen · ","")&amp;IF(AND(R641="WON",AB641=""),"⛔ Vertragsart fehlt · ","")&amp;IF(AND(ISNUMBER(O641),ISNUMBER(P641)),IF(P641&lt;O641,"⚠ Ende vor Start · ",""),"")&amp;IF(AND(R641="WON",AY641=0,NOT(AND(ISNUMBER(O641),ISNUMBER(P641)))),"⛔ Zeitraum fehlt · ","")&amp;IF(AND(R641&lt;&gt;"WON",AY641=0,NOT(AND(ISNUMBER(O641),ISNUMBER(P641)))),"○ Zeitraum offen · ",""))</f>
        <v/>
      </c>
      <c r="BB641" s="1" t="str">
        <f aca="false">IF(B641="","",IF(AND(R641="WON",AS641=0),"⛔ Nachweis fehlt",IF(AND(ISNUMBER(O641),ISNUMBER(P641),P641&lt;O641),"⚠ Ende vor Start",IF(AND(R641="WON",AY641=0),"⛔ Zeitraum fehlt",IF(AR641=0,"○ Einstand offen",IF(AY641=0,"○ Zeitraum offen",IF(R641="WON","✅ belegt","✔ erfasst")))))))</f>
        <v/>
      </c>
    </row>
    <row r="642" customFormat="false" ht="15" hidden="false" customHeight="true" outlineLevel="0" collapsed="false">
      <c r="G642" s="1" t="str">
        <f aca="false">IF(B642="","",IF(AY642=1,P642-O642+1,IF(AW642="","",AW642)))</f>
        <v/>
      </c>
      <c r="I642" s="270"/>
      <c r="J642" s="270"/>
      <c r="K642" s="270"/>
      <c r="L642" s="270"/>
      <c r="M642" s="270"/>
      <c r="N642" s="270"/>
      <c r="O642" s="263"/>
      <c r="P642" s="263"/>
      <c r="Q642" s="270" t="str">
        <f aca="false">IF(AND(ISNUMBER(I642),ISNUMBER(S642)),I642*AJ642,IF(OR(I642&lt;&gt;"",S642&lt;&gt;""),"tbd",""))</f>
        <v/>
      </c>
      <c r="S642" s="268"/>
      <c r="Y642" s="275" t="str">
        <f aca="false">IF(ISNUMBER(I642),I642/Netto_Faktor,"")</f>
        <v/>
      </c>
      <c r="Z642" s="275" t="str">
        <f aca="false">IF(B642="","",IF(COUNT(J642:N642)=0,"",SUM(J642:N642)))</f>
        <v/>
      </c>
      <c r="AA642" s="266"/>
      <c r="AB642" s="266"/>
      <c r="AC642" s="266"/>
      <c r="AD642" s="266"/>
      <c r="AE642" s="266"/>
      <c r="AF642" s="266"/>
      <c r="AG642" s="267"/>
      <c r="AH642" s="266" t="str">
        <f aca="false">IF(B642="","",IF(BA642="",IF(R642="WON","✅ belegt &amp; vollständig","✔ vollständig"),LEFT(BA642,LEN(BA642)-3)))</f>
        <v/>
      </c>
      <c r="AJ642" s="268" t="n">
        <f aca="false">IF(ISNUMBER(S642),IFERROR(LOOKUP(IF(S642&lt;=1,S642,S642/100),'⚖️ Wahrscheinlichkeit'!$B$17:$B$21,'⚖️ Wahrscheinlichkeit'!$D$17:$D$21),0),0)</f>
        <v>0</v>
      </c>
      <c r="AK642" s="1" t="str">
        <f aca="false">IF(AND(R642="WON",ISNUMBER(I642)),AL642+(861-ROW())*0.000001,"")</f>
        <v/>
      </c>
      <c r="AL642" s="1" t="n">
        <f aca="false">IFERROR(I642*1,0)</f>
        <v>0</v>
      </c>
      <c r="AM642" s="1" t="n">
        <f aca="false">N(AM641)+IF(AND(R642="WON",B642&lt;&gt;""),1,0)</f>
        <v>12</v>
      </c>
      <c r="AN642" s="1" t="n">
        <f aca="false">N(AN641)+IF(AND(OR(R642="offered",R642="to be offered",R642="on hold"),B642&lt;&gt;""),1,0)</f>
        <v>33</v>
      </c>
      <c r="AO642" s="1" t="n">
        <f aca="false">N(AO641)+IF(AND(OR(R642="follow-up",R642="Evaluation",R642="tbd",R642="In evaluation"),B642&lt;&gt;""),1,0)</f>
        <v>1</v>
      </c>
      <c r="AP642" s="1" t="n">
        <f aca="false">IF(B642="",0,IF(COUNTIF('⚖️ Wahrscheinlichkeit'!$J$17:$J$24,R642)&gt;0,1,0))</f>
        <v>0</v>
      </c>
      <c r="AQ642" s="1" t="n">
        <f aca="false">IF(B642="",0,IF(AND(ISNUMBER(S642),COUNTIF('⚖️ Wahrscheinlichkeit'!$B$6:$B$11,S642)&gt;0),1,0))</f>
        <v>0</v>
      </c>
      <c r="AR642" s="1" t="n">
        <f aca="false">IF(B642="",0,IF(AND(COUNT(J642:M642)=4,SUM(J642:M642)&gt;0),1,0))</f>
        <v>0</v>
      </c>
      <c r="AS642" s="1" t="n">
        <f aca="false">IF(B642="",0,IF(AND(AF642&lt;&gt;"",AG642&lt;&gt;""),1,0))</f>
        <v>0</v>
      </c>
      <c r="AT642" s="1" t="n">
        <f aca="false">IF(AND(R642="WON",AS642=1,AR642=1),1,0)</f>
        <v>0</v>
      </c>
      <c r="AU642" s="1" t="n">
        <f aca="false">IF(B642="",0,IF(AD642="Alternative – zählt nicht",0,1))</f>
        <v>0</v>
      </c>
      <c r="AV642" s="1" t="n">
        <f aca="false">IF(B642="",0,IF(COUNTIF($B$6:$B$860,B642)&gt;1,1,0))</f>
        <v>0</v>
      </c>
      <c r="AX642" s="269" t="str">
        <f aca="false">IF(AY642=1,DATE(YEAR(O642),MONTH(O642),1),"")</f>
        <v/>
      </c>
      <c r="AY642" s="1" t="n">
        <f aca="false">IF(B642="",0,IF(AND(ISNUMBER(O642),ISNUMBER(P642)),IF(P642&gt;=O642,1,0),0))</f>
        <v>0</v>
      </c>
      <c r="AZ642" s="1" t="n">
        <f aca="false">IF(ISNUMBER(Y642),Y642,0)</f>
        <v>0</v>
      </c>
      <c r="BA642" s="1" t="str">
        <f aca="false">IF(B642="","",IF(AND(R642="WON",AS642=0),"⛔ Beleg fehlt · ","")&amp;IF(AND(R642="WON",AR642=0),"⛔ Einstand fehlt · ","")&amp;IF(AND(R642&lt;&gt;"WON",AR642=0),"○ Einstand offen · ","")&amp;IF(AND(R642="WON",AB642=""),"⛔ Vertragsart fehlt · ","")&amp;IF(AND(ISNUMBER(O642),ISNUMBER(P642)),IF(P642&lt;O642,"⚠ Ende vor Start · ",""),"")&amp;IF(AND(R642="WON",AY642=0,NOT(AND(ISNUMBER(O642),ISNUMBER(P642)))),"⛔ Zeitraum fehlt · ","")&amp;IF(AND(R642&lt;&gt;"WON",AY642=0,NOT(AND(ISNUMBER(O642),ISNUMBER(P642)))),"○ Zeitraum offen · ",""))</f>
        <v/>
      </c>
      <c r="BB642" s="1" t="str">
        <f aca="false">IF(B642="","",IF(AND(R642="WON",AS642=0),"⛔ Nachweis fehlt",IF(AND(ISNUMBER(O642),ISNUMBER(P642),P642&lt;O642),"⚠ Ende vor Start",IF(AND(R642="WON",AY642=0),"⛔ Zeitraum fehlt",IF(AR642=0,"○ Einstand offen",IF(AY642=0,"○ Zeitraum offen",IF(R642="WON","✅ belegt","✔ erfasst")))))))</f>
        <v/>
      </c>
    </row>
    <row r="643" customFormat="false" ht="15" hidden="false" customHeight="true" outlineLevel="0" collapsed="false">
      <c r="G643" s="1" t="str">
        <f aca="false">IF(B643="","",IF(AY643=1,P643-O643+1,IF(AW643="","",AW643)))</f>
        <v/>
      </c>
      <c r="I643" s="270"/>
      <c r="J643" s="270"/>
      <c r="K643" s="270"/>
      <c r="L643" s="270"/>
      <c r="M643" s="270"/>
      <c r="N643" s="270"/>
      <c r="O643" s="263"/>
      <c r="P643" s="263"/>
      <c r="Q643" s="270" t="str">
        <f aca="false">IF(AND(ISNUMBER(I643),ISNUMBER(S643)),I643*AJ643,IF(OR(I643&lt;&gt;"",S643&lt;&gt;""),"tbd",""))</f>
        <v/>
      </c>
      <c r="S643" s="268"/>
      <c r="Y643" s="275" t="str">
        <f aca="false">IF(ISNUMBER(I643),I643/Netto_Faktor,"")</f>
        <v/>
      </c>
      <c r="Z643" s="275" t="str">
        <f aca="false">IF(B643="","",IF(COUNT(J643:N643)=0,"",SUM(J643:N643)))</f>
        <v/>
      </c>
      <c r="AA643" s="266"/>
      <c r="AB643" s="266"/>
      <c r="AC643" s="266"/>
      <c r="AD643" s="266"/>
      <c r="AE643" s="266"/>
      <c r="AF643" s="266"/>
      <c r="AG643" s="267"/>
      <c r="AH643" s="266" t="str">
        <f aca="false">IF(B643="","",IF(BA643="",IF(R643="WON","✅ belegt &amp; vollständig","✔ vollständig"),LEFT(BA643,LEN(BA643)-3)))</f>
        <v/>
      </c>
      <c r="AJ643" s="268" t="n">
        <f aca="false">IF(ISNUMBER(S643),IFERROR(LOOKUP(IF(S643&lt;=1,S643,S643/100),'⚖️ Wahrscheinlichkeit'!$B$17:$B$21,'⚖️ Wahrscheinlichkeit'!$D$17:$D$21),0),0)</f>
        <v>0</v>
      </c>
      <c r="AK643" s="1" t="str">
        <f aca="false">IF(AND(R643="WON",ISNUMBER(I643)),AL643+(861-ROW())*0.000001,"")</f>
        <v/>
      </c>
      <c r="AL643" s="1" t="n">
        <f aca="false">IFERROR(I643*1,0)</f>
        <v>0</v>
      </c>
      <c r="AM643" s="1" t="n">
        <f aca="false">N(AM642)+IF(AND(R643="WON",B643&lt;&gt;""),1,0)</f>
        <v>12</v>
      </c>
      <c r="AN643" s="1" t="n">
        <f aca="false">N(AN642)+IF(AND(OR(R643="offered",R643="to be offered",R643="on hold"),B643&lt;&gt;""),1,0)</f>
        <v>33</v>
      </c>
      <c r="AO643" s="1" t="n">
        <f aca="false">N(AO642)+IF(AND(OR(R643="follow-up",R643="Evaluation",R643="tbd",R643="In evaluation"),B643&lt;&gt;""),1,0)</f>
        <v>1</v>
      </c>
      <c r="AP643" s="1" t="n">
        <f aca="false">IF(B643="",0,IF(COUNTIF('⚖️ Wahrscheinlichkeit'!$J$17:$J$24,R643)&gt;0,1,0))</f>
        <v>0</v>
      </c>
      <c r="AQ643" s="1" t="n">
        <f aca="false">IF(B643="",0,IF(AND(ISNUMBER(S643),COUNTIF('⚖️ Wahrscheinlichkeit'!$B$6:$B$11,S643)&gt;0),1,0))</f>
        <v>0</v>
      </c>
      <c r="AR643" s="1" t="n">
        <f aca="false">IF(B643="",0,IF(AND(COUNT(J643:M643)=4,SUM(J643:M643)&gt;0),1,0))</f>
        <v>0</v>
      </c>
      <c r="AS643" s="1" t="n">
        <f aca="false">IF(B643="",0,IF(AND(AF643&lt;&gt;"",AG643&lt;&gt;""),1,0))</f>
        <v>0</v>
      </c>
      <c r="AT643" s="1" t="n">
        <f aca="false">IF(AND(R643="WON",AS643=1,AR643=1),1,0)</f>
        <v>0</v>
      </c>
      <c r="AU643" s="1" t="n">
        <f aca="false">IF(B643="",0,IF(AD643="Alternative – zählt nicht",0,1))</f>
        <v>0</v>
      </c>
      <c r="AV643" s="1" t="n">
        <f aca="false">IF(B643="",0,IF(COUNTIF($B$6:$B$860,B643)&gt;1,1,0))</f>
        <v>0</v>
      </c>
      <c r="AX643" s="269" t="str">
        <f aca="false">IF(AY643=1,DATE(YEAR(O643),MONTH(O643),1),"")</f>
        <v/>
      </c>
      <c r="AY643" s="1" t="n">
        <f aca="false">IF(B643="",0,IF(AND(ISNUMBER(O643),ISNUMBER(P643)),IF(P643&gt;=O643,1,0),0))</f>
        <v>0</v>
      </c>
      <c r="AZ643" s="1" t="n">
        <f aca="false">IF(ISNUMBER(Y643),Y643,0)</f>
        <v>0</v>
      </c>
      <c r="BA643" s="1" t="str">
        <f aca="false">IF(B643="","",IF(AND(R643="WON",AS643=0),"⛔ Beleg fehlt · ","")&amp;IF(AND(R643="WON",AR643=0),"⛔ Einstand fehlt · ","")&amp;IF(AND(R643&lt;&gt;"WON",AR643=0),"○ Einstand offen · ","")&amp;IF(AND(R643="WON",AB643=""),"⛔ Vertragsart fehlt · ","")&amp;IF(AND(ISNUMBER(O643),ISNUMBER(P643)),IF(P643&lt;O643,"⚠ Ende vor Start · ",""),"")&amp;IF(AND(R643="WON",AY643=0,NOT(AND(ISNUMBER(O643),ISNUMBER(P643)))),"⛔ Zeitraum fehlt · ","")&amp;IF(AND(R643&lt;&gt;"WON",AY643=0,NOT(AND(ISNUMBER(O643),ISNUMBER(P643)))),"○ Zeitraum offen · ",""))</f>
        <v/>
      </c>
      <c r="BB643" s="1" t="str">
        <f aca="false">IF(B643="","",IF(AND(R643="WON",AS643=0),"⛔ Nachweis fehlt",IF(AND(ISNUMBER(O643),ISNUMBER(P643),P643&lt;O643),"⚠ Ende vor Start",IF(AND(R643="WON",AY643=0),"⛔ Zeitraum fehlt",IF(AR643=0,"○ Einstand offen",IF(AY643=0,"○ Zeitraum offen",IF(R643="WON","✅ belegt","✔ erfasst")))))))</f>
        <v/>
      </c>
    </row>
    <row r="644" customFormat="false" ht="15" hidden="false" customHeight="true" outlineLevel="0" collapsed="false">
      <c r="G644" s="1" t="str">
        <f aca="false">IF(B644="","",IF(AY644=1,P644-O644+1,IF(AW644="","",AW644)))</f>
        <v/>
      </c>
      <c r="I644" s="270"/>
      <c r="J644" s="270"/>
      <c r="K644" s="270"/>
      <c r="L644" s="270"/>
      <c r="M644" s="270"/>
      <c r="N644" s="270"/>
      <c r="O644" s="263"/>
      <c r="P644" s="263"/>
      <c r="Q644" s="270" t="str">
        <f aca="false">IF(AND(ISNUMBER(I644),ISNUMBER(S644)),I644*AJ644,IF(OR(I644&lt;&gt;"",S644&lt;&gt;""),"tbd",""))</f>
        <v/>
      </c>
      <c r="S644" s="268"/>
      <c r="Y644" s="275" t="str">
        <f aca="false">IF(ISNUMBER(I644),I644/Netto_Faktor,"")</f>
        <v/>
      </c>
      <c r="Z644" s="275" t="str">
        <f aca="false">IF(B644="","",IF(COUNT(J644:N644)=0,"",SUM(J644:N644)))</f>
        <v/>
      </c>
      <c r="AA644" s="266"/>
      <c r="AB644" s="266"/>
      <c r="AC644" s="266"/>
      <c r="AD644" s="266"/>
      <c r="AE644" s="266"/>
      <c r="AF644" s="266"/>
      <c r="AG644" s="267"/>
      <c r="AH644" s="266" t="str">
        <f aca="false">IF(B644="","",IF(BA644="",IF(R644="WON","✅ belegt &amp; vollständig","✔ vollständig"),LEFT(BA644,LEN(BA644)-3)))</f>
        <v/>
      </c>
      <c r="AJ644" s="268" t="n">
        <f aca="false">IF(ISNUMBER(S644),IFERROR(LOOKUP(IF(S644&lt;=1,S644,S644/100),'⚖️ Wahrscheinlichkeit'!$B$17:$B$21,'⚖️ Wahrscheinlichkeit'!$D$17:$D$21),0),0)</f>
        <v>0</v>
      </c>
      <c r="AK644" s="1" t="str">
        <f aca="false">IF(AND(R644="WON",ISNUMBER(I644)),AL644+(861-ROW())*0.000001,"")</f>
        <v/>
      </c>
      <c r="AL644" s="1" t="n">
        <f aca="false">IFERROR(I644*1,0)</f>
        <v>0</v>
      </c>
      <c r="AM644" s="1" t="n">
        <f aca="false">N(AM643)+IF(AND(R644="WON",B644&lt;&gt;""),1,0)</f>
        <v>12</v>
      </c>
      <c r="AN644" s="1" t="n">
        <f aca="false">N(AN643)+IF(AND(OR(R644="offered",R644="to be offered",R644="on hold"),B644&lt;&gt;""),1,0)</f>
        <v>33</v>
      </c>
      <c r="AO644" s="1" t="n">
        <f aca="false">N(AO643)+IF(AND(OR(R644="follow-up",R644="Evaluation",R644="tbd",R644="In evaluation"),B644&lt;&gt;""),1,0)</f>
        <v>1</v>
      </c>
      <c r="AP644" s="1" t="n">
        <f aca="false">IF(B644="",0,IF(COUNTIF('⚖️ Wahrscheinlichkeit'!$J$17:$J$24,R644)&gt;0,1,0))</f>
        <v>0</v>
      </c>
      <c r="AQ644" s="1" t="n">
        <f aca="false">IF(B644="",0,IF(AND(ISNUMBER(S644),COUNTIF('⚖️ Wahrscheinlichkeit'!$B$6:$B$11,S644)&gt;0),1,0))</f>
        <v>0</v>
      </c>
      <c r="AR644" s="1" t="n">
        <f aca="false">IF(B644="",0,IF(AND(COUNT(J644:M644)=4,SUM(J644:M644)&gt;0),1,0))</f>
        <v>0</v>
      </c>
      <c r="AS644" s="1" t="n">
        <f aca="false">IF(B644="",0,IF(AND(AF644&lt;&gt;"",AG644&lt;&gt;""),1,0))</f>
        <v>0</v>
      </c>
      <c r="AT644" s="1" t="n">
        <f aca="false">IF(AND(R644="WON",AS644=1,AR644=1),1,0)</f>
        <v>0</v>
      </c>
      <c r="AU644" s="1" t="n">
        <f aca="false">IF(B644="",0,IF(AD644="Alternative – zählt nicht",0,1))</f>
        <v>0</v>
      </c>
      <c r="AV644" s="1" t="n">
        <f aca="false">IF(B644="",0,IF(COUNTIF($B$6:$B$860,B644)&gt;1,1,0))</f>
        <v>0</v>
      </c>
      <c r="AX644" s="269" t="str">
        <f aca="false">IF(AY644=1,DATE(YEAR(O644),MONTH(O644),1),"")</f>
        <v/>
      </c>
      <c r="AY644" s="1" t="n">
        <f aca="false">IF(B644="",0,IF(AND(ISNUMBER(O644),ISNUMBER(P644)),IF(P644&gt;=O644,1,0),0))</f>
        <v>0</v>
      </c>
      <c r="AZ644" s="1" t="n">
        <f aca="false">IF(ISNUMBER(Y644),Y644,0)</f>
        <v>0</v>
      </c>
      <c r="BA644" s="1" t="str">
        <f aca="false">IF(B644="","",IF(AND(R644="WON",AS644=0),"⛔ Beleg fehlt · ","")&amp;IF(AND(R644="WON",AR644=0),"⛔ Einstand fehlt · ","")&amp;IF(AND(R644&lt;&gt;"WON",AR644=0),"○ Einstand offen · ","")&amp;IF(AND(R644="WON",AB644=""),"⛔ Vertragsart fehlt · ","")&amp;IF(AND(ISNUMBER(O644),ISNUMBER(P644)),IF(P644&lt;O644,"⚠ Ende vor Start · ",""),"")&amp;IF(AND(R644="WON",AY644=0,NOT(AND(ISNUMBER(O644),ISNUMBER(P644)))),"⛔ Zeitraum fehlt · ","")&amp;IF(AND(R644&lt;&gt;"WON",AY644=0,NOT(AND(ISNUMBER(O644),ISNUMBER(P644)))),"○ Zeitraum offen · ",""))</f>
        <v/>
      </c>
      <c r="BB644" s="1" t="str">
        <f aca="false">IF(B644="","",IF(AND(R644="WON",AS644=0),"⛔ Nachweis fehlt",IF(AND(ISNUMBER(O644),ISNUMBER(P644),P644&lt;O644),"⚠ Ende vor Start",IF(AND(R644="WON",AY644=0),"⛔ Zeitraum fehlt",IF(AR644=0,"○ Einstand offen",IF(AY644=0,"○ Zeitraum offen",IF(R644="WON","✅ belegt","✔ erfasst")))))))</f>
        <v/>
      </c>
    </row>
    <row r="645" customFormat="false" ht="15" hidden="false" customHeight="true" outlineLevel="0" collapsed="false">
      <c r="G645" s="1" t="str">
        <f aca="false">IF(B645="","",IF(AY645=1,P645-O645+1,IF(AW645="","",AW645)))</f>
        <v/>
      </c>
      <c r="I645" s="270"/>
      <c r="J645" s="270"/>
      <c r="K645" s="270"/>
      <c r="L645" s="270"/>
      <c r="M645" s="270"/>
      <c r="N645" s="270"/>
      <c r="O645" s="263"/>
      <c r="P645" s="263"/>
      <c r="Q645" s="270" t="str">
        <f aca="false">IF(AND(ISNUMBER(I645),ISNUMBER(S645)),I645*AJ645,IF(OR(I645&lt;&gt;"",S645&lt;&gt;""),"tbd",""))</f>
        <v/>
      </c>
      <c r="S645" s="268"/>
      <c r="Y645" s="275" t="str">
        <f aca="false">IF(ISNUMBER(I645),I645/Netto_Faktor,"")</f>
        <v/>
      </c>
      <c r="Z645" s="275" t="str">
        <f aca="false">IF(B645="","",IF(COUNT(J645:N645)=0,"",SUM(J645:N645)))</f>
        <v/>
      </c>
      <c r="AA645" s="266"/>
      <c r="AB645" s="266"/>
      <c r="AC645" s="266"/>
      <c r="AD645" s="266"/>
      <c r="AE645" s="266"/>
      <c r="AF645" s="266"/>
      <c r="AG645" s="267"/>
      <c r="AH645" s="266" t="str">
        <f aca="false">IF(B645="","",IF(BA645="",IF(R645="WON","✅ belegt &amp; vollständig","✔ vollständig"),LEFT(BA645,LEN(BA645)-3)))</f>
        <v/>
      </c>
      <c r="AJ645" s="268" t="n">
        <f aca="false">IF(ISNUMBER(S645),IFERROR(LOOKUP(IF(S645&lt;=1,S645,S645/100),'⚖️ Wahrscheinlichkeit'!$B$17:$B$21,'⚖️ Wahrscheinlichkeit'!$D$17:$D$21),0),0)</f>
        <v>0</v>
      </c>
      <c r="AK645" s="1" t="str">
        <f aca="false">IF(AND(R645="WON",ISNUMBER(I645)),AL645+(861-ROW())*0.000001,"")</f>
        <v/>
      </c>
      <c r="AL645" s="1" t="n">
        <f aca="false">IFERROR(I645*1,0)</f>
        <v>0</v>
      </c>
      <c r="AM645" s="1" t="n">
        <f aca="false">N(AM644)+IF(AND(R645="WON",B645&lt;&gt;""),1,0)</f>
        <v>12</v>
      </c>
      <c r="AN645" s="1" t="n">
        <f aca="false">N(AN644)+IF(AND(OR(R645="offered",R645="to be offered",R645="on hold"),B645&lt;&gt;""),1,0)</f>
        <v>33</v>
      </c>
      <c r="AO645" s="1" t="n">
        <f aca="false">N(AO644)+IF(AND(OR(R645="follow-up",R645="Evaluation",R645="tbd",R645="In evaluation"),B645&lt;&gt;""),1,0)</f>
        <v>1</v>
      </c>
      <c r="AP645" s="1" t="n">
        <f aca="false">IF(B645="",0,IF(COUNTIF('⚖️ Wahrscheinlichkeit'!$J$17:$J$24,R645)&gt;0,1,0))</f>
        <v>0</v>
      </c>
      <c r="AQ645" s="1" t="n">
        <f aca="false">IF(B645="",0,IF(AND(ISNUMBER(S645),COUNTIF('⚖️ Wahrscheinlichkeit'!$B$6:$B$11,S645)&gt;0),1,0))</f>
        <v>0</v>
      </c>
      <c r="AR645" s="1" t="n">
        <f aca="false">IF(B645="",0,IF(AND(COUNT(J645:M645)=4,SUM(J645:M645)&gt;0),1,0))</f>
        <v>0</v>
      </c>
      <c r="AS645" s="1" t="n">
        <f aca="false">IF(B645="",0,IF(AND(AF645&lt;&gt;"",AG645&lt;&gt;""),1,0))</f>
        <v>0</v>
      </c>
      <c r="AT645" s="1" t="n">
        <f aca="false">IF(AND(R645="WON",AS645=1,AR645=1),1,0)</f>
        <v>0</v>
      </c>
      <c r="AU645" s="1" t="n">
        <f aca="false">IF(B645="",0,IF(AD645="Alternative – zählt nicht",0,1))</f>
        <v>0</v>
      </c>
      <c r="AV645" s="1" t="n">
        <f aca="false">IF(B645="",0,IF(COUNTIF($B$6:$B$860,B645)&gt;1,1,0))</f>
        <v>0</v>
      </c>
      <c r="AX645" s="269" t="str">
        <f aca="false">IF(AY645=1,DATE(YEAR(O645),MONTH(O645),1),"")</f>
        <v/>
      </c>
      <c r="AY645" s="1" t="n">
        <f aca="false">IF(B645="",0,IF(AND(ISNUMBER(O645),ISNUMBER(P645)),IF(P645&gt;=O645,1,0),0))</f>
        <v>0</v>
      </c>
      <c r="AZ645" s="1" t="n">
        <f aca="false">IF(ISNUMBER(Y645),Y645,0)</f>
        <v>0</v>
      </c>
      <c r="BA645" s="1" t="str">
        <f aca="false">IF(B645="","",IF(AND(R645="WON",AS645=0),"⛔ Beleg fehlt · ","")&amp;IF(AND(R645="WON",AR645=0),"⛔ Einstand fehlt · ","")&amp;IF(AND(R645&lt;&gt;"WON",AR645=0),"○ Einstand offen · ","")&amp;IF(AND(R645="WON",AB645=""),"⛔ Vertragsart fehlt · ","")&amp;IF(AND(ISNUMBER(O645),ISNUMBER(P645)),IF(P645&lt;O645,"⚠ Ende vor Start · ",""),"")&amp;IF(AND(R645="WON",AY645=0,NOT(AND(ISNUMBER(O645),ISNUMBER(P645)))),"⛔ Zeitraum fehlt · ","")&amp;IF(AND(R645&lt;&gt;"WON",AY645=0,NOT(AND(ISNUMBER(O645),ISNUMBER(P645)))),"○ Zeitraum offen · ",""))</f>
        <v/>
      </c>
      <c r="BB645" s="1" t="str">
        <f aca="false">IF(B645="","",IF(AND(R645="WON",AS645=0),"⛔ Nachweis fehlt",IF(AND(ISNUMBER(O645),ISNUMBER(P645),P645&lt;O645),"⚠ Ende vor Start",IF(AND(R645="WON",AY645=0),"⛔ Zeitraum fehlt",IF(AR645=0,"○ Einstand offen",IF(AY645=0,"○ Zeitraum offen",IF(R645="WON","✅ belegt","✔ erfasst")))))))</f>
        <v/>
      </c>
    </row>
    <row r="646" customFormat="false" ht="15" hidden="false" customHeight="true" outlineLevel="0" collapsed="false">
      <c r="G646" s="1" t="str">
        <f aca="false">IF(B646="","",IF(AY646=1,P646-O646+1,IF(AW646="","",AW646)))</f>
        <v/>
      </c>
      <c r="I646" s="270"/>
      <c r="J646" s="270"/>
      <c r="K646" s="270"/>
      <c r="L646" s="270"/>
      <c r="M646" s="270"/>
      <c r="N646" s="270"/>
      <c r="O646" s="263"/>
      <c r="P646" s="263"/>
      <c r="Q646" s="270" t="str">
        <f aca="false">IF(AND(ISNUMBER(I646),ISNUMBER(S646)),I646*AJ646,IF(OR(I646&lt;&gt;"",S646&lt;&gt;""),"tbd",""))</f>
        <v/>
      </c>
      <c r="S646" s="268"/>
      <c r="Y646" s="275" t="str">
        <f aca="false">IF(ISNUMBER(I646),I646/Netto_Faktor,"")</f>
        <v/>
      </c>
      <c r="Z646" s="275" t="str">
        <f aca="false">IF(B646="","",IF(COUNT(J646:N646)=0,"",SUM(J646:N646)))</f>
        <v/>
      </c>
      <c r="AA646" s="266"/>
      <c r="AB646" s="266"/>
      <c r="AC646" s="266"/>
      <c r="AD646" s="266"/>
      <c r="AE646" s="266"/>
      <c r="AF646" s="266"/>
      <c r="AG646" s="267"/>
      <c r="AH646" s="266" t="str">
        <f aca="false">IF(B646="","",IF(BA646="",IF(R646="WON","✅ belegt &amp; vollständig","✔ vollständig"),LEFT(BA646,LEN(BA646)-3)))</f>
        <v/>
      </c>
      <c r="AJ646" s="268" t="n">
        <f aca="false">IF(ISNUMBER(S646),IFERROR(LOOKUP(IF(S646&lt;=1,S646,S646/100),'⚖️ Wahrscheinlichkeit'!$B$17:$B$21,'⚖️ Wahrscheinlichkeit'!$D$17:$D$21),0),0)</f>
        <v>0</v>
      </c>
      <c r="AK646" s="1" t="str">
        <f aca="false">IF(AND(R646="WON",ISNUMBER(I646)),AL646+(861-ROW())*0.000001,"")</f>
        <v/>
      </c>
      <c r="AL646" s="1" t="n">
        <f aca="false">IFERROR(I646*1,0)</f>
        <v>0</v>
      </c>
      <c r="AM646" s="1" t="n">
        <f aca="false">N(AM645)+IF(AND(R646="WON",B646&lt;&gt;""),1,0)</f>
        <v>12</v>
      </c>
      <c r="AN646" s="1" t="n">
        <f aca="false">N(AN645)+IF(AND(OR(R646="offered",R646="to be offered",R646="on hold"),B646&lt;&gt;""),1,0)</f>
        <v>33</v>
      </c>
      <c r="AO646" s="1" t="n">
        <f aca="false">N(AO645)+IF(AND(OR(R646="follow-up",R646="Evaluation",R646="tbd",R646="In evaluation"),B646&lt;&gt;""),1,0)</f>
        <v>1</v>
      </c>
      <c r="AP646" s="1" t="n">
        <f aca="false">IF(B646="",0,IF(COUNTIF('⚖️ Wahrscheinlichkeit'!$J$17:$J$24,R646)&gt;0,1,0))</f>
        <v>0</v>
      </c>
      <c r="AQ646" s="1" t="n">
        <f aca="false">IF(B646="",0,IF(AND(ISNUMBER(S646),COUNTIF('⚖️ Wahrscheinlichkeit'!$B$6:$B$11,S646)&gt;0),1,0))</f>
        <v>0</v>
      </c>
      <c r="AR646" s="1" t="n">
        <f aca="false">IF(B646="",0,IF(AND(COUNT(J646:M646)=4,SUM(J646:M646)&gt;0),1,0))</f>
        <v>0</v>
      </c>
      <c r="AS646" s="1" t="n">
        <f aca="false">IF(B646="",0,IF(AND(AF646&lt;&gt;"",AG646&lt;&gt;""),1,0))</f>
        <v>0</v>
      </c>
      <c r="AT646" s="1" t="n">
        <f aca="false">IF(AND(R646="WON",AS646=1,AR646=1),1,0)</f>
        <v>0</v>
      </c>
      <c r="AU646" s="1" t="n">
        <f aca="false">IF(B646="",0,IF(AD646="Alternative – zählt nicht",0,1))</f>
        <v>0</v>
      </c>
      <c r="AV646" s="1" t="n">
        <f aca="false">IF(B646="",0,IF(COUNTIF($B$6:$B$860,B646)&gt;1,1,0))</f>
        <v>0</v>
      </c>
      <c r="AX646" s="269" t="str">
        <f aca="false">IF(AY646=1,DATE(YEAR(O646),MONTH(O646),1),"")</f>
        <v/>
      </c>
      <c r="AY646" s="1" t="n">
        <f aca="false">IF(B646="",0,IF(AND(ISNUMBER(O646),ISNUMBER(P646)),IF(P646&gt;=O646,1,0),0))</f>
        <v>0</v>
      </c>
      <c r="AZ646" s="1" t="n">
        <f aca="false">IF(ISNUMBER(Y646),Y646,0)</f>
        <v>0</v>
      </c>
      <c r="BA646" s="1" t="str">
        <f aca="false">IF(B646="","",IF(AND(R646="WON",AS646=0),"⛔ Beleg fehlt · ","")&amp;IF(AND(R646="WON",AR646=0),"⛔ Einstand fehlt · ","")&amp;IF(AND(R646&lt;&gt;"WON",AR646=0),"○ Einstand offen · ","")&amp;IF(AND(R646="WON",AB646=""),"⛔ Vertragsart fehlt · ","")&amp;IF(AND(ISNUMBER(O646),ISNUMBER(P646)),IF(P646&lt;O646,"⚠ Ende vor Start · ",""),"")&amp;IF(AND(R646="WON",AY646=0,NOT(AND(ISNUMBER(O646),ISNUMBER(P646)))),"⛔ Zeitraum fehlt · ","")&amp;IF(AND(R646&lt;&gt;"WON",AY646=0,NOT(AND(ISNUMBER(O646),ISNUMBER(P646)))),"○ Zeitraum offen · ",""))</f>
        <v/>
      </c>
      <c r="BB646" s="1" t="str">
        <f aca="false">IF(B646="","",IF(AND(R646="WON",AS646=0),"⛔ Nachweis fehlt",IF(AND(ISNUMBER(O646),ISNUMBER(P646),P646&lt;O646),"⚠ Ende vor Start",IF(AND(R646="WON",AY646=0),"⛔ Zeitraum fehlt",IF(AR646=0,"○ Einstand offen",IF(AY646=0,"○ Zeitraum offen",IF(R646="WON","✅ belegt","✔ erfasst")))))))</f>
        <v/>
      </c>
    </row>
    <row r="647" customFormat="false" ht="15" hidden="false" customHeight="true" outlineLevel="0" collapsed="false">
      <c r="G647" s="1" t="str">
        <f aca="false">IF(B647="","",IF(AY647=1,P647-O647+1,IF(AW647="","",AW647)))</f>
        <v/>
      </c>
      <c r="I647" s="270"/>
      <c r="J647" s="270"/>
      <c r="K647" s="270"/>
      <c r="L647" s="270"/>
      <c r="M647" s="270"/>
      <c r="N647" s="270"/>
      <c r="O647" s="263"/>
      <c r="P647" s="263"/>
      <c r="Q647" s="270" t="str">
        <f aca="false">IF(AND(ISNUMBER(I647),ISNUMBER(S647)),I647*AJ647,IF(OR(I647&lt;&gt;"",S647&lt;&gt;""),"tbd",""))</f>
        <v/>
      </c>
      <c r="S647" s="268"/>
      <c r="Y647" s="275" t="str">
        <f aca="false">IF(ISNUMBER(I647),I647/Netto_Faktor,"")</f>
        <v/>
      </c>
      <c r="Z647" s="275" t="str">
        <f aca="false">IF(B647="","",IF(COUNT(J647:N647)=0,"",SUM(J647:N647)))</f>
        <v/>
      </c>
      <c r="AA647" s="266"/>
      <c r="AB647" s="266"/>
      <c r="AC647" s="266"/>
      <c r="AD647" s="266"/>
      <c r="AE647" s="266"/>
      <c r="AF647" s="266"/>
      <c r="AG647" s="267"/>
      <c r="AH647" s="266" t="str">
        <f aca="false">IF(B647="","",IF(BA647="",IF(R647="WON","✅ belegt &amp; vollständig","✔ vollständig"),LEFT(BA647,LEN(BA647)-3)))</f>
        <v/>
      </c>
      <c r="AJ647" s="268" t="n">
        <f aca="false">IF(ISNUMBER(S647),IFERROR(LOOKUP(IF(S647&lt;=1,S647,S647/100),'⚖️ Wahrscheinlichkeit'!$B$17:$B$21,'⚖️ Wahrscheinlichkeit'!$D$17:$D$21),0),0)</f>
        <v>0</v>
      </c>
      <c r="AK647" s="1" t="str">
        <f aca="false">IF(AND(R647="WON",ISNUMBER(I647)),AL647+(861-ROW())*0.000001,"")</f>
        <v/>
      </c>
      <c r="AL647" s="1" t="n">
        <f aca="false">IFERROR(I647*1,0)</f>
        <v>0</v>
      </c>
      <c r="AM647" s="1" t="n">
        <f aca="false">N(AM646)+IF(AND(R647="WON",B647&lt;&gt;""),1,0)</f>
        <v>12</v>
      </c>
      <c r="AN647" s="1" t="n">
        <f aca="false">N(AN646)+IF(AND(OR(R647="offered",R647="to be offered",R647="on hold"),B647&lt;&gt;""),1,0)</f>
        <v>33</v>
      </c>
      <c r="AO647" s="1" t="n">
        <f aca="false">N(AO646)+IF(AND(OR(R647="follow-up",R647="Evaluation",R647="tbd",R647="In evaluation"),B647&lt;&gt;""),1,0)</f>
        <v>1</v>
      </c>
      <c r="AP647" s="1" t="n">
        <f aca="false">IF(B647="",0,IF(COUNTIF('⚖️ Wahrscheinlichkeit'!$J$17:$J$24,R647)&gt;0,1,0))</f>
        <v>0</v>
      </c>
      <c r="AQ647" s="1" t="n">
        <f aca="false">IF(B647="",0,IF(AND(ISNUMBER(S647),COUNTIF('⚖️ Wahrscheinlichkeit'!$B$6:$B$11,S647)&gt;0),1,0))</f>
        <v>0</v>
      </c>
      <c r="AR647" s="1" t="n">
        <f aca="false">IF(B647="",0,IF(AND(COUNT(J647:M647)=4,SUM(J647:M647)&gt;0),1,0))</f>
        <v>0</v>
      </c>
      <c r="AS647" s="1" t="n">
        <f aca="false">IF(B647="",0,IF(AND(AF647&lt;&gt;"",AG647&lt;&gt;""),1,0))</f>
        <v>0</v>
      </c>
      <c r="AT647" s="1" t="n">
        <f aca="false">IF(AND(R647="WON",AS647=1,AR647=1),1,0)</f>
        <v>0</v>
      </c>
      <c r="AU647" s="1" t="n">
        <f aca="false">IF(B647="",0,IF(AD647="Alternative – zählt nicht",0,1))</f>
        <v>0</v>
      </c>
      <c r="AV647" s="1" t="n">
        <f aca="false">IF(B647="",0,IF(COUNTIF($B$6:$B$860,B647)&gt;1,1,0))</f>
        <v>0</v>
      </c>
      <c r="AX647" s="269" t="str">
        <f aca="false">IF(AY647=1,DATE(YEAR(O647),MONTH(O647),1),"")</f>
        <v/>
      </c>
      <c r="AY647" s="1" t="n">
        <f aca="false">IF(B647="",0,IF(AND(ISNUMBER(O647),ISNUMBER(P647)),IF(P647&gt;=O647,1,0),0))</f>
        <v>0</v>
      </c>
      <c r="AZ647" s="1" t="n">
        <f aca="false">IF(ISNUMBER(Y647),Y647,0)</f>
        <v>0</v>
      </c>
      <c r="BA647" s="1" t="str">
        <f aca="false">IF(B647="","",IF(AND(R647="WON",AS647=0),"⛔ Beleg fehlt · ","")&amp;IF(AND(R647="WON",AR647=0),"⛔ Einstand fehlt · ","")&amp;IF(AND(R647&lt;&gt;"WON",AR647=0),"○ Einstand offen · ","")&amp;IF(AND(R647="WON",AB647=""),"⛔ Vertragsart fehlt · ","")&amp;IF(AND(ISNUMBER(O647),ISNUMBER(P647)),IF(P647&lt;O647,"⚠ Ende vor Start · ",""),"")&amp;IF(AND(R647="WON",AY647=0,NOT(AND(ISNUMBER(O647),ISNUMBER(P647)))),"⛔ Zeitraum fehlt · ","")&amp;IF(AND(R647&lt;&gt;"WON",AY647=0,NOT(AND(ISNUMBER(O647),ISNUMBER(P647)))),"○ Zeitraum offen · ",""))</f>
        <v/>
      </c>
      <c r="BB647" s="1" t="str">
        <f aca="false">IF(B647="","",IF(AND(R647="WON",AS647=0),"⛔ Nachweis fehlt",IF(AND(ISNUMBER(O647),ISNUMBER(P647),P647&lt;O647),"⚠ Ende vor Start",IF(AND(R647="WON",AY647=0),"⛔ Zeitraum fehlt",IF(AR647=0,"○ Einstand offen",IF(AY647=0,"○ Zeitraum offen",IF(R647="WON","✅ belegt","✔ erfasst")))))))</f>
        <v/>
      </c>
    </row>
    <row r="648" customFormat="false" ht="15" hidden="false" customHeight="true" outlineLevel="0" collapsed="false">
      <c r="G648" s="1" t="str">
        <f aca="false">IF(B648="","",IF(AY648=1,P648-O648+1,IF(AW648="","",AW648)))</f>
        <v/>
      </c>
      <c r="I648" s="270"/>
      <c r="J648" s="270"/>
      <c r="K648" s="270"/>
      <c r="L648" s="270"/>
      <c r="M648" s="270"/>
      <c r="N648" s="270"/>
      <c r="O648" s="263"/>
      <c r="P648" s="263"/>
      <c r="Q648" s="270" t="str">
        <f aca="false">IF(AND(ISNUMBER(I648),ISNUMBER(S648)),I648*AJ648,IF(OR(I648&lt;&gt;"",S648&lt;&gt;""),"tbd",""))</f>
        <v/>
      </c>
      <c r="S648" s="268"/>
      <c r="Y648" s="275" t="str">
        <f aca="false">IF(ISNUMBER(I648),I648/Netto_Faktor,"")</f>
        <v/>
      </c>
      <c r="Z648" s="275" t="str">
        <f aca="false">IF(B648="","",IF(COUNT(J648:N648)=0,"",SUM(J648:N648)))</f>
        <v/>
      </c>
      <c r="AA648" s="266"/>
      <c r="AB648" s="266"/>
      <c r="AC648" s="266"/>
      <c r="AD648" s="266"/>
      <c r="AE648" s="266"/>
      <c r="AF648" s="266"/>
      <c r="AG648" s="267"/>
      <c r="AH648" s="266" t="str">
        <f aca="false">IF(B648="","",IF(BA648="",IF(R648="WON","✅ belegt &amp; vollständig","✔ vollständig"),LEFT(BA648,LEN(BA648)-3)))</f>
        <v/>
      </c>
      <c r="AJ648" s="268" t="n">
        <f aca="false">IF(ISNUMBER(S648),IFERROR(LOOKUP(IF(S648&lt;=1,S648,S648/100),'⚖️ Wahrscheinlichkeit'!$B$17:$B$21,'⚖️ Wahrscheinlichkeit'!$D$17:$D$21),0),0)</f>
        <v>0</v>
      </c>
      <c r="AK648" s="1" t="str">
        <f aca="false">IF(AND(R648="WON",ISNUMBER(I648)),AL648+(861-ROW())*0.000001,"")</f>
        <v/>
      </c>
      <c r="AL648" s="1" t="n">
        <f aca="false">IFERROR(I648*1,0)</f>
        <v>0</v>
      </c>
      <c r="AM648" s="1" t="n">
        <f aca="false">N(AM647)+IF(AND(R648="WON",B648&lt;&gt;""),1,0)</f>
        <v>12</v>
      </c>
      <c r="AN648" s="1" t="n">
        <f aca="false">N(AN647)+IF(AND(OR(R648="offered",R648="to be offered",R648="on hold"),B648&lt;&gt;""),1,0)</f>
        <v>33</v>
      </c>
      <c r="AO648" s="1" t="n">
        <f aca="false">N(AO647)+IF(AND(OR(R648="follow-up",R648="Evaluation",R648="tbd",R648="In evaluation"),B648&lt;&gt;""),1,0)</f>
        <v>1</v>
      </c>
      <c r="AP648" s="1" t="n">
        <f aca="false">IF(B648="",0,IF(COUNTIF('⚖️ Wahrscheinlichkeit'!$J$17:$J$24,R648)&gt;0,1,0))</f>
        <v>0</v>
      </c>
      <c r="AQ648" s="1" t="n">
        <f aca="false">IF(B648="",0,IF(AND(ISNUMBER(S648),COUNTIF('⚖️ Wahrscheinlichkeit'!$B$6:$B$11,S648)&gt;0),1,0))</f>
        <v>0</v>
      </c>
      <c r="AR648" s="1" t="n">
        <f aca="false">IF(B648="",0,IF(AND(COUNT(J648:M648)=4,SUM(J648:M648)&gt;0),1,0))</f>
        <v>0</v>
      </c>
      <c r="AS648" s="1" t="n">
        <f aca="false">IF(B648="",0,IF(AND(AF648&lt;&gt;"",AG648&lt;&gt;""),1,0))</f>
        <v>0</v>
      </c>
      <c r="AT648" s="1" t="n">
        <f aca="false">IF(AND(R648="WON",AS648=1,AR648=1),1,0)</f>
        <v>0</v>
      </c>
      <c r="AU648" s="1" t="n">
        <f aca="false">IF(B648="",0,IF(AD648="Alternative – zählt nicht",0,1))</f>
        <v>0</v>
      </c>
      <c r="AV648" s="1" t="n">
        <f aca="false">IF(B648="",0,IF(COUNTIF($B$6:$B$860,B648)&gt;1,1,0))</f>
        <v>0</v>
      </c>
      <c r="AX648" s="269" t="str">
        <f aca="false">IF(AY648=1,DATE(YEAR(O648),MONTH(O648),1),"")</f>
        <v/>
      </c>
      <c r="AY648" s="1" t="n">
        <f aca="false">IF(B648="",0,IF(AND(ISNUMBER(O648),ISNUMBER(P648)),IF(P648&gt;=O648,1,0),0))</f>
        <v>0</v>
      </c>
      <c r="AZ648" s="1" t="n">
        <f aca="false">IF(ISNUMBER(Y648),Y648,0)</f>
        <v>0</v>
      </c>
      <c r="BA648" s="1" t="str">
        <f aca="false">IF(B648="","",IF(AND(R648="WON",AS648=0),"⛔ Beleg fehlt · ","")&amp;IF(AND(R648="WON",AR648=0),"⛔ Einstand fehlt · ","")&amp;IF(AND(R648&lt;&gt;"WON",AR648=0),"○ Einstand offen · ","")&amp;IF(AND(R648="WON",AB648=""),"⛔ Vertragsart fehlt · ","")&amp;IF(AND(ISNUMBER(O648),ISNUMBER(P648)),IF(P648&lt;O648,"⚠ Ende vor Start · ",""),"")&amp;IF(AND(R648="WON",AY648=0,NOT(AND(ISNUMBER(O648),ISNUMBER(P648)))),"⛔ Zeitraum fehlt · ","")&amp;IF(AND(R648&lt;&gt;"WON",AY648=0,NOT(AND(ISNUMBER(O648),ISNUMBER(P648)))),"○ Zeitraum offen · ",""))</f>
        <v/>
      </c>
      <c r="BB648" s="1" t="str">
        <f aca="false">IF(B648="","",IF(AND(R648="WON",AS648=0),"⛔ Nachweis fehlt",IF(AND(ISNUMBER(O648),ISNUMBER(P648),P648&lt;O648),"⚠ Ende vor Start",IF(AND(R648="WON",AY648=0),"⛔ Zeitraum fehlt",IF(AR648=0,"○ Einstand offen",IF(AY648=0,"○ Zeitraum offen",IF(R648="WON","✅ belegt","✔ erfasst")))))))</f>
        <v/>
      </c>
    </row>
    <row r="649" customFormat="false" ht="15" hidden="false" customHeight="true" outlineLevel="0" collapsed="false">
      <c r="G649" s="1" t="str">
        <f aca="false">IF(B649="","",IF(AY649=1,P649-O649+1,IF(AW649="","",AW649)))</f>
        <v/>
      </c>
      <c r="I649" s="270"/>
      <c r="J649" s="270"/>
      <c r="K649" s="270"/>
      <c r="L649" s="270"/>
      <c r="M649" s="270"/>
      <c r="N649" s="270"/>
      <c r="O649" s="263"/>
      <c r="P649" s="263"/>
      <c r="Q649" s="270" t="str">
        <f aca="false">IF(AND(ISNUMBER(I649),ISNUMBER(S649)),I649*AJ649,IF(OR(I649&lt;&gt;"",S649&lt;&gt;""),"tbd",""))</f>
        <v/>
      </c>
      <c r="S649" s="268"/>
      <c r="Y649" s="275" t="str">
        <f aca="false">IF(ISNUMBER(I649),I649/Netto_Faktor,"")</f>
        <v/>
      </c>
      <c r="Z649" s="275" t="str">
        <f aca="false">IF(B649="","",IF(COUNT(J649:N649)=0,"",SUM(J649:N649)))</f>
        <v/>
      </c>
      <c r="AA649" s="266"/>
      <c r="AB649" s="266"/>
      <c r="AC649" s="266"/>
      <c r="AD649" s="266"/>
      <c r="AE649" s="266"/>
      <c r="AF649" s="266"/>
      <c r="AG649" s="267"/>
      <c r="AH649" s="266" t="str">
        <f aca="false">IF(B649="","",IF(BA649="",IF(R649="WON","✅ belegt &amp; vollständig","✔ vollständig"),LEFT(BA649,LEN(BA649)-3)))</f>
        <v/>
      </c>
      <c r="AJ649" s="268" t="n">
        <f aca="false">IF(ISNUMBER(S649),IFERROR(LOOKUP(IF(S649&lt;=1,S649,S649/100),'⚖️ Wahrscheinlichkeit'!$B$17:$B$21,'⚖️ Wahrscheinlichkeit'!$D$17:$D$21),0),0)</f>
        <v>0</v>
      </c>
      <c r="AK649" s="1" t="str">
        <f aca="false">IF(AND(R649="WON",ISNUMBER(I649)),AL649+(861-ROW())*0.000001,"")</f>
        <v/>
      </c>
      <c r="AL649" s="1" t="n">
        <f aca="false">IFERROR(I649*1,0)</f>
        <v>0</v>
      </c>
      <c r="AM649" s="1" t="n">
        <f aca="false">N(AM648)+IF(AND(R649="WON",B649&lt;&gt;""),1,0)</f>
        <v>12</v>
      </c>
      <c r="AN649" s="1" t="n">
        <f aca="false">N(AN648)+IF(AND(OR(R649="offered",R649="to be offered",R649="on hold"),B649&lt;&gt;""),1,0)</f>
        <v>33</v>
      </c>
      <c r="AO649" s="1" t="n">
        <f aca="false">N(AO648)+IF(AND(OR(R649="follow-up",R649="Evaluation",R649="tbd",R649="In evaluation"),B649&lt;&gt;""),1,0)</f>
        <v>1</v>
      </c>
      <c r="AP649" s="1" t="n">
        <f aca="false">IF(B649="",0,IF(COUNTIF('⚖️ Wahrscheinlichkeit'!$J$17:$J$24,R649)&gt;0,1,0))</f>
        <v>0</v>
      </c>
      <c r="AQ649" s="1" t="n">
        <f aca="false">IF(B649="",0,IF(AND(ISNUMBER(S649),COUNTIF('⚖️ Wahrscheinlichkeit'!$B$6:$B$11,S649)&gt;0),1,0))</f>
        <v>0</v>
      </c>
      <c r="AR649" s="1" t="n">
        <f aca="false">IF(B649="",0,IF(AND(COUNT(J649:M649)=4,SUM(J649:M649)&gt;0),1,0))</f>
        <v>0</v>
      </c>
      <c r="AS649" s="1" t="n">
        <f aca="false">IF(B649="",0,IF(AND(AF649&lt;&gt;"",AG649&lt;&gt;""),1,0))</f>
        <v>0</v>
      </c>
      <c r="AT649" s="1" t="n">
        <f aca="false">IF(AND(R649="WON",AS649=1,AR649=1),1,0)</f>
        <v>0</v>
      </c>
      <c r="AU649" s="1" t="n">
        <f aca="false">IF(B649="",0,IF(AD649="Alternative – zählt nicht",0,1))</f>
        <v>0</v>
      </c>
      <c r="AV649" s="1" t="n">
        <f aca="false">IF(B649="",0,IF(COUNTIF($B$6:$B$860,B649)&gt;1,1,0))</f>
        <v>0</v>
      </c>
      <c r="AX649" s="269" t="str">
        <f aca="false">IF(AY649=1,DATE(YEAR(O649),MONTH(O649),1),"")</f>
        <v/>
      </c>
      <c r="AY649" s="1" t="n">
        <f aca="false">IF(B649="",0,IF(AND(ISNUMBER(O649),ISNUMBER(P649)),IF(P649&gt;=O649,1,0),0))</f>
        <v>0</v>
      </c>
      <c r="AZ649" s="1" t="n">
        <f aca="false">IF(ISNUMBER(Y649),Y649,0)</f>
        <v>0</v>
      </c>
      <c r="BA649" s="1" t="str">
        <f aca="false">IF(B649="","",IF(AND(R649="WON",AS649=0),"⛔ Beleg fehlt · ","")&amp;IF(AND(R649="WON",AR649=0),"⛔ Einstand fehlt · ","")&amp;IF(AND(R649&lt;&gt;"WON",AR649=0),"○ Einstand offen · ","")&amp;IF(AND(R649="WON",AB649=""),"⛔ Vertragsart fehlt · ","")&amp;IF(AND(ISNUMBER(O649),ISNUMBER(P649)),IF(P649&lt;O649,"⚠ Ende vor Start · ",""),"")&amp;IF(AND(R649="WON",AY649=0,NOT(AND(ISNUMBER(O649),ISNUMBER(P649)))),"⛔ Zeitraum fehlt · ","")&amp;IF(AND(R649&lt;&gt;"WON",AY649=0,NOT(AND(ISNUMBER(O649),ISNUMBER(P649)))),"○ Zeitraum offen · ",""))</f>
        <v/>
      </c>
      <c r="BB649" s="1" t="str">
        <f aca="false">IF(B649="","",IF(AND(R649="WON",AS649=0),"⛔ Nachweis fehlt",IF(AND(ISNUMBER(O649),ISNUMBER(P649),P649&lt;O649),"⚠ Ende vor Start",IF(AND(R649="WON",AY649=0),"⛔ Zeitraum fehlt",IF(AR649=0,"○ Einstand offen",IF(AY649=0,"○ Zeitraum offen",IF(R649="WON","✅ belegt","✔ erfasst")))))))</f>
        <v/>
      </c>
    </row>
    <row r="650" customFormat="false" ht="15" hidden="false" customHeight="true" outlineLevel="0" collapsed="false">
      <c r="G650" s="1" t="str">
        <f aca="false">IF(B650="","",IF(AY650=1,P650-O650+1,IF(AW650="","",AW650)))</f>
        <v/>
      </c>
      <c r="I650" s="270"/>
      <c r="J650" s="270"/>
      <c r="K650" s="270"/>
      <c r="L650" s="270"/>
      <c r="M650" s="270"/>
      <c r="N650" s="270"/>
      <c r="O650" s="263"/>
      <c r="P650" s="263"/>
      <c r="Q650" s="270" t="str">
        <f aca="false">IF(AND(ISNUMBER(I650),ISNUMBER(S650)),I650*AJ650,IF(OR(I650&lt;&gt;"",S650&lt;&gt;""),"tbd",""))</f>
        <v/>
      </c>
      <c r="S650" s="268"/>
      <c r="Y650" s="275" t="str">
        <f aca="false">IF(ISNUMBER(I650),I650/Netto_Faktor,"")</f>
        <v/>
      </c>
      <c r="Z650" s="275" t="str">
        <f aca="false">IF(B650="","",IF(COUNT(J650:N650)=0,"",SUM(J650:N650)))</f>
        <v/>
      </c>
      <c r="AA650" s="266"/>
      <c r="AB650" s="266"/>
      <c r="AC650" s="266"/>
      <c r="AD650" s="266"/>
      <c r="AE650" s="266"/>
      <c r="AF650" s="266"/>
      <c r="AG650" s="267"/>
      <c r="AH650" s="266" t="str">
        <f aca="false">IF(B650="","",IF(BA650="",IF(R650="WON","✅ belegt &amp; vollständig","✔ vollständig"),LEFT(BA650,LEN(BA650)-3)))</f>
        <v/>
      </c>
      <c r="AJ650" s="268" t="n">
        <f aca="false">IF(ISNUMBER(S650),IFERROR(LOOKUP(IF(S650&lt;=1,S650,S650/100),'⚖️ Wahrscheinlichkeit'!$B$17:$B$21,'⚖️ Wahrscheinlichkeit'!$D$17:$D$21),0),0)</f>
        <v>0</v>
      </c>
      <c r="AK650" s="1" t="str">
        <f aca="false">IF(AND(R650="WON",ISNUMBER(I650)),AL650+(861-ROW())*0.000001,"")</f>
        <v/>
      </c>
      <c r="AL650" s="1" t="n">
        <f aca="false">IFERROR(I650*1,0)</f>
        <v>0</v>
      </c>
      <c r="AM650" s="1" t="n">
        <f aca="false">N(AM649)+IF(AND(R650="WON",B650&lt;&gt;""),1,0)</f>
        <v>12</v>
      </c>
      <c r="AN650" s="1" t="n">
        <f aca="false">N(AN649)+IF(AND(OR(R650="offered",R650="to be offered",R650="on hold"),B650&lt;&gt;""),1,0)</f>
        <v>33</v>
      </c>
      <c r="AO650" s="1" t="n">
        <f aca="false">N(AO649)+IF(AND(OR(R650="follow-up",R650="Evaluation",R650="tbd",R650="In evaluation"),B650&lt;&gt;""),1,0)</f>
        <v>1</v>
      </c>
      <c r="AP650" s="1" t="n">
        <f aca="false">IF(B650="",0,IF(COUNTIF('⚖️ Wahrscheinlichkeit'!$J$17:$J$24,R650)&gt;0,1,0))</f>
        <v>0</v>
      </c>
      <c r="AQ650" s="1" t="n">
        <f aca="false">IF(B650="",0,IF(AND(ISNUMBER(S650),COUNTIF('⚖️ Wahrscheinlichkeit'!$B$6:$B$11,S650)&gt;0),1,0))</f>
        <v>0</v>
      </c>
      <c r="AR650" s="1" t="n">
        <f aca="false">IF(B650="",0,IF(AND(COUNT(J650:M650)=4,SUM(J650:M650)&gt;0),1,0))</f>
        <v>0</v>
      </c>
      <c r="AS650" s="1" t="n">
        <f aca="false">IF(B650="",0,IF(AND(AF650&lt;&gt;"",AG650&lt;&gt;""),1,0))</f>
        <v>0</v>
      </c>
      <c r="AT650" s="1" t="n">
        <f aca="false">IF(AND(R650="WON",AS650=1,AR650=1),1,0)</f>
        <v>0</v>
      </c>
      <c r="AU650" s="1" t="n">
        <f aca="false">IF(B650="",0,IF(AD650="Alternative – zählt nicht",0,1))</f>
        <v>0</v>
      </c>
      <c r="AV650" s="1" t="n">
        <f aca="false">IF(B650="",0,IF(COUNTIF($B$6:$B$860,B650)&gt;1,1,0))</f>
        <v>0</v>
      </c>
      <c r="AX650" s="269" t="str">
        <f aca="false">IF(AY650=1,DATE(YEAR(O650),MONTH(O650),1),"")</f>
        <v/>
      </c>
      <c r="AY650" s="1" t="n">
        <f aca="false">IF(B650="",0,IF(AND(ISNUMBER(O650),ISNUMBER(P650)),IF(P650&gt;=O650,1,0),0))</f>
        <v>0</v>
      </c>
      <c r="AZ650" s="1" t="n">
        <f aca="false">IF(ISNUMBER(Y650),Y650,0)</f>
        <v>0</v>
      </c>
      <c r="BA650" s="1" t="str">
        <f aca="false">IF(B650="","",IF(AND(R650="WON",AS650=0),"⛔ Beleg fehlt · ","")&amp;IF(AND(R650="WON",AR650=0),"⛔ Einstand fehlt · ","")&amp;IF(AND(R650&lt;&gt;"WON",AR650=0),"○ Einstand offen · ","")&amp;IF(AND(R650="WON",AB650=""),"⛔ Vertragsart fehlt · ","")&amp;IF(AND(ISNUMBER(O650),ISNUMBER(P650)),IF(P650&lt;O650,"⚠ Ende vor Start · ",""),"")&amp;IF(AND(R650="WON",AY650=0,NOT(AND(ISNUMBER(O650),ISNUMBER(P650)))),"⛔ Zeitraum fehlt · ","")&amp;IF(AND(R650&lt;&gt;"WON",AY650=0,NOT(AND(ISNUMBER(O650),ISNUMBER(P650)))),"○ Zeitraum offen · ",""))</f>
        <v/>
      </c>
      <c r="BB650" s="1" t="str">
        <f aca="false">IF(B650="","",IF(AND(R650="WON",AS650=0),"⛔ Nachweis fehlt",IF(AND(ISNUMBER(O650),ISNUMBER(P650),P650&lt;O650),"⚠ Ende vor Start",IF(AND(R650="WON",AY650=0),"⛔ Zeitraum fehlt",IF(AR650=0,"○ Einstand offen",IF(AY650=0,"○ Zeitraum offen",IF(R650="WON","✅ belegt","✔ erfasst")))))))</f>
        <v/>
      </c>
    </row>
    <row r="651" customFormat="false" ht="15" hidden="false" customHeight="true" outlineLevel="0" collapsed="false">
      <c r="G651" s="1" t="str">
        <f aca="false">IF(B651="","",IF(AY651=1,P651-O651+1,IF(AW651="","",AW651)))</f>
        <v/>
      </c>
      <c r="I651" s="270"/>
      <c r="J651" s="270"/>
      <c r="K651" s="270"/>
      <c r="L651" s="270"/>
      <c r="M651" s="270"/>
      <c r="N651" s="270"/>
      <c r="O651" s="263"/>
      <c r="P651" s="263"/>
      <c r="Q651" s="270" t="str">
        <f aca="false">IF(AND(ISNUMBER(I651),ISNUMBER(S651)),I651*AJ651,IF(OR(I651&lt;&gt;"",S651&lt;&gt;""),"tbd",""))</f>
        <v/>
      </c>
      <c r="S651" s="268"/>
      <c r="Y651" s="275" t="str">
        <f aca="false">IF(ISNUMBER(I651),I651/Netto_Faktor,"")</f>
        <v/>
      </c>
      <c r="Z651" s="275" t="str">
        <f aca="false">IF(B651="","",IF(COUNT(J651:N651)=0,"",SUM(J651:N651)))</f>
        <v/>
      </c>
      <c r="AA651" s="266"/>
      <c r="AB651" s="266"/>
      <c r="AC651" s="266"/>
      <c r="AD651" s="266"/>
      <c r="AE651" s="266"/>
      <c r="AF651" s="266"/>
      <c r="AG651" s="267"/>
      <c r="AH651" s="266" t="str">
        <f aca="false">IF(B651="","",IF(BA651="",IF(R651="WON","✅ belegt &amp; vollständig","✔ vollständig"),LEFT(BA651,LEN(BA651)-3)))</f>
        <v/>
      </c>
      <c r="AJ651" s="268" t="n">
        <f aca="false">IF(ISNUMBER(S651),IFERROR(LOOKUP(IF(S651&lt;=1,S651,S651/100),'⚖️ Wahrscheinlichkeit'!$B$17:$B$21,'⚖️ Wahrscheinlichkeit'!$D$17:$D$21),0),0)</f>
        <v>0</v>
      </c>
      <c r="AK651" s="1" t="str">
        <f aca="false">IF(AND(R651="WON",ISNUMBER(I651)),AL651+(861-ROW())*0.000001,"")</f>
        <v/>
      </c>
      <c r="AL651" s="1" t="n">
        <f aca="false">IFERROR(I651*1,0)</f>
        <v>0</v>
      </c>
      <c r="AM651" s="1" t="n">
        <f aca="false">N(AM650)+IF(AND(R651="WON",B651&lt;&gt;""),1,0)</f>
        <v>12</v>
      </c>
      <c r="AN651" s="1" t="n">
        <f aca="false">N(AN650)+IF(AND(OR(R651="offered",R651="to be offered",R651="on hold"),B651&lt;&gt;""),1,0)</f>
        <v>33</v>
      </c>
      <c r="AO651" s="1" t="n">
        <f aca="false">N(AO650)+IF(AND(OR(R651="follow-up",R651="Evaluation",R651="tbd",R651="In evaluation"),B651&lt;&gt;""),1,0)</f>
        <v>1</v>
      </c>
      <c r="AP651" s="1" t="n">
        <f aca="false">IF(B651="",0,IF(COUNTIF('⚖️ Wahrscheinlichkeit'!$J$17:$J$24,R651)&gt;0,1,0))</f>
        <v>0</v>
      </c>
      <c r="AQ651" s="1" t="n">
        <f aca="false">IF(B651="",0,IF(AND(ISNUMBER(S651),COUNTIF('⚖️ Wahrscheinlichkeit'!$B$6:$B$11,S651)&gt;0),1,0))</f>
        <v>0</v>
      </c>
      <c r="AR651" s="1" t="n">
        <f aca="false">IF(B651="",0,IF(AND(COUNT(J651:M651)=4,SUM(J651:M651)&gt;0),1,0))</f>
        <v>0</v>
      </c>
      <c r="AS651" s="1" t="n">
        <f aca="false">IF(B651="",0,IF(AND(AF651&lt;&gt;"",AG651&lt;&gt;""),1,0))</f>
        <v>0</v>
      </c>
      <c r="AT651" s="1" t="n">
        <f aca="false">IF(AND(R651="WON",AS651=1,AR651=1),1,0)</f>
        <v>0</v>
      </c>
      <c r="AU651" s="1" t="n">
        <f aca="false">IF(B651="",0,IF(AD651="Alternative – zählt nicht",0,1))</f>
        <v>0</v>
      </c>
      <c r="AV651" s="1" t="n">
        <f aca="false">IF(B651="",0,IF(COUNTIF($B$6:$B$860,B651)&gt;1,1,0))</f>
        <v>0</v>
      </c>
      <c r="AX651" s="269" t="str">
        <f aca="false">IF(AY651=1,DATE(YEAR(O651),MONTH(O651),1),"")</f>
        <v/>
      </c>
      <c r="AY651" s="1" t="n">
        <f aca="false">IF(B651="",0,IF(AND(ISNUMBER(O651),ISNUMBER(P651)),IF(P651&gt;=O651,1,0),0))</f>
        <v>0</v>
      </c>
      <c r="AZ651" s="1" t="n">
        <f aca="false">IF(ISNUMBER(Y651),Y651,0)</f>
        <v>0</v>
      </c>
      <c r="BA651" s="1" t="str">
        <f aca="false">IF(B651="","",IF(AND(R651="WON",AS651=0),"⛔ Beleg fehlt · ","")&amp;IF(AND(R651="WON",AR651=0),"⛔ Einstand fehlt · ","")&amp;IF(AND(R651&lt;&gt;"WON",AR651=0),"○ Einstand offen · ","")&amp;IF(AND(R651="WON",AB651=""),"⛔ Vertragsart fehlt · ","")&amp;IF(AND(ISNUMBER(O651),ISNUMBER(P651)),IF(P651&lt;O651,"⚠ Ende vor Start · ",""),"")&amp;IF(AND(R651="WON",AY651=0,NOT(AND(ISNUMBER(O651),ISNUMBER(P651)))),"⛔ Zeitraum fehlt · ","")&amp;IF(AND(R651&lt;&gt;"WON",AY651=0,NOT(AND(ISNUMBER(O651),ISNUMBER(P651)))),"○ Zeitraum offen · ",""))</f>
        <v/>
      </c>
      <c r="BB651" s="1" t="str">
        <f aca="false">IF(B651="","",IF(AND(R651="WON",AS651=0),"⛔ Nachweis fehlt",IF(AND(ISNUMBER(O651),ISNUMBER(P651),P651&lt;O651),"⚠ Ende vor Start",IF(AND(R651="WON",AY651=0),"⛔ Zeitraum fehlt",IF(AR651=0,"○ Einstand offen",IF(AY651=0,"○ Zeitraum offen",IF(R651="WON","✅ belegt","✔ erfasst")))))))</f>
        <v/>
      </c>
    </row>
    <row r="652" customFormat="false" ht="15" hidden="false" customHeight="true" outlineLevel="0" collapsed="false">
      <c r="G652" s="1" t="str">
        <f aca="false">IF(B652="","",IF(AY652=1,P652-O652+1,IF(AW652="","",AW652)))</f>
        <v/>
      </c>
      <c r="I652" s="270"/>
      <c r="J652" s="270"/>
      <c r="K652" s="270"/>
      <c r="L652" s="270"/>
      <c r="M652" s="270"/>
      <c r="N652" s="270"/>
      <c r="O652" s="263"/>
      <c r="P652" s="263"/>
      <c r="Q652" s="270" t="str">
        <f aca="false">IF(AND(ISNUMBER(I652),ISNUMBER(S652)),I652*AJ652,IF(OR(I652&lt;&gt;"",S652&lt;&gt;""),"tbd",""))</f>
        <v/>
      </c>
      <c r="S652" s="268"/>
      <c r="Y652" s="275" t="str">
        <f aca="false">IF(ISNUMBER(I652),I652/Netto_Faktor,"")</f>
        <v/>
      </c>
      <c r="Z652" s="275" t="str">
        <f aca="false">IF(B652="","",IF(COUNT(J652:N652)=0,"",SUM(J652:N652)))</f>
        <v/>
      </c>
      <c r="AA652" s="266"/>
      <c r="AB652" s="266"/>
      <c r="AC652" s="266"/>
      <c r="AD652" s="266"/>
      <c r="AE652" s="266"/>
      <c r="AF652" s="266"/>
      <c r="AG652" s="267"/>
      <c r="AH652" s="266" t="str">
        <f aca="false">IF(B652="","",IF(BA652="",IF(R652="WON","✅ belegt &amp; vollständig","✔ vollständig"),LEFT(BA652,LEN(BA652)-3)))</f>
        <v/>
      </c>
      <c r="AJ652" s="268" t="n">
        <f aca="false">IF(ISNUMBER(S652),IFERROR(LOOKUP(IF(S652&lt;=1,S652,S652/100),'⚖️ Wahrscheinlichkeit'!$B$17:$B$21,'⚖️ Wahrscheinlichkeit'!$D$17:$D$21),0),0)</f>
        <v>0</v>
      </c>
      <c r="AK652" s="1" t="str">
        <f aca="false">IF(AND(R652="WON",ISNUMBER(I652)),AL652+(861-ROW())*0.000001,"")</f>
        <v/>
      </c>
      <c r="AL652" s="1" t="n">
        <f aca="false">IFERROR(I652*1,0)</f>
        <v>0</v>
      </c>
      <c r="AM652" s="1" t="n">
        <f aca="false">N(AM651)+IF(AND(R652="WON",B652&lt;&gt;""),1,0)</f>
        <v>12</v>
      </c>
      <c r="AN652" s="1" t="n">
        <f aca="false">N(AN651)+IF(AND(OR(R652="offered",R652="to be offered",R652="on hold"),B652&lt;&gt;""),1,0)</f>
        <v>33</v>
      </c>
      <c r="AO652" s="1" t="n">
        <f aca="false">N(AO651)+IF(AND(OR(R652="follow-up",R652="Evaluation",R652="tbd",R652="In evaluation"),B652&lt;&gt;""),1,0)</f>
        <v>1</v>
      </c>
      <c r="AP652" s="1" t="n">
        <f aca="false">IF(B652="",0,IF(COUNTIF('⚖️ Wahrscheinlichkeit'!$J$17:$J$24,R652)&gt;0,1,0))</f>
        <v>0</v>
      </c>
      <c r="AQ652" s="1" t="n">
        <f aca="false">IF(B652="",0,IF(AND(ISNUMBER(S652),COUNTIF('⚖️ Wahrscheinlichkeit'!$B$6:$B$11,S652)&gt;0),1,0))</f>
        <v>0</v>
      </c>
      <c r="AR652" s="1" t="n">
        <f aca="false">IF(B652="",0,IF(AND(COUNT(J652:M652)=4,SUM(J652:M652)&gt;0),1,0))</f>
        <v>0</v>
      </c>
      <c r="AS652" s="1" t="n">
        <f aca="false">IF(B652="",0,IF(AND(AF652&lt;&gt;"",AG652&lt;&gt;""),1,0))</f>
        <v>0</v>
      </c>
      <c r="AT652" s="1" t="n">
        <f aca="false">IF(AND(R652="WON",AS652=1,AR652=1),1,0)</f>
        <v>0</v>
      </c>
      <c r="AU652" s="1" t="n">
        <f aca="false">IF(B652="",0,IF(AD652="Alternative – zählt nicht",0,1))</f>
        <v>0</v>
      </c>
      <c r="AV652" s="1" t="n">
        <f aca="false">IF(B652="",0,IF(COUNTIF($B$6:$B$860,B652)&gt;1,1,0))</f>
        <v>0</v>
      </c>
      <c r="AX652" s="269" t="str">
        <f aca="false">IF(AY652=1,DATE(YEAR(O652),MONTH(O652),1),"")</f>
        <v/>
      </c>
      <c r="AY652" s="1" t="n">
        <f aca="false">IF(B652="",0,IF(AND(ISNUMBER(O652),ISNUMBER(P652)),IF(P652&gt;=O652,1,0),0))</f>
        <v>0</v>
      </c>
      <c r="AZ652" s="1" t="n">
        <f aca="false">IF(ISNUMBER(Y652),Y652,0)</f>
        <v>0</v>
      </c>
      <c r="BA652" s="1" t="str">
        <f aca="false">IF(B652="","",IF(AND(R652="WON",AS652=0),"⛔ Beleg fehlt · ","")&amp;IF(AND(R652="WON",AR652=0),"⛔ Einstand fehlt · ","")&amp;IF(AND(R652&lt;&gt;"WON",AR652=0),"○ Einstand offen · ","")&amp;IF(AND(R652="WON",AB652=""),"⛔ Vertragsart fehlt · ","")&amp;IF(AND(ISNUMBER(O652),ISNUMBER(P652)),IF(P652&lt;O652,"⚠ Ende vor Start · ",""),"")&amp;IF(AND(R652="WON",AY652=0,NOT(AND(ISNUMBER(O652),ISNUMBER(P652)))),"⛔ Zeitraum fehlt · ","")&amp;IF(AND(R652&lt;&gt;"WON",AY652=0,NOT(AND(ISNUMBER(O652),ISNUMBER(P652)))),"○ Zeitraum offen · ",""))</f>
        <v/>
      </c>
      <c r="BB652" s="1" t="str">
        <f aca="false">IF(B652="","",IF(AND(R652="WON",AS652=0),"⛔ Nachweis fehlt",IF(AND(ISNUMBER(O652),ISNUMBER(P652),P652&lt;O652),"⚠ Ende vor Start",IF(AND(R652="WON",AY652=0),"⛔ Zeitraum fehlt",IF(AR652=0,"○ Einstand offen",IF(AY652=0,"○ Zeitraum offen",IF(R652="WON","✅ belegt","✔ erfasst")))))))</f>
        <v/>
      </c>
    </row>
    <row r="653" customFormat="false" ht="15" hidden="false" customHeight="true" outlineLevel="0" collapsed="false">
      <c r="G653" s="1" t="str">
        <f aca="false">IF(B653="","",IF(AY653=1,P653-O653+1,IF(AW653="","",AW653)))</f>
        <v/>
      </c>
      <c r="I653" s="270"/>
      <c r="J653" s="270"/>
      <c r="K653" s="270"/>
      <c r="L653" s="270"/>
      <c r="M653" s="270"/>
      <c r="N653" s="270"/>
      <c r="O653" s="263"/>
      <c r="P653" s="263"/>
      <c r="Q653" s="270" t="str">
        <f aca="false">IF(AND(ISNUMBER(I653),ISNUMBER(S653)),I653*AJ653,IF(OR(I653&lt;&gt;"",S653&lt;&gt;""),"tbd",""))</f>
        <v/>
      </c>
      <c r="S653" s="268"/>
      <c r="Y653" s="275" t="str">
        <f aca="false">IF(ISNUMBER(I653),I653/Netto_Faktor,"")</f>
        <v/>
      </c>
      <c r="Z653" s="275" t="str">
        <f aca="false">IF(B653="","",IF(COUNT(J653:N653)=0,"",SUM(J653:N653)))</f>
        <v/>
      </c>
      <c r="AA653" s="266"/>
      <c r="AB653" s="266"/>
      <c r="AC653" s="266"/>
      <c r="AD653" s="266"/>
      <c r="AE653" s="266"/>
      <c r="AF653" s="266"/>
      <c r="AG653" s="267"/>
      <c r="AH653" s="266" t="str">
        <f aca="false">IF(B653="","",IF(BA653="",IF(R653="WON","✅ belegt &amp; vollständig","✔ vollständig"),LEFT(BA653,LEN(BA653)-3)))</f>
        <v/>
      </c>
      <c r="AJ653" s="268" t="n">
        <f aca="false">IF(ISNUMBER(S653),IFERROR(LOOKUP(IF(S653&lt;=1,S653,S653/100),'⚖️ Wahrscheinlichkeit'!$B$17:$B$21,'⚖️ Wahrscheinlichkeit'!$D$17:$D$21),0),0)</f>
        <v>0</v>
      </c>
      <c r="AK653" s="1" t="str">
        <f aca="false">IF(AND(R653="WON",ISNUMBER(I653)),AL653+(861-ROW())*0.000001,"")</f>
        <v/>
      </c>
      <c r="AL653" s="1" t="n">
        <f aca="false">IFERROR(I653*1,0)</f>
        <v>0</v>
      </c>
      <c r="AM653" s="1" t="n">
        <f aca="false">N(AM652)+IF(AND(R653="WON",B653&lt;&gt;""),1,0)</f>
        <v>12</v>
      </c>
      <c r="AN653" s="1" t="n">
        <f aca="false">N(AN652)+IF(AND(OR(R653="offered",R653="to be offered",R653="on hold"),B653&lt;&gt;""),1,0)</f>
        <v>33</v>
      </c>
      <c r="AO653" s="1" t="n">
        <f aca="false">N(AO652)+IF(AND(OR(R653="follow-up",R653="Evaluation",R653="tbd",R653="In evaluation"),B653&lt;&gt;""),1,0)</f>
        <v>1</v>
      </c>
      <c r="AP653" s="1" t="n">
        <f aca="false">IF(B653="",0,IF(COUNTIF('⚖️ Wahrscheinlichkeit'!$J$17:$J$24,R653)&gt;0,1,0))</f>
        <v>0</v>
      </c>
      <c r="AQ653" s="1" t="n">
        <f aca="false">IF(B653="",0,IF(AND(ISNUMBER(S653),COUNTIF('⚖️ Wahrscheinlichkeit'!$B$6:$B$11,S653)&gt;0),1,0))</f>
        <v>0</v>
      </c>
      <c r="AR653" s="1" t="n">
        <f aca="false">IF(B653="",0,IF(AND(COUNT(J653:M653)=4,SUM(J653:M653)&gt;0),1,0))</f>
        <v>0</v>
      </c>
      <c r="AS653" s="1" t="n">
        <f aca="false">IF(B653="",0,IF(AND(AF653&lt;&gt;"",AG653&lt;&gt;""),1,0))</f>
        <v>0</v>
      </c>
      <c r="AT653" s="1" t="n">
        <f aca="false">IF(AND(R653="WON",AS653=1,AR653=1),1,0)</f>
        <v>0</v>
      </c>
      <c r="AU653" s="1" t="n">
        <f aca="false">IF(B653="",0,IF(AD653="Alternative – zählt nicht",0,1))</f>
        <v>0</v>
      </c>
      <c r="AV653" s="1" t="n">
        <f aca="false">IF(B653="",0,IF(COUNTIF($B$6:$B$860,B653)&gt;1,1,0))</f>
        <v>0</v>
      </c>
      <c r="AX653" s="269" t="str">
        <f aca="false">IF(AY653=1,DATE(YEAR(O653),MONTH(O653),1),"")</f>
        <v/>
      </c>
      <c r="AY653" s="1" t="n">
        <f aca="false">IF(B653="",0,IF(AND(ISNUMBER(O653),ISNUMBER(P653)),IF(P653&gt;=O653,1,0),0))</f>
        <v>0</v>
      </c>
      <c r="AZ653" s="1" t="n">
        <f aca="false">IF(ISNUMBER(Y653),Y653,0)</f>
        <v>0</v>
      </c>
      <c r="BA653" s="1" t="str">
        <f aca="false">IF(B653="","",IF(AND(R653="WON",AS653=0),"⛔ Beleg fehlt · ","")&amp;IF(AND(R653="WON",AR653=0),"⛔ Einstand fehlt · ","")&amp;IF(AND(R653&lt;&gt;"WON",AR653=0),"○ Einstand offen · ","")&amp;IF(AND(R653="WON",AB653=""),"⛔ Vertragsart fehlt · ","")&amp;IF(AND(ISNUMBER(O653),ISNUMBER(P653)),IF(P653&lt;O653,"⚠ Ende vor Start · ",""),"")&amp;IF(AND(R653="WON",AY653=0,NOT(AND(ISNUMBER(O653),ISNUMBER(P653)))),"⛔ Zeitraum fehlt · ","")&amp;IF(AND(R653&lt;&gt;"WON",AY653=0,NOT(AND(ISNUMBER(O653),ISNUMBER(P653)))),"○ Zeitraum offen · ",""))</f>
        <v/>
      </c>
      <c r="BB653" s="1" t="str">
        <f aca="false">IF(B653="","",IF(AND(R653="WON",AS653=0),"⛔ Nachweis fehlt",IF(AND(ISNUMBER(O653),ISNUMBER(P653),P653&lt;O653),"⚠ Ende vor Start",IF(AND(R653="WON",AY653=0),"⛔ Zeitraum fehlt",IF(AR653=0,"○ Einstand offen",IF(AY653=0,"○ Zeitraum offen",IF(R653="WON","✅ belegt","✔ erfasst")))))))</f>
        <v/>
      </c>
    </row>
    <row r="654" customFormat="false" ht="15" hidden="false" customHeight="true" outlineLevel="0" collapsed="false">
      <c r="G654" s="1" t="str">
        <f aca="false">IF(B654="","",IF(AY654=1,P654-O654+1,IF(AW654="","",AW654)))</f>
        <v/>
      </c>
      <c r="I654" s="270"/>
      <c r="J654" s="270"/>
      <c r="K654" s="270"/>
      <c r="L654" s="270"/>
      <c r="M654" s="270"/>
      <c r="N654" s="270"/>
      <c r="O654" s="263"/>
      <c r="P654" s="263"/>
      <c r="Q654" s="270" t="str">
        <f aca="false">IF(AND(ISNUMBER(I654),ISNUMBER(S654)),I654*AJ654,IF(OR(I654&lt;&gt;"",S654&lt;&gt;""),"tbd",""))</f>
        <v/>
      </c>
      <c r="S654" s="268"/>
      <c r="Y654" s="275" t="str">
        <f aca="false">IF(ISNUMBER(I654),I654/Netto_Faktor,"")</f>
        <v/>
      </c>
      <c r="Z654" s="275" t="str">
        <f aca="false">IF(B654="","",IF(COUNT(J654:N654)=0,"",SUM(J654:N654)))</f>
        <v/>
      </c>
      <c r="AA654" s="266"/>
      <c r="AB654" s="266"/>
      <c r="AC654" s="266"/>
      <c r="AD654" s="266"/>
      <c r="AE654" s="266"/>
      <c r="AF654" s="266"/>
      <c r="AG654" s="267"/>
      <c r="AH654" s="266" t="str">
        <f aca="false">IF(B654="","",IF(BA654="",IF(R654="WON","✅ belegt &amp; vollständig","✔ vollständig"),LEFT(BA654,LEN(BA654)-3)))</f>
        <v/>
      </c>
      <c r="AJ654" s="268" t="n">
        <f aca="false">IF(ISNUMBER(S654),IFERROR(LOOKUP(IF(S654&lt;=1,S654,S654/100),'⚖️ Wahrscheinlichkeit'!$B$17:$B$21,'⚖️ Wahrscheinlichkeit'!$D$17:$D$21),0),0)</f>
        <v>0</v>
      </c>
      <c r="AK654" s="1" t="str">
        <f aca="false">IF(AND(R654="WON",ISNUMBER(I654)),AL654+(861-ROW())*0.000001,"")</f>
        <v/>
      </c>
      <c r="AL654" s="1" t="n">
        <f aca="false">IFERROR(I654*1,0)</f>
        <v>0</v>
      </c>
      <c r="AM654" s="1" t="n">
        <f aca="false">N(AM653)+IF(AND(R654="WON",B654&lt;&gt;""),1,0)</f>
        <v>12</v>
      </c>
      <c r="AN654" s="1" t="n">
        <f aca="false">N(AN653)+IF(AND(OR(R654="offered",R654="to be offered",R654="on hold"),B654&lt;&gt;""),1,0)</f>
        <v>33</v>
      </c>
      <c r="AO654" s="1" t="n">
        <f aca="false">N(AO653)+IF(AND(OR(R654="follow-up",R654="Evaluation",R654="tbd",R654="In evaluation"),B654&lt;&gt;""),1,0)</f>
        <v>1</v>
      </c>
      <c r="AP654" s="1" t="n">
        <f aca="false">IF(B654="",0,IF(COUNTIF('⚖️ Wahrscheinlichkeit'!$J$17:$J$24,R654)&gt;0,1,0))</f>
        <v>0</v>
      </c>
      <c r="AQ654" s="1" t="n">
        <f aca="false">IF(B654="",0,IF(AND(ISNUMBER(S654),COUNTIF('⚖️ Wahrscheinlichkeit'!$B$6:$B$11,S654)&gt;0),1,0))</f>
        <v>0</v>
      </c>
      <c r="AR654" s="1" t="n">
        <f aca="false">IF(B654="",0,IF(AND(COUNT(J654:M654)=4,SUM(J654:M654)&gt;0),1,0))</f>
        <v>0</v>
      </c>
      <c r="AS654" s="1" t="n">
        <f aca="false">IF(B654="",0,IF(AND(AF654&lt;&gt;"",AG654&lt;&gt;""),1,0))</f>
        <v>0</v>
      </c>
      <c r="AT654" s="1" t="n">
        <f aca="false">IF(AND(R654="WON",AS654=1,AR654=1),1,0)</f>
        <v>0</v>
      </c>
      <c r="AU654" s="1" t="n">
        <f aca="false">IF(B654="",0,IF(AD654="Alternative – zählt nicht",0,1))</f>
        <v>0</v>
      </c>
      <c r="AV654" s="1" t="n">
        <f aca="false">IF(B654="",0,IF(COUNTIF($B$6:$B$860,B654)&gt;1,1,0))</f>
        <v>0</v>
      </c>
      <c r="AX654" s="269" t="str">
        <f aca="false">IF(AY654=1,DATE(YEAR(O654),MONTH(O654),1),"")</f>
        <v/>
      </c>
      <c r="AY654" s="1" t="n">
        <f aca="false">IF(B654="",0,IF(AND(ISNUMBER(O654),ISNUMBER(P654)),IF(P654&gt;=O654,1,0),0))</f>
        <v>0</v>
      </c>
      <c r="AZ654" s="1" t="n">
        <f aca="false">IF(ISNUMBER(Y654),Y654,0)</f>
        <v>0</v>
      </c>
      <c r="BA654" s="1" t="str">
        <f aca="false">IF(B654="","",IF(AND(R654="WON",AS654=0),"⛔ Beleg fehlt · ","")&amp;IF(AND(R654="WON",AR654=0),"⛔ Einstand fehlt · ","")&amp;IF(AND(R654&lt;&gt;"WON",AR654=0),"○ Einstand offen · ","")&amp;IF(AND(R654="WON",AB654=""),"⛔ Vertragsart fehlt · ","")&amp;IF(AND(ISNUMBER(O654),ISNUMBER(P654)),IF(P654&lt;O654,"⚠ Ende vor Start · ",""),"")&amp;IF(AND(R654="WON",AY654=0,NOT(AND(ISNUMBER(O654),ISNUMBER(P654)))),"⛔ Zeitraum fehlt · ","")&amp;IF(AND(R654&lt;&gt;"WON",AY654=0,NOT(AND(ISNUMBER(O654),ISNUMBER(P654)))),"○ Zeitraum offen · ",""))</f>
        <v/>
      </c>
      <c r="BB654" s="1" t="str">
        <f aca="false">IF(B654="","",IF(AND(R654="WON",AS654=0),"⛔ Nachweis fehlt",IF(AND(ISNUMBER(O654),ISNUMBER(P654),P654&lt;O654),"⚠ Ende vor Start",IF(AND(R654="WON",AY654=0),"⛔ Zeitraum fehlt",IF(AR654=0,"○ Einstand offen",IF(AY654=0,"○ Zeitraum offen",IF(R654="WON","✅ belegt","✔ erfasst")))))))</f>
        <v/>
      </c>
    </row>
    <row r="655" customFormat="false" ht="15" hidden="false" customHeight="true" outlineLevel="0" collapsed="false">
      <c r="G655" s="1" t="str">
        <f aca="false">IF(B655="","",IF(AY655=1,P655-O655+1,IF(AW655="","",AW655)))</f>
        <v/>
      </c>
      <c r="I655" s="270"/>
      <c r="J655" s="270"/>
      <c r="K655" s="270"/>
      <c r="L655" s="270"/>
      <c r="M655" s="270"/>
      <c r="N655" s="270"/>
      <c r="O655" s="263"/>
      <c r="P655" s="263"/>
      <c r="Q655" s="270" t="str">
        <f aca="false">IF(AND(ISNUMBER(I655),ISNUMBER(S655)),I655*AJ655,IF(OR(I655&lt;&gt;"",S655&lt;&gt;""),"tbd",""))</f>
        <v/>
      </c>
      <c r="S655" s="268"/>
      <c r="Y655" s="275" t="str">
        <f aca="false">IF(ISNUMBER(I655),I655/Netto_Faktor,"")</f>
        <v/>
      </c>
      <c r="Z655" s="275" t="str">
        <f aca="false">IF(B655="","",IF(COUNT(J655:N655)=0,"",SUM(J655:N655)))</f>
        <v/>
      </c>
      <c r="AA655" s="266"/>
      <c r="AB655" s="266"/>
      <c r="AC655" s="266"/>
      <c r="AD655" s="266"/>
      <c r="AE655" s="266"/>
      <c r="AF655" s="266"/>
      <c r="AG655" s="267"/>
      <c r="AH655" s="266" t="str">
        <f aca="false">IF(B655="","",IF(BA655="",IF(R655="WON","✅ belegt &amp; vollständig","✔ vollständig"),LEFT(BA655,LEN(BA655)-3)))</f>
        <v/>
      </c>
      <c r="AJ655" s="268" t="n">
        <f aca="false">IF(ISNUMBER(S655),IFERROR(LOOKUP(IF(S655&lt;=1,S655,S655/100),'⚖️ Wahrscheinlichkeit'!$B$17:$B$21,'⚖️ Wahrscheinlichkeit'!$D$17:$D$21),0),0)</f>
        <v>0</v>
      </c>
      <c r="AK655" s="1" t="str">
        <f aca="false">IF(AND(R655="WON",ISNUMBER(I655)),AL655+(861-ROW())*0.000001,"")</f>
        <v/>
      </c>
      <c r="AL655" s="1" t="n">
        <f aca="false">IFERROR(I655*1,0)</f>
        <v>0</v>
      </c>
      <c r="AM655" s="1" t="n">
        <f aca="false">N(AM654)+IF(AND(R655="WON",B655&lt;&gt;""),1,0)</f>
        <v>12</v>
      </c>
      <c r="AN655" s="1" t="n">
        <f aca="false">N(AN654)+IF(AND(OR(R655="offered",R655="to be offered",R655="on hold"),B655&lt;&gt;""),1,0)</f>
        <v>33</v>
      </c>
      <c r="AO655" s="1" t="n">
        <f aca="false">N(AO654)+IF(AND(OR(R655="follow-up",R655="Evaluation",R655="tbd",R655="In evaluation"),B655&lt;&gt;""),1,0)</f>
        <v>1</v>
      </c>
      <c r="AP655" s="1" t="n">
        <f aca="false">IF(B655="",0,IF(COUNTIF('⚖️ Wahrscheinlichkeit'!$J$17:$J$24,R655)&gt;0,1,0))</f>
        <v>0</v>
      </c>
      <c r="AQ655" s="1" t="n">
        <f aca="false">IF(B655="",0,IF(AND(ISNUMBER(S655),COUNTIF('⚖️ Wahrscheinlichkeit'!$B$6:$B$11,S655)&gt;0),1,0))</f>
        <v>0</v>
      </c>
      <c r="AR655" s="1" t="n">
        <f aca="false">IF(B655="",0,IF(AND(COUNT(J655:M655)=4,SUM(J655:M655)&gt;0),1,0))</f>
        <v>0</v>
      </c>
      <c r="AS655" s="1" t="n">
        <f aca="false">IF(B655="",0,IF(AND(AF655&lt;&gt;"",AG655&lt;&gt;""),1,0))</f>
        <v>0</v>
      </c>
      <c r="AT655" s="1" t="n">
        <f aca="false">IF(AND(R655="WON",AS655=1,AR655=1),1,0)</f>
        <v>0</v>
      </c>
      <c r="AU655" s="1" t="n">
        <f aca="false">IF(B655="",0,IF(AD655="Alternative – zählt nicht",0,1))</f>
        <v>0</v>
      </c>
      <c r="AV655" s="1" t="n">
        <f aca="false">IF(B655="",0,IF(COUNTIF($B$6:$B$860,B655)&gt;1,1,0))</f>
        <v>0</v>
      </c>
      <c r="AX655" s="269" t="str">
        <f aca="false">IF(AY655=1,DATE(YEAR(O655),MONTH(O655),1),"")</f>
        <v/>
      </c>
      <c r="AY655" s="1" t="n">
        <f aca="false">IF(B655="",0,IF(AND(ISNUMBER(O655),ISNUMBER(P655)),IF(P655&gt;=O655,1,0),0))</f>
        <v>0</v>
      </c>
      <c r="AZ655" s="1" t="n">
        <f aca="false">IF(ISNUMBER(Y655),Y655,0)</f>
        <v>0</v>
      </c>
      <c r="BA655" s="1" t="str">
        <f aca="false">IF(B655="","",IF(AND(R655="WON",AS655=0),"⛔ Beleg fehlt · ","")&amp;IF(AND(R655="WON",AR655=0),"⛔ Einstand fehlt · ","")&amp;IF(AND(R655&lt;&gt;"WON",AR655=0),"○ Einstand offen · ","")&amp;IF(AND(R655="WON",AB655=""),"⛔ Vertragsart fehlt · ","")&amp;IF(AND(ISNUMBER(O655),ISNUMBER(P655)),IF(P655&lt;O655,"⚠ Ende vor Start · ",""),"")&amp;IF(AND(R655="WON",AY655=0,NOT(AND(ISNUMBER(O655),ISNUMBER(P655)))),"⛔ Zeitraum fehlt · ","")&amp;IF(AND(R655&lt;&gt;"WON",AY655=0,NOT(AND(ISNUMBER(O655),ISNUMBER(P655)))),"○ Zeitraum offen · ",""))</f>
        <v/>
      </c>
      <c r="BB655" s="1" t="str">
        <f aca="false">IF(B655="","",IF(AND(R655="WON",AS655=0),"⛔ Nachweis fehlt",IF(AND(ISNUMBER(O655),ISNUMBER(P655),P655&lt;O655),"⚠ Ende vor Start",IF(AND(R655="WON",AY655=0),"⛔ Zeitraum fehlt",IF(AR655=0,"○ Einstand offen",IF(AY655=0,"○ Zeitraum offen",IF(R655="WON","✅ belegt","✔ erfasst")))))))</f>
        <v/>
      </c>
    </row>
    <row r="656" customFormat="false" ht="15" hidden="false" customHeight="true" outlineLevel="0" collapsed="false">
      <c r="G656" s="1" t="str">
        <f aca="false">IF(B656="","",IF(AY656=1,P656-O656+1,IF(AW656="","",AW656)))</f>
        <v/>
      </c>
      <c r="I656" s="270"/>
      <c r="J656" s="270"/>
      <c r="K656" s="270"/>
      <c r="L656" s="270"/>
      <c r="M656" s="270"/>
      <c r="N656" s="270"/>
      <c r="O656" s="263"/>
      <c r="P656" s="263"/>
      <c r="Q656" s="270" t="str">
        <f aca="false">IF(AND(ISNUMBER(I656),ISNUMBER(S656)),I656*AJ656,IF(OR(I656&lt;&gt;"",S656&lt;&gt;""),"tbd",""))</f>
        <v/>
      </c>
      <c r="S656" s="268"/>
      <c r="Y656" s="275" t="str">
        <f aca="false">IF(ISNUMBER(I656),I656/Netto_Faktor,"")</f>
        <v/>
      </c>
      <c r="Z656" s="275" t="str">
        <f aca="false">IF(B656="","",IF(COUNT(J656:N656)=0,"",SUM(J656:N656)))</f>
        <v/>
      </c>
      <c r="AA656" s="266"/>
      <c r="AB656" s="266"/>
      <c r="AC656" s="266"/>
      <c r="AD656" s="266"/>
      <c r="AE656" s="266"/>
      <c r="AF656" s="266"/>
      <c r="AG656" s="267"/>
      <c r="AH656" s="266" t="str">
        <f aca="false">IF(B656="","",IF(BA656="",IF(R656="WON","✅ belegt &amp; vollständig","✔ vollständig"),LEFT(BA656,LEN(BA656)-3)))</f>
        <v/>
      </c>
      <c r="AJ656" s="268" t="n">
        <f aca="false">IF(ISNUMBER(S656),IFERROR(LOOKUP(IF(S656&lt;=1,S656,S656/100),'⚖️ Wahrscheinlichkeit'!$B$17:$B$21,'⚖️ Wahrscheinlichkeit'!$D$17:$D$21),0),0)</f>
        <v>0</v>
      </c>
      <c r="AK656" s="1" t="str">
        <f aca="false">IF(AND(R656="WON",ISNUMBER(I656)),AL656+(861-ROW())*0.000001,"")</f>
        <v/>
      </c>
      <c r="AL656" s="1" t="n">
        <f aca="false">IFERROR(I656*1,0)</f>
        <v>0</v>
      </c>
      <c r="AM656" s="1" t="n">
        <f aca="false">N(AM655)+IF(AND(R656="WON",B656&lt;&gt;""),1,0)</f>
        <v>12</v>
      </c>
      <c r="AN656" s="1" t="n">
        <f aca="false">N(AN655)+IF(AND(OR(R656="offered",R656="to be offered",R656="on hold"),B656&lt;&gt;""),1,0)</f>
        <v>33</v>
      </c>
      <c r="AO656" s="1" t="n">
        <f aca="false">N(AO655)+IF(AND(OR(R656="follow-up",R656="Evaluation",R656="tbd",R656="In evaluation"),B656&lt;&gt;""),1,0)</f>
        <v>1</v>
      </c>
      <c r="AP656" s="1" t="n">
        <f aca="false">IF(B656="",0,IF(COUNTIF('⚖️ Wahrscheinlichkeit'!$J$17:$J$24,R656)&gt;0,1,0))</f>
        <v>0</v>
      </c>
      <c r="AQ656" s="1" t="n">
        <f aca="false">IF(B656="",0,IF(AND(ISNUMBER(S656),COUNTIF('⚖️ Wahrscheinlichkeit'!$B$6:$B$11,S656)&gt;0),1,0))</f>
        <v>0</v>
      </c>
      <c r="AR656" s="1" t="n">
        <f aca="false">IF(B656="",0,IF(AND(COUNT(J656:M656)=4,SUM(J656:M656)&gt;0),1,0))</f>
        <v>0</v>
      </c>
      <c r="AS656" s="1" t="n">
        <f aca="false">IF(B656="",0,IF(AND(AF656&lt;&gt;"",AG656&lt;&gt;""),1,0))</f>
        <v>0</v>
      </c>
      <c r="AT656" s="1" t="n">
        <f aca="false">IF(AND(R656="WON",AS656=1,AR656=1),1,0)</f>
        <v>0</v>
      </c>
      <c r="AU656" s="1" t="n">
        <f aca="false">IF(B656="",0,IF(AD656="Alternative – zählt nicht",0,1))</f>
        <v>0</v>
      </c>
      <c r="AV656" s="1" t="n">
        <f aca="false">IF(B656="",0,IF(COUNTIF($B$6:$B$860,B656)&gt;1,1,0))</f>
        <v>0</v>
      </c>
      <c r="AX656" s="269" t="str">
        <f aca="false">IF(AY656=1,DATE(YEAR(O656),MONTH(O656),1),"")</f>
        <v/>
      </c>
      <c r="AY656" s="1" t="n">
        <f aca="false">IF(B656="",0,IF(AND(ISNUMBER(O656),ISNUMBER(P656)),IF(P656&gt;=O656,1,0),0))</f>
        <v>0</v>
      </c>
      <c r="AZ656" s="1" t="n">
        <f aca="false">IF(ISNUMBER(Y656),Y656,0)</f>
        <v>0</v>
      </c>
      <c r="BA656" s="1" t="str">
        <f aca="false">IF(B656="","",IF(AND(R656="WON",AS656=0),"⛔ Beleg fehlt · ","")&amp;IF(AND(R656="WON",AR656=0),"⛔ Einstand fehlt · ","")&amp;IF(AND(R656&lt;&gt;"WON",AR656=0),"○ Einstand offen · ","")&amp;IF(AND(R656="WON",AB656=""),"⛔ Vertragsart fehlt · ","")&amp;IF(AND(ISNUMBER(O656),ISNUMBER(P656)),IF(P656&lt;O656,"⚠ Ende vor Start · ",""),"")&amp;IF(AND(R656="WON",AY656=0,NOT(AND(ISNUMBER(O656),ISNUMBER(P656)))),"⛔ Zeitraum fehlt · ","")&amp;IF(AND(R656&lt;&gt;"WON",AY656=0,NOT(AND(ISNUMBER(O656),ISNUMBER(P656)))),"○ Zeitraum offen · ",""))</f>
        <v/>
      </c>
      <c r="BB656" s="1" t="str">
        <f aca="false">IF(B656="","",IF(AND(R656="WON",AS656=0),"⛔ Nachweis fehlt",IF(AND(ISNUMBER(O656),ISNUMBER(P656),P656&lt;O656),"⚠ Ende vor Start",IF(AND(R656="WON",AY656=0),"⛔ Zeitraum fehlt",IF(AR656=0,"○ Einstand offen",IF(AY656=0,"○ Zeitraum offen",IF(R656="WON","✅ belegt","✔ erfasst")))))))</f>
        <v/>
      </c>
    </row>
    <row r="657" customFormat="false" ht="15" hidden="false" customHeight="true" outlineLevel="0" collapsed="false">
      <c r="G657" s="1" t="str">
        <f aca="false">IF(B657="","",IF(AY657=1,P657-O657+1,IF(AW657="","",AW657)))</f>
        <v/>
      </c>
      <c r="I657" s="270"/>
      <c r="J657" s="270"/>
      <c r="K657" s="270"/>
      <c r="L657" s="270"/>
      <c r="M657" s="270"/>
      <c r="N657" s="270"/>
      <c r="O657" s="263"/>
      <c r="P657" s="263"/>
      <c r="Q657" s="270" t="str">
        <f aca="false">IF(AND(ISNUMBER(I657),ISNUMBER(S657)),I657*AJ657,IF(OR(I657&lt;&gt;"",S657&lt;&gt;""),"tbd",""))</f>
        <v/>
      </c>
      <c r="S657" s="268"/>
      <c r="Y657" s="275" t="str">
        <f aca="false">IF(ISNUMBER(I657),I657/Netto_Faktor,"")</f>
        <v/>
      </c>
      <c r="Z657" s="275" t="str">
        <f aca="false">IF(B657="","",IF(COUNT(J657:N657)=0,"",SUM(J657:N657)))</f>
        <v/>
      </c>
      <c r="AA657" s="266"/>
      <c r="AB657" s="266"/>
      <c r="AC657" s="266"/>
      <c r="AD657" s="266"/>
      <c r="AE657" s="266"/>
      <c r="AF657" s="266"/>
      <c r="AG657" s="267"/>
      <c r="AH657" s="266" t="str">
        <f aca="false">IF(B657="","",IF(BA657="",IF(R657="WON","✅ belegt &amp; vollständig","✔ vollständig"),LEFT(BA657,LEN(BA657)-3)))</f>
        <v/>
      </c>
      <c r="AJ657" s="268" t="n">
        <f aca="false">IF(ISNUMBER(S657),IFERROR(LOOKUP(IF(S657&lt;=1,S657,S657/100),'⚖️ Wahrscheinlichkeit'!$B$17:$B$21,'⚖️ Wahrscheinlichkeit'!$D$17:$D$21),0),0)</f>
        <v>0</v>
      </c>
      <c r="AK657" s="1" t="str">
        <f aca="false">IF(AND(R657="WON",ISNUMBER(I657)),AL657+(861-ROW())*0.000001,"")</f>
        <v/>
      </c>
      <c r="AL657" s="1" t="n">
        <f aca="false">IFERROR(I657*1,0)</f>
        <v>0</v>
      </c>
      <c r="AM657" s="1" t="n">
        <f aca="false">N(AM656)+IF(AND(R657="WON",B657&lt;&gt;""),1,0)</f>
        <v>12</v>
      </c>
      <c r="AN657" s="1" t="n">
        <f aca="false">N(AN656)+IF(AND(OR(R657="offered",R657="to be offered",R657="on hold"),B657&lt;&gt;""),1,0)</f>
        <v>33</v>
      </c>
      <c r="AO657" s="1" t="n">
        <f aca="false">N(AO656)+IF(AND(OR(R657="follow-up",R657="Evaluation",R657="tbd",R657="In evaluation"),B657&lt;&gt;""),1,0)</f>
        <v>1</v>
      </c>
      <c r="AP657" s="1" t="n">
        <f aca="false">IF(B657="",0,IF(COUNTIF('⚖️ Wahrscheinlichkeit'!$J$17:$J$24,R657)&gt;0,1,0))</f>
        <v>0</v>
      </c>
      <c r="AQ657" s="1" t="n">
        <f aca="false">IF(B657="",0,IF(AND(ISNUMBER(S657),COUNTIF('⚖️ Wahrscheinlichkeit'!$B$6:$B$11,S657)&gt;0),1,0))</f>
        <v>0</v>
      </c>
      <c r="AR657" s="1" t="n">
        <f aca="false">IF(B657="",0,IF(AND(COUNT(J657:M657)=4,SUM(J657:M657)&gt;0),1,0))</f>
        <v>0</v>
      </c>
      <c r="AS657" s="1" t="n">
        <f aca="false">IF(B657="",0,IF(AND(AF657&lt;&gt;"",AG657&lt;&gt;""),1,0))</f>
        <v>0</v>
      </c>
      <c r="AT657" s="1" t="n">
        <f aca="false">IF(AND(R657="WON",AS657=1,AR657=1),1,0)</f>
        <v>0</v>
      </c>
      <c r="AU657" s="1" t="n">
        <f aca="false">IF(B657="",0,IF(AD657="Alternative – zählt nicht",0,1))</f>
        <v>0</v>
      </c>
      <c r="AV657" s="1" t="n">
        <f aca="false">IF(B657="",0,IF(COUNTIF($B$6:$B$860,B657)&gt;1,1,0))</f>
        <v>0</v>
      </c>
      <c r="AX657" s="269" t="str">
        <f aca="false">IF(AY657=1,DATE(YEAR(O657),MONTH(O657),1),"")</f>
        <v/>
      </c>
      <c r="AY657" s="1" t="n">
        <f aca="false">IF(B657="",0,IF(AND(ISNUMBER(O657),ISNUMBER(P657)),IF(P657&gt;=O657,1,0),0))</f>
        <v>0</v>
      </c>
      <c r="AZ657" s="1" t="n">
        <f aca="false">IF(ISNUMBER(Y657),Y657,0)</f>
        <v>0</v>
      </c>
      <c r="BA657" s="1" t="str">
        <f aca="false">IF(B657="","",IF(AND(R657="WON",AS657=0),"⛔ Beleg fehlt · ","")&amp;IF(AND(R657="WON",AR657=0),"⛔ Einstand fehlt · ","")&amp;IF(AND(R657&lt;&gt;"WON",AR657=0),"○ Einstand offen · ","")&amp;IF(AND(R657="WON",AB657=""),"⛔ Vertragsart fehlt · ","")&amp;IF(AND(ISNUMBER(O657),ISNUMBER(P657)),IF(P657&lt;O657,"⚠ Ende vor Start · ",""),"")&amp;IF(AND(R657="WON",AY657=0,NOT(AND(ISNUMBER(O657),ISNUMBER(P657)))),"⛔ Zeitraum fehlt · ","")&amp;IF(AND(R657&lt;&gt;"WON",AY657=0,NOT(AND(ISNUMBER(O657),ISNUMBER(P657)))),"○ Zeitraum offen · ",""))</f>
        <v/>
      </c>
      <c r="BB657" s="1" t="str">
        <f aca="false">IF(B657="","",IF(AND(R657="WON",AS657=0),"⛔ Nachweis fehlt",IF(AND(ISNUMBER(O657),ISNUMBER(P657),P657&lt;O657),"⚠ Ende vor Start",IF(AND(R657="WON",AY657=0),"⛔ Zeitraum fehlt",IF(AR657=0,"○ Einstand offen",IF(AY657=0,"○ Zeitraum offen",IF(R657="WON","✅ belegt","✔ erfasst")))))))</f>
        <v/>
      </c>
    </row>
    <row r="658" customFormat="false" ht="15" hidden="false" customHeight="true" outlineLevel="0" collapsed="false">
      <c r="G658" s="1" t="str">
        <f aca="false">IF(B658="","",IF(AY658=1,P658-O658+1,IF(AW658="","",AW658)))</f>
        <v/>
      </c>
      <c r="I658" s="270"/>
      <c r="J658" s="270"/>
      <c r="K658" s="270"/>
      <c r="L658" s="270"/>
      <c r="M658" s="270"/>
      <c r="N658" s="270"/>
      <c r="O658" s="263"/>
      <c r="P658" s="263"/>
      <c r="Q658" s="270" t="str">
        <f aca="false">IF(AND(ISNUMBER(I658),ISNUMBER(S658)),I658*AJ658,IF(OR(I658&lt;&gt;"",S658&lt;&gt;""),"tbd",""))</f>
        <v/>
      </c>
      <c r="S658" s="268"/>
      <c r="Y658" s="275" t="str">
        <f aca="false">IF(ISNUMBER(I658),I658/Netto_Faktor,"")</f>
        <v/>
      </c>
      <c r="Z658" s="275" t="str">
        <f aca="false">IF(B658="","",IF(COUNT(J658:N658)=0,"",SUM(J658:N658)))</f>
        <v/>
      </c>
      <c r="AA658" s="266"/>
      <c r="AB658" s="266"/>
      <c r="AC658" s="266"/>
      <c r="AD658" s="266"/>
      <c r="AE658" s="266"/>
      <c r="AF658" s="266"/>
      <c r="AG658" s="267"/>
      <c r="AH658" s="266" t="str">
        <f aca="false">IF(B658="","",IF(BA658="",IF(R658="WON","✅ belegt &amp; vollständig","✔ vollständig"),LEFT(BA658,LEN(BA658)-3)))</f>
        <v/>
      </c>
      <c r="AJ658" s="268" t="n">
        <f aca="false">IF(ISNUMBER(S658),IFERROR(LOOKUP(IF(S658&lt;=1,S658,S658/100),'⚖️ Wahrscheinlichkeit'!$B$17:$B$21,'⚖️ Wahrscheinlichkeit'!$D$17:$D$21),0),0)</f>
        <v>0</v>
      </c>
      <c r="AK658" s="1" t="str">
        <f aca="false">IF(AND(R658="WON",ISNUMBER(I658)),AL658+(861-ROW())*0.000001,"")</f>
        <v/>
      </c>
      <c r="AL658" s="1" t="n">
        <f aca="false">IFERROR(I658*1,0)</f>
        <v>0</v>
      </c>
      <c r="AM658" s="1" t="n">
        <f aca="false">N(AM657)+IF(AND(R658="WON",B658&lt;&gt;""),1,0)</f>
        <v>12</v>
      </c>
      <c r="AN658" s="1" t="n">
        <f aca="false">N(AN657)+IF(AND(OR(R658="offered",R658="to be offered",R658="on hold"),B658&lt;&gt;""),1,0)</f>
        <v>33</v>
      </c>
      <c r="AO658" s="1" t="n">
        <f aca="false">N(AO657)+IF(AND(OR(R658="follow-up",R658="Evaluation",R658="tbd",R658="In evaluation"),B658&lt;&gt;""),1,0)</f>
        <v>1</v>
      </c>
      <c r="AP658" s="1" t="n">
        <f aca="false">IF(B658="",0,IF(COUNTIF('⚖️ Wahrscheinlichkeit'!$J$17:$J$24,R658)&gt;0,1,0))</f>
        <v>0</v>
      </c>
      <c r="AQ658" s="1" t="n">
        <f aca="false">IF(B658="",0,IF(AND(ISNUMBER(S658),COUNTIF('⚖️ Wahrscheinlichkeit'!$B$6:$B$11,S658)&gt;0),1,0))</f>
        <v>0</v>
      </c>
      <c r="AR658" s="1" t="n">
        <f aca="false">IF(B658="",0,IF(AND(COUNT(J658:M658)=4,SUM(J658:M658)&gt;0),1,0))</f>
        <v>0</v>
      </c>
      <c r="AS658" s="1" t="n">
        <f aca="false">IF(B658="",0,IF(AND(AF658&lt;&gt;"",AG658&lt;&gt;""),1,0))</f>
        <v>0</v>
      </c>
      <c r="AT658" s="1" t="n">
        <f aca="false">IF(AND(R658="WON",AS658=1,AR658=1),1,0)</f>
        <v>0</v>
      </c>
      <c r="AU658" s="1" t="n">
        <f aca="false">IF(B658="",0,IF(AD658="Alternative – zählt nicht",0,1))</f>
        <v>0</v>
      </c>
      <c r="AV658" s="1" t="n">
        <f aca="false">IF(B658="",0,IF(COUNTIF($B$6:$B$860,B658)&gt;1,1,0))</f>
        <v>0</v>
      </c>
      <c r="AX658" s="269" t="str">
        <f aca="false">IF(AY658=1,DATE(YEAR(O658),MONTH(O658),1),"")</f>
        <v/>
      </c>
      <c r="AY658" s="1" t="n">
        <f aca="false">IF(B658="",0,IF(AND(ISNUMBER(O658),ISNUMBER(P658)),IF(P658&gt;=O658,1,0),0))</f>
        <v>0</v>
      </c>
      <c r="AZ658" s="1" t="n">
        <f aca="false">IF(ISNUMBER(Y658),Y658,0)</f>
        <v>0</v>
      </c>
      <c r="BA658" s="1" t="str">
        <f aca="false">IF(B658="","",IF(AND(R658="WON",AS658=0),"⛔ Beleg fehlt · ","")&amp;IF(AND(R658="WON",AR658=0),"⛔ Einstand fehlt · ","")&amp;IF(AND(R658&lt;&gt;"WON",AR658=0),"○ Einstand offen · ","")&amp;IF(AND(R658="WON",AB658=""),"⛔ Vertragsart fehlt · ","")&amp;IF(AND(ISNUMBER(O658),ISNUMBER(P658)),IF(P658&lt;O658,"⚠ Ende vor Start · ",""),"")&amp;IF(AND(R658="WON",AY658=0,NOT(AND(ISNUMBER(O658),ISNUMBER(P658)))),"⛔ Zeitraum fehlt · ","")&amp;IF(AND(R658&lt;&gt;"WON",AY658=0,NOT(AND(ISNUMBER(O658),ISNUMBER(P658)))),"○ Zeitraum offen · ",""))</f>
        <v/>
      </c>
      <c r="BB658" s="1" t="str">
        <f aca="false">IF(B658="","",IF(AND(R658="WON",AS658=0),"⛔ Nachweis fehlt",IF(AND(ISNUMBER(O658),ISNUMBER(P658),P658&lt;O658),"⚠ Ende vor Start",IF(AND(R658="WON",AY658=0),"⛔ Zeitraum fehlt",IF(AR658=0,"○ Einstand offen",IF(AY658=0,"○ Zeitraum offen",IF(R658="WON","✅ belegt","✔ erfasst")))))))</f>
        <v/>
      </c>
    </row>
    <row r="659" customFormat="false" ht="15" hidden="false" customHeight="true" outlineLevel="0" collapsed="false">
      <c r="G659" s="1" t="str">
        <f aca="false">IF(B659="","",IF(AY659=1,P659-O659+1,IF(AW659="","",AW659)))</f>
        <v/>
      </c>
      <c r="I659" s="270"/>
      <c r="J659" s="270"/>
      <c r="K659" s="270"/>
      <c r="L659" s="270"/>
      <c r="M659" s="270"/>
      <c r="N659" s="270"/>
      <c r="O659" s="263"/>
      <c r="P659" s="263"/>
      <c r="Q659" s="270" t="str">
        <f aca="false">IF(AND(ISNUMBER(I659),ISNUMBER(S659)),I659*AJ659,IF(OR(I659&lt;&gt;"",S659&lt;&gt;""),"tbd",""))</f>
        <v/>
      </c>
      <c r="S659" s="268"/>
      <c r="Y659" s="275" t="str">
        <f aca="false">IF(ISNUMBER(I659),I659/Netto_Faktor,"")</f>
        <v/>
      </c>
      <c r="Z659" s="275" t="str">
        <f aca="false">IF(B659="","",IF(COUNT(J659:N659)=0,"",SUM(J659:N659)))</f>
        <v/>
      </c>
      <c r="AA659" s="266"/>
      <c r="AB659" s="266"/>
      <c r="AC659" s="266"/>
      <c r="AD659" s="266"/>
      <c r="AE659" s="266"/>
      <c r="AF659" s="266"/>
      <c r="AG659" s="267"/>
      <c r="AH659" s="266" t="str">
        <f aca="false">IF(B659="","",IF(BA659="",IF(R659="WON","✅ belegt &amp; vollständig","✔ vollständig"),LEFT(BA659,LEN(BA659)-3)))</f>
        <v/>
      </c>
      <c r="AJ659" s="268" t="n">
        <f aca="false">IF(ISNUMBER(S659),IFERROR(LOOKUP(IF(S659&lt;=1,S659,S659/100),'⚖️ Wahrscheinlichkeit'!$B$17:$B$21,'⚖️ Wahrscheinlichkeit'!$D$17:$D$21),0),0)</f>
        <v>0</v>
      </c>
      <c r="AK659" s="1" t="str">
        <f aca="false">IF(AND(R659="WON",ISNUMBER(I659)),AL659+(861-ROW())*0.000001,"")</f>
        <v/>
      </c>
      <c r="AL659" s="1" t="n">
        <f aca="false">IFERROR(I659*1,0)</f>
        <v>0</v>
      </c>
      <c r="AM659" s="1" t="n">
        <f aca="false">N(AM658)+IF(AND(R659="WON",B659&lt;&gt;""),1,0)</f>
        <v>12</v>
      </c>
      <c r="AN659" s="1" t="n">
        <f aca="false">N(AN658)+IF(AND(OR(R659="offered",R659="to be offered",R659="on hold"),B659&lt;&gt;""),1,0)</f>
        <v>33</v>
      </c>
      <c r="AO659" s="1" t="n">
        <f aca="false">N(AO658)+IF(AND(OR(R659="follow-up",R659="Evaluation",R659="tbd",R659="In evaluation"),B659&lt;&gt;""),1,0)</f>
        <v>1</v>
      </c>
      <c r="AP659" s="1" t="n">
        <f aca="false">IF(B659="",0,IF(COUNTIF('⚖️ Wahrscheinlichkeit'!$J$17:$J$24,R659)&gt;0,1,0))</f>
        <v>0</v>
      </c>
      <c r="AQ659" s="1" t="n">
        <f aca="false">IF(B659="",0,IF(AND(ISNUMBER(S659),COUNTIF('⚖️ Wahrscheinlichkeit'!$B$6:$B$11,S659)&gt;0),1,0))</f>
        <v>0</v>
      </c>
      <c r="AR659" s="1" t="n">
        <f aca="false">IF(B659="",0,IF(AND(COUNT(J659:M659)=4,SUM(J659:M659)&gt;0),1,0))</f>
        <v>0</v>
      </c>
      <c r="AS659" s="1" t="n">
        <f aca="false">IF(B659="",0,IF(AND(AF659&lt;&gt;"",AG659&lt;&gt;""),1,0))</f>
        <v>0</v>
      </c>
      <c r="AT659" s="1" t="n">
        <f aca="false">IF(AND(R659="WON",AS659=1,AR659=1),1,0)</f>
        <v>0</v>
      </c>
      <c r="AU659" s="1" t="n">
        <f aca="false">IF(B659="",0,IF(AD659="Alternative – zählt nicht",0,1))</f>
        <v>0</v>
      </c>
      <c r="AV659" s="1" t="n">
        <f aca="false">IF(B659="",0,IF(COUNTIF($B$6:$B$860,B659)&gt;1,1,0))</f>
        <v>0</v>
      </c>
      <c r="AX659" s="269" t="str">
        <f aca="false">IF(AY659=1,DATE(YEAR(O659),MONTH(O659),1),"")</f>
        <v/>
      </c>
      <c r="AY659" s="1" t="n">
        <f aca="false">IF(B659="",0,IF(AND(ISNUMBER(O659),ISNUMBER(P659)),IF(P659&gt;=O659,1,0),0))</f>
        <v>0</v>
      </c>
      <c r="AZ659" s="1" t="n">
        <f aca="false">IF(ISNUMBER(Y659),Y659,0)</f>
        <v>0</v>
      </c>
      <c r="BA659" s="1" t="str">
        <f aca="false">IF(B659="","",IF(AND(R659="WON",AS659=0),"⛔ Beleg fehlt · ","")&amp;IF(AND(R659="WON",AR659=0),"⛔ Einstand fehlt · ","")&amp;IF(AND(R659&lt;&gt;"WON",AR659=0),"○ Einstand offen · ","")&amp;IF(AND(R659="WON",AB659=""),"⛔ Vertragsart fehlt · ","")&amp;IF(AND(ISNUMBER(O659),ISNUMBER(P659)),IF(P659&lt;O659,"⚠ Ende vor Start · ",""),"")&amp;IF(AND(R659="WON",AY659=0,NOT(AND(ISNUMBER(O659),ISNUMBER(P659)))),"⛔ Zeitraum fehlt · ","")&amp;IF(AND(R659&lt;&gt;"WON",AY659=0,NOT(AND(ISNUMBER(O659),ISNUMBER(P659)))),"○ Zeitraum offen · ",""))</f>
        <v/>
      </c>
      <c r="BB659" s="1" t="str">
        <f aca="false">IF(B659="","",IF(AND(R659="WON",AS659=0),"⛔ Nachweis fehlt",IF(AND(ISNUMBER(O659),ISNUMBER(P659),P659&lt;O659),"⚠ Ende vor Start",IF(AND(R659="WON",AY659=0),"⛔ Zeitraum fehlt",IF(AR659=0,"○ Einstand offen",IF(AY659=0,"○ Zeitraum offen",IF(R659="WON","✅ belegt","✔ erfasst")))))))</f>
        <v/>
      </c>
    </row>
    <row r="660" customFormat="false" ht="15" hidden="false" customHeight="true" outlineLevel="0" collapsed="false">
      <c r="G660" s="1" t="str">
        <f aca="false">IF(B660="","",IF(AY660=1,P660-O660+1,IF(AW660="","",AW660)))</f>
        <v/>
      </c>
      <c r="I660" s="270"/>
      <c r="J660" s="270"/>
      <c r="K660" s="270"/>
      <c r="L660" s="270"/>
      <c r="M660" s="270"/>
      <c r="N660" s="270"/>
      <c r="O660" s="263"/>
      <c r="P660" s="263"/>
      <c r="Q660" s="270" t="str">
        <f aca="false">IF(AND(ISNUMBER(I660),ISNUMBER(S660)),I660*AJ660,IF(OR(I660&lt;&gt;"",S660&lt;&gt;""),"tbd",""))</f>
        <v/>
      </c>
      <c r="S660" s="268"/>
      <c r="Y660" s="275" t="str">
        <f aca="false">IF(ISNUMBER(I660),I660/Netto_Faktor,"")</f>
        <v/>
      </c>
      <c r="Z660" s="275" t="str">
        <f aca="false">IF(B660="","",IF(COUNT(J660:N660)=0,"",SUM(J660:N660)))</f>
        <v/>
      </c>
      <c r="AA660" s="266"/>
      <c r="AB660" s="266"/>
      <c r="AC660" s="266"/>
      <c r="AD660" s="266"/>
      <c r="AE660" s="266"/>
      <c r="AF660" s="266"/>
      <c r="AG660" s="267"/>
      <c r="AH660" s="266" t="str">
        <f aca="false">IF(B660="","",IF(BA660="",IF(R660="WON","✅ belegt &amp; vollständig","✔ vollständig"),LEFT(BA660,LEN(BA660)-3)))</f>
        <v/>
      </c>
      <c r="AJ660" s="268" t="n">
        <f aca="false">IF(ISNUMBER(S660),IFERROR(LOOKUP(IF(S660&lt;=1,S660,S660/100),'⚖️ Wahrscheinlichkeit'!$B$17:$B$21,'⚖️ Wahrscheinlichkeit'!$D$17:$D$21),0),0)</f>
        <v>0</v>
      </c>
      <c r="AK660" s="1" t="str">
        <f aca="false">IF(AND(R660="WON",ISNUMBER(I660)),AL660+(861-ROW())*0.000001,"")</f>
        <v/>
      </c>
      <c r="AL660" s="1" t="n">
        <f aca="false">IFERROR(I660*1,0)</f>
        <v>0</v>
      </c>
      <c r="AM660" s="1" t="n">
        <f aca="false">N(AM659)+IF(AND(R660="WON",B660&lt;&gt;""),1,0)</f>
        <v>12</v>
      </c>
      <c r="AN660" s="1" t="n">
        <f aca="false">N(AN659)+IF(AND(OR(R660="offered",R660="to be offered",R660="on hold"),B660&lt;&gt;""),1,0)</f>
        <v>33</v>
      </c>
      <c r="AO660" s="1" t="n">
        <f aca="false">N(AO659)+IF(AND(OR(R660="follow-up",R660="Evaluation",R660="tbd",R660="In evaluation"),B660&lt;&gt;""),1,0)</f>
        <v>1</v>
      </c>
      <c r="AP660" s="1" t="n">
        <f aca="false">IF(B660="",0,IF(COUNTIF('⚖️ Wahrscheinlichkeit'!$J$17:$J$24,R660)&gt;0,1,0))</f>
        <v>0</v>
      </c>
      <c r="AQ660" s="1" t="n">
        <f aca="false">IF(B660="",0,IF(AND(ISNUMBER(S660),COUNTIF('⚖️ Wahrscheinlichkeit'!$B$6:$B$11,S660)&gt;0),1,0))</f>
        <v>0</v>
      </c>
      <c r="AR660" s="1" t="n">
        <f aca="false">IF(B660="",0,IF(AND(COUNT(J660:M660)=4,SUM(J660:M660)&gt;0),1,0))</f>
        <v>0</v>
      </c>
      <c r="AS660" s="1" t="n">
        <f aca="false">IF(B660="",0,IF(AND(AF660&lt;&gt;"",AG660&lt;&gt;""),1,0))</f>
        <v>0</v>
      </c>
      <c r="AT660" s="1" t="n">
        <f aca="false">IF(AND(R660="WON",AS660=1,AR660=1),1,0)</f>
        <v>0</v>
      </c>
      <c r="AU660" s="1" t="n">
        <f aca="false">IF(B660="",0,IF(AD660="Alternative – zählt nicht",0,1))</f>
        <v>0</v>
      </c>
      <c r="AV660" s="1" t="n">
        <f aca="false">IF(B660="",0,IF(COUNTIF($B$6:$B$860,B660)&gt;1,1,0))</f>
        <v>0</v>
      </c>
      <c r="AX660" s="269" t="str">
        <f aca="false">IF(AY660=1,DATE(YEAR(O660),MONTH(O660),1),"")</f>
        <v/>
      </c>
      <c r="AY660" s="1" t="n">
        <f aca="false">IF(B660="",0,IF(AND(ISNUMBER(O660),ISNUMBER(P660)),IF(P660&gt;=O660,1,0),0))</f>
        <v>0</v>
      </c>
      <c r="AZ660" s="1" t="n">
        <f aca="false">IF(ISNUMBER(Y660),Y660,0)</f>
        <v>0</v>
      </c>
      <c r="BA660" s="1" t="str">
        <f aca="false">IF(B660="","",IF(AND(R660="WON",AS660=0),"⛔ Beleg fehlt · ","")&amp;IF(AND(R660="WON",AR660=0),"⛔ Einstand fehlt · ","")&amp;IF(AND(R660&lt;&gt;"WON",AR660=0),"○ Einstand offen · ","")&amp;IF(AND(R660="WON",AB660=""),"⛔ Vertragsart fehlt · ","")&amp;IF(AND(ISNUMBER(O660),ISNUMBER(P660)),IF(P660&lt;O660,"⚠ Ende vor Start · ",""),"")&amp;IF(AND(R660="WON",AY660=0,NOT(AND(ISNUMBER(O660),ISNUMBER(P660)))),"⛔ Zeitraum fehlt · ","")&amp;IF(AND(R660&lt;&gt;"WON",AY660=0,NOT(AND(ISNUMBER(O660),ISNUMBER(P660)))),"○ Zeitraum offen · ",""))</f>
        <v/>
      </c>
      <c r="BB660" s="1" t="str">
        <f aca="false">IF(B660="","",IF(AND(R660="WON",AS660=0),"⛔ Nachweis fehlt",IF(AND(ISNUMBER(O660),ISNUMBER(P660),P660&lt;O660),"⚠ Ende vor Start",IF(AND(R660="WON",AY660=0),"⛔ Zeitraum fehlt",IF(AR660=0,"○ Einstand offen",IF(AY660=0,"○ Zeitraum offen",IF(R660="WON","✅ belegt","✔ erfasst")))))))</f>
        <v/>
      </c>
    </row>
    <row r="661" customFormat="false" ht="15" hidden="false" customHeight="true" outlineLevel="0" collapsed="false">
      <c r="G661" s="1" t="str">
        <f aca="false">IF(B661="","",IF(AY661=1,P661-O661+1,IF(AW661="","",AW661)))</f>
        <v/>
      </c>
      <c r="I661" s="270"/>
      <c r="J661" s="270"/>
      <c r="K661" s="270"/>
      <c r="L661" s="270"/>
      <c r="M661" s="270"/>
      <c r="N661" s="270"/>
      <c r="O661" s="263"/>
      <c r="P661" s="263"/>
      <c r="Q661" s="270" t="str">
        <f aca="false">IF(AND(ISNUMBER(I661),ISNUMBER(S661)),I661*AJ661,IF(OR(I661&lt;&gt;"",S661&lt;&gt;""),"tbd",""))</f>
        <v/>
      </c>
      <c r="S661" s="268"/>
      <c r="Y661" s="275" t="str">
        <f aca="false">IF(ISNUMBER(I661),I661/Netto_Faktor,"")</f>
        <v/>
      </c>
      <c r="Z661" s="275" t="str">
        <f aca="false">IF(B661="","",IF(COUNT(J661:N661)=0,"",SUM(J661:N661)))</f>
        <v/>
      </c>
      <c r="AA661" s="266"/>
      <c r="AB661" s="266"/>
      <c r="AC661" s="266"/>
      <c r="AD661" s="266"/>
      <c r="AE661" s="266"/>
      <c r="AF661" s="266"/>
      <c r="AG661" s="267"/>
      <c r="AH661" s="266" t="str">
        <f aca="false">IF(B661="","",IF(BA661="",IF(R661="WON","✅ belegt &amp; vollständig","✔ vollständig"),LEFT(BA661,LEN(BA661)-3)))</f>
        <v/>
      </c>
      <c r="AJ661" s="268" t="n">
        <f aca="false">IF(ISNUMBER(S661),IFERROR(LOOKUP(IF(S661&lt;=1,S661,S661/100),'⚖️ Wahrscheinlichkeit'!$B$17:$B$21,'⚖️ Wahrscheinlichkeit'!$D$17:$D$21),0),0)</f>
        <v>0</v>
      </c>
      <c r="AK661" s="1" t="str">
        <f aca="false">IF(AND(R661="WON",ISNUMBER(I661)),AL661+(861-ROW())*0.000001,"")</f>
        <v/>
      </c>
      <c r="AL661" s="1" t="n">
        <f aca="false">IFERROR(I661*1,0)</f>
        <v>0</v>
      </c>
      <c r="AM661" s="1" t="n">
        <f aca="false">N(AM660)+IF(AND(R661="WON",B661&lt;&gt;""),1,0)</f>
        <v>12</v>
      </c>
      <c r="AN661" s="1" t="n">
        <f aca="false">N(AN660)+IF(AND(OR(R661="offered",R661="to be offered",R661="on hold"),B661&lt;&gt;""),1,0)</f>
        <v>33</v>
      </c>
      <c r="AO661" s="1" t="n">
        <f aca="false">N(AO660)+IF(AND(OR(R661="follow-up",R661="Evaluation",R661="tbd",R661="In evaluation"),B661&lt;&gt;""),1,0)</f>
        <v>1</v>
      </c>
      <c r="AP661" s="1" t="n">
        <f aca="false">IF(B661="",0,IF(COUNTIF('⚖️ Wahrscheinlichkeit'!$J$17:$J$24,R661)&gt;0,1,0))</f>
        <v>0</v>
      </c>
      <c r="AQ661" s="1" t="n">
        <f aca="false">IF(B661="",0,IF(AND(ISNUMBER(S661),COUNTIF('⚖️ Wahrscheinlichkeit'!$B$6:$B$11,S661)&gt;0),1,0))</f>
        <v>0</v>
      </c>
      <c r="AR661" s="1" t="n">
        <f aca="false">IF(B661="",0,IF(AND(COUNT(J661:M661)=4,SUM(J661:M661)&gt;0),1,0))</f>
        <v>0</v>
      </c>
      <c r="AS661" s="1" t="n">
        <f aca="false">IF(B661="",0,IF(AND(AF661&lt;&gt;"",AG661&lt;&gt;""),1,0))</f>
        <v>0</v>
      </c>
      <c r="AT661" s="1" t="n">
        <f aca="false">IF(AND(R661="WON",AS661=1,AR661=1),1,0)</f>
        <v>0</v>
      </c>
      <c r="AU661" s="1" t="n">
        <f aca="false">IF(B661="",0,IF(AD661="Alternative – zählt nicht",0,1))</f>
        <v>0</v>
      </c>
      <c r="AV661" s="1" t="n">
        <f aca="false">IF(B661="",0,IF(COUNTIF($B$6:$B$860,B661)&gt;1,1,0))</f>
        <v>0</v>
      </c>
      <c r="AX661" s="269" t="str">
        <f aca="false">IF(AY661=1,DATE(YEAR(O661),MONTH(O661),1),"")</f>
        <v/>
      </c>
      <c r="AY661" s="1" t="n">
        <f aca="false">IF(B661="",0,IF(AND(ISNUMBER(O661),ISNUMBER(P661)),IF(P661&gt;=O661,1,0),0))</f>
        <v>0</v>
      </c>
      <c r="AZ661" s="1" t="n">
        <f aca="false">IF(ISNUMBER(Y661),Y661,0)</f>
        <v>0</v>
      </c>
      <c r="BA661" s="1" t="str">
        <f aca="false">IF(B661="","",IF(AND(R661="WON",AS661=0),"⛔ Beleg fehlt · ","")&amp;IF(AND(R661="WON",AR661=0),"⛔ Einstand fehlt · ","")&amp;IF(AND(R661&lt;&gt;"WON",AR661=0),"○ Einstand offen · ","")&amp;IF(AND(R661="WON",AB661=""),"⛔ Vertragsart fehlt · ","")&amp;IF(AND(ISNUMBER(O661),ISNUMBER(P661)),IF(P661&lt;O661,"⚠ Ende vor Start · ",""),"")&amp;IF(AND(R661="WON",AY661=0,NOT(AND(ISNUMBER(O661),ISNUMBER(P661)))),"⛔ Zeitraum fehlt · ","")&amp;IF(AND(R661&lt;&gt;"WON",AY661=0,NOT(AND(ISNUMBER(O661),ISNUMBER(P661)))),"○ Zeitraum offen · ",""))</f>
        <v/>
      </c>
      <c r="BB661" s="1" t="str">
        <f aca="false">IF(B661="","",IF(AND(R661="WON",AS661=0),"⛔ Nachweis fehlt",IF(AND(ISNUMBER(O661),ISNUMBER(P661),P661&lt;O661),"⚠ Ende vor Start",IF(AND(R661="WON",AY661=0),"⛔ Zeitraum fehlt",IF(AR661=0,"○ Einstand offen",IF(AY661=0,"○ Zeitraum offen",IF(R661="WON","✅ belegt","✔ erfasst")))))))</f>
        <v/>
      </c>
    </row>
    <row r="662" customFormat="false" ht="15" hidden="false" customHeight="true" outlineLevel="0" collapsed="false">
      <c r="G662" s="1" t="str">
        <f aca="false">IF(B662="","",IF(AY662=1,P662-O662+1,IF(AW662="","",AW662)))</f>
        <v/>
      </c>
      <c r="I662" s="270"/>
      <c r="J662" s="270"/>
      <c r="K662" s="270"/>
      <c r="L662" s="270"/>
      <c r="M662" s="270"/>
      <c r="N662" s="270"/>
      <c r="O662" s="263"/>
      <c r="P662" s="263"/>
      <c r="Q662" s="270" t="str">
        <f aca="false">IF(AND(ISNUMBER(I662),ISNUMBER(S662)),I662*AJ662,IF(OR(I662&lt;&gt;"",S662&lt;&gt;""),"tbd",""))</f>
        <v/>
      </c>
      <c r="S662" s="268"/>
      <c r="Y662" s="275" t="str">
        <f aca="false">IF(ISNUMBER(I662),I662/Netto_Faktor,"")</f>
        <v/>
      </c>
      <c r="Z662" s="275" t="str">
        <f aca="false">IF(B662="","",IF(COUNT(J662:N662)=0,"",SUM(J662:N662)))</f>
        <v/>
      </c>
      <c r="AA662" s="266"/>
      <c r="AB662" s="266"/>
      <c r="AC662" s="266"/>
      <c r="AD662" s="266"/>
      <c r="AE662" s="266"/>
      <c r="AF662" s="266"/>
      <c r="AG662" s="267"/>
      <c r="AH662" s="266" t="str">
        <f aca="false">IF(B662="","",IF(BA662="",IF(R662="WON","✅ belegt &amp; vollständig","✔ vollständig"),LEFT(BA662,LEN(BA662)-3)))</f>
        <v/>
      </c>
      <c r="AJ662" s="268" t="n">
        <f aca="false">IF(ISNUMBER(S662),IFERROR(LOOKUP(IF(S662&lt;=1,S662,S662/100),'⚖️ Wahrscheinlichkeit'!$B$17:$B$21,'⚖️ Wahrscheinlichkeit'!$D$17:$D$21),0),0)</f>
        <v>0</v>
      </c>
      <c r="AK662" s="1" t="str">
        <f aca="false">IF(AND(R662="WON",ISNUMBER(I662)),AL662+(861-ROW())*0.000001,"")</f>
        <v/>
      </c>
      <c r="AL662" s="1" t="n">
        <f aca="false">IFERROR(I662*1,0)</f>
        <v>0</v>
      </c>
      <c r="AM662" s="1" t="n">
        <f aca="false">N(AM661)+IF(AND(R662="WON",B662&lt;&gt;""),1,0)</f>
        <v>12</v>
      </c>
      <c r="AN662" s="1" t="n">
        <f aca="false">N(AN661)+IF(AND(OR(R662="offered",R662="to be offered",R662="on hold"),B662&lt;&gt;""),1,0)</f>
        <v>33</v>
      </c>
      <c r="AO662" s="1" t="n">
        <f aca="false">N(AO661)+IF(AND(OR(R662="follow-up",R662="Evaluation",R662="tbd",R662="In evaluation"),B662&lt;&gt;""),1,0)</f>
        <v>1</v>
      </c>
      <c r="AP662" s="1" t="n">
        <f aca="false">IF(B662="",0,IF(COUNTIF('⚖️ Wahrscheinlichkeit'!$J$17:$J$24,R662)&gt;0,1,0))</f>
        <v>0</v>
      </c>
      <c r="AQ662" s="1" t="n">
        <f aca="false">IF(B662="",0,IF(AND(ISNUMBER(S662),COUNTIF('⚖️ Wahrscheinlichkeit'!$B$6:$B$11,S662)&gt;0),1,0))</f>
        <v>0</v>
      </c>
      <c r="AR662" s="1" t="n">
        <f aca="false">IF(B662="",0,IF(AND(COUNT(J662:M662)=4,SUM(J662:M662)&gt;0),1,0))</f>
        <v>0</v>
      </c>
      <c r="AS662" s="1" t="n">
        <f aca="false">IF(B662="",0,IF(AND(AF662&lt;&gt;"",AG662&lt;&gt;""),1,0))</f>
        <v>0</v>
      </c>
      <c r="AT662" s="1" t="n">
        <f aca="false">IF(AND(R662="WON",AS662=1,AR662=1),1,0)</f>
        <v>0</v>
      </c>
      <c r="AU662" s="1" t="n">
        <f aca="false">IF(B662="",0,IF(AD662="Alternative – zählt nicht",0,1))</f>
        <v>0</v>
      </c>
      <c r="AV662" s="1" t="n">
        <f aca="false">IF(B662="",0,IF(COUNTIF($B$6:$B$860,B662)&gt;1,1,0))</f>
        <v>0</v>
      </c>
      <c r="AX662" s="269" t="str">
        <f aca="false">IF(AY662=1,DATE(YEAR(O662),MONTH(O662),1),"")</f>
        <v/>
      </c>
      <c r="AY662" s="1" t="n">
        <f aca="false">IF(B662="",0,IF(AND(ISNUMBER(O662),ISNUMBER(P662)),IF(P662&gt;=O662,1,0),0))</f>
        <v>0</v>
      </c>
      <c r="AZ662" s="1" t="n">
        <f aca="false">IF(ISNUMBER(Y662),Y662,0)</f>
        <v>0</v>
      </c>
      <c r="BA662" s="1" t="str">
        <f aca="false">IF(B662="","",IF(AND(R662="WON",AS662=0),"⛔ Beleg fehlt · ","")&amp;IF(AND(R662="WON",AR662=0),"⛔ Einstand fehlt · ","")&amp;IF(AND(R662&lt;&gt;"WON",AR662=0),"○ Einstand offen · ","")&amp;IF(AND(R662="WON",AB662=""),"⛔ Vertragsart fehlt · ","")&amp;IF(AND(ISNUMBER(O662),ISNUMBER(P662)),IF(P662&lt;O662,"⚠ Ende vor Start · ",""),"")&amp;IF(AND(R662="WON",AY662=0,NOT(AND(ISNUMBER(O662),ISNUMBER(P662)))),"⛔ Zeitraum fehlt · ","")&amp;IF(AND(R662&lt;&gt;"WON",AY662=0,NOT(AND(ISNUMBER(O662),ISNUMBER(P662)))),"○ Zeitraum offen · ",""))</f>
        <v/>
      </c>
      <c r="BB662" s="1" t="str">
        <f aca="false">IF(B662="","",IF(AND(R662="WON",AS662=0),"⛔ Nachweis fehlt",IF(AND(ISNUMBER(O662),ISNUMBER(P662),P662&lt;O662),"⚠ Ende vor Start",IF(AND(R662="WON",AY662=0),"⛔ Zeitraum fehlt",IF(AR662=0,"○ Einstand offen",IF(AY662=0,"○ Zeitraum offen",IF(R662="WON","✅ belegt","✔ erfasst")))))))</f>
        <v/>
      </c>
    </row>
    <row r="663" customFormat="false" ht="15" hidden="false" customHeight="true" outlineLevel="0" collapsed="false">
      <c r="G663" s="1" t="str">
        <f aca="false">IF(B663="","",IF(AY663=1,P663-O663+1,IF(AW663="","",AW663)))</f>
        <v/>
      </c>
      <c r="I663" s="270"/>
      <c r="J663" s="270"/>
      <c r="K663" s="270"/>
      <c r="L663" s="270"/>
      <c r="M663" s="270"/>
      <c r="N663" s="270"/>
      <c r="O663" s="263"/>
      <c r="P663" s="263"/>
      <c r="Q663" s="270" t="str">
        <f aca="false">IF(AND(ISNUMBER(I663),ISNUMBER(S663)),I663*AJ663,IF(OR(I663&lt;&gt;"",S663&lt;&gt;""),"tbd",""))</f>
        <v/>
      </c>
      <c r="S663" s="268"/>
      <c r="Y663" s="275" t="str">
        <f aca="false">IF(ISNUMBER(I663),I663/Netto_Faktor,"")</f>
        <v/>
      </c>
      <c r="Z663" s="275" t="str">
        <f aca="false">IF(B663="","",IF(COUNT(J663:N663)=0,"",SUM(J663:N663)))</f>
        <v/>
      </c>
      <c r="AA663" s="266"/>
      <c r="AB663" s="266"/>
      <c r="AC663" s="266"/>
      <c r="AD663" s="266"/>
      <c r="AE663" s="266"/>
      <c r="AF663" s="266"/>
      <c r="AG663" s="267"/>
      <c r="AH663" s="266" t="str">
        <f aca="false">IF(B663="","",IF(BA663="",IF(R663="WON","✅ belegt &amp; vollständig","✔ vollständig"),LEFT(BA663,LEN(BA663)-3)))</f>
        <v/>
      </c>
      <c r="AJ663" s="268" t="n">
        <f aca="false">IF(ISNUMBER(S663),IFERROR(LOOKUP(IF(S663&lt;=1,S663,S663/100),'⚖️ Wahrscheinlichkeit'!$B$17:$B$21,'⚖️ Wahrscheinlichkeit'!$D$17:$D$21),0),0)</f>
        <v>0</v>
      </c>
      <c r="AK663" s="1" t="str">
        <f aca="false">IF(AND(R663="WON",ISNUMBER(I663)),AL663+(861-ROW())*0.000001,"")</f>
        <v/>
      </c>
      <c r="AL663" s="1" t="n">
        <f aca="false">IFERROR(I663*1,0)</f>
        <v>0</v>
      </c>
      <c r="AM663" s="1" t="n">
        <f aca="false">N(AM662)+IF(AND(R663="WON",B663&lt;&gt;""),1,0)</f>
        <v>12</v>
      </c>
      <c r="AN663" s="1" t="n">
        <f aca="false">N(AN662)+IF(AND(OR(R663="offered",R663="to be offered",R663="on hold"),B663&lt;&gt;""),1,0)</f>
        <v>33</v>
      </c>
      <c r="AO663" s="1" t="n">
        <f aca="false">N(AO662)+IF(AND(OR(R663="follow-up",R663="Evaluation",R663="tbd",R663="In evaluation"),B663&lt;&gt;""),1,0)</f>
        <v>1</v>
      </c>
      <c r="AP663" s="1" t="n">
        <f aca="false">IF(B663="",0,IF(COUNTIF('⚖️ Wahrscheinlichkeit'!$J$17:$J$24,R663)&gt;0,1,0))</f>
        <v>0</v>
      </c>
      <c r="AQ663" s="1" t="n">
        <f aca="false">IF(B663="",0,IF(AND(ISNUMBER(S663),COUNTIF('⚖️ Wahrscheinlichkeit'!$B$6:$B$11,S663)&gt;0),1,0))</f>
        <v>0</v>
      </c>
      <c r="AR663" s="1" t="n">
        <f aca="false">IF(B663="",0,IF(AND(COUNT(J663:M663)=4,SUM(J663:M663)&gt;0),1,0))</f>
        <v>0</v>
      </c>
      <c r="AS663" s="1" t="n">
        <f aca="false">IF(B663="",0,IF(AND(AF663&lt;&gt;"",AG663&lt;&gt;""),1,0))</f>
        <v>0</v>
      </c>
      <c r="AT663" s="1" t="n">
        <f aca="false">IF(AND(R663="WON",AS663=1,AR663=1),1,0)</f>
        <v>0</v>
      </c>
      <c r="AU663" s="1" t="n">
        <f aca="false">IF(B663="",0,IF(AD663="Alternative – zählt nicht",0,1))</f>
        <v>0</v>
      </c>
      <c r="AV663" s="1" t="n">
        <f aca="false">IF(B663="",0,IF(COUNTIF($B$6:$B$860,B663)&gt;1,1,0))</f>
        <v>0</v>
      </c>
      <c r="AX663" s="269" t="str">
        <f aca="false">IF(AY663=1,DATE(YEAR(O663),MONTH(O663),1),"")</f>
        <v/>
      </c>
      <c r="AY663" s="1" t="n">
        <f aca="false">IF(B663="",0,IF(AND(ISNUMBER(O663),ISNUMBER(P663)),IF(P663&gt;=O663,1,0),0))</f>
        <v>0</v>
      </c>
      <c r="AZ663" s="1" t="n">
        <f aca="false">IF(ISNUMBER(Y663),Y663,0)</f>
        <v>0</v>
      </c>
      <c r="BA663" s="1" t="str">
        <f aca="false">IF(B663="","",IF(AND(R663="WON",AS663=0),"⛔ Beleg fehlt · ","")&amp;IF(AND(R663="WON",AR663=0),"⛔ Einstand fehlt · ","")&amp;IF(AND(R663&lt;&gt;"WON",AR663=0),"○ Einstand offen · ","")&amp;IF(AND(R663="WON",AB663=""),"⛔ Vertragsart fehlt · ","")&amp;IF(AND(ISNUMBER(O663),ISNUMBER(P663)),IF(P663&lt;O663,"⚠ Ende vor Start · ",""),"")&amp;IF(AND(R663="WON",AY663=0,NOT(AND(ISNUMBER(O663),ISNUMBER(P663)))),"⛔ Zeitraum fehlt · ","")&amp;IF(AND(R663&lt;&gt;"WON",AY663=0,NOT(AND(ISNUMBER(O663),ISNUMBER(P663)))),"○ Zeitraum offen · ",""))</f>
        <v/>
      </c>
      <c r="BB663" s="1" t="str">
        <f aca="false">IF(B663="","",IF(AND(R663="WON",AS663=0),"⛔ Nachweis fehlt",IF(AND(ISNUMBER(O663),ISNUMBER(P663),P663&lt;O663),"⚠ Ende vor Start",IF(AND(R663="WON",AY663=0),"⛔ Zeitraum fehlt",IF(AR663=0,"○ Einstand offen",IF(AY663=0,"○ Zeitraum offen",IF(R663="WON","✅ belegt","✔ erfasst")))))))</f>
        <v/>
      </c>
    </row>
    <row r="664" customFormat="false" ht="15" hidden="false" customHeight="true" outlineLevel="0" collapsed="false">
      <c r="G664" s="1" t="str">
        <f aca="false">IF(B664="","",IF(AY664=1,P664-O664+1,IF(AW664="","",AW664)))</f>
        <v/>
      </c>
      <c r="I664" s="270"/>
      <c r="J664" s="270"/>
      <c r="K664" s="270"/>
      <c r="L664" s="270"/>
      <c r="M664" s="270"/>
      <c r="N664" s="270"/>
      <c r="O664" s="263"/>
      <c r="P664" s="263"/>
      <c r="Q664" s="270" t="str">
        <f aca="false">IF(AND(ISNUMBER(I664),ISNUMBER(S664)),I664*AJ664,IF(OR(I664&lt;&gt;"",S664&lt;&gt;""),"tbd",""))</f>
        <v/>
      </c>
      <c r="S664" s="268"/>
      <c r="Y664" s="275" t="str">
        <f aca="false">IF(ISNUMBER(I664),I664/Netto_Faktor,"")</f>
        <v/>
      </c>
      <c r="Z664" s="275" t="str">
        <f aca="false">IF(B664="","",IF(COUNT(J664:N664)=0,"",SUM(J664:N664)))</f>
        <v/>
      </c>
      <c r="AA664" s="266"/>
      <c r="AB664" s="266"/>
      <c r="AC664" s="266"/>
      <c r="AD664" s="266"/>
      <c r="AE664" s="266"/>
      <c r="AF664" s="266"/>
      <c r="AG664" s="267"/>
      <c r="AH664" s="266" t="str">
        <f aca="false">IF(B664="","",IF(BA664="",IF(R664="WON","✅ belegt &amp; vollständig","✔ vollständig"),LEFT(BA664,LEN(BA664)-3)))</f>
        <v/>
      </c>
      <c r="AJ664" s="268" t="n">
        <f aca="false">IF(ISNUMBER(S664),IFERROR(LOOKUP(IF(S664&lt;=1,S664,S664/100),'⚖️ Wahrscheinlichkeit'!$B$17:$B$21,'⚖️ Wahrscheinlichkeit'!$D$17:$D$21),0),0)</f>
        <v>0</v>
      </c>
      <c r="AK664" s="1" t="str">
        <f aca="false">IF(AND(R664="WON",ISNUMBER(I664)),AL664+(861-ROW())*0.000001,"")</f>
        <v/>
      </c>
      <c r="AL664" s="1" t="n">
        <f aca="false">IFERROR(I664*1,0)</f>
        <v>0</v>
      </c>
      <c r="AM664" s="1" t="n">
        <f aca="false">N(AM663)+IF(AND(R664="WON",B664&lt;&gt;""),1,0)</f>
        <v>12</v>
      </c>
      <c r="AN664" s="1" t="n">
        <f aca="false">N(AN663)+IF(AND(OR(R664="offered",R664="to be offered",R664="on hold"),B664&lt;&gt;""),1,0)</f>
        <v>33</v>
      </c>
      <c r="AO664" s="1" t="n">
        <f aca="false">N(AO663)+IF(AND(OR(R664="follow-up",R664="Evaluation",R664="tbd",R664="In evaluation"),B664&lt;&gt;""),1,0)</f>
        <v>1</v>
      </c>
      <c r="AP664" s="1" t="n">
        <f aca="false">IF(B664="",0,IF(COUNTIF('⚖️ Wahrscheinlichkeit'!$J$17:$J$24,R664)&gt;0,1,0))</f>
        <v>0</v>
      </c>
      <c r="AQ664" s="1" t="n">
        <f aca="false">IF(B664="",0,IF(AND(ISNUMBER(S664),COUNTIF('⚖️ Wahrscheinlichkeit'!$B$6:$B$11,S664)&gt;0),1,0))</f>
        <v>0</v>
      </c>
      <c r="AR664" s="1" t="n">
        <f aca="false">IF(B664="",0,IF(AND(COUNT(J664:M664)=4,SUM(J664:M664)&gt;0),1,0))</f>
        <v>0</v>
      </c>
      <c r="AS664" s="1" t="n">
        <f aca="false">IF(B664="",0,IF(AND(AF664&lt;&gt;"",AG664&lt;&gt;""),1,0))</f>
        <v>0</v>
      </c>
      <c r="AT664" s="1" t="n">
        <f aca="false">IF(AND(R664="WON",AS664=1,AR664=1),1,0)</f>
        <v>0</v>
      </c>
      <c r="AU664" s="1" t="n">
        <f aca="false">IF(B664="",0,IF(AD664="Alternative – zählt nicht",0,1))</f>
        <v>0</v>
      </c>
      <c r="AV664" s="1" t="n">
        <f aca="false">IF(B664="",0,IF(COUNTIF($B$6:$B$860,B664)&gt;1,1,0))</f>
        <v>0</v>
      </c>
      <c r="AX664" s="269" t="str">
        <f aca="false">IF(AY664=1,DATE(YEAR(O664),MONTH(O664),1),"")</f>
        <v/>
      </c>
      <c r="AY664" s="1" t="n">
        <f aca="false">IF(B664="",0,IF(AND(ISNUMBER(O664),ISNUMBER(P664)),IF(P664&gt;=O664,1,0),0))</f>
        <v>0</v>
      </c>
      <c r="AZ664" s="1" t="n">
        <f aca="false">IF(ISNUMBER(Y664),Y664,0)</f>
        <v>0</v>
      </c>
      <c r="BA664" s="1" t="str">
        <f aca="false">IF(B664="","",IF(AND(R664="WON",AS664=0),"⛔ Beleg fehlt · ","")&amp;IF(AND(R664="WON",AR664=0),"⛔ Einstand fehlt · ","")&amp;IF(AND(R664&lt;&gt;"WON",AR664=0),"○ Einstand offen · ","")&amp;IF(AND(R664="WON",AB664=""),"⛔ Vertragsart fehlt · ","")&amp;IF(AND(ISNUMBER(O664),ISNUMBER(P664)),IF(P664&lt;O664,"⚠ Ende vor Start · ",""),"")&amp;IF(AND(R664="WON",AY664=0,NOT(AND(ISNUMBER(O664),ISNUMBER(P664)))),"⛔ Zeitraum fehlt · ","")&amp;IF(AND(R664&lt;&gt;"WON",AY664=0,NOT(AND(ISNUMBER(O664),ISNUMBER(P664)))),"○ Zeitraum offen · ",""))</f>
        <v/>
      </c>
      <c r="BB664" s="1" t="str">
        <f aca="false">IF(B664="","",IF(AND(R664="WON",AS664=0),"⛔ Nachweis fehlt",IF(AND(ISNUMBER(O664),ISNUMBER(P664),P664&lt;O664),"⚠ Ende vor Start",IF(AND(R664="WON",AY664=0),"⛔ Zeitraum fehlt",IF(AR664=0,"○ Einstand offen",IF(AY664=0,"○ Zeitraum offen",IF(R664="WON","✅ belegt","✔ erfasst")))))))</f>
        <v/>
      </c>
    </row>
    <row r="665" customFormat="false" ht="15" hidden="false" customHeight="true" outlineLevel="0" collapsed="false">
      <c r="G665" s="1" t="str">
        <f aca="false">IF(B665="","",IF(AY665=1,P665-O665+1,IF(AW665="","",AW665)))</f>
        <v/>
      </c>
      <c r="I665" s="270"/>
      <c r="J665" s="270"/>
      <c r="K665" s="270"/>
      <c r="L665" s="270"/>
      <c r="M665" s="270"/>
      <c r="N665" s="270"/>
      <c r="O665" s="263"/>
      <c r="P665" s="263"/>
      <c r="Q665" s="270" t="str">
        <f aca="false">IF(AND(ISNUMBER(I665),ISNUMBER(S665)),I665*AJ665,IF(OR(I665&lt;&gt;"",S665&lt;&gt;""),"tbd",""))</f>
        <v/>
      </c>
      <c r="S665" s="268"/>
      <c r="Y665" s="275" t="str">
        <f aca="false">IF(ISNUMBER(I665),I665/Netto_Faktor,"")</f>
        <v/>
      </c>
      <c r="Z665" s="275" t="str">
        <f aca="false">IF(B665="","",IF(COUNT(J665:N665)=0,"",SUM(J665:N665)))</f>
        <v/>
      </c>
      <c r="AA665" s="266"/>
      <c r="AB665" s="266"/>
      <c r="AC665" s="266"/>
      <c r="AD665" s="266"/>
      <c r="AE665" s="266"/>
      <c r="AF665" s="266"/>
      <c r="AG665" s="267"/>
      <c r="AH665" s="266" t="str">
        <f aca="false">IF(B665="","",IF(BA665="",IF(R665="WON","✅ belegt &amp; vollständig","✔ vollständig"),LEFT(BA665,LEN(BA665)-3)))</f>
        <v/>
      </c>
      <c r="AJ665" s="268" t="n">
        <f aca="false">IF(ISNUMBER(S665),IFERROR(LOOKUP(IF(S665&lt;=1,S665,S665/100),'⚖️ Wahrscheinlichkeit'!$B$17:$B$21,'⚖️ Wahrscheinlichkeit'!$D$17:$D$21),0),0)</f>
        <v>0</v>
      </c>
      <c r="AK665" s="1" t="str">
        <f aca="false">IF(AND(R665="WON",ISNUMBER(I665)),AL665+(861-ROW())*0.000001,"")</f>
        <v/>
      </c>
      <c r="AL665" s="1" t="n">
        <f aca="false">IFERROR(I665*1,0)</f>
        <v>0</v>
      </c>
      <c r="AM665" s="1" t="n">
        <f aca="false">N(AM664)+IF(AND(R665="WON",B665&lt;&gt;""),1,0)</f>
        <v>12</v>
      </c>
      <c r="AN665" s="1" t="n">
        <f aca="false">N(AN664)+IF(AND(OR(R665="offered",R665="to be offered",R665="on hold"),B665&lt;&gt;""),1,0)</f>
        <v>33</v>
      </c>
      <c r="AO665" s="1" t="n">
        <f aca="false">N(AO664)+IF(AND(OR(R665="follow-up",R665="Evaluation",R665="tbd",R665="In evaluation"),B665&lt;&gt;""),1,0)</f>
        <v>1</v>
      </c>
      <c r="AP665" s="1" t="n">
        <f aca="false">IF(B665="",0,IF(COUNTIF('⚖️ Wahrscheinlichkeit'!$J$17:$J$24,R665)&gt;0,1,0))</f>
        <v>0</v>
      </c>
      <c r="AQ665" s="1" t="n">
        <f aca="false">IF(B665="",0,IF(AND(ISNUMBER(S665),COUNTIF('⚖️ Wahrscheinlichkeit'!$B$6:$B$11,S665)&gt;0),1,0))</f>
        <v>0</v>
      </c>
      <c r="AR665" s="1" t="n">
        <f aca="false">IF(B665="",0,IF(AND(COUNT(J665:M665)=4,SUM(J665:M665)&gt;0),1,0))</f>
        <v>0</v>
      </c>
      <c r="AS665" s="1" t="n">
        <f aca="false">IF(B665="",0,IF(AND(AF665&lt;&gt;"",AG665&lt;&gt;""),1,0))</f>
        <v>0</v>
      </c>
      <c r="AT665" s="1" t="n">
        <f aca="false">IF(AND(R665="WON",AS665=1,AR665=1),1,0)</f>
        <v>0</v>
      </c>
      <c r="AU665" s="1" t="n">
        <f aca="false">IF(B665="",0,IF(AD665="Alternative – zählt nicht",0,1))</f>
        <v>0</v>
      </c>
      <c r="AV665" s="1" t="n">
        <f aca="false">IF(B665="",0,IF(COUNTIF($B$6:$B$860,B665)&gt;1,1,0))</f>
        <v>0</v>
      </c>
      <c r="AX665" s="269" t="str">
        <f aca="false">IF(AY665=1,DATE(YEAR(O665),MONTH(O665),1),"")</f>
        <v/>
      </c>
      <c r="AY665" s="1" t="n">
        <f aca="false">IF(B665="",0,IF(AND(ISNUMBER(O665),ISNUMBER(P665)),IF(P665&gt;=O665,1,0),0))</f>
        <v>0</v>
      </c>
      <c r="AZ665" s="1" t="n">
        <f aca="false">IF(ISNUMBER(Y665),Y665,0)</f>
        <v>0</v>
      </c>
      <c r="BA665" s="1" t="str">
        <f aca="false">IF(B665="","",IF(AND(R665="WON",AS665=0),"⛔ Beleg fehlt · ","")&amp;IF(AND(R665="WON",AR665=0),"⛔ Einstand fehlt · ","")&amp;IF(AND(R665&lt;&gt;"WON",AR665=0),"○ Einstand offen · ","")&amp;IF(AND(R665="WON",AB665=""),"⛔ Vertragsart fehlt · ","")&amp;IF(AND(ISNUMBER(O665),ISNUMBER(P665)),IF(P665&lt;O665,"⚠ Ende vor Start · ",""),"")&amp;IF(AND(R665="WON",AY665=0,NOT(AND(ISNUMBER(O665),ISNUMBER(P665)))),"⛔ Zeitraum fehlt · ","")&amp;IF(AND(R665&lt;&gt;"WON",AY665=0,NOT(AND(ISNUMBER(O665),ISNUMBER(P665)))),"○ Zeitraum offen · ",""))</f>
        <v/>
      </c>
      <c r="BB665" s="1" t="str">
        <f aca="false">IF(B665="","",IF(AND(R665="WON",AS665=0),"⛔ Nachweis fehlt",IF(AND(ISNUMBER(O665),ISNUMBER(P665),P665&lt;O665),"⚠ Ende vor Start",IF(AND(R665="WON",AY665=0),"⛔ Zeitraum fehlt",IF(AR665=0,"○ Einstand offen",IF(AY665=0,"○ Zeitraum offen",IF(R665="WON","✅ belegt","✔ erfasst")))))))</f>
        <v/>
      </c>
    </row>
    <row r="666" customFormat="false" ht="15" hidden="false" customHeight="true" outlineLevel="0" collapsed="false">
      <c r="G666" s="1" t="str">
        <f aca="false">IF(B666="","",IF(AY666=1,P666-O666+1,IF(AW666="","",AW666)))</f>
        <v/>
      </c>
      <c r="I666" s="270"/>
      <c r="J666" s="270"/>
      <c r="K666" s="270"/>
      <c r="L666" s="270"/>
      <c r="M666" s="270"/>
      <c r="N666" s="270"/>
      <c r="O666" s="263"/>
      <c r="P666" s="263"/>
      <c r="Q666" s="270" t="str">
        <f aca="false">IF(AND(ISNUMBER(I666),ISNUMBER(S666)),I666*AJ666,IF(OR(I666&lt;&gt;"",S666&lt;&gt;""),"tbd",""))</f>
        <v/>
      </c>
      <c r="S666" s="268"/>
      <c r="Y666" s="275" t="str">
        <f aca="false">IF(ISNUMBER(I666),I666/Netto_Faktor,"")</f>
        <v/>
      </c>
      <c r="Z666" s="275" t="str">
        <f aca="false">IF(B666="","",IF(COUNT(J666:N666)=0,"",SUM(J666:N666)))</f>
        <v/>
      </c>
      <c r="AA666" s="266"/>
      <c r="AB666" s="266"/>
      <c r="AC666" s="266"/>
      <c r="AD666" s="266"/>
      <c r="AE666" s="266"/>
      <c r="AF666" s="266"/>
      <c r="AG666" s="267"/>
      <c r="AH666" s="266" t="str">
        <f aca="false">IF(B666="","",IF(BA666="",IF(R666="WON","✅ belegt &amp; vollständig","✔ vollständig"),LEFT(BA666,LEN(BA666)-3)))</f>
        <v/>
      </c>
      <c r="AJ666" s="268" t="n">
        <f aca="false">IF(ISNUMBER(S666),IFERROR(LOOKUP(IF(S666&lt;=1,S666,S666/100),'⚖️ Wahrscheinlichkeit'!$B$17:$B$21,'⚖️ Wahrscheinlichkeit'!$D$17:$D$21),0),0)</f>
        <v>0</v>
      </c>
      <c r="AK666" s="1" t="str">
        <f aca="false">IF(AND(R666="WON",ISNUMBER(I666)),AL666+(861-ROW())*0.000001,"")</f>
        <v/>
      </c>
      <c r="AL666" s="1" t="n">
        <f aca="false">IFERROR(I666*1,0)</f>
        <v>0</v>
      </c>
      <c r="AM666" s="1" t="n">
        <f aca="false">N(AM665)+IF(AND(R666="WON",B666&lt;&gt;""),1,0)</f>
        <v>12</v>
      </c>
      <c r="AN666" s="1" t="n">
        <f aca="false">N(AN665)+IF(AND(OR(R666="offered",R666="to be offered",R666="on hold"),B666&lt;&gt;""),1,0)</f>
        <v>33</v>
      </c>
      <c r="AO666" s="1" t="n">
        <f aca="false">N(AO665)+IF(AND(OR(R666="follow-up",R666="Evaluation",R666="tbd",R666="In evaluation"),B666&lt;&gt;""),1,0)</f>
        <v>1</v>
      </c>
      <c r="AP666" s="1" t="n">
        <f aca="false">IF(B666="",0,IF(COUNTIF('⚖️ Wahrscheinlichkeit'!$J$17:$J$24,R666)&gt;0,1,0))</f>
        <v>0</v>
      </c>
      <c r="AQ666" s="1" t="n">
        <f aca="false">IF(B666="",0,IF(AND(ISNUMBER(S666),COUNTIF('⚖️ Wahrscheinlichkeit'!$B$6:$B$11,S666)&gt;0),1,0))</f>
        <v>0</v>
      </c>
      <c r="AR666" s="1" t="n">
        <f aca="false">IF(B666="",0,IF(AND(COUNT(J666:M666)=4,SUM(J666:M666)&gt;0),1,0))</f>
        <v>0</v>
      </c>
      <c r="AS666" s="1" t="n">
        <f aca="false">IF(B666="",0,IF(AND(AF666&lt;&gt;"",AG666&lt;&gt;""),1,0))</f>
        <v>0</v>
      </c>
      <c r="AT666" s="1" t="n">
        <f aca="false">IF(AND(R666="WON",AS666=1,AR666=1),1,0)</f>
        <v>0</v>
      </c>
      <c r="AU666" s="1" t="n">
        <f aca="false">IF(B666="",0,IF(AD666="Alternative – zählt nicht",0,1))</f>
        <v>0</v>
      </c>
      <c r="AV666" s="1" t="n">
        <f aca="false">IF(B666="",0,IF(COUNTIF($B$6:$B$860,B666)&gt;1,1,0))</f>
        <v>0</v>
      </c>
      <c r="AX666" s="269" t="str">
        <f aca="false">IF(AY666=1,DATE(YEAR(O666),MONTH(O666),1),"")</f>
        <v/>
      </c>
      <c r="AY666" s="1" t="n">
        <f aca="false">IF(B666="",0,IF(AND(ISNUMBER(O666),ISNUMBER(P666)),IF(P666&gt;=O666,1,0),0))</f>
        <v>0</v>
      </c>
      <c r="AZ666" s="1" t="n">
        <f aca="false">IF(ISNUMBER(Y666),Y666,0)</f>
        <v>0</v>
      </c>
      <c r="BA666" s="1" t="str">
        <f aca="false">IF(B666="","",IF(AND(R666="WON",AS666=0),"⛔ Beleg fehlt · ","")&amp;IF(AND(R666="WON",AR666=0),"⛔ Einstand fehlt · ","")&amp;IF(AND(R666&lt;&gt;"WON",AR666=0),"○ Einstand offen · ","")&amp;IF(AND(R666="WON",AB666=""),"⛔ Vertragsart fehlt · ","")&amp;IF(AND(ISNUMBER(O666),ISNUMBER(P666)),IF(P666&lt;O666,"⚠ Ende vor Start · ",""),"")&amp;IF(AND(R666="WON",AY666=0,NOT(AND(ISNUMBER(O666),ISNUMBER(P666)))),"⛔ Zeitraum fehlt · ","")&amp;IF(AND(R666&lt;&gt;"WON",AY666=0,NOT(AND(ISNUMBER(O666),ISNUMBER(P666)))),"○ Zeitraum offen · ",""))</f>
        <v/>
      </c>
      <c r="BB666" s="1" t="str">
        <f aca="false">IF(B666="","",IF(AND(R666="WON",AS666=0),"⛔ Nachweis fehlt",IF(AND(ISNUMBER(O666),ISNUMBER(P666),P666&lt;O666),"⚠ Ende vor Start",IF(AND(R666="WON",AY666=0),"⛔ Zeitraum fehlt",IF(AR666=0,"○ Einstand offen",IF(AY666=0,"○ Zeitraum offen",IF(R666="WON","✅ belegt","✔ erfasst")))))))</f>
        <v/>
      </c>
    </row>
    <row r="667" customFormat="false" ht="15" hidden="false" customHeight="true" outlineLevel="0" collapsed="false">
      <c r="G667" s="1" t="str">
        <f aca="false">IF(B667="","",IF(AY667=1,P667-O667+1,IF(AW667="","",AW667)))</f>
        <v/>
      </c>
      <c r="I667" s="270"/>
      <c r="J667" s="270"/>
      <c r="K667" s="270"/>
      <c r="L667" s="270"/>
      <c r="M667" s="270"/>
      <c r="N667" s="270"/>
      <c r="O667" s="263"/>
      <c r="P667" s="263"/>
      <c r="Q667" s="270" t="str">
        <f aca="false">IF(AND(ISNUMBER(I667),ISNUMBER(S667)),I667*AJ667,IF(OR(I667&lt;&gt;"",S667&lt;&gt;""),"tbd",""))</f>
        <v/>
      </c>
      <c r="S667" s="268"/>
      <c r="Y667" s="275" t="str">
        <f aca="false">IF(ISNUMBER(I667),I667/Netto_Faktor,"")</f>
        <v/>
      </c>
      <c r="Z667" s="275" t="str">
        <f aca="false">IF(B667="","",IF(COUNT(J667:N667)=0,"",SUM(J667:N667)))</f>
        <v/>
      </c>
      <c r="AA667" s="266"/>
      <c r="AB667" s="266"/>
      <c r="AC667" s="266"/>
      <c r="AD667" s="266"/>
      <c r="AE667" s="266"/>
      <c r="AF667" s="266"/>
      <c r="AG667" s="267"/>
      <c r="AH667" s="266" t="str">
        <f aca="false">IF(B667="","",IF(BA667="",IF(R667="WON","✅ belegt &amp; vollständig","✔ vollständig"),LEFT(BA667,LEN(BA667)-3)))</f>
        <v/>
      </c>
      <c r="AJ667" s="268" t="n">
        <f aca="false">IF(ISNUMBER(S667),IFERROR(LOOKUP(IF(S667&lt;=1,S667,S667/100),'⚖️ Wahrscheinlichkeit'!$B$17:$B$21,'⚖️ Wahrscheinlichkeit'!$D$17:$D$21),0),0)</f>
        <v>0</v>
      </c>
      <c r="AK667" s="1" t="str">
        <f aca="false">IF(AND(R667="WON",ISNUMBER(I667)),AL667+(861-ROW())*0.000001,"")</f>
        <v/>
      </c>
      <c r="AL667" s="1" t="n">
        <f aca="false">IFERROR(I667*1,0)</f>
        <v>0</v>
      </c>
      <c r="AM667" s="1" t="n">
        <f aca="false">N(AM666)+IF(AND(R667="WON",B667&lt;&gt;""),1,0)</f>
        <v>12</v>
      </c>
      <c r="AN667" s="1" t="n">
        <f aca="false">N(AN666)+IF(AND(OR(R667="offered",R667="to be offered",R667="on hold"),B667&lt;&gt;""),1,0)</f>
        <v>33</v>
      </c>
      <c r="AO667" s="1" t="n">
        <f aca="false">N(AO666)+IF(AND(OR(R667="follow-up",R667="Evaluation",R667="tbd",R667="In evaluation"),B667&lt;&gt;""),1,0)</f>
        <v>1</v>
      </c>
      <c r="AP667" s="1" t="n">
        <f aca="false">IF(B667="",0,IF(COUNTIF('⚖️ Wahrscheinlichkeit'!$J$17:$J$24,R667)&gt;0,1,0))</f>
        <v>0</v>
      </c>
      <c r="AQ667" s="1" t="n">
        <f aca="false">IF(B667="",0,IF(AND(ISNUMBER(S667),COUNTIF('⚖️ Wahrscheinlichkeit'!$B$6:$B$11,S667)&gt;0),1,0))</f>
        <v>0</v>
      </c>
      <c r="AR667" s="1" t="n">
        <f aca="false">IF(B667="",0,IF(AND(COUNT(J667:M667)=4,SUM(J667:M667)&gt;0),1,0))</f>
        <v>0</v>
      </c>
      <c r="AS667" s="1" t="n">
        <f aca="false">IF(B667="",0,IF(AND(AF667&lt;&gt;"",AG667&lt;&gt;""),1,0))</f>
        <v>0</v>
      </c>
      <c r="AT667" s="1" t="n">
        <f aca="false">IF(AND(R667="WON",AS667=1,AR667=1),1,0)</f>
        <v>0</v>
      </c>
      <c r="AU667" s="1" t="n">
        <f aca="false">IF(B667="",0,IF(AD667="Alternative – zählt nicht",0,1))</f>
        <v>0</v>
      </c>
      <c r="AV667" s="1" t="n">
        <f aca="false">IF(B667="",0,IF(COUNTIF($B$6:$B$860,B667)&gt;1,1,0))</f>
        <v>0</v>
      </c>
      <c r="AX667" s="269" t="str">
        <f aca="false">IF(AY667=1,DATE(YEAR(O667),MONTH(O667),1),"")</f>
        <v/>
      </c>
      <c r="AY667" s="1" t="n">
        <f aca="false">IF(B667="",0,IF(AND(ISNUMBER(O667),ISNUMBER(P667)),IF(P667&gt;=O667,1,0),0))</f>
        <v>0</v>
      </c>
      <c r="AZ667" s="1" t="n">
        <f aca="false">IF(ISNUMBER(Y667),Y667,0)</f>
        <v>0</v>
      </c>
      <c r="BA667" s="1" t="str">
        <f aca="false">IF(B667="","",IF(AND(R667="WON",AS667=0),"⛔ Beleg fehlt · ","")&amp;IF(AND(R667="WON",AR667=0),"⛔ Einstand fehlt · ","")&amp;IF(AND(R667&lt;&gt;"WON",AR667=0),"○ Einstand offen · ","")&amp;IF(AND(R667="WON",AB667=""),"⛔ Vertragsart fehlt · ","")&amp;IF(AND(ISNUMBER(O667),ISNUMBER(P667)),IF(P667&lt;O667,"⚠ Ende vor Start · ",""),"")&amp;IF(AND(R667="WON",AY667=0,NOT(AND(ISNUMBER(O667),ISNUMBER(P667)))),"⛔ Zeitraum fehlt · ","")&amp;IF(AND(R667&lt;&gt;"WON",AY667=0,NOT(AND(ISNUMBER(O667),ISNUMBER(P667)))),"○ Zeitraum offen · ",""))</f>
        <v/>
      </c>
      <c r="BB667" s="1" t="str">
        <f aca="false">IF(B667="","",IF(AND(R667="WON",AS667=0),"⛔ Nachweis fehlt",IF(AND(ISNUMBER(O667),ISNUMBER(P667),P667&lt;O667),"⚠ Ende vor Start",IF(AND(R667="WON",AY667=0),"⛔ Zeitraum fehlt",IF(AR667=0,"○ Einstand offen",IF(AY667=0,"○ Zeitraum offen",IF(R667="WON","✅ belegt","✔ erfasst")))))))</f>
        <v/>
      </c>
    </row>
    <row r="668" customFormat="false" ht="15" hidden="false" customHeight="true" outlineLevel="0" collapsed="false">
      <c r="G668" s="1" t="str">
        <f aca="false">IF(B668="","",IF(AY668=1,P668-O668+1,IF(AW668="","",AW668)))</f>
        <v/>
      </c>
      <c r="I668" s="270"/>
      <c r="J668" s="270"/>
      <c r="K668" s="270"/>
      <c r="L668" s="270"/>
      <c r="M668" s="270"/>
      <c r="N668" s="270"/>
      <c r="O668" s="263"/>
      <c r="P668" s="263"/>
      <c r="Q668" s="270" t="str">
        <f aca="false">IF(AND(ISNUMBER(I668),ISNUMBER(S668)),I668*AJ668,IF(OR(I668&lt;&gt;"",S668&lt;&gt;""),"tbd",""))</f>
        <v/>
      </c>
      <c r="S668" s="268"/>
      <c r="Y668" s="275" t="str">
        <f aca="false">IF(ISNUMBER(I668),I668/Netto_Faktor,"")</f>
        <v/>
      </c>
      <c r="Z668" s="275" t="str">
        <f aca="false">IF(B668="","",IF(COUNT(J668:N668)=0,"",SUM(J668:N668)))</f>
        <v/>
      </c>
      <c r="AA668" s="266"/>
      <c r="AB668" s="266"/>
      <c r="AC668" s="266"/>
      <c r="AD668" s="266"/>
      <c r="AE668" s="266"/>
      <c r="AF668" s="266"/>
      <c r="AG668" s="267"/>
      <c r="AH668" s="266" t="str">
        <f aca="false">IF(B668="","",IF(BA668="",IF(R668="WON","✅ belegt &amp; vollständig","✔ vollständig"),LEFT(BA668,LEN(BA668)-3)))</f>
        <v/>
      </c>
      <c r="AJ668" s="268" t="n">
        <f aca="false">IF(ISNUMBER(S668),IFERROR(LOOKUP(IF(S668&lt;=1,S668,S668/100),'⚖️ Wahrscheinlichkeit'!$B$17:$B$21,'⚖️ Wahrscheinlichkeit'!$D$17:$D$21),0),0)</f>
        <v>0</v>
      </c>
      <c r="AK668" s="1" t="str">
        <f aca="false">IF(AND(R668="WON",ISNUMBER(I668)),AL668+(861-ROW())*0.000001,"")</f>
        <v/>
      </c>
      <c r="AL668" s="1" t="n">
        <f aca="false">IFERROR(I668*1,0)</f>
        <v>0</v>
      </c>
      <c r="AM668" s="1" t="n">
        <f aca="false">N(AM667)+IF(AND(R668="WON",B668&lt;&gt;""),1,0)</f>
        <v>12</v>
      </c>
      <c r="AN668" s="1" t="n">
        <f aca="false">N(AN667)+IF(AND(OR(R668="offered",R668="to be offered",R668="on hold"),B668&lt;&gt;""),1,0)</f>
        <v>33</v>
      </c>
      <c r="AO668" s="1" t="n">
        <f aca="false">N(AO667)+IF(AND(OR(R668="follow-up",R668="Evaluation",R668="tbd",R668="In evaluation"),B668&lt;&gt;""),1,0)</f>
        <v>1</v>
      </c>
      <c r="AP668" s="1" t="n">
        <f aca="false">IF(B668="",0,IF(COUNTIF('⚖️ Wahrscheinlichkeit'!$J$17:$J$24,R668)&gt;0,1,0))</f>
        <v>0</v>
      </c>
      <c r="AQ668" s="1" t="n">
        <f aca="false">IF(B668="",0,IF(AND(ISNUMBER(S668),COUNTIF('⚖️ Wahrscheinlichkeit'!$B$6:$B$11,S668)&gt;0),1,0))</f>
        <v>0</v>
      </c>
      <c r="AR668" s="1" t="n">
        <f aca="false">IF(B668="",0,IF(AND(COUNT(J668:M668)=4,SUM(J668:M668)&gt;0),1,0))</f>
        <v>0</v>
      </c>
      <c r="AS668" s="1" t="n">
        <f aca="false">IF(B668="",0,IF(AND(AF668&lt;&gt;"",AG668&lt;&gt;""),1,0))</f>
        <v>0</v>
      </c>
      <c r="AT668" s="1" t="n">
        <f aca="false">IF(AND(R668="WON",AS668=1,AR668=1),1,0)</f>
        <v>0</v>
      </c>
      <c r="AU668" s="1" t="n">
        <f aca="false">IF(B668="",0,IF(AD668="Alternative – zählt nicht",0,1))</f>
        <v>0</v>
      </c>
      <c r="AV668" s="1" t="n">
        <f aca="false">IF(B668="",0,IF(COUNTIF($B$6:$B$860,B668)&gt;1,1,0))</f>
        <v>0</v>
      </c>
      <c r="AX668" s="269" t="str">
        <f aca="false">IF(AY668=1,DATE(YEAR(O668),MONTH(O668),1),"")</f>
        <v/>
      </c>
      <c r="AY668" s="1" t="n">
        <f aca="false">IF(B668="",0,IF(AND(ISNUMBER(O668),ISNUMBER(P668)),IF(P668&gt;=O668,1,0),0))</f>
        <v>0</v>
      </c>
      <c r="AZ668" s="1" t="n">
        <f aca="false">IF(ISNUMBER(Y668),Y668,0)</f>
        <v>0</v>
      </c>
      <c r="BA668" s="1" t="str">
        <f aca="false">IF(B668="","",IF(AND(R668="WON",AS668=0),"⛔ Beleg fehlt · ","")&amp;IF(AND(R668="WON",AR668=0),"⛔ Einstand fehlt · ","")&amp;IF(AND(R668&lt;&gt;"WON",AR668=0),"○ Einstand offen · ","")&amp;IF(AND(R668="WON",AB668=""),"⛔ Vertragsart fehlt · ","")&amp;IF(AND(ISNUMBER(O668),ISNUMBER(P668)),IF(P668&lt;O668,"⚠ Ende vor Start · ",""),"")&amp;IF(AND(R668="WON",AY668=0,NOT(AND(ISNUMBER(O668),ISNUMBER(P668)))),"⛔ Zeitraum fehlt · ","")&amp;IF(AND(R668&lt;&gt;"WON",AY668=0,NOT(AND(ISNUMBER(O668),ISNUMBER(P668)))),"○ Zeitraum offen · ",""))</f>
        <v/>
      </c>
      <c r="BB668" s="1" t="str">
        <f aca="false">IF(B668="","",IF(AND(R668="WON",AS668=0),"⛔ Nachweis fehlt",IF(AND(ISNUMBER(O668),ISNUMBER(P668),P668&lt;O668),"⚠ Ende vor Start",IF(AND(R668="WON",AY668=0),"⛔ Zeitraum fehlt",IF(AR668=0,"○ Einstand offen",IF(AY668=0,"○ Zeitraum offen",IF(R668="WON","✅ belegt","✔ erfasst")))))))</f>
        <v/>
      </c>
    </row>
    <row r="669" customFormat="false" ht="15" hidden="false" customHeight="true" outlineLevel="0" collapsed="false">
      <c r="G669" s="1" t="str">
        <f aca="false">IF(B669="","",IF(AY669=1,P669-O669+1,IF(AW669="","",AW669)))</f>
        <v/>
      </c>
      <c r="I669" s="270"/>
      <c r="J669" s="270"/>
      <c r="K669" s="270"/>
      <c r="L669" s="270"/>
      <c r="M669" s="270"/>
      <c r="N669" s="270"/>
      <c r="O669" s="263"/>
      <c r="P669" s="263"/>
      <c r="Q669" s="270" t="str">
        <f aca="false">IF(AND(ISNUMBER(I669),ISNUMBER(S669)),I669*AJ669,IF(OR(I669&lt;&gt;"",S669&lt;&gt;""),"tbd",""))</f>
        <v/>
      </c>
      <c r="S669" s="268"/>
      <c r="Y669" s="275" t="str">
        <f aca="false">IF(ISNUMBER(I669),I669/Netto_Faktor,"")</f>
        <v/>
      </c>
      <c r="Z669" s="275" t="str">
        <f aca="false">IF(B669="","",IF(COUNT(J669:N669)=0,"",SUM(J669:N669)))</f>
        <v/>
      </c>
      <c r="AA669" s="266"/>
      <c r="AB669" s="266"/>
      <c r="AC669" s="266"/>
      <c r="AD669" s="266"/>
      <c r="AE669" s="266"/>
      <c r="AF669" s="266"/>
      <c r="AG669" s="267"/>
      <c r="AH669" s="266" t="str">
        <f aca="false">IF(B669="","",IF(BA669="",IF(R669="WON","✅ belegt &amp; vollständig","✔ vollständig"),LEFT(BA669,LEN(BA669)-3)))</f>
        <v/>
      </c>
      <c r="AJ669" s="268" t="n">
        <f aca="false">IF(ISNUMBER(S669),IFERROR(LOOKUP(IF(S669&lt;=1,S669,S669/100),'⚖️ Wahrscheinlichkeit'!$B$17:$B$21,'⚖️ Wahrscheinlichkeit'!$D$17:$D$21),0),0)</f>
        <v>0</v>
      </c>
      <c r="AK669" s="1" t="str">
        <f aca="false">IF(AND(R669="WON",ISNUMBER(I669)),AL669+(861-ROW())*0.000001,"")</f>
        <v/>
      </c>
      <c r="AL669" s="1" t="n">
        <f aca="false">IFERROR(I669*1,0)</f>
        <v>0</v>
      </c>
      <c r="AM669" s="1" t="n">
        <f aca="false">N(AM668)+IF(AND(R669="WON",B669&lt;&gt;""),1,0)</f>
        <v>12</v>
      </c>
      <c r="AN669" s="1" t="n">
        <f aca="false">N(AN668)+IF(AND(OR(R669="offered",R669="to be offered",R669="on hold"),B669&lt;&gt;""),1,0)</f>
        <v>33</v>
      </c>
      <c r="AO669" s="1" t="n">
        <f aca="false">N(AO668)+IF(AND(OR(R669="follow-up",R669="Evaluation",R669="tbd",R669="In evaluation"),B669&lt;&gt;""),1,0)</f>
        <v>1</v>
      </c>
      <c r="AP669" s="1" t="n">
        <f aca="false">IF(B669="",0,IF(COUNTIF('⚖️ Wahrscheinlichkeit'!$J$17:$J$24,R669)&gt;0,1,0))</f>
        <v>0</v>
      </c>
      <c r="AQ669" s="1" t="n">
        <f aca="false">IF(B669="",0,IF(AND(ISNUMBER(S669),COUNTIF('⚖️ Wahrscheinlichkeit'!$B$6:$B$11,S669)&gt;0),1,0))</f>
        <v>0</v>
      </c>
      <c r="AR669" s="1" t="n">
        <f aca="false">IF(B669="",0,IF(AND(COUNT(J669:M669)=4,SUM(J669:M669)&gt;0),1,0))</f>
        <v>0</v>
      </c>
      <c r="AS669" s="1" t="n">
        <f aca="false">IF(B669="",0,IF(AND(AF669&lt;&gt;"",AG669&lt;&gt;""),1,0))</f>
        <v>0</v>
      </c>
      <c r="AT669" s="1" t="n">
        <f aca="false">IF(AND(R669="WON",AS669=1,AR669=1),1,0)</f>
        <v>0</v>
      </c>
      <c r="AU669" s="1" t="n">
        <f aca="false">IF(B669="",0,IF(AD669="Alternative – zählt nicht",0,1))</f>
        <v>0</v>
      </c>
      <c r="AV669" s="1" t="n">
        <f aca="false">IF(B669="",0,IF(COUNTIF($B$6:$B$860,B669)&gt;1,1,0))</f>
        <v>0</v>
      </c>
      <c r="AX669" s="269" t="str">
        <f aca="false">IF(AY669=1,DATE(YEAR(O669),MONTH(O669),1),"")</f>
        <v/>
      </c>
      <c r="AY669" s="1" t="n">
        <f aca="false">IF(B669="",0,IF(AND(ISNUMBER(O669),ISNUMBER(P669)),IF(P669&gt;=O669,1,0),0))</f>
        <v>0</v>
      </c>
      <c r="AZ669" s="1" t="n">
        <f aca="false">IF(ISNUMBER(Y669),Y669,0)</f>
        <v>0</v>
      </c>
      <c r="BA669" s="1" t="str">
        <f aca="false">IF(B669="","",IF(AND(R669="WON",AS669=0),"⛔ Beleg fehlt · ","")&amp;IF(AND(R669="WON",AR669=0),"⛔ Einstand fehlt · ","")&amp;IF(AND(R669&lt;&gt;"WON",AR669=0),"○ Einstand offen · ","")&amp;IF(AND(R669="WON",AB669=""),"⛔ Vertragsart fehlt · ","")&amp;IF(AND(ISNUMBER(O669),ISNUMBER(P669)),IF(P669&lt;O669,"⚠ Ende vor Start · ",""),"")&amp;IF(AND(R669="WON",AY669=0,NOT(AND(ISNUMBER(O669),ISNUMBER(P669)))),"⛔ Zeitraum fehlt · ","")&amp;IF(AND(R669&lt;&gt;"WON",AY669=0,NOT(AND(ISNUMBER(O669),ISNUMBER(P669)))),"○ Zeitraum offen · ",""))</f>
        <v/>
      </c>
      <c r="BB669" s="1" t="str">
        <f aca="false">IF(B669="","",IF(AND(R669="WON",AS669=0),"⛔ Nachweis fehlt",IF(AND(ISNUMBER(O669),ISNUMBER(P669),P669&lt;O669),"⚠ Ende vor Start",IF(AND(R669="WON",AY669=0),"⛔ Zeitraum fehlt",IF(AR669=0,"○ Einstand offen",IF(AY669=0,"○ Zeitraum offen",IF(R669="WON","✅ belegt","✔ erfasst")))))))</f>
        <v/>
      </c>
    </row>
    <row r="670" customFormat="false" ht="15" hidden="false" customHeight="true" outlineLevel="0" collapsed="false">
      <c r="G670" s="1" t="str">
        <f aca="false">IF(B670="","",IF(AY670=1,P670-O670+1,IF(AW670="","",AW670)))</f>
        <v/>
      </c>
      <c r="I670" s="270"/>
      <c r="J670" s="270"/>
      <c r="K670" s="270"/>
      <c r="L670" s="270"/>
      <c r="M670" s="270"/>
      <c r="N670" s="270"/>
      <c r="O670" s="263"/>
      <c r="P670" s="263"/>
      <c r="Q670" s="270" t="str">
        <f aca="false">IF(AND(ISNUMBER(I670),ISNUMBER(S670)),I670*AJ670,IF(OR(I670&lt;&gt;"",S670&lt;&gt;""),"tbd",""))</f>
        <v/>
      </c>
      <c r="S670" s="268"/>
      <c r="Y670" s="275" t="str">
        <f aca="false">IF(ISNUMBER(I670),I670/Netto_Faktor,"")</f>
        <v/>
      </c>
      <c r="Z670" s="275" t="str">
        <f aca="false">IF(B670="","",IF(COUNT(J670:N670)=0,"",SUM(J670:N670)))</f>
        <v/>
      </c>
      <c r="AA670" s="266"/>
      <c r="AB670" s="266"/>
      <c r="AC670" s="266"/>
      <c r="AD670" s="266"/>
      <c r="AE670" s="266"/>
      <c r="AF670" s="266"/>
      <c r="AG670" s="267"/>
      <c r="AH670" s="266" t="str">
        <f aca="false">IF(B670="","",IF(BA670="",IF(R670="WON","✅ belegt &amp; vollständig","✔ vollständig"),LEFT(BA670,LEN(BA670)-3)))</f>
        <v/>
      </c>
      <c r="AJ670" s="268" t="n">
        <f aca="false">IF(ISNUMBER(S670),IFERROR(LOOKUP(IF(S670&lt;=1,S670,S670/100),'⚖️ Wahrscheinlichkeit'!$B$17:$B$21,'⚖️ Wahrscheinlichkeit'!$D$17:$D$21),0),0)</f>
        <v>0</v>
      </c>
      <c r="AK670" s="1" t="str">
        <f aca="false">IF(AND(R670="WON",ISNUMBER(I670)),AL670+(861-ROW())*0.000001,"")</f>
        <v/>
      </c>
      <c r="AL670" s="1" t="n">
        <f aca="false">IFERROR(I670*1,0)</f>
        <v>0</v>
      </c>
      <c r="AM670" s="1" t="n">
        <f aca="false">N(AM669)+IF(AND(R670="WON",B670&lt;&gt;""),1,0)</f>
        <v>12</v>
      </c>
      <c r="AN670" s="1" t="n">
        <f aca="false">N(AN669)+IF(AND(OR(R670="offered",R670="to be offered",R670="on hold"),B670&lt;&gt;""),1,0)</f>
        <v>33</v>
      </c>
      <c r="AO670" s="1" t="n">
        <f aca="false">N(AO669)+IF(AND(OR(R670="follow-up",R670="Evaluation",R670="tbd",R670="In evaluation"),B670&lt;&gt;""),1,0)</f>
        <v>1</v>
      </c>
      <c r="AP670" s="1" t="n">
        <f aca="false">IF(B670="",0,IF(COUNTIF('⚖️ Wahrscheinlichkeit'!$J$17:$J$24,R670)&gt;0,1,0))</f>
        <v>0</v>
      </c>
      <c r="AQ670" s="1" t="n">
        <f aca="false">IF(B670="",0,IF(AND(ISNUMBER(S670),COUNTIF('⚖️ Wahrscheinlichkeit'!$B$6:$B$11,S670)&gt;0),1,0))</f>
        <v>0</v>
      </c>
      <c r="AR670" s="1" t="n">
        <f aca="false">IF(B670="",0,IF(AND(COUNT(J670:M670)=4,SUM(J670:M670)&gt;0),1,0))</f>
        <v>0</v>
      </c>
      <c r="AS670" s="1" t="n">
        <f aca="false">IF(B670="",0,IF(AND(AF670&lt;&gt;"",AG670&lt;&gt;""),1,0))</f>
        <v>0</v>
      </c>
      <c r="AT670" s="1" t="n">
        <f aca="false">IF(AND(R670="WON",AS670=1,AR670=1),1,0)</f>
        <v>0</v>
      </c>
      <c r="AU670" s="1" t="n">
        <f aca="false">IF(B670="",0,IF(AD670="Alternative – zählt nicht",0,1))</f>
        <v>0</v>
      </c>
      <c r="AV670" s="1" t="n">
        <f aca="false">IF(B670="",0,IF(COUNTIF($B$6:$B$860,B670)&gt;1,1,0))</f>
        <v>0</v>
      </c>
      <c r="AX670" s="269" t="str">
        <f aca="false">IF(AY670=1,DATE(YEAR(O670),MONTH(O670),1),"")</f>
        <v/>
      </c>
      <c r="AY670" s="1" t="n">
        <f aca="false">IF(B670="",0,IF(AND(ISNUMBER(O670),ISNUMBER(P670)),IF(P670&gt;=O670,1,0),0))</f>
        <v>0</v>
      </c>
      <c r="AZ670" s="1" t="n">
        <f aca="false">IF(ISNUMBER(Y670),Y670,0)</f>
        <v>0</v>
      </c>
      <c r="BA670" s="1" t="str">
        <f aca="false">IF(B670="","",IF(AND(R670="WON",AS670=0),"⛔ Beleg fehlt · ","")&amp;IF(AND(R670="WON",AR670=0),"⛔ Einstand fehlt · ","")&amp;IF(AND(R670&lt;&gt;"WON",AR670=0),"○ Einstand offen · ","")&amp;IF(AND(R670="WON",AB670=""),"⛔ Vertragsart fehlt · ","")&amp;IF(AND(ISNUMBER(O670),ISNUMBER(P670)),IF(P670&lt;O670,"⚠ Ende vor Start · ",""),"")&amp;IF(AND(R670="WON",AY670=0,NOT(AND(ISNUMBER(O670),ISNUMBER(P670)))),"⛔ Zeitraum fehlt · ","")&amp;IF(AND(R670&lt;&gt;"WON",AY670=0,NOT(AND(ISNUMBER(O670),ISNUMBER(P670)))),"○ Zeitraum offen · ",""))</f>
        <v/>
      </c>
      <c r="BB670" s="1" t="str">
        <f aca="false">IF(B670="","",IF(AND(R670="WON",AS670=0),"⛔ Nachweis fehlt",IF(AND(ISNUMBER(O670),ISNUMBER(P670),P670&lt;O670),"⚠ Ende vor Start",IF(AND(R670="WON",AY670=0),"⛔ Zeitraum fehlt",IF(AR670=0,"○ Einstand offen",IF(AY670=0,"○ Zeitraum offen",IF(R670="WON","✅ belegt","✔ erfasst")))))))</f>
        <v/>
      </c>
    </row>
    <row r="671" customFormat="false" ht="15" hidden="false" customHeight="true" outlineLevel="0" collapsed="false">
      <c r="G671" s="1" t="str">
        <f aca="false">IF(B671="","",IF(AY671=1,P671-O671+1,IF(AW671="","",AW671)))</f>
        <v/>
      </c>
      <c r="I671" s="270"/>
      <c r="J671" s="270"/>
      <c r="K671" s="270"/>
      <c r="L671" s="270"/>
      <c r="M671" s="270"/>
      <c r="N671" s="270"/>
      <c r="O671" s="263"/>
      <c r="P671" s="263"/>
      <c r="Q671" s="270" t="str">
        <f aca="false">IF(AND(ISNUMBER(I671),ISNUMBER(S671)),I671*AJ671,IF(OR(I671&lt;&gt;"",S671&lt;&gt;""),"tbd",""))</f>
        <v/>
      </c>
      <c r="S671" s="268"/>
      <c r="Y671" s="275" t="str">
        <f aca="false">IF(ISNUMBER(I671),I671/Netto_Faktor,"")</f>
        <v/>
      </c>
      <c r="Z671" s="275" t="str">
        <f aca="false">IF(B671="","",IF(COUNT(J671:N671)=0,"",SUM(J671:N671)))</f>
        <v/>
      </c>
      <c r="AA671" s="266"/>
      <c r="AB671" s="266"/>
      <c r="AC671" s="266"/>
      <c r="AD671" s="266"/>
      <c r="AE671" s="266"/>
      <c r="AF671" s="266"/>
      <c r="AG671" s="267"/>
      <c r="AH671" s="266" t="str">
        <f aca="false">IF(B671="","",IF(BA671="",IF(R671="WON","✅ belegt &amp; vollständig","✔ vollständig"),LEFT(BA671,LEN(BA671)-3)))</f>
        <v/>
      </c>
      <c r="AJ671" s="268" t="n">
        <f aca="false">IF(ISNUMBER(S671),IFERROR(LOOKUP(IF(S671&lt;=1,S671,S671/100),'⚖️ Wahrscheinlichkeit'!$B$17:$B$21,'⚖️ Wahrscheinlichkeit'!$D$17:$D$21),0),0)</f>
        <v>0</v>
      </c>
      <c r="AK671" s="1" t="str">
        <f aca="false">IF(AND(R671="WON",ISNUMBER(I671)),AL671+(861-ROW())*0.000001,"")</f>
        <v/>
      </c>
      <c r="AL671" s="1" t="n">
        <f aca="false">IFERROR(I671*1,0)</f>
        <v>0</v>
      </c>
      <c r="AM671" s="1" t="n">
        <f aca="false">N(AM670)+IF(AND(R671="WON",B671&lt;&gt;""),1,0)</f>
        <v>12</v>
      </c>
      <c r="AN671" s="1" t="n">
        <f aca="false">N(AN670)+IF(AND(OR(R671="offered",R671="to be offered",R671="on hold"),B671&lt;&gt;""),1,0)</f>
        <v>33</v>
      </c>
      <c r="AO671" s="1" t="n">
        <f aca="false">N(AO670)+IF(AND(OR(R671="follow-up",R671="Evaluation",R671="tbd",R671="In evaluation"),B671&lt;&gt;""),1,0)</f>
        <v>1</v>
      </c>
      <c r="AP671" s="1" t="n">
        <f aca="false">IF(B671="",0,IF(COUNTIF('⚖️ Wahrscheinlichkeit'!$J$17:$J$24,R671)&gt;0,1,0))</f>
        <v>0</v>
      </c>
      <c r="AQ671" s="1" t="n">
        <f aca="false">IF(B671="",0,IF(AND(ISNUMBER(S671),COUNTIF('⚖️ Wahrscheinlichkeit'!$B$6:$B$11,S671)&gt;0),1,0))</f>
        <v>0</v>
      </c>
      <c r="AR671" s="1" t="n">
        <f aca="false">IF(B671="",0,IF(AND(COUNT(J671:M671)=4,SUM(J671:M671)&gt;0),1,0))</f>
        <v>0</v>
      </c>
      <c r="AS671" s="1" t="n">
        <f aca="false">IF(B671="",0,IF(AND(AF671&lt;&gt;"",AG671&lt;&gt;""),1,0))</f>
        <v>0</v>
      </c>
      <c r="AT671" s="1" t="n">
        <f aca="false">IF(AND(R671="WON",AS671=1,AR671=1),1,0)</f>
        <v>0</v>
      </c>
      <c r="AU671" s="1" t="n">
        <f aca="false">IF(B671="",0,IF(AD671="Alternative – zählt nicht",0,1))</f>
        <v>0</v>
      </c>
      <c r="AV671" s="1" t="n">
        <f aca="false">IF(B671="",0,IF(COUNTIF($B$6:$B$860,B671)&gt;1,1,0))</f>
        <v>0</v>
      </c>
      <c r="AX671" s="269" t="str">
        <f aca="false">IF(AY671=1,DATE(YEAR(O671),MONTH(O671),1),"")</f>
        <v/>
      </c>
      <c r="AY671" s="1" t="n">
        <f aca="false">IF(B671="",0,IF(AND(ISNUMBER(O671),ISNUMBER(P671)),IF(P671&gt;=O671,1,0),0))</f>
        <v>0</v>
      </c>
      <c r="AZ671" s="1" t="n">
        <f aca="false">IF(ISNUMBER(Y671),Y671,0)</f>
        <v>0</v>
      </c>
      <c r="BA671" s="1" t="str">
        <f aca="false">IF(B671="","",IF(AND(R671="WON",AS671=0),"⛔ Beleg fehlt · ","")&amp;IF(AND(R671="WON",AR671=0),"⛔ Einstand fehlt · ","")&amp;IF(AND(R671&lt;&gt;"WON",AR671=0),"○ Einstand offen · ","")&amp;IF(AND(R671="WON",AB671=""),"⛔ Vertragsart fehlt · ","")&amp;IF(AND(ISNUMBER(O671),ISNUMBER(P671)),IF(P671&lt;O671,"⚠ Ende vor Start · ",""),"")&amp;IF(AND(R671="WON",AY671=0,NOT(AND(ISNUMBER(O671),ISNUMBER(P671)))),"⛔ Zeitraum fehlt · ","")&amp;IF(AND(R671&lt;&gt;"WON",AY671=0,NOT(AND(ISNUMBER(O671),ISNUMBER(P671)))),"○ Zeitraum offen · ",""))</f>
        <v/>
      </c>
      <c r="BB671" s="1" t="str">
        <f aca="false">IF(B671="","",IF(AND(R671="WON",AS671=0),"⛔ Nachweis fehlt",IF(AND(ISNUMBER(O671),ISNUMBER(P671),P671&lt;O671),"⚠ Ende vor Start",IF(AND(R671="WON",AY671=0),"⛔ Zeitraum fehlt",IF(AR671=0,"○ Einstand offen",IF(AY671=0,"○ Zeitraum offen",IF(R671="WON","✅ belegt","✔ erfasst")))))))</f>
        <v/>
      </c>
    </row>
    <row r="672" customFormat="false" ht="15" hidden="false" customHeight="true" outlineLevel="0" collapsed="false">
      <c r="G672" s="1" t="str">
        <f aca="false">IF(B672="","",IF(AY672=1,P672-O672+1,IF(AW672="","",AW672)))</f>
        <v/>
      </c>
      <c r="I672" s="270"/>
      <c r="J672" s="270"/>
      <c r="K672" s="270"/>
      <c r="L672" s="270"/>
      <c r="M672" s="270"/>
      <c r="N672" s="270"/>
      <c r="O672" s="263"/>
      <c r="P672" s="263"/>
      <c r="Q672" s="270" t="str">
        <f aca="false">IF(AND(ISNUMBER(I672),ISNUMBER(S672)),I672*AJ672,IF(OR(I672&lt;&gt;"",S672&lt;&gt;""),"tbd",""))</f>
        <v/>
      </c>
      <c r="S672" s="268"/>
      <c r="Y672" s="275" t="str">
        <f aca="false">IF(ISNUMBER(I672),I672/Netto_Faktor,"")</f>
        <v/>
      </c>
      <c r="Z672" s="275" t="str">
        <f aca="false">IF(B672="","",IF(COUNT(J672:N672)=0,"",SUM(J672:N672)))</f>
        <v/>
      </c>
      <c r="AA672" s="266"/>
      <c r="AB672" s="266"/>
      <c r="AC672" s="266"/>
      <c r="AD672" s="266"/>
      <c r="AE672" s="266"/>
      <c r="AF672" s="266"/>
      <c r="AG672" s="267"/>
      <c r="AH672" s="266" t="str">
        <f aca="false">IF(B672="","",IF(BA672="",IF(R672="WON","✅ belegt &amp; vollständig","✔ vollständig"),LEFT(BA672,LEN(BA672)-3)))</f>
        <v/>
      </c>
      <c r="AJ672" s="268" t="n">
        <f aca="false">IF(ISNUMBER(S672),IFERROR(LOOKUP(IF(S672&lt;=1,S672,S672/100),'⚖️ Wahrscheinlichkeit'!$B$17:$B$21,'⚖️ Wahrscheinlichkeit'!$D$17:$D$21),0),0)</f>
        <v>0</v>
      </c>
      <c r="AK672" s="1" t="str">
        <f aca="false">IF(AND(R672="WON",ISNUMBER(I672)),AL672+(861-ROW())*0.000001,"")</f>
        <v/>
      </c>
      <c r="AL672" s="1" t="n">
        <f aca="false">IFERROR(I672*1,0)</f>
        <v>0</v>
      </c>
      <c r="AM672" s="1" t="n">
        <f aca="false">N(AM671)+IF(AND(R672="WON",B672&lt;&gt;""),1,0)</f>
        <v>12</v>
      </c>
      <c r="AN672" s="1" t="n">
        <f aca="false">N(AN671)+IF(AND(OR(R672="offered",R672="to be offered",R672="on hold"),B672&lt;&gt;""),1,0)</f>
        <v>33</v>
      </c>
      <c r="AO672" s="1" t="n">
        <f aca="false">N(AO671)+IF(AND(OR(R672="follow-up",R672="Evaluation",R672="tbd",R672="In evaluation"),B672&lt;&gt;""),1,0)</f>
        <v>1</v>
      </c>
      <c r="AP672" s="1" t="n">
        <f aca="false">IF(B672="",0,IF(COUNTIF('⚖️ Wahrscheinlichkeit'!$J$17:$J$24,R672)&gt;0,1,0))</f>
        <v>0</v>
      </c>
      <c r="AQ672" s="1" t="n">
        <f aca="false">IF(B672="",0,IF(AND(ISNUMBER(S672),COUNTIF('⚖️ Wahrscheinlichkeit'!$B$6:$B$11,S672)&gt;0),1,0))</f>
        <v>0</v>
      </c>
      <c r="AR672" s="1" t="n">
        <f aca="false">IF(B672="",0,IF(AND(COUNT(J672:M672)=4,SUM(J672:M672)&gt;0),1,0))</f>
        <v>0</v>
      </c>
      <c r="AS672" s="1" t="n">
        <f aca="false">IF(B672="",0,IF(AND(AF672&lt;&gt;"",AG672&lt;&gt;""),1,0))</f>
        <v>0</v>
      </c>
      <c r="AT672" s="1" t="n">
        <f aca="false">IF(AND(R672="WON",AS672=1,AR672=1),1,0)</f>
        <v>0</v>
      </c>
      <c r="AU672" s="1" t="n">
        <f aca="false">IF(B672="",0,IF(AD672="Alternative – zählt nicht",0,1))</f>
        <v>0</v>
      </c>
      <c r="AV672" s="1" t="n">
        <f aca="false">IF(B672="",0,IF(COUNTIF($B$6:$B$860,B672)&gt;1,1,0))</f>
        <v>0</v>
      </c>
      <c r="AX672" s="269" t="str">
        <f aca="false">IF(AY672=1,DATE(YEAR(O672),MONTH(O672),1),"")</f>
        <v/>
      </c>
      <c r="AY672" s="1" t="n">
        <f aca="false">IF(B672="",0,IF(AND(ISNUMBER(O672),ISNUMBER(P672)),IF(P672&gt;=O672,1,0),0))</f>
        <v>0</v>
      </c>
      <c r="AZ672" s="1" t="n">
        <f aca="false">IF(ISNUMBER(Y672),Y672,0)</f>
        <v>0</v>
      </c>
      <c r="BA672" s="1" t="str">
        <f aca="false">IF(B672="","",IF(AND(R672="WON",AS672=0),"⛔ Beleg fehlt · ","")&amp;IF(AND(R672="WON",AR672=0),"⛔ Einstand fehlt · ","")&amp;IF(AND(R672&lt;&gt;"WON",AR672=0),"○ Einstand offen · ","")&amp;IF(AND(R672="WON",AB672=""),"⛔ Vertragsart fehlt · ","")&amp;IF(AND(ISNUMBER(O672),ISNUMBER(P672)),IF(P672&lt;O672,"⚠ Ende vor Start · ",""),"")&amp;IF(AND(R672="WON",AY672=0,NOT(AND(ISNUMBER(O672),ISNUMBER(P672)))),"⛔ Zeitraum fehlt · ","")&amp;IF(AND(R672&lt;&gt;"WON",AY672=0,NOT(AND(ISNUMBER(O672),ISNUMBER(P672)))),"○ Zeitraum offen · ",""))</f>
        <v/>
      </c>
      <c r="BB672" s="1" t="str">
        <f aca="false">IF(B672="","",IF(AND(R672="WON",AS672=0),"⛔ Nachweis fehlt",IF(AND(ISNUMBER(O672),ISNUMBER(P672),P672&lt;O672),"⚠ Ende vor Start",IF(AND(R672="WON",AY672=0),"⛔ Zeitraum fehlt",IF(AR672=0,"○ Einstand offen",IF(AY672=0,"○ Zeitraum offen",IF(R672="WON","✅ belegt","✔ erfasst")))))))</f>
        <v/>
      </c>
    </row>
    <row r="673" customFormat="false" ht="15" hidden="false" customHeight="true" outlineLevel="0" collapsed="false">
      <c r="G673" s="1" t="str">
        <f aca="false">IF(B673="","",IF(AY673=1,P673-O673+1,IF(AW673="","",AW673)))</f>
        <v/>
      </c>
      <c r="I673" s="270"/>
      <c r="J673" s="270"/>
      <c r="K673" s="270"/>
      <c r="L673" s="270"/>
      <c r="M673" s="270"/>
      <c r="N673" s="270"/>
      <c r="O673" s="263"/>
      <c r="P673" s="263"/>
      <c r="Q673" s="270" t="str">
        <f aca="false">IF(AND(ISNUMBER(I673),ISNUMBER(S673)),I673*AJ673,IF(OR(I673&lt;&gt;"",S673&lt;&gt;""),"tbd",""))</f>
        <v/>
      </c>
      <c r="S673" s="268"/>
      <c r="Y673" s="275" t="str">
        <f aca="false">IF(ISNUMBER(I673),I673/Netto_Faktor,"")</f>
        <v/>
      </c>
      <c r="Z673" s="275" t="str">
        <f aca="false">IF(B673="","",IF(COUNT(J673:N673)=0,"",SUM(J673:N673)))</f>
        <v/>
      </c>
      <c r="AA673" s="266"/>
      <c r="AB673" s="266"/>
      <c r="AC673" s="266"/>
      <c r="AD673" s="266"/>
      <c r="AE673" s="266"/>
      <c r="AF673" s="266"/>
      <c r="AG673" s="267"/>
      <c r="AH673" s="266" t="str">
        <f aca="false">IF(B673="","",IF(BA673="",IF(R673="WON","✅ belegt &amp; vollständig","✔ vollständig"),LEFT(BA673,LEN(BA673)-3)))</f>
        <v/>
      </c>
      <c r="AJ673" s="268" t="n">
        <f aca="false">IF(ISNUMBER(S673),IFERROR(LOOKUP(IF(S673&lt;=1,S673,S673/100),'⚖️ Wahrscheinlichkeit'!$B$17:$B$21,'⚖️ Wahrscheinlichkeit'!$D$17:$D$21),0),0)</f>
        <v>0</v>
      </c>
      <c r="AK673" s="1" t="str">
        <f aca="false">IF(AND(R673="WON",ISNUMBER(I673)),AL673+(861-ROW())*0.000001,"")</f>
        <v/>
      </c>
      <c r="AL673" s="1" t="n">
        <f aca="false">IFERROR(I673*1,0)</f>
        <v>0</v>
      </c>
      <c r="AM673" s="1" t="n">
        <f aca="false">N(AM672)+IF(AND(R673="WON",B673&lt;&gt;""),1,0)</f>
        <v>12</v>
      </c>
      <c r="AN673" s="1" t="n">
        <f aca="false">N(AN672)+IF(AND(OR(R673="offered",R673="to be offered",R673="on hold"),B673&lt;&gt;""),1,0)</f>
        <v>33</v>
      </c>
      <c r="AO673" s="1" t="n">
        <f aca="false">N(AO672)+IF(AND(OR(R673="follow-up",R673="Evaluation",R673="tbd",R673="In evaluation"),B673&lt;&gt;""),1,0)</f>
        <v>1</v>
      </c>
      <c r="AP673" s="1" t="n">
        <f aca="false">IF(B673="",0,IF(COUNTIF('⚖️ Wahrscheinlichkeit'!$J$17:$J$24,R673)&gt;0,1,0))</f>
        <v>0</v>
      </c>
      <c r="AQ673" s="1" t="n">
        <f aca="false">IF(B673="",0,IF(AND(ISNUMBER(S673),COUNTIF('⚖️ Wahrscheinlichkeit'!$B$6:$B$11,S673)&gt;0),1,0))</f>
        <v>0</v>
      </c>
      <c r="AR673" s="1" t="n">
        <f aca="false">IF(B673="",0,IF(AND(COUNT(J673:M673)=4,SUM(J673:M673)&gt;0),1,0))</f>
        <v>0</v>
      </c>
      <c r="AS673" s="1" t="n">
        <f aca="false">IF(B673="",0,IF(AND(AF673&lt;&gt;"",AG673&lt;&gt;""),1,0))</f>
        <v>0</v>
      </c>
      <c r="AT673" s="1" t="n">
        <f aca="false">IF(AND(R673="WON",AS673=1,AR673=1),1,0)</f>
        <v>0</v>
      </c>
      <c r="AU673" s="1" t="n">
        <f aca="false">IF(B673="",0,IF(AD673="Alternative – zählt nicht",0,1))</f>
        <v>0</v>
      </c>
      <c r="AV673" s="1" t="n">
        <f aca="false">IF(B673="",0,IF(COUNTIF($B$6:$B$860,B673)&gt;1,1,0))</f>
        <v>0</v>
      </c>
      <c r="AX673" s="269" t="str">
        <f aca="false">IF(AY673=1,DATE(YEAR(O673),MONTH(O673),1),"")</f>
        <v/>
      </c>
      <c r="AY673" s="1" t="n">
        <f aca="false">IF(B673="",0,IF(AND(ISNUMBER(O673),ISNUMBER(P673)),IF(P673&gt;=O673,1,0),0))</f>
        <v>0</v>
      </c>
      <c r="AZ673" s="1" t="n">
        <f aca="false">IF(ISNUMBER(Y673),Y673,0)</f>
        <v>0</v>
      </c>
      <c r="BA673" s="1" t="str">
        <f aca="false">IF(B673="","",IF(AND(R673="WON",AS673=0),"⛔ Beleg fehlt · ","")&amp;IF(AND(R673="WON",AR673=0),"⛔ Einstand fehlt · ","")&amp;IF(AND(R673&lt;&gt;"WON",AR673=0),"○ Einstand offen · ","")&amp;IF(AND(R673="WON",AB673=""),"⛔ Vertragsart fehlt · ","")&amp;IF(AND(ISNUMBER(O673),ISNUMBER(P673)),IF(P673&lt;O673,"⚠ Ende vor Start · ",""),"")&amp;IF(AND(R673="WON",AY673=0,NOT(AND(ISNUMBER(O673),ISNUMBER(P673)))),"⛔ Zeitraum fehlt · ","")&amp;IF(AND(R673&lt;&gt;"WON",AY673=0,NOT(AND(ISNUMBER(O673),ISNUMBER(P673)))),"○ Zeitraum offen · ",""))</f>
        <v/>
      </c>
      <c r="BB673" s="1" t="str">
        <f aca="false">IF(B673="","",IF(AND(R673="WON",AS673=0),"⛔ Nachweis fehlt",IF(AND(ISNUMBER(O673),ISNUMBER(P673),P673&lt;O673),"⚠ Ende vor Start",IF(AND(R673="WON",AY673=0),"⛔ Zeitraum fehlt",IF(AR673=0,"○ Einstand offen",IF(AY673=0,"○ Zeitraum offen",IF(R673="WON","✅ belegt","✔ erfasst")))))))</f>
        <v/>
      </c>
    </row>
    <row r="674" customFormat="false" ht="15" hidden="false" customHeight="true" outlineLevel="0" collapsed="false">
      <c r="G674" s="1" t="str">
        <f aca="false">IF(B674="","",IF(AY674=1,P674-O674+1,IF(AW674="","",AW674)))</f>
        <v/>
      </c>
      <c r="I674" s="270"/>
      <c r="J674" s="270"/>
      <c r="K674" s="270"/>
      <c r="L674" s="270"/>
      <c r="M674" s="270"/>
      <c r="N674" s="270"/>
      <c r="O674" s="263"/>
      <c r="P674" s="263"/>
      <c r="Q674" s="270" t="str">
        <f aca="false">IF(AND(ISNUMBER(I674),ISNUMBER(S674)),I674*AJ674,IF(OR(I674&lt;&gt;"",S674&lt;&gt;""),"tbd",""))</f>
        <v/>
      </c>
      <c r="S674" s="268"/>
      <c r="Y674" s="275" t="str">
        <f aca="false">IF(ISNUMBER(I674),I674/Netto_Faktor,"")</f>
        <v/>
      </c>
      <c r="Z674" s="275" t="str">
        <f aca="false">IF(B674="","",IF(COUNT(J674:N674)=0,"",SUM(J674:N674)))</f>
        <v/>
      </c>
      <c r="AA674" s="266"/>
      <c r="AB674" s="266"/>
      <c r="AC674" s="266"/>
      <c r="AD674" s="266"/>
      <c r="AE674" s="266"/>
      <c r="AF674" s="266"/>
      <c r="AG674" s="267"/>
      <c r="AH674" s="266" t="str">
        <f aca="false">IF(B674="","",IF(BA674="",IF(R674="WON","✅ belegt &amp; vollständig","✔ vollständig"),LEFT(BA674,LEN(BA674)-3)))</f>
        <v/>
      </c>
      <c r="AJ674" s="268" t="n">
        <f aca="false">IF(ISNUMBER(S674),IFERROR(LOOKUP(IF(S674&lt;=1,S674,S674/100),'⚖️ Wahrscheinlichkeit'!$B$17:$B$21,'⚖️ Wahrscheinlichkeit'!$D$17:$D$21),0),0)</f>
        <v>0</v>
      </c>
      <c r="AK674" s="1" t="str">
        <f aca="false">IF(AND(R674="WON",ISNUMBER(I674)),AL674+(861-ROW())*0.000001,"")</f>
        <v/>
      </c>
      <c r="AL674" s="1" t="n">
        <f aca="false">IFERROR(I674*1,0)</f>
        <v>0</v>
      </c>
      <c r="AM674" s="1" t="n">
        <f aca="false">N(AM673)+IF(AND(R674="WON",B674&lt;&gt;""),1,0)</f>
        <v>12</v>
      </c>
      <c r="AN674" s="1" t="n">
        <f aca="false">N(AN673)+IF(AND(OR(R674="offered",R674="to be offered",R674="on hold"),B674&lt;&gt;""),1,0)</f>
        <v>33</v>
      </c>
      <c r="AO674" s="1" t="n">
        <f aca="false">N(AO673)+IF(AND(OR(R674="follow-up",R674="Evaluation",R674="tbd",R674="In evaluation"),B674&lt;&gt;""),1,0)</f>
        <v>1</v>
      </c>
      <c r="AP674" s="1" t="n">
        <f aca="false">IF(B674="",0,IF(COUNTIF('⚖️ Wahrscheinlichkeit'!$J$17:$J$24,R674)&gt;0,1,0))</f>
        <v>0</v>
      </c>
      <c r="AQ674" s="1" t="n">
        <f aca="false">IF(B674="",0,IF(AND(ISNUMBER(S674),COUNTIF('⚖️ Wahrscheinlichkeit'!$B$6:$B$11,S674)&gt;0),1,0))</f>
        <v>0</v>
      </c>
      <c r="AR674" s="1" t="n">
        <f aca="false">IF(B674="",0,IF(AND(COUNT(J674:M674)=4,SUM(J674:M674)&gt;0),1,0))</f>
        <v>0</v>
      </c>
      <c r="AS674" s="1" t="n">
        <f aca="false">IF(B674="",0,IF(AND(AF674&lt;&gt;"",AG674&lt;&gt;""),1,0))</f>
        <v>0</v>
      </c>
      <c r="AT674" s="1" t="n">
        <f aca="false">IF(AND(R674="WON",AS674=1,AR674=1),1,0)</f>
        <v>0</v>
      </c>
      <c r="AU674" s="1" t="n">
        <f aca="false">IF(B674="",0,IF(AD674="Alternative – zählt nicht",0,1))</f>
        <v>0</v>
      </c>
      <c r="AV674" s="1" t="n">
        <f aca="false">IF(B674="",0,IF(COUNTIF($B$6:$B$860,B674)&gt;1,1,0))</f>
        <v>0</v>
      </c>
      <c r="AX674" s="269" t="str">
        <f aca="false">IF(AY674=1,DATE(YEAR(O674),MONTH(O674),1),"")</f>
        <v/>
      </c>
      <c r="AY674" s="1" t="n">
        <f aca="false">IF(B674="",0,IF(AND(ISNUMBER(O674),ISNUMBER(P674)),IF(P674&gt;=O674,1,0),0))</f>
        <v>0</v>
      </c>
      <c r="AZ674" s="1" t="n">
        <f aca="false">IF(ISNUMBER(Y674),Y674,0)</f>
        <v>0</v>
      </c>
      <c r="BA674" s="1" t="str">
        <f aca="false">IF(B674="","",IF(AND(R674="WON",AS674=0),"⛔ Beleg fehlt · ","")&amp;IF(AND(R674="WON",AR674=0),"⛔ Einstand fehlt · ","")&amp;IF(AND(R674&lt;&gt;"WON",AR674=0),"○ Einstand offen · ","")&amp;IF(AND(R674="WON",AB674=""),"⛔ Vertragsart fehlt · ","")&amp;IF(AND(ISNUMBER(O674),ISNUMBER(P674)),IF(P674&lt;O674,"⚠ Ende vor Start · ",""),"")&amp;IF(AND(R674="WON",AY674=0,NOT(AND(ISNUMBER(O674),ISNUMBER(P674)))),"⛔ Zeitraum fehlt · ","")&amp;IF(AND(R674&lt;&gt;"WON",AY674=0,NOT(AND(ISNUMBER(O674),ISNUMBER(P674)))),"○ Zeitraum offen · ",""))</f>
        <v/>
      </c>
      <c r="BB674" s="1" t="str">
        <f aca="false">IF(B674="","",IF(AND(R674="WON",AS674=0),"⛔ Nachweis fehlt",IF(AND(ISNUMBER(O674),ISNUMBER(P674),P674&lt;O674),"⚠ Ende vor Start",IF(AND(R674="WON",AY674=0),"⛔ Zeitraum fehlt",IF(AR674=0,"○ Einstand offen",IF(AY674=0,"○ Zeitraum offen",IF(R674="WON","✅ belegt","✔ erfasst")))))))</f>
        <v/>
      </c>
    </row>
    <row r="675" customFormat="false" ht="15" hidden="false" customHeight="true" outlineLevel="0" collapsed="false">
      <c r="G675" s="1" t="str">
        <f aca="false">IF(B675="","",IF(AY675=1,P675-O675+1,IF(AW675="","",AW675)))</f>
        <v/>
      </c>
      <c r="I675" s="270"/>
      <c r="J675" s="270"/>
      <c r="K675" s="270"/>
      <c r="L675" s="270"/>
      <c r="M675" s="270"/>
      <c r="N675" s="270"/>
      <c r="O675" s="263"/>
      <c r="P675" s="263"/>
      <c r="Q675" s="270" t="str">
        <f aca="false">IF(AND(ISNUMBER(I675),ISNUMBER(S675)),I675*AJ675,IF(OR(I675&lt;&gt;"",S675&lt;&gt;""),"tbd",""))</f>
        <v/>
      </c>
      <c r="S675" s="268"/>
      <c r="Y675" s="275" t="str">
        <f aca="false">IF(ISNUMBER(I675),I675/Netto_Faktor,"")</f>
        <v/>
      </c>
      <c r="Z675" s="275" t="str">
        <f aca="false">IF(B675="","",IF(COUNT(J675:N675)=0,"",SUM(J675:N675)))</f>
        <v/>
      </c>
      <c r="AA675" s="266"/>
      <c r="AB675" s="266"/>
      <c r="AC675" s="266"/>
      <c r="AD675" s="266"/>
      <c r="AE675" s="266"/>
      <c r="AF675" s="266"/>
      <c r="AG675" s="267"/>
      <c r="AH675" s="266" t="str">
        <f aca="false">IF(B675="","",IF(BA675="",IF(R675="WON","✅ belegt &amp; vollständig","✔ vollständig"),LEFT(BA675,LEN(BA675)-3)))</f>
        <v/>
      </c>
      <c r="AJ675" s="268" t="n">
        <f aca="false">IF(ISNUMBER(S675),IFERROR(LOOKUP(IF(S675&lt;=1,S675,S675/100),'⚖️ Wahrscheinlichkeit'!$B$17:$B$21,'⚖️ Wahrscheinlichkeit'!$D$17:$D$21),0),0)</f>
        <v>0</v>
      </c>
      <c r="AK675" s="1" t="str">
        <f aca="false">IF(AND(R675="WON",ISNUMBER(I675)),AL675+(861-ROW())*0.000001,"")</f>
        <v/>
      </c>
      <c r="AL675" s="1" t="n">
        <f aca="false">IFERROR(I675*1,0)</f>
        <v>0</v>
      </c>
      <c r="AM675" s="1" t="n">
        <f aca="false">N(AM674)+IF(AND(R675="WON",B675&lt;&gt;""),1,0)</f>
        <v>12</v>
      </c>
      <c r="AN675" s="1" t="n">
        <f aca="false">N(AN674)+IF(AND(OR(R675="offered",R675="to be offered",R675="on hold"),B675&lt;&gt;""),1,0)</f>
        <v>33</v>
      </c>
      <c r="AO675" s="1" t="n">
        <f aca="false">N(AO674)+IF(AND(OR(R675="follow-up",R675="Evaluation",R675="tbd",R675="In evaluation"),B675&lt;&gt;""),1,0)</f>
        <v>1</v>
      </c>
      <c r="AP675" s="1" t="n">
        <f aca="false">IF(B675="",0,IF(COUNTIF('⚖️ Wahrscheinlichkeit'!$J$17:$J$24,R675)&gt;0,1,0))</f>
        <v>0</v>
      </c>
      <c r="AQ675" s="1" t="n">
        <f aca="false">IF(B675="",0,IF(AND(ISNUMBER(S675),COUNTIF('⚖️ Wahrscheinlichkeit'!$B$6:$B$11,S675)&gt;0),1,0))</f>
        <v>0</v>
      </c>
      <c r="AR675" s="1" t="n">
        <f aca="false">IF(B675="",0,IF(AND(COUNT(J675:M675)=4,SUM(J675:M675)&gt;0),1,0))</f>
        <v>0</v>
      </c>
      <c r="AS675" s="1" t="n">
        <f aca="false">IF(B675="",0,IF(AND(AF675&lt;&gt;"",AG675&lt;&gt;""),1,0))</f>
        <v>0</v>
      </c>
      <c r="AT675" s="1" t="n">
        <f aca="false">IF(AND(R675="WON",AS675=1,AR675=1),1,0)</f>
        <v>0</v>
      </c>
      <c r="AU675" s="1" t="n">
        <f aca="false">IF(B675="",0,IF(AD675="Alternative – zählt nicht",0,1))</f>
        <v>0</v>
      </c>
      <c r="AV675" s="1" t="n">
        <f aca="false">IF(B675="",0,IF(COUNTIF($B$6:$B$860,B675)&gt;1,1,0))</f>
        <v>0</v>
      </c>
      <c r="AX675" s="269" t="str">
        <f aca="false">IF(AY675=1,DATE(YEAR(O675),MONTH(O675),1),"")</f>
        <v/>
      </c>
      <c r="AY675" s="1" t="n">
        <f aca="false">IF(B675="",0,IF(AND(ISNUMBER(O675),ISNUMBER(P675)),IF(P675&gt;=O675,1,0),0))</f>
        <v>0</v>
      </c>
      <c r="AZ675" s="1" t="n">
        <f aca="false">IF(ISNUMBER(Y675),Y675,0)</f>
        <v>0</v>
      </c>
      <c r="BA675" s="1" t="str">
        <f aca="false">IF(B675="","",IF(AND(R675="WON",AS675=0),"⛔ Beleg fehlt · ","")&amp;IF(AND(R675="WON",AR675=0),"⛔ Einstand fehlt · ","")&amp;IF(AND(R675&lt;&gt;"WON",AR675=0),"○ Einstand offen · ","")&amp;IF(AND(R675="WON",AB675=""),"⛔ Vertragsart fehlt · ","")&amp;IF(AND(ISNUMBER(O675),ISNUMBER(P675)),IF(P675&lt;O675,"⚠ Ende vor Start · ",""),"")&amp;IF(AND(R675="WON",AY675=0,NOT(AND(ISNUMBER(O675),ISNUMBER(P675)))),"⛔ Zeitraum fehlt · ","")&amp;IF(AND(R675&lt;&gt;"WON",AY675=0,NOT(AND(ISNUMBER(O675),ISNUMBER(P675)))),"○ Zeitraum offen · ",""))</f>
        <v/>
      </c>
      <c r="BB675" s="1" t="str">
        <f aca="false">IF(B675="","",IF(AND(R675="WON",AS675=0),"⛔ Nachweis fehlt",IF(AND(ISNUMBER(O675),ISNUMBER(P675),P675&lt;O675),"⚠ Ende vor Start",IF(AND(R675="WON",AY675=0),"⛔ Zeitraum fehlt",IF(AR675=0,"○ Einstand offen",IF(AY675=0,"○ Zeitraum offen",IF(R675="WON","✅ belegt","✔ erfasst")))))))</f>
        <v/>
      </c>
    </row>
    <row r="676" customFormat="false" ht="15" hidden="false" customHeight="true" outlineLevel="0" collapsed="false">
      <c r="G676" s="1" t="str">
        <f aca="false">IF(B676="","",IF(AY676=1,P676-O676+1,IF(AW676="","",AW676)))</f>
        <v/>
      </c>
      <c r="I676" s="270"/>
      <c r="J676" s="270"/>
      <c r="K676" s="270"/>
      <c r="L676" s="270"/>
      <c r="M676" s="270"/>
      <c r="N676" s="270"/>
      <c r="O676" s="263"/>
      <c r="P676" s="263"/>
      <c r="Q676" s="270" t="str">
        <f aca="false">IF(AND(ISNUMBER(I676),ISNUMBER(S676)),I676*AJ676,IF(OR(I676&lt;&gt;"",S676&lt;&gt;""),"tbd",""))</f>
        <v/>
      </c>
      <c r="S676" s="268"/>
      <c r="Y676" s="275" t="str">
        <f aca="false">IF(ISNUMBER(I676),I676/Netto_Faktor,"")</f>
        <v/>
      </c>
      <c r="Z676" s="275" t="str">
        <f aca="false">IF(B676="","",IF(COUNT(J676:N676)=0,"",SUM(J676:N676)))</f>
        <v/>
      </c>
      <c r="AA676" s="266"/>
      <c r="AB676" s="266"/>
      <c r="AC676" s="266"/>
      <c r="AD676" s="266"/>
      <c r="AE676" s="266"/>
      <c r="AF676" s="266"/>
      <c r="AG676" s="267"/>
      <c r="AH676" s="266" t="str">
        <f aca="false">IF(B676="","",IF(BA676="",IF(R676="WON","✅ belegt &amp; vollständig","✔ vollständig"),LEFT(BA676,LEN(BA676)-3)))</f>
        <v/>
      </c>
      <c r="AJ676" s="268" t="n">
        <f aca="false">IF(ISNUMBER(S676),IFERROR(LOOKUP(IF(S676&lt;=1,S676,S676/100),'⚖️ Wahrscheinlichkeit'!$B$17:$B$21,'⚖️ Wahrscheinlichkeit'!$D$17:$D$21),0),0)</f>
        <v>0</v>
      </c>
      <c r="AK676" s="1" t="str">
        <f aca="false">IF(AND(R676="WON",ISNUMBER(I676)),AL676+(861-ROW())*0.000001,"")</f>
        <v/>
      </c>
      <c r="AL676" s="1" t="n">
        <f aca="false">IFERROR(I676*1,0)</f>
        <v>0</v>
      </c>
      <c r="AM676" s="1" t="n">
        <f aca="false">N(AM675)+IF(AND(R676="WON",B676&lt;&gt;""),1,0)</f>
        <v>12</v>
      </c>
      <c r="AN676" s="1" t="n">
        <f aca="false">N(AN675)+IF(AND(OR(R676="offered",R676="to be offered",R676="on hold"),B676&lt;&gt;""),1,0)</f>
        <v>33</v>
      </c>
      <c r="AO676" s="1" t="n">
        <f aca="false">N(AO675)+IF(AND(OR(R676="follow-up",R676="Evaluation",R676="tbd",R676="In evaluation"),B676&lt;&gt;""),1,0)</f>
        <v>1</v>
      </c>
      <c r="AP676" s="1" t="n">
        <f aca="false">IF(B676="",0,IF(COUNTIF('⚖️ Wahrscheinlichkeit'!$J$17:$J$24,R676)&gt;0,1,0))</f>
        <v>0</v>
      </c>
      <c r="AQ676" s="1" t="n">
        <f aca="false">IF(B676="",0,IF(AND(ISNUMBER(S676),COUNTIF('⚖️ Wahrscheinlichkeit'!$B$6:$B$11,S676)&gt;0),1,0))</f>
        <v>0</v>
      </c>
      <c r="AR676" s="1" t="n">
        <f aca="false">IF(B676="",0,IF(AND(COUNT(J676:M676)=4,SUM(J676:M676)&gt;0),1,0))</f>
        <v>0</v>
      </c>
      <c r="AS676" s="1" t="n">
        <f aca="false">IF(B676="",0,IF(AND(AF676&lt;&gt;"",AG676&lt;&gt;""),1,0))</f>
        <v>0</v>
      </c>
      <c r="AT676" s="1" t="n">
        <f aca="false">IF(AND(R676="WON",AS676=1,AR676=1),1,0)</f>
        <v>0</v>
      </c>
      <c r="AU676" s="1" t="n">
        <f aca="false">IF(B676="",0,IF(AD676="Alternative – zählt nicht",0,1))</f>
        <v>0</v>
      </c>
      <c r="AV676" s="1" t="n">
        <f aca="false">IF(B676="",0,IF(COUNTIF($B$6:$B$860,B676)&gt;1,1,0))</f>
        <v>0</v>
      </c>
      <c r="AX676" s="269" t="str">
        <f aca="false">IF(AY676=1,DATE(YEAR(O676),MONTH(O676),1),"")</f>
        <v/>
      </c>
      <c r="AY676" s="1" t="n">
        <f aca="false">IF(B676="",0,IF(AND(ISNUMBER(O676),ISNUMBER(P676)),IF(P676&gt;=O676,1,0),0))</f>
        <v>0</v>
      </c>
      <c r="AZ676" s="1" t="n">
        <f aca="false">IF(ISNUMBER(Y676),Y676,0)</f>
        <v>0</v>
      </c>
      <c r="BA676" s="1" t="str">
        <f aca="false">IF(B676="","",IF(AND(R676="WON",AS676=0),"⛔ Beleg fehlt · ","")&amp;IF(AND(R676="WON",AR676=0),"⛔ Einstand fehlt · ","")&amp;IF(AND(R676&lt;&gt;"WON",AR676=0),"○ Einstand offen · ","")&amp;IF(AND(R676="WON",AB676=""),"⛔ Vertragsart fehlt · ","")&amp;IF(AND(ISNUMBER(O676),ISNUMBER(P676)),IF(P676&lt;O676,"⚠ Ende vor Start · ",""),"")&amp;IF(AND(R676="WON",AY676=0,NOT(AND(ISNUMBER(O676),ISNUMBER(P676)))),"⛔ Zeitraum fehlt · ","")&amp;IF(AND(R676&lt;&gt;"WON",AY676=0,NOT(AND(ISNUMBER(O676),ISNUMBER(P676)))),"○ Zeitraum offen · ",""))</f>
        <v/>
      </c>
      <c r="BB676" s="1" t="str">
        <f aca="false">IF(B676="","",IF(AND(R676="WON",AS676=0),"⛔ Nachweis fehlt",IF(AND(ISNUMBER(O676),ISNUMBER(P676),P676&lt;O676),"⚠ Ende vor Start",IF(AND(R676="WON",AY676=0),"⛔ Zeitraum fehlt",IF(AR676=0,"○ Einstand offen",IF(AY676=0,"○ Zeitraum offen",IF(R676="WON","✅ belegt","✔ erfasst")))))))</f>
        <v/>
      </c>
    </row>
    <row r="677" customFormat="false" ht="15" hidden="false" customHeight="true" outlineLevel="0" collapsed="false">
      <c r="G677" s="1" t="str">
        <f aca="false">IF(B677="","",IF(AY677=1,P677-O677+1,IF(AW677="","",AW677)))</f>
        <v/>
      </c>
      <c r="I677" s="270"/>
      <c r="J677" s="270"/>
      <c r="K677" s="270"/>
      <c r="L677" s="270"/>
      <c r="M677" s="270"/>
      <c r="N677" s="270"/>
      <c r="O677" s="263"/>
      <c r="P677" s="263"/>
      <c r="Q677" s="270" t="str">
        <f aca="false">IF(AND(ISNUMBER(I677),ISNUMBER(S677)),I677*AJ677,IF(OR(I677&lt;&gt;"",S677&lt;&gt;""),"tbd",""))</f>
        <v/>
      </c>
      <c r="S677" s="268"/>
      <c r="Y677" s="275" t="str">
        <f aca="false">IF(ISNUMBER(I677),I677/Netto_Faktor,"")</f>
        <v/>
      </c>
      <c r="Z677" s="275" t="str">
        <f aca="false">IF(B677="","",IF(COUNT(J677:N677)=0,"",SUM(J677:N677)))</f>
        <v/>
      </c>
      <c r="AA677" s="266"/>
      <c r="AB677" s="266"/>
      <c r="AC677" s="266"/>
      <c r="AD677" s="266"/>
      <c r="AE677" s="266"/>
      <c r="AF677" s="266"/>
      <c r="AG677" s="267"/>
      <c r="AH677" s="266" t="str">
        <f aca="false">IF(B677="","",IF(BA677="",IF(R677="WON","✅ belegt &amp; vollständig","✔ vollständig"),LEFT(BA677,LEN(BA677)-3)))</f>
        <v/>
      </c>
      <c r="AJ677" s="268" t="n">
        <f aca="false">IF(ISNUMBER(S677),IFERROR(LOOKUP(IF(S677&lt;=1,S677,S677/100),'⚖️ Wahrscheinlichkeit'!$B$17:$B$21,'⚖️ Wahrscheinlichkeit'!$D$17:$D$21),0),0)</f>
        <v>0</v>
      </c>
      <c r="AK677" s="1" t="str">
        <f aca="false">IF(AND(R677="WON",ISNUMBER(I677)),AL677+(861-ROW())*0.000001,"")</f>
        <v/>
      </c>
      <c r="AL677" s="1" t="n">
        <f aca="false">IFERROR(I677*1,0)</f>
        <v>0</v>
      </c>
      <c r="AM677" s="1" t="n">
        <f aca="false">N(AM676)+IF(AND(R677="WON",B677&lt;&gt;""),1,0)</f>
        <v>12</v>
      </c>
      <c r="AN677" s="1" t="n">
        <f aca="false">N(AN676)+IF(AND(OR(R677="offered",R677="to be offered",R677="on hold"),B677&lt;&gt;""),1,0)</f>
        <v>33</v>
      </c>
      <c r="AO677" s="1" t="n">
        <f aca="false">N(AO676)+IF(AND(OR(R677="follow-up",R677="Evaluation",R677="tbd",R677="In evaluation"),B677&lt;&gt;""),1,0)</f>
        <v>1</v>
      </c>
      <c r="AP677" s="1" t="n">
        <f aca="false">IF(B677="",0,IF(COUNTIF('⚖️ Wahrscheinlichkeit'!$J$17:$J$24,R677)&gt;0,1,0))</f>
        <v>0</v>
      </c>
      <c r="AQ677" s="1" t="n">
        <f aca="false">IF(B677="",0,IF(AND(ISNUMBER(S677),COUNTIF('⚖️ Wahrscheinlichkeit'!$B$6:$B$11,S677)&gt;0),1,0))</f>
        <v>0</v>
      </c>
      <c r="AR677" s="1" t="n">
        <f aca="false">IF(B677="",0,IF(AND(COUNT(J677:M677)=4,SUM(J677:M677)&gt;0),1,0))</f>
        <v>0</v>
      </c>
      <c r="AS677" s="1" t="n">
        <f aca="false">IF(B677="",0,IF(AND(AF677&lt;&gt;"",AG677&lt;&gt;""),1,0))</f>
        <v>0</v>
      </c>
      <c r="AT677" s="1" t="n">
        <f aca="false">IF(AND(R677="WON",AS677=1,AR677=1),1,0)</f>
        <v>0</v>
      </c>
      <c r="AU677" s="1" t="n">
        <f aca="false">IF(B677="",0,IF(AD677="Alternative – zählt nicht",0,1))</f>
        <v>0</v>
      </c>
      <c r="AV677" s="1" t="n">
        <f aca="false">IF(B677="",0,IF(COUNTIF($B$6:$B$860,B677)&gt;1,1,0))</f>
        <v>0</v>
      </c>
      <c r="AX677" s="269" t="str">
        <f aca="false">IF(AY677=1,DATE(YEAR(O677),MONTH(O677),1),"")</f>
        <v/>
      </c>
      <c r="AY677" s="1" t="n">
        <f aca="false">IF(B677="",0,IF(AND(ISNUMBER(O677),ISNUMBER(P677)),IF(P677&gt;=O677,1,0),0))</f>
        <v>0</v>
      </c>
      <c r="AZ677" s="1" t="n">
        <f aca="false">IF(ISNUMBER(Y677),Y677,0)</f>
        <v>0</v>
      </c>
      <c r="BA677" s="1" t="str">
        <f aca="false">IF(B677="","",IF(AND(R677="WON",AS677=0),"⛔ Beleg fehlt · ","")&amp;IF(AND(R677="WON",AR677=0),"⛔ Einstand fehlt · ","")&amp;IF(AND(R677&lt;&gt;"WON",AR677=0),"○ Einstand offen · ","")&amp;IF(AND(R677="WON",AB677=""),"⛔ Vertragsart fehlt · ","")&amp;IF(AND(ISNUMBER(O677),ISNUMBER(P677)),IF(P677&lt;O677,"⚠ Ende vor Start · ",""),"")&amp;IF(AND(R677="WON",AY677=0,NOT(AND(ISNUMBER(O677),ISNUMBER(P677)))),"⛔ Zeitraum fehlt · ","")&amp;IF(AND(R677&lt;&gt;"WON",AY677=0,NOT(AND(ISNUMBER(O677),ISNUMBER(P677)))),"○ Zeitraum offen · ",""))</f>
        <v/>
      </c>
      <c r="BB677" s="1" t="str">
        <f aca="false">IF(B677="","",IF(AND(R677="WON",AS677=0),"⛔ Nachweis fehlt",IF(AND(ISNUMBER(O677),ISNUMBER(P677),P677&lt;O677),"⚠ Ende vor Start",IF(AND(R677="WON",AY677=0),"⛔ Zeitraum fehlt",IF(AR677=0,"○ Einstand offen",IF(AY677=0,"○ Zeitraum offen",IF(R677="WON","✅ belegt","✔ erfasst")))))))</f>
        <v/>
      </c>
    </row>
    <row r="678" customFormat="false" ht="15" hidden="false" customHeight="true" outlineLevel="0" collapsed="false">
      <c r="G678" s="1" t="str">
        <f aca="false">IF(B678="","",IF(AY678=1,P678-O678+1,IF(AW678="","",AW678)))</f>
        <v/>
      </c>
      <c r="I678" s="270"/>
      <c r="J678" s="270"/>
      <c r="K678" s="270"/>
      <c r="L678" s="270"/>
      <c r="M678" s="270"/>
      <c r="N678" s="270"/>
      <c r="O678" s="263"/>
      <c r="P678" s="263"/>
      <c r="Q678" s="270" t="str">
        <f aca="false">IF(AND(ISNUMBER(I678),ISNUMBER(S678)),I678*AJ678,IF(OR(I678&lt;&gt;"",S678&lt;&gt;""),"tbd",""))</f>
        <v/>
      </c>
      <c r="S678" s="268"/>
      <c r="Y678" s="275" t="str">
        <f aca="false">IF(ISNUMBER(I678),I678/Netto_Faktor,"")</f>
        <v/>
      </c>
      <c r="Z678" s="275" t="str">
        <f aca="false">IF(B678="","",IF(COUNT(J678:N678)=0,"",SUM(J678:N678)))</f>
        <v/>
      </c>
      <c r="AA678" s="266"/>
      <c r="AB678" s="266"/>
      <c r="AC678" s="266"/>
      <c r="AD678" s="266"/>
      <c r="AE678" s="266"/>
      <c r="AF678" s="266"/>
      <c r="AG678" s="267"/>
      <c r="AH678" s="266" t="str">
        <f aca="false">IF(B678="","",IF(BA678="",IF(R678="WON","✅ belegt &amp; vollständig","✔ vollständig"),LEFT(BA678,LEN(BA678)-3)))</f>
        <v/>
      </c>
      <c r="AJ678" s="268" t="n">
        <f aca="false">IF(ISNUMBER(S678),IFERROR(LOOKUP(IF(S678&lt;=1,S678,S678/100),'⚖️ Wahrscheinlichkeit'!$B$17:$B$21,'⚖️ Wahrscheinlichkeit'!$D$17:$D$21),0),0)</f>
        <v>0</v>
      </c>
      <c r="AK678" s="1" t="str">
        <f aca="false">IF(AND(R678="WON",ISNUMBER(I678)),AL678+(861-ROW())*0.000001,"")</f>
        <v/>
      </c>
      <c r="AL678" s="1" t="n">
        <f aca="false">IFERROR(I678*1,0)</f>
        <v>0</v>
      </c>
      <c r="AM678" s="1" t="n">
        <f aca="false">N(AM677)+IF(AND(R678="WON",B678&lt;&gt;""),1,0)</f>
        <v>12</v>
      </c>
      <c r="AN678" s="1" t="n">
        <f aca="false">N(AN677)+IF(AND(OR(R678="offered",R678="to be offered",R678="on hold"),B678&lt;&gt;""),1,0)</f>
        <v>33</v>
      </c>
      <c r="AO678" s="1" t="n">
        <f aca="false">N(AO677)+IF(AND(OR(R678="follow-up",R678="Evaluation",R678="tbd",R678="In evaluation"),B678&lt;&gt;""),1,0)</f>
        <v>1</v>
      </c>
      <c r="AP678" s="1" t="n">
        <f aca="false">IF(B678="",0,IF(COUNTIF('⚖️ Wahrscheinlichkeit'!$J$17:$J$24,R678)&gt;0,1,0))</f>
        <v>0</v>
      </c>
      <c r="AQ678" s="1" t="n">
        <f aca="false">IF(B678="",0,IF(AND(ISNUMBER(S678),COUNTIF('⚖️ Wahrscheinlichkeit'!$B$6:$B$11,S678)&gt;0),1,0))</f>
        <v>0</v>
      </c>
      <c r="AR678" s="1" t="n">
        <f aca="false">IF(B678="",0,IF(AND(COUNT(J678:M678)=4,SUM(J678:M678)&gt;0),1,0))</f>
        <v>0</v>
      </c>
      <c r="AS678" s="1" t="n">
        <f aca="false">IF(B678="",0,IF(AND(AF678&lt;&gt;"",AG678&lt;&gt;""),1,0))</f>
        <v>0</v>
      </c>
      <c r="AT678" s="1" t="n">
        <f aca="false">IF(AND(R678="WON",AS678=1,AR678=1),1,0)</f>
        <v>0</v>
      </c>
      <c r="AU678" s="1" t="n">
        <f aca="false">IF(B678="",0,IF(AD678="Alternative – zählt nicht",0,1))</f>
        <v>0</v>
      </c>
      <c r="AV678" s="1" t="n">
        <f aca="false">IF(B678="",0,IF(COUNTIF($B$6:$B$860,B678)&gt;1,1,0))</f>
        <v>0</v>
      </c>
      <c r="AX678" s="269" t="str">
        <f aca="false">IF(AY678=1,DATE(YEAR(O678),MONTH(O678),1),"")</f>
        <v/>
      </c>
      <c r="AY678" s="1" t="n">
        <f aca="false">IF(B678="",0,IF(AND(ISNUMBER(O678),ISNUMBER(P678)),IF(P678&gt;=O678,1,0),0))</f>
        <v>0</v>
      </c>
      <c r="AZ678" s="1" t="n">
        <f aca="false">IF(ISNUMBER(Y678),Y678,0)</f>
        <v>0</v>
      </c>
      <c r="BA678" s="1" t="str">
        <f aca="false">IF(B678="","",IF(AND(R678="WON",AS678=0),"⛔ Beleg fehlt · ","")&amp;IF(AND(R678="WON",AR678=0),"⛔ Einstand fehlt · ","")&amp;IF(AND(R678&lt;&gt;"WON",AR678=0),"○ Einstand offen · ","")&amp;IF(AND(R678="WON",AB678=""),"⛔ Vertragsart fehlt · ","")&amp;IF(AND(ISNUMBER(O678),ISNUMBER(P678)),IF(P678&lt;O678,"⚠ Ende vor Start · ",""),"")&amp;IF(AND(R678="WON",AY678=0,NOT(AND(ISNUMBER(O678),ISNUMBER(P678)))),"⛔ Zeitraum fehlt · ","")&amp;IF(AND(R678&lt;&gt;"WON",AY678=0,NOT(AND(ISNUMBER(O678),ISNUMBER(P678)))),"○ Zeitraum offen · ",""))</f>
        <v/>
      </c>
      <c r="BB678" s="1" t="str">
        <f aca="false">IF(B678="","",IF(AND(R678="WON",AS678=0),"⛔ Nachweis fehlt",IF(AND(ISNUMBER(O678),ISNUMBER(P678),P678&lt;O678),"⚠ Ende vor Start",IF(AND(R678="WON",AY678=0),"⛔ Zeitraum fehlt",IF(AR678=0,"○ Einstand offen",IF(AY678=0,"○ Zeitraum offen",IF(R678="WON","✅ belegt","✔ erfasst")))))))</f>
        <v/>
      </c>
    </row>
    <row r="679" customFormat="false" ht="15" hidden="false" customHeight="true" outlineLevel="0" collapsed="false">
      <c r="G679" s="1" t="str">
        <f aca="false">IF(B679="","",IF(AY679=1,P679-O679+1,IF(AW679="","",AW679)))</f>
        <v/>
      </c>
      <c r="I679" s="270"/>
      <c r="J679" s="270"/>
      <c r="K679" s="270"/>
      <c r="L679" s="270"/>
      <c r="M679" s="270"/>
      <c r="N679" s="270"/>
      <c r="O679" s="263"/>
      <c r="P679" s="263"/>
      <c r="Q679" s="270" t="str">
        <f aca="false">IF(AND(ISNUMBER(I679),ISNUMBER(S679)),I679*AJ679,IF(OR(I679&lt;&gt;"",S679&lt;&gt;""),"tbd",""))</f>
        <v/>
      </c>
      <c r="S679" s="268"/>
      <c r="Y679" s="275" t="str">
        <f aca="false">IF(ISNUMBER(I679),I679/Netto_Faktor,"")</f>
        <v/>
      </c>
      <c r="Z679" s="275" t="str">
        <f aca="false">IF(B679="","",IF(COUNT(J679:N679)=0,"",SUM(J679:N679)))</f>
        <v/>
      </c>
      <c r="AA679" s="266"/>
      <c r="AB679" s="266"/>
      <c r="AC679" s="266"/>
      <c r="AD679" s="266"/>
      <c r="AE679" s="266"/>
      <c r="AF679" s="266"/>
      <c r="AG679" s="267"/>
      <c r="AH679" s="266" t="str">
        <f aca="false">IF(B679="","",IF(BA679="",IF(R679="WON","✅ belegt &amp; vollständig","✔ vollständig"),LEFT(BA679,LEN(BA679)-3)))</f>
        <v/>
      </c>
      <c r="AJ679" s="268" t="n">
        <f aca="false">IF(ISNUMBER(S679),IFERROR(LOOKUP(IF(S679&lt;=1,S679,S679/100),'⚖️ Wahrscheinlichkeit'!$B$17:$B$21,'⚖️ Wahrscheinlichkeit'!$D$17:$D$21),0),0)</f>
        <v>0</v>
      </c>
      <c r="AK679" s="1" t="str">
        <f aca="false">IF(AND(R679="WON",ISNUMBER(I679)),AL679+(861-ROW())*0.000001,"")</f>
        <v/>
      </c>
      <c r="AL679" s="1" t="n">
        <f aca="false">IFERROR(I679*1,0)</f>
        <v>0</v>
      </c>
      <c r="AM679" s="1" t="n">
        <f aca="false">N(AM678)+IF(AND(R679="WON",B679&lt;&gt;""),1,0)</f>
        <v>12</v>
      </c>
      <c r="AN679" s="1" t="n">
        <f aca="false">N(AN678)+IF(AND(OR(R679="offered",R679="to be offered",R679="on hold"),B679&lt;&gt;""),1,0)</f>
        <v>33</v>
      </c>
      <c r="AO679" s="1" t="n">
        <f aca="false">N(AO678)+IF(AND(OR(R679="follow-up",R679="Evaluation",R679="tbd",R679="In evaluation"),B679&lt;&gt;""),1,0)</f>
        <v>1</v>
      </c>
      <c r="AP679" s="1" t="n">
        <f aca="false">IF(B679="",0,IF(COUNTIF('⚖️ Wahrscheinlichkeit'!$J$17:$J$24,R679)&gt;0,1,0))</f>
        <v>0</v>
      </c>
      <c r="AQ679" s="1" t="n">
        <f aca="false">IF(B679="",0,IF(AND(ISNUMBER(S679),COUNTIF('⚖️ Wahrscheinlichkeit'!$B$6:$B$11,S679)&gt;0),1,0))</f>
        <v>0</v>
      </c>
      <c r="AR679" s="1" t="n">
        <f aca="false">IF(B679="",0,IF(AND(COUNT(J679:M679)=4,SUM(J679:M679)&gt;0),1,0))</f>
        <v>0</v>
      </c>
      <c r="AS679" s="1" t="n">
        <f aca="false">IF(B679="",0,IF(AND(AF679&lt;&gt;"",AG679&lt;&gt;""),1,0))</f>
        <v>0</v>
      </c>
      <c r="AT679" s="1" t="n">
        <f aca="false">IF(AND(R679="WON",AS679=1,AR679=1),1,0)</f>
        <v>0</v>
      </c>
      <c r="AU679" s="1" t="n">
        <f aca="false">IF(B679="",0,IF(AD679="Alternative – zählt nicht",0,1))</f>
        <v>0</v>
      </c>
      <c r="AV679" s="1" t="n">
        <f aca="false">IF(B679="",0,IF(COUNTIF($B$6:$B$860,B679)&gt;1,1,0))</f>
        <v>0</v>
      </c>
      <c r="AX679" s="269" t="str">
        <f aca="false">IF(AY679=1,DATE(YEAR(O679),MONTH(O679),1),"")</f>
        <v/>
      </c>
      <c r="AY679" s="1" t="n">
        <f aca="false">IF(B679="",0,IF(AND(ISNUMBER(O679),ISNUMBER(P679)),IF(P679&gt;=O679,1,0),0))</f>
        <v>0</v>
      </c>
      <c r="AZ679" s="1" t="n">
        <f aca="false">IF(ISNUMBER(Y679),Y679,0)</f>
        <v>0</v>
      </c>
      <c r="BA679" s="1" t="str">
        <f aca="false">IF(B679="","",IF(AND(R679="WON",AS679=0),"⛔ Beleg fehlt · ","")&amp;IF(AND(R679="WON",AR679=0),"⛔ Einstand fehlt · ","")&amp;IF(AND(R679&lt;&gt;"WON",AR679=0),"○ Einstand offen · ","")&amp;IF(AND(R679="WON",AB679=""),"⛔ Vertragsart fehlt · ","")&amp;IF(AND(ISNUMBER(O679),ISNUMBER(P679)),IF(P679&lt;O679,"⚠ Ende vor Start · ",""),"")&amp;IF(AND(R679="WON",AY679=0,NOT(AND(ISNUMBER(O679),ISNUMBER(P679)))),"⛔ Zeitraum fehlt · ","")&amp;IF(AND(R679&lt;&gt;"WON",AY679=0,NOT(AND(ISNUMBER(O679),ISNUMBER(P679)))),"○ Zeitraum offen · ",""))</f>
        <v/>
      </c>
      <c r="BB679" s="1" t="str">
        <f aca="false">IF(B679="","",IF(AND(R679="WON",AS679=0),"⛔ Nachweis fehlt",IF(AND(ISNUMBER(O679),ISNUMBER(P679),P679&lt;O679),"⚠ Ende vor Start",IF(AND(R679="WON",AY679=0),"⛔ Zeitraum fehlt",IF(AR679=0,"○ Einstand offen",IF(AY679=0,"○ Zeitraum offen",IF(R679="WON","✅ belegt","✔ erfasst")))))))</f>
        <v/>
      </c>
    </row>
    <row r="680" customFormat="false" ht="15" hidden="false" customHeight="true" outlineLevel="0" collapsed="false">
      <c r="G680" s="1" t="str">
        <f aca="false">IF(B680="","",IF(AY680=1,P680-O680+1,IF(AW680="","",AW680)))</f>
        <v/>
      </c>
      <c r="I680" s="270"/>
      <c r="J680" s="270"/>
      <c r="K680" s="270"/>
      <c r="L680" s="270"/>
      <c r="M680" s="270"/>
      <c r="N680" s="270"/>
      <c r="O680" s="263"/>
      <c r="P680" s="263"/>
      <c r="Q680" s="270" t="str">
        <f aca="false">IF(AND(ISNUMBER(I680),ISNUMBER(S680)),I680*AJ680,IF(OR(I680&lt;&gt;"",S680&lt;&gt;""),"tbd",""))</f>
        <v/>
      </c>
      <c r="S680" s="268"/>
      <c r="Y680" s="275" t="str">
        <f aca="false">IF(ISNUMBER(I680),I680/Netto_Faktor,"")</f>
        <v/>
      </c>
      <c r="Z680" s="275" t="str">
        <f aca="false">IF(B680="","",IF(COUNT(J680:N680)=0,"",SUM(J680:N680)))</f>
        <v/>
      </c>
      <c r="AA680" s="266"/>
      <c r="AB680" s="266"/>
      <c r="AC680" s="266"/>
      <c r="AD680" s="266"/>
      <c r="AE680" s="266"/>
      <c r="AF680" s="266"/>
      <c r="AG680" s="267"/>
      <c r="AH680" s="266" t="str">
        <f aca="false">IF(B680="","",IF(BA680="",IF(R680="WON","✅ belegt &amp; vollständig","✔ vollständig"),LEFT(BA680,LEN(BA680)-3)))</f>
        <v/>
      </c>
      <c r="AJ680" s="268" t="n">
        <f aca="false">IF(ISNUMBER(S680),IFERROR(LOOKUP(IF(S680&lt;=1,S680,S680/100),'⚖️ Wahrscheinlichkeit'!$B$17:$B$21,'⚖️ Wahrscheinlichkeit'!$D$17:$D$21),0),0)</f>
        <v>0</v>
      </c>
      <c r="AK680" s="1" t="str">
        <f aca="false">IF(AND(R680="WON",ISNUMBER(I680)),AL680+(861-ROW())*0.000001,"")</f>
        <v/>
      </c>
      <c r="AL680" s="1" t="n">
        <f aca="false">IFERROR(I680*1,0)</f>
        <v>0</v>
      </c>
      <c r="AM680" s="1" t="n">
        <f aca="false">N(AM679)+IF(AND(R680="WON",B680&lt;&gt;""),1,0)</f>
        <v>12</v>
      </c>
      <c r="AN680" s="1" t="n">
        <f aca="false">N(AN679)+IF(AND(OR(R680="offered",R680="to be offered",R680="on hold"),B680&lt;&gt;""),1,0)</f>
        <v>33</v>
      </c>
      <c r="AO680" s="1" t="n">
        <f aca="false">N(AO679)+IF(AND(OR(R680="follow-up",R680="Evaluation",R680="tbd",R680="In evaluation"),B680&lt;&gt;""),1,0)</f>
        <v>1</v>
      </c>
      <c r="AP680" s="1" t="n">
        <f aca="false">IF(B680="",0,IF(COUNTIF('⚖️ Wahrscheinlichkeit'!$J$17:$J$24,R680)&gt;0,1,0))</f>
        <v>0</v>
      </c>
      <c r="AQ680" s="1" t="n">
        <f aca="false">IF(B680="",0,IF(AND(ISNUMBER(S680),COUNTIF('⚖️ Wahrscheinlichkeit'!$B$6:$B$11,S680)&gt;0),1,0))</f>
        <v>0</v>
      </c>
      <c r="AR680" s="1" t="n">
        <f aca="false">IF(B680="",0,IF(AND(COUNT(J680:M680)=4,SUM(J680:M680)&gt;0),1,0))</f>
        <v>0</v>
      </c>
      <c r="AS680" s="1" t="n">
        <f aca="false">IF(B680="",0,IF(AND(AF680&lt;&gt;"",AG680&lt;&gt;""),1,0))</f>
        <v>0</v>
      </c>
      <c r="AT680" s="1" t="n">
        <f aca="false">IF(AND(R680="WON",AS680=1,AR680=1),1,0)</f>
        <v>0</v>
      </c>
      <c r="AU680" s="1" t="n">
        <f aca="false">IF(B680="",0,IF(AD680="Alternative – zählt nicht",0,1))</f>
        <v>0</v>
      </c>
      <c r="AV680" s="1" t="n">
        <f aca="false">IF(B680="",0,IF(COUNTIF($B$6:$B$860,B680)&gt;1,1,0))</f>
        <v>0</v>
      </c>
      <c r="AX680" s="269" t="str">
        <f aca="false">IF(AY680=1,DATE(YEAR(O680),MONTH(O680),1),"")</f>
        <v/>
      </c>
      <c r="AY680" s="1" t="n">
        <f aca="false">IF(B680="",0,IF(AND(ISNUMBER(O680),ISNUMBER(P680)),IF(P680&gt;=O680,1,0),0))</f>
        <v>0</v>
      </c>
      <c r="AZ680" s="1" t="n">
        <f aca="false">IF(ISNUMBER(Y680),Y680,0)</f>
        <v>0</v>
      </c>
      <c r="BA680" s="1" t="str">
        <f aca="false">IF(B680="","",IF(AND(R680="WON",AS680=0),"⛔ Beleg fehlt · ","")&amp;IF(AND(R680="WON",AR680=0),"⛔ Einstand fehlt · ","")&amp;IF(AND(R680&lt;&gt;"WON",AR680=0),"○ Einstand offen · ","")&amp;IF(AND(R680="WON",AB680=""),"⛔ Vertragsart fehlt · ","")&amp;IF(AND(ISNUMBER(O680),ISNUMBER(P680)),IF(P680&lt;O680,"⚠ Ende vor Start · ",""),"")&amp;IF(AND(R680="WON",AY680=0,NOT(AND(ISNUMBER(O680),ISNUMBER(P680)))),"⛔ Zeitraum fehlt · ","")&amp;IF(AND(R680&lt;&gt;"WON",AY680=0,NOT(AND(ISNUMBER(O680),ISNUMBER(P680)))),"○ Zeitraum offen · ",""))</f>
        <v/>
      </c>
      <c r="BB680" s="1" t="str">
        <f aca="false">IF(B680="","",IF(AND(R680="WON",AS680=0),"⛔ Nachweis fehlt",IF(AND(ISNUMBER(O680),ISNUMBER(P680),P680&lt;O680),"⚠ Ende vor Start",IF(AND(R680="WON",AY680=0),"⛔ Zeitraum fehlt",IF(AR680=0,"○ Einstand offen",IF(AY680=0,"○ Zeitraum offen",IF(R680="WON","✅ belegt","✔ erfasst")))))))</f>
        <v/>
      </c>
    </row>
    <row r="681" customFormat="false" ht="15" hidden="false" customHeight="true" outlineLevel="0" collapsed="false">
      <c r="G681" s="1" t="str">
        <f aca="false">IF(B681="","",IF(AY681=1,P681-O681+1,IF(AW681="","",AW681)))</f>
        <v/>
      </c>
      <c r="I681" s="270"/>
      <c r="J681" s="270"/>
      <c r="K681" s="270"/>
      <c r="L681" s="270"/>
      <c r="M681" s="270"/>
      <c r="N681" s="270"/>
      <c r="O681" s="263"/>
      <c r="P681" s="263"/>
      <c r="Q681" s="270" t="str">
        <f aca="false">IF(AND(ISNUMBER(I681),ISNUMBER(S681)),I681*AJ681,IF(OR(I681&lt;&gt;"",S681&lt;&gt;""),"tbd",""))</f>
        <v/>
      </c>
      <c r="S681" s="268"/>
      <c r="Y681" s="275" t="str">
        <f aca="false">IF(ISNUMBER(I681),I681/Netto_Faktor,"")</f>
        <v/>
      </c>
      <c r="Z681" s="275" t="str">
        <f aca="false">IF(B681="","",IF(COUNT(J681:N681)=0,"",SUM(J681:N681)))</f>
        <v/>
      </c>
      <c r="AA681" s="266"/>
      <c r="AB681" s="266"/>
      <c r="AC681" s="266"/>
      <c r="AD681" s="266"/>
      <c r="AE681" s="266"/>
      <c r="AF681" s="266"/>
      <c r="AG681" s="267"/>
      <c r="AH681" s="266" t="str">
        <f aca="false">IF(B681="","",IF(BA681="",IF(R681="WON","✅ belegt &amp; vollständig","✔ vollständig"),LEFT(BA681,LEN(BA681)-3)))</f>
        <v/>
      </c>
      <c r="AJ681" s="268" t="n">
        <f aca="false">IF(ISNUMBER(S681),IFERROR(LOOKUP(IF(S681&lt;=1,S681,S681/100),'⚖️ Wahrscheinlichkeit'!$B$17:$B$21,'⚖️ Wahrscheinlichkeit'!$D$17:$D$21),0),0)</f>
        <v>0</v>
      </c>
      <c r="AK681" s="1" t="str">
        <f aca="false">IF(AND(R681="WON",ISNUMBER(I681)),AL681+(861-ROW())*0.000001,"")</f>
        <v/>
      </c>
      <c r="AL681" s="1" t="n">
        <f aca="false">IFERROR(I681*1,0)</f>
        <v>0</v>
      </c>
      <c r="AM681" s="1" t="n">
        <f aca="false">N(AM680)+IF(AND(R681="WON",B681&lt;&gt;""),1,0)</f>
        <v>12</v>
      </c>
      <c r="AN681" s="1" t="n">
        <f aca="false">N(AN680)+IF(AND(OR(R681="offered",R681="to be offered",R681="on hold"),B681&lt;&gt;""),1,0)</f>
        <v>33</v>
      </c>
      <c r="AO681" s="1" t="n">
        <f aca="false">N(AO680)+IF(AND(OR(R681="follow-up",R681="Evaluation",R681="tbd",R681="In evaluation"),B681&lt;&gt;""),1,0)</f>
        <v>1</v>
      </c>
      <c r="AP681" s="1" t="n">
        <f aca="false">IF(B681="",0,IF(COUNTIF('⚖️ Wahrscheinlichkeit'!$J$17:$J$24,R681)&gt;0,1,0))</f>
        <v>0</v>
      </c>
      <c r="AQ681" s="1" t="n">
        <f aca="false">IF(B681="",0,IF(AND(ISNUMBER(S681),COUNTIF('⚖️ Wahrscheinlichkeit'!$B$6:$B$11,S681)&gt;0),1,0))</f>
        <v>0</v>
      </c>
      <c r="AR681" s="1" t="n">
        <f aca="false">IF(B681="",0,IF(AND(COUNT(J681:M681)=4,SUM(J681:M681)&gt;0),1,0))</f>
        <v>0</v>
      </c>
      <c r="AS681" s="1" t="n">
        <f aca="false">IF(B681="",0,IF(AND(AF681&lt;&gt;"",AG681&lt;&gt;""),1,0))</f>
        <v>0</v>
      </c>
      <c r="AT681" s="1" t="n">
        <f aca="false">IF(AND(R681="WON",AS681=1,AR681=1),1,0)</f>
        <v>0</v>
      </c>
      <c r="AU681" s="1" t="n">
        <f aca="false">IF(B681="",0,IF(AD681="Alternative – zählt nicht",0,1))</f>
        <v>0</v>
      </c>
      <c r="AV681" s="1" t="n">
        <f aca="false">IF(B681="",0,IF(COUNTIF($B$6:$B$860,B681)&gt;1,1,0))</f>
        <v>0</v>
      </c>
      <c r="AX681" s="269" t="str">
        <f aca="false">IF(AY681=1,DATE(YEAR(O681),MONTH(O681),1),"")</f>
        <v/>
      </c>
      <c r="AY681" s="1" t="n">
        <f aca="false">IF(B681="",0,IF(AND(ISNUMBER(O681),ISNUMBER(P681)),IF(P681&gt;=O681,1,0),0))</f>
        <v>0</v>
      </c>
      <c r="AZ681" s="1" t="n">
        <f aca="false">IF(ISNUMBER(Y681),Y681,0)</f>
        <v>0</v>
      </c>
      <c r="BA681" s="1" t="str">
        <f aca="false">IF(B681="","",IF(AND(R681="WON",AS681=0),"⛔ Beleg fehlt · ","")&amp;IF(AND(R681="WON",AR681=0),"⛔ Einstand fehlt · ","")&amp;IF(AND(R681&lt;&gt;"WON",AR681=0),"○ Einstand offen · ","")&amp;IF(AND(R681="WON",AB681=""),"⛔ Vertragsart fehlt · ","")&amp;IF(AND(ISNUMBER(O681),ISNUMBER(P681)),IF(P681&lt;O681,"⚠ Ende vor Start · ",""),"")&amp;IF(AND(R681="WON",AY681=0,NOT(AND(ISNUMBER(O681),ISNUMBER(P681)))),"⛔ Zeitraum fehlt · ","")&amp;IF(AND(R681&lt;&gt;"WON",AY681=0,NOT(AND(ISNUMBER(O681),ISNUMBER(P681)))),"○ Zeitraum offen · ",""))</f>
        <v/>
      </c>
      <c r="BB681" s="1" t="str">
        <f aca="false">IF(B681="","",IF(AND(R681="WON",AS681=0),"⛔ Nachweis fehlt",IF(AND(ISNUMBER(O681),ISNUMBER(P681),P681&lt;O681),"⚠ Ende vor Start",IF(AND(R681="WON",AY681=0),"⛔ Zeitraum fehlt",IF(AR681=0,"○ Einstand offen",IF(AY681=0,"○ Zeitraum offen",IF(R681="WON","✅ belegt","✔ erfasst")))))))</f>
        <v/>
      </c>
    </row>
    <row r="682" customFormat="false" ht="15" hidden="false" customHeight="true" outlineLevel="0" collapsed="false">
      <c r="G682" s="1" t="str">
        <f aca="false">IF(B682="","",IF(AY682=1,P682-O682+1,IF(AW682="","",AW682)))</f>
        <v/>
      </c>
      <c r="I682" s="270"/>
      <c r="J682" s="270"/>
      <c r="K682" s="270"/>
      <c r="L682" s="270"/>
      <c r="M682" s="270"/>
      <c r="N682" s="270"/>
      <c r="O682" s="263"/>
      <c r="P682" s="263"/>
      <c r="Q682" s="270" t="str">
        <f aca="false">IF(AND(ISNUMBER(I682),ISNUMBER(S682)),I682*AJ682,IF(OR(I682&lt;&gt;"",S682&lt;&gt;""),"tbd",""))</f>
        <v/>
      </c>
      <c r="S682" s="268"/>
      <c r="Y682" s="275" t="str">
        <f aca="false">IF(ISNUMBER(I682),I682/Netto_Faktor,"")</f>
        <v/>
      </c>
      <c r="Z682" s="275" t="str">
        <f aca="false">IF(B682="","",IF(COUNT(J682:N682)=0,"",SUM(J682:N682)))</f>
        <v/>
      </c>
      <c r="AA682" s="266"/>
      <c r="AB682" s="266"/>
      <c r="AC682" s="266"/>
      <c r="AD682" s="266"/>
      <c r="AE682" s="266"/>
      <c r="AF682" s="266"/>
      <c r="AG682" s="267"/>
      <c r="AH682" s="266" t="str">
        <f aca="false">IF(B682="","",IF(BA682="",IF(R682="WON","✅ belegt &amp; vollständig","✔ vollständig"),LEFT(BA682,LEN(BA682)-3)))</f>
        <v/>
      </c>
      <c r="AJ682" s="268" t="n">
        <f aca="false">IF(ISNUMBER(S682),IFERROR(LOOKUP(IF(S682&lt;=1,S682,S682/100),'⚖️ Wahrscheinlichkeit'!$B$17:$B$21,'⚖️ Wahrscheinlichkeit'!$D$17:$D$21),0),0)</f>
        <v>0</v>
      </c>
      <c r="AK682" s="1" t="str">
        <f aca="false">IF(AND(R682="WON",ISNUMBER(I682)),AL682+(861-ROW())*0.000001,"")</f>
        <v/>
      </c>
      <c r="AL682" s="1" t="n">
        <f aca="false">IFERROR(I682*1,0)</f>
        <v>0</v>
      </c>
      <c r="AM682" s="1" t="n">
        <f aca="false">N(AM681)+IF(AND(R682="WON",B682&lt;&gt;""),1,0)</f>
        <v>12</v>
      </c>
      <c r="AN682" s="1" t="n">
        <f aca="false">N(AN681)+IF(AND(OR(R682="offered",R682="to be offered",R682="on hold"),B682&lt;&gt;""),1,0)</f>
        <v>33</v>
      </c>
      <c r="AO682" s="1" t="n">
        <f aca="false">N(AO681)+IF(AND(OR(R682="follow-up",R682="Evaluation",R682="tbd",R682="In evaluation"),B682&lt;&gt;""),1,0)</f>
        <v>1</v>
      </c>
      <c r="AP682" s="1" t="n">
        <f aca="false">IF(B682="",0,IF(COUNTIF('⚖️ Wahrscheinlichkeit'!$J$17:$J$24,R682)&gt;0,1,0))</f>
        <v>0</v>
      </c>
      <c r="AQ682" s="1" t="n">
        <f aca="false">IF(B682="",0,IF(AND(ISNUMBER(S682),COUNTIF('⚖️ Wahrscheinlichkeit'!$B$6:$B$11,S682)&gt;0),1,0))</f>
        <v>0</v>
      </c>
      <c r="AR682" s="1" t="n">
        <f aca="false">IF(B682="",0,IF(AND(COUNT(J682:M682)=4,SUM(J682:M682)&gt;0),1,0))</f>
        <v>0</v>
      </c>
      <c r="AS682" s="1" t="n">
        <f aca="false">IF(B682="",0,IF(AND(AF682&lt;&gt;"",AG682&lt;&gt;""),1,0))</f>
        <v>0</v>
      </c>
      <c r="AT682" s="1" t="n">
        <f aca="false">IF(AND(R682="WON",AS682=1,AR682=1),1,0)</f>
        <v>0</v>
      </c>
      <c r="AU682" s="1" t="n">
        <f aca="false">IF(B682="",0,IF(AD682="Alternative – zählt nicht",0,1))</f>
        <v>0</v>
      </c>
      <c r="AV682" s="1" t="n">
        <f aca="false">IF(B682="",0,IF(COUNTIF($B$6:$B$860,B682)&gt;1,1,0))</f>
        <v>0</v>
      </c>
      <c r="AX682" s="269" t="str">
        <f aca="false">IF(AY682=1,DATE(YEAR(O682),MONTH(O682),1),"")</f>
        <v/>
      </c>
      <c r="AY682" s="1" t="n">
        <f aca="false">IF(B682="",0,IF(AND(ISNUMBER(O682),ISNUMBER(P682)),IF(P682&gt;=O682,1,0),0))</f>
        <v>0</v>
      </c>
      <c r="AZ682" s="1" t="n">
        <f aca="false">IF(ISNUMBER(Y682),Y682,0)</f>
        <v>0</v>
      </c>
      <c r="BA682" s="1" t="str">
        <f aca="false">IF(B682="","",IF(AND(R682="WON",AS682=0),"⛔ Beleg fehlt · ","")&amp;IF(AND(R682="WON",AR682=0),"⛔ Einstand fehlt · ","")&amp;IF(AND(R682&lt;&gt;"WON",AR682=0),"○ Einstand offen · ","")&amp;IF(AND(R682="WON",AB682=""),"⛔ Vertragsart fehlt · ","")&amp;IF(AND(ISNUMBER(O682),ISNUMBER(P682)),IF(P682&lt;O682,"⚠ Ende vor Start · ",""),"")&amp;IF(AND(R682="WON",AY682=0,NOT(AND(ISNUMBER(O682),ISNUMBER(P682)))),"⛔ Zeitraum fehlt · ","")&amp;IF(AND(R682&lt;&gt;"WON",AY682=0,NOT(AND(ISNUMBER(O682),ISNUMBER(P682)))),"○ Zeitraum offen · ",""))</f>
        <v/>
      </c>
      <c r="BB682" s="1" t="str">
        <f aca="false">IF(B682="","",IF(AND(R682="WON",AS682=0),"⛔ Nachweis fehlt",IF(AND(ISNUMBER(O682),ISNUMBER(P682),P682&lt;O682),"⚠ Ende vor Start",IF(AND(R682="WON",AY682=0),"⛔ Zeitraum fehlt",IF(AR682=0,"○ Einstand offen",IF(AY682=0,"○ Zeitraum offen",IF(R682="WON","✅ belegt","✔ erfasst")))))))</f>
        <v/>
      </c>
    </row>
    <row r="683" customFormat="false" ht="15" hidden="false" customHeight="true" outlineLevel="0" collapsed="false">
      <c r="G683" s="1" t="str">
        <f aca="false">IF(B683="","",IF(AY683=1,P683-O683+1,IF(AW683="","",AW683)))</f>
        <v/>
      </c>
      <c r="I683" s="270"/>
      <c r="J683" s="270"/>
      <c r="K683" s="270"/>
      <c r="L683" s="270"/>
      <c r="M683" s="270"/>
      <c r="N683" s="270"/>
      <c r="O683" s="263"/>
      <c r="P683" s="263"/>
      <c r="Q683" s="270" t="str">
        <f aca="false">IF(AND(ISNUMBER(I683),ISNUMBER(S683)),I683*AJ683,IF(OR(I683&lt;&gt;"",S683&lt;&gt;""),"tbd",""))</f>
        <v/>
      </c>
      <c r="S683" s="268"/>
      <c r="Y683" s="275" t="str">
        <f aca="false">IF(ISNUMBER(I683),I683/Netto_Faktor,"")</f>
        <v/>
      </c>
      <c r="Z683" s="275" t="str">
        <f aca="false">IF(B683="","",IF(COUNT(J683:N683)=0,"",SUM(J683:N683)))</f>
        <v/>
      </c>
      <c r="AA683" s="266"/>
      <c r="AB683" s="266"/>
      <c r="AC683" s="266"/>
      <c r="AD683" s="266"/>
      <c r="AE683" s="266"/>
      <c r="AF683" s="266"/>
      <c r="AG683" s="267"/>
      <c r="AH683" s="266" t="str">
        <f aca="false">IF(B683="","",IF(BA683="",IF(R683="WON","✅ belegt &amp; vollständig","✔ vollständig"),LEFT(BA683,LEN(BA683)-3)))</f>
        <v/>
      </c>
      <c r="AJ683" s="268" t="n">
        <f aca="false">IF(ISNUMBER(S683),IFERROR(LOOKUP(IF(S683&lt;=1,S683,S683/100),'⚖️ Wahrscheinlichkeit'!$B$17:$B$21,'⚖️ Wahrscheinlichkeit'!$D$17:$D$21),0),0)</f>
        <v>0</v>
      </c>
      <c r="AK683" s="1" t="str">
        <f aca="false">IF(AND(R683="WON",ISNUMBER(I683)),AL683+(861-ROW())*0.000001,"")</f>
        <v/>
      </c>
      <c r="AL683" s="1" t="n">
        <f aca="false">IFERROR(I683*1,0)</f>
        <v>0</v>
      </c>
      <c r="AM683" s="1" t="n">
        <f aca="false">N(AM682)+IF(AND(R683="WON",B683&lt;&gt;""),1,0)</f>
        <v>12</v>
      </c>
      <c r="AN683" s="1" t="n">
        <f aca="false">N(AN682)+IF(AND(OR(R683="offered",R683="to be offered",R683="on hold"),B683&lt;&gt;""),1,0)</f>
        <v>33</v>
      </c>
      <c r="AO683" s="1" t="n">
        <f aca="false">N(AO682)+IF(AND(OR(R683="follow-up",R683="Evaluation",R683="tbd",R683="In evaluation"),B683&lt;&gt;""),1,0)</f>
        <v>1</v>
      </c>
      <c r="AP683" s="1" t="n">
        <f aca="false">IF(B683="",0,IF(COUNTIF('⚖️ Wahrscheinlichkeit'!$J$17:$J$24,R683)&gt;0,1,0))</f>
        <v>0</v>
      </c>
      <c r="AQ683" s="1" t="n">
        <f aca="false">IF(B683="",0,IF(AND(ISNUMBER(S683),COUNTIF('⚖️ Wahrscheinlichkeit'!$B$6:$B$11,S683)&gt;0),1,0))</f>
        <v>0</v>
      </c>
      <c r="AR683" s="1" t="n">
        <f aca="false">IF(B683="",0,IF(AND(COUNT(J683:M683)=4,SUM(J683:M683)&gt;0),1,0))</f>
        <v>0</v>
      </c>
      <c r="AS683" s="1" t="n">
        <f aca="false">IF(B683="",0,IF(AND(AF683&lt;&gt;"",AG683&lt;&gt;""),1,0))</f>
        <v>0</v>
      </c>
      <c r="AT683" s="1" t="n">
        <f aca="false">IF(AND(R683="WON",AS683=1,AR683=1),1,0)</f>
        <v>0</v>
      </c>
      <c r="AU683" s="1" t="n">
        <f aca="false">IF(B683="",0,IF(AD683="Alternative – zählt nicht",0,1))</f>
        <v>0</v>
      </c>
      <c r="AV683" s="1" t="n">
        <f aca="false">IF(B683="",0,IF(COUNTIF($B$6:$B$860,B683)&gt;1,1,0))</f>
        <v>0</v>
      </c>
      <c r="AX683" s="269" t="str">
        <f aca="false">IF(AY683=1,DATE(YEAR(O683),MONTH(O683),1),"")</f>
        <v/>
      </c>
      <c r="AY683" s="1" t="n">
        <f aca="false">IF(B683="",0,IF(AND(ISNUMBER(O683),ISNUMBER(P683)),IF(P683&gt;=O683,1,0),0))</f>
        <v>0</v>
      </c>
      <c r="AZ683" s="1" t="n">
        <f aca="false">IF(ISNUMBER(Y683),Y683,0)</f>
        <v>0</v>
      </c>
      <c r="BA683" s="1" t="str">
        <f aca="false">IF(B683="","",IF(AND(R683="WON",AS683=0),"⛔ Beleg fehlt · ","")&amp;IF(AND(R683="WON",AR683=0),"⛔ Einstand fehlt · ","")&amp;IF(AND(R683&lt;&gt;"WON",AR683=0),"○ Einstand offen · ","")&amp;IF(AND(R683="WON",AB683=""),"⛔ Vertragsart fehlt · ","")&amp;IF(AND(ISNUMBER(O683),ISNUMBER(P683)),IF(P683&lt;O683,"⚠ Ende vor Start · ",""),"")&amp;IF(AND(R683="WON",AY683=0,NOT(AND(ISNUMBER(O683),ISNUMBER(P683)))),"⛔ Zeitraum fehlt · ","")&amp;IF(AND(R683&lt;&gt;"WON",AY683=0,NOT(AND(ISNUMBER(O683),ISNUMBER(P683)))),"○ Zeitraum offen · ",""))</f>
        <v/>
      </c>
      <c r="BB683" s="1" t="str">
        <f aca="false">IF(B683="","",IF(AND(R683="WON",AS683=0),"⛔ Nachweis fehlt",IF(AND(ISNUMBER(O683),ISNUMBER(P683),P683&lt;O683),"⚠ Ende vor Start",IF(AND(R683="WON",AY683=0),"⛔ Zeitraum fehlt",IF(AR683=0,"○ Einstand offen",IF(AY683=0,"○ Zeitraum offen",IF(R683="WON","✅ belegt","✔ erfasst")))))))</f>
        <v/>
      </c>
    </row>
    <row r="684" customFormat="false" ht="15" hidden="false" customHeight="true" outlineLevel="0" collapsed="false">
      <c r="G684" s="1" t="str">
        <f aca="false">IF(B684="","",IF(AY684=1,P684-O684+1,IF(AW684="","",AW684)))</f>
        <v/>
      </c>
      <c r="I684" s="270"/>
      <c r="J684" s="270"/>
      <c r="K684" s="270"/>
      <c r="L684" s="270"/>
      <c r="M684" s="270"/>
      <c r="N684" s="270"/>
      <c r="O684" s="263"/>
      <c r="P684" s="263"/>
      <c r="Q684" s="270" t="str">
        <f aca="false">IF(AND(ISNUMBER(I684),ISNUMBER(S684)),I684*AJ684,IF(OR(I684&lt;&gt;"",S684&lt;&gt;""),"tbd",""))</f>
        <v/>
      </c>
      <c r="S684" s="268"/>
      <c r="Y684" s="275" t="str">
        <f aca="false">IF(ISNUMBER(I684),I684/Netto_Faktor,"")</f>
        <v/>
      </c>
      <c r="Z684" s="275" t="str">
        <f aca="false">IF(B684="","",IF(COUNT(J684:N684)=0,"",SUM(J684:N684)))</f>
        <v/>
      </c>
      <c r="AA684" s="266"/>
      <c r="AB684" s="266"/>
      <c r="AC684" s="266"/>
      <c r="AD684" s="266"/>
      <c r="AE684" s="266"/>
      <c r="AF684" s="266"/>
      <c r="AG684" s="267"/>
      <c r="AH684" s="266" t="str">
        <f aca="false">IF(B684="","",IF(BA684="",IF(R684="WON","✅ belegt &amp; vollständig","✔ vollständig"),LEFT(BA684,LEN(BA684)-3)))</f>
        <v/>
      </c>
      <c r="AJ684" s="268" t="n">
        <f aca="false">IF(ISNUMBER(S684),IFERROR(LOOKUP(IF(S684&lt;=1,S684,S684/100),'⚖️ Wahrscheinlichkeit'!$B$17:$B$21,'⚖️ Wahrscheinlichkeit'!$D$17:$D$21),0),0)</f>
        <v>0</v>
      </c>
      <c r="AK684" s="1" t="str">
        <f aca="false">IF(AND(R684="WON",ISNUMBER(I684)),AL684+(861-ROW())*0.000001,"")</f>
        <v/>
      </c>
      <c r="AL684" s="1" t="n">
        <f aca="false">IFERROR(I684*1,0)</f>
        <v>0</v>
      </c>
      <c r="AM684" s="1" t="n">
        <f aca="false">N(AM683)+IF(AND(R684="WON",B684&lt;&gt;""),1,0)</f>
        <v>12</v>
      </c>
      <c r="AN684" s="1" t="n">
        <f aca="false">N(AN683)+IF(AND(OR(R684="offered",R684="to be offered",R684="on hold"),B684&lt;&gt;""),1,0)</f>
        <v>33</v>
      </c>
      <c r="AO684" s="1" t="n">
        <f aca="false">N(AO683)+IF(AND(OR(R684="follow-up",R684="Evaluation",R684="tbd",R684="In evaluation"),B684&lt;&gt;""),1,0)</f>
        <v>1</v>
      </c>
      <c r="AP684" s="1" t="n">
        <f aca="false">IF(B684="",0,IF(COUNTIF('⚖️ Wahrscheinlichkeit'!$J$17:$J$24,R684)&gt;0,1,0))</f>
        <v>0</v>
      </c>
      <c r="AQ684" s="1" t="n">
        <f aca="false">IF(B684="",0,IF(AND(ISNUMBER(S684),COUNTIF('⚖️ Wahrscheinlichkeit'!$B$6:$B$11,S684)&gt;0),1,0))</f>
        <v>0</v>
      </c>
      <c r="AR684" s="1" t="n">
        <f aca="false">IF(B684="",0,IF(AND(COUNT(J684:M684)=4,SUM(J684:M684)&gt;0),1,0))</f>
        <v>0</v>
      </c>
      <c r="AS684" s="1" t="n">
        <f aca="false">IF(B684="",0,IF(AND(AF684&lt;&gt;"",AG684&lt;&gt;""),1,0))</f>
        <v>0</v>
      </c>
      <c r="AT684" s="1" t="n">
        <f aca="false">IF(AND(R684="WON",AS684=1,AR684=1),1,0)</f>
        <v>0</v>
      </c>
      <c r="AU684" s="1" t="n">
        <f aca="false">IF(B684="",0,IF(AD684="Alternative – zählt nicht",0,1))</f>
        <v>0</v>
      </c>
      <c r="AV684" s="1" t="n">
        <f aca="false">IF(B684="",0,IF(COUNTIF($B$6:$B$860,B684)&gt;1,1,0))</f>
        <v>0</v>
      </c>
      <c r="AX684" s="269" t="str">
        <f aca="false">IF(AY684=1,DATE(YEAR(O684),MONTH(O684),1),"")</f>
        <v/>
      </c>
      <c r="AY684" s="1" t="n">
        <f aca="false">IF(B684="",0,IF(AND(ISNUMBER(O684),ISNUMBER(P684)),IF(P684&gt;=O684,1,0),0))</f>
        <v>0</v>
      </c>
      <c r="AZ684" s="1" t="n">
        <f aca="false">IF(ISNUMBER(Y684),Y684,0)</f>
        <v>0</v>
      </c>
      <c r="BA684" s="1" t="str">
        <f aca="false">IF(B684="","",IF(AND(R684="WON",AS684=0),"⛔ Beleg fehlt · ","")&amp;IF(AND(R684="WON",AR684=0),"⛔ Einstand fehlt · ","")&amp;IF(AND(R684&lt;&gt;"WON",AR684=0),"○ Einstand offen · ","")&amp;IF(AND(R684="WON",AB684=""),"⛔ Vertragsart fehlt · ","")&amp;IF(AND(ISNUMBER(O684),ISNUMBER(P684)),IF(P684&lt;O684,"⚠ Ende vor Start · ",""),"")&amp;IF(AND(R684="WON",AY684=0,NOT(AND(ISNUMBER(O684),ISNUMBER(P684)))),"⛔ Zeitraum fehlt · ","")&amp;IF(AND(R684&lt;&gt;"WON",AY684=0,NOT(AND(ISNUMBER(O684),ISNUMBER(P684)))),"○ Zeitraum offen · ",""))</f>
        <v/>
      </c>
      <c r="BB684" s="1" t="str">
        <f aca="false">IF(B684="","",IF(AND(R684="WON",AS684=0),"⛔ Nachweis fehlt",IF(AND(ISNUMBER(O684),ISNUMBER(P684),P684&lt;O684),"⚠ Ende vor Start",IF(AND(R684="WON",AY684=0),"⛔ Zeitraum fehlt",IF(AR684=0,"○ Einstand offen",IF(AY684=0,"○ Zeitraum offen",IF(R684="WON","✅ belegt","✔ erfasst")))))))</f>
        <v/>
      </c>
    </row>
    <row r="685" customFormat="false" ht="15" hidden="false" customHeight="true" outlineLevel="0" collapsed="false">
      <c r="G685" s="1" t="str">
        <f aca="false">IF(B685="","",IF(AY685=1,P685-O685+1,IF(AW685="","",AW685)))</f>
        <v/>
      </c>
      <c r="I685" s="270"/>
      <c r="J685" s="270"/>
      <c r="K685" s="270"/>
      <c r="L685" s="270"/>
      <c r="M685" s="270"/>
      <c r="N685" s="270"/>
      <c r="O685" s="263"/>
      <c r="P685" s="263"/>
      <c r="Q685" s="270" t="str">
        <f aca="false">IF(AND(ISNUMBER(I685),ISNUMBER(S685)),I685*AJ685,IF(OR(I685&lt;&gt;"",S685&lt;&gt;""),"tbd",""))</f>
        <v/>
      </c>
      <c r="S685" s="268"/>
      <c r="Y685" s="275" t="str">
        <f aca="false">IF(ISNUMBER(I685),I685/Netto_Faktor,"")</f>
        <v/>
      </c>
      <c r="Z685" s="275" t="str">
        <f aca="false">IF(B685="","",IF(COUNT(J685:N685)=0,"",SUM(J685:N685)))</f>
        <v/>
      </c>
      <c r="AA685" s="266"/>
      <c r="AB685" s="266"/>
      <c r="AC685" s="266"/>
      <c r="AD685" s="266"/>
      <c r="AE685" s="266"/>
      <c r="AF685" s="266"/>
      <c r="AG685" s="267"/>
      <c r="AH685" s="266" t="str">
        <f aca="false">IF(B685="","",IF(BA685="",IF(R685="WON","✅ belegt &amp; vollständig","✔ vollständig"),LEFT(BA685,LEN(BA685)-3)))</f>
        <v/>
      </c>
      <c r="AJ685" s="268" t="n">
        <f aca="false">IF(ISNUMBER(S685),IFERROR(LOOKUP(IF(S685&lt;=1,S685,S685/100),'⚖️ Wahrscheinlichkeit'!$B$17:$B$21,'⚖️ Wahrscheinlichkeit'!$D$17:$D$21),0),0)</f>
        <v>0</v>
      </c>
      <c r="AK685" s="1" t="str">
        <f aca="false">IF(AND(R685="WON",ISNUMBER(I685)),AL685+(861-ROW())*0.000001,"")</f>
        <v/>
      </c>
      <c r="AL685" s="1" t="n">
        <f aca="false">IFERROR(I685*1,0)</f>
        <v>0</v>
      </c>
      <c r="AM685" s="1" t="n">
        <f aca="false">N(AM684)+IF(AND(R685="WON",B685&lt;&gt;""),1,0)</f>
        <v>12</v>
      </c>
      <c r="AN685" s="1" t="n">
        <f aca="false">N(AN684)+IF(AND(OR(R685="offered",R685="to be offered",R685="on hold"),B685&lt;&gt;""),1,0)</f>
        <v>33</v>
      </c>
      <c r="AO685" s="1" t="n">
        <f aca="false">N(AO684)+IF(AND(OR(R685="follow-up",R685="Evaluation",R685="tbd",R685="In evaluation"),B685&lt;&gt;""),1,0)</f>
        <v>1</v>
      </c>
      <c r="AP685" s="1" t="n">
        <f aca="false">IF(B685="",0,IF(COUNTIF('⚖️ Wahrscheinlichkeit'!$J$17:$J$24,R685)&gt;0,1,0))</f>
        <v>0</v>
      </c>
      <c r="AQ685" s="1" t="n">
        <f aca="false">IF(B685="",0,IF(AND(ISNUMBER(S685),COUNTIF('⚖️ Wahrscheinlichkeit'!$B$6:$B$11,S685)&gt;0),1,0))</f>
        <v>0</v>
      </c>
      <c r="AR685" s="1" t="n">
        <f aca="false">IF(B685="",0,IF(AND(COUNT(J685:M685)=4,SUM(J685:M685)&gt;0),1,0))</f>
        <v>0</v>
      </c>
      <c r="AS685" s="1" t="n">
        <f aca="false">IF(B685="",0,IF(AND(AF685&lt;&gt;"",AG685&lt;&gt;""),1,0))</f>
        <v>0</v>
      </c>
      <c r="AT685" s="1" t="n">
        <f aca="false">IF(AND(R685="WON",AS685=1,AR685=1),1,0)</f>
        <v>0</v>
      </c>
      <c r="AU685" s="1" t="n">
        <f aca="false">IF(B685="",0,IF(AD685="Alternative – zählt nicht",0,1))</f>
        <v>0</v>
      </c>
      <c r="AV685" s="1" t="n">
        <f aca="false">IF(B685="",0,IF(COUNTIF($B$6:$B$860,B685)&gt;1,1,0))</f>
        <v>0</v>
      </c>
      <c r="AX685" s="269" t="str">
        <f aca="false">IF(AY685=1,DATE(YEAR(O685),MONTH(O685),1),"")</f>
        <v/>
      </c>
      <c r="AY685" s="1" t="n">
        <f aca="false">IF(B685="",0,IF(AND(ISNUMBER(O685),ISNUMBER(P685)),IF(P685&gt;=O685,1,0),0))</f>
        <v>0</v>
      </c>
      <c r="AZ685" s="1" t="n">
        <f aca="false">IF(ISNUMBER(Y685),Y685,0)</f>
        <v>0</v>
      </c>
      <c r="BA685" s="1" t="str">
        <f aca="false">IF(B685="","",IF(AND(R685="WON",AS685=0),"⛔ Beleg fehlt · ","")&amp;IF(AND(R685="WON",AR685=0),"⛔ Einstand fehlt · ","")&amp;IF(AND(R685&lt;&gt;"WON",AR685=0),"○ Einstand offen · ","")&amp;IF(AND(R685="WON",AB685=""),"⛔ Vertragsart fehlt · ","")&amp;IF(AND(ISNUMBER(O685),ISNUMBER(P685)),IF(P685&lt;O685,"⚠ Ende vor Start · ",""),"")&amp;IF(AND(R685="WON",AY685=0,NOT(AND(ISNUMBER(O685),ISNUMBER(P685)))),"⛔ Zeitraum fehlt · ","")&amp;IF(AND(R685&lt;&gt;"WON",AY685=0,NOT(AND(ISNUMBER(O685),ISNUMBER(P685)))),"○ Zeitraum offen · ",""))</f>
        <v/>
      </c>
      <c r="BB685" s="1" t="str">
        <f aca="false">IF(B685="","",IF(AND(R685="WON",AS685=0),"⛔ Nachweis fehlt",IF(AND(ISNUMBER(O685),ISNUMBER(P685),P685&lt;O685),"⚠ Ende vor Start",IF(AND(R685="WON",AY685=0),"⛔ Zeitraum fehlt",IF(AR685=0,"○ Einstand offen",IF(AY685=0,"○ Zeitraum offen",IF(R685="WON","✅ belegt","✔ erfasst")))))))</f>
        <v/>
      </c>
    </row>
    <row r="686" customFormat="false" ht="15" hidden="false" customHeight="true" outlineLevel="0" collapsed="false">
      <c r="G686" s="1" t="str">
        <f aca="false">IF(B686="","",IF(AY686=1,P686-O686+1,IF(AW686="","",AW686)))</f>
        <v/>
      </c>
      <c r="I686" s="270"/>
      <c r="J686" s="270"/>
      <c r="K686" s="270"/>
      <c r="L686" s="270"/>
      <c r="M686" s="270"/>
      <c r="N686" s="270"/>
      <c r="O686" s="263"/>
      <c r="P686" s="263"/>
      <c r="Q686" s="270" t="str">
        <f aca="false">IF(AND(ISNUMBER(I686),ISNUMBER(S686)),I686*AJ686,IF(OR(I686&lt;&gt;"",S686&lt;&gt;""),"tbd",""))</f>
        <v/>
      </c>
      <c r="S686" s="268"/>
      <c r="Y686" s="275" t="str">
        <f aca="false">IF(ISNUMBER(I686),I686/Netto_Faktor,"")</f>
        <v/>
      </c>
      <c r="Z686" s="275" t="str">
        <f aca="false">IF(B686="","",IF(COUNT(J686:N686)=0,"",SUM(J686:N686)))</f>
        <v/>
      </c>
      <c r="AA686" s="266"/>
      <c r="AB686" s="266"/>
      <c r="AC686" s="266"/>
      <c r="AD686" s="266"/>
      <c r="AE686" s="266"/>
      <c r="AF686" s="266"/>
      <c r="AG686" s="267"/>
      <c r="AH686" s="266" t="str">
        <f aca="false">IF(B686="","",IF(BA686="",IF(R686="WON","✅ belegt &amp; vollständig","✔ vollständig"),LEFT(BA686,LEN(BA686)-3)))</f>
        <v/>
      </c>
      <c r="AJ686" s="268" t="n">
        <f aca="false">IF(ISNUMBER(S686),IFERROR(LOOKUP(IF(S686&lt;=1,S686,S686/100),'⚖️ Wahrscheinlichkeit'!$B$17:$B$21,'⚖️ Wahrscheinlichkeit'!$D$17:$D$21),0),0)</f>
        <v>0</v>
      </c>
      <c r="AK686" s="1" t="str">
        <f aca="false">IF(AND(R686="WON",ISNUMBER(I686)),AL686+(861-ROW())*0.000001,"")</f>
        <v/>
      </c>
      <c r="AL686" s="1" t="n">
        <f aca="false">IFERROR(I686*1,0)</f>
        <v>0</v>
      </c>
      <c r="AM686" s="1" t="n">
        <f aca="false">N(AM685)+IF(AND(R686="WON",B686&lt;&gt;""),1,0)</f>
        <v>12</v>
      </c>
      <c r="AN686" s="1" t="n">
        <f aca="false">N(AN685)+IF(AND(OR(R686="offered",R686="to be offered",R686="on hold"),B686&lt;&gt;""),1,0)</f>
        <v>33</v>
      </c>
      <c r="AO686" s="1" t="n">
        <f aca="false">N(AO685)+IF(AND(OR(R686="follow-up",R686="Evaluation",R686="tbd",R686="In evaluation"),B686&lt;&gt;""),1,0)</f>
        <v>1</v>
      </c>
      <c r="AP686" s="1" t="n">
        <f aca="false">IF(B686="",0,IF(COUNTIF('⚖️ Wahrscheinlichkeit'!$J$17:$J$24,R686)&gt;0,1,0))</f>
        <v>0</v>
      </c>
      <c r="AQ686" s="1" t="n">
        <f aca="false">IF(B686="",0,IF(AND(ISNUMBER(S686),COUNTIF('⚖️ Wahrscheinlichkeit'!$B$6:$B$11,S686)&gt;0),1,0))</f>
        <v>0</v>
      </c>
      <c r="AR686" s="1" t="n">
        <f aca="false">IF(B686="",0,IF(AND(COUNT(J686:M686)=4,SUM(J686:M686)&gt;0),1,0))</f>
        <v>0</v>
      </c>
      <c r="AS686" s="1" t="n">
        <f aca="false">IF(B686="",0,IF(AND(AF686&lt;&gt;"",AG686&lt;&gt;""),1,0))</f>
        <v>0</v>
      </c>
      <c r="AT686" s="1" t="n">
        <f aca="false">IF(AND(R686="WON",AS686=1,AR686=1),1,0)</f>
        <v>0</v>
      </c>
      <c r="AU686" s="1" t="n">
        <f aca="false">IF(B686="",0,IF(AD686="Alternative – zählt nicht",0,1))</f>
        <v>0</v>
      </c>
      <c r="AV686" s="1" t="n">
        <f aca="false">IF(B686="",0,IF(COUNTIF($B$6:$B$860,B686)&gt;1,1,0))</f>
        <v>0</v>
      </c>
      <c r="AX686" s="269" t="str">
        <f aca="false">IF(AY686=1,DATE(YEAR(O686),MONTH(O686),1),"")</f>
        <v/>
      </c>
      <c r="AY686" s="1" t="n">
        <f aca="false">IF(B686="",0,IF(AND(ISNUMBER(O686),ISNUMBER(P686)),IF(P686&gt;=O686,1,0),0))</f>
        <v>0</v>
      </c>
      <c r="AZ686" s="1" t="n">
        <f aca="false">IF(ISNUMBER(Y686),Y686,0)</f>
        <v>0</v>
      </c>
      <c r="BA686" s="1" t="str">
        <f aca="false">IF(B686="","",IF(AND(R686="WON",AS686=0),"⛔ Beleg fehlt · ","")&amp;IF(AND(R686="WON",AR686=0),"⛔ Einstand fehlt · ","")&amp;IF(AND(R686&lt;&gt;"WON",AR686=0),"○ Einstand offen · ","")&amp;IF(AND(R686="WON",AB686=""),"⛔ Vertragsart fehlt · ","")&amp;IF(AND(ISNUMBER(O686),ISNUMBER(P686)),IF(P686&lt;O686,"⚠ Ende vor Start · ",""),"")&amp;IF(AND(R686="WON",AY686=0,NOT(AND(ISNUMBER(O686),ISNUMBER(P686)))),"⛔ Zeitraum fehlt · ","")&amp;IF(AND(R686&lt;&gt;"WON",AY686=0,NOT(AND(ISNUMBER(O686),ISNUMBER(P686)))),"○ Zeitraum offen · ",""))</f>
        <v/>
      </c>
      <c r="BB686" s="1" t="str">
        <f aca="false">IF(B686="","",IF(AND(R686="WON",AS686=0),"⛔ Nachweis fehlt",IF(AND(ISNUMBER(O686),ISNUMBER(P686),P686&lt;O686),"⚠ Ende vor Start",IF(AND(R686="WON",AY686=0),"⛔ Zeitraum fehlt",IF(AR686=0,"○ Einstand offen",IF(AY686=0,"○ Zeitraum offen",IF(R686="WON","✅ belegt","✔ erfasst")))))))</f>
        <v/>
      </c>
    </row>
    <row r="687" customFormat="false" ht="15" hidden="false" customHeight="true" outlineLevel="0" collapsed="false">
      <c r="G687" s="1" t="str">
        <f aca="false">IF(B687="","",IF(AY687=1,P687-O687+1,IF(AW687="","",AW687)))</f>
        <v/>
      </c>
      <c r="I687" s="270"/>
      <c r="J687" s="270"/>
      <c r="K687" s="270"/>
      <c r="L687" s="270"/>
      <c r="M687" s="270"/>
      <c r="N687" s="270"/>
      <c r="O687" s="263"/>
      <c r="P687" s="263"/>
      <c r="Q687" s="270" t="str">
        <f aca="false">IF(AND(ISNUMBER(I687),ISNUMBER(S687)),I687*AJ687,IF(OR(I687&lt;&gt;"",S687&lt;&gt;""),"tbd",""))</f>
        <v/>
      </c>
      <c r="S687" s="268"/>
      <c r="Y687" s="275" t="str">
        <f aca="false">IF(ISNUMBER(I687),I687/Netto_Faktor,"")</f>
        <v/>
      </c>
      <c r="Z687" s="275" t="str">
        <f aca="false">IF(B687="","",IF(COUNT(J687:N687)=0,"",SUM(J687:N687)))</f>
        <v/>
      </c>
      <c r="AA687" s="266"/>
      <c r="AB687" s="266"/>
      <c r="AC687" s="266"/>
      <c r="AD687" s="266"/>
      <c r="AE687" s="266"/>
      <c r="AF687" s="266"/>
      <c r="AG687" s="267"/>
      <c r="AH687" s="266" t="str">
        <f aca="false">IF(B687="","",IF(BA687="",IF(R687="WON","✅ belegt &amp; vollständig","✔ vollständig"),LEFT(BA687,LEN(BA687)-3)))</f>
        <v/>
      </c>
      <c r="AJ687" s="268" t="n">
        <f aca="false">IF(ISNUMBER(S687),IFERROR(LOOKUP(IF(S687&lt;=1,S687,S687/100),'⚖️ Wahrscheinlichkeit'!$B$17:$B$21,'⚖️ Wahrscheinlichkeit'!$D$17:$D$21),0),0)</f>
        <v>0</v>
      </c>
      <c r="AK687" s="1" t="str">
        <f aca="false">IF(AND(R687="WON",ISNUMBER(I687)),AL687+(861-ROW())*0.000001,"")</f>
        <v/>
      </c>
      <c r="AL687" s="1" t="n">
        <f aca="false">IFERROR(I687*1,0)</f>
        <v>0</v>
      </c>
      <c r="AM687" s="1" t="n">
        <f aca="false">N(AM686)+IF(AND(R687="WON",B687&lt;&gt;""),1,0)</f>
        <v>12</v>
      </c>
      <c r="AN687" s="1" t="n">
        <f aca="false">N(AN686)+IF(AND(OR(R687="offered",R687="to be offered",R687="on hold"),B687&lt;&gt;""),1,0)</f>
        <v>33</v>
      </c>
      <c r="AO687" s="1" t="n">
        <f aca="false">N(AO686)+IF(AND(OR(R687="follow-up",R687="Evaluation",R687="tbd",R687="In evaluation"),B687&lt;&gt;""),1,0)</f>
        <v>1</v>
      </c>
      <c r="AP687" s="1" t="n">
        <f aca="false">IF(B687="",0,IF(COUNTIF('⚖️ Wahrscheinlichkeit'!$J$17:$J$24,R687)&gt;0,1,0))</f>
        <v>0</v>
      </c>
      <c r="AQ687" s="1" t="n">
        <f aca="false">IF(B687="",0,IF(AND(ISNUMBER(S687),COUNTIF('⚖️ Wahrscheinlichkeit'!$B$6:$B$11,S687)&gt;0),1,0))</f>
        <v>0</v>
      </c>
      <c r="AR687" s="1" t="n">
        <f aca="false">IF(B687="",0,IF(AND(COUNT(J687:M687)=4,SUM(J687:M687)&gt;0),1,0))</f>
        <v>0</v>
      </c>
      <c r="AS687" s="1" t="n">
        <f aca="false">IF(B687="",0,IF(AND(AF687&lt;&gt;"",AG687&lt;&gt;""),1,0))</f>
        <v>0</v>
      </c>
      <c r="AT687" s="1" t="n">
        <f aca="false">IF(AND(R687="WON",AS687=1,AR687=1),1,0)</f>
        <v>0</v>
      </c>
      <c r="AU687" s="1" t="n">
        <f aca="false">IF(B687="",0,IF(AD687="Alternative – zählt nicht",0,1))</f>
        <v>0</v>
      </c>
      <c r="AV687" s="1" t="n">
        <f aca="false">IF(B687="",0,IF(COUNTIF($B$6:$B$860,B687)&gt;1,1,0))</f>
        <v>0</v>
      </c>
      <c r="AX687" s="269" t="str">
        <f aca="false">IF(AY687=1,DATE(YEAR(O687),MONTH(O687),1),"")</f>
        <v/>
      </c>
      <c r="AY687" s="1" t="n">
        <f aca="false">IF(B687="",0,IF(AND(ISNUMBER(O687),ISNUMBER(P687)),IF(P687&gt;=O687,1,0),0))</f>
        <v>0</v>
      </c>
      <c r="AZ687" s="1" t="n">
        <f aca="false">IF(ISNUMBER(Y687),Y687,0)</f>
        <v>0</v>
      </c>
      <c r="BA687" s="1" t="str">
        <f aca="false">IF(B687="","",IF(AND(R687="WON",AS687=0),"⛔ Beleg fehlt · ","")&amp;IF(AND(R687="WON",AR687=0),"⛔ Einstand fehlt · ","")&amp;IF(AND(R687&lt;&gt;"WON",AR687=0),"○ Einstand offen · ","")&amp;IF(AND(R687="WON",AB687=""),"⛔ Vertragsart fehlt · ","")&amp;IF(AND(ISNUMBER(O687),ISNUMBER(P687)),IF(P687&lt;O687,"⚠ Ende vor Start · ",""),"")&amp;IF(AND(R687="WON",AY687=0,NOT(AND(ISNUMBER(O687),ISNUMBER(P687)))),"⛔ Zeitraum fehlt · ","")&amp;IF(AND(R687&lt;&gt;"WON",AY687=0,NOT(AND(ISNUMBER(O687),ISNUMBER(P687)))),"○ Zeitraum offen · ",""))</f>
        <v/>
      </c>
      <c r="BB687" s="1" t="str">
        <f aca="false">IF(B687="","",IF(AND(R687="WON",AS687=0),"⛔ Nachweis fehlt",IF(AND(ISNUMBER(O687),ISNUMBER(P687),P687&lt;O687),"⚠ Ende vor Start",IF(AND(R687="WON",AY687=0),"⛔ Zeitraum fehlt",IF(AR687=0,"○ Einstand offen",IF(AY687=0,"○ Zeitraum offen",IF(R687="WON","✅ belegt","✔ erfasst")))))))</f>
        <v/>
      </c>
    </row>
    <row r="688" customFormat="false" ht="15" hidden="false" customHeight="true" outlineLevel="0" collapsed="false">
      <c r="G688" s="1" t="str">
        <f aca="false">IF(B688="","",IF(AY688=1,P688-O688+1,IF(AW688="","",AW688)))</f>
        <v/>
      </c>
      <c r="I688" s="270"/>
      <c r="J688" s="270"/>
      <c r="K688" s="270"/>
      <c r="L688" s="270"/>
      <c r="M688" s="270"/>
      <c r="N688" s="270"/>
      <c r="O688" s="263"/>
      <c r="P688" s="263"/>
      <c r="Q688" s="270" t="str">
        <f aca="false">IF(AND(ISNUMBER(I688),ISNUMBER(S688)),I688*AJ688,IF(OR(I688&lt;&gt;"",S688&lt;&gt;""),"tbd",""))</f>
        <v/>
      </c>
      <c r="S688" s="268"/>
      <c r="Y688" s="275" t="str">
        <f aca="false">IF(ISNUMBER(I688),I688/Netto_Faktor,"")</f>
        <v/>
      </c>
      <c r="Z688" s="275" t="str">
        <f aca="false">IF(B688="","",IF(COUNT(J688:N688)=0,"",SUM(J688:N688)))</f>
        <v/>
      </c>
      <c r="AA688" s="266"/>
      <c r="AB688" s="266"/>
      <c r="AC688" s="266"/>
      <c r="AD688" s="266"/>
      <c r="AE688" s="266"/>
      <c r="AF688" s="266"/>
      <c r="AG688" s="267"/>
      <c r="AH688" s="266" t="str">
        <f aca="false">IF(B688="","",IF(BA688="",IF(R688="WON","✅ belegt &amp; vollständig","✔ vollständig"),LEFT(BA688,LEN(BA688)-3)))</f>
        <v/>
      </c>
      <c r="AJ688" s="268" t="n">
        <f aca="false">IF(ISNUMBER(S688),IFERROR(LOOKUP(IF(S688&lt;=1,S688,S688/100),'⚖️ Wahrscheinlichkeit'!$B$17:$B$21,'⚖️ Wahrscheinlichkeit'!$D$17:$D$21),0),0)</f>
        <v>0</v>
      </c>
      <c r="AK688" s="1" t="str">
        <f aca="false">IF(AND(R688="WON",ISNUMBER(I688)),AL688+(861-ROW())*0.000001,"")</f>
        <v/>
      </c>
      <c r="AL688" s="1" t="n">
        <f aca="false">IFERROR(I688*1,0)</f>
        <v>0</v>
      </c>
      <c r="AM688" s="1" t="n">
        <f aca="false">N(AM687)+IF(AND(R688="WON",B688&lt;&gt;""),1,0)</f>
        <v>12</v>
      </c>
      <c r="AN688" s="1" t="n">
        <f aca="false">N(AN687)+IF(AND(OR(R688="offered",R688="to be offered",R688="on hold"),B688&lt;&gt;""),1,0)</f>
        <v>33</v>
      </c>
      <c r="AO688" s="1" t="n">
        <f aca="false">N(AO687)+IF(AND(OR(R688="follow-up",R688="Evaluation",R688="tbd",R688="In evaluation"),B688&lt;&gt;""),1,0)</f>
        <v>1</v>
      </c>
      <c r="AP688" s="1" t="n">
        <f aca="false">IF(B688="",0,IF(COUNTIF('⚖️ Wahrscheinlichkeit'!$J$17:$J$24,R688)&gt;0,1,0))</f>
        <v>0</v>
      </c>
      <c r="AQ688" s="1" t="n">
        <f aca="false">IF(B688="",0,IF(AND(ISNUMBER(S688),COUNTIF('⚖️ Wahrscheinlichkeit'!$B$6:$B$11,S688)&gt;0),1,0))</f>
        <v>0</v>
      </c>
      <c r="AR688" s="1" t="n">
        <f aca="false">IF(B688="",0,IF(AND(COUNT(J688:M688)=4,SUM(J688:M688)&gt;0),1,0))</f>
        <v>0</v>
      </c>
      <c r="AS688" s="1" t="n">
        <f aca="false">IF(B688="",0,IF(AND(AF688&lt;&gt;"",AG688&lt;&gt;""),1,0))</f>
        <v>0</v>
      </c>
      <c r="AT688" s="1" t="n">
        <f aca="false">IF(AND(R688="WON",AS688=1,AR688=1),1,0)</f>
        <v>0</v>
      </c>
      <c r="AU688" s="1" t="n">
        <f aca="false">IF(B688="",0,IF(AD688="Alternative – zählt nicht",0,1))</f>
        <v>0</v>
      </c>
      <c r="AV688" s="1" t="n">
        <f aca="false">IF(B688="",0,IF(COUNTIF($B$6:$B$860,B688)&gt;1,1,0))</f>
        <v>0</v>
      </c>
      <c r="AX688" s="269" t="str">
        <f aca="false">IF(AY688=1,DATE(YEAR(O688),MONTH(O688),1),"")</f>
        <v/>
      </c>
      <c r="AY688" s="1" t="n">
        <f aca="false">IF(B688="",0,IF(AND(ISNUMBER(O688),ISNUMBER(P688)),IF(P688&gt;=O688,1,0),0))</f>
        <v>0</v>
      </c>
      <c r="AZ688" s="1" t="n">
        <f aca="false">IF(ISNUMBER(Y688),Y688,0)</f>
        <v>0</v>
      </c>
      <c r="BA688" s="1" t="str">
        <f aca="false">IF(B688="","",IF(AND(R688="WON",AS688=0),"⛔ Beleg fehlt · ","")&amp;IF(AND(R688="WON",AR688=0),"⛔ Einstand fehlt · ","")&amp;IF(AND(R688&lt;&gt;"WON",AR688=0),"○ Einstand offen · ","")&amp;IF(AND(R688="WON",AB688=""),"⛔ Vertragsart fehlt · ","")&amp;IF(AND(ISNUMBER(O688),ISNUMBER(P688)),IF(P688&lt;O688,"⚠ Ende vor Start · ",""),"")&amp;IF(AND(R688="WON",AY688=0,NOT(AND(ISNUMBER(O688),ISNUMBER(P688)))),"⛔ Zeitraum fehlt · ","")&amp;IF(AND(R688&lt;&gt;"WON",AY688=0,NOT(AND(ISNUMBER(O688),ISNUMBER(P688)))),"○ Zeitraum offen · ",""))</f>
        <v/>
      </c>
      <c r="BB688" s="1" t="str">
        <f aca="false">IF(B688="","",IF(AND(R688="WON",AS688=0),"⛔ Nachweis fehlt",IF(AND(ISNUMBER(O688),ISNUMBER(P688),P688&lt;O688),"⚠ Ende vor Start",IF(AND(R688="WON",AY688=0),"⛔ Zeitraum fehlt",IF(AR688=0,"○ Einstand offen",IF(AY688=0,"○ Zeitraum offen",IF(R688="WON","✅ belegt","✔ erfasst")))))))</f>
        <v/>
      </c>
    </row>
    <row r="689" customFormat="false" ht="15" hidden="false" customHeight="true" outlineLevel="0" collapsed="false">
      <c r="G689" s="1" t="str">
        <f aca="false">IF(B689="","",IF(AY689=1,P689-O689+1,IF(AW689="","",AW689)))</f>
        <v/>
      </c>
      <c r="I689" s="270"/>
      <c r="J689" s="270"/>
      <c r="K689" s="270"/>
      <c r="L689" s="270"/>
      <c r="M689" s="270"/>
      <c r="N689" s="270"/>
      <c r="O689" s="263"/>
      <c r="P689" s="263"/>
      <c r="Q689" s="270" t="str">
        <f aca="false">IF(AND(ISNUMBER(I689),ISNUMBER(S689)),I689*AJ689,IF(OR(I689&lt;&gt;"",S689&lt;&gt;""),"tbd",""))</f>
        <v/>
      </c>
      <c r="S689" s="268"/>
      <c r="Y689" s="275" t="str">
        <f aca="false">IF(ISNUMBER(I689),I689/Netto_Faktor,"")</f>
        <v/>
      </c>
      <c r="Z689" s="275" t="str">
        <f aca="false">IF(B689="","",IF(COUNT(J689:N689)=0,"",SUM(J689:N689)))</f>
        <v/>
      </c>
      <c r="AA689" s="266"/>
      <c r="AB689" s="266"/>
      <c r="AC689" s="266"/>
      <c r="AD689" s="266"/>
      <c r="AE689" s="266"/>
      <c r="AF689" s="266"/>
      <c r="AG689" s="267"/>
      <c r="AH689" s="266" t="str">
        <f aca="false">IF(B689="","",IF(BA689="",IF(R689="WON","✅ belegt &amp; vollständig","✔ vollständig"),LEFT(BA689,LEN(BA689)-3)))</f>
        <v/>
      </c>
      <c r="AJ689" s="268" t="n">
        <f aca="false">IF(ISNUMBER(S689),IFERROR(LOOKUP(IF(S689&lt;=1,S689,S689/100),'⚖️ Wahrscheinlichkeit'!$B$17:$B$21,'⚖️ Wahrscheinlichkeit'!$D$17:$D$21),0),0)</f>
        <v>0</v>
      </c>
      <c r="AK689" s="1" t="str">
        <f aca="false">IF(AND(R689="WON",ISNUMBER(I689)),AL689+(861-ROW())*0.000001,"")</f>
        <v/>
      </c>
      <c r="AL689" s="1" t="n">
        <f aca="false">IFERROR(I689*1,0)</f>
        <v>0</v>
      </c>
      <c r="AM689" s="1" t="n">
        <f aca="false">N(AM688)+IF(AND(R689="WON",B689&lt;&gt;""),1,0)</f>
        <v>12</v>
      </c>
      <c r="AN689" s="1" t="n">
        <f aca="false">N(AN688)+IF(AND(OR(R689="offered",R689="to be offered",R689="on hold"),B689&lt;&gt;""),1,0)</f>
        <v>33</v>
      </c>
      <c r="AO689" s="1" t="n">
        <f aca="false">N(AO688)+IF(AND(OR(R689="follow-up",R689="Evaluation",R689="tbd",R689="In evaluation"),B689&lt;&gt;""),1,0)</f>
        <v>1</v>
      </c>
      <c r="AP689" s="1" t="n">
        <f aca="false">IF(B689="",0,IF(COUNTIF('⚖️ Wahrscheinlichkeit'!$J$17:$J$24,R689)&gt;0,1,0))</f>
        <v>0</v>
      </c>
      <c r="AQ689" s="1" t="n">
        <f aca="false">IF(B689="",0,IF(AND(ISNUMBER(S689),COUNTIF('⚖️ Wahrscheinlichkeit'!$B$6:$B$11,S689)&gt;0),1,0))</f>
        <v>0</v>
      </c>
      <c r="AR689" s="1" t="n">
        <f aca="false">IF(B689="",0,IF(AND(COUNT(J689:M689)=4,SUM(J689:M689)&gt;0),1,0))</f>
        <v>0</v>
      </c>
      <c r="AS689" s="1" t="n">
        <f aca="false">IF(B689="",0,IF(AND(AF689&lt;&gt;"",AG689&lt;&gt;""),1,0))</f>
        <v>0</v>
      </c>
      <c r="AT689" s="1" t="n">
        <f aca="false">IF(AND(R689="WON",AS689=1,AR689=1),1,0)</f>
        <v>0</v>
      </c>
      <c r="AU689" s="1" t="n">
        <f aca="false">IF(B689="",0,IF(AD689="Alternative – zählt nicht",0,1))</f>
        <v>0</v>
      </c>
      <c r="AV689" s="1" t="n">
        <f aca="false">IF(B689="",0,IF(COUNTIF($B$6:$B$860,B689)&gt;1,1,0))</f>
        <v>0</v>
      </c>
      <c r="AX689" s="269" t="str">
        <f aca="false">IF(AY689=1,DATE(YEAR(O689),MONTH(O689),1),"")</f>
        <v/>
      </c>
      <c r="AY689" s="1" t="n">
        <f aca="false">IF(B689="",0,IF(AND(ISNUMBER(O689),ISNUMBER(P689)),IF(P689&gt;=O689,1,0),0))</f>
        <v>0</v>
      </c>
      <c r="AZ689" s="1" t="n">
        <f aca="false">IF(ISNUMBER(Y689),Y689,0)</f>
        <v>0</v>
      </c>
      <c r="BA689" s="1" t="str">
        <f aca="false">IF(B689="","",IF(AND(R689="WON",AS689=0),"⛔ Beleg fehlt · ","")&amp;IF(AND(R689="WON",AR689=0),"⛔ Einstand fehlt · ","")&amp;IF(AND(R689&lt;&gt;"WON",AR689=0),"○ Einstand offen · ","")&amp;IF(AND(R689="WON",AB689=""),"⛔ Vertragsart fehlt · ","")&amp;IF(AND(ISNUMBER(O689),ISNUMBER(P689)),IF(P689&lt;O689,"⚠ Ende vor Start · ",""),"")&amp;IF(AND(R689="WON",AY689=0,NOT(AND(ISNUMBER(O689),ISNUMBER(P689)))),"⛔ Zeitraum fehlt · ","")&amp;IF(AND(R689&lt;&gt;"WON",AY689=0,NOT(AND(ISNUMBER(O689),ISNUMBER(P689)))),"○ Zeitraum offen · ",""))</f>
        <v/>
      </c>
      <c r="BB689" s="1" t="str">
        <f aca="false">IF(B689="","",IF(AND(R689="WON",AS689=0),"⛔ Nachweis fehlt",IF(AND(ISNUMBER(O689),ISNUMBER(P689),P689&lt;O689),"⚠ Ende vor Start",IF(AND(R689="WON",AY689=0),"⛔ Zeitraum fehlt",IF(AR689=0,"○ Einstand offen",IF(AY689=0,"○ Zeitraum offen",IF(R689="WON","✅ belegt","✔ erfasst")))))))</f>
        <v/>
      </c>
    </row>
    <row r="690" customFormat="false" ht="15" hidden="false" customHeight="true" outlineLevel="0" collapsed="false">
      <c r="G690" s="1" t="str">
        <f aca="false">IF(B690="","",IF(AY690=1,P690-O690+1,IF(AW690="","",AW690)))</f>
        <v/>
      </c>
      <c r="I690" s="270"/>
      <c r="J690" s="270"/>
      <c r="K690" s="270"/>
      <c r="L690" s="270"/>
      <c r="M690" s="270"/>
      <c r="N690" s="270"/>
      <c r="O690" s="263"/>
      <c r="P690" s="263"/>
      <c r="Q690" s="270" t="str">
        <f aca="false">IF(AND(ISNUMBER(I690),ISNUMBER(S690)),I690*AJ690,IF(OR(I690&lt;&gt;"",S690&lt;&gt;""),"tbd",""))</f>
        <v/>
      </c>
      <c r="S690" s="268"/>
      <c r="Y690" s="275" t="str">
        <f aca="false">IF(ISNUMBER(I690),I690/Netto_Faktor,"")</f>
        <v/>
      </c>
      <c r="Z690" s="275" t="str">
        <f aca="false">IF(B690="","",IF(COUNT(J690:N690)=0,"",SUM(J690:N690)))</f>
        <v/>
      </c>
      <c r="AA690" s="266"/>
      <c r="AB690" s="266"/>
      <c r="AC690" s="266"/>
      <c r="AD690" s="266"/>
      <c r="AE690" s="266"/>
      <c r="AF690" s="266"/>
      <c r="AG690" s="267"/>
      <c r="AH690" s="266" t="str">
        <f aca="false">IF(B690="","",IF(BA690="",IF(R690="WON","✅ belegt &amp; vollständig","✔ vollständig"),LEFT(BA690,LEN(BA690)-3)))</f>
        <v/>
      </c>
      <c r="AJ690" s="268" t="n">
        <f aca="false">IF(ISNUMBER(S690),IFERROR(LOOKUP(IF(S690&lt;=1,S690,S690/100),'⚖️ Wahrscheinlichkeit'!$B$17:$B$21,'⚖️ Wahrscheinlichkeit'!$D$17:$D$21),0),0)</f>
        <v>0</v>
      </c>
      <c r="AK690" s="1" t="str">
        <f aca="false">IF(AND(R690="WON",ISNUMBER(I690)),AL690+(861-ROW())*0.000001,"")</f>
        <v/>
      </c>
      <c r="AL690" s="1" t="n">
        <f aca="false">IFERROR(I690*1,0)</f>
        <v>0</v>
      </c>
      <c r="AM690" s="1" t="n">
        <f aca="false">N(AM689)+IF(AND(R690="WON",B690&lt;&gt;""),1,0)</f>
        <v>12</v>
      </c>
      <c r="AN690" s="1" t="n">
        <f aca="false">N(AN689)+IF(AND(OR(R690="offered",R690="to be offered",R690="on hold"),B690&lt;&gt;""),1,0)</f>
        <v>33</v>
      </c>
      <c r="AO690" s="1" t="n">
        <f aca="false">N(AO689)+IF(AND(OR(R690="follow-up",R690="Evaluation",R690="tbd",R690="In evaluation"),B690&lt;&gt;""),1,0)</f>
        <v>1</v>
      </c>
      <c r="AP690" s="1" t="n">
        <f aca="false">IF(B690="",0,IF(COUNTIF('⚖️ Wahrscheinlichkeit'!$J$17:$J$24,R690)&gt;0,1,0))</f>
        <v>0</v>
      </c>
      <c r="AQ690" s="1" t="n">
        <f aca="false">IF(B690="",0,IF(AND(ISNUMBER(S690),COUNTIF('⚖️ Wahrscheinlichkeit'!$B$6:$B$11,S690)&gt;0),1,0))</f>
        <v>0</v>
      </c>
      <c r="AR690" s="1" t="n">
        <f aca="false">IF(B690="",0,IF(AND(COUNT(J690:M690)=4,SUM(J690:M690)&gt;0),1,0))</f>
        <v>0</v>
      </c>
      <c r="AS690" s="1" t="n">
        <f aca="false">IF(B690="",0,IF(AND(AF690&lt;&gt;"",AG690&lt;&gt;""),1,0))</f>
        <v>0</v>
      </c>
      <c r="AT690" s="1" t="n">
        <f aca="false">IF(AND(R690="WON",AS690=1,AR690=1),1,0)</f>
        <v>0</v>
      </c>
      <c r="AU690" s="1" t="n">
        <f aca="false">IF(B690="",0,IF(AD690="Alternative – zählt nicht",0,1))</f>
        <v>0</v>
      </c>
      <c r="AV690" s="1" t="n">
        <f aca="false">IF(B690="",0,IF(COUNTIF($B$6:$B$860,B690)&gt;1,1,0))</f>
        <v>0</v>
      </c>
      <c r="AX690" s="269" t="str">
        <f aca="false">IF(AY690=1,DATE(YEAR(O690),MONTH(O690),1),"")</f>
        <v/>
      </c>
      <c r="AY690" s="1" t="n">
        <f aca="false">IF(B690="",0,IF(AND(ISNUMBER(O690),ISNUMBER(P690)),IF(P690&gt;=O690,1,0),0))</f>
        <v>0</v>
      </c>
      <c r="AZ690" s="1" t="n">
        <f aca="false">IF(ISNUMBER(Y690),Y690,0)</f>
        <v>0</v>
      </c>
      <c r="BA690" s="1" t="str">
        <f aca="false">IF(B690="","",IF(AND(R690="WON",AS690=0),"⛔ Beleg fehlt · ","")&amp;IF(AND(R690="WON",AR690=0),"⛔ Einstand fehlt · ","")&amp;IF(AND(R690&lt;&gt;"WON",AR690=0),"○ Einstand offen · ","")&amp;IF(AND(R690="WON",AB690=""),"⛔ Vertragsart fehlt · ","")&amp;IF(AND(ISNUMBER(O690),ISNUMBER(P690)),IF(P690&lt;O690,"⚠ Ende vor Start · ",""),"")&amp;IF(AND(R690="WON",AY690=0,NOT(AND(ISNUMBER(O690),ISNUMBER(P690)))),"⛔ Zeitraum fehlt · ","")&amp;IF(AND(R690&lt;&gt;"WON",AY690=0,NOT(AND(ISNUMBER(O690),ISNUMBER(P690)))),"○ Zeitraum offen · ",""))</f>
        <v/>
      </c>
      <c r="BB690" s="1" t="str">
        <f aca="false">IF(B690="","",IF(AND(R690="WON",AS690=0),"⛔ Nachweis fehlt",IF(AND(ISNUMBER(O690),ISNUMBER(P690),P690&lt;O690),"⚠ Ende vor Start",IF(AND(R690="WON",AY690=0),"⛔ Zeitraum fehlt",IF(AR690=0,"○ Einstand offen",IF(AY690=0,"○ Zeitraum offen",IF(R690="WON","✅ belegt","✔ erfasst")))))))</f>
        <v/>
      </c>
    </row>
    <row r="691" customFormat="false" ht="15" hidden="false" customHeight="true" outlineLevel="0" collapsed="false">
      <c r="G691" s="1" t="str">
        <f aca="false">IF(B691="","",IF(AY691=1,P691-O691+1,IF(AW691="","",AW691)))</f>
        <v/>
      </c>
      <c r="I691" s="270"/>
      <c r="J691" s="270"/>
      <c r="K691" s="270"/>
      <c r="L691" s="270"/>
      <c r="M691" s="270"/>
      <c r="N691" s="270"/>
      <c r="O691" s="263"/>
      <c r="P691" s="263"/>
      <c r="Q691" s="270" t="str">
        <f aca="false">IF(AND(ISNUMBER(I691),ISNUMBER(S691)),I691*AJ691,IF(OR(I691&lt;&gt;"",S691&lt;&gt;""),"tbd",""))</f>
        <v/>
      </c>
      <c r="S691" s="268"/>
      <c r="Y691" s="275" t="str">
        <f aca="false">IF(ISNUMBER(I691),I691/Netto_Faktor,"")</f>
        <v/>
      </c>
      <c r="Z691" s="275" t="str">
        <f aca="false">IF(B691="","",IF(COUNT(J691:N691)=0,"",SUM(J691:N691)))</f>
        <v/>
      </c>
      <c r="AA691" s="266"/>
      <c r="AB691" s="266"/>
      <c r="AC691" s="266"/>
      <c r="AD691" s="266"/>
      <c r="AE691" s="266"/>
      <c r="AF691" s="266"/>
      <c r="AG691" s="267"/>
      <c r="AH691" s="266" t="str">
        <f aca="false">IF(B691="","",IF(BA691="",IF(R691="WON","✅ belegt &amp; vollständig","✔ vollständig"),LEFT(BA691,LEN(BA691)-3)))</f>
        <v/>
      </c>
      <c r="AJ691" s="268" t="n">
        <f aca="false">IF(ISNUMBER(S691),IFERROR(LOOKUP(IF(S691&lt;=1,S691,S691/100),'⚖️ Wahrscheinlichkeit'!$B$17:$B$21,'⚖️ Wahrscheinlichkeit'!$D$17:$D$21),0),0)</f>
        <v>0</v>
      </c>
      <c r="AK691" s="1" t="str">
        <f aca="false">IF(AND(R691="WON",ISNUMBER(I691)),AL691+(861-ROW())*0.000001,"")</f>
        <v/>
      </c>
      <c r="AL691" s="1" t="n">
        <f aca="false">IFERROR(I691*1,0)</f>
        <v>0</v>
      </c>
      <c r="AM691" s="1" t="n">
        <f aca="false">N(AM690)+IF(AND(R691="WON",B691&lt;&gt;""),1,0)</f>
        <v>12</v>
      </c>
      <c r="AN691" s="1" t="n">
        <f aca="false">N(AN690)+IF(AND(OR(R691="offered",R691="to be offered",R691="on hold"),B691&lt;&gt;""),1,0)</f>
        <v>33</v>
      </c>
      <c r="AO691" s="1" t="n">
        <f aca="false">N(AO690)+IF(AND(OR(R691="follow-up",R691="Evaluation",R691="tbd",R691="In evaluation"),B691&lt;&gt;""),1,0)</f>
        <v>1</v>
      </c>
      <c r="AP691" s="1" t="n">
        <f aca="false">IF(B691="",0,IF(COUNTIF('⚖️ Wahrscheinlichkeit'!$J$17:$J$24,R691)&gt;0,1,0))</f>
        <v>0</v>
      </c>
      <c r="AQ691" s="1" t="n">
        <f aca="false">IF(B691="",0,IF(AND(ISNUMBER(S691),COUNTIF('⚖️ Wahrscheinlichkeit'!$B$6:$B$11,S691)&gt;0),1,0))</f>
        <v>0</v>
      </c>
      <c r="AR691" s="1" t="n">
        <f aca="false">IF(B691="",0,IF(AND(COUNT(J691:M691)=4,SUM(J691:M691)&gt;0),1,0))</f>
        <v>0</v>
      </c>
      <c r="AS691" s="1" t="n">
        <f aca="false">IF(B691="",0,IF(AND(AF691&lt;&gt;"",AG691&lt;&gt;""),1,0))</f>
        <v>0</v>
      </c>
      <c r="AT691" s="1" t="n">
        <f aca="false">IF(AND(R691="WON",AS691=1,AR691=1),1,0)</f>
        <v>0</v>
      </c>
      <c r="AU691" s="1" t="n">
        <f aca="false">IF(B691="",0,IF(AD691="Alternative – zählt nicht",0,1))</f>
        <v>0</v>
      </c>
      <c r="AV691" s="1" t="n">
        <f aca="false">IF(B691="",0,IF(COUNTIF($B$6:$B$860,B691)&gt;1,1,0))</f>
        <v>0</v>
      </c>
      <c r="AX691" s="269" t="str">
        <f aca="false">IF(AY691=1,DATE(YEAR(O691),MONTH(O691),1),"")</f>
        <v/>
      </c>
      <c r="AY691" s="1" t="n">
        <f aca="false">IF(B691="",0,IF(AND(ISNUMBER(O691),ISNUMBER(P691)),IF(P691&gt;=O691,1,0),0))</f>
        <v>0</v>
      </c>
      <c r="AZ691" s="1" t="n">
        <f aca="false">IF(ISNUMBER(Y691),Y691,0)</f>
        <v>0</v>
      </c>
      <c r="BA691" s="1" t="str">
        <f aca="false">IF(B691="","",IF(AND(R691="WON",AS691=0),"⛔ Beleg fehlt · ","")&amp;IF(AND(R691="WON",AR691=0),"⛔ Einstand fehlt · ","")&amp;IF(AND(R691&lt;&gt;"WON",AR691=0),"○ Einstand offen · ","")&amp;IF(AND(R691="WON",AB691=""),"⛔ Vertragsart fehlt · ","")&amp;IF(AND(ISNUMBER(O691),ISNUMBER(P691)),IF(P691&lt;O691,"⚠ Ende vor Start · ",""),"")&amp;IF(AND(R691="WON",AY691=0,NOT(AND(ISNUMBER(O691),ISNUMBER(P691)))),"⛔ Zeitraum fehlt · ","")&amp;IF(AND(R691&lt;&gt;"WON",AY691=0,NOT(AND(ISNUMBER(O691),ISNUMBER(P691)))),"○ Zeitraum offen · ",""))</f>
        <v/>
      </c>
      <c r="BB691" s="1" t="str">
        <f aca="false">IF(B691="","",IF(AND(R691="WON",AS691=0),"⛔ Nachweis fehlt",IF(AND(ISNUMBER(O691),ISNUMBER(P691),P691&lt;O691),"⚠ Ende vor Start",IF(AND(R691="WON",AY691=0),"⛔ Zeitraum fehlt",IF(AR691=0,"○ Einstand offen",IF(AY691=0,"○ Zeitraum offen",IF(R691="WON","✅ belegt","✔ erfasst")))))))</f>
        <v/>
      </c>
    </row>
    <row r="692" customFormat="false" ht="15" hidden="false" customHeight="true" outlineLevel="0" collapsed="false">
      <c r="G692" s="1" t="str">
        <f aca="false">IF(B692="","",IF(AY692=1,P692-O692+1,IF(AW692="","",AW692)))</f>
        <v/>
      </c>
      <c r="I692" s="270"/>
      <c r="J692" s="270"/>
      <c r="K692" s="270"/>
      <c r="L692" s="270"/>
      <c r="M692" s="270"/>
      <c r="N692" s="270"/>
      <c r="O692" s="263"/>
      <c r="P692" s="263"/>
      <c r="Q692" s="270" t="str">
        <f aca="false">IF(AND(ISNUMBER(I692),ISNUMBER(S692)),I692*AJ692,IF(OR(I692&lt;&gt;"",S692&lt;&gt;""),"tbd",""))</f>
        <v/>
      </c>
      <c r="S692" s="268"/>
      <c r="Y692" s="275" t="str">
        <f aca="false">IF(ISNUMBER(I692),I692/Netto_Faktor,"")</f>
        <v/>
      </c>
      <c r="Z692" s="275" t="str">
        <f aca="false">IF(B692="","",IF(COUNT(J692:N692)=0,"",SUM(J692:N692)))</f>
        <v/>
      </c>
      <c r="AA692" s="266"/>
      <c r="AB692" s="266"/>
      <c r="AC692" s="266"/>
      <c r="AD692" s="266"/>
      <c r="AE692" s="266"/>
      <c r="AF692" s="266"/>
      <c r="AG692" s="267"/>
      <c r="AH692" s="266" t="str">
        <f aca="false">IF(B692="","",IF(BA692="",IF(R692="WON","✅ belegt &amp; vollständig","✔ vollständig"),LEFT(BA692,LEN(BA692)-3)))</f>
        <v/>
      </c>
      <c r="AJ692" s="268" t="n">
        <f aca="false">IF(ISNUMBER(S692),IFERROR(LOOKUP(IF(S692&lt;=1,S692,S692/100),'⚖️ Wahrscheinlichkeit'!$B$17:$B$21,'⚖️ Wahrscheinlichkeit'!$D$17:$D$21),0),0)</f>
        <v>0</v>
      </c>
      <c r="AK692" s="1" t="str">
        <f aca="false">IF(AND(R692="WON",ISNUMBER(I692)),AL692+(861-ROW())*0.000001,"")</f>
        <v/>
      </c>
      <c r="AL692" s="1" t="n">
        <f aca="false">IFERROR(I692*1,0)</f>
        <v>0</v>
      </c>
      <c r="AM692" s="1" t="n">
        <f aca="false">N(AM691)+IF(AND(R692="WON",B692&lt;&gt;""),1,0)</f>
        <v>12</v>
      </c>
      <c r="AN692" s="1" t="n">
        <f aca="false">N(AN691)+IF(AND(OR(R692="offered",R692="to be offered",R692="on hold"),B692&lt;&gt;""),1,0)</f>
        <v>33</v>
      </c>
      <c r="AO692" s="1" t="n">
        <f aca="false">N(AO691)+IF(AND(OR(R692="follow-up",R692="Evaluation",R692="tbd",R692="In evaluation"),B692&lt;&gt;""),1,0)</f>
        <v>1</v>
      </c>
      <c r="AP692" s="1" t="n">
        <f aca="false">IF(B692="",0,IF(COUNTIF('⚖️ Wahrscheinlichkeit'!$J$17:$J$24,R692)&gt;0,1,0))</f>
        <v>0</v>
      </c>
      <c r="AQ692" s="1" t="n">
        <f aca="false">IF(B692="",0,IF(AND(ISNUMBER(S692),COUNTIF('⚖️ Wahrscheinlichkeit'!$B$6:$B$11,S692)&gt;0),1,0))</f>
        <v>0</v>
      </c>
      <c r="AR692" s="1" t="n">
        <f aca="false">IF(B692="",0,IF(AND(COUNT(J692:M692)=4,SUM(J692:M692)&gt;0),1,0))</f>
        <v>0</v>
      </c>
      <c r="AS692" s="1" t="n">
        <f aca="false">IF(B692="",0,IF(AND(AF692&lt;&gt;"",AG692&lt;&gt;""),1,0))</f>
        <v>0</v>
      </c>
      <c r="AT692" s="1" t="n">
        <f aca="false">IF(AND(R692="WON",AS692=1,AR692=1),1,0)</f>
        <v>0</v>
      </c>
      <c r="AU692" s="1" t="n">
        <f aca="false">IF(B692="",0,IF(AD692="Alternative – zählt nicht",0,1))</f>
        <v>0</v>
      </c>
      <c r="AV692" s="1" t="n">
        <f aca="false">IF(B692="",0,IF(COUNTIF($B$6:$B$860,B692)&gt;1,1,0))</f>
        <v>0</v>
      </c>
      <c r="AX692" s="269" t="str">
        <f aca="false">IF(AY692=1,DATE(YEAR(O692),MONTH(O692),1),"")</f>
        <v/>
      </c>
      <c r="AY692" s="1" t="n">
        <f aca="false">IF(B692="",0,IF(AND(ISNUMBER(O692),ISNUMBER(P692)),IF(P692&gt;=O692,1,0),0))</f>
        <v>0</v>
      </c>
      <c r="AZ692" s="1" t="n">
        <f aca="false">IF(ISNUMBER(Y692),Y692,0)</f>
        <v>0</v>
      </c>
      <c r="BA692" s="1" t="str">
        <f aca="false">IF(B692="","",IF(AND(R692="WON",AS692=0),"⛔ Beleg fehlt · ","")&amp;IF(AND(R692="WON",AR692=0),"⛔ Einstand fehlt · ","")&amp;IF(AND(R692&lt;&gt;"WON",AR692=0),"○ Einstand offen · ","")&amp;IF(AND(R692="WON",AB692=""),"⛔ Vertragsart fehlt · ","")&amp;IF(AND(ISNUMBER(O692),ISNUMBER(P692)),IF(P692&lt;O692,"⚠ Ende vor Start · ",""),"")&amp;IF(AND(R692="WON",AY692=0,NOT(AND(ISNUMBER(O692),ISNUMBER(P692)))),"⛔ Zeitraum fehlt · ","")&amp;IF(AND(R692&lt;&gt;"WON",AY692=0,NOT(AND(ISNUMBER(O692),ISNUMBER(P692)))),"○ Zeitraum offen · ",""))</f>
        <v/>
      </c>
      <c r="BB692" s="1" t="str">
        <f aca="false">IF(B692="","",IF(AND(R692="WON",AS692=0),"⛔ Nachweis fehlt",IF(AND(ISNUMBER(O692),ISNUMBER(P692),P692&lt;O692),"⚠ Ende vor Start",IF(AND(R692="WON",AY692=0),"⛔ Zeitraum fehlt",IF(AR692=0,"○ Einstand offen",IF(AY692=0,"○ Zeitraum offen",IF(R692="WON","✅ belegt","✔ erfasst")))))))</f>
        <v/>
      </c>
    </row>
    <row r="693" customFormat="false" ht="15" hidden="false" customHeight="true" outlineLevel="0" collapsed="false">
      <c r="G693" s="1" t="str">
        <f aca="false">IF(B693="","",IF(AY693=1,P693-O693+1,IF(AW693="","",AW693)))</f>
        <v/>
      </c>
      <c r="I693" s="270"/>
      <c r="J693" s="270"/>
      <c r="K693" s="270"/>
      <c r="L693" s="270"/>
      <c r="M693" s="270"/>
      <c r="N693" s="270"/>
      <c r="O693" s="263"/>
      <c r="P693" s="263"/>
      <c r="Q693" s="270" t="str">
        <f aca="false">IF(AND(ISNUMBER(I693),ISNUMBER(S693)),I693*AJ693,IF(OR(I693&lt;&gt;"",S693&lt;&gt;""),"tbd",""))</f>
        <v/>
      </c>
      <c r="S693" s="268"/>
      <c r="Y693" s="275" t="str">
        <f aca="false">IF(ISNUMBER(I693),I693/Netto_Faktor,"")</f>
        <v/>
      </c>
      <c r="Z693" s="275" t="str">
        <f aca="false">IF(B693="","",IF(COUNT(J693:N693)=0,"",SUM(J693:N693)))</f>
        <v/>
      </c>
      <c r="AA693" s="266"/>
      <c r="AB693" s="266"/>
      <c r="AC693" s="266"/>
      <c r="AD693" s="266"/>
      <c r="AE693" s="266"/>
      <c r="AF693" s="266"/>
      <c r="AG693" s="267"/>
      <c r="AH693" s="266" t="str">
        <f aca="false">IF(B693="","",IF(BA693="",IF(R693="WON","✅ belegt &amp; vollständig","✔ vollständig"),LEFT(BA693,LEN(BA693)-3)))</f>
        <v/>
      </c>
      <c r="AJ693" s="268" t="n">
        <f aca="false">IF(ISNUMBER(S693),IFERROR(LOOKUP(IF(S693&lt;=1,S693,S693/100),'⚖️ Wahrscheinlichkeit'!$B$17:$B$21,'⚖️ Wahrscheinlichkeit'!$D$17:$D$21),0),0)</f>
        <v>0</v>
      </c>
      <c r="AK693" s="1" t="str">
        <f aca="false">IF(AND(R693="WON",ISNUMBER(I693)),AL693+(861-ROW())*0.000001,"")</f>
        <v/>
      </c>
      <c r="AL693" s="1" t="n">
        <f aca="false">IFERROR(I693*1,0)</f>
        <v>0</v>
      </c>
      <c r="AM693" s="1" t="n">
        <f aca="false">N(AM692)+IF(AND(R693="WON",B693&lt;&gt;""),1,0)</f>
        <v>12</v>
      </c>
      <c r="AN693" s="1" t="n">
        <f aca="false">N(AN692)+IF(AND(OR(R693="offered",R693="to be offered",R693="on hold"),B693&lt;&gt;""),1,0)</f>
        <v>33</v>
      </c>
      <c r="AO693" s="1" t="n">
        <f aca="false">N(AO692)+IF(AND(OR(R693="follow-up",R693="Evaluation",R693="tbd",R693="In evaluation"),B693&lt;&gt;""),1,0)</f>
        <v>1</v>
      </c>
      <c r="AP693" s="1" t="n">
        <f aca="false">IF(B693="",0,IF(COUNTIF('⚖️ Wahrscheinlichkeit'!$J$17:$J$24,R693)&gt;0,1,0))</f>
        <v>0</v>
      </c>
      <c r="AQ693" s="1" t="n">
        <f aca="false">IF(B693="",0,IF(AND(ISNUMBER(S693),COUNTIF('⚖️ Wahrscheinlichkeit'!$B$6:$B$11,S693)&gt;0),1,0))</f>
        <v>0</v>
      </c>
      <c r="AR693" s="1" t="n">
        <f aca="false">IF(B693="",0,IF(AND(COUNT(J693:M693)=4,SUM(J693:M693)&gt;0),1,0))</f>
        <v>0</v>
      </c>
      <c r="AS693" s="1" t="n">
        <f aca="false">IF(B693="",0,IF(AND(AF693&lt;&gt;"",AG693&lt;&gt;""),1,0))</f>
        <v>0</v>
      </c>
      <c r="AT693" s="1" t="n">
        <f aca="false">IF(AND(R693="WON",AS693=1,AR693=1),1,0)</f>
        <v>0</v>
      </c>
      <c r="AU693" s="1" t="n">
        <f aca="false">IF(B693="",0,IF(AD693="Alternative – zählt nicht",0,1))</f>
        <v>0</v>
      </c>
      <c r="AV693" s="1" t="n">
        <f aca="false">IF(B693="",0,IF(COUNTIF($B$6:$B$860,B693)&gt;1,1,0))</f>
        <v>0</v>
      </c>
      <c r="AX693" s="269" t="str">
        <f aca="false">IF(AY693=1,DATE(YEAR(O693),MONTH(O693),1),"")</f>
        <v/>
      </c>
      <c r="AY693" s="1" t="n">
        <f aca="false">IF(B693="",0,IF(AND(ISNUMBER(O693),ISNUMBER(P693)),IF(P693&gt;=O693,1,0),0))</f>
        <v>0</v>
      </c>
      <c r="AZ693" s="1" t="n">
        <f aca="false">IF(ISNUMBER(Y693),Y693,0)</f>
        <v>0</v>
      </c>
      <c r="BA693" s="1" t="str">
        <f aca="false">IF(B693="","",IF(AND(R693="WON",AS693=0),"⛔ Beleg fehlt · ","")&amp;IF(AND(R693="WON",AR693=0),"⛔ Einstand fehlt · ","")&amp;IF(AND(R693&lt;&gt;"WON",AR693=0),"○ Einstand offen · ","")&amp;IF(AND(R693="WON",AB693=""),"⛔ Vertragsart fehlt · ","")&amp;IF(AND(ISNUMBER(O693),ISNUMBER(P693)),IF(P693&lt;O693,"⚠ Ende vor Start · ",""),"")&amp;IF(AND(R693="WON",AY693=0,NOT(AND(ISNUMBER(O693),ISNUMBER(P693)))),"⛔ Zeitraum fehlt · ","")&amp;IF(AND(R693&lt;&gt;"WON",AY693=0,NOT(AND(ISNUMBER(O693),ISNUMBER(P693)))),"○ Zeitraum offen · ",""))</f>
        <v/>
      </c>
      <c r="BB693" s="1" t="str">
        <f aca="false">IF(B693="","",IF(AND(R693="WON",AS693=0),"⛔ Nachweis fehlt",IF(AND(ISNUMBER(O693),ISNUMBER(P693),P693&lt;O693),"⚠ Ende vor Start",IF(AND(R693="WON",AY693=0),"⛔ Zeitraum fehlt",IF(AR693=0,"○ Einstand offen",IF(AY693=0,"○ Zeitraum offen",IF(R693="WON","✅ belegt","✔ erfasst")))))))</f>
        <v/>
      </c>
    </row>
    <row r="694" customFormat="false" ht="15" hidden="false" customHeight="true" outlineLevel="0" collapsed="false">
      <c r="G694" s="1" t="str">
        <f aca="false">IF(B694="","",IF(AY694=1,P694-O694+1,IF(AW694="","",AW694)))</f>
        <v/>
      </c>
      <c r="I694" s="270"/>
      <c r="J694" s="270"/>
      <c r="K694" s="270"/>
      <c r="L694" s="270"/>
      <c r="M694" s="270"/>
      <c r="N694" s="270"/>
      <c r="O694" s="263"/>
      <c r="P694" s="263"/>
      <c r="Q694" s="270" t="str">
        <f aca="false">IF(AND(ISNUMBER(I694),ISNUMBER(S694)),I694*AJ694,IF(OR(I694&lt;&gt;"",S694&lt;&gt;""),"tbd",""))</f>
        <v/>
      </c>
      <c r="S694" s="268"/>
      <c r="Y694" s="275" t="str">
        <f aca="false">IF(ISNUMBER(I694),I694/Netto_Faktor,"")</f>
        <v/>
      </c>
      <c r="Z694" s="275" t="str">
        <f aca="false">IF(B694="","",IF(COUNT(J694:N694)=0,"",SUM(J694:N694)))</f>
        <v/>
      </c>
      <c r="AA694" s="266"/>
      <c r="AB694" s="266"/>
      <c r="AC694" s="266"/>
      <c r="AD694" s="266"/>
      <c r="AE694" s="266"/>
      <c r="AF694" s="266"/>
      <c r="AG694" s="267"/>
      <c r="AH694" s="266" t="str">
        <f aca="false">IF(B694="","",IF(BA694="",IF(R694="WON","✅ belegt &amp; vollständig","✔ vollständig"),LEFT(BA694,LEN(BA694)-3)))</f>
        <v/>
      </c>
      <c r="AJ694" s="268" t="n">
        <f aca="false">IF(ISNUMBER(S694),IFERROR(LOOKUP(IF(S694&lt;=1,S694,S694/100),'⚖️ Wahrscheinlichkeit'!$B$17:$B$21,'⚖️ Wahrscheinlichkeit'!$D$17:$D$21),0),0)</f>
        <v>0</v>
      </c>
      <c r="AK694" s="1" t="str">
        <f aca="false">IF(AND(R694="WON",ISNUMBER(I694)),AL694+(861-ROW())*0.000001,"")</f>
        <v/>
      </c>
      <c r="AL694" s="1" t="n">
        <f aca="false">IFERROR(I694*1,0)</f>
        <v>0</v>
      </c>
      <c r="AM694" s="1" t="n">
        <f aca="false">N(AM693)+IF(AND(R694="WON",B694&lt;&gt;""),1,0)</f>
        <v>12</v>
      </c>
      <c r="AN694" s="1" t="n">
        <f aca="false">N(AN693)+IF(AND(OR(R694="offered",R694="to be offered",R694="on hold"),B694&lt;&gt;""),1,0)</f>
        <v>33</v>
      </c>
      <c r="AO694" s="1" t="n">
        <f aca="false">N(AO693)+IF(AND(OR(R694="follow-up",R694="Evaluation",R694="tbd",R694="In evaluation"),B694&lt;&gt;""),1,0)</f>
        <v>1</v>
      </c>
      <c r="AP694" s="1" t="n">
        <f aca="false">IF(B694="",0,IF(COUNTIF('⚖️ Wahrscheinlichkeit'!$J$17:$J$24,R694)&gt;0,1,0))</f>
        <v>0</v>
      </c>
      <c r="AQ694" s="1" t="n">
        <f aca="false">IF(B694="",0,IF(AND(ISNUMBER(S694),COUNTIF('⚖️ Wahrscheinlichkeit'!$B$6:$B$11,S694)&gt;0),1,0))</f>
        <v>0</v>
      </c>
      <c r="AR694" s="1" t="n">
        <f aca="false">IF(B694="",0,IF(AND(COUNT(J694:M694)=4,SUM(J694:M694)&gt;0),1,0))</f>
        <v>0</v>
      </c>
      <c r="AS694" s="1" t="n">
        <f aca="false">IF(B694="",0,IF(AND(AF694&lt;&gt;"",AG694&lt;&gt;""),1,0))</f>
        <v>0</v>
      </c>
      <c r="AT694" s="1" t="n">
        <f aca="false">IF(AND(R694="WON",AS694=1,AR694=1),1,0)</f>
        <v>0</v>
      </c>
      <c r="AU694" s="1" t="n">
        <f aca="false">IF(B694="",0,IF(AD694="Alternative – zählt nicht",0,1))</f>
        <v>0</v>
      </c>
      <c r="AV694" s="1" t="n">
        <f aca="false">IF(B694="",0,IF(COUNTIF($B$6:$B$860,B694)&gt;1,1,0))</f>
        <v>0</v>
      </c>
      <c r="AX694" s="269" t="str">
        <f aca="false">IF(AY694=1,DATE(YEAR(O694),MONTH(O694),1),"")</f>
        <v/>
      </c>
      <c r="AY694" s="1" t="n">
        <f aca="false">IF(B694="",0,IF(AND(ISNUMBER(O694),ISNUMBER(P694)),IF(P694&gt;=O694,1,0),0))</f>
        <v>0</v>
      </c>
      <c r="AZ694" s="1" t="n">
        <f aca="false">IF(ISNUMBER(Y694),Y694,0)</f>
        <v>0</v>
      </c>
      <c r="BA694" s="1" t="str">
        <f aca="false">IF(B694="","",IF(AND(R694="WON",AS694=0),"⛔ Beleg fehlt · ","")&amp;IF(AND(R694="WON",AR694=0),"⛔ Einstand fehlt · ","")&amp;IF(AND(R694&lt;&gt;"WON",AR694=0),"○ Einstand offen · ","")&amp;IF(AND(R694="WON",AB694=""),"⛔ Vertragsart fehlt · ","")&amp;IF(AND(ISNUMBER(O694),ISNUMBER(P694)),IF(P694&lt;O694,"⚠ Ende vor Start · ",""),"")&amp;IF(AND(R694="WON",AY694=0,NOT(AND(ISNUMBER(O694),ISNUMBER(P694)))),"⛔ Zeitraum fehlt · ","")&amp;IF(AND(R694&lt;&gt;"WON",AY694=0,NOT(AND(ISNUMBER(O694),ISNUMBER(P694)))),"○ Zeitraum offen · ",""))</f>
        <v/>
      </c>
      <c r="BB694" s="1" t="str">
        <f aca="false">IF(B694="","",IF(AND(R694="WON",AS694=0),"⛔ Nachweis fehlt",IF(AND(ISNUMBER(O694),ISNUMBER(P694),P694&lt;O694),"⚠ Ende vor Start",IF(AND(R694="WON",AY694=0),"⛔ Zeitraum fehlt",IF(AR694=0,"○ Einstand offen",IF(AY694=0,"○ Zeitraum offen",IF(R694="WON","✅ belegt","✔ erfasst")))))))</f>
        <v/>
      </c>
    </row>
    <row r="695" customFormat="false" ht="15" hidden="false" customHeight="true" outlineLevel="0" collapsed="false">
      <c r="G695" s="1" t="str">
        <f aca="false">IF(B695="","",IF(AY695=1,P695-O695+1,IF(AW695="","",AW695)))</f>
        <v/>
      </c>
      <c r="I695" s="270"/>
      <c r="J695" s="270"/>
      <c r="K695" s="270"/>
      <c r="L695" s="270"/>
      <c r="M695" s="270"/>
      <c r="N695" s="270"/>
      <c r="O695" s="263"/>
      <c r="P695" s="263"/>
      <c r="Q695" s="270" t="str">
        <f aca="false">IF(AND(ISNUMBER(I695),ISNUMBER(S695)),I695*AJ695,IF(OR(I695&lt;&gt;"",S695&lt;&gt;""),"tbd",""))</f>
        <v/>
      </c>
      <c r="S695" s="268"/>
      <c r="Y695" s="275" t="str">
        <f aca="false">IF(ISNUMBER(I695),I695/Netto_Faktor,"")</f>
        <v/>
      </c>
      <c r="Z695" s="275" t="str">
        <f aca="false">IF(B695="","",IF(COUNT(J695:N695)=0,"",SUM(J695:N695)))</f>
        <v/>
      </c>
      <c r="AA695" s="266"/>
      <c r="AB695" s="266"/>
      <c r="AC695" s="266"/>
      <c r="AD695" s="266"/>
      <c r="AE695" s="266"/>
      <c r="AF695" s="266"/>
      <c r="AG695" s="267"/>
      <c r="AH695" s="266" t="str">
        <f aca="false">IF(B695="","",IF(BA695="",IF(R695="WON","✅ belegt &amp; vollständig","✔ vollständig"),LEFT(BA695,LEN(BA695)-3)))</f>
        <v/>
      </c>
      <c r="AJ695" s="268" t="n">
        <f aca="false">IF(ISNUMBER(S695),IFERROR(LOOKUP(IF(S695&lt;=1,S695,S695/100),'⚖️ Wahrscheinlichkeit'!$B$17:$B$21,'⚖️ Wahrscheinlichkeit'!$D$17:$D$21),0),0)</f>
        <v>0</v>
      </c>
      <c r="AK695" s="1" t="str">
        <f aca="false">IF(AND(R695="WON",ISNUMBER(I695)),AL695+(861-ROW())*0.000001,"")</f>
        <v/>
      </c>
      <c r="AL695" s="1" t="n">
        <f aca="false">IFERROR(I695*1,0)</f>
        <v>0</v>
      </c>
      <c r="AM695" s="1" t="n">
        <f aca="false">N(AM694)+IF(AND(R695="WON",B695&lt;&gt;""),1,0)</f>
        <v>12</v>
      </c>
      <c r="AN695" s="1" t="n">
        <f aca="false">N(AN694)+IF(AND(OR(R695="offered",R695="to be offered",R695="on hold"),B695&lt;&gt;""),1,0)</f>
        <v>33</v>
      </c>
      <c r="AO695" s="1" t="n">
        <f aca="false">N(AO694)+IF(AND(OR(R695="follow-up",R695="Evaluation",R695="tbd",R695="In evaluation"),B695&lt;&gt;""),1,0)</f>
        <v>1</v>
      </c>
      <c r="AP695" s="1" t="n">
        <f aca="false">IF(B695="",0,IF(COUNTIF('⚖️ Wahrscheinlichkeit'!$J$17:$J$24,R695)&gt;0,1,0))</f>
        <v>0</v>
      </c>
      <c r="AQ695" s="1" t="n">
        <f aca="false">IF(B695="",0,IF(AND(ISNUMBER(S695),COUNTIF('⚖️ Wahrscheinlichkeit'!$B$6:$B$11,S695)&gt;0),1,0))</f>
        <v>0</v>
      </c>
      <c r="AR695" s="1" t="n">
        <f aca="false">IF(B695="",0,IF(AND(COUNT(J695:M695)=4,SUM(J695:M695)&gt;0),1,0))</f>
        <v>0</v>
      </c>
      <c r="AS695" s="1" t="n">
        <f aca="false">IF(B695="",0,IF(AND(AF695&lt;&gt;"",AG695&lt;&gt;""),1,0))</f>
        <v>0</v>
      </c>
      <c r="AT695" s="1" t="n">
        <f aca="false">IF(AND(R695="WON",AS695=1,AR695=1),1,0)</f>
        <v>0</v>
      </c>
      <c r="AU695" s="1" t="n">
        <f aca="false">IF(B695="",0,IF(AD695="Alternative – zählt nicht",0,1))</f>
        <v>0</v>
      </c>
      <c r="AV695" s="1" t="n">
        <f aca="false">IF(B695="",0,IF(COUNTIF($B$6:$B$860,B695)&gt;1,1,0))</f>
        <v>0</v>
      </c>
      <c r="AX695" s="269" t="str">
        <f aca="false">IF(AY695=1,DATE(YEAR(O695),MONTH(O695),1),"")</f>
        <v/>
      </c>
      <c r="AY695" s="1" t="n">
        <f aca="false">IF(B695="",0,IF(AND(ISNUMBER(O695),ISNUMBER(P695)),IF(P695&gt;=O695,1,0),0))</f>
        <v>0</v>
      </c>
      <c r="AZ695" s="1" t="n">
        <f aca="false">IF(ISNUMBER(Y695),Y695,0)</f>
        <v>0</v>
      </c>
      <c r="BA695" s="1" t="str">
        <f aca="false">IF(B695="","",IF(AND(R695="WON",AS695=0),"⛔ Beleg fehlt · ","")&amp;IF(AND(R695="WON",AR695=0),"⛔ Einstand fehlt · ","")&amp;IF(AND(R695&lt;&gt;"WON",AR695=0),"○ Einstand offen · ","")&amp;IF(AND(R695="WON",AB695=""),"⛔ Vertragsart fehlt · ","")&amp;IF(AND(ISNUMBER(O695),ISNUMBER(P695)),IF(P695&lt;O695,"⚠ Ende vor Start · ",""),"")&amp;IF(AND(R695="WON",AY695=0,NOT(AND(ISNUMBER(O695),ISNUMBER(P695)))),"⛔ Zeitraum fehlt · ","")&amp;IF(AND(R695&lt;&gt;"WON",AY695=0,NOT(AND(ISNUMBER(O695),ISNUMBER(P695)))),"○ Zeitraum offen · ",""))</f>
        <v/>
      </c>
      <c r="BB695" s="1" t="str">
        <f aca="false">IF(B695="","",IF(AND(R695="WON",AS695=0),"⛔ Nachweis fehlt",IF(AND(ISNUMBER(O695),ISNUMBER(P695),P695&lt;O695),"⚠ Ende vor Start",IF(AND(R695="WON",AY695=0),"⛔ Zeitraum fehlt",IF(AR695=0,"○ Einstand offen",IF(AY695=0,"○ Zeitraum offen",IF(R695="WON","✅ belegt","✔ erfasst")))))))</f>
        <v/>
      </c>
    </row>
    <row r="696" customFormat="false" ht="15" hidden="false" customHeight="true" outlineLevel="0" collapsed="false">
      <c r="G696" s="1" t="str">
        <f aca="false">IF(B696="","",IF(AY696=1,P696-O696+1,IF(AW696="","",AW696)))</f>
        <v/>
      </c>
      <c r="I696" s="270"/>
      <c r="J696" s="270"/>
      <c r="K696" s="270"/>
      <c r="L696" s="270"/>
      <c r="M696" s="270"/>
      <c r="N696" s="270"/>
      <c r="O696" s="263"/>
      <c r="P696" s="263"/>
      <c r="Q696" s="270" t="str">
        <f aca="false">IF(AND(ISNUMBER(I696),ISNUMBER(S696)),I696*AJ696,IF(OR(I696&lt;&gt;"",S696&lt;&gt;""),"tbd",""))</f>
        <v/>
      </c>
      <c r="S696" s="268"/>
      <c r="Y696" s="275" t="str">
        <f aca="false">IF(ISNUMBER(I696),I696/Netto_Faktor,"")</f>
        <v/>
      </c>
      <c r="Z696" s="275" t="str">
        <f aca="false">IF(B696="","",IF(COUNT(J696:N696)=0,"",SUM(J696:N696)))</f>
        <v/>
      </c>
      <c r="AA696" s="266"/>
      <c r="AB696" s="266"/>
      <c r="AC696" s="266"/>
      <c r="AD696" s="266"/>
      <c r="AE696" s="266"/>
      <c r="AF696" s="266"/>
      <c r="AG696" s="267"/>
      <c r="AH696" s="266" t="str">
        <f aca="false">IF(B696="","",IF(BA696="",IF(R696="WON","✅ belegt &amp; vollständig","✔ vollständig"),LEFT(BA696,LEN(BA696)-3)))</f>
        <v/>
      </c>
      <c r="AJ696" s="268" t="n">
        <f aca="false">IF(ISNUMBER(S696),IFERROR(LOOKUP(IF(S696&lt;=1,S696,S696/100),'⚖️ Wahrscheinlichkeit'!$B$17:$B$21,'⚖️ Wahrscheinlichkeit'!$D$17:$D$21),0),0)</f>
        <v>0</v>
      </c>
      <c r="AK696" s="1" t="str">
        <f aca="false">IF(AND(R696="WON",ISNUMBER(I696)),AL696+(861-ROW())*0.000001,"")</f>
        <v/>
      </c>
      <c r="AL696" s="1" t="n">
        <f aca="false">IFERROR(I696*1,0)</f>
        <v>0</v>
      </c>
      <c r="AM696" s="1" t="n">
        <f aca="false">N(AM695)+IF(AND(R696="WON",B696&lt;&gt;""),1,0)</f>
        <v>12</v>
      </c>
      <c r="AN696" s="1" t="n">
        <f aca="false">N(AN695)+IF(AND(OR(R696="offered",R696="to be offered",R696="on hold"),B696&lt;&gt;""),1,0)</f>
        <v>33</v>
      </c>
      <c r="AO696" s="1" t="n">
        <f aca="false">N(AO695)+IF(AND(OR(R696="follow-up",R696="Evaluation",R696="tbd",R696="In evaluation"),B696&lt;&gt;""),1,0)</f>
        <v>1</v>
      </c>
      <c r="AP696" s="1" t="n">
        <f aca="false">IF(B696="",0,IF(COUNTIF('⚖️ Wahrscheinlichkeit'!$J$17:$J$24,R696)&gt;0,1,0))</f>
        <v>0</v>
      </c>
      <c r="AQ696" s="1" t="n">
        <f aca="false">IF(B696="",0,IF(AND(ISNUMBER(S696),COUNTIF('⚖️ Wahrscheinlichkeit'!$B$6:$B$11,S696)&gt;0),1,0))</f>
        <v>0</v>
      </c>
      <c r="AR696" s="1" t="n">
        <f aca="false">IF(B696="",0,IF(AND(COUNT(J696:M696)=4,SUM(J696:M696)&gt;0),1,0))</f>
        <v>0</v>
      </c>
      <c r="AS696" s="1" t="n">
        <f aca="false">IF(B696="",0,IF(AND(AF696&lt;&gt;"",AG696&lt;&gt;""),1,0))</f>
        <v>0</v>
      </c>
      <c r="AT696" s="1" t="n">
        <f aca="false">IF(AND(R696="WON",AS696=1,AR696=1),1,0)</f>
        <v>0</v>
      </c>
      <c r="AU696" s="1" t="n">
        <f aca="false">IF(B696="",0,IF(AD696="Alternative – zählt nicht",0,1))</f>
        <v>0</v>
      </c>
      <c r="AV696" s="1" t="n">
        <f aca="false">IF(B696="",0,IF(COUNTIF($B$6:$B$860,B696)&gt;1,1,0))</f>
        <v>0</v>
      </c>
      <c r="AX696" s="269" t="str">
        <f aca="false">IF(AY696=1,DATE(YEAR(O696),MONTH(O696),1),"")</f>
        <v/>
      </c>
      <c r="AY696" s="1" t="n">
        <f aca="false">IF(B696="",0,IF(AND(ISNUMBER(O696),ISNUMBER(P696)),IF(P696&gt;=O696,1,0),0))</f>
        <v>0</v>
      </c>
      <c r="AZ696" s="1" t="n">
        <f aca="false">IF(ISNUMBER(Y696),Y696,0)</f>
        <v>0</v>
      </c>
      <c r="BA696" s="1" t="str">
        <f aca="false">IF(B696="","",IF(AND(R696="WON",AS696=0),"⛔ Beleg fehlt · ","")&amp;IF(AND(R696="WON",AR696=0),"⛔ Einstand fehlt · ","")&amp;IF(AND(R696&lt;&gt;"WON",AR696=0),"○ Einstand offen · ","")&amp;IF(AND(R696="WON",AB696=""),"⛔ Vertragsart fehlt · ","")&amp;IF(AND(ISNUMBER(O696),ISNUMBER(P696)),IF(P696&lt;O696,"⚠ Ende vor Start · ",""),"")&amp;IF(AND(R696="WON",AY696=0,NOT(AND(ISNUMBER(O696),ISNUMBER(P696)))),"⛔ Zeitraum fehlt · ","")&amp;IF(AND(R696&lt;&gt;"WON",AY696=0,NOT(AND(ISNUMBER(O696),ISNUMBER(P696)))),"○ Zeitraum offen · ",""))</f>
        <v/>
      </c>
      <c r="BB696" s="1" t="str">
        <f aca="false">IF(B696="","",IF(AND(R696="WON",AS696=0),"⛔ Nachweis fehlt",IF(AND(ISNUMBER(O696),ISNUMBER(P696),P696&lt;O696),"⚠ Ende vor Start",IF(AND(R696="WON",AY696=0),"⛔ Zeitraum fehlt",IF(AR696=0,"○ Einstand offen",IF(AY696=0,"○ Zeitraum offen",IF(R696="WON","✅ belegt","✔ erfasst")))))))</f>
        <v/>
      </c>
    </row>
    <row r="697" customFormat="false" ht="15" hidden="false" customHeight="true" outlineLevel="0" collapsed="false">
      <c r="G697" s="1" t="str">
        <f aca="false">IF(B697="","",IF(AY697=1,P697-O697+1,IF(AW697="","",AW697)))</f>
        <v/>
      </c>
      <c r="I697" s="270"/>
      <c r="J697" s="270"/>
      <c r="K697" s="270"/>
      <c r="L697" s="270"/>
      <c r="M697" s="270"/>
      <c r="N697" s="270"/>
      <c r="O697" s="263"/>
      <c r="P697" s="263"/>
      <c r="Q697" s="270" t="str">
        <f aca="false">IF(AND(ISNUMBER(I697),ISNUMBER(S697)),I697*AJ697,IF(OR(I697&lt;&gt;"",S697&lt;&gt;""),"tbd",""))</f>
        <v/>
      </c>
      <c r="S697" s="268"/>
      <c r="Y697" s="275" t="str">
        <f aca="false">IF(ISNUMBER(I697),I697/Netto_Faktor,"")</f>
        <v/>
      </c>
      <c r="Z697" s="275" t="str">
        <f aca="false">IF(B697="","",IF(COUNT(J697:N697)=0,"",SUM(J697:N697)))</f>
        <v/>
      </c>
      <c r="AA697" s="266"/>
      <c r="AB697" s="266"/>
      <c r="AC697" s="266"/>
      <c r="AD697" s="266"/>
      <c r="AE697" s="266"/>
      <c r="AF697" s="266"/>
      <c r="AG697" s="267"/>
      <c r="AH697" s="266" t="str">
        <f aca="false">IF(B697="","",IF(BA697="",IF(R697="WON","✅ belegt &amp; vollständig","✔ vollständig"),LEFT(BA697,LEN(BA697)-3)))</f>
        <v/>
      </c>
      <c r="AJ697" s="268" t="n">
        <f aca="false">IF(ISNUMBER(S697),IFERROR(LOOKUP(IF(S697&lt;=1,S697,S697/100),'⚖️ Wahrscheinlichkeit'!$B$17:$B$21,'⚖️ Wahrscheinlichkeit'!$D$17:$D$21),0),0)</f>
        <v>0</v>
      </c>
      <c r="AK697" s="1" t="str">
        <f aca="false">IF(AND(R697="WON",ISNUMBER(I697)),AL697+(861-ROW())*0.000001,"")</f>
        <v/>
      </c>
      <c r="AL697" s="1" t="n">
        <f aca="false">IFERROR(I697*1,0)</f>
        <v>0</v>
      </c>
      <c r="AM697" s="1" t="n">
        <f aca="false">N(AM696)+IF(AND(R697="WON",B697&lt;&gt;""),1,0)</f>
        <v>12</v>
      </c>
      <c r="AN697" s="1" t="n">
        <f aca="false">N(AN696)+IF(AND(OR(R697="offered",R697="to be offered",R697="on hold"),B697&lt;&gt;""),1,0)</f>
        <v>33</v>
      </c>
      <c r="AO697" s="1" t="n">
        <f aca="false">N(AO696)+IF(AND(OR(R697="follow-up",R697="Evaluation",R697="tbd",R697="In evaluation"),B697&lt;&gt;""),1,0)</f>
        <v>1</v>
      </c>
      <c r="AP697" s="1" t="n">
        <f aca="false">IF(B697="",0,IF(COUNTIF('⚖️ Wahrscheinlichkeit'!$J$17:$J$24,R697)&gt;0,1,0))</f>
        <v>0</v>
      </c>
      <c r="AQ697" s="1" t="n">
        <f aca="false">IF(B697="",0,IF(AND(ISNUMBER(S697),COUNTIF('⚖️ Wahrscheinlichkeit'!$B$6:$B$11,S697)&gt;0),1,0))</f>
        <v>0</v>
      </c>
      <c r="AR697" s="1" t="n">
        <f aca="false">IF(B697="",0,IF(AND(COUNT(J697:M697)=4,SUM(J697:M697)&gt;0),1,0))</f>
        <v>0</v>
      </c>
      <c r="AS697" s="1" t="n">
        <f aca="false">IF(B697="",0,IF(AND(AF697&lt;&gt;"",AG697&lt;&gt;""),1,0))</f>
        <v>0</v>
      </c>
      <c r="AT697" s="1" t="n">
        <f aca="false">IF(AND(R697="WON",AS697=1,AR697=1),1,0)</f>
        <v>0</v>
      </c>
      <c r="AU697" s="1" t="n">
        <f aca="false">IF(B697="",0,IF(AD697="Alternative – zählt nicht",0,1))</f>
        <v>0</v>
      </c>
      <c r="AV697" s="1" t="n">
        <f aca="false">IF(B697="",0,IF(COUNTIF($B$6:$B$860,B697)&gt;1,1,0))</f>
        <v>0</v>
      </c>
      <c r="AX697" s="269" t="str">
        <f aca="false">IF(AY697=1,DATE(YEAR(O697),MONTH(O697),1),"")</f>
        <v/>
      </c>
      <c r="AY697" s="1" t="n">
        <f aca="false">IF(B697="",0,IF(AND(ISNUMBER(O697),ISNUMBER(P697)),IF(P697&gt;=O697,1,0),0))</f>
        <v>0</v>
      </c>
      <c r="AZ697" s="1" t="n">
        <f aca="false">IF(ISNUMBER(Y697),Y697,0)</f>
        <v>0</v>
      </c>
      <c r="BA697" s="1" t="str">
        <f aca="false">IF(B697="","",IF(AND(R697="WON",AS697=0),"⛔ Beleg fehlt · ","")&amp;IF(AND(R697="WON",AR697=0),"⛔ Einstand fehlt · ","")&amp;IF(AND(R697&lt;&gt;"WON",AR697=0),"○ Einstand offen · ","")&amp;IF(AND(R697="WON",AB697=""),"⛔ Vertragsart fehlt · ","")&amp;IF(AND(ISNUMBER(O697),ISNUMBER(P697)),IF(P697&lt;O697,"⚠ Ende vor Start · ",""),"")&amp;IF(AND(R697="WON",AY697=0,NOT(AND(ISNUMBER(O697),ISNUMBER(P697)))),"⛔ Zeitraum fehlt · ","")&amp;IF(AND(R697&lt;&gt;"WON",AY697=0,NOT(AND(ISNUMBER(O697),ISNUMBER(P697)))),"○ Zeitraum offen · ",""))</f>
        <v/>
      </c>
      <c r="BB697" s="1" t="str">
        <f aca="false">IF(B697="","",IF(AND(R697="WON",AS697=0),"⛔ Nachweis fehlt",IF(AND(ISNUMBER(O697),ISNUMBER(P697),P697&lt;O697),"⚠ Ende vor Start",IF(AND(R697="WON",AY697=0),"⛔ Zeitraum fehlt",IF(AR697=0,"○ Einstand offen",IF(AY697=0,"○ Zeitraum offen",IF(R697="WON","✅ belegt","✔ erfasst")))))))</f>
        <v/>
      </c>
    </row>
    <row r="698" customFormat="false" ht="15" hidden="false" customHeight="true" outlineLevel="0" collapsed="false">
      <c r="G698" s="1" t="str">
        <f aca="false">IF(B698="","",IF(AY698=1,P698-O698+1,IF(AW698="","",AW698)))</f>
        <v/>
      </c>
      <c r="I698" s="270"/>
      <c r="J698" s="270"/>
      <c r="K698" s="270"/>
      <c r="L698" s="270"/>
      <c r="M698" s="270"/>
      <c r="N698" s="270"/>
      <c r="O698" s="263"/>
      <c r="P698" s="263"/>
      <c r="Q698" s="270" t="str">
        <f aca="false">IF(AND(ISNUMBER(I698),ISNUMBER(S698)),I698*AJ698,IF(OR(I698&lt;&gt;"",S698&lt;&gt;""),"tbd",""))</f>
        <v/>
      </c>
      <c r="S698" s="268"/>
      <c r="Y698" s="275" t="str">
        <f aca="false">IF(ISNUMBER(I698),I698/Netto_Faktor,"")</f>
        <v/>
      </c>
      <c r="Z698" s="275" t="str">
        <f aca="false">IF(B698="","",IF(COUNT(J698:N698)=0,"",SUM(J698:N698)))</f>
        <v/>
      </c>
      <c r="AA698" s="266"/>
      <c r="AB698" s="266"/>
      <c r="AC698" s="266"/>
      <c r="AD698" s="266"/>
      <c r="AE698" s="266"/>
      <c r="AF698" s="266"/>
      <c r="AG698" s="267"/>
      <c r="AH698" s="266" t="str">
        <f aca="false">IF(B698="","",IF(BA698="",IF(R698="WON","✅ belegt &amp; vollständig","✔ vollständig"),LEFT(BA698,LEN(BA698)-3)))</f>
        <v/>
      </c>
      <c r="AJ698" s="268" t="n">
        <f aca="false">IF(ISNUMBER(S698),IFERROR(LOOKUP(IF(S698&lt;=1,S698,S698/100),'⚖️ Wahrscheinlichkeit'!$B$17:$B$21,'⚖️ Wahrscheinlichkeit'!$D$17:$D$21),0),0)</f>
        <v>0</v>
      </c>
      <c r="AK698" s="1" t="str">
        <f aca="false">IF(AND(R698="WON",ISNUMBER(I698)),AL698+(861-ROW())*0.000001,"")</f>
        <v/>
      </c>
      <c r="AL698" s="1" t="n">
        <f aca="false">IFERROR(I698*1,0)</f>
        <v>0</v>
      </c>
      <c r="AM698" s="1" t="n">
        <f aca="false">N(AM697)+IF(AND(R698="WON",B698&lt;&gt;""),1,0)</f>
        <v>12</v>
      </c>
      <c r="AN698" s="1" t="n">
        <f aca="false">N(AN697)+IF(AND(OR(R698="offered",R698="to be offered",R698="on hold"),B698&lt;&gt;""),1,0)</f>
        <v>33</v>
      </c>
      <c r="AO698" s="1" t="n">
        <f aca="false">N(AO697)+IF(AND(OR(R698="follow-up",R698="Evaluation",R698="tbd",R698="In evaluation"),B698&lt;&gt;""),1,0)</f>
        <v>1</v>
      </c>
      <c r="AP698" s="1" t="n">
        <f aca="false">IF(B698="",0,IF(COUNTIF('⚖️ Wahrscheinlichkeit'!$J$17:$J$24,R698)&gt;0,1,0))</f>
        <v>0</v>
      </c>
      <c r="AQ698" s="1" t="n">
        <f aca="false">IF(B698="",0,IF(AND(ISNUMBER(S698),COUNTIF('⚖️ Wahrscheinlichkeit'!$B$6:$B$11,S698)&gt;0),1,0))</f>
        <v>0</v>
      </c>
      <c r="AR698" s="1" t="n">
        <f aca="false">IF(B698="",0,IF(AND(COUNT(J698:M698)=4,SUM(J698:M698)&gt;0),1,0))</f>
        <v>0</v>
      </c>
      <c r="AS698" s="1" t="n">
        <f aca="false">IF(B698="",0,IF(AND(AF698&lt;&gt;"",AG698&lt;&gt;""),1,0))</f>
        <v>0</v>
      </c>
      <c r="AT698" s="1" t="n">
        <f aca="false">IF(AND(R698="WON",AS698=1,AR698=1),1,0)</f>
        <v>0</v>
      </c>
      <c r="AU698" s="1" t="n">
        <f aca="false">IF(B698="",0,IF(AD698="Alternative – zählt nicht",0,1))</f>
        <v>0</v>
      </c>
      <c r="AV698" s="1" t="n">
        <f aca="false">IF(B698="",0,IF(COUNTIF($B$6:$B$860,B698)&gt;1,1,0))</f>
        <v>0</v>
      </c>
      <c r="AX698" s="269" t="str">
        <f aca="false">IF(AY698=1,DATE(YEAR(O698),MONTH(O698),1),"")</f>
        <v/>
      </c>
      <c r="AY698" s="1" t="n">
        <f aca="false">IF(B698="",0,IF(AND(ISNUMBER(O698),ISNUMBER(P698)),IF(P698&gt;=O698,1,0),0))</f>
        <v>0</v>
      </c>
      <c r="AZ698" s="1" t="n">
        <f aca="false">IF(ISNUMBER(Y698),Y698,0)</f>
        <v>0</v>
      </c>
      <c r="BA698" s="1" t="str">
        <f aca="false">IF(B698="","",IF(AND(R698="WON",AS698=0),"⛔ Beleg fehlt · ","")&amp;IF(AND(R698="WON",AR698=0),"⛔ Einstand fehlt · ","")&amp;IF(AND(R698&lt;&gt;"WON",AR698=0),"○ Einstand offen · ","")&amp;IF(AND(R698="WON",AB698=""),"⛔ Vertragsart fehlt · ","")&amp;IF(AND(ISNUMBER(O698),ISNUMBER(P698)),IF(P698&lt;O698,"⚠ Ende vor Start · ",""),"")&amp;IF(AND(R698="WON",AY698=0,NOT(AND(ISNUMBER(O698),ISNUMBER(P698)))),"⛔ Zeitraum fehlt · ","")&amp;IF(AND(R698&lt;&gt;"WON",AY698=0,NOT(AND(ISNUMBER(O698),ISNUMBER(P698)))),"○ Zeitraum offen · ",""))</f>
        <v/>
      </c>
      <c r="BB698" s="1" t="str">
        <f aca="false">IF(B698="","",IF(AND(R698="WON",AS698=0),"⛔ Nachweis fehlt",IF(AND(ISNUMBER(O698),ISNUMBER(P698),P698&lt;O698),"⚠ Ende vor Start",IF(AND(R698="WON",AY698=0),"⛔ Zeitraum fehlt",IF(AR698=0,"○ Einstand offen",IF(AY698=0,"○ Zeitraum offen",IF(R698="WON","✅ belegt","✔ erfasst")))))))</f>
        <v/>
      </c>
    </row>
    <row r="699" customFormat="false" ht="15" hidden="false" customHeight="true" outlineLevel="0" collapsed="false">
      <c r="G699" s="1" t="str">
        <f aca="false">IF(B699="","",IF(AY699=1,P699-O699+1,IF(AW699="","",AW699)))</f>
        <v/>
      </c>
      <c r="I699" s="270"/>
      <c r="J699" s="270"/>
      <c r="K699" s="270"/>
      <c r="L699" s="270"/>
      <c r="M699" s="270"/>
      <c r="N699" s="270"/>
      <c r="O699" s="263"/>
      <c r="P699" s="263"/>
      <c r="Q699" s="270" t="str">
        <f aca="false">IF(AND(ISNUMBER(I699),ISNUMBER(S699)),I699*AJ699,IF(OR(I699&lt;&gt;"",S699&lt;&gt;""),"tbd",""))</f>
        <v/>
      </c>
      <c r="S699" s="268"/>
      <c r="Y699" s="275" t="str">
        <f aca="false">IF(ISNUMBER(I699),I699/Netto_Faktor,"")</f>
        <v/>
      </c>
      <c r="Z699" s="275" t="str">
        <f aca="false">IF(B699="","",IF(COUNT(J699:N699)=0,"",SUM(J699:N699)))</f>
        <v/>
      </c>
      <c r="AA699" s="266"/>
      <c r="AB699" s="266"/>
      <c r="AC699" s="266"/>
      <c r="AD699" s="266"/>
      <c r="AE699" s="266"/>
      <c r="AF699" s="266"/>
      <c r="AG699" s="267"/>
      <c r="AH699" s="266" t="str">
        <f aca="false">IF(B699="","",IF(BA699="",IF(R699="WON","✅ belegt &amp; vollständig","✔ vollständig"),LEFT(BA699,LEN(BA699)-3)))</f>
        <v/>
      </c>
      <c r="AJ699" s="268" t="n">
        <f aca="false">IF(ISNUMBER(S699),IFERROR(LOOKUP(IF(S699&lt;=1,S699,S699/100),'⚖️ Wahrscheinlichkeit'!$B$17:$B$21,'⚖️ Wahrscheinlichkeit'!$D$17:$D$21),0),0)</f>
        <v>0</v>
      </c>
      <c r="AK699" s="1" t="str">
        <f aca="false">IF(AND(R699="WON",ISNUMBER(I699)),AL699+(861-ROW())*0.000001,"")</f>
        <v/>
      </c>
      <c r="AL699" s="1" t="n">
        <f aca="false">IFERROR(I699*1,0)</f>
        <v>0</v>
      </c>
      <c r="AM699" s="1" t="n">
        <f aca="false">N(AM698)+IF(AND(R699="WON",B699&lt;&gt;""),1,0)</f>
        <v>12</v>
      </c>
      <c r="AN699" s="1" t="n">
        <f aca="false">N(AN698)+IF(AND(OR(R699="offered",R699="to be offered",R699="on hold"),B699&lt;&gt;""),1,0)</f>
        <v>33</v>
      </c>
      <c r="AO699" s="1" t="n">
        <f aca="false">N(AO698)+IF(AND(OR(R699="follow-up",R699="Evaluation",R699="tbd",R699="In evaluation"),B699&lt;&gt;""),1,0)</f>
        <v>1</v>
      </c>
      <c r="AP699" s="1" t="n">
        <f aca="false">IF(B699="",0,IF(COUNTIF('⚖️ Wahrscheinlichkeit'!$J$17:$J$24,R699)&gt;0,1,0))</f>
        <v>0</v>
      </c>
      <c r="AQ699" s="1" t="n">
        <f aca="false">IF(B699="",0,IF(AND(ISNUMBER(S699),COUNTIF('⚖️ Wahrscheinlichkeit'!$B$6:$B$11,S699)&gt;0),1,0))</f>
        <v>0</v>
      </c>
      <c r="AR699" s="1" t="n">
        <f aca="false">IF(B699="",0,IF(AND(COUNT(J699:M699)=4,SUM(J699:M699)&gt;0),1,0))</f>
        <v>0</v>
      </c>
      <c r="AS699" s="1" t="n">
        <f aca="false">IF(B699="",0,IF(AND(AF699&lt;&gt;"",AG699&lt;&gt;""),1,0))</f>
        <v>0</v>
      </c>
      <c r="AT699" s="1" t="n">
        <f aca="false">IF(AND(R699="WON",AS699=1,AR699=1),1,0)</f>
        <v>0</v>
      </c>
      <c r="AU699" s="1" t="n">
        <f aca="false">IF(B699="",0,IF(AD699="Alternative – zählt nicht",0,1))</f>
        <v>0</v>
      </c>
      <c r="AV699" s="1" t="n">
        <f aca="false">IF(B699="",0,IF(COUNTIF($B$6:$B$860,B699)&gt;1,1,0))</f>
        <v>0</v>
      </c>
      <c r="AX699" s="269" t="str">
        <f aca="false">IF(AY699=1,DATE(YEAR(O699),MONTH(O699),1),"")</f>
        <v/>
      </c>
      <c r="AY699" s="1" t="n">
        <f aca="false">IF(B699="",0,IF(AND(ISNUMBER(O699),ISNUMBER(P699)),IF(P699&gt;=O699,1,0),0))</f>
        <v>0</v>
      </c>
      <c r="AZ699" s="1" t="n">
        <f aca="false">IF(ISNUMBER(Y699),Y699,0)</f>
        <v>0</v>
      </c>
      <c r="BA699" s="1" t="str">
        <f aca="false">IF(B699="","",IF(AND(R699="WON",AS699=0),"⛔ Beleg fehlt · ","")&amp;IF(AND(R699="WON",AR699=0),"⛔ Einstand fehlt · ","")&amp;IF(AND(R699&lt;&gt;"WON",AR699=0),"○ Einstand offen · ","")&amp;IF(AND(R699="WON",AB699=""),"⛔ Vertragsart fehlt · ","")&amp;IF(AND(ISNUMBER(O699),ISNUMBER(P699)),IF(P699&lt;O699,"⚠ Ende vor Start · ",""),"")&amp;IF(AND(R699="WON",AY699=0,NOT(AND(ISNUMBER(O699),ISNUMBER(P699)))),"⛔ Zeitraum fehlt · ","")&amp;IF(AND(R699&lt;&gt;"WON",AY699=0,NOT(AND(ISNUMBER(O699),ISNUMBER(P699)))),"○ Zeitraum offen · ",""))</f>
        <v/>
      </c>
      <c r="BB699" s="1" t="str">
        <f aca="false">IF(B699="","",IF(AND(R699="WON",AS699=0),"⛔ Nachweis fehlt",IF(AND(ISNUMBER(O699),ISNUMBER(P699),P699&lt;O699),"⚠ Ende vor Start",IF(AND(R699="WON",AY699=0),"⛔ Zeitraum fehlt",IF(AR699=0,"○ Einstand offen",IF(AY699=0,"○ Zeitraum offen",IF(R699="WON","✅ belegt","✔ erfasst")))))))</f>
        <v/>
      </c>
    </row>
    <row r="700" customFormat="false" ht="15" hidden="false" customHeight="true" outlineLevel="0" collapsed="false">
      <c r="G700" s="1" t="str">
        <f aca="false">IF(B700="","",IF(AY700=1,P700-O700+1,IF(AW700="","",AW700)))</f>
        <v/>
      </c>
      <c r="I700" s="270"/>
      <c r="J700" s="270"/>
      <c r="K700" s="270"/>
      <c r="L700" s="270"/>
      <c r="M700" s="270"/>
      <c r="N700" s="270"/>
      <c r="O700" s="263"/>
      <c r="P700" s="263"/>
      <c r="Q700" s="270" t="str">
        <f aca="false">IF(AND(ISNUMBER(I700),ISNUMBER(S700)),I700*AJ700,IF(OR(I700&lt;&gt;"",S700&lt;&gt;""),"tbd",""))</f>
        <v/>
      </c>
      <c r="S700" s="268"/>
      <c r="Y700" s="275" t="str">
        <f aca="false">IF(ISNUMBER(I700),I700/Netto_Faktor,"")</f>
        <v/>
      </c>
      <c r="Z700" s="275" t="str">
        <f aca="false">IF(B700="","",IF(COUNT(J700:N700)=0,"",SUM(J700:N700)))</f>
        <v/>
      </c>
      <c r="AA700" s="266"/>
      <c r="AB700" s="266"/>
      <c r="AC700" s="266"/>
      <c r="AD700" s="266"/>
      <c r="AE700" s="266"/>
      <c r="AF700" s="266"/>
      <c r="AG700" s="267"/>
      <c r="AH700" s="266" t="str">
        <f aca="false">IF(B700="","",IF(BA700="",IF(R700="WON","✅ belegt &amp; vollständig","✔ vollständig"),LEFT(BA700,LEN(BA700)-3)))</f>
        <v/>
      </c>
      <c r="AJ700" s="268" t="n">
        <f aca="false">IF(ISNUMBER(S700),IFERROR(LOOKUP(IF(S700&lt;=1,S700,S700/100),'⚖️ Wahrscheinlichkeit'!$B$17:$B$21,'⚖️ Wahrscheinlichkeit'!$D$17:$D$21),0),0)</f>
        <v>0</v>
      </c>
      <c r="AK700" s="1" t="str">
        <f aca="false">IF(AND(R700="WON",ISNUMBER(I700)),AL700+(861-ROW())*0.000001,"")</f>
        <v/>
      </c>
      <c r="AL700" s="1" t="n">
        <f aca="false">IFERROR(I700*1,0)</f>
        <v>0</v>
      </c>
      <c r="AM700" s="1" t="n">
        <f aca="false">N(AM699)+IF(AND(R700="WON",B700&lt;&gt;""),1,0)</f>
        <v>12</v>
      </c>
      <c r="AN700" s="1" t="n">
        <f aca="false">N(AN699)+IF(AND(OR(R700="offered",R700="to be offered",R700="on hold"),B700&lt;&gt;""),1,0)</f>
        <v>33</v>
      </c>
      <c r="AO700" s="1" t="n">
        <f aca="false">N(AO699)+IF(AND(OR(R700="follow-up",R700="Evaluation",R700="tbd",R700="In evaluation"),B700&lt;&gt;""),1,0)</f>
        <v>1</v>
      </c>
      <c r="AP700" s="1" t="n">
        <f aca="false">IF(B700="",0,IF(COUNTIF('⚖️ Wahrscheinlichkeit'!$J$17:$J$24,R700)&gt;0,1,0))</f>
        <v>0</v>
      </c>
      <c r="AQ700" s="1" t="n">
        <f aca="false">IF(B700="",0,IF(AND(ISNUMBER(S700),COUNTIF('⚖️ Wahrscheinlichkeit'!$B$6:$B$11,S700)&gt;0),1,0))</f>
        <v>0</v>
      </c>
      <c r="AR700" s="1" t="n">
        <f aca="false">IF(B700="",0,IF(AND(COUNT(J700:M700)=4,SUM(J700:M700)&gt;0),1,0))</f>
        <v>0</v>
      </c>
      <c r="AS700" s="1" t="n">
        <f aca="false">IF(B700="",0,IF(AND(AF700&lt;&gt;"",AG700&lt;&gt;""),1,0))</f>
        <v>0</v>
      </c>
      <c r="AT700" s="1" t="n">
        <f aca="false">IF(AND(R700="WON",AS700=1,AR700=1),1,0)</f>
        <v>0</v>
      </c>
      <c r="AU700" s="1" t="n">
        <f aca="false">IF(B700="",0,IF(AD700="Alternative – zählt nicht",0,1))</f>
        <v>0</v>
      </c>
      <c r="AV700" s="1" t="n">
        <f aca="false">IF(B700="",0,IF(COUNTIF($B$6:$B$860,B700)&gt;1,1,0))</f>
        <v>0</v>
      </c>
      <c r="AX700" s="269" t="str">
        <f aca="false">IF(AY700=1,DATE(YEAR(O700),MONTH(O700),1),"")</f>
        <v/>
      </c>
      <c r="AY700" s="1" t="n">
        <f aca="false">IF(B700="",0,IF(AND(ISNUMBER(O700),ISNUMBER(P700)),IF(P700&gt;=O700,1,0),0))</f>
        <v>0</v>
      </c>
      <c r="AZ700" s="1" t="n">
        <f aca="false">IF(ISNUMBER(Y700),Y700,0)</f>
        <v>0</v>
      </c>
      <c r="BA700" s="1" t="str">
        <f aca="false">IF(B700="","",IF(AND(R700="WON",AS700=0),"⛔ Beleg fehlt · ","")&amp;IF(AND(R700="WON",AR700=0),"⛔ Einstand fehlt · ","")&amp;IF(AND(R700&lt;&gt;"WON",AR700=0),"○ Einstand offen · ","")&amp;IF(AND(R700="WON",AB700=""),"⛔ Vertragsart fehlt · ","")&amp;IF(AND(ISNUMBER(O700),ISNUMBER(P700)),IF(P700&lt;O700,"⚠ Ende vor Start · ",""),"")&amp;IF(AND(R700="WON",AY700=0,NOT(AND(ISNUMBER(O700),ISNUMBER(P700)))),"⛔ Zeitraum fehlt · ","")&amp;IF(AND(R700&lt;&gt;"WON",AY700=0,NOT(AND(ISNUMBER(O700),ISNUMBER(P700)))),"○ Zeitraum offen · ",""))</f>
        <v/>
      </c>
      <c r="BB700" s="1" t="str">
        <f aca="false">IF(B700="","",IF(AND(R700="WON",AS700=0),"⛔ Nachweis fehlt",IF(AND(ISNUMBER(O700),ISNUMBER(P700),P700&lt;O700),"⚠ Ende vor Start",IF(AND(R700="WON",AY700=0),"⛔ Zeitraum fehlt",IF(AR700=0,"○ Einstand offen",IF(AY700=0,"○ Zeitraum offen",IF(R700="WON","✅ belegt","✔ erfasst")))))))</f>
        <v/>
      </c>
    </row>
    <row r="701" customFormat="false" ht="15" hidden="false" customHeight="true" outlineLevel="0" collapsed="false">
      <c r="G701" s="1" t="str">
        <f aca="false">IF(B701="","",IF(AY701=1,P701-O701+1,IF(AW701="","",AW701)))</f>
        <v/>
      </c>
      <c r="I701" s="270"/>
      <c r="J701" s="270"/>
      <c r="K701" s="270"/>
      <c r="L701" s="270"/>
      <c r="M701" s="270"/>
      <c r="N701" s="270"/>
      <c r="O701" s="263"/>
      <c r="P701" s="263"/>
      <c r="Q701" s="270" t="str">
        <f aca="false">IF(AND(ISNUMBER(I701),ISNUMBER(S701)),I701*AJ701,IF(OR(I701&lt;&gt;"",S701&lt;&gt;""),"tbd",""))</f>
        <v/>
      </c>
      <c r="S701" s="268"/>
      <c r="Y701" s="275" t="str">
        <f aca="false">IF(ISNUMBER(I701),I701/Netto_Faktor,"")</f>
        <v/>
      </c>
      <c r="Z701" s="275" t="str">
        <f aca="false">IF(B701="","",IF(COUNT(J701:N701)=0,"",SUM(J701:N701)))</f>
        <v/>
      </c>
      <c r="AA701" s="266"/>
      <c r="AB701" s="266"/>
      <c r="AC701" s="266"/>
      <c r="AD701" s="266"/>
      <c r="AE701" s="266"/>
      <c r="AF701" s="266"/>
      <c r="AG701" s="267"/>
      <c r="AH701" s="266" t="str">
        <f aca="false">IF(B701="","",IF(BA701="",IF(R701="WON","✅ belegt &amp; vollständig","✔ vollständig"),LEFT(BA701,LEN(BA701)-3)))</f>
        <v/>
      </c>
      <c r="AJ701" s="268" t="n">
        <f aca="false">IF(ISNUMBER(S701),IFERROR(LOOKUP(IF(S701&lt;=1,S701,S701/100),'⚖️ Wahrscheinlichkeit'!$B$17:$B$21,'⚖️ Wahrscheinlichkeit'!$D$17:$D$21),0),0)</f>
        <v>0</v>
      </c>
      <c r="AK701" s="1" t="str">
        <f aca="false">IF(AND(R701="WON",ISNUMBER(I701)),AL701+(861-ROW())*0.000001,"")</f>
        <v/>
      </c>
      <c r="AL701" s="1" t="n">
        <f aca="false">IFERROR(I701*1,0)</f>
        <v>0</v>
      </c>
      <c r="AM701" s="1" t="n">
        <f aca="false">N(AM700)+IF(AND(R701="WON",B701&lt;&gt;""),1,0)</f>
        <v>12</v>
      </c>
      <c r="AN701" s="1" t="n">
        <f aca="false">N(AN700)+IF(AND(OR(R701="offered",R701="to be offered",R701="on hold"),B701&lt;&gt;""),1,0)</f>
        <v>33</v>
      </c>
      <c r="AO701" s="1" t="n">
        <f aca="false">N(AO700)+IF(AND(OR(R701="follow-up",R701="Evaluation",R701="tbd",R701="In evaluation"),B701&lt;&gt;""),1,0)</f>
        <v>1</v>
      </c>
      <c r="AP701" s="1" t="n">
        <f aca="false">IF(B701="",0,IF(COUNTIF('⚖️ Wahrscheinlichkeit'!$J$17:$J$24,R701)&gt;0,1,0))</f>
        <v>0</v>
      </c>
      <c r="AQ701" s="1" t="n">
        <f aca="false">IF(B701="",0,IF(AND(ISNUMBER(S701),COUNTIF('⚖️ Wahrscheinlichkeit'!$B$6:$B$11,S701)&gt;0),1,0))</f>
        <v>0</v>
      </c>
      <c r="AR701" s="1" t="n">
        <f aca="false">IF(B701="",0,IF(AND(COUNT(J701:M701)=4,SUM(J701:M701)&gt;0),1,0))</f>
        <v>0</v>
      </c>
      <c r="AS701" s="1" t="n">
        <f aca="false">IF(B701="",0,IF(AND(AF701&lt;&gt;"",AG701&lt;&gt;""),1,0))</f>
        <v>0</v>
      </c>
      <c r="AT701" s="1" t="n">
        <f aca="false">IF(AND(R701="WON",AS701=1,AR701=1),1,0)</f>
        <v>0</v>
      </c>
      <c r="AU701" s="1" t="n">
        <f aca="false">IF(B701="",0,IF(AD701="Alternative – zählt nicht",0,1))</f>
        <v>0</v>
      </c>
      <c r="AV701" s="1" t="n">
        <f aca="false">IF(B701="",0,IF(COUNTIF($B$6:$B$860,B701)&gt;1,1,0))</f>
        <v>0</v>
      </c>
      <c r="AX701" s="269" t="str">
        <f aca="false">IF(AY701=1,DATE(YEAR(O701),MONTH(O701),1),"")</f>
        <v/>
      </c>
      <c r="AY701" s="1" t="n">
        <f aca="false">IF(B701="",0,IF(AND(ISNUMBER(O701),ISNUMBER(P701)),IF(P701&gt;=O701,1,0),0))</f>
        <v>0</v>
      </c>
      <c r="AZ701" s="1" t="n">
        <f aca="false">IF(ISNUMBER(Y701),Y701,0)</f>
        <v>0</v>
      </c>
      <c r="BA701" s="1" t="str">
        <f aca="false">IF(B701="","",IF(AND(R701="WON",AS701=0),"⛔ Beleg fehlt · ","")&amp;IF(AND(R701="WON",AR701=0),"⛔ Einstand fehlt · ","")&amp;IF(AND(R701&lt;&gt;"WON",AR701=0),"○ Einstand offen · ","")&amp;IF(AND(R701="WON",AB701=""),"⛔ Vertragsart fehlt · ","")&amp;IF(AND(ISNUMBER(O701),ISNUMBER(P701)),IF(P701&lt;O701,"⚠ Ende vor Start · ",""),"")&amp;IF(AND(R701="WON",AY701=0,NOT(AND(ISNUMBER(O701),ISNUMBER(P701)))),"⛔ Zeitraum fehlt · ","")&amp;IF(AND(R701&lt;&gt;"WON",AY701=0,NOT(AND(ISNUMBER(O701),ISNUMBER(P701)))),"○ Zeitraum offen · ",""))</f>
        <v/>
      </c>
      <c r="BB701" s="1" t="str">
        <f aca="false">IF(B701="","",IF(AND(R701="WON",AS701=0),"⛔ Nachweis fehlt",IF(AND(ISNUMBER(O701),ISNUMBER(P701),P701&lt;O701),"⚠ Ende vor Start",IF(AND(R701="WON",AY701=0),"⛔ Zeitraum fehlt",IF(AR701=0,"○ Einstand offen",IF(AY701=0,"○ Zeitraum offen",IF(R701="WON","✅ belegt","✔ erfasst")))))))</f>
        <v/>
      </c>
    </row>
    <row r="702" customFormat="false" ht="15" hidden="false" customHeight="true" outlineLevel="0" collapsed="false">
      <c r="G702" s="1" t="str">
        <f aca="false">IF(B702="","",IF(AY702=1,P702-O702+1,IF(AW702="","",AW702)))</f>
        <v/>
      </c>
      <c r="I702" s="270"/>
      <c r="J702" s="270"/>
      <c r="K702" s="270"/>
      <c r="L702" s="270"/>
      <c r="M702" s="270"/>
      <c r="N702" s="270"/>
      <c r="O702" s="263"/>
      <c r="P702" s="263"/>
      <c r="Q702" s="270" t="str">
        <f aca="false">IF(AND(ISNUMBER(I702),ISNUMBER(S702)),I702*AJ702,IF(OR(I702&lt;&gt;"",S702&lt;&gt;""),"tbd",""))</f>
        <v/>
      </c>
      <c r="S702" s="268"/>
      <c r="Y702" s="275" t="str">
        <f aca="false">IF(ISNUMBER(I702),I702/Netto_Faktor,"")</f>
        <v/>
      </c>
      <c r="Z702" s="275" t="str">
        <f aca="false">IF(B702="","",IF(COUNT(J702:N702)=0,"",SUM(J702:N702)))</f>
        <v/>
      </c>
      <c r="AA702" s="266"/>
      <c r="AB702" s="266"/>
      <c r="AC702" s="266"/>
      <c r="AD702" s="266"/>
      <c r="AE702" s="266"/>
      <c r="AF702" s="266"/>
      <c r="AG702" s="267"/>
      <c r="AH702" s="266" t="str">
        <f aca="false">IF(B702="","",IF(BA702="",IF(R702="WON","✅ belegt &amp; vollständig","✔ vollständig"),LEFT(BA702,LEN(BA702)-3)))</f>
        <v/>
      </c>
      <c r="AJ702" s="268" t="n">
        <f aca="false">IF(ISNUMBER(S702),IFERROR(LOOKUP(IF(S702&lt;=1,S702,S702/100),'⚖️ Wahrscheinlichkeit'!$B$17:$B$21,'⚖️ Wahrscheinlichkeit'!$D$17:$D$21),0),0)</f>
        <v>0</v>
      </c>
      <c r="AK702" s="1" t="str">
        <f aca="false">IF(AND(R702="WON",ISNUMBER(I702)),AL702+(861-ROW())*0.000001,"")</f>
        <v/>
      </c>
      <c r="AL702" s="1" t="n">
        <f aca="false">IFERROR(I702*1,0)</f>
        <v>0</v>
      </c>
      <c r="AM702" s="1" t="n">
        <f aca="false">N(AM701)+IF(AND(R702="WON",B702&lt;&gt;""),1,0)</f>
        <v>12</v>
      </c>
      <c r="AN702" s="1" t="n">
        <f aca="false">N(AN701)+IF(AND(OR(R702="offered",R702="to be offered",R702="on hold"),B702&lt;&gt;""),1,0)</f>
        <v>33</v>
      </c>
      <c r="AO702" s="1" t="n">
        <f aca="false">N(AO701)+IF(AND(OR(R702="follow-up",R702="Evaluation",R702="tbd",R702="In evaluation"),B702&lt;&gt;""),1,0)</f>
        <v>1</v>
      </c>
      <c r="AP702" s="1" t="n">
        <f aca="false">IF(B702="",0,IF(COUNTIF('⚖️ Wahrscheinlichkeit'!$J$17:$J$24,R702)&gt;0,1,0))</f>
        <v>0</v>
      </c>
      <c r="AQ702" s="1" t="n">
        <f aca="false">IF(B702="",0,IF(AND(ISNUMBER(S702),COUNTIF('⚖️ Wahrscheinlichkeit'!$B$6:$B$11,S702)&gt;0),1,0))</f>
        <v>0</v>
      </c>
      <c r="AR702" s="1" t="n">
        <f aca="false">IF(B702="",0,IF(AND(COUNT(J702:M702)=4,SUM(J702:M702)&gt;0),1,0))</f>
        <v>0</v>
      </c>
      <c r="AS702" s="1" t="n">
        <f aca="false">IF(B702="",0,IF(AND(AF702&lt;&gt;"",AG702&lt;&gt;""),1,0))</f>
        <v>0</v>
      </c>
      <c r="AT702" s="1" t="n">
        <f aca="false">IF(AND(R702="WON",AS702=1,AR702=1),1,0)</f>
        <v>0</v>
      </c>
      <c r="AU702" s="1" t="n">
        <f aca="false">IF(B702="",0,IF(AD702="Alternative – zählt nicht",0,1))</f>
        <v>0</v>
      </c>
      <c r="AV702" s="1" t="n">
        <f aca="false">IF(B702="",0,IF(COUNTIF($B$6:$B$860,B702)&gt;1,1,0))</f>
        <v>0</v>
      </c>
      <c r="AX702" s="269" t="str">
        <f aca="false">IF(AY702=1,DATE(YEAR(O702),MONTH(O702),1),"")</f>
        <v/>
      </c>
      <c r="AY702" s="1" t="n">
        <f aca="false">IF(B702="",0,IF(AND(ISNUMBER(O702),ISNUMBER(P702)),IF(P702&gt;=O702,1,0),0))</f>
        <v>0</v>
      </c>
      <c r="AZ702" s="1" t="n">
        <f aca="false">IF(ISNUMBER(Y702),Y702,0)</f>
        <v>0</v>
      </c>
      <c r="BA702" s="1" t="str">
        <f aca="false">IF(B702="","",IF(AND(R702="WON",AS702=0),"⛔ Beleg fehlt · ","")&amp;IF(AND(R702="WON",AR702=0),"⛔ Einstand fehlt · ","")&amp;IF(AND(R702&lt;&gt;"WON",AR702=0),"○ Einstand offen · ","")&amp;IF(AND(R702="WON",AB702=""),"⛔ Vertragsart fehlt · ","")&amp;IF(AND(ISNUMBER(O702),ISNUMBER(P702)),IF(P702&lt;O702,"⚠ Ende vor Start · ",""),"")&amp;IF(AND(R702="WON",AY702=0,NOT(AND(ISNUMBER(O702),ISNUMBER(P702)))),"⛔ Zeitraum fehlt · ","")&amp;IF(AND(R702&lt;&gt;"WON",AY702=0,NOT(AND(ISNUMBER(O702),ISNUMBER(P702)))),"○ Zeitraum offen · ",""))</f>
        <v/>
      </c>
      <c r="BB702" s="1" t="str">
        <f aca="false">IF(B702="","",IF(AND(R702="WON",AS702=0),"⛔ Nachweis fehlt",IF(AND(ISNUMBER(O702),ISNUMBER(P702),P702&lt;O702),"⚠ Ende vor Start",IF(AND(R702="WON",AY702=0),"⛔ Zeitraum fehlt",IF(AR702=0,"○ Einstand offen",IF(AY702=0,"○ Zeitraum offen",IF(R702="WON","✅ belegt","✔ erfasst")))))))</f>
        <v/>
      </c>
    </row>
    <row r="703" customFormat="false" ht="15" hidden="false" customHeight="true" outlineLevel="0" collapsed="false">
      <c r="G703" s="1" t="str">
        <f aca="false">IF(B703="","",IF(AY703=1,P703-O703+1,IF(AW703="","",AW703)))</f>
        <v/>
      </c>
      <c r="I703" s="270"/>
      <c r="J703" s="270"/>
      <c r="K703" s="270"/>
      <c r="L703" s="270"/>
      <c r="M703" s="270"/>
      <c r="N703" s="270"/>
      <c r="O703" s="263"/>
      <c r="P703" s="263"/>
      <c r="Q703" s="270" t="str">
        <f aca="false">IF(AND(ISNUMBER(I703),ISNUMBER(S703)),I703*AJ703,IF(OR(I703&lt;&gt;"",S703&lt;&gt;""),"tbd",""))</f>
        <v/>
      </c>
      <c r="S703" s="268"/>
      <c r="Y703" s="275" t="str">
        <f aca="false">IF(ISNUMBER(I703),I703/Netto_Faktor,"")</f>
        <v/>
      </c>
      <c r="Z703" s="275" t="str">
        <f aca="false">IF(B703="","",IF(COUNT(J703:N703)=0,"",SUM(J703:N703)))</f>
        <v/>
      </c>
      <c r="AA703" s="266"/>
      <c r="AB703" s="266"/>
      <c r="AC703" s="266"/>
      <c r="AD703" s="266"/>
      <c r="AE703" s="266"/>
      <c r="AF703" s="266"/>
      <c r="AG703" s="267"/>
      <c r="AH703" s="266" t="str">
        <f aca="false">IF(B703="","",IF(BA703="",IF(R703="WON","✅ belegt &amp; vollständig","✔ vollständig"),LEFT(BA703,LEN(BA703)-3)))</f>
        <v/>
      </c>
      <c r="AJ703" s="268" t="n">
        <f aca="false">IF(ISNUMBER(S703),IFERROR(LOOKUP(IF(S703&lt;=1,S703,S703/100),'⚖️ Wahrscheinlichkeit'!$B$17:$B$21,'⚖️ Wahrscheinlichkeit'!$D$17:$D$21),0),0)</f>
        <v>0</v>
      </c>
      <c r="AK703" s="1" t="str">
        <f aca="false">IF(AND(R703="WON",ISNUMBER(I703)),AL703+(861-ROW())*0.000001,"")</f>
        <v/>
      </c>
      <c r="AL703" s="1" t="n">
        <f aca="false">IFERROR(I703*1,0)</f>
        <v>0</v>
      </c>
      <c r="AM703" s="1" t="n">
        <f aca="false">N(AM702)+IF(AND(R703="WON",B703&lt;&gt;""),1,0)</f>
        <v>12</v>
      </c>
      <c r="AN703" s="1" t="n">
        <f aca="false">N(AN702)+IF(AND(OR(R703="offered",R703="to be offered",R703="on hold"),B703&lt;&gt;""),1,0)</f>
        <v>33</v>
      </c>
      <c r="AO703" s="1" t="n">
        <f aca="false">N(AO702)+IF(AND(OR(R703="follow-up",R703="Evaluation",R703="tbd",R703="In evaluation"),B703&lt;&gt;""),1,0)</f>
        <v>1</v>
      </c>
      <c r="AP703" s="1" t="n">
        <f aca="false">IF(B703="",0,IF(COUNTIF('⚖️ Wahrscheinlichkeit'!$J$17:$J$24,R703)&gt;0,1,0))</f>
        <v>0</v>
      </c>
      <c r="AQ703" s="1" t="n">
        <f aca="false">IF(B703="",0,IF(AND(ISNUMBER(S703),COUNTIF('⚖️ Wahrscheinlichkeit'!$B$6:$B$11,S703)&gt;0),1,0))</f>
        <v>0</v>
      </c>
      <c r="AR703" s="1" t="n">
        <f aca="false">IF(B703="",0,IF(AND(COUNT(J703:M703)=4,SUM(J703:M703)&gt;0),1,0))</f>
        <v>0</v>
      </c>
      <c r="AS703" s="1" t="n">
        <f aca="false">IF(B703="",0,IF(AND(AF703&lt;&gt;"",AG703&lt;&gt;""),1,0))</f>
        <v>0</v>
      </c>
      <c r="AT703" s="1" t="n">
        <f aca="false">IF(AND(R703="WON",AS703=1,AR703=1),1,0)</f>
        <v>0</v>
      </c>
      <c r="AU703" s="1" t="n">
        <f aca="false">IF(B703="",0,IF(AD703="Alternative – zählt nicht",0,1))</f>
        <v>0</v>
      </c>
      <c r="AV703" s="1" t="n">
        <f aca="false">IF(B703="",0,IF(COUNTIF($B$6:$B$860,B703)&gt;1,1,0))</f>
        <v>0</v>
      </c>
      <c r="AX703" s="269" t="str">
        <f aca="false">IF(AY703=1,DATE(YEAR(O703),MONTH(O703),1),"")</f>
        <v/>
      </c>
      <c r="AY703" s="1" t="n">
        <f aca="false">IF(B703="",0,IF(AND(ISNUMBER(O703),ISNUMBER(P703)),IF(P703&gt;=O703,1,0),0))</f>
        <v>0</v>
      </c>
      <c r="AZ703" s="1" t="n">
        <f aca="false">IF(ISNUMBER(Y703),Y703,0)</f>
        <v>0</v>
      </c>
      <c r="BA703" s="1" t="str">
        <f aca="false">IF(B703="","",IF(AND(R703="WON",AS703=0),"⛔ Beleg fehlt · ","")&amp;IF(AND(R703="WON",AR703=0),"⛔ Einstand fehlt · ","")&amp;IF(AND(R703&lt;&gt;"WON",AR703=0),"○ Einstand offen · ","")&amp;IF(AND(R703="WON",AB703=""),"⛔ Vertragsart fehlt · ","")&amp;IF(AND(ISNUMBER(O703),ISNUMBER(P703)),IF(P703&lt;O703,"⚠ Ende vor Start · ",""),"")&amp;IF(AND(R703="WON",AY703=0,NOT(AND(ISNUMBER(O703),ISNUMBER(P703)))),"⛔ Zeitraum fehlt · ","")&amp;IF(AND(R703&lt;&gt;"WON",AY703=0,NOT(AND(ISNUMBER(O703),ISNUMBER(P703)))),"○ Zeitraum offen · ",""))</f>
        <v/>
      </c>
      <c r="BB703" s="1" t="str">
        <f aca="false">IF(B703="","",IF(AND(R703="WON",AS703=0),"⛔ Nachweis fehlt",IF(AND(ISNUMBER(O703),ISNUMBER(P703),P703&lt;O703),"⚠ Ende vor Start",IF(AND(R703="WON",AY703=0),"⛔ Zeitraum fehlt",IF(AR703=0,"○ Einstand offen",IF(AY703=0,"○ Zeitraum offen",IF(R703="WON","✅ belegt","✔ erfasst")))))))</f>
        <v/>
      </c>
    </row>
    <row r="704" customFormat="false" ht="15" hidden="false" customHeight="true" outlineLevel="0" collapsed="false">
      <c r="G704" s="1" t="str">
        <f aca="false">IF(B704="","",IF(AY704=1,P704-O704+1,IF(AW704="","",AW704)))</f>
        <v/>
      </c>
      <c r="I704" s="270"/>
      <c r="J704" s="270"/>
      <c r="K704" s="270"/>
      <c r="L704" s="270"/>
      <c r="M704" s="270"/>
      <c r="N704" s="270"/>
      <c r="O704" s="263"/>
      <c r="P704" s="263"/>
      <c r="Q704" s="270" t="str">
        <f aca="false">IF(AND(ISNUMBER(I704),ISNUMBER(S704)),I704*AJ704,IF(OR(I704&lt;&gt;"",S704&lt;&gt;""),"tbd",""))</f>
        <v/>
      </c>
      <c r="S704" s="268"/>
      <c r="Y704" s="275" t="str">
        <f aca="false">IF(ISNUMBER(I704),I704/Netto_Faktor,"")</f>
        <v/>
      </c>
      <c r="Z704" s="275" t="str">
        <f aca="false">IF(B704="","",IF(COUNT(J704:N704)=0,"",SUM(J704:N704)))</f>
        <v/>
      </c>
      <c r="AA704" s="266"/>
      <c r="AB704" s="266"/>
      <c r="AC704" s="266"/>
      <c r="AD704" s="266"/>
      <c r="AE704" s="266"/>
      <c r="AF704" s="266"/>
      <c r="AG704" s="267"/>
      <c r="AH704" s="266" t="str">
        <f aca="false">IF(B704="","",IF(BA704="",IF(R704="WON","✅ belegt &amp; vollständig","✔ vollständig"),LEFT(BA704,LEN(BA704)-3)))</f>
        <v/>
      </c>
      <c r="AJ704" s="268" t="n">
        <f aca="false">IF(ISNUMBER(S704),IFERROR(LOOKUP(IF(S704&lt;=1,S704,S704/100),'⚖️ Wahrscheinlichkeit'!$B$17:$B$21,'⚖️ Wahrscheinlichkeit'!$D$17:$D$21),0),0)</f>
        <v>0</v>
      </c>
      <c r="AK704" s="1" t="str">
        <f aca="false">IF(AND(R704="WON",ISNUMBER(I704)),AL704+(861-ROW())*0.000001,"")</f>
        <v/>
      </c>
      <c r="AL704" s="1" t="n">
        <f aca="false">IFERROR(I704*1,0)</f>
        <v>0</v>
      </c>
      <c r="AM704" s="1" t="n">
        <f aca="false">N(AM703)+IF(AND(R704="WON",B704&lt;&gt;""),1,0)</f>
        <v>12</v>
      </c>
      <c r="AN704" s="1" t="n">
        <f aca="false">N(AN703)+IF(AND(OR(R704="offered",R704="to be offered",R704="on hold"),B704&lt;&gt;""),1,0)</f>
        <v>33</v>
      </c>
      <c r="AO704" s="1" t="n">
        <f aca="false">N(AO703)+IF(AND(OR(R704="follow-up",R704="Evaluation",R704="tbd",R704="In evaluation"),B704&lt;&gt;""),1,0)</f>
        <v>1</v>
      </c>
      <c r="AP704" s="1" t="n">
        <f aca="false">IF(B704="",0,IF(COUNTIF('⚖️ Wahrscheinlichkeit'!$J$17:$J$24,R704)&gt;0,1,0))</f>
        <v>0</v>
      </c>
      <c r="AQ704" s="1" t="n">
        <f aca="false">IF(B704="",0,IF(AND(ISNUMBER(S704),COUNTIF('⚖️ Wahrscheinlichkeit'!$B$6:$B$11,S704)&gt;0),1,0))</f>
        <v>0</v>
      </c>
      <c r="AR704" s="1" t="n">
        <f aca="false">IF(B704="",0,IF(AND(COUNT(J704:M704)=4,SUM(J704:M704)&gt;0),1,0))</f>
        <v>0</v>
      </c>
      <c r="AS704" s="1" t="n">
        <f aca="false">IF(B704="",0,IF(AND(AF704&lt;&gt;"",AG704&lt;&gt;""),1,0))</f>
        <v>0</v>
      </c>
      <c r="AT704" s="1" t="n">
        <f aca="false">IF(AND(R704="WON",AS704=1,AR704=1),1,0)</f>
        <v>0</v>
      </c>
      <c r="AU704" s="1" t="n">
        <f aca="false">IF(B704="",0,IF(AD704="Alternative – zählt nicht",0,1))</f>
        <v>0</v>
      </c>
      <c r="AV704" s="1" t="n">
        <f aca="false">IF(B704="",0,IF(COUNTIF($B$6:$B$860,B704)&gt;1,1,0))</f>
        <v>0</v>
      </c>
      <c r="AX704" s="269" t="str">
        <f aca="false">IF(AY704=1,DATE(YEAR(O704),MONTH(O704),1),"")</f>
        <v/>
      </c>
      <c r="AY704" s="1" t="n">
        <f aca="false">IF(B704="",0,IF(AND(ISNUMBER(O704),ISNUMBER(P704)),IF(P704&gt;=O704,1,0),0))</f>
        <v>0</v>
      </c>
      <c r="AZ704" s="1" t="n">
        <f aca="false">IF(ISNUMBER(Y704),Y704,0)</f>
        <v>0</v>
      </c>
      <c r="BA704" s="1" t="str">
        <f aca="false">IF(B704="","",IF(AND(R704="WON",AS704=0),"⛔ Beleg fehlt · ","")&amp;IF(AND(R704="WON",AR704=0),"⛔ Einstand fehlt · ","")&amp;IF(AND(R704&lt;&gt;"WON",AR704=0),"○ Einstand offen · ","")&amp;IF(AND(R704="WON",AB704=""),"⛔ Vertragsart fehlt · ","")&amp;IF(AND(ISNUMBER(O704),ISNUMBER(P704)),IF(P704&lt;O704,"⚠ Ende vor Start · ",""),"")&amp;IF(AND(R704="WON",AY704=0,NOT(AND(ISNUMBER(O704),ISNUMBER(P704)))),"⛔ Zeitraum fehlt · ","")&amp;IF(AND(R704&lt;&gt;"WON",AY704=0,NOT(AND(ISNUMBER(O704),ISNUMBER(P704)))),"○ Zeitraum offen · ",""))</f>
        <v/>
      </c>
      <c r="BB704" s="1" t="str">
        <f aca="false">IF(B704="","",IF(AND(R704="WON",AS704=0),"⛔ Nachweis fehlt",IF(AND(ISNUMBER(O704),ISNUMBER(P704),P704&lt;O704),"⚠ Ende vor Start",IF(AND(R704="WON",AY704=0),"⛔ Zeitraum fehlt",IF(AR704=0,"○ Einstand offen",IF(AY704=0,"○ Zeitraum offen",IF(R704="WON","✅ belegt","✔ erfasst")))))))</f>
        <v/>
      </c>
    </row>
    <row r="705" customFormat="false" ht="15" hidden="false" customHeight="true" outlineLevel="0" collapsed="false">
      <c r="G705" s="1" t="str">
        <f aca="false">IF(B705="","",IF(AY705=1,P705-O705+1,IF(AW705="","",AW705)))</f>
        <v/>
      </c>
      <c r="I705" s="270"/>
      <c r="J705" s="270"/>
      <c r="K705" s="270"/>
      <c r="L705" s="270"/>
      <c r="M705" s="270"/>
      <c r="N705" s="270"/>
      <c r="O705" s="263"/>
      <c r="P705" s="263"/>
      <c r="Q705" s="270" t="str">
        <f aca="false">IF(AND(ISNUMBER(I705),ISNUMBER(S705)),I705*AJ705,IF(OR(I705&lt;&gt;"",S705&lt;&gt;""),"tbd",""))</f>
        <v/>
      </c>
      <c r="S705" s="268"/>
      <c r="Y705" s="275" t="str">
        <f aca="false">IF(ISNUMBER(I705),I705/Netto_Faktor,"")</f>
        <v/>
      </c>
      <c r="Z705" s="275" t="str">
        <f aca="false">IF(B705="","",IF(COUNT(J705:N705)=0,"",SUM(J705:N705)))</f>
        <v/>
      </c>
      <c r="AA705" s="266"/>
      <c r="AB705" s="266"/>
      <c r="AC705" s="266"/>
      <c r="AD705" s="266"/>
      <c r="AE705" s="266"/>
      <c r="AF705" s="266"/>
      <c r="AG705" s="267"/>
      <c r="AH705" s="266" t="str">
        <f aca="false">IF(B705="","",IF(BA705="",IF(R705="WON","✅ belegt &amp; vollständig","✔ vollständig"),LEFT(BA705,LEN(BA705)-3)))</f>
        <v/>
      </c>
      <c r="AJ705" s="268" t="n">
        <f aca="false">IF(ISNUMBER(S705),IFERROR(LOOKUP(IF(S705&lt;=1,S705,S705/100),'⚖️ Wahrscheinlichkeit'!$B$17:$B$21,'⚖️ Wahrscheinlichkeit'!$D$17:$D$21),0),0)</f>
        <v>0</v>
      </c>
      <c r="AK705" s="1" t="str">
        <f aca="false">IF(AND(R705="WON",ISNUMBER(I705)),AL705+(861-ROW())*0.000001,"")</f>
        <v/>
      </c>
      <c r="AL705" s="1" t="n">
        <f aca="false">IFERROR(I705*1,0)</f>
        <v>0</v>
      </c>
      <c r="AM705" s="1" t="n">
        <f aca="false">N(AM704)+IF(AND(R705="WON",B705&lt;&gt;""),1,0)</f>
        <v>12</v>
      </c>
      <c r="AN705" s="1" t="n">
        <f aca="false">N(AN704)+IF(AND(OR(R705="offered",R705="to be offered",R705="on hold"),B705&lt;&gt;""),1,0)</f>
        <v>33</v>
      </c>
      <c r="AO705" s="1" t="n">
        <f aca="false">N(AO704)+IF(AND(OR(R705="follow-up",R705="Evaluation",R705="tbd",R705="In evaluation"),B705&lt;&gt;""),1,0)</f>
        <v>1</v>
      </c>
      <c r="AP705" s="1" t="n">
        <f aca="false">IF(B705="",0,IF(COUNTIF('⚖️ Wahrscheinlichkeit'!$J$17:$J$24,R705)&gt;0,1,0))</f>
        <v>0</v>
      </c>
      <c r="AQ705" s="1" t="n">
        <f aca="false">IF(B705="",0,IF(AND(ISNUMBER(S705),COUNTIF('⚖️ Wahrscheinlichkeit'!$B$6:$B$11,S705)&gt;0),1,0))</f>
        <v>0</v>
      </c>
      <c r="AR705" s="1" t="n">
        <f aca="false">IF(B705="",0,IF(AND(COUNT(J705:M705)=4,SUM(J705:M705)&gt;0),1,0))</f>
        <v>0</v>
      </c>
      <c r="AS705" s="1" t="n">
        <f aca="false">IF(B705="",0,IF(AND(AF705&lt;&gt;"",AG705&lt;&gt;""),1,0))</f>
        <v>0</v>
      </c>
      <c r="AT705" s="1" t="n">
        <f aca="false">IF(AND(R705="WON",AS705=1,AR705=1),1,0)</f>
        <v>0</v>
      </c>
      <c r="AU705" s="1" t="n">
        <f aca="false">IF(B705="",0,IF(AD705="Alternative – zählt nicht",0,1))</f>
        <v>0</v>
      </c>
      <c r="AV705" s="1" t="n">
        <f aca="false">IF(B705="",0,IF(COUNTIF($B$6:$B$860,B705)&gt;1,1,0))</f>
        <v>0</v>
      </c>
      <c r="AX705" s="269" t="str">
        <f aca="false">IF(AY705=1,DATE(YEAR(O705),MONTH(O705),1),"")</f>
        <v/>
      </c>
      <c r="AY705" s="1" t="n">
        <f aca="false">IF(B705="",0,IF(AND(ISNUMBER(O705),ISNUMBER(P705)),IF(P705&gt;=O705,1,0),0))</f>
        <v>0</v>
      </c>
      <c r="AZ705" s="1" t="n">
        <f aca="false">IF(ISNUMBER(Y705),Y705,0)</f>
        <v>0</v>
      </c>
      <c r="BA705" s="1" t="str">
        <f aca="false">IF(B705="","",IF(AND(R705="WON",AS705=0),"⛔ Beleg fehlt · ","")&amp;IF(AND(R705="WON",AR705=0),"⛔ Einstand fehlt · ","")&amp;IF(AND(R705&lt;&gt;"WON",AR705=0),"○ Einstand offen · ","")&amp;IF(AND(R705="WON",AB705=""),"⛔ Vertragsart fehlt · ","")&amp;IF(AND(ISNUMBER(O705),ISNUMBER(P705)),IF(P705&lt;O705,"⚠ Ende vor Start · ",""),"")&amp;IF(AND(R705="WON",AY705=0,NOT(AND(ISNUMBER(O705),ISNUMBER(P705)))),"⛔ Zeitraum fehlt · ","")&amp;IF(AND(R705&lt;&gt;"WON",AY705=0,NOT(AND(ISNUMBER(O705),ISNUMBER(P705)))),"○ Zeitraum offen · ",""))</f>
        <v/>
      </c>
      <c r="BB705" s="1" t="str">
        <f aca="false">IF(B705="","",IF(AND(R705="WON",AS705=0),"⛔ Nachweis fehlt",IF(AND(ISNUMBER(O705),ISNUMBER(P705),P705&lt;O705),"⚠ Ende vor Start",IF(AND(R705="WON",AY705=0),"⛔ Zeitraum fehlt",IF(AR705=0,"○ Einstand offen",IF(AY705=0,"○ Zeitraum offen",IF(R705="WON","✅ belegt","✔ erfasst")))))))</f>
        <v/>
      </c>
    </row>
    <row r="706" customFormat="false" ht="15" hidden="false" customHeight="true" outlineLevel="0" collapsed="false">
      <c r="G706" s="1" t="str">
        <f aca="false">IF(B706="","",IF(AY706=1,P706-O706+1,IF(AW706="","",AW706)))</f>
        <v/>
      </c>
      <c r="I706" s="270"/>
      <c r="J706" s="270"/>
      <c r="K706" s="270"/>
      <c r="L706" s="270"/>
      <c r="M706" s="270"/>
      <c r="N706" s="270"/>
      <c r="O706" s="263"/>
      <c r="P706" s="263"/>
      <c r="Q706" s="270" t="str">
        <f aca="false">IF(AND(ISNUMBER(I706),ISNUMBER(S706)),I706*AJ706,IF(OR(I706&lt;&gt;"",S706&lt;&gt;""),"tbd",""))</f>
        <v/>
      </c>
      <c r="S706" s="268"/>
      <c r="Y706" s="275" t="str">
        <f aca="false">IF(ISNUMBER(I706),I706/Netto_Faktor,"")</f>
        <v/>
      </c>
      <c r="Z706" s="275" t="str">
        <f aca="false">IF(B706="","",IF(COUNT(J706:N706)=0,"",SUM(J706:N706)))</f>
        <v/>
      </c>
      <c r="AA706" s="266"/>
      <c r="AB706" s="266"/>
      <c r="AC706" s="266"/>
      <c r="AD706" s="266"/>
      <c r="AE706" s="266"/>
      <c r="AF706" s="266"/>
      <c r="AG706" s="267"/>
      <c r="AH706" s="266" t="str">
        <f aca="false">IF(B706="","",IF(BA706="",IF(R706="WON","✅ belegt &amp; vollständig","✔ vollständig"),LEFT(BA706,LEN(BA706)-3)))</f>
        <v/>
      </c>
      <c r="AJ706" s="268" t="n">
        <f aca="false">IF(ISNUMBER(S706),IFERROR(LOOKUP(IF(S706&lt;=1,S706,S706/100),'⚖️ Wahrscheinlichkeit'!$B$17:$B$21,'⚖️ Wahrscheinlichkeit'!$D$17:$D$21),0),0)</f>
        <v>0</v>
      </c>
      <c r="AK706" s="1" t="str">
        <f aca="false">IF(AND(R706="WON",ISNUMBER(I706)),AL706+(861-ROW())*0.000001,"")</f>
        <v/>
      </c>
      <c r="AL706" s="1" t="n">
        <f aca="false">IFERROR(I706*1,0)</f>
        <v>0</v>
      </c>
      <c r="AM706" s="1" t="n">
        <f aca="false">N(AM705)+IF(AND(R706="WON",B706&lt;&gt;""),1,0)</f>
        <v>12</v>
      </c>
      <c r="AN706" s="1" t="n">
        <f aca="false">N(AN705)+IF(AND(OR(R706="offered",R706="to be offered",R706="on hold"),B706&lt;&gt;""),1,0)</f>
        <v>33</v>
      </c>
      <c r="AO706" s="1" t="n">
        <f aca="false">N(AO705)+IF(AND(OR(R706="follow-up",R706="Evaluation",R706="tbd",R706="In evaluation"),B706&lt;&gt;""),1,0)</f>
        <v>1</v>
      </c>
      <c r="AP706" s="1" t="n">
        <f aca="false">IF(B706="",0,IF(COUNTIF('⚖️ Wahrscheinlichkeit'!$J$17:$J$24,R706)&gt;0,1,0))</f>
        <v>0</v>
      </c>
      <c r="AQ706" s="1" t="n">
        <f aca="false">IF(B706="",0,IF(AND(ISNUMBER(S706),COUNTIF('⚖️ Wahrscheinlichkeit'!$B$6:$B$11,S706)&gt;0),1,0))</f>
        <v>0</v>
      </c>
      <c r="AR706" s="1" t="n">
        <f aca="false">IF(B706="",0,IF(AND(COUNT(J706:M706)=4,SUM(J706:M706)&gt;0),1,0))</f>
        <v>0</v>
      </c>
      <c r="AS706" s="1" t="n">
        <f aca="false">IF(B706="",0,IF(AND(AF706&lt;&gt;"",AG706&lt;&gt;""),1,0))</f>
        <v>0</v>
      </c>
      <c r="AT706" s="1" t="n">
        <f aca="false">IF(AND(R706="WON",AS706=1,AR706=1),1,0)</f>
        <v>0</v>
      </c>
      <c r="AU706" s="1" t="n">
        <f aca="false">IF(B706="",0,IF(AD706="Alternative – zählt nicht",0,1))</f>
        <v>0</v>
      </c>
      <c r="AV706" s="1" t="n">
        <f aca="false">IF(B706="",0,IF(COUNTIF($B$6:$B$860,B706)&gt;1,1,0))</f>
        <v>0</v>
      </c>
      <c r="AX706" s="269" t="str">
        <f aca="false">IF(AY706=1,DATE(YEAR(O706),MONTH(O706),1),"")</f>
        <v/>
      </c>
      <c r="AY706" s="1" t="n">
        <f aca="false">IF(B706="",0,IF(AND(ISNUMBER(O706),ISNUMBER(P706)),IF(P706&gt;=O706,1,0),0))</f>
        <v>0</v>
      </c>
      <c r="AZ706" s="1" t="n">
        <f aca="false">IF(ISNUMBER(Y706),Y706,0)</f>
        <v>0</v>
      </c>
      <c r="BA706" s="1" t="str">
        <f aca="false">IF(B706="","",IF(AND(R706="WON",AS706=0),"⛔ Beleg fehlt · ","")&amp;IF(AND(R706="WON",AR706=0),"⛔ Einstand fehlt · ","")&amp;IF(AND(R706&lt;&gt;"WON",AR706=0),"○ Einstand offen · ","")&amp;IF(AND(R706="WON",AB706=""),"⛔ Vertragsart fehlt · ","")&amp;IF(AND(ISNUMBER(O706),ISNUMBER(P706)),IF(P706&lt;O706,"⚠ Ende vor Start · ",""),"")&amp;IF(AND(R706="WON",AY706=0,NOT(AND(ISNUMBER(O706),ISNUMBER(P706)))),"⛔ Zeitraum fehlt · ","")&amp;IF(AND(R706&lt;&gt;"WON",AY706=0,NOT(AND(ISNUMBER(O706),ISNUMBER(P706)))),"○ Zeitraum offen · ",""))</f>
        <v/>
      </c>
      <c r="BB706" s="1" t="str">
        <f aca="false">IF(B706="","",IF(AND(R706="WON",AS706=0),"⛔ Nachweis fehlt",IF(AND(ISNUMBER(O706),ISNUMBER(P706),P706&lt;O706),"⚠ Ende vor Start",IF(AND(R706="WON",AY706=0),"⛔ Zeitraum fehlt",IF(AR706=0,"○ Einstand offen",IF(AY706=0,"○ Zeitraum offen",IF(R706="WON","✅ belegt","✔ erfasst")))))))</f>
        <v/>
      </c>
    </row>
    <row r="707" customFormat="false" ht="15" hidden="false" customHeight="true" outlineLevel="0" collapsed="false">
      <c r="G707" s="1" t="str">
        <f aca="false">IF(B707="","",IF(AY707=1,P707-O707+1,IF(AW707="","",AW707)))</f>
        <v/>
      </c>
      <c r="I707" s="270"/>
      <c r="J707" s="270"/>
      <c r="K707" s="270"/>
      <c r="L707" s="270"/>
      <c r="M707" s="270"/>
      <c r="N707" s="270"/>
      <c r="O707" s="263"/>
      <c r="P707" s="263"/>
      <c r="Q707" s="270" t="str">
        <f aca="false">IF(AND(ISNUMBER(I707),ISNUMBER(S707)),I707*AJ707,IF(OR(I707&lt;&gt;"",S707&lt;&gt;""),"tbd",""))</f>
        <v/>
      </c>
      <c r="S707" s="268"/>
      <c r="Y707" s="275" t="str">
        <f aca="false">IF(ISNUMBER(I707),I707/Netto_Faktor,"")</f>
        <v/>
      </c>
      <c r="Z707" s="275" t="str">
        <f aca="false">IF(B707="","",IF(COUNT(J707:N707)=0,"",SUM(J707:N707)))</f>
        <v/>
      </c>
      <c r="AA707" s="266"/>
      <c r="AB707" s="266"/>
      <c r="AC707" s="266"/>
      <c r="AD707" s="266"/>
      <c r="AE707" s="266"/>
      <c r="AF707" s="266"/>
      <c r="AG707" s="267"/>
      <c r="AH707" s="266" t="str">
        <f aca="false">IF(B707="","",IF(BA707="",IF(R707="WON","✅ belegt &amp; vollständig","✔ vollständig"),LEFT(BA707,LEN(BA707)-3)))</f>
        <v/>
      </c>
      <c r="AJ707" s="268" t="n">
        <f aca="false">IF(ISNUMBER(S707),IFERROR(LOOKUP(IF(S707&lt;=1,S707,S707/100),'⚖️ Wahrscheinlichkeit'!$B$17:$B$21,'⚖️ Wahrscheinlichkeit'!$D$17:$D$21),0),0)</f>
        <v>0</v>
      </c>
      <c r="AK707" s="1" t="str">
        <f aca="false">IF(AND(R707="WON",ISNUMBER(I707)),AL707+(861-ROW())*0.000001,"")</f>
        <v/>
      </c>
      <c r="AL707" s="1" t="n">
        <f aca="false">IFERROR(I707*1,0)</f>
        <v>0</v>
      </c>
      <c r="AM707" s="1" t="n">
        <f aca="false">N(AM706)+IF(AND(R707="WON",B707&lt;&gt;""),1,0)</f>
        <v>12</v>
      </c>
      <c r="AN707" s="1" t="n">
        <f aca="false">N(AN706)+IF(AND(OR(R707="offered",R707="to be offered",R707="on hold"),B707&lt;&gt;""),1,0)</f>
        <v>33</v>
      </c>
      <c r="AO707" s="1" t="n">
        <f aca="false">N(AO706)+IF(AND(OR(R707="follow-up",R707="Evaluation",R707="tbd",R707="In evaluation"),B707&lt;&gt;""),1,0)</f>
        <v>1</v>
      </c>
      <c r="AP707" s="1" t="n">
        <f aca="false">IF(B707="",0,IF(COUNTIF('⚖️ Wahrscheinlichkeit'!$J$17:$J$24,R707)&gt;0,1,0))</f>
        <v>0</v>
      </c>
      <c r="AQ707" s="1" t="n">
        <f aca="false">IF(B707="",0,IF(AND(ISNUMBER(S707),COUNTIF('⚖️ Wahrscheinlichkeit'!$B$6:$B$11,S707)&gt;0),1,0))</f>
        <v>0</v>
      </c>
      <c r="AR707" s="1" t="n">
        <f aca="false">IF(B707="",0,IF(AND(COUNT(J707:M707)=4,SUM(J707:M707)&gt;0),1,0))</f>
        <v>0</v>
      </c>
      <c r="AS707" s="1" t="n">
        <f aca="false">IF(B707="",0,IF(AND(AF707&lt;&gt;"",AG707&lt;&gt;""),1,0))</f>
        <v>0</v>
      </c>
      <c r="AT707" s="1" t="n">
        <f aca="false">IF(AND(R707="WON",AS707=1,AR707=1),1,0)</f>
        <v>0</v>
      </c>
      <c r="AU707" s="1" t="n">
        <f aca="false">IF(B707="",0,IF(AD707="Alternative – zählt nicht",0,1))</f>
        <v>0</v>
      </c>
      <c r="AV707" s="1" t="n">
        <f aca="false">IF(B707="",0,IF(COUNTIF($B$6:$B$860,B707)&gt;1,1,0))</f>
        <v>0</v>
      </c>
      <c r="AX707" s="269" t="str">
        <f aca="false">IF(AY707=1,DATE(YEAR(O707),MONTH(O707),1),"")</f>
        <v/>
      </c>
      <c r="AY707" s="1" t="n">
        <f aca="false">IF(B707="",0,IF(AND(ISNUMBER(O707),ISNUMBER(P707)),IF(P707&gt;=O707,1,0),0))</f>
        <v>0</v>
      </c>
      <c r="AZ707" s="1" t="n">
        <f aca="false">IF(ISNUMBER(Y707),Y707,0)</f>
        <v>0</v>
      </c>
      <c r="BA707" s="1" t="str">
        <f aca="false">IF(B707="","",IF(AND(R707="WON",AS707=0),"⛔ Beleg fehlt · ","")&amp;IF(AND(R707="WON",AR707=0),"⛔ Einstand fehlt · ","")&amp;IF(AND(R707&lt;&gt;"WON",AR707=0),"○ Einstand offen · ","")&amp;IF(AND(R707="WON",AB707=""),"⛔ Vertragsart fehlt · ","")&amp;IF(AND(ISNUMBER(O707),ISNUMBER(P707)),IF(P707&lt;O707,"⚠ Ende vor Start · ",""),"")&amp;IF(AND(R707="WON",AY707=0,NOT(AND(ISNUMBER(O707),ISNUMBER(P707)))),"⛔ Zeitraum fehlt · ","")&amp;IF(AND(R707&lt;&gt;"WON",AY707=0,NOT(AND(ISNUMBER(O707),ISNUMBER(P707)))),"○ Zeitraum offen · ",""))</f>
        <v/>
      </c>
      <c r="BB707" s="1" t="str">
        <f aca="false">IF(B707="","",IF(AND(R707="WON",AS707=0),"⛔ Nachweis fehlt",IF(AND(ISNUMBER(O707),ISNUMBER(P707),P707&lt;O707),"⚠ Ende vor Start",IF(AND(R707="WON",AY707=0),"⛔ Zeitraum fehlt",IF(AR707=0,"○ Einstand offen",IF(AY707=0,"○ Zeitraum offen",IF(R707="WON","✅ belegt","✔ erfasst")))))))</f>
        <v/>
      </c>
    </row>
    <row r="708" customFormat="false" ht="15" hidden="false" customHeight="true" outlineLevel="0" collapsed="false">
      <c r="G708" s="1" t="str">
        <f aca="false">IF(B708="","",IF(AY708=1,P708-O708+1,IF(AW708="","",AW708)))</f>
        <v/>
      </c>
      <c r="I708" s="270"/>
      <c r="J708" s="270"/>
      <c r="K708" s="270"/>
      <c r="L708" s="270"/>
      <c r="M708" s="270"/>
      <c r="N708" s="270"/>
      <c r="O708" s="263"/>
      <c r="P708" s="263"/>
      <c r="Q708" s="270" t="str">
        <f aca="false">IF(AND(ISNUMBER(I708),ISNUMBER(S708)),I708*AJ708,IF(OR(I708&lt;&gt;"",S708&lt;&gt;""),"tbd",""))</f>
        <v/>
      </c>
      <c r="S708" s="268"/>
      <c r="Y708" s="275" t="str">
        <f aca="false">IF(ISNUMBER(I708),I708/Netto_Faktor,"")</f>
        <v/>
      </c>
      <c r="Z708" s="275" t="str">
        <f aca="false">IF(B708="","",IF(COUNT(J708:N708)=0,"",SUM(J708:N708)))</f>
        <v/>
      </c>
      <c r="AA708" s="266"/>
      <c r="AB708" s="266"/>
      <c r="AC708" s="266"/>
      <c r="AD708" s="266"/>
      <c r="AE708" s="266"/>
      <c r="AF708" s="266"/>
      <c r="AG708" s="267"/>
      <c r="AH708" s="266" t="str">
        <f aca="false">IF(B708="","",IF(BA708="",IF(R708="WON","✅ belegt &amp; vollständig","✔ vollständig"),LEFT(BA708,LEN(BA708)-3)))</f>
        <v/>
      </c>
      <c r="AJ708" s="268" t="n">
        <f aca="false">IF(ISNUMBER(S708),IFERROR(LOOKUP(IF(S708&lt;=1,S708,S708/100),'⚖️ Wahrscheinlichkeit'!$B$17:$B$21,'⚖️ Wahrscheinlichkeit'!$D$17:$D$21),0),0)</f>
        <v>0</v>
      </c>
      <c r="AK708" s="1" t="str">
        <f aca="false">IF(AND(R708="WON",ISNUMBER(I708)),AL708+(861-ROW())*0.000001,"")</f>
        <v/>
      </c>
      <c r="AL708" s="1" t="n">
        <f aca="false">IFERROR(I708*1,0)</f>
        <v>0</v>
      </c>
      <c r="AM708" s="1" t="n">
        <f aca="false">N(AM707)+IF(AND(R708="WON",B708&lt;&gt;""),1,0)</f>
        <v>12</v>
      </c>
      <c r="AN708" s="1" t="n">
        <f aca="false">N(AN707)+IF(AND(OR(R708="offered",R708="to be offered",R708="on hold"),B708&lt;&gt;""),1,0)</f>
        <v>33</v>
      </c>
      <c r="AO708" s="1" t="n">
        <f aca="false">N(AO707)+IF(AND(OR(R708="follow-up",R708="Evaluation",R708="tbd",R708="In evaluation"),B708&lt;&gt;""),1,0)</f>
        <v>1</v>
      </c>
      <c r="AP708" s="1" t="n">
        <f aca="false">IF(B708="",0,IF(COUNTIF('⚖️ Wahrscheinlichkeit'!$J$17:$J$24,R708)&gt;0,1,0))</f>
        <v>0</v>
      </c>
      <c r="AQ708" s="1" t="n">
        <f aca="false">IF(B708="",0,IF(AND(ISNUMBER(S708),COUNTIF('⚖️ Wahrscheinlichkeit'!$B$6:$B$11,S708)&gt;0),1,0))</f>
        <v>0</v>
      </c>
      <c r="AR708" s="1" t="n">
        <f aca="false">IF(B708="",0,IF(AND(COUNT(J708:M708)=4,SUM(J708:M708)&gt;0),1,0))</f>
        <v>0</v>
      </c>
      <c r="AS708" s="1" t="n">
        <f aca="false">IF(B708="",0,IF(AND(AF708&lt;&gt;"",AG708&lt;&gt;""),1,0))</f>
        <v>0</v>
      </c>
      <c r="AT708" s="1" t="n">
        <f aca="false">IF(AND(R708="WON",AS708=1,AR708=1),1,0)</f>
        <v>0</v>
      </c>
      <c r="AU708" s="1" t="n">
        <f aca="false">IF(B708="",0,IF(AD708="Alternative – zählt nicht",0,1))</f>
        <v>0</v>
      </c>
      <c r="AV708" s="1" t="n">
        <f aca="false">IF(B708="",0,IF(COUNTIF($B$6:$B$860,B708)&gt;1,1,0))</f>
        <v>0</v>
      </c>
      <c r="AX708" s="269" t="str">
        <f aca="false">IF(AY708=1,DATE(YEAR(O708),MONTH(O708),1),"")</f>
        <v/>
      </c>
      <c r="AY708" s="1" t="n">
        <f aca="false">IF(B708="",0,IF(AND(ISNUMBER(O708),ISNUMBER(P708)),IF(P708&gt;=O708,1,0),0))</f>
        <v>0</v>
      </c>
      <c r="AZ708" s="1" t="n">
        <f aca="false">IF(ISNUMBER(Y708),Y708,0)</f>
        <v>0</v>
      </c>
      <c r="BA708" s="1" t="str">
        <f aca="false">IF(B708="","",IF(AND(R708="WON",AS708=0),"⛔ Beleg fehlt · ","")&amp;IF(AND(R708="WON",AR708=0),"⛔ Einstand fehlt · ","")&amp;IF(AND(R708&lt;&gt;"WON",AR708=0),"○ Einstand offen · ","")&amp;IF(AND(R708="WON",AB708=""),"⛔ Vertragsart fehlt · ","")&amp;IF(AND(ISNUMBER(O708),ISNUMBER(P708)),IF(P708&lt;O708,"⚠ Ende vor Start · ",""),"")&amp;IF(AND(R708="WON",AY708=0,NOT(AND(ISNUMBER(O708),ISNUMBER(P708)))),"⛔ Zeitraum fehlt · ","")&amp;IF(AND(R708&lt;&gt;"WON",AY708=0,NOT(AND(ISNUMBER(O708),ISNUMBER(P708)))),"○ Zeitraum offen · ",""))</f>
        <v/>
      </c>
      <c r="BB708" s="1" t="str">
        <f aca="false">IF(B708="","",IF(AND(R708="WON",AS708=0),"⛔ Nachweis fehlt",IF(AND(ISNUMBER(O708),ISNUMBER(P708),P708&lt;O708),"⚠ Ende vor Start",IF(AND(R708="WON",AY708=0),"⛔ Zeitraum fehlt",IF(AR708=0,"○ Einstand offen",IF(AY708=0,"○ Zeitraum offen",IF(R708="WON","✅ belegt","✔ erfasst")))))))</f>
        <v/>
      </c>
    </row>
    <row r="709" customFormat="false" ht="15" hidden="false" customHeight="true" outlineLevel="0" collapsed="false">
      <c r="G709" s="1" t="str">
        <f aca="false">IF(B709="","",IF(AY709=1,P709-O709+1,IF(AW709="","",AW709)))</f>
        <v/>
      </c>
      <c r="I709" s="270"/>
      <c r="J709" s="270"/>
      <c r="K709" s="270"/>
      <c r="L709" s="270"/>
      <c r="M709" s="270"/>
      <c r="N709" s="270"/>
      <c r="O709" s="263"/>
      <c r="P709" s="263"/>
      <c r="Q709" s="270" t="str">
        <f aca="false">IF(AND(ISNUMBER(I709),ISNUMBER(S709)),I709*AJ709,IF(OR(I709&lt;&gt;"",S709&lt;&gt;""),"tbd",""))</f>
        <v/>
      </c>
      <c r="S709" s="268"/>
      <c r="Y709" s="275" t="str">
        <f aca="false">IF(ISNUMBER(I709),I709/Netto_Faktor,"")</f>
        <v/>
      </c>
      <c r="Z709" s="275" t="str">
        <f aca="false">IF(B709="","",IF(COUNT(J709:N709)=0,"",SUM(J709:N709)))</f>
        <v/>
      </c>
      <c r="AA709" s="266"/>
      <c r="AB709" s="266"/>
      <c r="AC709" s="266"/>
      <c r="AD709" s="266"/>
      <c r="AE709" s="266"/>
      <c r="AF709" s="266"/>
      <c r="AG709" s="267"/>
      <c r="AH709" s="266" t="str">
        <f aca="false">IF(B709="","",IF(BA709="",IF(R709="WON","✅ belegt &amp; vollständig","✔ vollständig"),LEFT(BA709,LEN(BA709)-3)))</f>
        <v/>
      </c>
      <c r="AJ709" s="268" t="n">
        <f aca="false">IF(ISNUMBER(S709),IFERROR(LOOKUP(IF(S709&lt;=1,S709,S709/100),'⚖️ Wahrscheinlichkeit'!$B$17:$B$21,'⚖️ Wahrscheinlichkeit'!$D$17:$D$21),0),0)</f>
        <v>0</v>
      </c>
      <c r="AK709" s="1" t="str">
        <f aca="false">IF(AND(R709="WON",ISNUMBER(I709)),AL709+(861-ROW())*0.000001,"")</f>
        <v/>
      </c>
      <c r="AL709" s="1" t="n">
        <f aca="false">IFERROR(I709*1,0)</f>
        <v>0</v>
      </c>
      <c r="AM709" s="1" t="n">
        <f aca="false">N(AM708)+IF(AND(R709="WON",B709&lt;&gt;""),1,0)</f>
        <v>12</v>
      </c>
      <c r="AN709" s="1" t="n">
        <f aca="false">N(AN708)+IF(AND(OR(R709="offered",R709="to be offered",R709="on hold"),B709&lt;&gt;""),1,0)</f>
        <v>33</v>
      </c>
      <c r="AO709" s="1" t="n">
        <f aca="false">N(AO708)+IF(AND(OR(R709="follow-up",R709="Evaluation",R709="tbd",R709="In evaluation"),B709&lt;&gt;""),1,0)</f>
        <v>1</v>
      </c>
      <c r="AP709" s="1" t="n">
        <f aca="false">IF(B709="",0,IF(COUNTIF('⚖️ Wahrscheinlichkeit'!$J$17:$J$24,R709)&gt;0,1,0))</f>
        <v>0</v>
      </c>
      <c r="AQ709" s="1" t="n">
        <f aca="false">IF(B709="",0,IF(AND(ISNUMBER(S709),COUNTIF('⚖️ Wahrscheinlichkeit'!$B$6:$B$11,S709)&gt;0),1,0))</f>
        <v>0</v>
      </c>
      <c r="AR709" s="1" t="n">
        <f aca="false">IF(B709="",0,IF(AND(COUNT(J709:M709)=4,SUM(J709:M709)&gt;0),1,0))</f>
        <v>0</v>
      </c>
      <c r="AS709" s="1" t="n">
        <f aca="false">IF(B709="",0,IF(AND(AF709&lt;&gt;"",AG709&lt;&gt;""),1,0))</f>
        <v>0</v>
      </c>
      <c r="AT709" s="1" t="n">
        <f aca="false">IF(AND(R709="WON",AS709=1,AR709=1),1,0)</f>
        <v>0</v>
      </c>
      <c r="AU709" s="1" t="n">
        <f aca="false">IF(B709="",0,IF(AD709="Alternative – zählt nicht",0,1))</f>
        <v>0</v>
      </c>
      <c r="AV709" s="1" t="n">
        <f aca="false">IF(B709="",0,IF(COUNTIF($B$6:$B$860,B709)&gt;1,1,0))</f>
        <v>0</v>
      </c>
      <c r="AX709" s="269" t="str">
        <f aca="false">IF(AY709=1,DATE(YEAR(O709),MONTH(O709),1),"")</f>
        <v/>
      </c>
      <c r="AY709" s="1" t="n">
        <f aca="false">IF(B709="",0,IF(AND(ISNUMBER(O709),ISNUMBER(P709)),IF(P709&gt;=O709,1,0),0))</f>
        <v>0</v>
      </c>
      <c r="AZ709" s="1" t="n">
        <f aca="false">IF(ISNUMBER(Y709),Y709,0)</f>
        <v>0</v>
      </c>
      <c r="BA709" s="1" t="str">
        <f aca="false">IF(B709="","",IF(AND(R709="WON",AS709=0),"⛔ Beleg fehlt · ","")&amp;IF(AND(R709="WON",AR709=0),"⛔ Einstand fehlt · ","")&amp;IF(AND(R709&lt;&gt;"WON",AR709=0),"○ Einstand offen · ","")&amp;IF(AND(R709="WON",AB709=""),"⛔ Vertragsart fehlt · ","")&amp;IF(AND(ISNUMBER(O709),ISNUMBER(P709)),IF(P709&lt;O709,"⚠ Ende vor Start · ",""),"")&amp;IF(AND(R709="WON",AY709=0,NOT(AND(ISNUMBER(O709),ISNUMBER(P709)))),"⛔ Zeitraum fehlt · ","")&amp;IF(AND(R709&lt;&gt;"WON",AY709=0,NOT(AND(ISNUMBER(O709),ISNUMBER(P709)))),"○ Zeitraum offen · ",""))</f>
        <v/>
      </c>
      <c r="BB709" s="1" t="str">
        <f aca="false">IF(B709="","",IF(AND(R709="WON",AS709=0),"⛔ Nachweis fehlt",IF(AND(ISNUMBER(O709),ISNUMBER(P709),P709&lt;O709),"⚠ Ende vor Start",IF(AND(R709="WON",AY709=0),"⛔ Zeitraum fehlt",IF(AR709=0,"○ Einstand offen",IF(AY709=0,"○ Zeitraum offen",IF(R709="WON","✅ belegt","✔ erfasst")))))))</f>
        <v/>
      </c>
    </row>
    <row r="710" customFormat="false" ht="15" hidden="false" customHeight="true" outlineLevel="0" collapsed="false">
      <c r="G710" s="1" t="str">
        <f aca="false">IF(B710="","",IF(AY710=1,P710-O710+1,IF(AW710="","",AW710)))</f>
        <v/>
      </c>
      <c r="I710" s="270"/>
      <c r="J710" s="270"/>
      <c r="K710" s="270"/>
      <c r="L710" s="270"/>
      <c r="M710" s="270"/>
      <c r="N710" s="270"/>
      <c r="O710" s="263"/>
      <c r="P710" s="263"/>
      <c r="Q710" s="270" t="str">
        <f aca="false">IF(AND(ISNUMBER(I710),ISNUMBER(S710)),I710*AJ710,IF(OR(I710&lt;&gt;"",S710&lt;&gt;""),"tbd",""))</f>
        <v/>
      </c>
      <c r="S710" s="268"/>
      <c r="Y710" s="275" t="str">
        <f aca="false">IF(ISNUMBER(I710),I710/Netto_Faktor,"")</f>
        <v/>
      </c>
      <c r="Z710" s="275" t="str">
        <f aca="false">IF(B710="","",IF(COUNT(J710:N710)=0,"",SUM(J710:N710)))</f>
        <v/>
      </c>
      <c r="AA710" s="266"/>
      <c r="AB710" s="266"/>
      <c r="AC710" s="266"/>
      <c r="AD710" s="266"/>
      <c r="AE710" s="266"/>
      <c r="AF710" s="266"/>
      <c r="AG710" s="267"/>
      <c r="AH710" s="266" t="str">
        <f aca="false">IF(B710="","",IF(BA710="",IF(R710="WON","✅ belegt &amp; vollständig","✔ vollständig"),LEFT(BA710,LEN(BA710)-3)))</f>
        <v/>
      </c>
      <c r="AJ710" s="268" t="n">
        <f aca="false">IF(ISNUMBER(S710),IFERROR(LOOKUP(IF(S710&lt;=1,S710,S710/100),'⚖️ Wahrscheinlichkeit'!$B$17:$B$21,'⚖️ Wahrscheinlichkeit'!$D$17:$D$21),0),0)</f>
        <v>0</v>
      </c>
      <c r="AK710" s="1" t="str">
        <f aca="false">IF(AND(R710="WON",ISNUMBER(I710)),AL710+(861-ROW())*0.000001,"")</f>
        <v/>
      </c>
      <c r="AL710" s="1" t="n">
        <f aca="false">IFERROR(I710*1,0)</f>
        <v>0</v>
      </c>
      <c r="AM710" s="1" t="n">
        <f aca="false">N(AM709)+IF(AND(R710="WON",B710&lt;&gt;""),1,0)</f>
        <v>12</v>
      </c>
      <c r="AN710" s="1" t="n">
        <f aca="false">N(AN709)+IF(AND(OR(R710="offered",R710="to be offered",R710="on hold"),B710&lt;&gt;""),1,0)</f>
        <v>33</v>
      </c>
      <c r="AO710" s="1" t="n">
        <f aca="false">N(AO709)+IF(AND(OR(R710="follow-up",R710="Evaluation",R710="tbd",R710="In evaluation"),B710&lt;&gt;""),1,0)</f>
        <v>1</v>
      </c>
      <c r="AP710" s="1" t="n">
        <f aca="false">IF(B710="",0,IF(COUNTIF('⚖️ Wahrscheinlichkeit'!$J$17:$J$24,R710)&gt;0,1,0))</f>
        <v>0</v>
      </c>
      <c r="AQ710" s="1" t="n">
        <f aca="false">IF(B710="",0,IF(AND(ISNUMBER(S710),COUNTIF('⚖️ Wahrscheinlichkeit'!$B$6:$B$11,S710)&gt;0),1,0))</f>
        <v>0</v>
      </c>
      <c r="AR710" s="1" t="n">
        <f aca="false">IF(B710="",0,IF(AND(COUNT(J710:M710)=4,SUM(J710:M710)&gt;0),1,0))</f>
        <v>0</v>
      </c>
      <c r="AS710" s="1" t="n">
        <f aca="false">IF(B710="",0,IF(AND(AF710&lt;&gt;"",AG710&lt;&gt;""),1,0))</f>
        <v>0</v>
      </c>
      <c r="AT710" s="1" t="n">
        <f aca="false">IF(AND(R710="WON",AS710=1,AR710=1),1,0)</f>
        <v>0</v>
      </c>
      <c r="AU710" s="1" t="n">
        <f aca="false">IF(B710="",0,IF(AD710="Alternative – zählt nicht",0,1))</f>
        <v>0</v>
      </c>
      <c r="AV710" s="1" t="n">
        <f aca="false">IF(B710="",0,IF(COUNTIF($B$6:$B$860,B710)&gt;1,1,0))</f>
        <v>0</v>
      </c>
      <c r="AX710" s="269" t="str">
        <f aca="false">IF(AY710=1,DATE(YEAR(O710),MONTH(O710),1),"")</f>
        <v/>
      </c>
      <c r="AY710" s="1" t="n">
        <f aca="false">IF(B710="",0,IF(AND(ISNUMBER(O710),ISNUMBER(P710)),IF(P710&gt;=O710,1,0),0))</f>
        <v>0</v>
      </c>
      <c r="AZ710" s="1" t="n">
        <f aca="false">IF(ISNUMBER(Y710),Y710,0)</f>
        <v>0</v>
      </c>
      <c r="BA710" s="1" t="str">
        <f aca="false">IF(B710="","",IF(AND(R710="WON",AS710=0),"⛔ Beleg fehlt · ","")&amp;IF(AND(R710="WON",AR710=0),"⛔ Einstand fehlt · ","")&amp;IF(AND(R710&lt;&gt;"WON",AR710=0),"○ Einstand offen · ","")&amp;IF(AND(R710="WON",AB710=""),"⛔ Vertragsart fehlt · ","")&amp;IF(AND(ISNUMBER(O710),ISNUMBER(P710)),IF(P710&lt;O710,"⚠ Ende vor Start · ",""),"")&amp;IF(AND(R710="WON",AY710=0,NOT(AND(ISNUMBER(O710),ISNUMBER(P710)))),"⛔ Zeitraum fehlt · ","")&amp;IF(AND(R710&lt;&gt;"WON",AY710=0,NOT(AND(ISNUMBER(O710),ISNUMBER(P710)))),"○ Zeitraum offen · ",""))</f>
        <v/>
      </c>
      <c r="BB710" s="1" t="str">
        <f aca="false">IF(B710="","",IF(AND(R710="WON",AS710=0),"⛔ Nachweis fehlt",IF(AND(ISNUMBER(O710),ISNUMBER(P710),P710&lt;O710),"⚠ Ende vor Start",IF(AND(R710="WON",AY710=0),"⛔ Zeitraum fehlt",IF(AR710=0,"○ Einstand offen",IF(AY710=0,"○ Zeitraum offen",IF(R710="WON","✅ belegt","✔ erfasst")))))))</f>
        <v/>
      </c>
    </row>
    <row r="711" customFormat="false" ht="15" hidden="false" customHeight="true" outlineLevel="0" collapsed="false">
      <c r="G711" s="1" t="str">
        <f aca="false">IF(B711="","",IF(AY711=1,P711-O711+1,IF(AW711="","",AW711)))</f>
        <v/>
      </c>
      <c r="I711" s="270"/>
      <c r="J711" s="270"/>
      <c r="K711" s="270"/>
      <c r="L711" s="270"/>
      <c r="M711" s="270"/>
      <c r="N711" s="270"/>
      <c r="O711" s="263"/>
      <c r="P711" s="263"/>
      <c r="Q711" s="270" t="str">
        <f aca="false">IF(AND(ISNUMBER(I711),ISNUMBER(S711)),I711*AJ711,IF(OR(I711&lt;&gt;"",S711&lt;&gt;""),"tbd",""))</f>
        <v/>
      </c>
      <c r="S711" s="268"/>
      <c r="Y711" s="275" t="str">
        <f aca="false">IF(ISNUMBER(I711),I711/Netto_Faktor,"")</f>
        <v/>
      </c>
      <c r="Z711" s="275" t="str">
        <f aca="false">IF(B711="","",IF(COUNT(J711:N711)=0,"",SUM(J711:N711)))</f>
        <v/>
      </c>
      <c r="AA711" s="266"/>
      <c r="AB711" s="266"/>
      <c r="AC711" s="266"/>
      <c r="AD711" s="266"/>
      <c r="AE711" s="266"/>
      <c r="AF711" s="266"/>
      <c r="AG711" s="267"/>
      <c r="AH711" s="266" t="str">
        <f aca="false">IF(B711="","",IF(BA711="",IF(R711="WON","✅ belegt &amp; vollständig","✔ vollständig"),LEFT(BA711,LEN(BA711)-3)))</f>
        <v/>
      </c>
      <c r="AJ711" s="268" t="n">
        <f aca="false">IF(ISNUMBER(S711),IFERROR(LOOKUP(IF(S711&lt;=1,S711,S711/100),'⚖️ Wahrscheinlichkeit'!$B$17:$B$21,'⚖️ Wahrscheinlichkeit'!$D$17:$D$21),0),0)</f>
        <v>0</v>
      </c>
      <c r="AK711" s="1" t="str">
        <f aca="false">IF(AND(R711="WON",ISNUMBER(I711)),AL711+(861-ROW())*0.000001,"")</f>
        <v/>
      </c>
      <c r="AL711" s="1" t="n">
        <f aca="false">IFERROR(I711*1,0)</f>
        <v>0</v>
      </c>
      <c r="AM711" s="1" t="n">
        <f aca="false">N(AM710)+IF(AND(R711="WON",B711&lt;&gt;""),1,0)</f>
        <v>12</v>
      </c>
      <c r="AN711" s="1" t="n">
        <f aca="false">N(AN710)+IF(AND(OR(R711="offered",R711="to be offered",R711="on hold"),B711&lt;&gt;""),1,0)</f>
        <v>33</v>
      </c>
      <c r="AO711" s="1" t="n">
        <f aca="false">N(AO710)+IF(AND(OR(R711="follow-up",R711="Evaluation",R711="tbd",R711="In evaluation"),B711&lt;&gt;""),1,0)</f>
        <v>1</v>
      </c>
      <c r="AP711" s="1" t="n">
        <f aca="false">IF(B711="",0,IF(COUNTIF('⚖️ Wahrscheinlichkeit'!$J$17:$J$24,R711)&gt;0,1,0))</f>
        <v>0</v>
      </c>
      <c r="AQ711" s="1" t="n">
        <f aca="false">IF(B711="",0,IF(AND(ISNUMBER(S711),COUNTIF('⚖️ Wahrscheinlichkeit'!$B$6:$B$11,S711)&gt;0),1,0))</f>
        <v>0</v>
      </c>
      <c r="AR711" s="1" t="n">
        <f aca="false">IF(B711="",0,IF(AND(COUNT(J711:M711)=4,SUM(J711:M711)&gt;0),1,0))</f>
        <v>0</v>
      </c>
      <c r="AS711" s="1" t="n">
        <f aca="false">IF(B711="",0,IF(AND(AF711&lt;&gt;"",AG711&lt;&gt;""),1,0))</f>
        <v>0</v>
      </c>
      <c r="AT711" s="1" t="n">
        <f aca="false">IF(AND(R711="WON",AS711=1,AR711=1),1,0)</f>
        <v>0</v>
      </c>
      <c r="AU711" s="1" t="n">
        <f aca="false">IF(B711="",0,IF(AD711="Alternative – zählt nicht",0,1))</f>
        <v>0</v>
      </c>
      <c r="AV711" s="1" t="n">
        <f aca="false">IF(B711="",0,IF(COUNTIF($B$6:$B$860,B711)&gt;1,1,0))</f>
        <v>0</v>
      </c>
      <c r="AX711" s="269" t="str">
        <f aca="false">IF(AY711=1,DATE(YEAR(O711),MONTH(O711),1),"")</f>
        <v/>
      </c>
      <c r="AY711" s="1" t="n">
        <f aca="false">IF(B711="",0,IF(AND(ISNUMBER(O711),ISNUMBER(P711)),IF(P711&gt;=O711,1,0),0))</f>
        <v>0</v>
      </c>
      <c r="AZ711" s="1" t="n">
        <f aca="false">IF(ISNUMBER(Y711),Y711,0)</f>
        <v>0</v>
      </c>
      <c r="BA711" s="1" t="str">
        <f aca="false">IF(B711="","",IF(AND(R711="WON",AS711=0),"⛔ Beleg fehlt · ","")&amp;IF(AND(R711="WON",AR711=0),"⛔ Einstand fehlt · ","")&amp;IF(AND(R711&lt;&gt;"WON",AR711=0),"○ Einstand offen · ","")&amp;IF(AND(R711="WON",AB711=""),"⛔ Vertragsart fehlt · ","")&amp;IF(AND(ISNUMBER(O711),ISNUMBER(P711)),IF(P711&lt;O711,"⚠ Ende vor Start · ",""),"")&amp;IF(AND(R711="WON",AY711=0,NOT(AND(ISNUMBER(O711),ISNUMBER(P711)))),"⛔ Zeitraum fehlt · ","")&amp;IF(AND(R711&lt;&gt;"WON",AY711=0,NOT(AND(ISNUMBER(O711),ISNUMBER(P711)))),"○ Zeitraum offen · ",""))</f>
        <v/>
      </c>
      <c r="BB711" s="1" t="str">
        <f aca="false">IF(B711="","",IF(AND(R711="WON",AS711=0),"⛔ Nachweis fehlt",IF(AND(ISNUMBER(O711),ISNUMBER(P711),P711&lt;O711),"⚠ Ende vor Start",IF(AND(R711="WON",AY711=0),"⛔ Zeitraum fehlt",IF(AR711=0,"○ Einstand offen",IF(AY711=0,"○ Zeitraum offen",IF(R711="WON","✅ belegt","✔ erfasst")))))))</f>
        <v/>
      </c>
    </row>
    <row r="712" customFormat="false" ht="15" hidden="false" customHeight="true" outlineLevel="0" collapsed="false">
      <c r="G712" s="1" t="str">
        <f aca="false">IF(B712="","",IF(AY712=1,P712-O712+1,IF(AW712="","",AW712)))</f>
        <v/>
      </c>
      <c r="I712" s="270"/>
      <c r="J712" s="270"/>
      <c r="K712" s="270"/>
      <c r="L712" s="270"/>
      <c r="M712" s="270"/>
      <c r="N712" s="270"/>
      <c r="O712" s="263"/>
      <c r="P712" s="263"/>
      <c r="Q712" s="270" t="str">
        <f aca="false">IF(AND(ISNUMBER(I712),ISNUMBER(S712)),I712*AJ712,IF(OR(I712&lt;&gt;"",S712&lt;&gt;""),"tbd",""))</f>
        <v/>
      </c>
      <c r="S712" s="268"/>
      <c r="Y712" s="275" t="str">
        <f aca="false">IF(ISNUMBER(I712),I712/Netto_Faktor,"")</f>
        <v/>
      </c>
      <c r="Z712" s="275" t="str">
        <f aca="false">IF(B712="","",IF(COUNT(J712:N712)=0,"",SUM(J712:N712)))</f>
        <v/>
      </c>
      <c r="AA712" s="266"/>
      <c r="AB712" s="266"/>
      <c r="AC712" s="266"/>
      <c r="AD712" s="266"/>
      <c r="AE712" s="266"/>
      <c r="AF712" s="266"/>
      <c r="AG712" s="267"/>
      <c r="AH712" s="266" t="str">
        <f aca="false">IF(B712="","",IF(BA712="",IF(R712="WON","✅ belegt &amp; vollständig","✔ vollständig"),LEFT(BA712,LEN(BA712)-3)))</f>
        <v/>
      </c>
      <c r="AJ712" s="268" t="n">
        <f aca="false">IF(ISNUMBER(S712),IFERROR(LOOKUP(IF(S712&lt;=1,S712,S712/100),'⚖️ Wahrscheinlichkeit'!$B$17:$B$21,'⚖️ Wahrscheinlichkeit'!$D$17:$D$21),0),0)</f>
        <v>0</v>
      </c>
      <c r="AK712" s="1" t="str">
        <f aca="false">IF(AND(R712="WON",ISNUMBER(I712)),AL712+(861-ROW())*0.000001,"")</f>
        <v/>
      </c>
      <c r="AL712" s="1" t="n">
        <f aca="false">IFERROR(I712*1,0)</f>
        <v>0</v>
      </c>
      <c r="AM712" s="1" t="n">
        <f aca="false">N(AM711)+IF(AND(R712="WON",B712&lt;&gt;""),1,0)</f>
        <v>12</v>
      </c>
      <c r="AN712" s="1" t="n">
        <f aca="false">N(AN711)+IF(AND(OR(R712="offered",R712="to be offered",R712="on hold"),B712&lt;&gt;""),1,0)</f>
        <v>33</v>
      </c>
      <c r="AO712" s="1" t="n">
        <f aca="false">N(AO711)+IF(AND(OR(R712="follow-up",R712="Evaluation",R712="tbd",R712="In evaluation"),B712&lt;&gt;""),1,0)</f>
        <v>1</v>
      </c>
      <c r="AP712" s="1" t="n">
        <f aca="false">IF(B712="",0,IF(COUNTIF('⚖️ Wahrscheinlichkeit'!$J$17:$J$24,R712)&gt;0,1,0))</f>
        <v>0</v>
      </c>
      <c r="AQ712" s="1" t="n">
        <f aca="false">IF(B712="",0,IF(AND(ISNUMBER(S712),COUNTIF('⚖️ Wahrscheinlichkeit'!$B$6:$B$11,S712)&gt;0),1,0))</f>
        <v>0</v>
      </c>
      <c r="AR712" s="1" t="n">
        <f aca="false">IF(B712="",0,IF(AND(COUNT(J712:M712)=4,SUM(J712:M712)&gt;0),1,0))</f>
        <v>0</v>
      </c>
      <c r="AS712" s="1" t="n">
        <f aca="false">IF(B712="",0,IF(AND(AF712&lt;&gt;"",AG712&lt;&gt;""),1,0))</f>
        <v>0</v>
      </c>
      <c r="AT712" s="1" t="n">
        <f aca="false">IF(AND(R712="WON",AS712=1,AR712=1),1,0)</f>
        <v>0</v>
      </c>
      <c r="AU712" s="1" t="n">
        <f aca="false">IF(B712="",0,IF(AD712="Alternative – zählt nicht",0,1))</f>
        <v>0</v>
      </c>
      <c r="AV712" s="1" t="n">
        <f aca="false">IF(B712="",0,IF(COUNTIF($B$6:$B$860,B712)&gt;1,1,0))</f>
        <v>0</v>
      </c>
      <c r="AX712" s="269" t="str">
        <f aca="false">IF(AY712=1,DATE(YEAR(O712),MONTH(O712),1),"")</f>
        <v/>
      </c>
      <c r="AY712" s="1" t="n">
        <f aca="false">IF(B712="",0,IF(AND(ISNUMBER(O712),ISNUMBER(P712)),IF(P712&gt;=O712,1,0),0))</f>
        <v>0</v>
      </c>
      <c r="AZ712" s="1" t="n">
        <f aca="false">IF(ISNUMBER(Y712),Y712,0)</f>
        <v>0</v>
      </c>
      <c r="BA712" s="1" t="str">
        <f aca="false">IF(B712="","",IF(AND(R712="WON",AS712=0),"⛔ Beleg fehlt · ","")&amp;IF(AND(R712="WON",AR712=0),"⛔ Einstand fehlt · ","")&amp;IF(AND(R712&lt;&gt;"WON",AR712=0),"○ Einstand offen · ","")&amp;IF(AND(R712="WON",AB712=""),"⛔ Vertragsart fehlt · ","")&amp;IF(AND(ISNUMBER(O712),ISNUMBER(P712)),IF(P712&lt;O712,"⚠ Ende vor Start · ",""),"")&amp;IF(AND(R712="WON",AY712=0,NOT(AND(ISNUMBER(O712),ISNUMBER(P712)))),"⛔ Zeitraum fehlt · ","")&amp;IF(AND(R712&lt;&gt;"WON",AY712=0,NOT(AND(ISNUMBER(O712),ISNUMBER(P712)))),"○ Zeitraum offen · ",""))</f>
        <v/>
      </c>
      <c r="BB712" s="1" t="str">
        <f aca="false">IF(B712="","",IF(AND(R712="WON",AS712=0),"⛔ Nachweis fehlt",IF(AND(ISNUMBER(O712),ISNUMBER(P712),P712&lt;O712),"⚠ Ende vor Start",IF(AND(R712="WON",AY712=0),"⛔ Zeitraum fehlt",IF(AR712=0,"○ Einstand offen",IF(AY712=0,"○ Zeitraum offen",IF(R712="WON","✅ belegt","✔ erfasst")))))))</f>
        <v/>
      </c>
    </row>
    <row r="713" customFormat="false" ht="15" hidden="false" customHeight="true" outlineLevel="0" collapsed="false">
      <c r="G713" s="1" t="str">
        <f aca="false">IF(B713="","",IF(AY713=1,P713-O713+1,IF(AW713="","",AW713)))</f>
        <v/>
      </c>
      <c r="I713" s="270"/>
      <c r="J713" s="270"/>
      <c r="K713" s="270"/>
      <c r="L713" s="270"/>
      <c r="M713" s="270"/>
      <c r="N713" s="270"/>
      <c r="O713" s="263"/>
      <c r="P713" s="263"/>
      <c r="Q713" s="270" t="str">
        <f aca="false">IF(AND(ISNUMBER(I713),ISNUMBER(S713)),I713*AJ713,IF(OR(I713&lt;&gt;"",S713&lt;&gt;""),"tbd",""))</f>
        <v/>
      </c>
      <c r="S713" s="268"/>
      <c r="Y713" s="275" t="str">
        <f aca="false">IF(ISNUMBER(I713),I713/Netto_Faktor,"")</f>
        <v/>
      </c>
      <c r="Z713" s="275" t="str">
        <f aca="false">IF(B713="","",IF(COUNT(J713:N713)=0,"",SUM(J713:N713)))</f>
        <v/>
      </c>
      <c r="AA713" s="266"/>
      <c r="AB713" s="266"/>
      <c r="AC713" s="266"/>
      <c r="AD713" s="266"/>
      <c r="AE713" s="266"/>
      <c r="AF713" s="266"/>
      <c r="AG713" s="267"/>
      <c r="AH713" s="266" t="str">
        <f aca="false">IF(B713="","",IF(BA713="",IF(R713="WON","✅ belegt &amp; vollständig","✔ vollständig"),LEFT(BA713,LEN(BA713)-3)))</f>
        <v/>
      </c>
      <c r="AJ713" s="268" t="n">
        <f aca="false">IF(ISNUMBER(S713),IFERROR(LOOKUP(IF(S713&lt;=1,S713,S713/100),'⚖️ Wahrscheinlichkeit'!$B$17:$B$21,'⚖️ Wahrscheinlichkeit'!$D$17:$D$21),0),0)</f>
        <v>0</v>
      </c>
      <c r="AK713" s="1" t="str">
        <f aca="false">IF(AND(R713="WON",ISNUMBER(I713)),AL713+(861-ROW())*0.000001,"")</f>
        <v/>
      </c>
      <c r="AL713" s="1" t="n">
        <f aca="false">IFERROR(I713*1,0)</f>
        <v>0</v>
      </c>
      <c r="AM713" s="1" t="n">
        <f aca="false">N(AM712)+IF(AND(R713="WON",B713&lt;&gt;""),1,0)</f>
        <v>12</v>
      </c>
      <c r="AN713" s="1" t="n">
        <f aca="false">N(AN712)+IF(AND(OR(R713="offered",R713="to be offered",R713="on hold"),B713&lt;&gt;""),1,0)</f>
        <v>33</v>
      </c>
      <c r="AO713" s="1" t="n">
        <f aca="false">N(AO712)+IF(AND(OR(R713="follow-up",R713="Evaluation",R713="tbd",R713="In evaluation"),B713&lt;&gt;""),1,0)</f>
        <v>1</v>
      </c>
      <c r="AP713" s="1" t="n">
        <f aca="false">IF(B713="",0,IF(COUNTIF('⚖️ Wahrscheinlichkeit'!$J$17:$J$24,R713)&gt;0,1,0))</f>
        <v>0</v>
      </c>
      <c r="AQ713" s="1" t="n">
        <f aca="false">IF(B713="",0,IF(AND(ISNUMBER(S713),COUNTIF('⚖️ Wahrscheinlichkeit'!$B$6:$B$11,S713)&gt;0),1,0))</f>
        <v>0</v>
      </c>
      <c r="AR713" s="1" t="n">
        <f aca="false">IF(B713="",0,IF(AND(COUNT(J713:M713)=4,SUM(J713:M713)&gt;0),1,0))</f>
        <v>0</v>
      </c>
      <c r="AS713" s="1" t="n">
        <f aca="false">IF(B713="",0,IF(AND(AF713&lt;&gt;"",AG713&lt;&gt;""),1,0))</f>
        <v>0</v>
      </c>
      <c r="AT713" s="1" t="n">
        <f aca="false">IF(AND(R713="WON",AS713=1,AR713=1),1,0)</f>
        <v>0</v>
      </c>
      <c r="AU713" s="1" t="n">
        <f aca="false">IF(B713="",0,IF(AD713="Alternative – zählt nicht",0,1))</f>
        <v>0</v>
      </c>
      <c r="AV713" s="1" t="n">
        <f aca="false">IF(B713="",0,IF(COUNTIF($B$6:$B$860,B713)&gt;1,1,0))</f>
        <v>0</v>
      </c>
      <c r="AX713" s="269" t="str">
        <f aca="false">IF(AY713=1,DATE(YEAR(O713),MONTH(O713),1),"")</f>
        <v/>
      </c>
      <c r="AY713" s="1" t="n">
        <f aca="false">IF(B713="",0,IF(AND(ISNUMBER(O713),ISNUMBER(P713)),IF(P713&gt;=O713,1,0),0))</f>
        <v>0</v>
      </c>
      <c r="AZ713" s="1" t="n">
        <f aca="false">IF(ISNUMBER(Y713),Y713,0)</f>
        <v>0</v>
      </c>
      <c r="BA713" s="1" t="str">
        <f aca="false">IF(B713="","",IF(AND(R713="WON",AS713=0),"⛔ Beleg fehlt · ","")&amp;IF(AND(R713="WON",AR713=0),"⛔ Einstand fehlt · ","")&amp;IF(AND(R713&lt;&gt;"WON",AR713=0),"○ Einstand offen · ","")&amp;IF(AND(R713="WON",AB713=""),"⛔ Vertragsart fehlt · ","")&amp;IF(AND(ISNUMBER(O713),ISNUMBER(P713)),IF(P713&lt;O713,"⚠ Ende vor Start · ",""),"")&amp;IF(AND(R713="WON",AY713=0,NOT(AND(ISNUMBER(O713),ISNUMBER(P713)))),"⛔ Zeitraum fehlt · ","")&amp;IF(AND(R713&lt;&gt;"WON",AY713=0,NOT(AND(ISNUMBER(O713),ISNUMBER(P713)))),"○ Zeitraum offen · ",""))</f>
        <v/>
      </c>
      <c r="BB713" s="1" t="str">
        <f aca="false">IF(B713="","",IF(AND(R713="WON",AS713=0),"⛔ Nachweis fehlt",IF(AND(ISNUMBER(O713),ISNUMBER(P713),P713&lt;O713),"⚠ Ende vor Start",IF(AND(R713="WON",AY713=0),"⛔ Zeitraum fehlt",IF(AR713=0,"○ Einstand offen",IF(AY713=0,"○ Zeitraum offen",IF(R713="WON","✅ belegt","✔ erfasst")))))))</f>
        <v/>
      </c>
    </row>
    <row r="714" customFormat="false" ht="15" hidden="false" customHeight="true" outlineLevel="0" collapsed="false">
      <c r="G714" s="1" t="str">
        <f aca="false">IF(B714="","",IF(AY714=1,P714-O714+1,IF(AW714="","",AW714)))</f>
        <v/>
      </c>
      <c r="I714" s="270"/>
      <c r="J714" s="270"/>
      <c r="K714" s="270"/>
      <c r="L714" s="270"/>
      <c r="M714" s="270"/>
      <c r="N714" s="270"/>
      <c r="O714" s="263"/>
      <c r="P714" s="263"/>
      <c r="Q714" s="270" t="str">
        <f aca="false">IF(AND(ISNUMBER(I714),ISNUMBER(S714)),I714*AJ714,IF(OR(I714&lt;&gt;"",S714&lt;&gt;""),"tbd",""))</f>
        <v/>
      </c>
      <c r="S714" s="268"/>
      <c r="Y714" s="275" t="str">
        <f aca="false">IF(ISNUMBER(I714),I714/Netto_Faktor,"")</f>
        <v/>
      </c>
      <c r="Z714" s="275" t="str">
        <f aca="false">IF(B714="","",IF(COUNT(J714:N714)=0,"",SUM(J714:N714)))</f>
        <v/>
      </c>
      <c r="AA714" s="266"/>
      <c r="AB714" s="266"/>
      <c r="AC714" s="266"/>
      <c r="AD714" s="266"/>
      <c r="AE714" s="266"/>
      <c r="AF714" s="266"/>
      <c r="AG714" s="267"/>
      <c r="AH714" s="266" t="str">
        <f aca="false">IF(B714="","",IF(BA714="",IF(R714="WON","✅ belegt &amp; vollständig","✔ vollständig"),LEFT(BA714,LEN(BA714)-3)))</f>
        <v/>
      </c>
      <c r="AJ714" s="268" t="n">
        <f aca="false">IF(ISNUMBER(S714),IFERROR(LOOKUP(IF(S714&lt;=1,S714,S714/100),'⚖️ Wahrscheinlichkeit'!$B$17:$B$21,'⚖️ Wahrscheinlichkeit'!$D$17:$D$21),0),0)</f>
        <v>0</v>
      </c>
      <c r="AK714" s="1" t="str">
        <f aca="false">IF(AND(R714="WON",ISNUMBER(I714)),AL714+(861-ROW())*0.000001,"")</f>
        <v/>
      </c>
      <c r="AL714" s="1" t="n">
        <f aca="false">IFERROR(I714*1,0)</f>
        <v>0</v>
      </c>
      <c r="AM714" s="1" t="n">
        <f aca="false">N(AM713)+IF(AND(R714="WON",B714&lt;&gt;""),1,0)</f>
        <v>12</v>
      </c>
      <c r="AN714" s="1" t="n">
        <f aca="false">N(AN713)+IF(AND(OR(R714="offered",R714="to be offered",R714="on hold"),B714&lt;&gt;""),1,0)</f>
        <v>33</v>
      </c>
      <c r="AO714" s="1" t="n">
        <f aca="false">N(AO713)+IF(AND(OR(R714="follow-up",R714="Evaluation",R714="tbd",R714="In evaluation"),B714&lt;&gt;""),1,0)</f>
        <v>1</v>
      </c>
      <c r="AP714" s="1" t="n">
        <f aca="false">IF(B714="",0,IF(COUNTIF('⚖️ Wahrscheinlichkeit'!$J$17:$J$24,R714)&gt;0,1,0))</f>
        <v>0</v>
      </c>
      <c r="AQ714" s="1" t="n">
        <f aca="false">IF(B714="",0,IF(AND(ISNUMBER(S714),COUNTIF('⚖️ Wahrscheinlichkeit'!$B$6:$B$11,S714)&gt;0),1,0))</f>
        <v>0</v>
      </c>
      <c r="AR714" s="1" t="n">
        <f aca="false">IF(B714="",0,IF(AND(COUNT(J714:M714)=4,SUM(J714:M714)&gt;0),1,0))</f>
        <v>0</v>
      </c>
      <c r="AS714" s="1" t="n">
        <f aca="false">IF(B714="",0,IF(AND(AF714&lt;&gt;"",AG714&lt;&gt;""),1,0))</f>
        <v>0</v>
      </c>
      <c r="AT714" s="1" t="n">
        <f aca="false">IF(AND(R714="WON",AS714=1,AR714=1),1,0)</f>
        <v>0</v>
      </c>
      <c r="AU714" s="1" t="n">
        <f aca="false">IF(B714="",0,IF(AD714="Alternative – zählt nicht",0,1))</f>
        <v>0</v>
      </c>
      <c r="AV714" s="1" t="n">
        <f aca="false">IF(B714="",0,IF(COUNTIF($B$6:$B$860,B714)&gt;1,1,0))</f>
        <v>0</v>
      </c>
      <c r="AX714" s="269" t="str">
        <f aca="false">IF(AY714=1,DATE(YEAR(O714),MONTH(O714),1),"")</f>
        <v/>
      </c>
      <c r="AY714" s="1" t="n">
        <f aca="false">IF(B714="",0,IF(AND(ISNUMBER(O714),ISNUMBER(P714)),IF(P714&gt;=O714,1,0),0))</f>
        <v>0</v>
      </c>
      <c r="AZ714" s="1" t="n">
        <f aca="false">IF(ISNUMBER(Y714),Y714,0)</f>
        <v>0</v>
      </c>
      <c r="BA714" s="1" t="str">
        <f aca="false">IF(B714="","",IF(AND(R714="WON",AS714=0),"⛔ Beleg fehlt · ","")&amp;IF(AND(R714="WON",AR714=0),"⛔ Einstand fehlt · ","")&amp;IF(AND(R714&lt;&gt;"WON",AR714=0),"○ Einstand offen · ","")&amp;IF(AND(R714="WON",AB714=""),"⛔ Vertragsart fehlt · ","")&amp;IF(AND(ISNUMBER(O714),ISNUMBER(P714)),IF(P714&lt;O714,"⚠ Ende vor Start · ",""),"")&amp;IF(AND(R714="WON",AY714=0,NOT(AND(ISNUMBER(O714),ISNUMBER(P714)))),"⛔ Zeitraum fehlt · ","")&amp;IF(AND(R714&lt;&gt;"WON",AY714=0,NOT(AND(ISNUMBER(O714),ISNUMBER(P714)))),"○ Zeitraum offen · ",""))</f>
        <v/>
      </c>
      <c r="BB714" s="1" t="str">
        <f aca="false">IF(B714="","",IF(AND(R714="WON",AS714=0),"⛔ Nachweis fehlt",IF(AND(ISNUMBER(O714),ISNUMBER(P714),P714&lt;O714),"⚠ Ende vor Start",IF(AND(R714="WON",AY714=0),"⛔ Zeitraum fehlt",IF(AR714=0,"○ Einstand offen",IF(AY714=0,"○ Zeitraum offen",IF(R714="WON","✅ belegt","✔ erfasst")))))))</f>
        <v/>
      </c>
    </row>
    <row r="715" customFormat="false" ht="15" hidden="false" customHeight="true" outlineLevel="0" collapsed="false">
      <c r="G715" s="1" t="str">
        <f aca="false">IF(B715="","",IF(AY715=1,P715-O715+1,IF(AW715="","",AW715)))</f>
        <v/>
      </c>
      <c r="I715" s="270"/>
      <c r="J715" s="270"/>
      <c r="K715" s="270"/>
      <c r="L715" s="270"/>
      <c r="M715" s="270"/>
      <c r="N715" s="270"/>
      <c r="O715" s="263"/>
      <c r="P715" s="263"/>
      <c r="Q715" s="270" t="str">
        <f aca="false">IF(AND(ISNUMBER(I715),ISNUMBER(S715)),I715*AJ715,IF(OR(I715&lt;&gt;"",S715&lt;&gt;""),"tbd",""))</f>
        <v/>
      </c>
      <c r="S715" s="268"/>
      <c r="Y715" s="275" t="str">
        <f aca="false">IF(ISNUMBER(I715),I715/Netto_Faktor,"")</f>
        <v/>
      </c>
      <c r="Z715" s="275" t="str">
        <f aca="false">IF(B715="","",IF(COUNT(J715:N715)=0,"",SUM(J715:N715)))</f>
        <v/>
      </c>
      <c r="AA715" s="266"/>
      <c r="AB715" s="266"/>
      <c r="AC715" s="266"/>
      <c r="AD715" s="266"/>
      <c r="AE715" s="266"/>
      <c r="AF715" s="266"/>
      <c r="AG715" s="267"/>
      <c r="AH715" s="266" t="str">
        <f aca="false">IF(B715="","",IF(BA715="",IF(R715="WON","✅ belegt &amp; vollständig","✔ vollständig"),LEFT(BA715,LEN(BA715)-3)))</f>
        <v/>
      </c>
      <c r="AJ715" s="268" t="n">
        <f aca="false">IF(ISNUMBER(S715),IFERROR(LOOKUP(IF(S715&lt;=1,S715,S715/100),'⚖️ Wahrscheinlichkeit'!$B$17:$B$21,'⚖️ Wahrscheinlichkeit'!$D$17:$D$21),0),0)</f>
        <v>0</v>
      </c>
      <c r="AK715" s="1" t="str">
        <f aca="false">IF(AND(R715="WON",ISNUMBER(I715)),AL715+(861-ROW())*0.000001,"")</f>
        <v/>
      </c>
      <c r="AL715" s="1" t="n">
        <f aca="false">IFERROR(I715*1,0)</f>
        <v>0</v>
      </c>
      <c r="AM715" s="1" t="n">
        <f aca="false">N(AM714)+IF(AND(R715="WON",B715&lt;&gt;""),1,0)</f>
        <v>12</v>
      </c>
      <c r="AN715" s="1" t="n">
        <f aca="false">N(AN714)+IF(AND(OR(R715="offered",R715="to be offered",R715="on hold"),B715&lt;&gt;""),1,0)</f>
        <v>33</v>
      </c>
      <c r="AO715" s="1" t="n">
        <f aca="false">N(AO714)+IF(AND(OR(R715="follow-up",R715="Evaluation",R715="tbd",R715="In evaluation"),B715&lt;&gt;""),1,0)</f>
        <v>1</v>
      </c>
      <c r="AP715" s="1" t="n">
        <f aca="false">IF(B715="",0,IF(COUNTIF('⚖️ Wahrscheinlichkeit'!$J$17:$J$24,R715)&gt;0,1,0))</f>
        <v>0</v>
      </c>
      <c r="AQ715" s="1" t="n">
        <f aca="false">IF(B715="",0,IF(AND(ISNUMBER(S715),COUNTIF('⚖️ Wahrscheinlichkeit'!$B$6:$B$11,S715)&gt;0),1,0))</f>
        <v>0</v>
      </c>
      <c r="AR715" s="1" t="n">
        <f aca="false">IF(B715="",0,IF(AND(COUNT(J715:M715)=4,SUM(J715:M715)&gt;0),1,0))</f>
        <v>0</v>
      </c>
      <c r="AS715" s="1" t="n">
        <f aca="false">IF(B715="",0,IF(AND(AF715&lt;&gt;"",AG715&lt;&gt;""),1,0))</f>
        <v>0</v>
      </c>
      <c r="AT715" s="1" t="n">
        <f aca="false">IF(AND(R715="WON",AS715=1,AR715=1),1,0)</f>
        <v>0</v>
      </c>
      <c r="AU715" s="1" t="n">
        <f aca="false">IF(B715="",0,IF(AD715="Alternative – zählt nicht",0,1))</f>
        <v>0</v>
      </c>
      <c r="AV715" s="1" t="n">
        <f aca="false">IF(B715="",0,IF(COUNTIF($B$6:$B$860,B715)&gt;1,1,0))</f>
        <v>0</v>
      </c>
      <c r="AX715" s="269" t="str">
        <f aca="false">IF(AY715=1,DATE(YEAR(O715),MONTH(O715),1),"")</f>
        <v/>
      </c>
      <c r="AY715" s="1" t="n">
        <f aca="false">IF(B715="",0,IF(AND(ISNUMBER(O715),ISNUMBER(P715)),IF(P715&gt;=O715,1,0),0))</f>
        <v>0</v>
      </c>
      <c r="AZ715" s="1" t="n">
        <f aca="false">IF(ISNUMBER(Y715),Y715,0)</f>
        <v>0</v>
      </c>
      <c r="BA715" s="1" t="str">
        <f aca="false">IF(B715="","",IF(AND(R715="WON",AS715=0),"⛔ Beleg fehlt · ","")&amp;IF(AND(R715="WON",AR715=0),"⛔ Einstand fehlt · ","")&amp;IF(AND(R715&lt;&gt;"WON",AR715=0),"○ Einstand offen · ","")&amp;IF(AND(R715="WON",AB715=""),"⛔ Vertragsart fehlt · ","")&amp;IF(AND(ISNUMBER(O715),ISNUMBER(P715)),IF(P715&lt;O715,"⚠ Ende vor Start · ",""),"")&amp;IF(AND(R715="WON",AY715=0,NOT(AND(ISNUMBER(O715),ISNUMBER(P715)))),"⛔ Zeitraum fehlt · ","")&amp;IF(AND(R715&lt;&gt;"WON",AY715=0,NOT(AND(ISNUMBER(O715),ISNUMBER(P715)))),"○ Zeitraum offen · ",""))</f>
        <v/>
      </c>
      <c r="BB715" s="1" t="str">
        <f aca="false">IF(B715="","",IF(AND(R715="WON",AS715=0),"⛔ Nachweis fehlt",IF(AND(ISNUMBER(O715),ISNUMBER(P715),P715&lt;O715),"⚠ Ende vor Start",IF(AND(R715="WON",AY715=0),"⛔ Zeitraum fehlt",IF(AR715=0,"○ Einstand offen",IF(AY715=0,"○ Zeitraum offen",IF(R715="WON","✅ belegt","✔ erfasst")))))))</f>
        <v/>
      </c>
    </row>
    <row r="716" customFormat="false" ht="15" hidden="false" customHeight="true" outlineLevel="0" collapsed="false">
      <c r="G716" s="1" t="str">
        <f aca="false">IF(B716="","",IF(AY716=1,P716-O716+1,IF(AW716="","",AW716)))</f>
        <v/>
      </c>
      <c r="I716" s="270"/>
      <c r="J716" s="270"/>
      <c r="K716" s="270"/>
      <c r="L716" s="270"/>
      <c r="M716" s="270"/>
      <c r="N716" s="270"/>
      <c r="O716" s="263"/>
      <c r="P716" s="263"/>
      <c r="Q716" s="270" t="str">
        <f aca="false">IF(AND(ISNUMBER(I716),ISNUMBER(S716)),I716*AJ716,IF(OR(I716&lt;&gt;"",S716&lt;&gt;""),"tbd",""))</f>
        <v/>
      </c>
      <c r="S716" s="268"/>
      <c r="Y716" s="275" t="str">
        <f aca="false">IF(ISNUMBER(I716),I716/Netto_Faktor,"")</f>
        <v/>
      </c>
      <c r="Z716" s="275" t="str">
        <f aca="false">IF(B716="","",IF(COUNT(J716:N716)=0,"",SUM(J716:N716)))</f>
        <v/>
      </c>
      <c r="AA716" s="266"/>
      <c r="AB716" s="266"/>
      <c r="AC716" s="266"/>
      <c r="AD716" s="266"/>
      <c r="AE716" s="266"/>
      <c r="AF716" s="266"/>
      <c r="AG716" s="267"/>
      <c r="AH716" s="266" t="str">
        <f aca="false">IF(B716="","",IF(BA716="",IF(R716="WON","✅ belegt &amp; vollständig","✔ vollständig"),LEFT(BA716,LEN(BA716)-3)))</f>
        <v/>
      </c>
      <c r="AJ716" s="268" t="n">
        <f aca="false">IF(ISNUMBER(S716),IFERROR(LOOKUP(IF(S716&lt;=1,S716,S716/100),'⚖️ Wahrscheinlichkeit'!$B$17:$B$21,'⚖️ Wahrscheinlichkeit'!$D$17:$D$21),0),0)</f>
        <v>0</v>
      </c>
      <c r="AK716" s="1" t="str">
        <f aca="false">IF(AND(R716="WON",ISNUMBER(I716)),AL716+(861-ROW())*0.000001,"")</f>
        <v/>
      </c>
      <c r="AL716" s="1" t="n">
        <f aca="false">IFERROR(I716*1,0)</f>
        <v>0</v>
      </c>
      <c r="AM716" s="1" t="n">
        <f aca="false">N(AM715)+IF(AND(R716="WON",B716&lt;&gt;""),1,0)</f>
        <v>12</v>
      </c>
      <c r="AN716" s="1" t="n">
        <f aca="false">N(AN715)+IF(AND(OR(R716="offered",R716="to be offered",R716="on hold"),B716&lt;&gt;""),1,0)</f>
        <v>33</v>
      </c>
      <c r="AO716" s="1" t="n">
        <f aca="false">N(AO715)+IF(AND(OR(R716="follow-up",R716="Evaluation",R716="tbd",R716="In evaluation"),B716&lt;&gt;""),1,0)</f>
        <v>1</v>
      </c>
      <c r="AP716" s="1" t="n">
        <f aca="false">IF(B716="",0,IF(COUNTIF('⚖️ Wahrscheinlichkeit'!$J$17:$J$24,R716)&gt;0,1,0))</f>
        <v>0</v>
      </c>
      <c r="AQ716" s="1" t="n">
        <f aca="false">IF(B716="",0,IF(AND(ISNUMBER(S716),COUNTIF('⚖️ Wahrscheinlichkeit'!$B$6:$B$11,S716)&gt;0),1,0))</f>
        <v>0</v>
      </c>
      <c r="AR716" s="1" t="n">
        <f aca="false">IF(B716="",0,IF(AND(COUNT(J716:M716)=4,SUM(J716:M716)&gt;0),1,0))</f>
        <v>0</v>
      </c>
      <c r="AS716" s="1" t="n">
        <f aca="false">IF(B716="",0,IF(AND(AF716&lt;&gt;"",AG716&lt;&gt;""),1,0))</f>
        <v>0</v>
      </c>
      <c r="AT716" s="1" t="n">
        <f aca="false">IF(AND(R716="WON",AS716=1,AR716=1),1,0)</f>
        <v>0</v>
      </c>
      <c r="AU716" s="1" t="n">
        <f aca="false">IF(B716="",0,IF(AD716="Alternative – zählt nicht",0,1))</f>
        <v>0</v>
      </c>
      <c r="AV716" s="1" t="n">
        <f aca="false">IF(B716="",0,IF(COUNTIF($B$6:$B$860,B716)&gt;1,1,0))</f>
        <v>0</v>
      </c>
      <c r="AX716" s="269" t="str">
        <f aca="false">IF(AY716=1,DATE(YEAR(O716),MONTH(O716),1),"")</f>
        <v/>
      </c>
      <c r="AY716" s="1" t="n">
        <f aca="false">IF(B716="",0,IF(AND(ISNUMBER(O716),ISNUMBER(P716)),IF(P716&gt;=O716,1,0),0))</f>
        <v>0</v>
      </c>
      <c r="AZ716" s="1" t="n">
        <f aca="false">IF(ISNUMBER(Y716),Y716,0)</f>
        <v>0</v>
      </c>
      <c r="BA716" s="1" t="str">
        <f aca="false">IF(B716="","",IF(AND(R716="WON",AS716=0),"⛔ Beleg fehlt · ","")&amp;IF(AND(R716="WON",AR716=0),"⛔ Einstand fehlt · ","")&amp;IF(AND(R716&lt;&gt;"WON",AR716=0),"○ Einstand offen · ","")&amp;IF(AND(R716="WON",AB716=""),"⛔ Vertragsart fehlt · ","")&amp;IF(AND(ISNUMBER(O716),ISNUMBER(P716)),IF(P716&lt;O716,"⚠ Ende vor Start · ",""),"")&amp;IF(AND(R716="WON",AY716=0,NOT(AND(ISNUMBER(O716),ISNUMBER(P716)))),"⛔ Zeitraum fehlt · ","")&amp;IF(AND(R716&lt;&gt;"WON",AY716=0,NOT(AND(ISNUMBER(O716),ISNUMBER(P716)))),"○ Zeitraum offen · ",""))</f>
        <v/>
      </c>
      <c r="BB716" s="1" t="str">
        <f aca="false">IF(B716="","",IF(AND(R716="WON",AS716=0),"⛔ Nachweis fehlt",IF(AND(ISNUMBER(O716),ISNUMBER(P716),P716&lt;O716),"⚠ Ende vor Start",IF(AND(R716="WON",AY716=0),"⛔ Zeitraum fehlt",IF(AR716=0,"○ Einstand offen",IF(AY716=0,"○ Zeitraum offen",IF(R716="WON","✅ belegt","✔ erfasst")))))))</f>
        <v/>
      </c>
    </row>
    <row r="717" customFormat="false" ht="15" hidden="false" customHeight="true" outlineLevel="0" collapsed="false">
      <c r="G717" s="1" t="str">
        <f aca="false">IF(B717="","",IF(AY717=1,P717-O717+1,IF(AW717="","",AW717)))</f>
        <v/>
      </c>
      <c r="I717" s="270"/>
      <c r="J717" s="270"/>
      <c r="K717" s="270"/>
      <c r="L717" s="270"/>
      <c r="M717" s="270"/>
      <c r="N717" s="270"/>
      <c r="O717" s="263"/>
      <c r="P717" s="263"/>
      <c r="Q717" s="270" t="str">
        <f aca="false">IF(AND(ISNUMBER(I717),ISNUMBER(S717)),I717*AJ717,IF(OR(I717&lt;&gt;"",S717&lt;&gt;""),"tbd",""))</f>
        <v/>
      </c>
      <c r="S717" s="268"/>
      <c r="Y717" s="275" t="str">
        <f aca="false">IF(ISNUMBER(I717),I717/Netto_Faktor,"")</f>
        <v/>
      </c>
      <c r="Z717" s="275" t="str">
        <f aca="false">IF(B717="","",IF(COUNT(J717:N717)=0,"",SUM(J717:N717)))</f>
        <v/>
      </c>
      <c r="AA717" s="266"/>
      <c r="AB717" s="266"/>
      <c r="AC717" s="266"/>
      <c r="AD717" s="266"/>
      <c r="AE717" s="266"/>
      <c r="AF717" s="266"/>
      <c r="AG717" s="267"/>
      <c r="AH717" s="266" t="str">
        <f aca="false">IF(B717="","",IF(BA717="",IF(R717="WON","✅ belegt &amp; vollständig","✔ vollständig"),LEFT(BA717,LEN(BA717)-3)))</f>
        <v/>
      </c>
      <c r="AJ717" s="268" t="n">
        <f aca="false">IF(ISNUMBER(S717),IFERROR(LOOKUP(IF(S717&lt;=1,S717,S717/100),'⚖️ Wahrscheinlichkeit'!$B$17:$B$21,'⚖️ Wahrscheinlichkeit'!$D$17:$D$21),0),0)</f>
        <v>0</v>
      </c>
      <c r="AK717" s="1" t="str">
        <f aca="false">IF(AND(R717="WON",ISNUMBER(I717)),AL717+(861-ROW())*0.000001,"")</f>
        <v/>
      </c>
      <c r="AL717" s="1" t="n">
        <f aca="false">IFERROR(I717*1,0)</f>
        <v>0</v>
      </c>
      <c r="AM717" s="1" t="n">
        <f aca="false">N(AM716)+IF(AND(R717="WON",B717&lt;&gt;""),1,0)</f>
        <v>12</v>
      </c>
      <c r="AN717" s="1" t="n">
        <f aca="false">N(AN716)+IF(AND(OR(R717="offered",R717="to be offered",R717="on hold"),B717&lt;&gt;""),1,0)</f>
        <v>33</v>
      </c>
      <c r="AO717" s="1" t="n">
        <f aca="false">N(AO716)+IF(AND(OR(R717="follow-up",R717="Evaluation",R717="tbd",R717="In evaluation"),B717&lt;&gt;""),1,0)</f>
        <v>1</v>
      </c>
      <c r="AP717" s="1" t="n">
        <f aca="false">IF(B717="",0,IF(COUNTIF('⚖️ Wahrscheinlichkeit'!$J$17:$J$24,R717)&gt;0,1,0))</f>
        <v>0</v>
      </c>
      <c r="AQ717" s="1" t="n">
        <f aca="false">IF(B717="",0,IF(AND(ISNUMBER(S717),COUNTIF('⚖️ Wahrscheinlichkeit'!$B$6:$B$11,S717)&gt;0),1,0))</f>
        <v>0</v>
      </c>
      <c r="AR717" s="1" t="n">
        <f aca="false">IF(B717="",0,IF(AND(COUNT(J717:M717)=4,SUM(J717:M717)&gt;0),1,0))</f>
        <v>0</v>
      </c>
      <c r="AS717" s="1" t="n">
        <f aca="false">IF(B717="",0,IF(AND(AF717&lt;&gt;"",AG717&lt;&gt;""),1,0))</f>
        <v>0</v>
      </c>
      <c r="AT717" s="1" t="n">
        <f aca="false">IF(AND(R717="WON",AS717=1,AR717=1),1,0)</f>
        <v>0</v>
      </c>
      <c r="AU717" s="1" t="n">
        <f aca="false">IF(B717="",0,IF(AD717="Alternative – zählt nicht",0,1))</f>
        <v>0</v>
      </c>
      <c r="AV717" s="1" t="n">
        <f aca="false">IF(B717="",0,IF(COUNTIF($B$6:$B$860,B717)&gt;1,1,0))</f>
        <v>0</v>
      </c>
      <c r="AX717" s="269" t="str">
        <f aca="false">IF(AY717=1,DATE(YEAR(O717),MONTH(O717),1),"")</f>
        <v/>
      </c>
      <c r="AY717" s="1" t="n">
        <f aca="false">IF(B717="",0,IF(AND(ISNUMBER(O717),ISNUMBER(P717)),IF(P717&gt;=O717,1,0),0))</f>
        <v>0</v>
      </c>
      <c r="AZ717" s="1" t="n">
        <f aca="false">IF(ISNUMBER(Y717),Y717,0)</f>
        <v>0</v>
      </c>
      <c r="BA717" s="1" t="str">
        <f aca="false">IF(B717="","",IF(AND(R717="WON",AS717=0),"⛔ Beleg fehlt · ","")&amp;IF(AND(R717="WON",AR717=0),"⛔ Einstand fehlt · ","")&amp;IF(AND(R717&lt;&gt;"WON",AR717=0),"○ Einstand offen · ","")&amp;IF(AND(R717="WON",AB717=""),"⛔ Vertragsart fehlt · ","")&amp;IF(AND(ISNUMBER(O717),ISNUMBER(P717)),IF(P717&lt;O717,"⚠ Ende vor Start · ",""),"")&amp;IF(AND(R717="WON",AY717=0,NOT(AND(ISNUMBER(O717),ISNUMBER(P717)))),"⛔ Zeitraum fehlt · ","")&amp;IF(AND(R717&lt;&gt;"WON",AY717=0,NOT(AND(ISNUMBER(O717),ISNUMBER(P717)))),"○ Zeitraum offen · ",""))</f>
        <v/>
      </c>
      <c r="BB717" s="1" t="str">
        <f aca="false">IF(B717="","",IF(AND(R717="WON",AS717=0),"⛔ Nachweis fehlt",IF(AND(ISNUMBER(O717),ISNUMBER(P717),P717&lt;O717),"⚠ Ende vor Start",IF(AND(R717="WON",AY717=0),"⛔ Zeitraum fehlt",IF(AR717=0,"○ Einstand offen",IF(AY717=0,"○ Zeitraum offen",IF(R717="WON","✅ belegt","✔ erfasst")))))))</f>
        <v/>
      </c>
    </row>
    <row r="718" customFormat="false" ht="15" hidden="false" customHeight="true" outlineLevel="0" collapsed="false">
      <c r="G718" s="1" t="str">
        <f aca="false">IF(B718="","",IF(AY718=1,P718-O718+1,IF(AW718="","",AW718)))</f>
        <v/>
      </c>
      <c r="I718" s="270"/>
      <c r="J718" s="270"/>
      <c r="K718" s="270"/>
      <c r="L718" s="270"/>
      <c r="M718" s="270"/>
      <c r="N718" s="270"/>
      <c r="O718" s="263"/>
      <c r="P718" s="263"/>
      <c r="Q718" s="270" t="str">
        <f aca="false">IF(AND(ISNUMBER(I718),ISNUMBER(S718)),I718*AJ718,IF(OR(I718&lt;&gt;"",S718&lt;&gt;""),"tbd",""))</f>
        <v/>
      </c>
      <c r="S718" s="268"/>
      <c r="Y718" s="275" t="str">
        <f aca="false">IF(ISNUMBER(I718),I718/Netto_Faktor,"")</f>
        <v/>
      </c>
      <c r="Z718" s="275" t="str">
        <f aca="false">IF(B718="","",IF(COUNT(J718:N718)=0,"",SUM(J718:N718)))</f>
        <v/>
      </c>
      <c r="AA718" s="266"/>
      <c r="AB718" s="266"/>
      <c r="AC718" s="266"/>
      <c r="AD718" s="266"/>
      <c r="AE718" s="266"/>
      <c r="AF718" s="266"/>
      <c r="AG718" s="267"/>
      <c r="AH718" s="266" t="str">
        <f aca="false">IF(B718="","",IF(BA718="",IF(R718="WON","✅ belegt &amp; vollständig","✔ vollständig"),LEFT(BA718,LEN(BA718)-3)))</f>
        <v/>
      </c>
      <c r="AJ718" s="268" t="n">
        <f aca="false">IF(ISNUMBER(S718),IFERROR(LOOKUP(IF(S718&lt;=1,S718,S718/100),'⚖️ Wahrscheinlichkeit'!$B$17:$B$21,'⚖️ Wahrscheinlichkeit'!$D$17:$D$21),0),0)</f>
        <v>0</v>
      </c>
      <c r="AK718" s="1" t="str">
        <f aca="false">IF(AND(R718="WON",ISNUMBER(I718)),AL718+(861-ROW())*0.000001,"")</f>
        <v/>
      </c>
      <c r="AL718" s="1" t="n">
        <f aca="false">IFERROR(I718*1,0)</f>
        <v>0</v>
      </c>
      <c r="AM718" s="1" t="n">
        <f aca="false">N(AM717)+IF(AND(R718="WON",B718&lt;&gt;""),1,0)</f>
        <v>12</v>
      </c>
      <c r="AN718" s="1" t="n">
        <f aca="false">N(AN717)+IF(AND(OR(R718="offered",R718="to be offered",R718="on hold"),B718&lt;&gt;""),1,0)</f>
        <v>33</v>
      </c>
      <c r="AO718" s="1" t="n">
        <f aca="false">N(AO717)+IF(AND(OR(R718="follow-up",R718="Evaluation",R718="tbd",R718="In evaluation"),B718&lt;&gt;""),1,0)</f>
        <v>1</v>
      </c>
      <c r="AP718" s="1" t="n">
        <f aca="false">IF(B718="",0,IF(COUNTIF('⚖️ Wahrscheinlichkeit'!$J$17:$J$24,R718)&gt;0,1,0))</f>
        <v>0</v>
      </c>
      <c r="AQ718" s="1" t="n">
        <f aca="false">IF(B718="",0,IF(AND(ISNUMBER(S718),COUNTIF('⚖️ Wahrscheinlichkeit'!$B$6:$B$11,S718)&gt;0),1,0))</f>
        <v>0</v>
      </c>
      <c r="AR718" s="1" t="n">
        <f aca="false">IF(B718="",0,IF(AND(COUNT(J718:M718)=4,SUM(J718:M718)&gt;0),1,0))</f>
        <v>0</v>
      </c>
      <c r="AS718" s="1" t="n">
        <f aca="false">IF(B718="",0,IF(AND(AF718&lt;&gt;"",AG718&lt;&gt;""),1,0))</f>
        <v>0</v>
      </c>
      <c r="AT718" s="1" t="n">
        <f aca="false">IF(AND(R718="WON",AS718=1,AR718=1),1,0)</f>
        <v>0</v>
      </c>
      <c r="AU718" s="1" t="n">
        <f aca="false">IF(B718="",0,IF(AD718="Alternative – zählt nicht",0,1))</f>
        <v>0</v>
      </c>
      <c r="AV718" s="1" t="n">
        <f aca="false">IF(B718="",0,IF(COUNTIF($B$6:$B$860,B718)&gt;1,1,0))</f>
        <v>0</v>
      </c>
      <c r="AX718" s="269" t="str">
        <f aca="false">IF(AY718=1,DATE(YEAR(O718),MONTH(O718),1),"")</f>
        <v/>
      </c>
      <c r="AY718" s="1" t="n">
        <f aca="false">IF(B718="",0,IF(AND(ISNUMBER(O718),ISNUMBER(P718)),IF(P718&gt;=O718,1,0),0))</f>
        <v>0</v>
      </c>
      <c r="AZ718" s="1" t="n">
        <f aca="false">IF(ISNUMBER(Y718),Y718,0)</f>
        <v>0</v>
      </c>
      <c r="BA718" s="1" t="str">
        <f aca="false">IF(B718="","",IF(AND(R718="WON",AS718=0),"⛔ Beleg fehlt · ","")&amp;IF(AND(R718="WON",AR718=0),"⛔ Einstand fehlt · ","")&amp;IF(AND(R718&lt;&gt;"WON",AR718=0),"○ Einstand offen · ","")&amp;IF(AND(R718="WON",AB718=""),"⛔ Vertragsart fehlt · ","")&amp;IF(AND(ISNUMBER(O718),ISNUMBER(P718)),IF(P718&lt;O718,"⚠ Ende vor Start · ",""),"")&amp;IF(AND(R718="WON",AY718=0,NOT(AND(ISNUMBER(O718),ISNUMBER(P718)))),"⛔ Zeitraum fehlt · ","")&amp;IF(AND(R718&lt;&gt;"WON",AY718=0,NOT(AND(ISNUMBER(O718),ISNUMBER(P718)))),"○ Zeitraum offen · ",""))</f>
        <v/>
      </c>
      <c r="BB718" s="1" t="str">
        <f aca="false">IF(B718="","",IF(AND(R718="WON",AS718=0),"⛔ Nachweis fehlt",IF(AND(ISNUMBER(O718),ISNUMBER(P718),P718&lt;O718),"⚠ Ende vor Start",IF(AND(R718="WON",AY718=0),"⛔ Zeitraum fehlt",IF(AR718=0,"○ Einstand offen",IF(AY718=0,"○ Zeitraum offen",IF(R718="WON","✅ belegt","✔ erfasst")))))))</f>
        <v/>
      </c>
    </row>
    <row r="719" customFormat="false" ht="15" hidden="false" customHeight="true" outlineLevel="0" collapsed="false">
      <c r="G719" s="1" t="str">
        <f aca="false">IF(B719="","",IF(AY719=1,P719-O719+1,IF(AW719="","",AW719)))</f>
        <v/>
      </c>
      <c r="I719" s="270"/>
      <c r="J719" s="270"/>
      <c r="K719" s="270"/>
      <c r="L719" s="270"/>
      <c r="M719" s="270"/>
      <c r="N719" s="270"/>
      <c r="O719" s="263"/>
      <c r="P719" s="263"/>
      <c r="Q719" s="270" t="str">
        <f aca="false">IF(AND(ISNUMBER(I719),ISNUMBER(S719)),I719*AJ719,IF(OR(I719&lt;&gt;"",S719&lt;&gt;""),"tbd",""))</f>
        <v/>
      </c>
      <c r="S719" s="268"/>
      <c r="Y719" s="275" t="str">
        <f aca="false">IF(ISNUMBER(I719),I719/Netto_Faktor,"")</f>
        <v/>
      </c>
      <c r="Z719" s="275" t="str">
        <f aca="false">IF(B719="","",IF(COUNT(J719:N719)=0,"",SUM(J719:N719)))</f>
        <v/>
      </c>
      <c r="AA719" s="266"/>
      <c r="AB719" s="266"/>
      <c r="AC719" s="266"/>
      <c r="AD719" s="266"/>
      <c r="AE719" s="266"/>
      <c r="AF719" s="266"/>
      <c r="AG719" s="267"/>
      <c r="AH719" s="266" t="str">
        <f aca="false">IF(B719="","",IF(BA719="",IF(R719="WON","✅ belegt &amp; vollständig","✔ vollständig"),LEFT(BA719,LEN(BA719)-3)))</f>
        <v/>
      </c>
      <c r="AJ719" s="268" t="n">
        <f aca="false">IF(ISNUMBER(S719),IFERROR(LOOKUP(IF(S719&lt;=1,S719,S719/100),'⚖️ Wahrscheinlichkeit'!$B$17:$B$21,'⚖️ Wahrscheinlichkeit'!$D$17:$D$21),0),0)</f>
        <v>0</v>
      </c>
      <c r="AK719" s="1" t="str">
        <f aca="false">IF(AND(R719="WON",ISNUMBER(I719)),AL719+(861-ROW())*0.000001,"")</f>
        <v/>
      </c>
      <c r="AL719" s="1" t="n">
        <f aca="false">IFERROR(I719*1,0)</f>
        <v>0</v>
      </c>
      <c r="AM719" s="1" t="n">
        <f aca="false">N(AM718)+IF(AND(R719="WON",B719&lt;&gt;""),1,0)</f>
        <v>12</v>
      </c>
      <c r="AN719" s="1" t="n">
        <f aca="false">N(AN718)+IF(AND(OR(R719="offered",R719="to be offered",R719="on hold"),B719&lt;&gt;""),1,0)</f>
        <v>33</v>
      </c>
      <c r="AO719" s="1" t="n">
        <f aca="false">N(AO718)+IF(AND(OR(R719="follow-up",R719="Evaluation",R719="tbd",R719="In evaluation"),B719&lt;&gt;""),1,0)</f>
        <v>1</v>
      </c>
      <c r="AP719" s="1" t="n">
        <f aca="false">IF(B719="",0,IF(COUNTIF('⚖️ Wahrscheinlichkeit'!$J$17:$J$24,R719)&gt;0,1,0))</f>
        <v>0</v>
      </c>
      <c r="AQ719" s="1" t="n">
        <f aca="false">IF(B719="",0,IF(AND(ISNUMBER(S719),COUNTIF('⚖️ Wahrscheinlichkeit'!$B$6:$B$11,S719)&gt;0),1,0))</f>
        <v>0</v>
      </c>
      <c r="AR719" s="1" t="n">
        <f aca="false">IF(B719="",0,IF(AND(COUNT(J719:M719)=4,SUM(J719:M719)&gt;0),1,0))</f>
        <v>0</v>
      </c>
      <c r="AS719" s="1" t="n">
        <f aca="false">IF(B719="",0,IF(AND(AF719&lt;&gt;"",AG719&lt;&gt;""),1,0))</f>
        <v>0</v>
      </c>
      <c r="AT719" s="1" t="n">
        <f aca="false">IF(AND(R719="WON",AS719=1,AR719=1),1,0)</f>
        <v>0</v>
      </c>
      <c r="AU719" s="1" t="n">
        <f aca="false">IF(B719="",0,IF(AD719="Alternative – zählt nicht",0,1))</f>
        <v>0</v>
      </c>
      <c r="AV719" s="1" t="n">
        <f aca="false">IF(B719="",0,IF(COUNTIF($B$6:$B$860,B719)&gt;1,1,0))</f>
        <v>0</v>
      </c>
      <c r="AX719" s="269" t="str">
        <f aca="false">IF(AY719=1,DATE(YEAR(O719),MONTH(O719),1),"")</f>
        <v/>
      </c>
      <c r="AY719" s="1" t="n">
        <f aca="false">IF(B719="",0,IF(AND(ISNUMBER(O719),ISNUMBER(P719)),IF(P719&gt;=O719,1,0),0))</f>
        <v>0</v>
      </c>
      <c r="AZ719" s="1" t="n">
        <f aca="false">IF(ISNUMBER(Y719),Y719,0)</f>
        <v>0</v>
      </c>
      <c r="BA719" s="1" t="str">
        <f aca="false">IF(B719="","",IF(AND(R719="WON",AS719=0),"⛔ Beleg fehlt · ","")&amp;IF(AND(R719="WON",AR719=0),"⛔ Einstand fehlt · ","")&amp;IF(AND(R719&lt;&gt;"WON",AR719=0),"○ Einstand offen · ","")&amp;IF(AND(R719="WON",AB719=""),"⛔ Vertragsart fehlt · ","")&amp;IF(AND(ISNUMBER(O719),ISNUMBER(P719)),IF(P719&lt;O719,"⚠ Ende vor Start · ",""),"")&amp;IF(AND(R719="WON",AY719=0,NOT(AND(ISNUMBER(O719),ISNUMBER(P719)))),"⛔ Zeitraum fehlt · ","")&amp;IF(AND(R719&lt;&gt;"WON",AY719=0,NOT(AND(ISNUMBER(O719),ISNUMBER(P719)))),"○ Zeitraum offen · ",""))</f>
        <v/>
      </c>
      <c r="BB719" s="1" t="str">
        <f aca="false">IF(B719="","",IF(AND(R719="WON",AS719=0),"⛔ Nachweis fehlt",IF(AND(ISNUMBER(O719),ISNUMBER(P719),P719&lt;O719),"⚠ Ende vor Start",IF(AND(R719="WON",AY719=0),"⛔ Zeitraum fehlt",IF(AR719=0,"○ Einstand offen",IF(AY719=0,"○ Zeitraum offen",IF(R719="WON","✅ belegt","✔ erfasst")))))))</f>
        <v/>
      </c>
    </row>
    <row r="720" customFormat="false" ht="15" hidden="false" customHeight="true" outlineLevel="0" collapsed="false">
      <c r="G720" s="1" t="str">
        <f aca="false">IF(B720="","",IF(AY720=1,P720-O720+1,IF(AW720="","",AW720)))</f>
        <v/>
      </c>
      <c r="I720" s="270"/>
      <c r="J720" s="270"/>
      <c r="K720" s="270"/>
      <c r="L720" s="270"/>
      <c r="M720" s="270"/>
      <c r="N720" s="270"/>
      <c r="O720" s="263"/>
      <c r="P720" s="263"/>
      <c r="Q720" s="270" t="str">
        <f aca="false">IF(AND(ISNUMBER(I720),ISNUMBER(S720)),I720*AJ720,IF(OR(I720&lt;&gt;"",S720&lt;&gt;""),"tbd",""))</f>
        <v/>
      </c>
      <c r="S720" s="268"/>
      <c r="Y720" s="275" t="str">
        <f aca="false">IF(ISNUMBER(I720),I720/Netto_Faktor,"")</f>
        <v/>
      </c>
      <c r="Z720" s="275" t="str">
        <f aca="false">IF(B720="","",IF(COUNT(J720:N720)=0,"",SUM(J720:N720)))</f>
        <v/>
      </c>
      <c r="AA720" s="266"/>
      <c r="AB720" s="266"/>
      <c r="AC720" s="266"/>
      <c r="AD720" s="266"/>
      <c r="AE720" s="266"/>
      <c r="AF720" s="266"/>
      <c r="AG720" s="267"/>
      <c r="AH720" s="266" t="str">
        <f aca="false">IF(B720="","",IF(BA720="",IF(R720="WON","✅ belegt &amp; vollständig","✔ vollständig"),LEFT(BA720,LEN(BA720)-3)))</f>
        <v/>
      </c>
      <c r="AJ720" s="268" t="n">
        <f aca="false">IF(ISNUMBER(S720),IFERROR(LOOKUP(IF(S720&lt;=1,S720,S720/100),'⚖️ Wahrscheinlichkeit'!$B$17:$B$21,'⚖️ Wahrscheinlichkeit'!$D$17:$D$21),0),0)</f>
        <v>0</v>
      </c>
      <c r="AK720" s="1" t="str">
        <f aca="false">IF(AND(R720="WON",ISNUMBER(I720)),AL720+(861-ROW())*0.000001,"")</f>
        <v/>
      </c>
      <c r="AL720" s="1" t="n">
        <f aca="false">IFERROR(I720*1,0)</f>
        <v>0</v>
      </c>
      <c r="AM720" s="1" t="n">
        <f aca="false">N(AM719)+IF(AND(R720="WON",B720&lt;&gt;""),1,0)</f>
        <v>12</v>
      </c>
      <c r="AN720" s="1" t="n">
        <f aca="false">N(AN719)+IF(AND(OR(R720="offered",R720="to be offered",R720="on hold"),B720&lt;&gt;""),1,0)</f>
        <v>33</v>
      </c>
      <c r="AO720" s="1" t="n">
        <f aca="false">N(AO719)+IF(AND(OR(R720="follow-up",R720="Evaluation",R720="tbd",R720="In evaluation"),B720&lt;&gt;""),1,0)</f>
        <v>1</v>
      </c>
      <c r="AP720" s="1" t="n">
        <f aca="false">IF(B720="",0,IF(COUNTIF('⚖️ Wahrscheinlichkeit'!$J$17:$J$24,R720)&gt;0,1,0))</f>
        <v>0</v>
      </c>
      <c r="AQ720" s="1" t="n">
        <f aca="false">IF(B720="",0,IF(AND(ISNUMBER(S720),COUNTIF('⚖️ Wahrscheinlichkeit'!$B$6:$B$11,S720)&gt;0),1,0))</f>
        <v>0</v>
      </c>
      <c r="AR720" s="1" t="n">
        <f aca="false">IF(B720="",0,IF(AND(COUNT(J720:M720)=4,SUM(J720:M720)&gt;0),1,0))</f>
        <v>0</v>
      </c>
      <c r="AS720" s="1" t="n">
        <f aca="false">IF(B720="",0,IF(AND(AF720&lt;&gt;"",AG720&lt;&gt;""),1,0))</f>
        <v>0</v>
      </c>
      <c r="AT720" s="1" t="n">
        <f aca="false">IF(AND(R720="WON",AS720=1,AR720=1),1,0)</f>
        <v>0</v>
      </c>
      <c r="AU720" s="1" t="n">
        <f aca="false">IF(B720="",0,IF(AD720="Alternative – zählt nicht",0,1))</f>
        <v>0</v>
      </c>
      <c r="AV720" s="1" t="n">
        <f aca="false">IF(B720="",0,IF(COUNTIF($B$6:$B$860,B720)&gt;1,1,0))</f>
        <v>0</v>
      </c>
      <c r="AX720" s="269" t="str">
        <f aca="false">IF(AY720=1,DATE(YEAR(O720),MONTH(O720),1),"")</f>
        <v/>
      </c>
      <c r="AY720" s="1" t="n">
        <f aca="false">IF(B720="",0,IF(AND(ISNUMBER(O720),ISNUMBER(P720)),IF(P720&gt;=O720,1,0),0))</f>
        <v>0</v>
      </c>
      <c r="AZ720" s="1" t="n">
        <f aca="false">IF(ISNUMBER(Y720),Y720,0)</f>
        <v>0</v>
      </c>
      <c r="BA720" s="1" t="str">
        <f aca="false">IF(B720="","",IF(AND(R720="WON",AS720=0),"⛔ Beleg fehlt · ","")&amp;IF(AND(R720="WON",AR720=0),"⛔ Einstand fehlt · ","")&amp;IF(AND(R720&lt;&gt;"WON",AR720=0),"○ Einstand offen · ","")&amp;IF(AND(R720="WON",AB720=""),"⛔ Vertragsart fehlt · ","")&amp;IF(AND(ISNUMBER(O720),ISNUMBER(P720)),IF(P720&lt;O720,"⚠ Ende vor Start · ",""),"")&amp;IF(AND(R720="WON",AY720=0,NOT(AND(ISNUMBER(O720),ISNUMBER(P720)))),"⛔ Zeitraum fehlt · ","")&amp;IF(AND(R720&lt;&gt;"WON",AY720=0,NOT(AND(ISNUMBER(O720),ISNUMBER(P720)))),"○ Zeitraum offen · ",""))</f>
        <v/>
      </c>
      <c r="BB720" s="1" t="str">
        <f aca="false">IF(B720="","",IF(AND(R720="WON",AS720=0),"⛔ Nachweis fehlt",IF(AND(ISNUMBER(O720),ISNUMBER(P720),P720&lt;O720),"⚠ Ende vor Start",IF(AND(R720="WON",AY720=0),"⛔ Zeitraum fehlt",IF(AR720=0,"○ Einstand offen",IF(AY720=0,"○ Zeitraum offen",IF(R720="WON","✅ belegt","✔ erfasst")))))))</f>
        <v/>
      </c>
    </row>
    <row r="721" customFormat="false" ht="15" hidden="false" customHeight="true" outlineLevel="0" collapsed="false">
      <c r="G721" s="1" t="str">
        <f aca="false">IF(B721="","",IF(AY721=1,P721-O721+1,IF(AW721="","",AW721)))</f>
        <v/>
      </c>
      <c r="I721" s="270"/>
      <c r="J721" s="270"/>
      <c r="K721" s="270"/>
      <c r="L721" s="270"/>
      <c r="M721" s="270"/>
      <c r="N721" s="270"/>
      <c r="O721" s="263"/>
      <c r="P721" s="263"/>
      <c r="Q721" s="270" t="str">
        <f aca="false">IF(AND(ISNUMBER(I721),ISNUMBER(S721)),I721*AJ721,IF(OR(I721&lt;&gt;"",S721&lt;&gt;""),"tbd",""))</f>
        <v/>
      </c>
      <c r="S721" s="268"/>
      <c r="Y721" s="275" t="str">
        <f aca="false">IF(ISNUMBER(I721),I721/Netto_Faktor,"")</f>
        <v/>
      </c>
      <c r="Z721" s="275" t="str">
        <f aca="false">IF(B721="","",IF(COUNT(J721:N721)=0,"",SUM(J721:N721)))</f>
        <v/>
      </c>
      <c r="AA721" s="266"/>
      <c r="AB721" s="266"/>
      <c r="AC721" s="266"/>
      <c r="AD721" s="266"/>
      <c r="AE721" s="266"/>
      <c r="AF721" s="266"/>
      <c r="AG721" s="267"/>
      <c r="AH721" s="266" t="str">
        <f aca="false">IF(B721="","",IF(BA721="",IF(R721="WON","✅ belegt &amp; vollständig","✔ vollständig"),LEFT(BA721,LEN(BA721)-3)))</f>
        <v/>
      </c>
      <c r="AJ721" s="268" t="n">
        <f aca="false">IF(ISNUMBER(S721),IFERROR(LOOKUP(IF(S721&lt;=1,S721,S721/100),'⚖️ Wahrscheinlichkeit'!$B$17:$B$21,'⚖️ Wahrscheinlichkeit'!$D$17:$D$21),0),0)</f>
        <v>0</v>
      </c>
      <c r="AK721" s="1" t="str">
        <f aca="false">IF(AND(R721="WON",ISNUMBER(I721)),AL721+(861-ROW())*0.000001,"")</f>
        <v/>
      </c>
      <c r="AL721" s="1" t="n">
        <f aca="false">IFERROR(I721*1,0)</f>
        <v>0</v>
      </c>
      <c r="AM721" s="1" t="n">
        <f aca="false">N(AM720)+IF(AND(R721="WON",B721&lt;&gt;""),1,0)</f>
        <v>12</v>
      </c>
      <c r="AN721" s="1" t="n">
        <f aca="false">N(AN720)+IF(AND(OR(R721="offered",R721="to be offered",R721="on hold"),B721&lt;&gt;""),1,0)</f>
        <v>33</v>
      </c>
      <c r="AO721" s="1" t="n">
        <f aca="false">N(AO720)+IF(AND(OR(R721="follow-up",R721="Evaluation",R721="tbd",R721="In evaluation"),B721&lt;&gt;""),1,0)</f>
        <v>1</v>
      </c>
      <c r="AP721" s="1" t="n">
        <f aca="false">IF(B721="",0,IF(COUNTIF('⚖️ Wahrscheinlichkeit'!$J$17:$J$24,R721)&gt;0,1,0))</f>
        <v>0</v>
      </c>
      <c r="AQ721" s="1" t="n">
        <f aca="false">IF(B721="",0,IF(AND(ISNUMBER(S721),COUNTIF('⚖️ Wahrscheinlichkeit'!$B$6:$B$11,S721)&gt;0),1,0))</f>
        <v>0</v>
      </c>
      <c r="AR721" s="1" t="n">
        <f aca="false">IF(B721="",0,IF(AND(COUNT(J721:M721)=4,SUM(J721:M721)&gt;0),1,0))</f>
        <v>0</v>
      </c>
      <c r="AS721" s="1" t="n">
        <f aca="false">IF(B721="",0,IF(AND(AF721&lt;&gt;"",AG721&lt;&gt;""),1,0))</f>
        <v>0</v>
      </c>
      <c r="AT721" s="1" t="n">
        <f aca="false">IF(AND(R721="WON",AS721=1,AR721=1),1,0)</f>
        <v>0</v>
      </c>
      <c r="AU721" s="1" t="n">
        <f aca="false">IF(B721="",0,IF(AD721="Alternative – zählt nicht",0,1))</f>
        <v>0</v>
      </c>
      <c r="AV721" s="1" t="n">
        <f aca="false">IF(B721="",0,IF(COUNTIF($B$6:$B$860,B721)&gt;1,1,0))</f>
        <v>0</v>
      </c>
      <c r="AX721" s="269" t="str">
        <f aca="false">IF(AY721=1,DATE(YEAR(O721),MONTH(O721),1),"")</f>
        <v/>
      </c>
      <c r="AY721" s="1" t="n">
        <f aca="false">IF(B721="",0,IF(AND(ISNUMBER(O721),ISNUMBER(P721)),IF(P721&gt;=O721,1,0),0))</f>
        <v>0</v>
      </c>
      <c r="AZ721" s="1" t="n">
        <f aca="false">IF(ISNUMBER(Y721),Y721,0)</f>
        <v>0</v>
      </c>
      <c r="BA721" s="1" t="str">
        <f aca="false">IF(B721="","",IF(AND(R721="WON",AS721=0),"⛔ Beleg fehlt · ","")&amp;IF(AND(R721="WON",AR721=0),"⛔ Einstand fehlt · ","")&amp;IF(AND(R721&lt;&gt;"WON",AR721=0),"○ Einstand offen · ","")&amp;IF(AND(R721="WON",AB721=""),"⛔ Vertragsart fehlt · ","")&amp;IF(AND(ISNUMBER(O721),ISNUMBER(P721)),IF(P721&lt;O721,"⚠ Ende vor Start · ",""),"")&amp;IF(AND(R721="WON",AY721=0,NOT(AND(ISNUMBER(O721),ISNUMBER(P721)))),"⛔ Zeitraum fehlt · ","")&amp;IF(AND(R721&lt;&gt;"WON",AY721=0,NOT(AND(ISNUMBER(O721),ISNUMBER(P721)))),"○ Zeitraum offen · ",""))</f>
        <v/>
      </c>
      <c r="BB721" s="1" t="str">
        <f aca="false">IF(B721="","",IF(AND(R721="WON",AS721=0),"⛔ Nachweis fehlt",IF(AND(ISNUMBER(O721),ISNUMBER(P721),P721&lt;O721),"⚠ Ende vor Start",IF(AND(R721="WON",AY721=0),"⛔ Zeitraum fehlt",IF(AR721=0,"○ Einstand offen",IF(AY721=0,"○ Zeitraum offen",IF(R721="WON","✅ belegt","✔ erfasst")))))))</f>
        <v/>
      </c>
    </row>
    <row r="722" customFormat="false" ht="15" hidden="false" customHeight="true" outlineLevel="0" collapsed="false">
      <c r="G722" s="1" t="str">
        <f aca="false">IF(B722="","",IF(AY722=1,P722-O722+1,IF(AW722="","",AW722)))</f>
        <v/>
      </c>
      <c r="I722" s="270"/>
      <c r="J722" s="270"/>
      <c r="K722" s="270"/>
      <c r="L722" s="270"/>
      <c r="M722" s="270"/>
      <c r="N722" s="270"/>
      <c r="O722" s="263"/>
      <c r="P722" s="263"/>
      <c r="Q722" s="270" t="str">
        <f aca="false">IF(AND(ISNUMBER(I722),ISNUMBER(S722)),I722*AJ722,IF(OR(I722&lt;&gt;"",S722&lt;&gt;""),"tbd",""))</f>
        <v/>
      </c>
      <c r="S722" s="268"/>
      <c r="Y722" s="275" t="str">
        <f aca="false">IF(ISNUMBER(I722),I722/Netto_Faktor,"")</f>
        <v/>
      </c>
      <c r="Z722" s="275" t="str">
        <f aca="false">IF(B722="","",IF(COUNT(J722:N722)=0,"",SUM(J722:N722)))</f>
        <v/>
      </c>
      <c r="AA722" s="266"/>
      <c r="AB722" s="266"/>
      <c r="AC722" s="266"/>
      <c r="AD722" s="266"/>
      <c r="AE722" s="266"/>
      <c r="AF722" s="266"/>
      <c r="AG722" s="267"/>
      <c r="AH722" s="266" t="str">
        <f aca="false">IF(B722="","",IF(BA722="",IF(R722="WON","✅ belegt &amp; vollständig","✔ vollständig"),LEFT(BA722,LEN(BA722)-3)))</f>
        <v/>
      </c>
      <c r="AJ722" s="268" t="n">
        <f aca="false">IF(ISNUMBER(S722),IFERROR(LOOKUP(IF(S722&lt;=1,S722,S722/100),'⚖️ Wahrscheinlichkeit'!$B$17:$B$21,'⚖️ Wahrscheinlichkeit'!$D$17:$D$21),0),0)</f>
        <v>0</v>
      </c>
      <c r="AK722" s="1" t="str">
        <f aca="false">IF(AND(R722="WON",ISNUMBER(I722)),AL722+(861-ROW())*0.000001,"")</f>
        <v/>
      </c>
      <c r="AL722" s="1" t="n">
        <f aca="false">IFERROR(I722*1,0)</f>
        <v>0</v>
      </c>
      <c r="AM722" s="1" t="n">
        <f aca="false">N(AM721)+IF(AND(R722="WON",B722&lt;&gt;""),1,0)</f>
        <v>12</v>
      </c>
      <c r="AN722" s="1" t="n">
        <f aca="false">N(AN721)+IF(AND(OR(R722="offered",R722="to be offered",R722="on hold"),B722&lt;&gt;""),1,0)</f>
        <v>33</v>
      </c>
      <c r="AO722" s="1" t="n">
        <f aca="false">N(AO721)+IF(AND(OR(R722="follow-up",R722="Evaluation",R722="tbd",R722="In evaluation"),B722&lt;&gt;""),1,0)</f>
        <v>1</v>
      </c>
      <c r="AP722" s="1" t="n">
        <f aca="false">IF(B722="",0,IF(COUNTIF('⚖️ Wahrscheinlichkeit'!$J$17:$J$24,R722)&gt;0,1,0))</f>
        <v>0</v>
      </c>
      <c r="AQ722" s="1" t="n">
        <f aca="false">IF(B722="",0,IF(AND(ISNUMBER(S722),COUNTIF('⚖️ Wahrscheinlichkeit'!$B$6:$B$11,S722)&gt;0),1,0))</f>
        <v>0</v>
      </c>
      <c r="AR722" s="1" t="n">
        <f aca="false">IF(B722="",0,IF(AND(COUNT(J722:M722)=4,SUM(J722:M722)&gt;0),1,0))</f>
        <v>0</v>
      </c>
      <c r="AS722" s="1" t="n">
        <f aca="false">IF(B722="",0,IF(AND(AF722&lt;&gt;"",AG722&lt;&gt;""),1,0))</f>
        <v>0</v>
      </c>
      <c r="AT722" s="1" t="n">
        <f aca="false">IF(AND(R722="WON",AS722=1,AR722=1),1,0)</f>
        <v>0</v>
      </c>
      <c r="AU722" s="1" t="n">
        <f aca="false">IF(B722="",0,IF(AD722="Alternative – zählt nicht",0,1))</f>
        <v>0</v>
      </c>
      <c r="AV722" s="1" t="n">
        <f aca="false">IF(B722="",0,IF(COUNTIF($B$6:$B$860,B722)&gt;1,1,0))</f>
        <v>0</v>
      </c>
      <c r="AX722" s="269" t="str">
        <f aca="false">IF(AY722=1,DATE(YEAR(O722),MONTH(O722),1),"")</f>
        <v/>
      </c>
      <c r="AY722" s="1" t="n">
        <f aca="false">IF(B722="",0,IF(AND(ISNUMBER(O722),ISNUMBER(P722)),IF(P722&gt;=O722,1,0),0))</f>
        <v>0</v>
      </c>
      <c r="AZ722" s="1" t="n">
        <f aca="false">IF(ISNUMBER(Y722),Y722,0)</f>
        <v>0</v>
      </c>
      <c r="BA722" s="1" t="str">
        <f aca="false">IF(B722="","",IF(AND(R722="WON",AS722=0),"⛔ Beleg fehlt · ","")&amp;IF(AND(R722="WON",AR722=0),"⛔ Einstand fehlt · ","")&amp;IF(AND(R722&lt;&gt;"WON",AR722=0),"○ Einstand offen · ","")&amp;IF(AND(R722="WON",AB722=""),"⛔ Vertragsart fehlt · ","")&amp;IF(AND(ISNUMBER(O722),ISNUMBER(P722)),IF(P722&lt;O722,"⚠ Ende vor Start · ",""),"")&amp;IF(AND(R722="WON",AY722=0,NOT(AND(ISNUMBER(O722),ISNUMBER(P722)))),"⛔ Zeitraum fehlt · ","")&amp;IF(AND(R722&lt;&gt;"WON",AY722=0,NOT(AND(ISNUMBER(O722),ISNUMBER(P722)))),"○ Zeitraum offen · ",""))</f>
        <v/>
      </c>
      <c r="BB722" s="1" t="str">
        <f aca="false">IF(B722="","",IF(AND(R722="WON",AS722=0),"⛔ Nachweis fehlt",IF(AND(ISNUMBER(O722),ISNUMBER(P722),P722&lt;O722),"⚠ Ende vor Start",IF(AND(R722="WON",AY722=0),"⛔ Zeitraum fehlt",IF(AR722=0,"○ Einstand offen",IF(AY722=0,"○ Zeitraum offen",IF(R722="WON","✅ belegt","✔ erfasst")))))))</f>
        <v/>
      </c>
    </row>
    <row r="723" customFormat="false" ht="15" hidden="false" customHeight="true" outlineLevel="0" collapsed="false">
      <c r="G723" s="1" t="str">
        <f aca="false">IF(B723="","",IF(AY723=1,P723-O723+1,IF(AW723="","",AW723)))</f>
        <v/>
      </c>
      <c r="I723" s="270"/>
      <c r="J723" s="270"/>
      <c r="K723" s="270"/>
      <c r="L723" s="270"/>
      <c r="M723" s="270"/>
      <c r="N723" s="270"/>
      <c r="O723" s="263"/>
      <c r="P723" s="263"/>
      <c r="Q723" s="270" t="str">
        <f aca="false">IF(AND(ISNUMBER(I723),ISNUMBER(S723)),I723*AJ723,IF(OR(I723&lt;&gt;"",S723&lt;&gt;""),"tbd",""))</f>
        <v/>
      </c>
      <c r="S723" s="268"/>
      <c r="Y723" s="275" t="str">
        <f aca="false">IF(ISNUMBER(I723),I723/Netto_Faktor,"")</f>
        <v/>
      </c>
      <c r="Z723" s="275" t="str">
        <f aca="false">IF(B723="","",IF(COUNT(J723:N723)=0,"",SUM(J723:N723)))</f>
        <v/>
      </c>
      <c r="AA723" s="266"/>
      <c r="AB723" s="266"/>
      <c r="AC723" s="266"/>
      <c r="AD723" s="266"/>
      <c r="AE723" s="266"/>
      <c r="AF723" s="266"/>
      <c r="AG723" s="267"/>
      <c r="AH723" s="266" t="str">
        <f aca="false">IF(B723="","",IF(BA723="",IF(R723="WON","✅ belegt &amp; vollständig","✔ vollständig"),LEFT(BA723,LEN(BA723)-3)))</f>
        <v/>
      </c>
      <c r="AJ723" s="268" t="n">
        <f aca="false">IF(ISNUMBER(S723),IFERROR(LOOKUP(IF(S723&lt;=1,S723,S723/100),'⚖️ Wahrscheinlichkeit'!$B$17:$B$21,'⚖️ Wahrscheinlichkeit'!$D$17:$D$21),0),0)</f>
        <v>0</v>
      </c>
      <c r="AK723" s="1" t="str">
        <f aca="false">IF(AND(R723="WON",ISNUMBER(I723)),AL723+(861-ROW())*0.000001,"")</f>
        <v/>
      </c>
      <c r="AL723" s="1" t="n">
        <f aca="false">IFERROR(I723*1,0)</f>
        <v>0</v>
      </c>
      <c r="AM723" s="1" t="n">
        <f aca="false">N(AM722)+IF(AND(R723="WON",B723&lt;&gt;""),1,0)</f>
        <v>12</v>
      </c>
      <c r="AN723" s="1" t="n">
        <f aca="false">N(AN722)+IF(AND(OR(R723="offered",R723="to be offered",R723="on hold"),B723&lt;&gt;""),1,0)</f>
        <v>33</v>
      </c>
      <c r="AO723" s="1" t="n">
        <f aca="false">N(AO722)+IF(AND(OR(R723="follow-up",R723="Evaluation",R723="tbd",R723="In evaluation"),B723&lt;&gt;""),1,0)</f>
        <v>1</v>
      </c>
      <c r="AP723" s="1" t="n">
        <f aca="false">IF(B723="",0,IF(COUNTIF('⚖️ Wahrscheinlichkeit'!$J$17:$J$24,R723)&gt;0,1,0))</f>
        <v>0</v>
      </c>
      <c r="AQ723" s="1" t="n">
        <f aca="false">IF(B723="",0,IF(AND(ISNUMBER(S723),COUNTIF('⚖️ Wahrscheinlichkeit'!$B$6:$B$11,S723)&gt;0),1,0))</f>
        <v>0</v>
      </c>
      <c r="AR723" s="1" t="n">
        <f aca="false">IF(B723="",0,IF(AND(COUNT(J723:M723)=4,SUM(J723:M723)&gt;0),1,0))</f>
        <v>0</v>
      </c>
      <c r="AS723" s="1" t="n">
        <f aca="false">IF(B723="",0,IF(AND(AF723&lt;&gt;"",AG723&lt;&gt;""),1,0))</f>
        <v>0</v>
      </c>
      <c r="AT723" s="1" t="n">
        <f aca="false">IF(AND(R723="WON",AS723=1,AR723=1),1,0)</f>
        <v>0</v>
      </c>
      <c r="AU723" s="1" t="n">
        <f aca="false">IF(B723="",0,IF(AD723="Alternative – zählt nicht",0,1))</f>
        <v>0</v>
      </c>
      <c r="AV723" s="1" t="n">
        <f aca="false">IF(B723="",0,IF(COUNTIF($B$6:$B$860,B723)&gt;1,1,0))</f>
        <v>0</v>
      </c>
      <c r="AX723" s="269" t="str">
        <f aca="false">IF(AY723=1,DATE(YEAR(O723),MONTH(O723),1),"")</f>
        <v/>
      </c>
      <c r="AY723" s="1" t="n">
        <f aca="false">IF(B723="",0,IF(AND(ISNUMBER(O723),ISNUMBER(P723)),IF(P723&gt;=O723,1,0),0))</f>
        <v>0</v>
      </c>
      <c r="AZ723" s="1" t="n">
        <f aca="false">IF(ISNUMBER(Y723),Y723,0)</f>
        <v>0</v>
      </c>
      <c r="BA723" s="1" t="str">
        <f aca="false">IF(B723="","",IF(AND(R723="WON",AS723=0),"⛔ Beleg fehlt · ","")&amp;IF(AND(R723="WON",AR723=0),"⛔ Einstand fehlt · ","")&amp;IF(AND(R723&lt;&gt;"WON",AR723=0),"○ Einstand offen · ","")&amp;IF(AND(R723="WON",AB723=""),"⛔ Vertragsart fehlt · ","")&amp;IF(AND(ISNUMBER(O723),ISNUMBER(P723)),IF(P723&lt;O723,"⚠ Ende vor Start · ",""),"")&amp;IF(AND(R723="WON",AY723=0,NOT(AND(ISNUMBER(O723),ISNUMBER(P723)))),"⛔ Zeitraum fehlt · ","")&amp;IF(AND(R723&lt;&gt;"WON",AY723=0,NOT(AND(ISNUMBER(O723),ISNUMBER(P723)))),"○ Zeitraum offen · ",""))</f>
        <v/>
      </c>
      <c r="BB723" s="1" t="str">
        <f aca="false">IF(B723="","",IF(AND(R723="WON",AS723=0),"⛔ Nachweis fehlt",IF(AND(ISNUMBER(O723),ISNUMBER(P723),P723&lt;O723),"⚠ Ende vor Start",IF(AND(R723="WON",AY723=0),"⛔ Zeitraum fehlt",IF(AR723=0,"○ Einstand offen",IF(AY723=0,"○ Zeitraum offen",IF(R723="WON","✅ belegt","✔ erfasst")))))))</f>
        <v/>
      </c>
    </row>
    <row r="724" customFormat="false" ht="15" hidden="false" customHeight="true" outlineLevel="0" collapsed="false">
      <c r="G724" s="1" t="str">
        <f aca="false">IF(B724="","",IF(AY724=1,P724-O724+1,IF(AW724="","",AW724)))</f>
        <v/>
      </c>
      <c r="I724" s="270"/>
      <c r="J724" s="270"/>
      <c r="K724" s="270"/>
      <c r="L724" s="270"/>
      <c r="M724" s="270"/>
      <c r="N724" s="270"/>
      <c r="O724" s="263"/>
      <c r="P724" s="263"/>
      <c r="Q724" s="270" t="str">
        <f aca="false">IF(AND(ISNUMBER(I724),ISNUMBER(S724)),I724*AJ724,IF(OR(I724&lt;&gt;"",S724&lt;&gt;""),"tbd",""))</f>
        <v/>
      </c>
      <c r="S724" s="268"/>
      <c r="Y724" s="275" t="str">
        <f aca="false">IF(ISNUMBER(I724),I724/Netto_Faktor,"")</f>
        <v/>
      </c>
      <c r="Z724" s="275" t="str">
        <f aca="false">IF(B724="","",IF(COUNT(J724:N724)=0,"",SUM(J724:N724)))</f>
        <v/>
      </c>
      <c r="AA724" s="266"/>
      <c r="AB724" s="266"/>
      <c r="AC724" s="266"/>
      <c r="AD724" s="266"/>
      <c r="AE724" s="266"/>
      <c r="AF724" s="266"/>
      <c r="AG724" s="267"/>
      <c r="AH724" s="266" t="str">
        <f aca="false">IF(B724="","",IF(BA724="",IF(R724="WON","✅ belegt &amp; vollständig","✔ vollständig"),LEFT(BA724,LEN(BA724)-3)))</f>
        <v/>
      </c>
      <c r="AJ724" s="268" t="n">
        <f aca="false">IF(ISNUMBER(S724),IFERROR(LOOKUP(IF(S724&lt;=1,S724,S724/100),'⚖️ Wahrscheinlichkeit'!$B$17:$B$21,'⚖️ Wahrscheinlichkeit'!$D$17:$D$21),0),0)</f>
        <v>0</v>
      </c>
      <c r="AK724" s="1" t="str">
        <f aca="false">IF(AND(R724="WON",ISNUMBER(I724)),AL724+(861-ROW())*0.000001,"")</f>
        <v/>
      </c>
      <c r="AL724" s="1" t="n">
        <f aca="false">IFERROR(I724*1,0)</f>
        <v>0</v>
      </c>
      <c r="AM724" s="1" t="n">
        <f aca="false">N(AM723)+IF(AND(R724="WON",B724&lt;&gt;""),1,0)</f>
        <v>12</v>
      </c>
      <c r="AN724" s="1" t="n">
        <f aca="false">N(AN723)+IF(AND(OR(R724="offered",R724="to be offered",R724="on hold"),B724&lt;&gt;""),1,0)</f>
        <v>33</v>
      </c>
      <c r="AO724" s="1" t="n">
        <f aca="false">N(AO723)+IF(AND(OR(R724="follow-up",R724="Evaluation",R724="tbd",R724="In evaluation"),B724&lt;&gt;""),1,0)</f>
        <v>1</v>
      </c>
      <c r="AP724" s="1" t="n">
        <f aca="false">IF(B724="",0,IF(COUNTIF('⚖️ Wahrscheinlichkeit'!$J$17:$J$24,R724)&gt;0,1,0))</f>
        <v>0</v>
      </c>
      <c r="AQ724" s="1" t="n">
        <f aca="false">IF(B724="",0,IF(AND(ISNUMBER(S724),COUNTIF('⚖️ Wahrscheinlichkeit'!$B$6:$B$11,S724)&gt;0),1,0))</f>
        <v>0</v>
      </c>
      <c r="AR724" s="1" t="n">
        <f aca="false">IF(B724="",0,IF(AND(COUNT(J724:M724)=4,SUM(J724:M724)&gt;0),1,0))</f>
        <v>0</v>
      </c>
      <c r="AS724" s="1" t="n">
        <f aca="false">IF(B724="",0,IF(AND(AF724&lt;&gt;"",AG724&lt;&gt;""),1,0))</f>
        <v>0</v>
      </c>
      <c r="AT724" s="1" t="n">
        <f aca="false">IF(AND(R724="WON",AS724=1,AR724=1),1,0)</f>
        <v>0</v>
      </c>
      <c r="AU724" s="1" t="n">
        <f aca="false">IF(B724="",0,IF(AD724="Alternative – zählt nicht",0,1))</f>
        <v>0</v>
      </c>
      <c r="AV724" s="1" t="n">
        <f aca="false">IF(B724="",0,IF(COUNTIF($B$6:$B$860,B724)&gt;1,1,0))</f>
        <v>0</v>
      </c>
      <c r="AX724" s="269" t="str">
        <f aca="false">IF(AY724=1,DATE(YEAR(O724),MONTH(O724),1),"")</f>
        <v/>
      </c>
      <c r="AY724" s="1" t="n">
        <f aca="false">IF(B724="",0,IF(AND(ISNUMBER(O724),ISNUMBER(P724)),IF(P724&gt;=O724,1,0),0))</f>
        <v>0</v>
      </c>
      <c r="AZ724" s="1" t="n">
        <f aca="false">IF(ISNUMBER(Y724),Y724,0)</f>
        <v>0</v>
      </c>
      <c r="BA724" s="1" t="str">
        <f aca="false">IF(B724="","",IF(AND(R724="WON",AS724=0),"⛔ Beleg fehlt · ","")&amp;IF(AND(R724="WON",AR724=0),"⛔ Einstand fehlt · ","")&amp;IF(AND(R724&lt;&gt;"WON",AR724=0),"○ Einstand offen · ","")&amp;IF(AND(R724="WON",AB724=""),"⛔ Vertragsart fehlt · ","")&amp;IF(AND(ISNUMBER(O724),ISNUMBER(P724)),IF(P724&lt;O724,"⚠ Ende vor Start · ",""),"")&amp;IF(AND(R724="WON",AY724=0,NOT(AND(ISNUMBER(O724),ISNUMBER(P724)))),"⛔ Zeitraum fehlt · ","")&amp;IF(AND(R724&lt;&gt;"WON",AY724=0,NOT(AND(ISNUMBER(O724),ISNUMBER(P724)))),"○ Zeitraum offen · ",""))</f>
        <v/>
      </c>
      <c r="BB724" s="1" t="str">
        <f aca="false">IF(B724="","",IF(AND(R724="WON",AS724=0),"⛔ Nachweis fehlt",IF(AND(ISNUMBER(O724),ISNUMBER(P724),P724&lt;O724),"⚠ Ende vor Start",IF(AND(R724="WON",AY724=0),"⛔ Zeitraum fehlt",IF(AR724=0,"○ Einstand offen",IF(AY724=0,"○ Zeitraum offen",IF(R724="WON","✅ belegt","✔ erfasst")))))))</f>
        <v/>
      </c>
    </row>
    <row r="725" customFormat="false" ht="15" hidden="false" customHeight="true" outlineLevel="0" collapsed="false">
      <c r="G725" s="1" t="str">
        <f aca="false">IF(B725="","",IF(AY725=1,P725-O725+1,IF(AW725="","",AW725)))</f>
        <v/>
      </c>
      <c r="I725" s="270"/>
      <c r="J725" s="270"/>
      <c r="K725" s="270"/>
      <c r="L725" s="270"/>
      <c r="M725" s="270"/>
      <c r="N725" s="270"/>
      <c r="O725" s="263"/>
      <c r="P725" s="263"/>
      <c r="Q725" s="270" t="str">
        <f aca="false">IF(AND(ISNUMBER(I725),ISNUMBER(S725)),I725*AJ725,IF(OR(I725&lt;&gt;"",S725&lt;&gt;""),"tbd",""))</f>
        <v/>
      </c>
      <c r="S725" s="268"/>
      <c r="Y725" s="275" t="str">
        <f aca="false">IF(ISNUMBER(I725),I725/Netto_Faktor,"")</f>
        <v/>
      </c>
      <c r="Z725" s="275" t="str">
        <f aca="false">IF(B725="","",IF(COUNT(J725:N725)=0,"",SUM(J725:N725)))</f>
        <v/>
      </c>
      <c r="AA725" s="266"/>
      <c r="AB725" s="266"/>
      <c r="AC725" s="266"/>
      <c r="AD725" s="266"/>
      <c r="AE725" s="266"/>
      <c r="AF725" s="266"/>
      <c r="AG725" s="267"/>
      <c r="AH725" s="266" t="str">
        <f aca="false">IF(B725="","",IF(BA725="",IF(R725="WON","✅ belegt &amp; vollständig","✔ vollständig"),LEFT(BA725,LEN(BA725)-3)))</f>
        <v/>
      </c>
      <c r="AJ725" s="268" t="n">
        <f aca="false">IF(ISNUMBER(S725),IFERROR(LOOKUP(IF(S725&lt;=1,S725,S725/100),'⚖️ Wahrscheinlichkeit'!$B$17:$B$21,'⚖️ Wahrscheinlichkeit'!$D$17:$D$21),0),0)</f>
        <v>0</v>
      </c>
      <c r="AK725" s="1" t="str">
        <f aca="false">IF(AND(R725="WON",ISNUMBER(I725)),AL725+(861-ROW())*0.000001,"")</f>
        <v/>
      </c>
      <c r="AL725" s="1" t="n">
        <f aca="false">IFERROR(I725*1,0)</f>
        <v>0</v>
      </c>
      <c r="AM725" s="1" t="n">
        <f aca="false">N(AM724)+IF(AND(R725="WON",B725&lt;&gt;""),1,0)</f>
        <v>12</v>
      </c>
      <c r="AN725" s="1" t="n">
        <f aca="false">N(AN724)+IF(AND(OR(R725="offered",R725="to be offered",R725="on hold"),B725&lt;&gt;""),1,0)</f>
        <v>33</v>
      </c>
      <c r="AO725" s="1" t="n">
        <f aca="false">N(AO724)+IF(AND(OR(R725="follow-up",R725="Evaluation",R725="tbd",R725="In evaluation"),B725&lt;&gt;""),1,0)</f>
        <v>1</v>
      </c>
      <c r="AP725" s="1" t="n">
        <f aca="false">IF(B725="",0,IF(COUNTIF('⚖️ Wahrscheinlichkeit'!$J$17:$J$24,R725)&gt;0,1,0))</f>
        <v>0</v>
      </c>
      <c r="AQ725" s="1" t="n">
        <f aca="false">IF(B725="",0,IF(AND(ISNUMBER(S725),COUNTIF('⚖️ Wahrscheinlichkeit'!$B$6:$B$11,S725)&gt;0),1,0))</f>
        <v>0</v>
      </c>
      <c r="AR725" s="1" t="n">
        <f aca="false">IF(B725="",0,IF(AND(COUNT(J725:M725)=4,SUM(J725:M725)&gt;0),1,0))</f>
        <v>0</v>
      </c>
      <c r="AS725" s="1" t="n">
        <f aca="false">IF(B725="",0,IF(AND(AF725&lt;&gt;"",AG725&lt;&gt;""),1,0))</f>
        <v>0</v>
      </c>
      <c r="AT725" s="1" t="n">
        <f aca="false">IF(AND(R725="WON",AS725=1,AR725=1),1,0)</f>
        <v>0</v>
      </c>
      <c r="AU725" s="1" t="n">
        <f aca="false">IF(B725="",0,IF(AD725="Alternative – zählt nicht",0,1))</f>
        <v>0</v>
      </c>
      <c r="AV725" s="1" t="n">
        <f aca="false">IF(B725="",0,IF(COUNTIF($B$6:$B$860,B725)&gt;1,1,0))</f>
        <v>0</v>
      </c>
      <c r="AX725" s="269" t="str">
        <f aca="false">IF(AY725=1,DATE(YEAR(O725),MONTH(O725),1),"")</f>
        <v/>
      </c>
      <c r="AY725" s="1" t="n">
        <f aca="false">IF(B725="",0,IF(AND(ISNUMBER(O725),ISNUMBER(P725)),IF(P725&gt;=O725,1,0),0))</f>
        <v>0</v>
      </c>
      <c r="AZ725" s="1" t="n">
        <f aca="false">IF(ISNUMBER(Y725),Y725,0)</f>
        <v>0</v>
      </c>
      <c r="BA725" s="1" t="str">
        <f aca="false">IF(B725="","",IF(AND(R725="WON",AS725=0),"⛔ Beleg fehlt · ","")&amp;IF(AND(R725="WON",AR725=0),"⛔ Einstand fehlt · ","")&amp;IF(AND(R725&lt;&gt;"WON",AR725=0),"○ Einstand offen · ","")&amp;IF(AND(R725="WON",AB725=""),"⛔ Vertragsart fehlt · ","")&amp;IF(AND(ISNUMBER(O725),ISNUMBER(P725)),IF(P725&lt;O725,"⚠ Ende vor Start · ",""),"")&amp;IF(AND(R725="WON",AY725=0,NOT(AND(ISNUMBER(O725),ISNUMBER(P725)))),"⛔ Zeitraum fehlt · ","")&amp;IF(AND(R725&lt;&gt;"WON",AY725=0,NOT(AND(ISNUMBER(O725),ISNUMBER(P725)))),"○ Zeitraum offen · ",""))</f>
        <v/>
      </c>
      <c r="BB725" s="1" t="str">
        <f aca="false">IF(B725="","",IF(AND(R725="WON",AS725=0),"⛔ Nachweis fehlt",IF(AND(ISNUMBER(O725),ISNUMBER(P725),P725&lt;O725),"⚠ Ende vor Start",IF(AND(R725="WON",AY725=0),"⛔ Zeitraum fehlt",IF(AR725=0,"○ Einstand offen",IF(AY725=0,"○ Zeitraum offen",IF(R725="WON","✅ belegt","✔ erfasst")))))))</f>
        <v/>
      </c>
    </row>
    <row r="726" customFormat="false" ht="15" hidden="false" customHeight="true" outlineLevel="0" collapsed="false">
      <c r="G726" s="1" t="str">
        <f aca="false">IF(B726="","",IF(AY726=1,P726-O726+1,IF(AW726="","",AW726)))</f>
        <v/>
      </c>
      <c r="I726" s="270"/>
      <c r="J726" s="270"/>
      <c r="K726" s="270"/>
      <c r="L726" s="270"/>
      <c r="M726" s="270"/>
      <c r="N726" s="270"/>
      <c r="O726" s="263"/>
      <c r="P726" s="263"/>
      <c r="Q726" s="270" t="str">
        <f aca="false">IF(AND(ISNUMBER(I726),ISNUMBER(S726)),I726*AJ726,IF(OR(I726&lt;&gt;"",S726&lt;&gt;""),"tbd",""))</f>
        <v/>
      </c>
      <c r="S726" s="268"/>
      <c r="Y726" s="275" t="str">
        <f aca="false">IF(ISNUMBER(I726),I726/Netto_Faktor,"")</f>
        <v/>
      </c>
      <c r="Z726" s="275" t="str">
        <f aca="false">IF(B726="","",IF(COUNT(J726:N726)=0,"",SUM(J726:N726)))</f>
        <v/>
      </c>
      <c r="AA726" s="266"/>
      <c r="AB726" s="266"/>
      <c r="AC726" s="266"/>
      <c r="AD726" s="266"/>
      <c r="AE726" s="266"/>
      <c r="AF726" s="266"/>
      <c r="AG726" s="267"/>
      <c r="AH726" s="266" t="str">
        <f aca="false">IF(B726="","",IF(BA726="",IF(R726="WON","✅ belegt &amp; vollständig","✔ vollständig"),LEFT(BA726,LEN(BA726)-3)))</f>
        <v/>
      </c>
      <c r="AJ726" s="268" t="n">
        <f aca="false">IF(ISNUMBER(S726),IFERROR(LOOKUP(IF(S726&lt;=1,S726,S726/100),'⚖️ Wahrscheinlichkeit'!$B$17:$B$21,'⚖️ Wahrscheinlichkeit'!$D$17:$D$21),0),0)</f>
        <v>0</v>
      </c>
      <c r="AK726" s="1" t="str">
        <f aca="false">IF(AND(R726="WON",ISNUMBER(I726)),AL726+(861-ROW())*0.000001,"")</f>
        <v/>
      </c>
      <c r="AL726" s="1" t="n">
        <f aca="false">IFERROR(I726*1,0)</f>
        <v>0</v>
      </c>
      <c r="AM726" s="1" t="n">
        <f aca="false">N(AM725)+IF(AND(R726="WON",B726&lt;&gt;""),1,0)</f>
        <v>12</v>
      </c>
      <c r="AN726" s="1" t="n">
        <f aca="false">N(AN725)+IF(AND(OR(R726="offered",R726="to be offered",R726="on hold"),B726&lt;&gt;""),1,0)</f>
        <v>33</v>
      </c>
      <c r="AO726" s="1" t="n">
        <f aca="false">N(AO725)+IF(AND(OR(R726="follow-up",R726="Evaluation",R726="tbd",R726="In evaluation"),B726&lt;&gt;""),1,0)</f>
        <v>1</v>
      </c>
      <c r="AP726" s="1" t="n">
        <f aca="false">IF(B726="",0,IF(COUNTIF('⚖️ Wahrscheinlichkeit'!$J$17:$J$24,R726)&gt;0,1,0))</f>
        <v>0</v>
      </c>
      <c r="AQ726" s="1" t="n">
        <f aca="false">IF(B726="",0,IF(AND(ISNUMBER(S726),COUNTIF('⚖️ Wahrscheinlichkeit'!$B$6:$B$11,S726)&gt;0),1,0))</f>
        <v>0</v>
      </c>
      <c r="AR726" s="1" t="n">
        <f aca="false">IF(B726="",0,IF(AND(COUNT(J726:M726)=4,SUM(J726:M726)&gt;0),1,0))</f>
        <v>0</v>
      </c>
      <c r="AS726" s="1" t="n">
        <f aca="false">IF(B726="",0,IF(AND(AF726&lt;&gt;"",AG726&lt;&gt;""),1,0))</f>
        <v>0</v>
      </c>
      <c r="AT726" s="1" t="n">
        <f aca="false">IF(AND(R726="WON",AS726=1,AR726=1),1,0)</f>
        <v>0</v>
      </c>
      <c r="AU726" s="1" t="n">
        <f aca="false">IF(B726="",0,IF(AD726="Alternative – zählt nicht",0,1))</f>
        <v>0</v>
      </c>
      <c r="AV726" s="1" t="n">
        <f aca="false">IF(B726="",0,IF(COUNTIF($B$6:$B$860,B726)&gt;1,1,0))</f>
        <v>0</v>
      </c>
      <c r="AX726" s="269" t="str">
        <f aca="false">IF(AY726=1,DATE(YEAR(O726),MONTH(O726),1),"")</f>
        <v/>
      </c>
      <c r="AY726" s="1" t="n">
        <f aca="false">IF(B726="",0,IF(AND(ISNUMBER(O726),ISNUMBER(P726)),IF(P726&gt;=O726,1,0),0))</f>
        <v>0</v>
      </c>
      <c r="AZ726" s="1" t="n">
        <f aca="false">IF(ISNUMBER(Y726),Y726,0)</f>
        <v>0</v>
      </c>
      <c r="BA726" s="1" t="str">
        <f aca="false">IF(B726="","",IF(AND(R726="WON",AS726=0),"⛔ Beleg fehlt · ","")&amp;IF(AND(R726="WON",AR726=0),"⛔ Einstand fehlt · ","")&amp;IF(AND(R726&lt;&gt;"WON",AR726=0),"○ Einstand offen · ","")&amp;IF(AND(R726="WON",AB726=""),"⛔ Vertragsart fehlt · ","")&amp;IF(AND(ISNUMBER(O726),ISNUMBER(P726)),IF(P726&lt;O726,"⚠ Ende vor Start · ",""),"")&amp;IF(AND(R726="WON",AY726=0,NOT(AND(ISNUMBER(O726),ISNUMBER(P726)))),"⛔ Zeitraum fehlt · ","")&amp;IF(AND(R726&lt;&gt;"WON",AY726=0,NOT(AND(ISNUMBER(O726),ISNUMBER(P726)))),"○ Zeitraum offen · ",""))</f>
        <v/>
      </c>
      <c r="BB726" s="1" t="str">
        <f aca="false">IF(B726="","",IF(AND(R726="WON",AS726=0),"⛔ Nachweis fehlt",IF(AND(ISNUMBER(O726),ISNUMBER(P726),P726&lt;O726),"⚠ Ende vor Start",IF(AND(R726="WON",AY726=0),"⛔ Zeitraum fehlt",IF(AR726=0,"○ Einstand offen",IF(AY726=0,"○ Zeitraum offen",IF(R726="WON","✅ belegt","✔ erfasst")))))))</f>
        <v/>
      </c>
    </row>
    <row r="727" customFormat="false" ht="15" hidden="false" customHeight="true" outlineLevel="0" collapsed="false">
      <c r="G727" s="1" t="str">
        <f aca="false">IF(B727="","",IF(AY727=1,P727-O727+1,IF(AW727="","",AW727)))</f>
        <v/>
      </c>
      <c r="I727" s="270"/>
      <c r="J727" s="270"/>
      <c r="K727" s="270"/>
      <c r="L727" s="270"/>
      <c r="M727" s="270"/>
      <c r="N727" s="270"/>
      <c r="O727" s="263"/>
      <c r="P727" s="263"/>
      <c r="Q727" s="270" t="str">
        <f aca="false">IF(AND(ISNUMBER(I727),ISNUMBER(S727)),I727*AJ727,IF(OR(I727&lt;&gt;"",S727&lt;&gt;""),"tbd",""))</f>
        <v/>
      </c>
      <c r="S727" s="268"/>
      <c r="Y727" s="275" t="str">
        <f aca="false">IF(ISNUMBER(I727),I727/Netto_Faktor,"")</f>
        <v/>
      </c>
      <c r="Z727" s="275" t="str">
        <f aca="false">IF(B727="","",IF(COUNT(J727:N727)=0,"",SUM(J727:N727)))</f>
        <v/>
      </c>
      <c r="AA727" s="266"/>
      <c r="AB727" s="266"/>
      <c r="AC727" s="266"/>
      <c r="AD727" s="266"/>
      <c r="AE727" s="266"/>
      <c r="AF727" s="266"/>
      <c r="AG727" s="267"/>
      <c r="AH727" s="266" t="str">
        <f aca="false">IF(B727="","",IF(BA727="",IF(R727="WON","✅ belegt &amp; vollständig","✔ vollständig"),LEFT(BA727,LEN(BA727)-3)))</f>
        <v/>
      </c>
      <c r="AJ727" s="268" t="n">
        <f aca="false">IF(ISNUMBER(S727),IFERROR(LOOKUP(IF(S727&lt;=1,S727,S727/100),'⚖️ Wahrscheinlichkeit'!$B$17:$B$21,'⚖️ Wahrscheinlichkeit'!$D$17:$D$21),0),0)</f>
        <v>0</v>
      </c>
      <c r="AK727" s="1" t="str">
        <f aca="false">IF(AND(R727="WON",ISNUMBER(I727)),AL727+(861-ROW())*0.000001,"")</f>
        <v/>
      </c>
      <c r="AL727" s="1" t="n">
        <f aca="false">IFERROR(I727*1,0)</f>
        <v>0</v>
      </c>
      <c r="AM727" s="1" t="n">
        <f aca="false">N(AM726)+IF(AND(R727="WON",B727&lt;&gt;""),1,0)</f>
        <v>12</v>
      </c>
      <c r="AN727" s="1" t="n">
        <f aca="false">N(AN726)+IF(AND(OR(R727="offered",R727="to be offered",R727="on hold"),B727&lt;&gt;""),1,0)</f>
        <v>33</v>
      </c>
      <c r="AO727" s="1" t="n">
        <f aca="false">N(AO726)+IF(AND(OR(R727="follow-up",R727="Evaluation",R727="tbd",R727="In evaluation"),B727&lt;&gt;""),1,0)</f>
        <v>1</v>
      </c>
      <c r="AP727" s="1" t="n">
        <f aca="false">IF(B727="",0,IF(COUNTIF('⚖️ Wahrscheinlichkeit'!$J$17:$J$24,R727)&gt;0,1,0))</f>
        <v>0</v>
      </c>
      <c r="AQ727" s="1" t="n">
        <f aca="false">IF(B727="",0,IF(AND(ISNUMBER(S727),COUNTIF('⚖️ Wahrscheinlichkeit'!$B$6:$B$11,S727)&gt;0),1,0))</f>
        <v>0</v>
      </c>
      <c r="AR727" s="1" t="n">
        <f aca="false">IF(B727="",0,IF(AND(COUNT(J727:M727)=4,SUM(J727:M727)&gt;0),1,0))</f>
        <v>0</v>
      </c>
      <c r="AS727" s="1" t="n">
        <f aca="false">IF(B727="",0,IF(AND(AF727&lt;&gt;"",AG727&lt;&gt;""),1,0))</f>
        <v>0</v>
      </c>
      <c r="AT727" s="1" t="n">
        <f aca="false">IF(AND(R727="WON",AS727=1,AR727=1),1,0)</f>
        <v>0</v>
      </c>
      <c r="AU727" s="1" t="n">
        <f aca="false">IF(B727="",0,IF(AD727="Alternative – zählt nicht",0,1))</f>
        <v>0</v>
      </c>
      <c r="AV727" s="1" t="n">
        <f aca="false">IF(B727="",0,IF(COUNTIF($B$6:$B$860,B727)&gt;1,1,0))</f>
        <v>0</v>
      </c>
      <c r="AX727" s="269" t="str">
        <f aca="false">IF(AY727=1,DATE(YEAR(O727),MONTH(O727),1),"")</f>
        <v/>
      </c>
      <c r="AY727" s="1" t="n">
        <f aca="false">IF(B727="",0,IF(AND(ISNUMBER(O727),ISNUMBER(P727)),IF(P727&gt;=O727,1,0),0))</f>
        <v>0</v>
      </c>
      <c r="AZ727" s="1" t="n">
        <f aca="false">IF(ISNUMBER(Y727),Y727,0)</f>
        <v>0</v>
      </c>
      <c r="BA727" s="1" t="str">
        <f aca="false">IF(B727="","",IF(AND(R727="WON",AS727=0),"⛔ Beleg fehlt · ","")&amp;IF(AND(R727="WON",AR727=0),"⛔ Einstand fehlt · ","")&amp;IF(AND(R727&lt;&gt;"WON",AR727=0),"○ Einstand offen · ","")&amp;IF(AND(R727="WON",AB727=""),"⛔ Vertragsart fehlt · ","")&amp;IF(AND(ISNUMBER(O727),ISNUMBER(P727)),IF(P727&lt;O727,"⚠ Ende vor Start · ",""),"")&amp;IF(AND(R727="WON",AY727=0,NOT(AND(ISNUMBER(O727),ISNUMBER(P727)))),"⛔ Zeitraum fehlt · ","")&amp;IF(AND(R727&lt;&gt;"WON",AY727=0,NOT(AND(ISNUMBER(O727),ISNUMBER(P727)))),"○ Zeitraum offen · ",""))</f>
        <v/>
      </c>
      <c r="BB727" s="1" t="str">
        <f aca="false">IF(B727="","",IF(AND(R727="WON",AS727=0),"⛔ Nachweis fehlt",IF(AND(ISNUMBER(O727),ISNUMBER(P727),P727&lt;O727),"⚠ Ende vor Start",IF(AND(R727="WON",AY727=0),"⛔ Zeitraum fehlt",IF(AR727=0,"○ Einstand offen",IF(AY727=0,"○ Zeitraum offen",IF(R727="WON","✅ belegt","✔ erfasst")))))))</f>
        <v/>
      </c>
    </row>
    <row r="728" customFormat="false" ht="15" hidden="false" customHeight="true" outlineLevel="0" collapsed="false">
      <c r="G728" s="1" t="str">
        <f aca="false">IF(B728="","",IF(AY728=1,P728-O728+1,IF(AW728="","",AW728)))</f>
        <v/>
      </c>
      <c r="I728" s="270"/>
      <c r="J728" s="270"/>
      <c r="K728" s="270"/>
      <c r="L728" s="270"/>
      <c r="M728" s="270"/>
      <c r="N728" s="270"/>
      <c r="O728" s="263"/>
      <c r="P728" s="263"/>
      <c r="Q728" s="270" t="str">
        <f aca="false">IF(AND(ISNUMBER(I728),ISNUMBER(S728)),I728*AJ728,IF(OR(I728&lt;&gt;"",S728&lt;&gt;""),"tbd",""))</f>
        <v/>
      </c>
      <c r="S728" s="268"/>
      <c r="Y728" s="275" t="str">
        <f aca="false">IF(ISNUMBER(I728),I728/Netto_Faktor,"")</f>
        <v/>
      </c>
      <c r="Z728" s="275" t="str">
        <f aca="false">IF(B728="","",IF(COUNT(J728:N728)=0,"",SUM(J728:N728)))</f>
        <v/>
      </c>
      <c r="AA728" s="266"/>
      <c r="AB728" s="266"/>
      <c r="AC728" s="266"/>
      <c r="AD728" s="266"/>
      <c r="AE728" s="266"/>
      <c r="AF728" s="266"/>
      <c r="AG728" s="267"/>
      <c r="AH728" s="266" t="str">
        <f aca="false">IF(B728="","",IF(BA728="",IF(R728="WON","✅ belegt &amp; vollständig","✔ vollständig"),LEFT(BA728,LEN(BA728)-3)))</f>
        <v/>
      </c>
      <c r="AJ728" s="268" t="n">
        <f aca="false">IF(ISNUMBER(S728),IFERROR(LOOKUP(IF(S728&lt;=1,S728,S728/100),'⚖️ Wahrscheinlichkeit'!$B$17:$B$21,'⚖️ Wahrscheinlichkeit'!$D$17:$D$21),0),0)</f>
        <v>0</v>
      </c>
      <c r="AK728" s="1" t="str">
        <f aca="false">IF(AND(R728="WON",ISNUMBER(I728)),AL728+(861-ROW())*0.000001,"")</f>
        <v/>
      </c>
      <c r="AL728" s="1" t="n">
        <f aca="false">IFERROR(I728*1,0)</f>
        <v>0</v>
      </c>
      <c r="AM728" s="1" t="n">
        <f aca="false">N(AM727)+IF(AND(R728="WON",B728&lt;&gt;""),1,0)</f>
        <v>12</v>
      </c>
      <c r="AN728" s="1" t="n">
        <f aca="false">N(AN727)+IF(AND(OR(R728="offered",R728="to be offered",R728="on hold"),B728&lt;&gt;""),1,0)</f>
        <v>33</v>
      </c>
      <c r="AO728" s="1" t="n">
        <f aca="false">N(AO727)+IF(AND(OR(R728="follow-up",R728="Evaluation",R728="tbd",R728="In evaluation"),B728&lt;&gt;""),1,0)</f>
        <v>1</v>
      </c>
      <c r="AP728" s="1" t="n">
        <f aca="false">IF(B728="",0,IF(COUNTIF('⚖️ Wahrscheinlichkeit'!$J$17:$J$24,R728)&gt;0,1,0))</f>
        <v>0</v>
      </c>
      <c r="AQ728" s="1" t="n">
        <f aca="false">IF(B728="",0,IF(AND(ISNUMBER(S728),COUNTIF('⚖️ Wahrscheinlichkeit'!$B$6:$B$11,S728)&gt;0),1,0))</f>
        <v>0</v>
      </c>
      <c r="AR728" s="1" t="n">
        <f aca="false">IF(B728="",0,IF(AND(COUNT(J728:M728)=4,SUM(J728:M728)&gt;0),1,0))</f>
        <v>0</v>
      </c>
      <c r="AS728" s="1" t="n">
        <f aca="false">IF(B728="",0,IF(AND(AF728&lt;&gt;"",AG728&lt;&gt;""),1,0))</f>
        <v>0</v>
      </c>
      <c r="AT728" s="1" t="n">
        <f aca="false">IF(AND(R728="WON",AS728=1,AR728=1),1,0)</f>
        <v>0</v>
      </c>
      <c r="AU728" s="1" t="n">
        <f aca="false">IF(B728="",0,IF(AD728="Alternative – zählt nicht",0,1))</f>
        <v>0</v>
      </c>
      <c r="AV728" s="1" t="n">
        <f aca="false">IF(B728="",0,IF(COUNTIF($B$6:$B$860,B728)&gt;1,1,0))</f>
        <v>0</v>
      </c>
      <c r="AX728" s="269" t="str">
        <f aca="false">IF(AY728=1,DATE(YEAR(O728),MONTH(O728),1),"")</f>
        <v/>
      </c>
      <c r="AY728" s="1" t="n">
        <f aca="false">IF(B728="",0,IF(AND(ISNUMBER(O728),ISNUMBER(P728)),IF(P728&gt;=O728,1,0),0))</f>
        <v>0</v>
      </c>
      <c r="AZ728" s="1" t="n">
        <f aca="false">IF(ISNUMBER(Y728),Y728,0)</f>
        <v>0</v>
      </c>
      <c r="BA728" s="1" t="str">
        <f aca="false">IF(B728="","",IF(AND(R728="WON",AS728=0),"⛔ Beleg fehlt · ","")&amp;IF(AND(R728="WON",AR728=0),"⛔ Einstand fehlt · ","")&amp;IF(AND(R728&lt;&gt;"WON",AR728=0),"○ Einstand offen · ","")&amp;IF(AND(R728="WON",AB728=""),"⛔ Vertragsart fehlt · ","")&amp;IF(AND(ISNUMBER(O728),ISNUMBER(P728)),IF(P728&lt;O728,"⚠ Ende vor Start · ",""),"")&amp;IF(AND(R728="WON",AY728=0,NOT(AND(ISNUMBER(O728),ISNUMBER(P728)))),"⛔ Zeitraum fehlt · ","")&amp;IF(AND(R728&lt;&gt;"WON",AY728=0,NOT(AND(ISNUMBER(O728),ISNUMBER(P728)))),"○ Zeitraum offen · ",""))</f>
        <v/>
      </c>
      <c r="BB728" s="1" t="str">
        <f aca="false">IF(B728="","",IF(AND(R728="WON",AS728=0),"⛔ Nachweis fehlt",IF(AND(ISNUMBER(O728),ISNUMBER(P728),P728&lt;O728),"⚠ Ende vor Start",IF(AND(R728="WON",AY728=0),"⛔ Zeitraum fehlt",IF(AR728=0,"○ Einstand offen",IF(AY728=0,"○ Zeitraum offen",IF(R728="WON","✅ belegt","✔ erfasst")))))))</f>
        <v/>
      </c>
    </row>
    <row r="729" customFormat="false" ht="15" hidden="false" customHeight="true" outlineLevel="0" collapsed="false">
      <c r="G729" s="1" t="str">
        <f aca="false">IF(B729="","",IF(AY729=1,P729-O729+1,IF(AW729="","",AW729)))</f>
        <v/>
      </c>
      <c r="I729" s="270"/>
      <c r="J729" s="270"/>
      <c r="K729" s="270"/>
      <c r="L729" s="270"/>
      <c r="M729" s="270"/>
      <c r="N729" s="270"/>
      <c r="O729" s="263"/>
      <c r="P729" s="263"/>
      <c r="Q729" s="270" t="str">
        <f aca="false">IF(AND(ISNUMBER(I729),ISNUMBER(S729)),I729*AJ729,IF(OR(I729&lt;&gt;"",S729&lt;&gt;""),"tbd",""))</f>
        <v/>
      </c>
      <c r="S729" s="268"/>
      <c r="Y729" s="275" t="str">
        <f aca="false">IF(ISNUMBER(I729),I729/Netto_Faktor,"")</f>
        <v/>
      </c>
      <c r="Z729" s="275" t="str">
        <f aca="false">IF(B729="","",IF(COUNT(J729:N729)=0,"",SUM(J729:N729)))</f>
        <v/>
      </c>
      <c r="AA729" s="266"/>
      <c r="AB729" s="266"/>
      <c r="AC729" s="266"/>
      <c r="AD729" s="266"/>
      <c r="AE729" s="266"/>
      <c r="AF729" s="266"/>
      <c r="AG729" s="267"/>
      <c r="AH729" s="266" t="str">
        <f aca="false">IF(B729="","",IF(BA729="",IF(R729="WON","✅ belegt &amp; vollständig","✔ vollständig"),LEFT(BA729,LEN(BA729)-3)))</f>
        <v/>
      </c>
      <c r="AJ729" s="268" t="n">
        <f aca="false">IF(ISNUMBER(S729),IFERROR(LOOKUP(IF(S729&lt;=1,S729,S729/100),'⚖️ Wahrscheinlichkeit'!$B$17:$B$21,'⚖️ Wahrscheinlichkeit'!$D$17:$D$21),0),0)</f>
        <v>0</v>
      </c>
      <c r="AK729" s="1" t="str">
        <f aca="false">IF(AND(R729="WON",ISNUMBER(I729)),AL729+(861-ROW())*0.000001,"")</f>
        <v/>
      </c>
      <c r="AL729" s="1" t="n">
        <f aca="false">IFERROR(I729*1,0)</f>
        <v>0</v>
      </c>
      <c r="AM729" s="1" t="n">
        <f aca="false">N(AM728)+IF(AND(R729="WON",B729&lt;&gt;""),1,0)</f>
        <v>12</v>
      </c>
      <c r="AN729" s="1" t="n">
        <f aca="false">N(AN728)+IF(AND(OR(R729="offered",R729="to be offered",R729="on hold"),B729&lt;&gt;""),1,0)</f>
        <v>33</v>
      </c>
      <c r="AO729" s="1" t="n">
        <f aca="false">N(AO728)+IF(AND(OR(R729="follow-up",R729="Evaluation",R729="tbd",R729="In evaluation"),B729&lt;&gt;""),1,0)</f>
        <v>1</v>
      </c>
      <c r="AP729" s="1" t="n">
        <f aca="false">IF(B729="",0,IF(COUNTIF('⚖️ Wahrscheinlichkeit'!$J$17:$J$24,R729)&gt;0,1,0))</f>
        <v>0</v>
      </c>
      <c r="AQ729" s="1" t="n">
        <f aca="false">IF(B729="",0,IF(AND(ISNUMBER(S729),COUNTIF('⚖️ Wahrscheinlichkeit'!$B$6:$B$11,S729)&gt;0),1,0))</f>
        <v>0</v>
      </c>
      <c r="AR729" s="1" t="n">
        <f aca="false">IF(B729="",0,IF(AND(COUNT(J729:M729)=4,SUM(J729:M729)&gt;0),1,0))</f>
        <v>0</v>
      </c>
      <c r="AS729" s="1" t="n">
        <f aca="false">IF(B729="",0,IF(AND(AF729&lt;&gt;"",AG729&lt;&gt;""),1,0))</f>
        <v>0</v>
      </c>
      <c r="AT729" s="1" t="n">
        <f aca="false">IF(AND(R729="WON",AS729=1,AR729=1),1,0)</f>
        <v>0</v>
      </c>
      <c r="AU729" s="1" t="n">
        <f aca="false">IF(B729="",0,IF(AD729="Alternative – zählt nicht",0,1))</f>
        <v>0</v>
      </c>
      <c r="AV729" s="1" t="n">
        <f aca="false">IF(B729="",0,IF(COUNTIF($B$6:$B$860,B729)&gt;1,1,0))</f>
        <v>0</v>
      </c>
      <c r="AX729" s="269" t="str">
        <f aca="false">IF(AY729=1,DATE(YEAR(O729),MONTH(O729),1),"")</f>
        <v/>
      </c>
      <c r="AY729" s="1" t="n">
        <f aca="false">IF(B729="",0,IF(AND(ISNUMBER(O729),ISNUMBER(P729)),IF(P729&gt;=O729,1,0),0))</f>
        <v>0</v>
      </c>
      <c r="AZ729" s="1" t="n">
        <f aca="false">IF(ISNUMBER(Y729),Y729,0)</f>
        <v>0</v>
      </c>
      <c r="BA729" s="1" t="str">
        <f aca="false">IF(B729="","",IF(AND(R729="WON",AS729=0),"⛔ Beleg fehlt · ","")&amp;IF(AND(R729="WON",AR729=0),"⛔ Einstand fehlt · ","")&amp;IF(AND(R729&lt;&gt;"WON",AR729=0),"○ Einstand offen · ","")&amp;IF(AND(R729="WON",AB729=""),"⛔ Vertragsart fehlt · ","")&amp;IF(AND(ISNUMBER(O729),ISNUMBER(P729)),IF(P729&lt;O729,"⚠ Ende vor Start · ",""),"")&amp;IF(AND(R729="WON",AY729=0,NOT(AND(ISNUMBER(O729),ISNUMBER(P729)))),"⛔ Zeitraum fehlt · ","")&amp;IF(AND(R729&lt;&gt;"WON",AY729=0,NOT(AND(ISNUMBER(O729),ISNUMBER(P729)))),"○ Zeitraum offen · ",""))</f>
        <v/>
      </c>
      <c r="BB729" s="1" t="str">
        <f aca="false">IF(B729="","",IF(AND(R729="WON",AS729=0),"⛔ Nachweis fehlt",IF(AND(ISNUMBER(O729),ISNUMBER(P729),P729&lt;O729),"⚠ Ende vor Start",IF(AND(R729="WON",AY729=0),"⛔ Zeitraum fehlt",IF(AR729=0,"○ Einstand offen",IF(AY729=0,"○ Zeitraum offen",IF(R729="WON","✅ belegt","✔ erfasst")))))))</f>
        <v/>
      </c>
    </row>
    <row r="730" customFormat="false" ht="15" hidden="false" customHeight="true" outlineLevel="0" collapsed="false">
      <c r="G730" s="1" t="str">
        <f aca="false">IF(B730="","",IF(AY730=1,P730-O730+1,IF(AW730="","",AW730)))</f>
        <v/>
      </c>
      <c r="I730" s="270"/>
      <c r="J730" s="270"/>
      <c r="K730" s="270"/>
      <c r="L730" s="270"/>
      <c r="M730" s="270"/>
      <c r="N730" s="270"/>
      <c r="O730" s="263"/>
      <c r="P730" s="263"/>
      <c r="Q730" s="270" t="str">
        <f aca="false">IF(AND(ISNUMBER(I730),ISNUMBER(S730)),I730*AJ730,IF(OR(I730&lt;&gt;"",S730&lt;&gt;""),"tbd",""))</f>
        <v/>
      </c>
      <c r="S730" s="268"/>
      <c r="Y730" s="275" t="str">
        <f aca="false">IF(ISNUMBER(I730),I730/Netto_Faktor,"")</f>
        <v/>
      </c>
      <c r="Z730" s="275" t="str">
        <f aca="false">IF(B730="","",IF(COUNT(J730:N730)=0,"",SUM(J730:N730)))</f>
        <v/>
      </c>
      <c r="AA730" s="266"/>
      <c r="AB730" s="266"/>
      <c r="AC730" s="266"/>
      <c r="AD730" s="266"/>
      <c r="AE730" s="266"/>
      <c r="AF730" s="266"/>
      <c r="AG730" s="267"/>
      <c r="AH730" s="266" t="str">
        <f aca="false">IF(B730="","",IF(BA730="",IF(R730="WON","✅ belegt &amp; vollständig","✔ vollständig"),LEFT(BA730,LEN(BA730)-3)))</f>
        <v/>
      </c>
      <c r="AJ730" s="268" t="n">
        <f aca="false">IF(ISNUMBER(S730),IFERROR(LOOKUP(IF(S730&lt;=1,S730,S730/100),'⚖️ Wahrscheinlichkeit'!$B$17:$B$21,'⚖️ Wahrscheinlichkeit'!$D$17:$D$21),0),0)</f>
        <v>0</v>
      </c>
      <c r="AK730" s="1" t="str">
        <f aca="false">IF(AND(R730="WON",ISNUMBER(I730)),AL730+(861-ROW())*0.000001,"")</f>
        <v/>
      </c>
      <c r="AL730" s="1" t="n">
        <f aca="false">IFERROR(I730*1,0)</f>
        <v>0</v>
      </c>
      <c r="AM730" s="1" t="n">
        <f aca="false">N(AM729)+IF(AND(R730="WON",B730&lt;&gt;""),1,0)</f>
        <v>12</v>
      </c>
      <c r="AN730" s="1" t="n">
        <f aca="false">N(AN729)+IF(AND(OR(R730="offered",R730="to be offered",R730="on hold"),B730&lt;&gt;""),1,0)</f>
        <v>33</v>
      </c>
      <c r="AO730" s="1" t="n">
        <f aca="false">N(AO729)+IF(AND(OR(R730="follow-up",R730="Evaluation",R730="tbd",R730="In evaluation"),B730&lt;&gt;""),1,0)</f>
        <v>1</v>
      </c>
      <c r="AP730" s="1" t="n">
        <f aca="false">IF(B730="",0,IF(COUNTIF('⚖️ Wahrscheinlichkeit'!$J$17:$J$24,R730)&gt;0,1,0))</f>
        <v>0</v>
      </c>
      <c r="AQ730" s="1" t="n">
        <f aca="false">IF(B730="",0,IF(AND(ISNUMBER(S730),COUNTIF('⚖️ Wahrscheinlichkeit'!$B$6:$B$11,S730)&gt;0),1,0))</f>
        <v>0</v>
      </c>
      <c r="AR730" s="1" t="n">
        <f aca="false">IF(B730="",0,IF(AND(COUNT(J730:M730)=4,SUM(J730:M730)&gt;0),1,0))</f>
        <v>0</v>
      </c>
      <c r="AS730" s="1" t="n">
        <f aca="false">IF(B730="",0,IF(AND(AF730&lt;&gt;"",AG730&lt;&gt;""),1,0))</f>
        <v>0</v>
      </c>
      <c r="AT730" s="1" t="n">
        <f aca="false">IF(AND(R730="WON",AS730=1,AR730=1),1,0)</f>
        <v>0</v>
      </c>
      <c r="AU730" s="1" t="n">
        <f aca="false">IF(B730="",0,IF(AD730="Alternative – zählt nicht",0,1))</f>
        <v>0</v>
      </c>
      <c r="AV730" s="1" t="n">
        <f aca="false">IF(B730="",0,IF(COUNTIF($B$6:$B$860,B730)&gt;1,1,0))</f>
        <v>0</v>
      </c>
      <c r="AX730" s="269" t="str">
        <f aca="false">IF(AY730=1,DATE(YEAR(O730),MONTH(O730),1),"")</f>
        <v/>
      </c>
      <c r="AY730" s="1" t="n">
        <f aca="false">IF(B730="",0,IF(AND(ISNUMBER(O730),ISNUMBER(P730)),IF(P730&gt;=O730,1,0),0))</f>
        <v>0</v>
      </c>
      <c r="AZ730" s="1" t="n">
        <f aca="false">IF(ISNUMBER(Y730),Y730,0)</f>
        <v>0</v>
      </c>
      <c r="BA730" s="1" t="str">
        <f aca="false">IF(B730="","",IF(AND(R730="WON",AS730=0),"⛔ Beleg fehlt · ","")&amp;IF(AND(R730="WON",AR730=0),"⛔ Einstand fehlt · ","")&amp;IF(AND(R730&lt;&gt;"WON",AR730=0),"○ Einstand offen · ","")&amp;IF(AND(R730="WON",AB730=""),"⛔ Vertragsart fehlt · ","")&amp;IF(AND(ISNUMBER(O730),ISNUMBER(P730)),IF(P730&lt;O730,"⚠ Ende vor Start · ",""),"")&amp;IF(AND(R730="WON",AY730=0,NOT(AND(ISNUMBER(O730),ISNUMBER(P730)))),"⛔ Zeitraum fehlt · ","")&amp;IF(AND(R730&lt;&gt;"WON",AY730=0,NOT(AND(ISNUMBER(O730),ISNUMBER(P730)))),"○ Zeitraum offen · ",""))</f>
        <v/>
      </c>
      <c r="BB730" s="1" t="str">
        <f aca="false">IF(B730="","",IF(AND(R730="WON",AS730=0),"⛔ Nachweis fehlt",IF(AND(ISNUMBER(O730),ISNUMBER(P730),P730&lt;O730),"⚠ Ende vor Start",IF(AND(R730="WON",AY730=0),"⛔ Zeitraum fehlt",IF(AR730=0,"○ Einstand offen",IF(AY730=0,"○ Zeitraum offen",IF(R730="WON","✅ belegt","✔ erfasst")))))))</f>
        <v/>
      </c>
    </row>
    <row r="731" customFormat="false" ht="15" hidden="false" customHeight="true" outlineLevel="0" collapsed="false">
      <c r="G731" s="1" t="str">
        <f aca="false">IF(B731="","",IF(AY731=1,P731-O731+1,IF(AW731="","",AW731)))</f>
        <v/>
      </c>
      <c r="I731" s="270"/>
      <c r="J731" s="270"/>
      <c r="K731" s="270"/>
      <c r="L731" s="270"/>
      <c r="M731" s="270"/>
      <c r="N731" s="270"/>
      <c r="O731" s="263"/>
      <c r="P731" s="263"/>
      <c r="Q731" s="270" t="str">
        <f aca="false">IF(AND(ISNUMBER(I731),ISNUMBER(S731)),I731*AJ731,IF(OR(I731&lt;&gt;"",S731&lt;&gt;""),"tbd",""))</f>
        <v/>
      </c>
      <c r="S731" s="268"/>
      <c r="Y731" s="275" t="str">
        <f aca="false">IF(ISNUMBER(I731),I731/Netto_Faktor,"")</f>
        <v/>
      </c>
      <c r="Z731" s="275" t="str">
        <f aca="false">IF(B731="","",IF(COUNT(J731:N731)=0,"",SUM(J731:N731)))</f>
        <v/>
      </c>
      <c r="AA731" s="266"/>
      <c r="AB731" s="266"/>
      <c r="AC731" s="266"/>
      <c r="AD731" s="266"/>
      <c r="AE731" s="266"/>
      <c r="AF731" s="266"/>
      <c r="AG731" s="267"/>
      <c r="AH731" s="266" t="str">
        <f aca="false">IF(B731="","",IF(BA731="",IF(R731="WON","✅ belegt &amp; vollständig","✔ vollständig"),LEFT(BA731,LEN(BA731)-3)))</f>
        <v/>
      </c>
      <c r="AJ731" s="268" t="n">
        <f aca="false">IF(ISNUMBER(S731),IFERROR(LOOKUP(IF(S731&lt;=1,S731,S731/100),'⚖️ Wahrscheinlichkeit'!$B$17:$B$21,'⚖️ Wahrscheinlichkeit'!$D$17:$D$21),0),0)</f>
        <v>0</v>
      </c>
      <c r="AK731" s="1" t="str">
        <f aca="false">IF(AND(R731="WON",ISNUMBER(I731)),AL731+(861-ROW())*0.000001,"")</f>
        <v/>
      </c>
      <c r="AL731" s="1" t="n">
        <f aca="false">IFERROR(I731*1,0)</f>
        <v>0</v>
      </c>
      <c r="AM731" s="1" t="n">
        <f aca="false">N(AM730)+IF(AND(R731="WON",B731&lt;&gt;""),1,0)</f>
        <v>12</v>
      </c>
      <c r="AN731" s="1" t="n">
        <f aca="false">N(AN730)+IF(AND(OR(R731="offered",R731="to be offered",R731="on hold"),B731&lt;&gt;""),1,0)</f>
        <v>33</v>
      </c>
      <c r="AO731" s="1" t="n">
        <f aca="false">N(AO730)+IF(AND(OR(R731="follow-up",R731="Evaluation",R731="tbd",R731="In evaluation"),B731&lt;&gt;""),1,0)</f>
        <v>1</v>
      </c>
      <c r="AP731" s="1" t="n">
        <f aca="false">IF(B731="",0,IF(COUNTIF('⚖️ Wahrscheinlichkeit'!$J$17:$J$24,R731)&gt;0,1,0))</f>
        <v>0</v>
      </c>
      <c r="AQ731" s="1" t="n">
        <f aca="false">IF(B731="",0,IF(AND(ISNUMBER(S731),COUNTIF('⚖️ Wahrscheinlichkeit'!$B$6:$B$11,S731)&gt;0),1,0))</f>
        <v>0</v>
      </c>
      <c r="AR731" s="1" t="n">
        <f aca="false">IF(B731="",0,IF(AND(COUNT(J731:M731)=4,SUM(J731:M731)&gt;0),1,0))</f>
        <v>0</v>
      </c>
      <c r="AS731" s="1" t="n">
        <f aca="false">IF(B731="",0,IF(AND(AF731&lt;&gt;"",AG731&lt;&gt;""),1,0))</f>
        <v>0</v>
      </c>
      <c r="AT731" s="1" t="n">
        <f aca="false">IF(AND(R731="WON",AS731=1,AR731=1),1,0)</f>
        <v>0</v>
      </c>
      <c r="AU731" s="1" t="n">
        <f aca="false">IF(B731="",0,IF(AD731="Alternative – zählt nicht",0,1))</f>
        <v>0</v>
      </c>
      <c r="AV731" s="1" t="n">
        <f aca="false">IF(B731="",0,IF(COUNTIF($B$6:$B$860,B731)&gt;1,1,0))</f>
        <v>0</v>
      </c>
      <c r="AX731" s="269" t="str">
        <f aca="false">IF(AY731=1,DATE(YEAR(O731),MONTH(O731),1),"")</f>
        <v/>
      </c>
      <c r="AY731" s="1" t="n">
        <f aca="false">IF(B731="",0,IF(AND(ISNUMBER(O731),ISNUMBER(P731)),IF(P731&gt;=O731,1,0),0))</f>
        <v>0</v>
      </c>
      <c r="AZ731" s="1" t="n">
        <f aca="false">IF(ISNUMBER(Y731),Y731,0)</f>
        <v>0</v>
      </c>
      <c r="BA731" s="1" t="str">
        <f aca="false">IF(B731="","",IF(AND(R731="WON",AS731=0),"⛔ Beleg fehlt · ","")&amp;IF(AND(R731="WON",AR731=0),"⛔ Einstand fehlt · ","")&amp;IF(AND(R731&lt;&gt;"WON",AR731=0),"○ Einstand offen · ","")&amp;IF(AND(R731="WON",AB731=""),"⛔ Vertragsart fehlt · ","")&amp;IF(AND(ISNUMBER(O731),ISNUMBER(P731)),IF(P731&lt;O731,"⚠ Ende vor Start · ",""),"")&amp;IF(AND(R731="WON",AY731=0,NOT(AND(ISNUMBER(O731),ISNUMBER(P731)))),"⛔ Zeitraum fehlt · ","")&amp;IF(AND(R731&lt;&gt;"WON",AY731=0,NOT(AND(ISNUMBER(O731),ISNUMBER(P731)))),"○ Zeitraum offen · ",""))</f>
        <v/>
      </c>
      <c r="BB731" s="1" t="str">
        <f aca="false">IF(B731="","",IF(AND(R731="WON",AS731=0),"⛔ Nachweis fehlt",IF(AND(ISNUMBER(O731),ISNUMBER(P731),P731&lt;O731),"⚠ Ende vor Start",IF(AND(R731="WON",AY731=0),"⛔ Zeitraum fehlt",IF(AR731=0,"○ Einstand offen",IF(AY731=0,"○ Zeitraum offen",IF(R731="WON","✅ belegt","✔ erfasst")))))))</f>
        <v/>
      </c>
    </row>
    <row r="732" customFormat="false" ht="15" hidden="false" customHeight="true" outlineLevel="0" collapsed="false">
      <c r="G732" s="1" t="str">
        <f aca="false">IF(B732="","",IF(AY732=1,P732-O732+1,IF(AW732="","",AW732)))</f>
        <v/>
      </c>
      <c r="I732" s="270"/>
      <c r="J732" s="270"/>
      <c r="K732" s="270"/>
      <c r="L732" s="270"/>
      <c r="M732" s="270"/>
      <c r="N732" s="270"/>
      <c r="O732" s="263"/>
      <c r="P732" s="263"/>
      <c r="Q732" s="270" t="str">
        <f aca="false">IF(AND(ISNUMBER(I732),ISNUMBER(S732)),I732*AJ732,IF(OR(I732&lt;&gt;"",S732&lt;&gt;""),"tbd",""))</f>
        <v/>
      </c>
      <c r="S732" s="268"/>
      <c r="Y732" s="275" t="str">
        <f aca="false">IF(ISNUMBER(I732),I732/Netto_Faktor,"")</f>
        <v/>
      </c>
      <c r="Z732" s="275" t="str">
        <f aca="false">IF(B732="","",IF(COUNT(J732:N732)=0,"",SUM(J732:N732)))</f>
        <v/>
      </c>
      <c r="AA732" s="266"/>
      <c r="AB732" s="266"/>
      <c r="AC732" s="266"/>
      <c r="AD732" s="266"/>
      <c r="AE732" s="266"/>
      <c r="AF732" s="266"/>
      <c r="AG732" s="267"/>
      <c r="AH732" s="266" t="str">
        <f aca="false">IF(B732="","",IF(BA732="",IF(R732="WON","✅ belegt &amp; vollständig","✔ vollständig"),LEFT(BA732,LEN(BA732)-3)))</f>
        <v/>
      </c>
      <c r="AJ732" s="268" t="n">
        <f aca="false">IF(ISNUMBER(S732),IFERROR(LOOKUP(IF(S732&lt;=1,S732,S732/100),'⚖️ Wahrscheinlichkeit'!$B$17:$B$21,'⚖️ Wahrscheinlichkeit'!$D$17:$D$21),0),0)</f>
        <v>0</v>
      </c>
      <c r="AK732" s="1" t="str">
        <f aca="false">IF(AND(R732="WON",ISNUMBER(I732)),AL732+(861-ROW())*0.000001,"")</f>
        <v/>
      </c>
      <c r="AL732" s="1" t="n">
        <f aca="false">IFERROR(I732*1,0)</f>
        <v>0</v>
      </c>
      <c r="AM732" s="1" t="n">
        <f aca="false">N(AM731)+IF(AND(R732="WON",B732&lt;&gt;""),1,0)</f>
        <v>12</v>
      </c>
      <c r="AN732" s="1" t="n">
        <f aca="false">N(AN731)+IF(AND(OR(R732="offered",R732="to be offered",R732="on hold"),B732&lt;&gt;""),1,0)</f>
        <v>33</v>
      </c>
      <c r="AO732" s="1" t="n">
        <f aca="false">N(AO731)+IF(AND(OR(R732="follow-up",R732="Evaluation",R732="tbd",R732="In evaluation"),B732&lt;&gt;""),1,0)</f>
        <v>1</v>
      </c>
      <c r="AP732" s="1" t="n">
        <f aca="false">IF(B732="",0,IF(COUNTIF('⚖️ Wahrscheinlichkeit'!$J$17:$J$24,R732)&gt;0,1,0))</f>
        <v>0</v>
      </c>
      <c r="AQ732" s="1" t="n">
        <f aca="false">IF(B732="",0,IF(AND(ISNUMBER(S732),COUNTIF('⚖️ Wahrscheinlichkeit'!$B$6:$B$11,S732)&gt;0),1,0))</f>
        <v>0</v>
      </c>
      <c r="AR732" s="1" t="n">
        <f aca="false">IF(B732="",0,IF(AND(COUNT(J732:M732)=4,SUM(J732:M732)&gt;0),1,0))</f>
        <v>0</v>
      </c>
      <c r="AS732" s="1" t="n">
        <f aca="false">IF(B732="",0,IF(AND(AF732&lt;&gt;"",AG732&lt;&gt;""),1,0))</f>
        <v>0</v>
      </c>
      <c r="AT732" s="1" t="n">
        <f aca="false">IF(AND(R732="WON",AS732=1,AR732=1),1,0)</f>
        <v>0</v>
      </c>
      <c r="AU732" s="1" t="n">
        <f aca="false">IF(B732="",0,IF(AD732="Alternative – zählt nicht",0,1))</f>
        <v>0</v>
      </c>
      <c r="AV732" s="1" t="n">
        <f aca="false">IF(B732="",0,IF(COUNTIF($B$6:$B$860,B732)&gt;1,1,0))</f>
        <v>0</v>
      </c>
      <c r="AX732" s="269" t="str">
        <f aca="false">IF(AY732=1,DATE(YEAR(O732),MONTH(O732),1),"")</f>
        <v/>
      </c>
      <c r="AY732" s="1" t="n">
        <f aca="false">IF(B732="",0,IF(AND(ISNUMBER(O732),ISNUMBER(P732)),IF(P732&gt;=O732,1,0),0))</f>
        <v>0</v>
      </c>
      <c r="AZ732" s="1" t="n">
        <f aca="false">IF(ISNUMBER(Y732),Y732,0)</f>
        <v>0</v>
      </c>
      <c r="BA732" s="1" t="str">
        <f aca="false">IF(B732="","",IF(AND(R732="WON",AS732=0),"⛔ Beleg fehlt · ","")&amp;IF(AND(R732="WON",AR732=0),"⛔ Einstand fehlt · ","")&amp;IF(AND(R732&lt;&gt;"WON",AR732=0),"○ Einstand offen · ","")&amp;IF(AND(R732="WON",AB732=""),"⛔ Vertragsart fehlt · ","")&amp;IF(AND(ISNUMBER(O732),ISNUMBER(P732)),IF(P732&lt;O732,"⚠ Ende vor Start · ",""),"")&amp;IF(AND(R732="WON",AY732=0,NOT(AND(ISNUMBER(O732),ISNUMBER(P732)))),"⛔ Zeitraum fehlt · ","")&amp;IF(AND(R732&lt;&gt;"WON",AY732=0,NOT(AND(ISNUMBER(O732),ISNUMBER(P732)))),"○ Zeitraum offen · ",""))</f>
        <v/>
      </c>
      <c r="BB732" s="1" t="str">
        <f aca="false">IF(B732="","",IF(AND(R732="WON",AS732=0),"⛔ Nachweis fehlt",IF(AND(ISNUMBER(O732),ISNUMBER(P732),P732&lt;O732),"⚠ Ende vor Start",IF(AND(R732="WON",AY732=0),"⛔ Zeitraum fehlt",IF(AR732=0,"○ Einstand offen",IF(AY732=0,"○ Zeitraum offen",IF(R732="WON","✅ belegt","✔ erfasst")))))))</f>
        <v/>
      </c>
    </row>
    <row r="733" customFormat="false" ht="15" hidden="false" customHeight="true" outlineLevel="0" collapsed="false">
      <c r="G733" s="1" t="str">
        <f aca="false">IF(B733="","",IF(AY733=1,P733-O733+1,IF(AW733="","",AW733)))</f>
        <v/>
      </c>
      <c r="I733" s="270"/>
      <c r="J733" s="270"/>
      <c r="K733" s="270"/>
      <c r="L733" s="270"/>
      <c r="M733" s="270"/>
      <c r="N733" s="270"/>
      <c r="O733" s="263"/>
      <c r="P733" s="263"/>
      <c r="Q733" s="270" t="str">
        <f aca="false">IF(AND(ISNUMBER(I733),ISNUMBER(S733)),I733*AJ733,IF(OR(I733&lt;&gt;"",S733&lt;&gt;""),"tbd",""))</f>
        <v/>
      </c>
      <c r="S733" s="268"/>
      <c r="Y733" s="275" t="str">
        <f aca="false">IF(ISNUMBER(I733),I733/Netto_Faktor,"")</f>
        <v/>
      </c>
      <c r="Z733" s="275" t="str">
        <f aca="false">IF(B733="","",IF(COUNT(J733:N733)=0,"",SUM(J733:N733)))</f>
        <v/>
      </c>
      <c r="AA733" s="266"/>
      <c r="AB733" s="266"/>
      <c r="AC733" s="266"/>
      <c r="AD733" s="266"/>
      <c r="AE733" s="266"/>
      <c r="AF733" s="266"/>
      <c r="AG733" s="267"/>
      <c r="AH733" s="266" t="str">
        <f aca="false">IF(B733="","",IF(BA733="",IF(R733="WON","✅ belegt &amp; vollständig","✔ vollständig"),LEFT(BA733,LEN(BA733)-3)))</f>
        <v/>
      </c>
      <c r="AJ733" s="268" t="n">
        <f aca="false">IF(ISNUMBER(S733),IFERROR(LOOKUP(IF(S733&lt;=1,S733,S733/100),'⚖️ Wahrscheinlichkeit'!$B$17:$B$21,'⚖️ Wahrscheinlichkeit'!$D$17:$D$21),0),0)</f>
        <v>0</v>
      </c>
      <c r="AK733" s="1" t="str">
        <f aca="false">IF(AND(R733="WON",ISNUMBER(I733)),AL733+(861-ROW())*0.000001,"")</f>
        <v/>
      </c>
      <c r="AL733" s="1" t="n">
        <f aca="false">IFERROR(I733*1,0)</f>
        <v>0</v>
      </c>
      <c r="AM733" s="1" t="n">
        <f aca="false">N(AM732)+IF(AND(R733="WON",B733&lt;&gt;""),1,0)</f>
        <v>12</v>
      </c>
      <c r="AN733" s="1" t="n">
        <f aca="false">N(AN732)+IF(AND(OR(R733="offered",R733="to be offered",R733="on hold"),B733&lt;&gt;""),1,0)</f>
        <v>33</v>
      </c>
      <c r="AO733" s="1" t="n">
        <f aca="false">N(AO732)+IF(AND(OR(R733="follow-up",R733="Evaluation",R733="tbd",R733="In evaluation"),B733&lt;&gt;""),1,0)</f>
        <v>1</v>
      </c>
      <c r="AP733" s="1" t="n">
        <f aca="false">IF(B733="",0,IF(COUNTIF('⚖️ Wahrscheinlichkeit'!$J$17:$J$24,R733)&gt;0,1,0))</f>
        <v>0</v>
      </c>
      <c r="AQ733" s="1" t="n">
        <f aca="false">IF(B733="",0,IF(AND(ISNUMBER(S733),COUNTIF('⚖️ Wahrscheinlichkeit'!$B$6:$B$11,S733)&gt;0),1,0))</f>
        <v>0</v>
      </c>
      <c r="AR733" s="1" t="n">
        <f aca="false">IF(B733="",0,IF(AND(COUNT(J733:M733)=4,SUM(J733:M733)&gt;0),1,0))</f>
        <v>0</v>
      </c>
      <c r="AS733" s="1" t="n">
        <f aca="false">IF(B733="",0,IF(AND(AF733&lt;&gt;"",AG733&lt;&gt;""),1,0))</f>
        <v>0</v>
      </c>
      <c r="AT733" s="1" t="n">
        <f aca="false">IF(AND(R733="WON",AS733=1,AR733=1),1,0)</f>
        <v>0</v>
      </c>
      <c r="AU733" s="1" t="n">
        <f aca="false">IF(B733="",0,IF(AD733="Alternative – zählt nicht",0,1))</f>
        <v>0</v>
      </c>
      <c r="AV733" s="1" t="n">
        <f aca="false">IF(B733="",0,IF(COUNTIF($B$6:$B$860,B733)&gt;1,1,0))</f>
        <v>0</v>
      </c>
      <c r="AX733" s="269" t="str">
        <f aca="false">IF(AY733=1,DATE(YEAR(O733),MONTH(O733),1),"")</f>
        <v/>
      </c>
      <c r="AY733" s="1" t="n">
        <f aca="false">IF(B733="",0,IF(AND(ISNUMBER(O733),ISNUMBER(P733)),IF(P733&gt;=O733,1,0),0))</f>
        <v>0</v>
      </c>
      <c r="AZ733" s="1" t="n">
        <f aca="false">IF(ISNUMBER(Y733),Y733,0)</f>
        <v>0</v>
      </c>
      <c r="BA733" s="1" t="str">
        <f aca="false">IF(B733="","",IF(AND(R733="WON",AS733=0),"⛔ Beleg fehlt · ","")&amp;IF(AND(R733="WON",AR733=0),"⛔ Einstand fehlt · ","")&amp;IF(AND(R733&lt;&gt;"WON",AR733=0),"○ Einstand offen · ","")&amp;IF(AND(R733="WON",AB733=""),"⛔ Vertragsart fehlt · ","")&amp;IF(AND(ISNUMBER(O733),ISNUMBER(P733)),IF(P733&lt;O733,"⚠ Ende vor Start · ",""),"")&amp;IF(AND(R733="WON",AY733=0,NOT(AND(ISNUMBER(O733),ISNUMBER(P733)))),"⛔ Zeitraum fehlt · ","")&amp;IF(AND(R733&lt;&gt;"WON",AY733=0,NOT(AND(ISNUMBER(O733),ISNUMBER(P733)))),"○ Zeitraum offen · ",""))</f>
        <v/>
      </c>
      <c r="BB733" s="1" t="str">
        <f aca="false">IF(B733="","",IF(AND(R733="WON",AS733=0),"⛔ Nachweis fehlt",IF(AND(ISNUMBER(O733),ISNUMBER(P733),P733&lt;O733),"⚠ Ende vor Start",IF(AND(R733="WON",AY733=0),"⛔ Zeitraum fehlt",IF(AR733=0,"○ Einstand offen",IF(AY733=0,"○ Zeitraum offen",IF(R733="WON","✅ belegt","✔ erfasst")))))))</f>
        <v/>
      </c>
    </row>
    <row r="734" customFormat="false" ht="15" hidden="false" customHeight="true" outlineLevel="0" collapsed="false">
      <c r="G734" s="1" t="str">
        <f aca="false">IF(B734="","",IF(AY734=1,P734-O734+1,IF(AW734="","",AW734)))</f>
        <v/>
      </c>
      <c r="I734" s="270"/>
      <c r="J734" s="270"/>
      <c r="K734" s="270"/>
      <c r="L734" s="270"/>
      <c r="M734" s="270"/>
      <c r="N734" s="270"/>
      <c r="O734" s="263"/>
      <c r="P734" s="263"/>
      <c r="Q734" s="270" t="str">
        <f aca="false">IF(AND(ISNUMBER(I734),ISNUMBER(S734)),I734*AJ734,IF(OR(I734&lt;&gt;"",S734&lt;&gt;""),"tbd",""))</f>
        <v/>
      </c>
      <c r="S734" s="268"/>
      <c r="Y734" s="275" t="str">
        <f aca="false">IF(ISNUMBER(I734),I734/Netto_Faktor,"")</f>
        <v/>
      </c>
      <c r="Z734" s="275" t="str">
        <f aca="false">IF(B734="","",IF(COUNT(J734:N734)=0,"",SUM(J734:N734)))</f>
        <v/>
      </c>
      <c r="AA734" s="266"/>
      <c r="AB734" s="266"/>
      <c r="AC734" s="266"/>
      <c r="AD734" s="266"/>
      <c r="AE734" s="266"/>
      <c r="AF734" s="266"/>
      <c r="AG734" s="267"/>
      <c r="AH734" s="266" t="str">
        <f aca="false">IF(B734="","",IF(BA734="",IF(R734="WON","✅ belegt &amp; vollständig","✔ vollständig"),LEFT(BA734,LEN(BA734)-3)))</f>
        <v/>
      </c>
      <c r="AJ734" s="268" t="n">
        <f aca="false">IF(ISNUMBER(S734),IFERROR(LOOKUP(IF(S734&lt;=1,S734,S734/100),'⚖️ Wahrscheinlichkeit'!$B$17:$B$21,'⚖️ Wahrscheinlichkeit'!$D$17:$D$21),0),0)</f>
        <v>0</v>
      </c>
      <c r="AK734" s="1" t="str">
        <f aca="false">IF(AND(R734="WON",ISNUMBER(I734)),AL734+(861-ROW())*0.000001,"")</f>
        <v/>
      </c>
      <c r="AL734" s="1" t="n">
        <f aca="false">IFERROR(I734*1,0)</f>
        <v>0</v>
      </c>
      <c r="AM734" s="1" t="n">
        <f aca="false">N(AM733)+IF(AND(R734="WON",B734&lt;&gt;""),1,0)</f>
        <v>12</v>
      </c>
      <c r="AN734" s="1" t="n">
        <f aca="false">N(AN733)+IF(AND(OR(R734="offered",R734="to be offered",R734="on hold"),B734&lt;&gt;""),1,0)</f>
        <v>33</v>
      </c>
      <c r="AO734" s="1" t="n">
        <f aca="false">N(AO733)+IF(AND(OR(R734="follow-up",R734="Evaluation",R734="tbd",R734="In evaluation"),B734&lt;&gt;""),1,0)</f>
        <v>1</v>
      </c>
      <c r="AP734" s="1" t="n">
        <f aca="false">IF(B734="",0,IF(COUNTIF('⚖️ Wahrscheinlichkeit'!$J$17:$J$24,R734)&gt;0,1,0))</f>
        <v>0</v>
      </c>
      <c r="AQ734" s="1" t="n">
        <f aca="false">IF(B734="",0,IF(AND(ISNUMBER(S734),COUNTIF('⚖️ Wahrscheinlichkeit'!$B$6:$B$11,S734)&gt;0),1,0))</f>
        <v>0</v>
      </c>
      <c r="AR734" s="1" t="n">
        <f aca="false">IF(B734="",0,IF(AND(COUNT(J734:M734)=4,SUM(J734:M734)&gt;0),1,0))</f>
        <v>0</v>
      </c>
      <c r="AS734" s="1" t="n">
        <f aca="false">IF(B734="",0,IF(AND(AF734&lt;&gt;"",AG734&lt;&gt;""),1,0))</f>
        <v>0</v>
      </c>
      <c r="AT734" s="1" t="n">
        <f aca="false">IF(AND(R734="WON",AS734=1,AR734=1),1,0)</f>
        <v>0</v>
      </c>
      <c r="AU734" s="1" t="n">
        <f aca="false">IF(B734="",0,IF(AD734="Alternative – zählt nicht",0,1))</f>
        <v>0</v>
      </c>
      <c r="AV734" s="1" t="n">
        <f aca="false">IF(B734="",0,IF(COUNTIF($B$6:$B$860,B734)&gt;1,1,0))</f>
        <v>0</v>
      </c>
      <c r="AX734" s="269" t="str">
        <f aca="false">IF(AY734=1,DATE(YEAR(O734),MONTH(O734),1),"")</f>
        <v/>
      </c>
      <c r="AY734" s="1" t="n">
        <f aca="false">IF(B734="",0,IF(AND(ISNUMBER(O734),ISNUMBER(P734)),IF(P734&gt;=O734,1,0),0))</f>
        <v>0</v>
      </c>
      <c r="AZ734" s="1" t="n">
        <f aca="false">IF(ISNUMBER(Y734),Y734,0)</f>
        <v>0</v>
      </c>
      <c r="BA734" s="1" t="str">
        <f aca="false">IF(B734="","",IF(AND(R734="WON",AS734=0),"⛔ Beleg fehlt · ","")&amp;IF(AND(R734="WON",AR734=0),"⛔ Einstand fehlt · ","")&amp;IF(AND(R734&lt;&gt;"WON",AR734=0),"○ Einstand offen · ","")&amp;IF(AND(R734="WON",AB734=""),"⛔ Vertragsart fehlt · ","")&amp;IF(AND(ISNUMBER(O734),ISNUMBER(P734)),IF(P734&lt;O734,"⚠ Ende vor Start · ",""),"")&amp;IF(AND(R734="WON",AY734=0,NOT(AND(ISNUMBER(O734),ISNUMBER(P734)))),"⛔ Zeitraum fehlt · ","")&amp;IF(AND(R734&lt;&gt;"WON",AY734=0,NOT(AND(ISNUMBER(O734),ISNUMBER(P734)))),"○ Zeitraum offen · ",""))</f>
        <v/>
      </c>
      <c r="BB734" s="1" t="str">
        <f aca="false">IF(B734="","",IF(AND(R734="WON",AS734=0),"⛔ Nachweis fehlt",IF(AND(ISNUMBER(O734),ISNUMBER(P734),P734&lt;O734),"⚠ Ende vor Start",IF(AND(R734="WON",AY734=0),"⛔ Zeitraum fehlt",IF(AR734=0,"○ Einstand offen",IF(AY734=0,"○ Zeitraum offen",IF(R734="WON","✅ belegt","✔ erfasst")))))))</f>
        <v/>
      </c>
    </row>
    <row r="735" customFormat="false" ht="15" hidden="false" customHeight="true" outlineLevel="0" collapsed="false">
      <c r="G735" s="1" t="str">
        <f aca="false">IF(B735="","",IF(AY735=1,P735-O735+1,IF(AW735="","",AW735)))</f>
        <v/>
      </c>
      <c r="I735" s="270"/>
      <c r="J735" s="270"/>
      <c r="K735" s="270"/>
      <c r="L735" s="270"/>
      <c r="M735" s="270"/>
      <c r="N735" s="270"/>
      <c r="O735" s="263"/>
      <c r="P735" s="263"/>
      <c r="Q735" s="270" t="str">
        <f aca="false">IF(AND(ISNUMBER(I735),ISNUMBER(S735)),I735*AJ735,IF(OR(I735&lt;&gt;"",S735&lt;&gt;""),"tbd",""))</f>
        <v/>
      </c>
      <c r="S735" s="268"/>
      <c r="Y735" s="275" t="str">
        <f aca="false">IF(ISNUMBER(I735),I735/Netto_Faktor,"")</f>
        <v/>
      </c>
      <c r="Z735" s="275" t="str">
        <f aca="false">IF(B735="","",IF(COUNT(J735:N735)=0,"",SUM(J735:N735)))</f>
        <v/>
      </c>
      <c r="AA735" s="266"/>
      <c r="AB735" s="266"/>
      <c r="AC735" s="266"/>
      <c r="AD735" s="266"/>
      <c r="AE735" s="266"/>
      <c r="AF735" s="266"/>
      <c r="AG735" s="267"/>
      <c r="AH735" s="266" t="str">
        <f aca="false">IF(B735="","",IF(BA735="",IF(R735="WON","✅ belegt &amp; vollständig","✔ vollständig"),LEFT(BA735,LEN(BA735)-3)))</f>
        <v/>
      </c>
      <c r="AJ735" s="268" t="n">
        <f aca="false">IF(ISNUMBER(S735),IFERROR(LOOKUP(IF(S735&lt;=1,S735,S735/100),'⚖️ Wahrscheinlichkeit'!$B$17:$B$21,'⚖️ Wahrscheinlichkeit'!$D$17:$D$21),0),0)</f>
        <v>0</v>
      </c>
      <c r="AK735" s="1" t="str">
        <f aca="false">IF(AND(R735="WON",ISNUMBER(I735)),AL735+(861-ROW())*0.000001,"")</f>
        <v/>
      </c>
      <c r="AL735" s="1" t="n">
        <f aca="false">IFERROR(I735*1,0)</f>
        <v>0</v>
      </c>
      <c r="AM735" s="1" t="n">
        <f aca="false">N(AM734)+IF(AND(R735="WON",B735&lt;&gt;""),1,0)</f>
        <v>12</v>
      </c>
      <c r="AN735" s="1" t="n">
        <f aca="false">N(AN734)+IF(AND(OR(R735="offered",R735="to be offered",R735="on hold"),B735&lt;&gt;""),1,0)</f>
        <v>33</v>
      </c>
      <c r="AO735" s="1" t="n">
        <f aca="false">N(AO734)+IF(AND(OR(R735="follow-up",R735="Evaluation",R735="tbd",R735="In evaluation"),B735&lt;&gt;""),1,0)</f>
        <v>1</v>
      </c>
      <c r="AP735" s="1" t="n">
        <f aca="false">IF(B735="",0,IF(COUNTIF('⚖️ Wahrscheinlichkeit'!$J$17:$J$24,R735)&gt;0,1,0))</f>
        <v>0</v>
      </c>
      <c r="AQ735" s="1" t="n">
        <f aca="false">IF(B735="",0,IF(AND(ISNUMBER(S735),COUNTIF('⚖️ Wahrscheinlichkeit'!$B$6:$B$11,S735)&gt;0),1,0))</f>
        <v>0</v>
      </c>
      <c r="AR735" s="1" t="n">
        <f aca="false">IF(B735="",0,IF(AND(COUNT(J735:M735)=4,SUM(J735:M735)&gt;0),1,0))</f>
        <v>0</v>
      </c>
      <c r="AS735" s="1" t="n">
        <f aca="false">IF(B735="",0,IF(AND(AF735&lt;&gt;"",AG735&lt;&gt;""),1,0))</f>
        <v>0</v>
      </c>
      <c r="AT735" s="1" t="n">
        <f aca="false">IF(AND(R735="WON",AS735=1,AR735=1),1,0)</f>
        <v>0</v>
      </c>
      <c r="AU735" s="1" t="n">
        <f aca="false">IF(B735="",0,IF(AD735="Alternative – zählt nicht",0,1))</f>
        <v>0</v>
      </c>
      <c r="AV735" s="1" t="n">
        <f aca="false">IF(B735="",0,IF(COUNTIF($B$6:$B$860,B735)&gt;1,1,0))</f>
        <v>0</v>
      </c>
      <c r="AX735" s="269" t="str">
        <f aca="false">IF(AY735=1,DATE(YEAR(O735),MONTH(O735),1),"")</f>
        <v/>
      </c>
      <c r="AY735" s="1" t="n">
        <f aca="false">IF(B735="",0,IF(AND(ISNUMBER(O735),ISNUMBER(P735)),IF(P735&gt;=O735,1,0),0))</f>
        <v>0</v>
      </c>
      <c r="AZ735" s="1" t="n">
        <f aca="false">IF(ISNUMBER(Y735),Y735,0)</f>
        <v>0</v>
      </c>
      <c r="BA735" s="1" t="str">
        <f aca="false">IF(B735="","",IF(AND(R735="WON",AS735=0),"⛔ Beleg fehlt · ","")&amp;IF(AND(R735="WON",AR735=0),"⛔ Einstand fehlt · ","")&amp;IF(AND(R735&lt;&gt;"WON",AR735=0),"○ Einstand offen · ","")&amp;IF(AND(R735="WON",AB735=""),"⛔ Vertragsart fehlt · ","")&amp;IF(AND(ISNUMBER(O735),ISNUMBER(P735)),IF(P735&lt;O735,"⚠ Ende vor Start · ",""),"")&amp;IF(AND(R735="WON",AY735=0,NOT(AND(ISNUMBER(O735),ISNUMBER(P735)))),"⛔ Zeitraum fehlt · ","")&amp;IF(AND(R735&lt;&gt;"WON",AY735=0,NOT(AND(ISNUMBER(O735),ISNUMBER(P735)))),"○ Zeitraum offen · ",""))</f>
        <v/>
      </c>
      <c r="BB735" s="1" t="str">
        <f aca="false">IF(B735="","",IF(AND(R735="WON",AS735=0),"⛔ Nachweis fehlt",IF(AND(ISNUMBER(O735),ISNUMBER(P735),P735&lt;O735),"⚠ Ende vor Start",IF(AND(R735="WON",AY735=0),"⛔ Zeitraum fehlt",IF(AR735=0,"○ Einstand offen",IF(AY735=0,"○ Zeitraum offen",IF(R735="WON","✅ belegt","✔ erfasst")))))))</f>
        <v/>
      </c>
    </row>
    <row r="736" customFormat="false" ht="15" hidden="false" customHeight="true" outlineLevel="0" collapsed="false">
      <c r="G736" s="1" t="str">
        <f aca="false">IF(B736="","",IF(AY736=1,P736-O736+1,IF(AW736="","",AW736)))</f>
        <v/>
      </c>
      <c r="I736" s="270"/>
      <c r="J736" s="270"/>
      <c r="K736" s="270"/>
      <c r="L736" s="270"/>
      <c r="M736" s="270"/>
      <c r="N736" s="270"/>
      <c r="O736" s="263"/>
      <c r="P736" s="263"/>
      <c r="Q736" s="270" t="str">
        <f aca="false">IF(AND(ISNUMBER(I736),ISNUMBER(S736)),I736*AJ736,IF(OR(I736&lt;&gt;"",S736&lt;&gt;""),"tbd",""))</f>
        <v/>
      </c>
      <c r="S736" s="268"/>
      <c r="Y736" s="275" t="str">
        <f aca="false">IF(ISNUMBER(I736),I736/Netto_Faktor,"")</f>
        <v/>
      </c>
      <c r="Z736" s="275" t="str">
        <f aca="false">IF(B736="","",IF(COUNT(J736:N736)=0,"",SUM(J736:N736)))</f>
        <v/>
      </c>
      <c r="AA736" s="266"/>
      <c r="AB736" s="266"/>
      <c r="AC736" s="266"/>
      <c r="AD736" s="266"/>
      <c r="AE736" s="266"/>
      <c r="AF736" s="266"/>
      <c r="AG736" s="267"/>
      <c r="AH736" s="266" t="str">
        <f aca="false">IF(B736="","",IF(BA736="",IF(R736="WON","✅ belegt &amp; vollständig","✔ vollständig"),LEFT(BA736,LEN(BA736)-3)))</f>
        <v/>
      </c>
      <c r="AJ736" s="268" t="n">
        <f aca="false">IF(ISNUMBER(S736),IFERROR(LOOKUP(IF(S736&lt;=1,S736,S736/100),'⚖️ Wahrscheinlichkeit'!$B$17:$B$21,'⚖️ Wahrscheinlichkeit'!$D$17:$D$21),0),0)</f>
        <v>0</v>
      </c>
      <c r="AK736" s="1" t="str">
        <f aca="false">IF(AND(R736="WON",ISNUMBER(I736)),AL736+(861-ROW())*0.000001,"")</f>
        <v/>
      </c>
      <c r="AL736" s="1" t="n">
        <f aca="false">IFERROR(I736*1,0)</f>
        <v>0</v>
      </c>
      <c r="AM736" s="1" t="n">
        <f aca="false">N(AM735)+IF(AND(R736="WON",B736&lt;&gt;""),1,0)</f>
        <v>12</v>
      </c>
      <c r="AN736" s="1" t="n">
        <f aca="false">N(AN735)+IF(AND(OR(R736="offered",R736="to be offered",R736="on hold"),B736&lt;&gt;""),1,0)</f>
        <v>33</v>
      </c>
      <c r="AO736" s="1" t="n">
        <f aca="false">N(AO735)+IF(AND(OR(R736="follow-up",R736="Evaluation",R736="tbd",R736="In evaluation"),B736&lt;&gt;""),1,0)</f>
        <v>1</v>
      </c>
      <c r="AP736" s="1" t="n">
        <f aca="false">IF(B736="",0,IF(COUNTIF('⚖️ Wahrscheinlichkeit'!$J$17:$J$24,R736)&gt;0,1,0))</f>
        <v>0</v>
      </c>
      <c r="AQ736" s="1" t="n">
        <f aca="false">IF(B736="",0,IF(AND(ISNUMBER(S736),COUNTIF('⚖️ Wahrscheinlichkeit'!$B$6:$B$11,S736)&gt;0),1,0))</f>
        <v>0</v>
      </c>
      <c r="AR736" s="1" t="n">
        <f aca="false">IF(B736="",0,IF(AND(COUNT(J736:M736)=4,SUM(J736:M736)&gt;0),1,0))</f>
        <v>0</v>
      </c>
      <c r="AS736" s="1" t="n">
        <f aca="false">IF(B736="",0,IF(AND(AF736&lt;&gt;"",AG736&lt;&gt;""),1,0))</f>
        <v>0</v>
      </c>
      <c r="AT736" s="1" t="n">
        <f aca="false">IF(AND(R736="WON",AS736=1,AR736=1),1,0)</f>
        <v>0</v>
      </c>
      <c r="AU736" s="1" t="n">
        <f aca="false">IF(B736="",0,IF(AD736="Alternative – zählt nicht",0,1))</f>
        <v>0</v>
      </c>
      <c r="AV736" s="1" t="n">
        <f aca="false">IF(B736="",0,IF(COUNTIF($B$6:$B$860,B736)&gt;1,1,0))</f>
        <v>0</v>
      </c>
      <c r="AX736" s="269" t="str">
        <f aca="false">IF(AY736=1,DATE(YEAR(O736),MONTH(O736),1),"")</f>
        <v/>
      </c>
      <c r="AY736" s="1" t="n">
        <f aca="false">IF(B736="",0,IF(AND(ISNUMBER(O736),ISNUMBER(P736)),IF(P736&gt;=O736,1,0),0))</f>
        <v>0</v>
      </c>
      <c r="AZ736" s="1" t="n">
        <f aca="false">IF(ISNUMBER(Y736),Y736,0)</f>
        <v>0</v>
      </c>
      <c r="BA736" s="1" t="str">
        <f aca="false">IF(B736="","",IF(AND(R736="WON",AS736=0),"⛔ Beleg fehlt · ","")&amp;IF(AND(R736="WON",AR736=0),"⛔ Einstand fehlt · ","")&amp;IF(AND(R736&lt;&gt;"WON",AR736=0),"○ Einstand offen · ","")&amp;IF(AND(R736="WON",AB736=""),"⛔ Vertragsart fehlt · ","")&amp;IF(AND(ISNUMBER(O736),ISNUMBER(P736)),IF(P736&lt;O736,"⚠ Ende vor Start · ",""),"")&amp;IF(AND(R736="WON",AY736=0,NOT(AND(ISNUMBER(O736),ISNUMBER(P736)))),"⛔ Zeitraum fehlt · ","")&amp;IF(AND(R736&lt;&gt;"WON",AY736=0,NOT(AND(ISNUMBER(O736),ISNUMBER(P736)))),"○ Zeitraum offen · ",""))</f>
        <v/>
      </c>
      <c r="BB736" s="1" t="str">
        <f aca="false">IF(B736="","",IF(AND(R736="WON",AS736=0),"⛔ Nachweis fehlt",IF(AND(ISNUMBER(O736),ISNUMBER(P736),P736&lt;O736),"⚠ Ende vor Start",IF(AND(R736="WON",AY736=0),"⛔ Zeitraum fehlt",IF(AR736=0,"○ Einstand offen",IF(AY736=0,"○ Zeitraum offen",IF(R736="WON","✅ belegt","✔ erfasst")))))))</f>
        <v/>
      </c>
    </row>
    <row r="737" customFormat="false" ht="15" hidden="false" customHeight="true" outlineLevel="0" collapsed="false">
      <c r="G737" s="1" t="str">
        <f aca="false">IF(B737="","",IF(AY737=1,P737-O737+1,IF(AW737="","",AW737)))</f>
        <v/>
      </c>
      <c r="I737" s="270"/>
      <c r="J737" s="270"/>
      <c r="K737" s="270"/>
      <c r="L737" s="270"/>
      <c r="M737" s="270"/>
      <c r="N737" s="270"/>
      <c r="O737" s="263"/>
      <c r="P737" s="263"/>
      <c r="Q737" s="270" t="str">
        <f aca="false">IF(AND(ISNUMBER(I737),ISNUMBER(S737)),I737*AJ737,IF(OR(I737&lt;&gt;"",S737&lt;&gt;""),"tbd",""))</f>
        <v/>
      </c>
      <c r="S737" s="268"/>
      <c r="Y737" s="275" t="str">
        <f aca="false">IF(ISNUMBER(I737),I737/Netto_Faktor,"")</f>
        <v/>
      </c>
      <c r="Z737" s="275" t="str">
        <f aca="false">IF(B737="","",IF(COUNT(J737:N737)=0,"",SUM(J737:N737)))</f>
        <v/>
      </c>
      <c r="AA737" s="266"/>
      <c r="AB737" s="266"/>
      <c r="AC737" s="266"/>
      <c r="AD737" s="266"/>
      <c r="AE737" s="266"/>
      <c r="AF737" s="266"/>
      <c r="AG737" s="267"/>
      <c r="AH737" s="266" t="str">
        <f aca="false">IF(B737="","",IF(BA737="",IF(R737="WON","✅ belegt &amp; vollständig","✔ vollständig"),LEFT(BA737,LEN(BA737)-3)))</f>
        <v/>
      </c>
      <c r="AJ737" s="268" t="n">
        <f aca="false">IF(ISNUMBER(S737),IFERROR(LOOKUP(IF(S737&lt;=1,S737,S737/100),'⚖️ Wahrscheinlichkeit'!$B$17:$B$21,'⚖️ Wahrscheinlichkeit'!$D$17:$D$21),0),0)</f>
        <v>0</v>
      </c>
      <c r="AK737" s="1" t="str">
        <f aca="false">IF(AND(R737="WON",ISNUMBER(I737)),AL737+(861-ROW())*0.000001,"")</f>
        <v/>
      </c>
      <c r="AL737" s="1" t="n">
        <f aca="false">IFERROR(I737*1,0)</f>
        <v>0</v>
      </c>
      <c r="AM737" s="1" t="n">
        <f aca="false">N(AM736)+IF(AND(R737="WON",B737&lt;&gt;""),1,0)</f>
        <v>12</v>
      </c>
      <c r="AN737" s="1" t="n">
        <f aca="false">N(AN736)+IF(AND(OR(R737="offered",R737="to be offered",R737="on hold"),B737&lt;&gt;""),1,0)</f>
        <v>33</v>
      </c>
      <c r="AO737" s="1" t="n">
        <f aca="false">N(AO736)+IF(AND(OR(R737="follow-up",R737="Evaluation",R737="tbd",R737="In evaluation"),B737&lt;&gt;""),1,0)</f>
        <v>1</v>
      </c>
      <c r="AP737" s="1" t="n">
        <f aca="false">IF(B737="",0,IF(COUNTIF('⚖️ Wahrscheinlichkeit'!$J$17:$J$24,R737)&gt;0,1,0))</f>
        <v>0</v>
      </c>
      <c r="AQ737" s="1" t="n">
        <f aca="false">IF(B737="",0,IF(AND(ISNUMBER(S737),COUNTIF('⚖️ Wahrscheinlichkeit'!$B$6:$B$11,S737)&gt;0),1,0))</f>
        <v>0</v>
      </c>
      <c r="AR737" s="1" t="n">
        <f aca="false">IF(B737="",0,IF(AND(COUNT(J737:M737)=4,SUM(J737:M737)&gt;0),1,0))</f>
        <v>0</v>
      </c>
      <c r="AS737" s="1" t="n">
        <f aca="false">IF(B737="",0,IF(AND(AF737&lt;&gt;"",AG737&lt;&gt;""),1,0))</f>
        <v>0</v>
      </c>
      <c r="AT737" s="1" t="n">
        <f aca="false">IF(AND(R737="WON",AS737=1,AR737=1),1,0)</f>
        <v>0</v>
      </c>
      <c r="AU737" s="1" t="n">
        <f aca="false">IF(B737="",0,IF(AD737="Alternative – zählt nicht",0,1))</f>
        <v>0</v>
      </c>
      <c r="AV737" s="1" t="n">
        <f aca="false">IF(B737="",0,IF(COUNTIF($B$6:$B$860,B737)&gt;1,1,0))</f>
        <v>0</v>
      </c>
      <c r="AX737" s="269" t="str">
        <f aca="false">IF(AY737=1,DATE(YEAR(O737),MONTH(O737),1),"")</f>
        <v/>
      </c>
      <c r="AY737" s="1" t="n">
        <f aca="false">IF(B737="",0,IF(AND(ISNUMBER(O737),ISNUMBER(P737)),IF(P737&gt;=O737,1,0),0))</f>
        <v>0</v>
      </c>
      <c r="AZ737" s="1" t="n">
        <f aca="false">IF(ISNUMBER(Y737),Y737,0)</f>
        <v>0</v>
      </c>
      <c r="BA737" s="1" t="str">
        <f aca="false">IF(B737="","",IF(AND(R737="WON",AS737=0),"⛔ Beleg fehlt · ","")&amp;IF(AND(R737="WON",AR737=0),"⛔ Einstand fehlt · ","")&amp;IF(AND(R737&lt;&gt;"WON",AR737=0),"○ Einstand offen · ","")&amp;IF(AND(R737="WON",AB737=""),"⛔ Vertragsart fehlt · ","")&amp;IF(AND(ISNUMBER(O737),ISNUMBER(P737)),IF(P737&lt;O737,"⚠ Ende vor Start · ",""),"")&amp;IF(AND(R737="WON",AY737=0,NOT(AND(ISNUMBER(O737),ISNUMBER(P737)))),"⛔ Zeitraum fehlt · ","")&amp;IF(AND(R737&lt;&gt;"WON",AY737=0,NOT(AND(ISNUMBER(O737),ISNUMBER(P737)))),"○ Zeitraum offen · ",""))</f>
        <v/>
      </c>
      <c r="BB737" s="1" t="str">
        <f aca="false">IF(B737="","",IF(AND(R737="WON",AS737=0),"⛔ Nachweis fehlt",IF(AND(ISNUMBER(O737),ISNUMBER(P737),P737&lt;O737),"⚠ Ende vor Start",IF(AND(R737="WON",AY737=0),"⛔ Zeitraum fehlt",IF(AR737=0,"○ Einstand offen",IF(AY737=0,"○ Zeitraum offen",IF(R737="WON","✅ belegt","✔ erfasst")))))))</f>
        <v/>
      </c>
    </row>
    <row r="738" customFormat="false" ht="15" hidden="false" customHeight="true" outlineLevel="0" collapsed="false">
      <c r="G738" s="1" t="str">
        <f aca="false">IF(B738="","",IF(AY738=1,P738-O738+1,IF(AW738="","",AW738)))</f>
        <v/>
      </c>
      <c r="I738" s="270"/>
      <c r="J738" s="270"/>
      <c r="K738" s="270"/>
      <c r="L738" s="270"/>
      <c r="M738" s="270"/>
      <c r="N738" s="270"/>
      <c r="O738" s="263"/>
      <c r="P738" s="263"/>
      <c r="Q738" s="270" t="str">
        <f aca="false">IF(AND(ISNUMBER(I738),ISNUMBER(S738)),I738*AJ738,IF(OR(I738&lt;&gt;"",S738&lt;&gt;""),"tbd",""))</f>
        <v/>
      </c>
      <c r="S738" s="268"/>
      <c r="Y738" s="275" t="str">
        <f aca="false">IF(ISNUMBER(I738),I738/Netto_Faktor,"")</f>
        <v/>
      </c>
      <c r="Z738" s="275" t="str">
        <f aca="false">IF(B738="","",IF(COUNT(J738:N738)=0,"",SUM(J738:N738)))</f>
        <v/>
      </c>
      <c r="AA738" s="266"/>
      <c r="AB738" s="266"/>
      <c r="AC738" s="266"/>
      <c r="AD738" s="266"/>
      <c r="AE738" s="266"/>
      <c r="AF738" s="266"/>
      <c r="AG738" s="267"/>
      <c r="AH738" s="266" t="str">
        <f aca="false">IF(B738="","",IF(BA738="",IF(R738="WON","✅ belegt &amp; vollständig","✔ vollständig"),LEFT(BA738,LEN(BA738)-3)))</f>
        <v/>
      </c>
      <c r="AJ738" s="268" t="n">
        <f aca="false">IF(ISNUMBER(S738),IFERROR(LOOKUP(IF(S738&lt;=1,S738,S738/100),'⚖️ Wahrscheinlichkeit'!$B$17:$B$21,'⚖️ Wahrscheinlichkeit'!$D$17:$D$21),0),0)</f>
        <v>0</v>
      </c>
      <c r="AK738" s="1" t="str">
        <f aca="false">IF(AND(R738="WON",ISNUMBER(I738)),AL738+(861-ROW())*0.000001,"")</f>
        <v/>
      </c>
      <c r="AL738" s="1" t="n">
        <f aca="false">IFERROR(I738*1,0)</f>
        <v>0</v>
      </c>
      <c r="AM738" s="1" t="n">
        <f aca="false">N(AM737)+IF(AND(R738="WON",B738&lt;&gt;""),1,0)</f>
        <v>12</v>
      </c>
      <c r="AN738" s="1" t="n">
        <f aca="false">N(AN737)+IF(AND(OR(R738="offered",R738="to be offered",R738="on hold"),B738&lt;&gt;""),1,0)</f>
        <v>33</v>
      </c>
      <c r="AO738" s="1" t="n">
        <f aca="false">N(AO737)+IF(AND(OR(R738="follow-up",R738="Evaluation",R738="tbd",R738="In evaluation"),B738&lt;&gt;""),1,0)</f>
        <v>1</v>
      </c>
      <c r="AP738" s="1" t="n">
        <f aca="false">IF(B738="",0,IF(COUNTIF('⚖️ Wahrscheinlichkeit'!$J$17:$J$24,R738)&gt;0,1,0))</f>
        <v>0</v>
      </c>
      <c r="AQ738" s="1" t="n">
        <f aca="false">IF(B738="",0,IF(AND(ISNUMBER(S738),COUNTIF('⚖️ Wahrscheinlichkeit'!$B$6:$B$11,S738)&gt;0),1,0))</f>
        <v>0</v>
      </c>
      <c r="AR738" s="1" t="n">
        <f aca="false">IF(B738="",0,IF(AND(COUNT(J738:M738)=4,SUM(J738:M738)&gt;0),1,0))</f>
        <v>0</v>
      </c>
      <c r="AS738" s="1" t="n">
        <f aca="false">IF(B738="",0,IF(AND(AF738&lt;&gt;"",AG738&lt;&gt;""),1,0))</f>
        <v>0</v>
      </c>
      <c r="AT738" s="1" t="n">
        <f aca="false">IF(AND(R738="WON",AS738=1,AR738=1),1,0)</f>
        <v>0</v>
      </c>
      <c r="AU738" s="1" t="n">
        <f aca="false">IF(B738="",0,IF(AD738="Alternative – zählt nicht",0,1))</f>
        <v>0</v>
      </c>
      <c r="AV738" s="1" t="n">
        <f aca="false">IF(B738="",0,IF(COUNTIF($B$6:$B$860,B738)&gt;1,1,0))</f>
        <v>0</v>
      </c>
      <c r="AX738" s="269" t="str">
        <f aca="false">IF(AY738=1,DATE(YEAR(O738),MONTH(O738),1),"")</f>
        <v/>
      </c>
      <c r="AY738" s="1" t="n">
        <f aca="false">IF(B738="",0,IF(AND(ISNUMBER(O738),ISNUMBER(P738)),IF(P738&gt;=O738,1,0),0))</f>
        <v>0</v>
      </c>
      <c r="AZ738" s="1" t="n">
        <f aca="false">IF(ISNUMBER(Y738),Y738,0)</f>
        <v>0</v>
      </c>
      <c r="BA738" s="1" t="str">
        <f aca="false">IF(B738="","",IF(AND(R738="WON",AS738=0),"⛔ Beleg fehlt · ","")&amp;IF(AND(R738="WON",AR738=0),"⛔ Einstand fehlt · ","")&amp;IF(AND(R738&lt;&gt;"WON",AR738=0),"○ Einstand offen · ","")&amp;IF(AND(R738="WON",AB738=""),"⛔ Vertragsart fehlt · ","")&amp;IF(AND(ISNUMBER(O738),ISNUMBER(P738)),IF(P738&lt;O738,"⚠ Ende vor Start · ",""),"")&amp;IF(AND(R738="WON",AY738=0,NOT(AND(ISNUMBER(O738),ISNUMBER(P738)))),"⛔ Zeitraum fehlt · ","")&amp;IF(AND(R738&lt;&gt;"WON",AY738=0,NOT(AND(ISNUMBER(O738),ISNUMBER(P738)))),"○ Zeitraum offen · ",""))</f>
        <v/>
      </c>
      <c r="BB738" s="1" t="str">
        <f aca="false">IF(B738="","",IF(AND(R738="WON",AS738=0),"⛔ Nachweis fehlt",IF(AND(ISNUMBER(O738),ISNUMBER(P738),P738&lt;O738),"⚠ Ende vor Start",IF(AND(R738="WON",AY738=0),"⛔ Zeitraum fehlt",IF(AR738=0,"○ Einstand offen",IF(AY738=0,"○ Zeitraum offen",IF(R738="WON","✅ belegt","✔ erfasst")))))))</f>
        <v/>
      </c>
    </row>
    <row r="739" customFormat="false" ht="15" hidden="false" customHeight="true" outlineLevel="0" collapsed="false">
      <c r="G739" s="1" t="str">
        <f aca="false">IF(B739="","",IF(AY739=1,P739-O739+1,IF(AW739="","",AW739)))</f>
        <v/>
      </c>
      <c r="I739" s="270"/>
      <c r="J739" s="270"/>
      <c r="K739" s="270"/>
      <c r="L739" s="270"/>
      <c r="M739" s="270"/>
      <c r="N739" s="270"/>
      <c r="O739" s="263"/>
      <c r="P739" s="263"/>
      <c r="Q739" s="270" t="str">
        <f aca="false">IF(AND(ISNUMBER(I739),ISNUMBER(S739)),I739*AJ739,IF(OR(I739&lt;&gt;"",S739&lt;&gt;""),"tbd",""))</f>
        <v/>
      </c>
      <c r="S739" s="268"/>
      <c r="Y739" s="275" t="str">
        <f aca="false">IF(ISNUMBER(I739),I739/Netto_Faktor,"")</f>
        <v/>
      </c>
      <c r="Z739" s="275" t="str">
        <f aca="false">IF(B739="","",IF(COUNT(J739:N739)=0,"",SUM(J739:N739)))</f>
        <v/>
      </c>
      <c r="AA739" s="266"/>
      <c r="AB739" s="266"/>
      <c r="AC739" s="266"/>
      <c r="AD739" s="266"/>
      <c r="AE739" s="266"/>
      <c r="AF739" s="266"/>
      <c r="AG739" s="267"/>
      <c r="AH739" s="266" t="str">
        <f aca="false">IF(B739="","",IF(BA739="",IF(R739="WON","✅ belegt &amp; vollständig","✔ vollständig"),LEFT(BA739,LEN(BA739)-3)))</f>
        <v/>
      </c>
      <c r="AJ739" s="268" t="n">
        <f aca="false">IF(ISNUMBER(S739),IFERROR(LOOKUP(IF(S739&lt;=1,S739,S739/100),'⚖️ Wahrscheinlichkeit'!$B$17:$B$21,'⚖️ Wahrscheinlichkeit'!$D$17:$D$21),0),0)</f>
        <v>0</v>
      </c>
      <c r="AK739" s="1" t="str">
        <f aca="false">IF(AND(R739="WON",ISNUMBER(I739)),AL739+(861-ROW())*0.000001,"")</f>
        <v/>
      </c>
      <c r="AL739" s="1" t="n">
        <f aca="false">IFERROR(I739*1,0)</f>
        <v>0</v>
      </c>
      <c r="AM739" s="1" t="n">
        <f aca="false">N(AM738)+IF(AND(R739="WON",B739&lt;&gt;""),1,0)</f>
        <v>12</v>
      </c>
      <c r="AN739" s="1" t="n">
        <f aca="false">N(AN738)+IF(AND(OR(R739="offered",R739="to be offered",R739="on hold"),B739&lt;&gt;""),1,0)</f>
        <v>33</v>
      </c>
      <c r="AO739" s="1" t="n">
        <f aca="false">N(AO738)+IF(AND(OR(R739="follow-up",R739="Evaluation",R739="tbd",R739="In evaluation"),B739&lt;&gt;""),1,0)</f>
        <v>1</v>
      </c>
      <c r="AP739" s="1" t="n">
        <f aca="false">IF(B739="",0,IF(COUNTIF('⚖️ Wahrscheinlichkeit'!$J$17:$J$24,R739)&gt;0,1,0))</f>
        <v>0</v>
      </c>
      <c r="AQ739" s="1" t="n">
        <f aca="false">IF(B739="",0,IF(AND(ISNUMBER(S739),COUNTIF('⚖️ Wahrscheinlichkeit'!$B$6:$B$11,S739)&gt;0),1,0))</f>
        <v>0</v>
      </c>
      <c r="AR739" s="1" t="n">
        <f aca="false">IF(B739="",0,IF(AND(COUNT(J739:M739)=4,SUM(J739:M739)&gt;0),1,0))</f>
        <v>0</v>
      </c>
      <c r="AS739" s="1" t="n">
        <f aca="false">IF(B739="",0,IF(AND(AF739&lt;&gt;"",AG739&lt;&gt;""),1,0))</f>
        <v>0</v>
      </c>
      <c r="AT739" s="1" t="n">
        <f aca="false">IF(AND(R739="WON",AS739=1,AR739=1),1,0)</f>
        <v>0</v>
      </c>
      <c r="AU739" s="1" t="n">
        <f aca="false">IF(B739="",0,IF(AD739="Alternative – zählt nicht",0,1))</f>
        <v>0</v>
      </c>
      <c r="AV739" s="1" t="n">
        <f aca="false">IF(B739="",0,IF(COUNTIF($B$6:$B$860,B739)&gt;1,1,0))</f>
        <v>0</v>
      </c>
      <c r="AX739" s="269" t="str">
        <f aca="false">IF(AY739=1,DATE(YEAR(O739),MONTH(O739),1),"")</f>
        <v/>
      </c>
      <c r="AY739" s="1" t="n">
        <f aca="false">IF(B739="",0,IF(AND(ISNUMBER(O739),ISNUMBER(P739)),IF(P739&gt;=O739,1,0),0))</f>
        <v>0</v>
      </c>
      <c r="AZ739" s="1" t="n">
        <f aca="false">IF(ISNUMBER(Y739),Y739,0)</f>
        <v>0</v>
      </c>
      <c r="BA739" s="1" t="str">
        <f aca="false">IF(B739="","",IF(AND(R739="WON",AS739=0),"⛔ Beleg fehlt · ","")&amp;IF(AND(R739="WON",AR739=0),"⛔ Einstand fehlt · ","")&amp;IF(AND(R739&lt;&gt;"WON",AR739=0),"○ Einstand offen · ","")&amp;IF(AND(R739="WON",AB739=""),"⛔ Vertragsart fehlt · ","")&amp;IF(AND(ISNUMBER(O739),ISNUMBER(P739)),IF(P739&lt;O739,"⚠ Ende vor Start · ",""),"")&amp;IF(AND(R739="WON",AY739=0,NOT(AND(ISNUMBER(O739),ISNUMBER(P739)))),"⛔ Zeitraum fehlt · ","")&amp;IF(AND(R739&lt;&gt;"WON",AY739=0,NOT(AND(ISNUMBER(O739),ISNUMBER(P739)))),"○ Zeitraum offen · ",""))</f>
        <v/>
      </c>
      <c r="BB739" s="1" t="str">
        <f aca="false">IF(B739="","",IF(AND(R739="WON",AS739=0),"⛔ Nachweis fehlt",IF(AND(ISNUMBER(O739),ISNUMBER(P739),P739&lt;O739),"⚠ Ende vor Start",IF(AND(R739="WON",AY739=0),"⛔ Zeitraum fehlt",IF(AR739=0,"○ Einstand offen",IF(AY739=0,"○ Zeitraum offen",IF(R739="WON","✅ belegt","✔ erfasst")))))))</f>
        <v/>
      </c>
    </row>
    <row r="740" customFormat="false" ht="15" hidden="false" customHeight="true" outlineLevel="0" collapsed="false">
      <c r="G740" s="1" t="str">
        <f aca="false">IF(B740="","",IF(AY740=1,P740-O740+1,IF(AW740="","",AW740)))</f>
        <v/>
      </c>
      <c r="I740" s="270"/>
      <c r="J740" s="270"/>
      <c r="K740" s="270"/>
      <c r="L740" s="270"/>
      <c r="M740" s="270"/>
      <c r="N740" s="270"/>
      <c r="O740" s="263"/>
      <c r="P740" s="263"/>
      <c r="Q740" s="270" t="str">
        <f aca="false">IF(AND(ISNUMBER(I740),ISNUMBER(S740)),I740*AJ740,IF(OR(I740&lt;&gt;"",S740&lt;&gt;""),"tbd",""))</f>
        <v/>
      </c>
      <c r="S740" s="268"/>
      <c r="Y740" s="275" t="str">
        <f aca="false">IF(ISNUMBER(I740),I740/Netto_Faktor,"")</f>
        <v/>
      </c>
      <c r="Z740" s="275" t="str">
        <f aca="false">IF(B740="","",IF(COUNT(J740:N740)=0,"",SUM(J740:N740)))</f>
        <v/>
      </c>
      <c r="AA740" s="266"/>
      <c r="AB740" s="266"/>
      <c r="AC740" s="266"/>
      <c r="AD740" s="266"/>
      <c r="AE740" s="266"/>
      <c r="AF740" s="266"/>
      <c r="AG740" s="267"/>
      <c r="AH740" s="266" t="str">
        <f aca="false">IF(B740="","",IF(BA740="",IF(R740="WON","✅ belegt &amp; vollständig","✔ vollständig"),LEFT(BA740,LEN(BA740)-3)))</f>
        <v/>
      </c>
      <c r="AJ740" s="268" t="n">
        <f aca="false">IF(ISNUMBER(S740),IFERROR(LOOKUP(IF(S740&lt;=1,S740,S740/100),'⚖️ Wahrscheinlichkeit'!$B$17:$B$21,'⚖️ Wahrscheinlichkeit'!$D$17:$D$21),0),0)</f>
        <v>0</v>
      </c>
      <c r="AK740" s="1" t="str">
        <f aca="false">IF(AND(R740="WON",ISNUMBER(I740)),AL740+(861-ROW())*0.000001,"")</f>
        <v/>
      </c>
      <c r="AL740" s="1" t="n">
        <f aca="false">IFERROR(I740*1,0)</f>
        <v>0</v>
      </c>
      <c r="AM740" s="1" t="n">
        <f aca="false">N(AM739)+IF(AND(R740="WON",B740&lt;&gt;""),1,0)</f>
        <v>12</v>
      </c>
      <c r="AN740" s="1" t="n">
        <f aca="false">N(AN739)+IF(AND(OR(R740="offered",R740="to be offered",R740="on hold"),B740&lt;&gt;""),1,0)</f>
        <v>33</v>
      </c>
      <c r="AO740" s="1" t="n">
        <f aca="false">N(AO739)+IF(AND(OR(R740="follow-up",R740="Evaluation",R740="tbd",R740="In evaluation"),B740&lt;&gt;""),1,0)</f>
        <v>1</v>
      </c>
      <c r="AP740" s="1" t="n">
        <f aca="false">IF(B740="",0,IF(COUNTIF('⚖️ Wahrscheinlichkeit'!$J$17:$J$24,R740)&gt;0,1,0))</f>
        <v>0</v>
      </c>
      <c r="AQ740" s="1" t="n">
        <f aca="false">IF(B740="",0,IF(AND(ISNUMBER(S740),COUNTIF('⚖️ Wahrscheinlichkeit'!$B$6:$B$11,S740)&gt;0),1,0))</f>
        <v>0</v>
      </c>
      <c r="AR740" s="1" t="n">
        <f aca="false">IF(B740="",0,IF(AND(COUNT(J740:M740)=4,SUM(J740:M740)&gt;0),1,0))</f>
        <v>0</v>
      </c>
      <c r="AS740" s="1" t="n">
        <f aca="false">IF(B740="",0,IF(AND(AF740&lt;&gt;"",AG740&lt;&gt;""),1,0))</f>
        <v>0</v>
      </c>
      <c r="AT740" s="1" t="n">
        <f aca="false">IF(AND(R740="WON",AS740=1,AR740=1),1,0)</f>
        <v>0</v>
      </c>
      <c r="AU740" s="1" t="n">
        <f aca="false">IF(B740="",0,IF(AD740="Alternative – zählt nicht",0,1))</f>
        <v>0</v>
      </c>
      <c r="AV740" s="1" t="n">
        <f aca="false">IF(B740="",0,IF(COUNTIF($B$6:$B$860,B740)&gt;1,1,0))</f>
        <v>0</v>
      </c>
      <c r="AX740" s="269" t="str">
        <f aca="false">IF(AY740=1,DATE(YEAR(O740),MONTH(O740),1),"")</f>
        <v/>
      </c>
      <c r="AY740" s="1" t="n">
        <f aca="false">IF(B740="",0,IF(AND(ISNUMBER(O740),ISNUMBER(P740)),IF(P740&gt;=O740,1,0),0))</f>
        <v>0</v>
      </c>
      <c r="AZ740" s="1" t="n">
        <f aca="false">IF(ISNUMBER(Y740),Y740,0)</f>
        <v>0</v>
      </c>
      <c r="BA740" s="1" t="str">
        <f aca="false">IF(B740="","",IF(AND(R740="WON",AS740=0),"⛔ Beleg fehlt · ","")&amp;IF(AND(R740="WON",AR740=0),"⛔ Einstand fehlt · ","")&amp;IF(AND(R740&lt;&gt;"WON",AR740=0),"○ Einstand offen · ","")&amp;IF(AND(R740="WON",AB740=""),"⛔ Vertragsart fehlt · ","")&amp;IF(AND(ISNUMBER(O740),ISNUMBER(P740)),IF(P740&lt;O740,"⚠ Ende vor Start · ",""),"")&amp;IF(AND(R740="WON",AY740=0,NOT(AND(ISNUMBER(O740),ISNUMBER(P740)))),"⛔ Zeitraum fehlt · ","")&amp;IF(AND(R740&lt;&gt;"WON",AY740=0,NOT(AND(ISNUMBER(O740),ISNUMBER(P740)))),"○ Zeitraum offen · ",""))</f>
        <v/>
      </c>
      <c r="BB740" s="1" t="str">
        <f aca="false">IF(B740="","",IF(AND(R740="WON",AS740=0),"⛔ Nachweis fehlt",IF(AND(ISNUMBER(O740),ISNUMBER(P740),P740&lt;O740),"⚠ Ende vor Start",IF(AND(R740="WON",AY740=0),"⛔ Zeitraum fehlt",IF(AR740=0,"○ Einstand offen",IF(AY740=0,"○ Zeitraum offen",IF(R740="WON","✅ belegt","✔ erfasst")))))))</f>
        <v/>
      </c>
    </row>
    <row r="741" customFormat="false" ht="15" hidden="false" customHeight="true" outlineLevel="0" collapsed="false">
      <c r="G741" s="1" t="str">
        <f aca="false">IF(B741="","",IF(AY741=1,P741-O741+1,IF(AW741="","",AW741)))</f>
        <v/>
      </c>
      <c r="I741" s="270"/>
      <c r="J741" s="270"/>
      <c r="K741" s="270"/>
      <c r="L741" s="270"/>
      <c r="M741" s="270"/>
      <c r="N741" s="270"/>
      <c r="O741" s="263"/>
      <c r="P741" s="263"/>
      <c r="Q741" s="270" t="str">
        <f aca="false">IF(AND(ISNUMBER(I741),ISNUMBER(S741)),I741*AJ741,IF(OR(I741&lt;&gt;"",S741&lt;&gt;""),"tbd",""))</f>
        <v/>
      </c>
      <c r="S741" s="268"/>
      <c r="Y741" s="275" t="str">
        <f aca="false">IF(ISNUMBER(I741),I741/Netto_Faktor,"")</f>
        <v/>
      </c>
      <c r="Z741" s="275" t="str">
        <f aca="false">IF(B741="","",IF(COUNT(J741:N741)=0,"",SUM(J741:N741)))</f>
        <v/>
      </c>
      <c r="AA741" s="266"/>
      <c r="AB741" s="266"/>
      <c r="AC741" s="266"/>
      <c r="AD741" s="266"/>
      <c r="AE741" s="266"/>
      <c r="AF741" s="266"/>
      <c r="AG741" s="267"/>
      <c r="AH741" s="266" t="str">
        <f aca="false">IF(B741="","",IF(BA741="",IF(R741="WON","✅ belegt &amp; vollständig","✔ vollständig"),LEFT(BA741,LEN(BA741)-3)))</f>
        <v/>
      </c>
      <c r="AJ741" s="268" t="n">
        <f aca="false">IF(ISNUMBER(S741),IFERROR(LOOKUP(IF(S741&lt;=1,S741,S741/100),'⚖️ Wahrscheinlichkeit'!$B$17:$B$21,'⚖️ Wahrscheinlichkeit'!$D$17:$D$21),0),0)</f>
        <v>0</v>
      </c>
      <c r="AK741" s="1" t="str">
        <f aca="false">IF(AND(R741="WON",ISNUMBER(I741)),AL741+(861-ROW())*0.000001,"")</f>
        <v/>
      </c>
      <c r="AL741" s="1" t="n">
        <f aca="false">IFERROR(I741*1,0)</f>
        <v>0</v>
      </c>
      <c r="AM741" s="1" t="n">
        <f aca="false">N(AM740)+IF(AND(R741="WON",B741&lt;&gt;""),1,0)</f>
        <v>12</v>
      </c>
      <c r="AN741" s="1" t="n">
        <f aca="false">N(AN740)+IF(AND(OR(R741="offered",R741="to be offered",R741="on hold"),B741&lt;&gt;""),1,0)</f>
        <v>33</v>
      </c>
      <c r="AO741" s="1" t="n">
        <f aca="false">N(AO740)+IF(AND(OR(R741="follow-up",R741="Evaluation",R741="tbd",R741="In evaluation"),B741&lt;&gt;""),1,0)</f>
        <v>1</v>
      </c>
      <c r="AP741" s="1" t="n">
        <f aca="false">IF(B741="",0,IF(COUNTIF('⚖️ Wahrscheinlichkeit'!$J$17:$J$24,R741)&gt;0,1,0))</f>
        <v>0</v>
      </c>
      <c r="AQ741" s="1" t="n">
        <f aca="false">IF(B741="",0,IF(AND(ISNUMBER(S741),COUNTIF('⚖️ Wahrscheinlichkeit'!$B$6:$B$11,S741)&gt;0),1,0))</f>
        <v>0</v>
      </c>
      <c r="AR741" s="1" t="n">
        <f aca="false">IF(B741="",0,IF(AND(COUNT(J741:M741)=4,SUM(J741:M741)&gt;0),1,0))</f>
        <v>0</v>
      </c>
      <c r="AS741" s="1" t="n">
        <f aca="false">IF(B741="",0,IF(AND(AF741&lt;&gt;"",AG741&lt;&gt;""),1,0))</f>
        <v>0</v>
      </c>
      <c r="AT741" s="1" t="n">
        <f aca="false">IF(AND(R741="WON",AS741=1,AR741=1),1,0)</f>
        <v>0</v>
      </c>
      <c r="AU741" s="1" t="n">
        <f aca="false">IF(B741="",0,IF(AD741="Alternative – zählt nicht",0,1))</f>
        <v>0</v>
      </c>
      <c r="AV741" s="1" t="n">
        <f aca="false">IF(B741="",0,IF(COUNTIF($B$6:$B$860,B741)&gt;1,1,0))</f>
        <v>0</v>
      </c>
      <c r="AX741" s="269" t="str">
        <f aca="false">IF(AY741=1,DATE(YEAR(O741),MONTH(O741),1),"")</f>
        <v/>
      </c>
      <c r="AY741" s="1" t="n">
        <f aca="false">IF(B741="",0,IF(AND(ISNUMBER(O741),ISNUMBER(P741)),IF(P741&gt;=O741,1,0),0))</f>
        <v>0</v>
      </c>
      <c r="AZ741" s="1" t="n">
        <f aca="false">IF(ISNUMBER(Y741),Y741,0)</f>
        <v>0</v>
      </c>
      <c r="BA741" s="1" t="str">
        <f aca="false">IF(B741="","",IF(AND(R741="WON",AS741=0),"⛔ Beleg fehlt · ","")&amp;IF(AND(R741="WON",AR741=0),"⛔ Einstand fehlt · ","")&amp;IF(AND(R741&lt;&gt;"WON",AR741=0),"○ Einstand offen · ","")&amp;IF(AND(R741="WON",AB741=""),"⛔ Vertragsart fehlt · ","")&amp;IF(AND(ISNUMBER(O741),ISNUMBER(P741)),IF(P741&lt;O741,"⚠ Ende vor Start · ",""),"")&amp;IF(AND(R741="WON",AY741=0,NOT(AND(ISNUMBER(O741),ISNUMBER(P741)))),"⛔ Zeitraum fehlt · ","")&amp;IF(AND(R741&lt;&gt;"WON",AY741=0,NOT(AND(ISNUMBER(O741),ISNUMBER(P741)))),"○ Zeitraum offen · ",""))</f>
        <v/>
      </c>
      <c r="BB741" s="1" t="str">
        <f aca="false">IF(B741="","",IF(AND(R741="WON",AS741=0),"⛔ Nachweis fehlt",IF(AND(ISNUMBER(O741),ISNUMBER(P741),P741&lt;O741),"⚠ Ende vor Start",IF(AND(R741="WON",AY741=0),"⛔ Zeitraum fehlt",IF(AR741=0,"○ Einstand offen",IF(AY741=0,"○ Zeitraum offen",IF(R741="WON","✅ belegt","✔ erfasst")))))))</f>
        <v/>
      </c>
    </row>
    <row r="742" customFormat="false" ht="15" hidden="false" customHeight="true" outlineLevel="0" collapsed="false">
      <c r="G742" s="1" t="str">
        <f aca="false">IF(B742="","",IF(AY742=1,P742-O742+1,IF(AW742="","",AW742)))</f>
        <v/>
      </c>
      <c r="I742" s="270"/>
      <c r="J742" s="270"/>
      <c r="K742" s="270"/>
      <c r="L742" s="270"/>
      <c r="M742" s="270"/>
      <c r="N742" s="270"/>
      <c r="O742" s="263"/>
      <c r="P742" s="263"/>
      <c r="Q742" s="270" t="str">
        <f aca="false">IF(AND(ISNUMBER(I742),ISNUMBER(S742)),I742*AJ742,IF(OR(I742&lt;&gt;"",S742&lt;&gt;""),"tbd",""))</f>
        <v/>
      </c>
      <c r="S742" s="268"/>
      <c r="Y742" s="275" t="str">
        <f aca="false">IF(ISNUMBER(I742),I742/Netto_Faktor,"")</f>
        <v/>
      </c>
      <c r="Z742" s="275" t="str">
        <f aca="false">IF(B742="","",IF(COUNT(J742:N742)=0,"",SUM(J742:N742)))</f>
        <v/>
      </c>
      <c r="AA742" s="266"/>
      <c r="AB742" s="266"/>
      <c r="AC742" s="266"/>
      <c r="AD742" s="266"/>
      <c r="AE742" s="266"/>
      <c r="AF742" s="266"/>
      <c r="AG742" s="267"/>
      <c r="AH742" s="266" t="str">
        <f aca="false">IF(B742="","",IF(BA742="",IF(R742="WON","✅ belegt &amp; vollständig","✔ vollständig"),LEFT(BA742,LEN(BA742)-3)))</f>
        <v/>
      </c>
      <c r="AJ742" s="268" t="n">
        <f aca="false">IF(ISNUMBER(S742),IFERROR(LOOKUP(IF(S742&lt;=1,S742,S742/100),'⚖️ Wahrscheinlichkeit'!$B$17:$B$21,'⚖️ Wahrscheinlichkeit'!$D$17:$D$21),0),0)</f>
        <v>0</v>
      </c>
      <c r="AK742" s="1" t="str">
        <f aca="false">IF(AND(R742="WON",ISNUMBER(I742)),AL742+(861-ROW())*0.000001,"")</f>
        <v/>
      </c>
      <c r="AL742" s="1" t="n">
        <f aca="false">IFERROR(I742*1,0)</f>
        <v>0</v>
      </c>
      <c r="AM742" s="1" t="n">
        <f aca="false">N(AM741)+IF(AND(R742="WON",B742&lt;&gt;""),1,0)</f>
        <v>12</v>
      </c>
      <c r="AN742" s="1" t="n">
        <f aca="false">N(AN741)+IF(AND(OR(R742="offered",R742="to be offered",R742="on hold"),B742&lt;&gt;""),1,0)</f>
        <v>33</v>
      </c>
      <c r="AO742" s="1" t="n">
        <f aca="false">N(AO741)+IF(AND(OR(R742="follow-up",R742="Evaluation",R742="tbd",R742="In evaluation"),B742&lt;&gt;""),1,0)</f>
        <v>1</v>
      </c>
      <c r="AP742" s="1" t="n">
        <f aca="false">IF(B742="",0,IF(COUNTIF('⚖️ Wahrscheinlichkeit'!$J$17:$J$24,R742)&gt;0,1,0))</f>
        <v>0</v>
      </c>
      <c r="AQ742" s="1" t="n">
        <f aca="false">IF(B742="",0,IF(AND(ISNUMBER(S742),COUNTIF('⚖️ Wahrscheinlichkeit'!$B$6:$B$11,S742)&gt;0),1,0))</f>
        <v>0</v>
      </c>
      <c r="AR742" s="1" t="n">
        <f aca="false">IF(B742="",0,IF(AND(COUNT(J742:M742)=4,SUM(J742:M742)&gt;0),1,0))</f>
        <v>0</v>
      </c>
      <c r="AS742" s="1" t="n">
        <f aca="false">IF(B742="",0,IF(AND(AF742&lt;&gt;"",AG742&lt;&gt;""),1,0))</f>
        <v>0</v>
      </c>
      <c r="AT742" s="1" t="n">
        <f aca="false">IF(AND(R742="WON",AS742=1,AR742=1),1,0)</f>
        <v>0</v>
      </c>
      <c r="AU742" s="1" t="n">
        <f aca="false">IF(B742="",0,IF(AD742="Alternative – zählt nicht",0,1))</f>
        <v>0</v>
      </c>
      <c r="AV742" s="1" t="n">
        <f aca="false">IF(B742="",0,IF(COUNTIF($B$6:$B$860,B742)&gt;1,1,0))</f>
        <v>0</v>
      </c>
      <c r="AX742" s="269" t="str">
        <f aca="false">IF(AY742=1,DATE(YEAR(O742),MONTH(O742),1),"")</f>
        <v/>
      </c>
      <c r="AY742" s="1" t="n">
        <f aca="false">IF(B742="",0,IF(AND(ISNUMBER(O742),ISNUMBER(P742)),IF(P742&gt;=O742,1,0),0))</f>
        <v>0</v>
      </c>
      <c r="AZ742" s="1" t="n">
        <f aca="false">IF(ISNUMBER(Y742),Y742,0)</f>
        <v>0</v>
      </c>
      <c r="BA742" s="1" t="str">
        <f aca="false">IF(B742="","",IF(AND(R742="WON",AS742=0),"⛔ Beleg fehlt · ","")&amp;IF(AND(R742="WON",AR742=0),"⛔ Einstand fehlt · ","")&amp;IF(AND(R742&lt;&gt;"WON",AR742=0),"○ Einstand offen · ","")&amp;IF(AND(R742="WON",AB742=""),"⛔ Vertragsart fehlt · ","")&amp;IF(AND(ISNUMBER(O742),ISNUMBER(P742)),IF(P742&lt;O742,"⚠ Ende vor Start · ",""),"")&amp;IF(AND(R742="WON",AY742=0,NOT(AND(ISNUMBER(O742),ISNUMBER(P742)))),"⛔ Zeitraum fehlt · ","")&amp;IF(AND(R742&lt;&gt;"WON",AY742=0,NOT(AND(ISNUMBER(O742),ISNUMBER(P742)))),"○ Zeitraum offen · ",""))</f>
        <v/>
      </c>
      <c r="BB742" s="1" t="str">
        <f aca="false">IF(B742="","",IF(AND(R742="WON",AS742=0),"⛔ Nachweis fehlt",IF(AND(ISNUMBER(O742),ISNUMBER(P742),P742&lt;O742),"⚠ Ende vor Start",IF(AND(R742="WON",AY742=0),"⛔ Zeitraum fehlt",IF(AR742=0,"○ Einstand offen",IF(AY742=0,"○ Zeitraum offen",IF(R742="WON","✅ belegt","✔ erfasst")))))))</f>
        <v/>
      </c>
    </row>
    <row r="743" customFormat="false" ht="15" hidden="false" customHeight="true" outlineLevel="0" collapsed="false">
      <c r="G743" s="1" t="str">
        <f aca="false">IF(B743="","",IF(AY743=1,P743-O743+1,IF(AW743="","",AW743)))</f>
        <v/>
      </c>
      <c r="I743" s="270"/>
      <c r="J743" s="270"/>
      <c r="K743" s="270"/>
      <c r="L743" s="270"/>
      <c r="M743" s="270"/>
      <c r="N743" s="270"/>
      <c r="O743" s="263"/>
      <c r="P743" s="263"/>
      <c r="Q743" s="270" t="str">
        <f aca="false">IF(AND(ISNUMBER(I743),ISNUMBER(S743)),I743*AJ743,IF(OR(I743&lt;&gt;"",S743&lt;&gt;""),"tbd",""))</f>
        <v/>
      </c>
      <c r="S743" s="268"/>
      <c r="Y743" s="275" t="str">
        <f aca="false">IF(ISNUMBER(I743),I743/Netto_Faktor,"")</f>
        <v/>
      </c>
      <c r="Z743" s="275" t="str">
        <f aca="false">IF(B743="","",IF(COUNT(J743:N743)=0,"",SUM(J743:N743)))</f>
        <v/>
      </c>
      <c r="AA743" s="266"/>
      <c r="AB743" s="266"/>
      <c r="AC743" s="266"/>
      <c r="AD743" s="266"/>
      <c r="AE743" s="266"/>
      <c r="AF743" s="266"/>
      <c r="AG743" s="267"/>
      <c r="AH743" s="266" t="str">
        <f aca="false">IF(B743="","",IF(BA743="",IF(R743="WON","✅ belegt &amp; vollständig","✔ vollständig"),LEFT(BA743,LEN(BA743)-3)))</f>
        <v/>
      </c>
      <c r="AJ743" s="268" t="n">
        <f aca="false">IF(ISNUMBER(S743),IFERROR(LOOKUP(IF(S743&lt;=1,S743,S743/100),'⚖️ Wahrscheinlichkeit'!$B$17:$B$21,'⚖️ Wahrscheinlichkeit'!$D$17:$D$21),0),0)</f>
        <v>0</v>
      </c>
      <c r="AK743" s="1" t="str">
        <f aca="false">IF(AND(R743="WON",ISNUMBER(I743)),AL743+(861-ROW())*0.000001,"")</f>
        <v/>
      </c>
      <c r="AL743" s="1" t="n">
        <f aca="false">IFERROR(I743*1,0)</f>
        <v>0</v>
      </c>
      <c r="AM743" s="1" t="n">
        <f aca="false">N(AM742)+IF(AND(R743="WON",B743&lt;&gt;""),1,0)</f>
        <v>12</v>
      </c>
      <c r="AN743" s="1" t="n">
        <f aca="false">N(AN742)+IF(AND(OR(R743="offered",R743="to be offered",R743="on hold"),B743&lt;&gt;""),1,0)</f>
        <v>33</v>
      </c>
      <c r="AO743" s="1" t="n">
        <f aca="false">N(AO742)+IF(AND(OR(R743="follow-up",R743="Evaluation",R743="tbd",R743="In evaluation"),B743&lt;&gt;""),1,0)</f>
        <v>1</v>
      </c>
      <c r="AP743" s="1" t="n">
        <f aca="false">IF(B743="",0,IF(COUNTIF('⚖️ Wahrscheinlichkeit'!$J$17:$J$24,R743)&gt;0,1,0))</f>
        <v>0</v>
      </c>
      <c r="AQ743" s="1" t="n">
        <f aca="false">IF(B743="",0,IF(AND(ISNUMBER(S743),COUNTIF('⚖️ Wahrscheinlichkeit'!$B$6:$B$11,S743)&gt;0),1,0))</f>
        <v>0</v>
      </c>
      <c r="AR743" s="1" t="n">
        <f aca="false">IF(B743="",0,IF(AND(COUNT(J743:M743)=4,SUM(J743:M743)&gt;0),1,0))</f>
        <v>0</v>
      </c>
      <c r="AS743" s="1" t="n">
        <f aca="false">IF(B743="",0,IF(AND(AF743&lt;&gt;"",AG743&lt;&gt;""),1,0))</f>
        <v>0</v>
      </c>
      <c r="AT743" s="1" t="n">
        <f aca="false">IF(AND(R743="WON",AS743=1,AR743=1),1,0)</f>
        <v>0</v>
      </c>
      <c r="AU743" s="1" t="n">
        <f aca="false">IF(B743="",0,IF(AD743="Alternative – zählt nicht",0,1))</f>
        <v>0</v>
      </c>
      <c r="AV743" s="1" t="n">
        <f aca="false">IF(B743="",0,IF(COUNTIF($B$6:$B$860,B743)&gt;1,1,0))</f>
        <v>0</v>
      </c>
      <c r="AX743" s="269" t="str">
        <f aca="false">IF(AY743=1,DATE(YEAR(O743),MONTH(O743),1),"")</f>
        <v/>
      </c>
      <c r="AY743" s="1" t="n">
        <f aca="false">IF(B743="",0,IF(AND(ISNUMBER(O743),ISNUMBER(P743)),IF(P743&gt;=O743,1,0),0))</f>
        <v>0</v>
      </c>
      <c r="AZ743" s="1" t="n">
        <f aca="false">IF(ISNUMBER(Y743),Y743,0)</f>
        <v>0</v>
      </c>
      <c r="BA743" s="1" t="str">
        <f aca="false">IF(B743="","",IF(AND(R743="WON",AS743=0),"⛔ Beleg fehlt · ","")&amp;IF(AND(R743="WON",AR743=0),"⛔ Einstand fehlt · ","")&amp;IF(AND(R743&lt;&gt;"WON",AR743=0),"○ Einstand offen · ","")&amp;IF(AND(R743="WON",AB743=""),"⛔ Vertragsart fehlt · ","")&amp;IF(AND(ISNUMBER(O743),ISNUMBER(P743)),IF(P743&lt;O743,"⚠ Ende vor Start · ",""),"")&amp;IF(AND(R743="WON",AY743=0,NOT(AND(ISNUMBER(O743),ISNUMBER(P743)))),"⛔ Zeitraum fehlt · ","")&amp;IF(AND(R743&lt;&gt;"WON",AY743=0,NOT(AND(ISNUMBER(O743),ISNUMBER(P743)))),"○ Zeitraum offen · ",""))</f>
        <v/>
      </c>
      <c r="BB743" s="1" t="str">
        <f aca="false">IF(B743="","",IF(AND(R743="WON",AS743=0),"⛔ Nachweis fehlt",IF(AND(ISNUMBER(O743),ISNUMBER(P743),P743&lt;O743),"⚠ Ende vor Start",IF(AND(R743="WON",AY743=0),"⛔ Zeitraum fehlt",IF(AR743=0,"○ Einstand offen",IF(AY743=0,"○ Zeitraum offen",IF(R743="WON","✅ belegt","✔ erfasst")))))))</f>
        <v/>
      </c>
    </row>
    <row r="744" customFormat="false" ht="15" hidden="false" customHeight="true" outlineLevel="0" collapsed="false">
      <c r="G744" s="1" t="str">
        <f aca="false">IF(B744="","",IF(AY744=1,P744-O744+1,IF(AW744="","",AW744)))</f>
        <v/>
      </c>
      <c r="I744" s="270"/>
      <c r="J744" s="270"/>
      <c r="K744" s="270"/>
      <c r="L744" s="270"/>
      <c r="M744" s="270"/>
      <c r="N744" s="270"/>
      <c r="O744" s="263"/>
      <c r="P744" s="263"/>
      <c r="Q744" s="270" t="str">
        <f aca="false">IF(AND(ISNUMBER(I744),ISNUMBER(S744)),I744*AJ744,IF(OR(I744&lt;&gt;"",S744&lt;&gt;""),"tbd",""))</f>
        <v/>
      </c>
      <c r="S744" s="268"/>
      <c r="Y744" s="275" t="str">
        <f aca="false">IF(ISNUMBER(I744),I744/Netto_Faktor,"")</f>
        <v/>
      </c>
      <c r="Z744" s="275" t="str">
        <f aca="false">IF(B744="","",IF(COUNT(J744:N744)=0,"",SUM(J744:N744)))</f>
        <v/>
      </c>
      <c r="AA744" s="266"/>
      <c r="AB744" s="266"/>
      <c r="AC744" s="266"/>
      <c r="AD744" s="266"/>
      <c r="AE744" s="266"/>
      <c r="AF744" s="266"/>
      <c r="AG744" s="267"/>
      <c r="AH744" s="266" t="str">
        <f aca="false">IF(B744="","",IF(BA744="",IF(R744="WON","✅ belegt &amp; vollständig","✔ vollständig"),LEFT(BA744,LEN(BA744)-3)))</f>
        <v/>
      </c>
      <c r="AJ744" s="268" t="n">
        <f aca="false">IF(ISNUMBER(S744),IFERROR(LOOKUP(IF(S744&lt;=1,S744,S744/100),'⚖️ Wahrscheinlichkeit'!$B$17:$B$21,'⚖️ Wahrscheinlichkeit'!$D$17:$D$21),0),0)</f>
        <v>0</v>
      </c>
      <c r="AK744" s="1" t="str">
        <f aca="false">IF(AND(R744="WON",ISNUMBER(I744)),AL744+(861-ROW())*0.000001,"")</f>
        <v/>
      </c>
      <c r="AL744" s="1" t="n">
        <f aca="false">IFERROR(I744*1,0)</f>
        <v>0</v>
      </c>
      <c r="AM744" s="1" t="n">
        <f aca="false">N(AM743)+IF(AND(R744="WON",B744&lt;&gt;""),1,0)</f>
        <v>12</v>
      </c>
      <c r="AN744" s="1" t="n">
        <f aca="false">N(AN743)+IF(AND(OR(R744="offered",R744="to be offered",R744="on hold"),B744&lt;&gt;""),1,0)</f>
        <v>33</v>
      </c>
      <c r="AO744" s="1" t="n">
        <f aca="false">N(AO743)+IF(AND(OR(R744="follow-up",R744="Evaluation",R744="tbd",R744="In evaluation"),B744&lt;&gt;""),1,0)</f>
        <v>1</v>
      </c>
      <c r="AP744" s="1" t="n">
        <f aca="false">IF(B744="",0,IF(COUNTIF('⚖️ Wahrscheinlichkeit'!$J$17:$J$24,R744)&gt;0,1,0))</f>
        <v>0</v>
      </c>
      <c r="AQ744" s="1" t="n">
        <f aca="false">IF(B744="",0,IF(AND(ISNUMBER(S744),COUNTIF('⚖️ Wahrscheinlichkeit'!$B$6:$B$11,S744)&gt;0),1,0))</f>
        <v>0</v>
      </c>
      <c r="AR744" s="1" t="n">
        <f aca="false">IF(B744="",0,IF(AND(COUNT(J744:M744)=4,SUM(J744:M744)&gt;0),1,0))</f>
        <v>0</v>
      </c>
      <c r="AS744" s="1" t="n">
        <f aca="false">IF(B744="",0,IF(AND(AF744&lt;&gt;"",AG744&lt;&gt;""),1,0))</f>
        <v>0</v>
      </c>
      <c r="AT744" s="1" t="n">
        <f aca="false">IF(AND(R744="WON",AS744=1,AR744=1),1,0)</f>
        <v>0</v>
      </c>
      <c r="AU744" s="1" t="n">
        <f aca="false">IF(B744="",0,IF(AD744="Alternative – zählt nicht",0,1))</f>
        <v>0</v>
      </c>
      <c r="AV744" s="1" t="n">
        <f aca="false">IF(B744="",0,IF(COUNTIF($B$6:$B$860,B744)&gt;1,1,0))</f>
        <v>0</v>
      </c>
      <c r="AX744" s="269" t="str">
        <f aca="false">IF(AY744=1,DATE(YEAR(O744),MONTH(O744),1),"")</f>
        <v/>
      </c>
      <c r="AY744" s="1" t="n">
        <f aca="false">IF(B744="",0,IF(AND(ISNUMBER(O744),ISNUMBER(P744)),IF(P744&gt;=O744,1,0),0))</f>
        <v>0</v>
      </c>
      <c r="AZ744" s="1" t="n">
        <f aca="false">IF(ISNUMBER(Y744),Y744,0)</f>
        <v>0</v>
      </c>
      <c r="BA744" s="1" t="str">
        <f aca="false">IF(B744="","",IF(AND(R744="WON",AS744=0),"⛔ Beleg fehlt · ","")&amp;IF(AND(R744="WON",AR744=0),"⛔ Einstand fehlt · ","")&amp;IF(AND(R744&lt;&gt;"WON",AR744=0),"○ Einstand offen · ","")&amp;IF(AND(R744="WON",AB744=""),"⛔ Vertragsart fehlt · ","")&amp;IF(AND(ISNUMBER(O744),ISNUMBER(P744)),IF(P744&lt;O744,"⚠ Ende vor Start · ",""),"")&amp;IF(AND(R744="WON",AY744=0,NOT(AND(ISNUMBER(O744),ISNUMBER(P744)))),"⛔ Zeitraum fehlt · ","")&amp;IF(AND(R744&lt;&gt;"WON",AY744=0,NOT(AND(ISNUMBER(O744),ISNUMBER(P744)))),"○ Zeitraum offen · ",""))</f>
        <v/>
      </c>
      <c r="BB744" s="1" t="str">
        <f aca="false">IF(B744="","",IF(AND(R744="WON",AS744=0),"⛔ Nachweis fehlt",IF(AND(ISNUMBER(O744),ISNUMBER(P744),P744&lt;O744),"⚠ Ende vor Start",IF(AND(R744="WON",AY744=0),"⛔ Zeitraum fehlt",IF(AR744=0,"○ Einstand offen",IF(AY744=0,"○ Zeitraum offen",IF(R744="WON","✅ belegt","✔ erfasst")))))))</f>
        <v/>
      </c>
    </row>
    <row r="745" customFormat="false" ht="15" hidden="false" customHeight="true" outlineLevel="0" collapsed="false">
      <c r="G745" s="1" t="str">
        <f aca="false">IF(B745="","",IF(AY745=1,P745-O745+1,IF(AW745="","",AW745)))</f>
        <v/>
      </c>
      <c r="I745" s="270"/>
      <c r="J745" s="270"/>
      <c r="K745" s="270"/>
      <c r="L745" s="270"/>
      <c r="M745" s="270"/>
      <c r="N745" s="270"/>
      <c r="O745" s="263"/>
      <c r="P745" s="263"/>
      <c r="Q745" s="270" t="str">
        <f aca="false">IF(AND(ISNUMBER(I745),ISNUMBER(S745)),I745*AJ745,IF(OR(I745&lt;&gt;"",S745&lt;&gt;""),"tbd",""))</f>
        <v/>
      </c>
      <c r="S745" s="268"/>
      <c r="Y745" s="275" t="str">
        <f aca="false">IF(ISNUMBER(I745),I745/Netto_Faktor,"")</f>
        <v/>
      </c>
      <c r="Z745" s="275" t="str">
        <f aca="false">IF(B745="","",IF(COUNT(J745:N745)=0,"",SUM(J745:N745)))</f>
        <v/>
      </c>
      <c r="AA745" s="266"/>
      <c r="AB745" s="266"/>
      <c r="AC745" s="266"/>
      <c r="AD745" s="266"/>
      <c r="AE745" s="266"/>
      <c r="AF745" s="266"/>
      <c r="AG745" s="267"/>
      <c r="AH745" s="266" t="str">
        <f aca="false">IF(B745="","",IF(BA745="",IF(R745="WON","✅ belegt &amp; vollständig","✔ vollständig"),LEFT(BA745,LEN(BA745)-3)))</f>
        <v/>
      </c>
      <c r="AJ745" s="268" t="n">
        <f aca="false">IF(ISNUMBER(S745),IFERROR(LOOKUP(IF(S745&lt;=1,S745,S745/100),'⚖️ Wahrscheinlichkeit'!$B$17:$B$21,'⚖️ Wahrscheinlichkeit'!$D$17:$D$21),0),0)</f>
        <v>0</v>
      </c>
      <c r="AK745" s="1" t="str">
        <f aca="false">IF(AND(R745="WON",ISNUMBER(I745)),AL745+(861-ROW())*0.000001,"")</f>
        <v/>
      </c>
      <c r="AL745" s="1" t="n">
        <f aca="false">IFERROR(I745*1,0)</f>
        <v>0</v>
      </c>
      <c r="AM745" s="1" t="n">
        <f aca="false">N(AM744)+IF(AND(R745="WON",B745&lt;&gt;""),1,0)</f>
        <v>12</v>
      </c>
      <c r="AN745" s="1" t="n">
        <f aca="false">N(AN744)+IF(AND(OR(R745="offered",R745="to be offered",R745="on hold"),B745&lt;&gt;""),1,0)</f>
        <v>33</v>
      </c>
      <c r="AO745" s="1" t="n">
        <f aca="false">N(AO744)+IF(AND(OR(R745="follow-up",R745="Evaluation",R745="tbd",R745="In evaluation"),B745&lt;&gt;""),1,0)</f>
        <v>1</v>
      </c>
      <c r="AP745" s="1" t="n">
        <f aca="false">IF(B745="",0,IF(COUNTIF('⚖️ Wahrscheinlichkeit'!$J$17:$J$24,R745)&gt;0,1,0))</f>
        <v>0</v>
      </c>
      <c r="AQ745" s="1" t="n">
        <f aca="false">IF(B745="",0,IF(AND(ISNUMBER(S745),COUNTIF('⚖️ Wahrscheinlichkeit'!$B$6:$B$11,S745)&gt;0),1,0))</f>
        <v>0</v>
      </c>
      <c r="AR745" s="1" t="n">
        <f aca="false">IF(B745="",0,IF(AND(COUNT(J745:M745)=4,SUM(J745:M745)&gt;0),1,0))</f>
        <v>0</v>
      </c>
      <c r="AS745" s="1" t="n">
        <f aca="false">IF(B745="",0,IF(AND(AF745&lt;&gt;"",AG745&lt;&gt;""),1,0))</f>
        <v>0</v>
      </c>
      <c r="AT745" s="1" t="n">
        <f aca="false">IF(AND(R745="WON",AS745=1,AR745=1),1,0)</f>
        <v>0</v>
      </c>
      <c r="AU745" s="1" t="n">
        <f aca="false">IF(B745="",0,IF(AD745="Alternative – zählt nicht",0,1))</f>
        <v>0</v>
      </c>
      <c r="AV745" s="1" t="n">
        <f aca="false">IF(B745="",0,IF(COUNTIF($B$6:$B$860,B745)&gt;1,1,0))</f>
        <v>0</v>
      </c>
      <c r="AX745" s="269" t="str">
        <f aca="false">IF(AY745=1,DATE(YEAR(O745),MONTH(O745),1),"")</f>
        <v/>
      </c>
      <c r="AY745" s="1" t="n">
        <f aca="false">IF(B745="",0,IF(AND(ISNUMBER(O745),ISNUMBER(P745)),IF(P745&gt;=O745,1,0),0))</f>
        <v>0</v>
      </c>
      <c r="AZ745" s="1" t="n">
        <f aca="false">IF(ISNUMBER(Y745),Y745,0)</f>
        <v>0</v>
      </c>
      <c r="BA745" s="1" t="str">
        <f aca="false">IF(B745="","",IF(AND(R745="WON",AS745=0),"⛔ Beleg fehlt · ","")&amp;IF(AND(R745="WON",AR745=0),"⛔ Einstand fehlt · ","")&amp;IF(AND(R745&lt;&gt;"WON",AR745=0),"○ Einstand offen · ","")&amp;IF(AND(R745="WON",AB745=""),"⛔ Vertragsart fehlt · ","")&amp;IF(AND(ISNUMBER(O745),ISNUMBER(P745)),IF(P745&lt;O745,"⚠ Ende vor Start · ",""),"")&amp;IF(AND(R745="WON",AY745=0,NOT(AND(ISNUMBER(O745),ISNUMBER(P745)))),"⛔ Zeitraum fehlt · ","")&amp;IF(AND(R745&lt;&gt;"WON",AY745=0,NOT(AND(ISNUMBER(O745),ISNUMBER(P745)))),"○ Zeitraum offen · ",""))</f>
        <v/>
      </c>
      <c r="BB745" s="1" t="str">
        <f aca="false">IF(B745="","",IF(AND(R745="WON",AS745=0),"⛔ Nachweis fehlt",IF(AND(ISNUMBER(O745),ISNUMBER(P745),P745&lt;O745),"⚠ Ende vor Start",IF(AND(R745="WON",AY745=0),"⛔ Zeitraum fehlt",IF(AR745=0,"○ Einstand offen",IF(AY745=0,"○ Zeitraum offen",IF(R745="WON","✅ belegt","✔ erfasst")))))))</f>
        <v/>
      </c>
    </row>
    <row r="746" customFormat="false" ht="15" hidden="false" customHeight="true" outlineLevel="0" collapsed="false">
      <c r="G746" s="1" t="str">
        <f aca="false">IF(B746="","",IF(AY746=1,P746-O746+1,IF(AW746="","",AW746)))</f>
        <v/>
      </c>
      <c r="I746" s="270"/>
      <c r="J746" s="270"/>
      <c r="K746" s="270"/>
      <c r="L746" s="270"/>
      <c r="M746" s="270"/>
      <c r="N746" s="270"/>
      <c r="O746" s="263"/>
      <c r="P746" s="263"/>
      <c r="Q746" s="270" t="str">
        <f aca="false">IF(AND(ISNUMBER(I746),ISNUMBER(S746)),I746*AJ746,IF(OR(I746&lt;&gt;"",S746&lt;&gt;""),"tbd",""))</f>
        <v/>
      </c>
      <c r="S746" s="268"/>
      <c r="Y746" s="275" t="str">
        <f aca="false">IF(ISNUMBER(I746),I746/Netto_Faktor,"")</f>
        <v/>
      </c>
      <c r="Z746" s="275" t="str">
        <f aca="false">IF(B746="","",IF(COUNT(J746:N746)=0,"",SUM(J746:N746)))</f>
        <v/>
      </c>
      <c r="AA746" s="266"/>
      <c r="AB746" s="266"/>
      <c r="AC746" s="266"/>
      <c r="AD746" s="266"/>
      <c r="AE746" s="266"/>
      <c r="AF746" s="266"/>
      <c r="AG746" s="267"/>
      <c r="AH746" s="266" t="str">
        <f aca="false">IF(B746="","",IF(BA746="",IF(R746="WON","✅ belegt &amp; vollständig","✔ vollständig"),LEFT(BA746,LEN(BA746)-3)))</f>
        <v/>
      </c>
      <c r="AJ746" s="268" t="n">
        <f aca="false">IF(ISNUMBER(S746),IFERROR(LOOKUP(IF(S746&lt;=1,S746,S746/100),'⚖️ Wahrscheinlichkeit'!$B$17:$B$21,'⚖️ Wahrscheinlichkeit'!$D$17:$D$21),0),0)</f>
        <v>0</v>
      </c>
      <c r="AK746" s="1" t="str">
        <f aca="false">IF(AND(R746="WON",ISNUMBER(I746)),AL746+(861-ROW())*0.000001,"")</f>
        <v/>
      </c>
      <c r="AL746" s="1" t="n">
        <f aca="false">IFERROR(I746*1,0)</f>
        <v>0</v>
      </c>
      <c r="AM746" s="1" t="n">
        <f aca="false">N(AM745)+IF(AND(R746="WON",B746&lt;&gt;""),1,0)</f>
        <v>12</v>
      </c>
      <c r="AN746" s="1" t="n">
        <f aca="false">N(AN745)+IF(AND(OR(R746="offered",R746="to be offered",R746="on hold"),B746&lt;&gt;""),1,0)</f>
        <v>33</v>
      </c>
      <c r="AO746" s="1" t="n">
        <f aca="false">N(AO745)+IF(AND(OR(R746="follow-up",R746="Evaluation",R746="tbd",R746="In evaluation"),B746&lt;&gt;""),1,0)</f>
        <v>1</v>
      </c>
      <c r="AP746" s="1" t="n">
        <f aca="false">IF(B746="",0,IF(COUNTIF('⚖️ Wahrscheinlichkeit'!$J$17:$J$24,R746)&gt;0,1,0))</f>
        <v>0</v>
      </c>
      <c r="AQ746" s="1" t="n">
        <f aca="false">IF(B746="",0,IF(AND(ISNUMBER(S746),COUNTIF('⚖️ Wahrscheinlichkeit'!$B$6:$B$11,S746)&gt;0),1,0))</f>
        <v>0</v>
      </c>
      <c r="AR746" s="1" t="n">
        <f aca="false">IF(B746="",0,IF(AND(COUNT(J746:M746)=4,SUM(J746:M746)&gt;0),1,0))</f>
        <v>0</v>
      </c>
      <c r="AS746" s="1" t="n">
        <f aca="false">IF(B746="",0,IF(AND(AF746&lt;&gt;"",AG746&lt;&gt;""),1,0))</f>
        <v>0</v>
      </c>
      <c r="AT746" s="1" t="n">
        <f aca="false">IF(AND(R746="WON",AS746=1,AR746=1),1,0)</f>
        <v>0</v>
      </c>
      <c r="AU746" s="1" t="n">
        <f aca="false">IF(B746="",0,IF(AD746="Alternative – zählt nicht",0,1))</f>
        <v>0</v>
      </c>
      <c r="AV746" s="1" t="n">
        <f aca="false">IF(B746="",0,IF(COUNTIF($B$6:$B$860,B746)&gt;1,1,0))</f>
        <v>0</v>
      </c>
      <c r="AX746" s="269" t="str">
        <f aca="false">IF(AY746=1,DATE(YEAR(O746),MONTH(O746),1),"")</f>
        <v/>
      </c>
      <c r="AY746" s="1" t="n">
        <f aca="false">IF(B746="",0,IF(AND(ISNUMBER(O746),ISNUMBER(P746)),IF(P746&gt;=O746,1,0),0))</f>
        <v>0</v>
      </c>
      <c r="AZ746" s="1" t="n">
        <f aca="false">IF(ISNUMBER(Y746),Y746,0)</f>
        <v>0</v>
      </c>
      <c r="BA746" s="1" t="str">
        <f aca="false">IF(B746="","",IF(AND(R746="WON",AS746=0),"⛔ Beleg fehlt · ","")&amp;IF(AND(R746="WON",AR746=0),"⛔ Einstand fehlt · ","")&amp;IF(AND(R746&lt;&gt;"WON",AR746=0),"○ Einstand offen · ","")&amp;IF(AND(R746="WON",AB746=""),"⛔ Vertragsart fehlt · ","")&amp;IF(AND(ISNUMBER(O746),ISNUMBER(P746)),IF(P746&lt;O746,"⚠ Ende vor Start · ",""),"")&amp;IF(AND(R746="WON",AY746=0,NOT(AND(ISNUMBER(O746),ISNUMBER(P746)))),"⛔ Zeitraum fehlt · ","")&amp;IF(AND(R746&lt;&gt;"WON",AY746=0,NOT(AND(ISNUMBER(O746),ISNUMBER(P746)))),"○ Zeitraum offen · ",""))</f>
        <v/>
      </c>
      <c r="BB746" s="1" t="str">
        <f aca="false">IF(B746="","",IF(AND(R746="WON",AS746=0),"⛔ Nachweis fehlt",IF(AND(ISNUMBER(O746),ISNUMBER(P746),P746&lt;O746),"⚠ Ende vor Start",IF(AND(R746="WON",AY746=0),"⛔ Zeitraum fehlt",IF(AR746=0,"○ Einstand offen",IF(AY746=0,"○ Zeitraum offen",IF(R746="WON","✅ belegt","✔ erfasst")))))))</f>
        <v/>
      </c>
    </row>
    <row r="747" customFormat="false" ht="15" hidden="false" customHeight="true" outlineLevel="0" collapsed="false">
      <c r="G747" s="1" t="str">
        <f aca="false">IF(B747="","",IF(AY747=1,P747-O747+1,IF(AW747="","",AW747)))</f>
        <v/>
      </c>
      <c r="I747" s="270"/>
      <c r="J747" s="270"/>
      <c r="K747" s="270"/>
      <c r="L747" s="270"/>
      <c r="M747" s="270"/>
      <c r="N747" s="270"/>
      <c r="O747" s="263"/>
      <c r="P747" s="263"/>
      <c r="Q747" s="270" t="str">
        <f aca="false">IF(AND(ISNUMBER(I747),ISNUMBER(S747)),I747*AJ747,IF(OR(I747&lt;&gt;"",S747&lt;&gt;""),"tbd",""))</f>
        <v/>
      </c>
      <c r="S747" s="268"/>
      <c r="Y747" s="275" t="str">
        <f aca="false">IF(ISNUMBER(I747),I747/Netto_Faktor,"")</f>
        <v/>
      </c>
      <c r="Z747" s="275" t="str">
        <f aca="false">IF(B747="","",IF(COUNT(J747:N747)=0,"",SUM(J747:N747)))</f>
        <v/>
      </c>
      <c r="AA747" s="266"/>
      <c r="AB747" s="266"/>
      <c r="AC747" s="266"/>
      <c r="AD747" s="266"/>
      <c r="AE747" s="266"/>
      <c r="AF747" s="266"/>
      <c r="AG747" s="267"/>
      <c r="AH747" s="266" t="str">
        <f aca="false">IF(B747="","",IF(BA747="",IF(R747="WON","✅ belegt &amp; vollständig","✔ vollständig"),LEFT(BA747,LEN(BA747)-3)))</f>
        <v/>
      </c>
      <c r="AJ747" s="268" t="n">
        <f aca="false">IF(ISNUMBER(S747),IFERROR(LOOKUP(IF(S747&lt;=1,S747,S747/100),'⚖️ Wahrscheinlichkeit'!$B$17:$B$21,'⚖️ Wahrscheinlichkeit'!$D$17:$D$21),0),0)</f>
        <v>0</v>
      </c>
      <c r="AK747" s="1" t="str">
        <f aca="false">IF(AND(R747="WON",ISNUMBER(I747)),AL747+(861-ROW())*0.000001,"")</f>
        <v/>
      </c>
      <c r="AL747" s="1" t="n">
        <f aca="false">IFERROR(I747*1,0)</f>
        <v>0</v>
      </c>
      <c r="AM747" s="1" t="n">
        <f aca="false">N(AM746)+IF(AND(R747="WON",B747&lt;&gt;""),1,0)</f>
        <v>12</v>
      </c>
      <c r="AN747" s="1" t="n">
        <f aca="false">N(AN746)+IF(AND(OR(R747="offered",R747="to be offered",R747="on hold"),B747&lt;&gt;""),1,0)</f>
        <v>33</v>
      </c>
      <c r="AO747" s="1" t="n">
        <f aca="false">N(AO746)+IF(AND(OR(R747="follow-up",R747="Evaluation",R747="tbd",R747="In evaluation"),B747&lt;&gt;""),1,0)</f>
        <v>1</v>
      </c>
      <c r="AP747" s="1" t="n">
        <f aca="false">IF(B747="",0,IF(COUNTIF('⚖️ Wahrscheinlichkeit'!$J$17:$J$24,R747)&gt;0,1,0))</f>
        <v>0</v>
      </c>
      <c r="AQ747" s="1" t="n">
        <f aca="false">IF(B747="",0,IF(AND(ISNUMBER(S747),COUNTIF('⚖️ Wahrscheinlichkeit'!$B$6:$B$11,S747)&gt;0),1,0))</f>
        <v>0</v>
      </c>
      <c r="AR747" s="1" t="n">
        <f aca="false">IF(B747="",0,IF(AND(COUNT(J747:M747)=4,SUM(J747:M747)&gt;0),1,0))</f>
        <v>0</v>
      </c>
      <c r="AS747" s="1" t="n">
        <f aca="false">IF(B747="",0,IF(AND(AF747&lt;&gt;"",AG747&lt;&gt;""),1,0))</f>
        <v>0</v>
      </c>
      <c r="AT747" s="1" t="n">
        <f aca="false">IF(AND(R747="WON",AS747=1,AR747=1),1,0)</f>
        <v>0</v>
      </c>
      <c r="AU747" s="1" t="n">
        <f aca="false">IF(B747="",0,IF(AD747="Alternative – zählt nicht",0,1))</f>
        <v>0</v>
      </c>
      <c r="AV747" s="1" t="n">
        <f aca="false">IF(B747="",0,IF(COUNTIF($B$6:$B$860,B747)&gt;1,1,0))</f>
        <v>0</v>
      </c>
      <c r="AX747" s="269" t="str">
        <f aca="false">IF(AY747=1,DATE(YEAR(O747),MONTH(O747),1),"")</f>
        <v/>
      </c>
      <c r="AY747" s="1" t="n">
        <f aca="false">IF(B747="",0,IF(AND(ISNUMBER(O747),ISNUMBER(P747)),IF(P747&gt;=O747,1,0),0))</f>
        <v>0</v>
      </c>
      <c r="AZ747" s="1" t="n">
        <f aca="false">IF(ISNUMBER(Y747),Y747,0)</f>
        <v>0</v>
      </c>
      <c r="BA747" s="1" t="str">
        <f aca="false">IF(B747="","",IF(AND(R747="WON",AS747=0),"⛔ Beleg fehlt · ","")&amp;IF(AND(R747="WON",AR747=0),"⛔ Einstand fehlt · ","")&amp;IF(AND(R747&lt;&gt;"WON",AR747=0),"○ Einstand offen · ","")&amp;IF(AND(R747="WON",AB747=""),"⛔ Vertragsart fehlt · ","")&amp;IF(AND(ISNUMBER(O747),ISNUMBER(P747)),IF(P747&lt;O747,"⚠ Ende vor Start · ",""),"")&amp;IF(AND(R747="WON",AY747=0,NOT(AND(ISNUMBER(O747),ISNUMBER(P747)))),"⛔ Zeitraum fehlt · ","")&amp;IF(AND(R747&lt;&gt;"WON",AY747=0,NOT(AND(ISNUMBER(O747),ISNUMBER(P747)))),"○ Zeitraum offen · ",""))</f>
        <v/>
      </c>
      <c r="BB747" s="1" t="str">
        <f aca="false">IF(B747="","",IF(AND(R747="WON",AS747=0),"⛔ Nachweis fehlt",IF(AND(ISNUMBER(O747),ISNUMBER(P747),P747&lt;O747),"⚠ Ende vor Start",IF(AND(R747="WON",AY747=0),"⛔ Zeitraum fehlt",IF(AR747=0,"○ Einstand offen",IF(AY747=0,"○ Zeitraum offen",IF(R747="WON","✅ belegt","✔ erfasst")))))))</f>
        <v/>
      </c>
    </row>
    <row r="748" customFormat="false" ht="15" hidden="false" customHeight="true" outlineLevel="0" collapsed="false">
      <c r="G748" s="1" t="str">
        <f aca="false">IF(B748="","",IF(AY748=1,P748-O748+1,IF(AW748="","",AW748)))</f>
        <v/>
      </c>
      <c r="I748" s="270"/>
      <c r="J748" s="270"/>
      <c r="K748" s="270"/>
      <c r="L748" s="270"/>
      <c r="M748" s="270"/>
      <c r="N748" s="270"/>
      <c r="O748" s="263"/>
      <c r="P748" s="263"/>
      <c r="Q748" s="270" t="str">
        <f aca="false">IF(AND(ISNUMBER(I748),ISNUMBER(S748)),I748*AJ748,IF(OR(I748&lt;&gt;"",S748&lt;&gt;""),"tbd",""))</f>
        <v/>
      </c>
      <c r="S748" s="268"/>
      <c r="Y748" s="275" t="str">
        <f aca="false">IF(ISNUMBER(I748),I748/Netto_Faktor,"")</f>
        <v/>
      </c>
      <c r="Z748" s="275" t="str">
        <f aca="false">IF(B748="","",IF(COUNT(J748:N748)=0,"",SUM(J748:N748)))</f>
        <v/>
      </c>
      <c r="AA748" s="266"/>
      <c r="AB748" s="266"/>
      <c r="AC748" s="266"/>
      <c r="AD748" s="266"/>
      <c r="AE748" s="266"/>
      <c r="AF748" s="266"/>
      <c r="AG748" s="267"/>
      <c r="AH748" s="266" t="str">
        <f aca="false">IF(B748="","",IF(BA748="",IF(R748="WON","✅ belegt &amp; vollständig","✔ vollständig"),LEFT(BA748,LEN(BA748)-3)))</f>
        <v/>
      </c>
      <c r="AJ748" s="268" t="n">
        <f aca="false">IF(ISNUMBER(S748),IFERROR(LOOKUP(IF(S748&lt;=1,S748,S748/100),'⚖️ Wahrscheinlichkeit'!$B$17:$B$21,'⚖️ Wahrscheinlichkeit'!$D$17:$D$21),0),0)</f>
        <v>0</v>
      </c>
      <c r="AK748" s="1" t="str">
        <f aca="false">IF(AND(R748="WON",ISNUMBER(I748)),AL748+(861-ROW())*0.000001,"")</f>
        <v/>
      </c>
      <c r="AL748" s="1" t="n">
        <f aca="false">IFERROR(I748*1,0)</f>
        <v>0</v>
      </c>
      <c r="AM748" s="1" t="n">
        <f aca="false">N(AM747)+IF(AND(R748="WON",B748&lt;&gt;""),1,0)</f>
        <v>12</v>
      </c>
      <c r="AN748" s="1" t="n">
        <f aca="false">N(AN747)+IF(AND(OR(R748="offered",R748="to be offered",R748="on hold"),B748&lt;&gt;""),1,0)</f>
        <v>33</v>
      </c>
      <c r="AO748" s="1" t="n">
        <f aca="false">N(AO747)+IF(AND(OR(R748="follow-up",R748="Evaluation",R748="tbd",R748="In evaluation"),B748&lt;&gt;""),1,0)</f>
        <v>1</v>
      </c>
      <c r="AP748" s="1" t="n">
        <f aca="false">IF(B748="",0,IF(COUNTIF('⚖️ Wahrscheinlichkeit'!$J$17:$J$24,R748)&gt;0,1,0))</f>
        <v>0</v>
      </c>
      <c r="AQ748" s="1" t="n">
        <f aca="false">IF(B748="",0,IF(AND(ISNUMBER(S748),COUNTIF('⚖️ Wahrscheinlichkeit'!$B$6:$B$11,S748)&gt;0),1,0))</f>
        <v>0</v>
      </c>
      <c r="AR748" s="1" t="n">
        <f aca="false">IF(B748="",0,IF(AND(COUNT(J748:M748)=4,SUM(J748:M748)&gt;0),1,0))</f>
        <v>0</v>
      </c>
      <c r="AS748" s="1" t="n">
        <f aca="false">IF(B748="",0,IF(AND(AF748&lt;&gt;"",AG748&lt;&gt;""),1,0))</f>
        <v>0</v>
      </c>
      <c r="AT748" s="1" t="n">
        <f aca="false">IF(AND(R748="WON",AS748=1,AR748=1),1,0)</f>
        <v>0</v>
      </c>
      <c r="AU748" s="1" t="n">
        <f aca="false">IF(B748="",0,IF(AD748="Alternative – zählt nicht",0,1))</f>
        <v>0</v>
      </c>
      <c r="AV748" s="1" t="n">
        <f aca="false">IF(B748="",0,IF(COUNTIF($B$6:$B$860,B748)&gt;1,1,0))</f>
        <v>0</v>
      </c>
      <c r="AX748" s="269" t="str">
        <f aca="false">IF(AY748=1,DATE(YEAR(O748),MONTH(O748),1),"")</f>
        <v/>
      </c>
      <c r="AY748" s="1" t="n">
        <f aca="false">IF(B748="",0,IF(AND(ISNUMBER(O748),ISNUMBER(P748)),IF(P748&gt;=O748,1,0),0))</f>
        <v>0</v>
      </c>
      <c r="AZ748" s="1" t="n">
        <f aca="false">IF(ISNUMBER(Y748),Y748,0)</f>
        <v>0</v>
      </c>
      <c r="BA748" s="1" t="str">
        <f aca="false">IF(B748="","",IF(AND(R748="WON",AS748=0),"⛔ Beleg fehlt · ","")&amp;IF(AND(R748="WON",AR748=0),"⛔ Einstand fehlt · ","")&amp;IF(AND(R748&lt;&gt;"WON",AR748=0),"○ Einstand offen · ","")&amp;IF(AND(R748="WON",AB748=""),"⛔ Vertragsart fehlt · ","")&amp;IF(AND(ISNUMBER(O748),ISNUMBER(P748)),IF(P748&lt;O748,"⚠ Ende vor Start · ",""),"")&amp;IF(AND(R748="WON",AY748=0,NOT(AND(ISNUMBER(O748),ISNUMBER(P748)))),"⛔ Zeitraum fehlt · ","")&amp;IF(AND(R748&lt;&gt;"WON",AY748=0,NOT(AND(ISNUMBER(O748),ISNUMBER(P748)))),"○ Zeitraum offen · ",""))</f>
        <v/>
      </c>
      <c r="BB748" s="1" t="str">
        <f aca="false">IF(B748="","",IF(AND(R748="WON",AS748=0),"⛔ Nachweis fehlt",IF(AND(ISNUMBER(O748),ISNUMBER(P748),P748&lt;O748),"⚠ Ende vor Start",IF(AND(R748="WON",AY748=0),"⛔ Zeitraum fehlt",IF(AR748=0,"○ Einstand offen",IF(AY748=0,"○ Zeitraum offen",IF(R748="WON","✅ belegt","✔ erfasst")))))))</f>
        <v/>
      </c>
    </row>
    <row r="749" customFormat="false" ht="15" hidden="false" customHeight="true" outlineLevel="0" collapsed="false">
      <c r="G749" s="1" t="str">
        <f aca="false">IF(B749="","",IF(AY749=1,P749-O749+1,IF(AW749="","",AW749)))</f>
        <v/>
      </c>
      <c r="I749" s="270"/>
      <c r="J749" s="270"/>
      <c r="K749" s="270"/>
      <c r="L749" s="270"/>
      <c r="M749" s="270"/>
      <c r="N749" s="270"/>
      <c r="O749" s="263"/>
      <c r="P749" s="263"/>
      <c r="Q749" s="270" t="str">
        <f aca="false">IF(AND(ISNUMBER(I749),ISNUMBER(S749)),I749*AJ749,IF(OR(I749&lt;&gt;"",S749&lt;&gt;""),"tbd",""))</f>
        <v/>
      </c>
      <c r="S749" s="268"/>
      <c r="Y749" s="275" t="str">
        <f aca="false">IF(ISNUMBER(I749),I749/Netto_Faktor,"")</f>
        <v/>
      </c>
      <c r="Z749" s="275" t="str">
        <f aca="false">IF(B749="","",IF(COUNT(J749:N749)=0,"",SUM(J749:N749)))</f>
        <v/>
      </c>
      <c r="AA749" s="266"/>
      <c r="AB749" s="266"/>
      <c r="AC749" s="266"/>
      <c r="AD749" s="266"/>
      <c r="AE749" s="266"/>
      <c r="AF749" s="266"/>
      <c r="AG749" s="267"/>
      <c r="AH749" s="266" t="str">
        <f aca="false">IF(B749="","",IF(BA749="",IF(R749="WON","✅ belegt &amp; vollständig","✔ vollständig"),LEFT(BA749,LEN(BA749)-3)))</f>
        <v/>
      </c>
      <c r="AJ749" s="268" t="n">
        <f aca="false">IF(ISNUMBER(S749),IFERROR(LOOKUP(IF(S749&lt;=1,S749,S749/100),'⚖️ Wahrscheinlichkeit'!$B$17:$B$21,'⚖️ Wahrscheinlichkeit'!$D$17:$D$21),0),0)</f>
        <v>0</v>
      </c>
      <c r="AK749" s="1" t="str">
        <f aca="false">IF(AND(R749="WON",ISNUMBER(I749)),AL749+(861-ROW())*0.000001,"")</f>
        <v/>
      </c>
      <c r="AL749" s="1" t="n">
        <f aca="false">IFERROR(I749*1,0)</f>
        <v>0</v>
      </c>
      <c r="AM749" s="1" t="n">
        <f aca="false">N(AM748)+IF(AND(R749="WON",B749&lt;&gt;""),1,0)</f>
        <v>12</v>
      </c>
      <c r="AN749" s="1" t="n">
        <f aca="false">N(AN748)+IF(AND(OR(R749="offered",R749="to be offered",R749="on hold"),B749&lt;&gt;""),1,0)</f>
        <v>33</v>
      </c>
      <c r="AO749" s="1" t="n">
        <f aca="false">N(AO748)+IF(AND(OR(R749="follow-up",R749="Evaluation",R749="tbd",R749="In evaluation"),B749&lt;&gt;""),1,0)</f>
        <v>1</v>
      </c>
      <c r="AP749" s="1" t="n">
        <f aca="false">IF(B749="",0,IF(COUNTIF('⚖️ Wahrscheinlichkeit'!$J$17:$J$24,R749)&gt;0,1,0))</f>
        <v>0</v>
      </c>
      <c r="AQ749" s="1" t="n">
        <f aca="false">IF(B749="",0,IF(AND(ISNUMBER(S749),COUNTIF('⚖️ Wahrscheinlichkeit'!$B$6:$B$11,S749)&gt;0),1,0))</f>
        <v>0</v>
      </c>
      <c r="AR749" s="1" t="n">
        <f aca="false">IF(B749="",0,IF(AND(COUNT(J749:M749)=4,SUM(J749:M749)&gt;0),1,0))</f>
        <v>0</v>
      </c>
      <c r="AS749" s="1" t="n">
        <f aca="false">IF(B749="",0,IF(AND(AF749&lt;&gt;"",AG749&lt;&gt;""),1,0))</f>
        <v>0</v>
      </c>
      <c r="AT749" s="1" t="n">
        <f aca="false">IF(AND(R749="WON",AS749=1,AR749=1),1,0)</f>
        <v>0</v>
      </c>
      <c r="AU749" s="1" t="n">
        <f aca="false">IF(B749="",0,IF(AD749="Alternative – zählt nicht",0,1))</f>
        <v>0</v>
      </c>
      <c r="AV749" s="1" t="n">
        <f aca="false">IF(B749="",0,IF(COUNTIF($B$6:$B$860,B749)&gt;1,1,0))</f>
        <v>0</v>
      </c>
      <c r="AX749" s="269" t="str">
        <f aca="false">IF(AY749=1,DATE(YEAR(O749),MONTH(O749),1),"")</f>
        <v/>
      </c>
      <c r="AY749" s="1" t="n">
        <f aca="false">IF(B749="",0,IF(AND(ISNUMBER(O749),ISNUMBER(P749)),IF(P749&gt;=O749,1,0),0))</f>
        <v>0</v>
      </c>
      <c r="AZ749" s="1" t="n">
        <f aca="false">IF(ISNUMBER(Y749),Y749,0)</f>
        <v>0</v>
      </c>
      <c r="BA749" s="1" t="str">
        <f aca="false">IF(B749="","",IF(AND(R749="WON",AS749=0),"⛔ Beleg fehlt · ","")&amp;IF(AND(R749="WON",AR749=0),"⛔ Einstand fehlt · ","")&amp;IF(AND(R749&lt;&gt;"WON",AR749=0),"○ Einstand offen · ","")&amp;IF(AND(R749="WON",AB749=""),"⛔ Vertragsart fehlt · ","")&amp;IF(AND(ISNUMBER(O749),ISNUMBER(P749)),IF(P749&lt;O749,"⚠ Ende vor Start · ",""),"")&amp;IF(AND(R749="WON",AY749=0,NOT(AND(ISNUMBER(O749),ISNUMBER(P749)))),"⛔ Zeitraum fehlt · ","")&amp;IF(AND(R749&lt;&gt;"WON",AY749=0,NOT(AND(ISNUMBER(O749),ISNUMBER(P749)))),"○ Zeitraum offen · ",""))</f>
        <v/>
      </c>
      <c r="BB749" s="1" t="str">
        <f aca="false">IF(B749="","",IF(AND(R749="WON",AS749=0),"⛔ Nachweis fehlt",IF(AND(ISNUMBER(O749),ISNUMBER(P749),P749&lt;O749),"⚠ Ende vor Start",IF(AND(R749="WON",AY749=0),"⛔ Zeitraum fehlt",IF(AR749=0,"○ Einstand offen",IF(AY749=0,"○ Zeitraum offen",IF(R749="WON","✅ belegt","✔ erfasst")))))))</f>
        <v/>
      </c>
    </row>
    <row r="750" customFormat="false" ht="15" hidden="false" customHeight="true" outlineLevel="0" collapsed="false">
      <c r="G750" s="1" t="str">
        <f aca="false">IF(B750="","",IF(AY750=1,P750-O750+1,IF(AW750="","",AW750)))</f>
        <v/>
      </c>
      <c r="I750" s="270"/>
      <c r="J750" s="270"/>
      <c r="K750" s="270"/>
      <c r="L750" s="270"/>
      <c r="M750" s="270"/>
      <c r="N750" s="270"/>
      <c r="O750" s="263"/>
      <c r="P750" s="263"/>
      <c r="Q750" s="270" t="str">
        <f aca="false">IF(AND(ISNUMBER(I750),ISNUMBER(S750)),I750*AJ750,IF(OR(I750&lt;&gt;"",S750&lt;&gt;""),"tbd",""))</f>
        <v/>
      </c>
      <c r="S750" s="268"/>
      <c r="Y750" s="275" t="str">
        <f aca="false">IF(ISNUMBER(I750),I750/Netto_Faktor,"")</f>
        <v/>
      </c>
      <c r="Z750" s="275" t="str">
        <f aca="false">IF(B750="","",IF(COUNT(J750:N750)=0,"",SUM(J750:N750)))</f>
        <v/>
      </c>
      <c r="AA750" s="266"/>
      <c r="AB750" s="266"/>
      <c r="AC750" s="266"/>
      <c r="AD750" s="266"/>
      <c r="AE750" s="266"/>
      <c r="AF750" s="266"/>
      <c r="AG750" s="267"/>
      <c r="AH750" s="266" t="str">
        <f aca="false">IF(B750="","",IF(BA750="",IF(R750="WON","✅ belegt &amp; vollständig","✔ vollständig"),LEFT(BA750,LEN(BA750)-3)))</f>
        <v/>
      </c>
      <c r="AJ750" s="268" t="n">
        <f aca="false">IF(ISNUMBER(S750),IFERROR(LOOKUP(IF(S750&lt;=1,S750,S750/100),'⚖️ Wahrscheinlichkeit'!$B$17:$B$21,'⚖️ Wahrscheinlichkeit'!$D$17:$D$21),0),0)</f>
        <v>0</v>
      </c>
      <c r="AK750" s="1" t="str">
        <f aca="false">IF(AND(R750="WON",ISNUMBER(I750)),AL750+(861-ROW())*0.000001,"")</f>
        <v/>
      </c>
      <c r="AL750" s="1" t="n">
        <f aca="false">IFERROR(I750*1,0)</f>
        <v>0</v>
      </c>
      <c r="AM750" s="1" t="n">
        <f aca="false">N(AM749)+IF(AND(R750="WON",B750&lt;&gt;""),1,0)</f>
        <v>12</v>
      </c>
      <c r="AN750" s="1" t="n">
        <f aca="false">N(AN749)+IF(AND(OR(R750="offered",R750="to be offered",R750="on hold"),B750&lt;&gt;""),1,0)</f>
        <v>33</v>
      </c>
      <c r="AO750" s="1" t="n">
        <f aca="false">N(AO749)+IF(AND(OR(R750="follow-up",R750="Evaluation",R750="tbd",R750="In evaluation"),B750&lt;&gt;""),1,0)</f>
        <v>1</v>
      </c>
      <c r="AP750" s="1" t="n">
        <f aca="false">IF(B750="",0,IF(COUNTIF('⚖️ Wahrscheinlichkeit'!$J$17:$J$24,R750)&gt;0,1,0))</f>
        <v>0</v>
      </c>
      <c r="AQ750" s="1" t="n">
        <f aca="false">IF(B750="",0,IF(AND(ISNUMBER(S750),COUNTIF('⚖️ Wahrscheinlichkeit'!$B$6:$B$11,S750)&gt;0),1,0))</f>
        <v>0</v>
      </c>
      <c r="AR750" s="1" t="n">
        <f aca="false">IF(B750="",0,IF(AND(COUNT(J750:M750)=4,SUM(J750:M750)&gt;0),1,0))</f>
        <v>0</v>
      </c>
      <c r="AS750" s="1" t="n">
        <f aca="false">IF(B750="",0,IF(AND(AF750&lt;&gt;"",AG750&lt;&gt;""),1,0))</f>
        <v>0</v>
      </c>
      <c r="AT750" s="1" t="n">
        <f aca="false">IF(AND(R750="WON",AS750=1,AR750=1),1,0)</f>
        <v>0</v>
      </c>
      <c r="AU750" s="1" t="n">
        <f aca="false">IF(B750="",0,IF(AD750="Alternative – zählt nicht",0,1))</f>
        <v>0</v>
      </c>
      <c r="AV750" s="1" t="n">
        <f aca="false">IF(B750="",0,IF(COUNTIF($B$6:$B$860,B750)&gt;1,1,0))</f>
        <v>0</v>
      </c>
      <c r="AX750" s="269" t="str">
        <f aca="false">IF(AY750=1,DATE(YEAR(O750),MONTH(O750),1),"")</f>
        <v/>
      </c>
      <c r="AY750" s="1" t="n">
        <f aca="false">IF(B750="",0,IF(AND(ISNUMBER(O750),ISNUMBER(P750)),IF(P750&gt;=O750,1,0),0))</f>
        <v>0</v>
      </c>
      <c r="AZ750" s="1" t="n">
        <f aca="false">IF(ISNUMBER(Y750),Y750,0)</f>
        <v>0</v>
      </c>
      <c r="BA750" s="1" t="str">
        <f aca="false">IF(B750="","",IF(AND(R750="WON",AS750=0),"⛔ Beleg fehlt · ","")&amp;IF(AND(R750="WON",AR750=0),"⛔ Einstand fehlt · ","")&amp;IF(AND(R750&lt;&gt;"WON",AR750=0),"○ Einstand offen · ","")&amp;IF(AND(R750="WON",AB750=""),"⛔ Vertragsart fehlt · ","")&amp;IF(AND(ISNUMBER(O750),ISNUMBER(P750)),IF(P750&lt;O750,"⚠ Ende vor Start · ",""),"")&amp;IF(AND(R750="WON",AY750=0,NOT(AND(ISNUMBER(O750),ISNUMBER(P750)))),"⛔ Zeitraum fehlt · ","")&amp;IF(AND(R750&lt;&gt;"WON",AY750=0,NOT(AND(ISNUMBER(O750),ISNUMBER(P750)))),"○ Zeitraum offen · ",""))</f>
        <v/>
      </c>
      <c r="BB750" s="1" t="str">
        <f aca="false">IF(B750="","",IF(AND(R750="WON",AS750=0),"⛔ Nachweis fehlt",IF(AND(ISNUMBER(O750),ISNUMBER(P750),P750&lt;O750),"⚠ Ende vor Start",IF(AND(R750="WON",AY750=0),"⛔ Zeitraum fehlt",IF(AR750=0,"○ Einstand offen",IF(AY750=0,"○ Zeitraum offen",IF(R750="WON","✅ belegt","✔ erfasst")))))))</f>
        <v/>
      </c>
    </row>
    <row r="751" customFormat="false" ht="15" hidden="false" customHeight="true" outlineLevel="0" collapsed="false">
      <c r="G751" s="1" t="str">
        <f aca="false">IF(B751="","",IF(AY751=1,P751-O751+1,IF(AW751="","",AW751)))</f>
        <v/>
      </c>
      <c r="I751" s="270"/>
      <c r="J751" s="270"/>
      <c r="K751" s="270"/>
      <c r="L751" s="270"/>
      <c r="M751" s="270"/>
      <c r="N751" s="270"/>
      <c r="O751" s="263"/>
      <c r="P751" s="263"/>
      <c r="Q751" s="270" t="str">
        <f aca="false">IF(AND(ISNUMBER(I751),ISNUMBER(S751)),I751*AJ751,IF(OR(I751&lt;&gt;"",S751&lt;&gt;""),"tbd",""))</f>
        <v/>
      </c>
      <c r="S751" s="268"/>
      <c r="Y751" s="275" t="str">
        <f aca="false">IF(ISNUMBER(I751),I751/Netto_Faktor,"")</f>
        <v/>
      </c>
      <c r="Z751" s="275" t="str">
        <f aca="false">IF(B751="","",IF(COUNT(J751:N751)=0,"",SUM(J751:N751)))</f>
        <v/>
      </c>
      <c r="AA751" s="266"/>
      <c r="AB751" s="266"/>
      <c r="AC751" s="266"/>
      <c r="AD751" s="266"/>
      <c r="AE751" s="266"/>
      <c r="AF751" s="266"/>
      <c r="AG751" s="267"/>
      <c r="AH751" s="266" t="str">
        <f aca="false">IF(B751="","",IF(BA751="",IF(R751="WON","✅ belegt &amp; vollständig","✔ vollständig"),LEFT(BA751,LEN(BA751)-3)))</f>
        <v/>
      </c>
      <c r="AJ751" s="268" t="n">
        <f aca="false">IF(ISNUMBER(S751),IFERROR(LOOKUP(IF(S751&lt;=1,S751,S751/100),'⚖️ Wahrscheinlichkeit'!$B$17:$B$21,'⚖️ Wahrscheinlichkeit'!$D$17:$D$21),0),0)</f>
        <v>0</v>
      </c>
      <c r="AK751" s="1" t="str">
        <f aca="false">IF(AND(R751="WON",ISNUMBER(I751)),AL751+(861-ROW())*0.000001,"")</f>
        <v/>
      </c>
      <c r="AL751" s="1" t="n">
        <f aca="false">IFERROR(I751*1,0)</f>
        <v>0</v>
      </c>
      <c r="AM751" s="1" t="n">
        <f aca="false">N(AM750)+IF(AND(R751="WON",B751&lt;&gt;""),1,0)</f>
        <v>12</v>
      </c>
      <c r="AN751" s="1" t="n">
        <f aca="false">N(AN750)+IF(AND(OR(R751="offered",R751="to be offered",R751="on hold"),B751&lt;&gt;""),1,0)</f>
        <v>33</v>
      </c>
      <c r="AO751" s="1" t="n">
        <f aca="false">N(AO750)+IF(AND(OR(R751="follow-up",R751="Evaluation",R751="tbd",R751="In evaluation"),B751&lt;&gt;""),1,0)</f>
        <v>1</v>
      </c>
      <c r="AP751" s="1" t="n">
        <f aca="false">IF(B751="",0,IF(COUNTIF('⚖️ Wahrscheinlichkeit'!$J$17:$J$24,R751)&gt;0,1,0))</f>
        <v>0</v>
      </c>
      <c r="AQ751" s="1" t="n">
        <f aca="false">IF(B751="",0,IF(AND(ISNUMBER(S751),COUNTIF('⚖️ Wahrscheinlichkeit'!$B$6:$B$11,S751)&gt;0),1,0))</f>
        <v>0</v>
      </c>
      <c r="AR751" s="1" t="n">
        <f aca="false">IF(B751="",0,IF(AND(COUNT(J751:M751)=4,SUM(J751:M751)&gt;0),1,0))</f>
        <v>0</v>
      </c>
      <c r="AS751" s="1" t="n">
        <f aca="false">IF(B751="",0,IF(AND(AF751&lt;&gt;"",AG751&lt;&gt;""),1,0))</f>
        <v>0</v>
      </c>
      <c r="AT751" s="1" t="n">
        <f aca="false">IF(AND(R751="WON",AS751=1,AR751=1),1,0)</f>
        <v>0</v>
      </c>
      <c r="AU751" s="1" t="n">
        <f aca="false">IF(B751="",0,IF(AD751="Alternative – zählt nicht",0,1))</f>
        <v>0</v>
      </c>
      <c r="AV751" s="1" t="n">
        <f aca="false">IF(B751="",0,IF(COUNTIF($B$6:$B$860,B751)&gt;1,1,0))</f>
        <v>0</v>
      </c>
      <c r="AX751" s="269" t="str">
        <f aca="false">IF(AY751=1,DATE(YEAR(O751),MONTH(O751),1),"")</f>
        <v/>
      </c>
      <c r="AY751" s="1" t="n">
        <f aca="false">IF(B751="",0,IF(AND(ISNUMBER(O751),ISNUMBER(P751)),IF(P751&gt;=O751,1,0),0))</f>
        <v>0</v>
      </c>
      <c r="AZ751" s="1" t="n">
        <f aca="false">IF(ISNUMBER(Y751),Y751,0)</f>
        <v>0</v>
      </c>
      <c r="BA751" s="1" t="str">
        <f aca="false">IF(B751="","",IF(AND(R751="WON",AS751=0),"⛔ Beleg fehlt · ","")&amp;IF(AND(R751="WON",AR751=0),"⛔ Einstand fehlt · ","")&amp;IF(AND(R751&lt;&gt;"WON",AR751=0),"○ Einstand offen · ","")&amp;IF(AND(R751="WON",AB751=""),"⛔ Vertragsart fehlt · ","")&amp;IF(AND(ISNUMBER(O751),ISNUMBER(P751)),IF(P751&lt;O751,"⚠ Ende vor Start · ",""),"")&amp;IF(AND(R751="WON",AY751=0,NOT(AND(ISNUMBER(O751),ISNUMBER(P751)))),"⛔ Zeitraum fehlt · ","")&amp;IF(AND(R751&lt;&gt;"WON",AY751=0,NOT(AND(ISNUMBER(O751),ISNUMBER(P751)))),"○ Zeitraum offen · ",""))</f>
        <v/>
      </c>
      <c r="BB751" s="1" t="str">
        <f aca="false">IF(B751="","",IF(AND(R751="WON",AS751=0),"⛔ Nachweis fehlt",IF(AND(ISNUMBER(O751),ISNUMBER(P751),P751&lt;O751),"⚠ Ende vor Start",IF(AND(R751="WON",AY751=0),"⛔ Zeitraum fehlt",IF(AR751=0,"○ Einstand offen",IF(AY751=0,"○ Zeitraum offen",IF(R751="WON","✅ belegt","✔ erfasst")))))))</f>
        <v/>
      </c>
    </row>
    <row r="752" customFormat="false" ht="15" hidden="false" customHeight="true" outlineLevel="0" collapsed="false">
      <c r="G752" s="1" t="str">
        <f aca="false">IF(B752="","",IF(AY752=1,P752-O752+1,IF(AW752="","",AW752)))</f>
        <v/>
      </c>
      <c r="I752" s="270"/>
      <c r="J752" s="270"/>
      <c r="K752" s="270"/>
      <c r="L752" s="270"/>
      <c r="M752" s="270"/>
      <c r="N752" s="270"/>
      <c r="O752" s="263"/>
      <c r="P752" s="263"/>
      <c r="Q752" s="270" t="str">
        <f aca="false">IF(AND(ISNUMBER(I752),ISNUMBER(S752)),I752*AJ752,IF(OR(I752&lt;&gt;"",S752&lt;&gt;""),"tbd",""))</f>
        <v/>
      </c>
      <c r="S752" s="268"/>
      <c r="Y752" s="275" t="str">
        <f aca="false">IF(ISNUMBER(I752),I752/Netto_Faktor,"")</f>
        <v/>
      </c>
      <c r="Z752" s="275" t="str">
        <f aca="false">IF(B752="","",IF(COUNT(J752:N752)=0,"",SUM(J752:N752)))</f>
        <v/>
      </c>
      <c r="AA752" s="266"/>
      <c r="AB752" s="266"/>
      <c r="AC752" s="266"/>
      <c r="AD752" s="266"/>
      <c r="AE752" s="266"/>
      <c r="AF752" s="266"/>
      <c r="AG752" s="267"/>
      <c r="AH752" s="266" t="str">
        <f aca="false">IF(B752="","",IF(BA752="",IF(R752="WON","✅ belegt &amp; vollständig","✔ vollständig"),LEFT(BA752,LEN(BA752)-3)))</f>
        <v/>
      </c>
      <c r="AJ752" s="268" t="n">
        <f aca="false">IF(ISNUMBER(S752),IFERROR(LOOKUP(IF(S752&lt;=1,S752,S752/100),'⚖️ Wahrscheinlichkeit'!$B$17:$B$21,'⚖️ Wahrscheinlichkeit'!$D$17:$D$21),0),0)</f>
        <v>0</v>
      </c>
      <c r="AK752" s="1" t="str">
        <f aca="false">IF(AND(R752="WON",ISNUMBER(I752)),AL752+(861-ROW())*0.000001,"")</f>
        <v/>
      </c>
      <c r="AL752" s="1" t="n">
        <f aca="false">IFERROR(I752*1,0)</f>
        <v>0</v>
      </c>
      <c r="AM752" s="1" t="n">
        <f aca="false">N(AM751)+IF(AND(R752="WON",B752&lt;&gt;""),1,0)</f>
        <v>12</v>
      </c>
      <c r="AN752" s="1" t="n">
        <f aca="false">N(AN751)+IF(AND(OR(R752="offered",R752="to be offered",R752="on hold"),B752&lt;&gt;""),1,0)</f>
        <v>33</v>
      </c>
      <c r="AO752" s="1" t="n">
        <f aca="false">N(AO751)+IF(AND(OR(R752="follow-up",R752="Evaluation",R752="tbd",R752="In evaluation"),B752&lt;&gt;""),1,0)</f>
        <v>1</v>
      </c>
      <c r="AP752" s="1" t="n">
        <f aca="false">IF(B752="",0,IF(COUNTIF('⚖️ Wahrscheinlichkeit'!$J$17:$J$24,R752)&gt;0,1,0))</f>
        <v>0</v>
      </c>
      <c r="AQ752" s="1" t="n">
        <f aca="false">IF(B752="",0,IF(AND(ISNUMBER(S752),COUNTIF('⚖️ Wahrscheinlichkeit'!$B$6:$B$11,S752)&gt;0),1,0))</f>
        <v>0</v>
      </c>
      <c r="AR752" s="1" t="n">
        <f aca="false">IF(B752="",0,IF(AND(COUNT(J752:M752)=4,SUM(J752:M752)&gt;0),1,0))</f>
        <v>0</v>
      </c>
      <c r="AS752" s="1" t="n">
        <f aca="false">IF(B752="",0,IF(AND(AF752&lt;&gt;"",AG752&lt;&gt;""),1,0))</f>
        <v>0</v>
      </c>
      <c r="AT752" s="1" t="n">
        <f aca="false">IF(AND(R752="WON",AS752=1,AR752=1),1,0)</f>
        <v>0</v>
      </c>
      <c r="AU752" s="1" t="n">
        <f aca="false">IF(B752="",0,IF(AD752="Alternative – zählt nicht",0,1))</f>
        <v>0</v>
      </c>
      <c r="AV752" s="1" t="n">
        <f aca="false">IF(B752="",0,IF(COUNTIF($B$6:$B$860,B752)&gt;1,1,0))</f>
        <v>0</v>
      </c>
      <c r="AX752" s="269" t="str">
        <f aca="false">IF(AY752=1,DATE(YEAR(O752),MONTH(O752),1),"")</f>
        <v/>
      </c>
      <c r="AY752" s="1" t="n">
        <f aca="false">IF(B752="",0,IF(AND(ISNUMBER(O752),ISNUMBER(P752)),IF(P752&gt;=O752,1,0),0))</f>
        <v>0</v>
      </c>
      <c r="AZ752" s="1" t="n">
        <f aca="false">IF(ISNUMBER(Y752),Y752,0)</f>
        <v>0</v>
      </c>
      <c r="BA752" s="1" t="str">
        <f aca="false">IF(B752="","",IF(AND(R752="WON",AS752=0),"⛔ Beleg fehlt · ","")&amp;IF(AND(R752="WON",AR752=0),"⛔ Einstand fehlt · ","")&amp;IF(AND(R752&lt;&gt;"WON",AR752=0),"○ Einstand offen · ","")&amp;IF(AND(R752="WON",AB752=""),"⛔ Vertragsart fehlt · ","")&amp;IF(AND(ISNUMBER(O752),ISNUMBER(P752)),IF(P752&lt;O752,"⚠ Ende vor Start · ",""),"")&amp;IF(AND(R752="WON",AY752=0,NOT(AND(ISNUMBER(O752),ISNUMBER(P752)))),"⛔ Zeitraum fehlt · ","")&amp;IF(AND(R752&lt;&gt;"WON",AY752=0,NOT(AND(ISNUMBER(O752),ISNUMBER(P752)))),"○ Zeitraum offen · ",""))</f>
        <v/>
      </c>
      <c r="BB752" s="1" t="str">
        <f aca="false">IF(B752="","",IF(AND(R752="WON",AS752=0),"⛔ Nachweis fehlt",IF(AND(ISNUMBER(O752),ISNUMBER(P752),P752&lt;O752),"⚠ Ende vor Start",IF(AND(R752="WON",AY752=0),"⛔ Zeitraum fehlt",IF(AR752=0,"○ Einstand offen",IF(AY752=0,"○ Zeitraum offen",IF(R752="WON","✅ belegt","✔ erfasst")))))))</f>
        <v/>
      </c>
    </row>
    <row r="753" customFormat="false" ht="15" hidden="false" customHeight="true" outlineLevel="0" collapsed="false">
      <c r="G753" s="1" t="str">
        <f aca="false">IF(B753="","",IF(AY753=1,P753-O753+1,IF(AW753="","",AW753)))</f>
        <v/>
      </c>
      <c r="I753" s="270"/>
      <c r="J753" s="270"/>
      <c r="K753" s="270"/>
      <c r="L753" s="270"/>
      <c r="M753" s="270"/>
      <c r="N753" s="270"/>
      <c r="O753" s="263"/>
      <c r="P753" s="263"/>
      <c r="Q753" s="270" t="str">
        <f aca="false">IF(AND(ISNUMBER(I753),ISNUMBER(S753)),I753*AJ753,IF(OR(I753&lt;&gt;"",S753&lt;&gt;""),"tbd",""))</f>
        <v/>
      </c>
      <c r="S753" s="268"/>
      <c r="Y753" s="275" t="str">
        <f aca="false">IF(ISNUMBER(I753),I753/Netto_Faktor,"")</f>
        <v/>
      </c>
      <c r="Z753" s="275" t="str">
        <f aca="false">IF(B753="","",IF(COUNT(J753:N753)=0,"",SUM(J753:N753)))</f>
        <v/>
      </c>
      <c r="AA753" s="266"/>
      <c r="AB753" s="266"/>
      <c r="AC753" s="266"/>
      <c r="AD753" s="266"/>
      <c r="AE753" s="266"/>
      <c r="AF753" s="266"/>
      <c r="AG753" s="267"/>
      <c r="AH753" s="266" t="str">
        <f aca="false">IF(B753="","",IF(BA753="",IF(R753="WON","✅ belegt &amp; vollständig","✔ vollständig"),LEFT(BA753,LEN(BA753)-3)))</f>
        <v/>
      </c>
      <c r="AJ753" s="268" t="n">
        <f aca="false">IF(ISNUMBER(S753),IFERROR(LOOKUP(IF(S753&lt;=1,S753,S753/100),'⚖️ Wahrscheinlichkeit'!$B$17:$B$21,'⚖️ Wahrscheinlichkeit'!$D$17:$D$21),0),0)</f>
        <v>0</v>
      </c>
      <c r="AK753" s="1" t="str">
        <f aca="false">IF(AND(R753="WON",ISNUMBER(I753)),AL753+(861-ROW())*0.000001,"")</f>
        <v/>
      </c>
      <c r="AL753" s="1" t="n">
        <f aca="false">IFERROR(I753*1,0)</f>
        <v>0</v>
      </c>
      <c r="AM753" s="1" t="n">
        <f aca="false">N(AM752)+IF(AND(R753="WON",B753&lt;&gt;""),1,0)</f>
        <v>12</v>
      </c>
      <c r="AN753" s="1" t="n">
        <f aca="false">N(AN752)+IF(AND(OR(R753="offered",R753="to be offered",R753="on hold"),B753&lt;&gt;""),1,0)</f>
        <v>33</v>
      </c>
      <c r="AO753" s="1" t="n">
        <f aca="false">N(AO752)+IF(AND(OR(R753="follow-up",R753="Evaluation",R753="tbd",R753="In evaluation"),B753&lt;&gt;""),1,0)</f>
        <v>1</v>
      </c>
      <c r="AP753" s="1" t="n">
        <f aca="false">IF(B753="",0,IF(COUNTIF('⚖️ Wahrscheinlichkeit'!$J$17:$J$24,R753)&gt;0,1,0))</f>
        <v>0</v>
      </c>
      <c r="AQ753" s="1" t="n">
        <f aca="false">IF(B753="",0,IF(AND(ISNUMBER(S753),COUNTIF('⚖️ Wahrscheinlichkeit'!$B$6:$B$11,S753)&gt;0),1,0))</f>
        <v>0</v>
      </c>
      <c r="AR753" s="1" t="n">
        <f aca="false">IF(B753="",0,IF(AND(COUNT(J753:M753)=4,SUM(J753:M753)&gt;0),1,0))</f>
        <v>0</v>
      </c>
      <c r="AS753" s="1" t="n">
        <f aca="false">IF(B753="",0,IF(AND(AF753&lt;&gt;"",AG753&lt;&gt;""),1,0))</f>
        <v>0</v>
      </c>
      <c r="AT753" s="1" t="n">
        <f aca="false">IF(AND(R753="WON",AS753=1,AR753=1),1,0)</f>
        <v>0</v>
      </c>
      <c r="AU753" s="1" t="n">
        <f aca="false">IF(B753="",0,IF(AD753="Alternative – zählt nicht",0,1))</f>
        <v>0</v>
      </c>
      <c r="AV753" s="1" t="n">
        <f aca="false">IF(B753="",0,IF(COUNTIF($B$6:$B$860,B753)&gt;1,1,0))</f>
        <v>0</v>
      </c>
      <c r="AX753" s="269" t="str">
        <f aca="false">IF(AY753=1,DATE(YEAR(O753),MONTH(O753),1),"")</f>
        <v/>
      </c>
      <c r="AY753" s="1" t="n">
        <f aca="false">IF(B753="",0,IF(AND(ISNUMBER(O753),ISNUMBER(P753)),IF(P753&gt;=O753,1,0),0))</f>
        <v>0</v>
      </c>
      <c r="AZ753" s="1" t="n">
        <f aca="false">IF(ISNUMBER(Y753),Y753,0)</f>
        <v>0</v>
      </c>
      <c r="BA753" s="1" t="str">
        <f aca="false">IF(B753="","",IF(AND(R753="WON",AS753=0),"⛔ Beleg fehlt · ","")&amp;IF(AND(R753="WON",AR753=0),"⛔ Einstand fehlt · ","")&amp;IF(AND(R753&lt;&gt;"WON",AR753=0),"○ Einstand offen · ","")&amp;IF(AND(R753="WON",AB753=""),"⛔ Vertragsart fehlt · ","")&amp;IF(AND(ISNUMBER(O753),ISNUMBER(P753)),IF(P753&lt;O753,"⚠ Ende vor Start · ",""),"")&amp;IF(AND(R753="WON",AY753=0,NOT(AND(ISNUMBER(O753),ISNUMBER(P753)))),"⛔ Zeitraum fehlt · ","")&amp;IF(AND(R753&lt;&gt;"WON",AY753=0,NOT(AND(ISNUMBER(O753),ISNUMBER(P753)))),"○ Zeitraum offen · ",""))</f>
        <v/>
      </c>
      <c r="BB753" s="1" t="str">
        <f aca="false">IF(B753="","",IF(AND(R753="WON",AS753=0),"⛔ Nachweis fehlt",IF(AND(ISNUMBER(O753),ISNUMBER(P753),P753&lt;O753),"⚠ Ende vor Start",IF(AND(R753="WON",AY753=0),"⛔ Zeitraum fehlt",IF(AR753=0,"○ Einstand offen",IF(AY753=0,"○ Zeitraum offen",IF(R753="WON","✅ belegt","✔ erfasst")))))))</f>
        <v/>
      </c>
    </row>
    <row r="754" customFormat="false" ht="15" hidden="false" customHeight="true" outlineLevel="0" collapsed="false">
      <c r="G754" s="1" t="str">
        <f aca="false">IF(B754="","",IF(AY754=1,P754-O754+1,IF(AW754="","",AW754)))</f>
        <v/>
      </c>
      <c r="I754" s="270"/>
      <c r="J754" s="270"/>
      <c r="K754" s="270"/>
      <c r="L754" s="270"/>
      <c r="M754" s="270"/>
      <c r="N754" s="270"/>
      <c r="O754" s="263"/>
      <c r="P754" s="263"/>
      <c r="Q754" s="270" t="str">
        <f aca="false">IF(AND(ISNUMBER(I754),ISNUMBER(S754)),I754*AJ754,IF(OR(I754&lt;&gt;"",S754&lt;&gt;""),"tbd",""))</f>
        <v/>
      </c>
      <c r="S754" s="268"/>
      <c r="Y754" s="275" t="str">
        <f aca="false">IF(ISNUMBER(I754),I754/Netto_Faktor,"")</f>
        <v/>
      </c>
      <c r="Z754" s="275" t="str">
        <f aca="false">IF(B754="","",IF(COUNT(J754:N754)=0,"",SUM(J754:N754)))</f>
        <v/>
      </c>
      <c r="AA754" s="266"/>
      <c r="AB754" s="266"/>
      <c r="AC754" s="266"/>
      <c r="AD754" s="266"/>
      <c r="AE754" s="266"/>
      <c r="AF754" s="266"/>
      <c r="AG754" s="267"/>
      <c r="AH754" s="266" t="str">
        <f aca="false">IF(B754="","",IF(BA754="",IF(R754="WON","✅ belegt &amp; vollständig","✔ vollständig"),LEFT(BA754,LEN(BA754)-3)))</f>
        <v/>
      </c>
      <c r="AJ754" s="268" t="n">
        <f aca="false">IF(ISNUMBER(S754),IFERROR(LOOKUP(IF(S754&lt;=1,S754,S754/100),'⚖️ Wahrscheinlichkeit'!$B$17:$B$21,'⚖️ Wahrscheinlichkeit'!$D$17:$D$21),0),0)</f>
        <v>0</v>
      </c>
      <c r="AK754" s="1" t="str">
        <f aca="false">IF(AND(R754="WON",ISNUMBER(I754)),AL754+(861-ROW())*0.000001,"")</f>
        <v/>
      </c>
      <c r="AL754" s="1" t="n">
        <f aca="false">IFERROR(I754*1,0)</f>
        <v>0</v>
      </c>
      <c r="AM754" s="1" t="n">
        <f aca="false">N(AM753)+IF(AND(R754="WON",B754&lt;&gt;""),1,0)</f>
        <v>12</v>
      </c>
      <c r="AN754" s="1" t="n">
        <f aca="false">N(AN753)+IF(AND(OR(R754="offered",R754="to be offered",R754="on hold"),B754&lt;&gt;""),1,0)</f>
        <v>33</v>
      </c>
      <c r="AO754" s="1" t="n">
        <f aca="false">N(AO753)+IF(AND(OR(R754="follow-up",R754="Evaluation",R754="tbd",R754="In evaluation"),B754&lt;&gt;""),1,0)</f>
        <v>1</v>
      </c>
      <c r="AP754" s="1" t="n">
        <f aca="false">IF(B754="",0,IF(COUNTIF('⚖️ Wahrscheinlichkeit'!$J$17:$J$24,R754)&gt;0,1,0))</f>
        <v>0</v>
      </c>
      <c r="AQ754" s="1" t="n">
        <f aca="false">IF(B754="",0,IF(AND(ISNUMBER(S754),COUNTIF('⚖️ Wahrscheinlichkeit'!$B$6:$B$11,S754)&gt;0),1,0))</f>
        <v>0</v>
      </c>
      <c r="AR754" s="1" t="n">
        <f aca="false">IF(B754="",0,IF(AND(COUNT(J754:M754)=4,SUM(J754:M754)&gt;0),1,0))</f>
        <v>0</v>
      </c>
      <c r="AS754" s="1" t="n">
        <f aca="false">IF(B754="",0,IF(AND(AF754&lt;&gt;"",AG754&lt;&gt;""),1,0))</f>
        <v>0</v>
      </c>
      <c r="AT754" s="1" t="n">
        <f aca="false">IF(AND(R754="WON",AS754=1,AR754=1),1,0)</f>
        <v>0</v>
      </c>
      <c r="AU754" s="1" t="n">
        <f aca="false">IF(B754="",0,IF(AD754="Alternative – zählt nicht",0,1))</f>
        <v>0</v>
      </c>
      <c r="AV754" s="1" t="n">
        <f aca="false">IF(B754="",0,IF(COUNTIF($B$6:$B$860,B754)&gt;1,1,0))</f>
        <v>0</v>
      </c>
      <c r="AX754" s="269" t="str">
        <f aca="false">IF(AY754=1,DATE(YEAR(O754),MONTH(O754),1),"")</f>
        <v/>
      </c>
      <c r="AY754" s="1" t="n">
        <f aca="false">IF(B754="",0,IF(AND(ISNUMBER(O754),ISNUMBER(P754)),IF(P754&gt;=O754,1,0),0))</f>
        <v>0</v>
      </c>
      <c r="AZ754" s="1" t="n">
        <f aca="false">IF(ISNUMBER(Y754),Y754,0)</f>
        <v>0</v>
      </c>
      <c r="BA754" s="1" t="str">
        <f aca="false">IF(B754="","",IF(AND(R754="WON",AS754=0),"⛔ Beleg fehlt · ","")&amp;IF(AND(R754="WON",AR754=0),"⛔ Einstand fehlt · ","")&amp;IF(AND(R754&lt;&gt;"WON",AR754=0),"○ Einstand offen · ","")&amp;IF(AND(R754="WON",AB754=""),"⛔ Vertragsart fehlt · ","")&amp;IF(AND(ISNUMBER(O754),ISNUMBER(P754)),IF(P754&lt;O754,"⚠ Ende vor Start · ",""),"")&amp;IF(AND(R754="WON",AY754=0,NOT(AND(ISNUMBER(O754),ISNUMBER(P754)))),"⛔ Zeitraum fehlt · ","")&amp;IF(AND(R754&lt;&gt;"WON",AY754=0,NOT(AND(ISNUMBER(O754),ISNUMBER(P754)))),"○ Zeitraum offen · ",""))</f>
        <v/>
      </c>
      <c r="BB754" s="1" t="str">
        <f aca="false">IF(B754="","",IF(AND(R754="WON",AS754=0),"⛔ Nachweis fehlt",IF(AND(ISNUMBER(O754),ISNUMBER(P754),P754&lt;O754),"⚠ Ende vor Start",IF(AND(R754="WON",AY754=0),"⛔ Zeitraum fehlt",IF(AR754=0,"○ Einstand offen",IF(AY754=0,"○ Zeitraum offen",IF(R754="WON","✅ belegt","✔ erfasst")))))))</f>
        <v/>
      </c>
    </row>
    <row r="755" customFormat="false" ht="15" hidden="false" customHeight="true" outlineLevel="0" collapsed="false">
      <c r="G755" s="1" t="str">
        <f aca="false">IF(B755="","",IF(AY755=1,P755-O755+1,IF(AW755="","",AW755)))</f>
        <v/>
      </c>
      <c r="I755" s="270"/>
      <c r="J755" s="270"/>
      <c r="K755" s="270"/>
      <c r="L755" s="270"/>
      <c r="M755" s="270"/>
      <c r="N755" s="270"/>
      <c r="O755" s="263"/>
      <c r="P755" s="263"/>
      <c r="Q755" s="270" t="str">
        <f aca="false">IF(AND(ISNUMBER(I755),ISNUMBER(S755)),I755*AJ755,IF(OR(I755&lt;&gt;"",S755&lt;&gt;""),"tbd",""))</f>
        <v/>
      </c>
      <c r="S755" s="268"/>
      <c r="Y755" s="275" t="str">
        <f aca="false">IF(ISNUMBER(I755),I755/Netto_Faktor,"")</f>
        <v/>
      </c>
      <c r="Z755" s="275" t="str">
        <f aca="false">IF(B755="","",IF(COUNT(J755:N755)=0,"",SUM(J755:N755)))</f>
        <v/>
      </c>
      <c r="AA755" s="266"/>
      <c r="AB755" s="266"/>
      <c r="AC755" s="266"/>
      <c r="AD755" s="266"/>
      <c r="AE755" s="266"/>
      <c r="AF755" s="266"/>
      <c r="AG755" s="267"/>
      <c r="AH755" s="266" t="str">
        <f aca="false">IF(B755="","",IF(BA755="",IF(R755="WON","✅ belegt &amp; vollständig","✔ vollständig"),LEFT(BA755,LEN(BA755)-3)))</f>
        <v/>
      </c>
      <c r="AJ755" s="268" t="n">
        <f aca="false">IF(ISNUMBER(S755),IFERROR(LOOKUP(IF(S755&lt;=1,S755,S755/100),'⚖️ Wahrscheinlichkeit'!$B$17:$B$21,'⚖️ Wahrscheinlichkeit'!$D$17:$D$21),0),0)</f>
        <v>0</v>
      </c>
      <c r="AK755" s="1" t="str">
        <f aca="false">IF(AND(R755="WON",ISNUMBER(I755)),AL755+(861-ROW())*0.000001,"")</f>
        <v/>
      </c>
      <c r="AL755" s="1" t="n">
        <f aca="false">IFERROR(I755*1,0)</f>
        <v>0</v>
      </c>
      <c r="AM755" s="1" t="n">
        <f aca="false">N(AM754)+IF(AND(R755="WON",B755&lt;&gt;""),1,0)</f>
        <v>12</v>
      </c>
      <c r="AN755" s="1" t="n">
        <f aca="false">N(AN754)+IF(AND(OR(R755="offered",R755="to be offered",R755="on hold"),B755&lt;&gt;""),1,0)</f>
        <v>33</v>
      </c>
      <c r="AO755" s="1" t="n">
        <f aca="false">N(AO754)+IF(AND(OR(R755="follow-up",R755="Evaluation",R755="tbd",R755="In evaluation"),B755&lt;&gt;""),1,0)</f>
        <v>1</v>
      </c>
      <c r="AP755" s="1" t="n">
        <f aca="false">IF(B755="",0,IF(COUNTIF('⚖️ Wahrscheinlichkeit'!$J$17:$J$24,R755)&gt;0,1,0))</f>
        <v>0</v>
      </c>
      <c r="AQ755" s="1" t="n">
        <f aca="false">IF(B755="",0,IF(AND(ISNUMBER(S755),COUNTIF('⚖️ Wahrscheinlichkeit'!$B$6:$B$11,S755)&gt;0),1,0))</f>
        <v>0</v>
      </c>
      <c r="AR755" s="1" t="n">
        <f aca="false">IF(B755="",0,IF(AND(COUNT(J755:M755)=4,SUM(J755:M755)&gt;0),1,0))</f>
        <v>0</v>
      </c>
      <c r="AS755" s="1" t="n">
        <f aca="false">IF(B755="",0,IF(AND(AF755&lt;&gt;"",AG755&lt;&gt;""),1,0))</f>
        <v>0</v>
      </c>
      <c r="AT755" s="1" t="n">
        <f aca="false">IF(AND(R755="WON",AS755=1,AR755=1),1,0)</f>
        <v>0</v>
      </c>
      <c r="AU755" s="1" t="n">
        <f aca="false">IF(B755="",0,IF(AD755="Alternative – zählt nicht",0,1))</f>
        <v>0</v>
      </c>
      <c r="AV755" s="1" t="n">
        <f aca="false">IF(B755="",0,IF(COUNTIF($B$6:$B$860,B755)&gt;1,1,0))</f>
        <v>0</v>
      </c>
      <c r="AX755" s="269" t="str">
        <f aca="false">IF(AY755=1,DATE(YEAR(O755),MONTH(O755),1),"")</f>
        <v/>
      </c>
      <c r="AY755" s="1" t="n">
        <f aca="false">IF(B755="",0,IF(AND(ISNUMBER(O755),ISNUMBER(P755)),IF(P755&gt;=O755,1,0),0))</f>
        <v>0</v>
      </c>
      <c r="AZ755" s="1" t="n">
        <f aca="false">IF(ISNUMBER(Y755),Y755,0)</f>
        <v>0</v>
      </c>
      <c r="BA755" s="1" t="str">
        <f aca="false">IF(B755="","",IF(AND(R755="WON",AS755=0),"⛔ Beleg fehlt · ","")&amp;IF(AND(R755="WON",AR755=0),"⛔ Einstand fehlt · ","")&amp;IF(AND(R755&lt;&gt;"WON",AR755=0),"○ Einstand offen · ","")&amp;IF(AND(R755="WON",AB755=""),"⛔ Vertragsart fehlt · ","")&amp;IF(AND(ISNUMBER(O755),ISNUMBER(P755)),IF(P755&lt;O755,"⚠ Ende vor Start · ",""),"")&amp;IF(AND(R755="WON",AY755=0,NOT(AND(ISNUMBER(O755),ISNUMBER(P755)))),"⛔ Zeitraum fehlt · ","")&amp;IF(AND(R755&lt;&gt;"WON",AY755=0,NOT(AND(ISNUMBER(O755),ISNUMBER(P755)))),"○ Zeitraum offen · ",""))</f>
        <v/>
      </c>
      <c r="BB755" s="1" t="str">
        <f aca="false">IF(B755="","",IF(AND(R755="WON",AS755=0),"⛔ Nachweis fehlt",IF(AND(ISNUMBER(O755),ISNUMBER(P755),P755&lt;O755),"⚠ Ende vor Start",IF(AND(R755="WON",AY755=0),"⛔ Zeitraum fehlt",IF(AR755=0,"○ Einstand offen",IF(AY755=0,"○ Zeitraum offen",IF(R755="WON","✅ belegt","✔ erfasst")))))))</f>
        <v/>
      </c>
    </row>
    <row r="756" customFormat="false" ht="15" hidden="false" customHeight="true" outlineLevel="0" collapsed="false">
      <c r="G756" s="1" t="str">
        <f aca="false">IF(B756="","",IF(AY756=1,P756-O756+1,IF(AW756="","",AW756)))</f>
        <v/>
      </c>
      <c r="I756" s="270"/>
      <c r="J756" s="270"/>
      <c r="K756" s="270"/>
      <c r="L756" s="270"/>
      <c r="M756" s="270"/>
      <c r="N756" s="270"/>
      <c r="O756" s="263"/>
      <c r="P756" s="263"/>
      <c r="Q756" s="270" t="str">
        <f aca="false">IF(AND(ISNUMBER(I756),ISNUMBER(S756)),I756*AJ756,IF(OR(I756&lt;&gt;"",S756&lt;&gt;""),"tbd",""))</f>
        <v/>
      </c>
      <c r="S756" s="268"/>
      <c r="Y756" s="275" t="str">
        <f aca="false">IF(ISNUMBER(I756),I756/Netto_Faktor,"")</f>
        <v/>
      </c>
      <c r="Z756" s="275" t="str">
        <f aca="false">IF(B756="","",IF(COUNT(J756:N756)=0,"",SUM(J756:N756)))</f>
        <v/>
      </c>
      <c r="AA756" s="266"/>
      <c r="AB756" s="266"/>
      <c r="AC756" s="266"/>
      <c r="AD756" s="266"/>
      <c r="AE756" s="266"/>
      <c r="AF756" s="266"/>
      <c r="AG756" s="267"/>
      <c r="AH756" s="266" t="str">
        <f aca="false">IF(B756="","",IF(BA756="",IF(R756="WON","✅ belegt &amp; vollständig","✔ vollständig"),LEFT(BA756,LEN(BA756)-3)))</f>
        <v/>
      </c>
      <c r="AJ756" s="268" t="n">
        <f aca="false">IF(ISNUMBER(S756),IFERROR(LOOKUP(IF(S756&lt;=1,S756,S756/100),'⚖️ Wahrscheinlichkeit'!$B$17:$B$21,'⚖️ Wahrscheinlichkeit'!$D$17:$D$21),0),0)</f>
        <v>0</v>
      </c>
      <c r="AK756" s="1" t="str">
        <f aca="false">IF(AND(R756="WON",ISNUMBER(I756)),AL756+(861-ROW())*0.000001,"")</f>
        <v/>
      </c>
      <c r="AL756" s="1" t="n">
        <f aca="false">IFERROR(I756*1,0)</f>
        <v>0</v>
      </c>
      <c r="AM756" s="1" t="n">
        <f aca="false">N(AM755)+IF(AND(R756="WON",B756&lt;&gt;""),1,0)</f>
        <v>12</v>
      </c>
      <c r="AN756" s="1" t="n">
        <f aca="false">N(AN755)+IF(AND(OR(R756="offered",R756="to be offered",R756="on hold"),B756&lt;&gt;""),1,0)</f>
        <v>33</v>
      </c>
      <c r="AO756" s="1" t="n">
        <f aca="false">N(AO755)+IF(AND(OR(R756="follow-up",R756="Evaluation",R756="tbd",R756="In evaluation"),B756&lt;&gt;""),1,0)</f>
        <v>1</v>
      </c>
      <c r="AP756" s="1" t="n">
        <f aca="false">IF(B756="",0,IF(COUNTIF('⚖️ Wahrscheinlichkeit'!$J$17:$J$24,R756)&gt;0,1,0))</f>
        <v>0</v>
      </c>
      <c r="AQ756" s="1" t="n">
        <f aca="false">IF(B756="",0,IF(AND(ISNUMBER(S756),COUNTIF('⚖️ Wahrscheinlichkeit'!$B$6:$B$11,S756)&gt;0),1,0))</f>
        <v>0</v>
      </c>
      <c r="AR756" s="1" t="n">
        <f aca="false">IF(B756="",0,IF(AND(COUNT(J756:M756)=4,SUM(J756:M756)&gt;0),1,0))</f>
        <v>0</v>
      </c>
      <c r="AS756" s="1" t="n">
        <f aca="false">IF(B756="",0,IF(AND(AF756&lt;&gt;"",AG756&lt;&gt;""),1,0))</f>
        <v>0</v>
      </c>
      <c r="AT756" s="1" t="n">
        <f aca="false">IF(AND(R756="WON",AS756=1,AR756=1),1,0)</f>
        <v>0</v>
      </c>
      <c r="AU756" s="1" t="n">
        <f aca="false">IF(B756="",0,IF(AD756="Alternative – zählt nicht",0,1))</f>
        <v>0</v>
      </c>
      <c r="AV756" s="1" t="n">
        <f aca="false">IF(B756="",0,IF(COUNTIF($B$6:$B$860,B756)&gt;1,1,0))</f>
        <v>0</v>
      </c>
      <c r="AX756" s="269" t="str">
        <f aca="false">IF(AY756=1,DATE(YEAR(O756),MONTH(O756),1),"")</f>
        <v/>
      </c>
      <c r="AY756" s="1" t="n">
        <f aca="false">IF(B756="",0,IF(AND(ISNUMBER(O756),ISNUMBER(P756)),IF(P756&gt;=O756,1,0),0))</f>
        <v>0</v>
      </c>
      <c r="AZ756" s="1" t="n">
        <f aca="false">IF(ISNUMBER(Y756),Y756,0)</f>
        <v>0</v>
      </c>
      <c r="BA756" s="1" t="str">
        <f aca="false">IF(B756="","",IF(AND(R756="WON",AS756=0),"⛔ Beleg fehlt · ","")&amp;IF(AND(R756="WON",AR756=0),"⛔ Einstand fehlt · ","")&amp;IF(AND(R756&lt;&gt;"WON",AR756=0),"○ Einstand offen · ","")&amp;IF(AND(R756="WON",AB756=""),"⛔ Vertragsart fehlt · ","")&amp;IF(AND(ISNUMBER(O756),ISNUMBER(P756)),IF(P756&lt;O756,"⚠ Ende vor Start · ",""),"")&amp;IF(AND(R756="WON",AY756=0,NOT(AND(ISNUMBER(O756),ISNUMBER(P756)))),"⛔ Zeitraum fehlt · ","")&amp;IF(AND(R756&lt;&gt;"WON",AY756=0,NOT(AND(ISNUMBER(O756),ISNUMBER(P756)))),"○ Zeitraum offen · ",""))</f>
        <v/>
      </c>
      <c r="BB756" s="1" t="str">
        <f aca="false">IF(B756="","",IF(AND(R756="WON",AS756=0),"⛔ Nachweis fehlt",IF(AND(ISNUMBER(O756),ISNUMBER(P756),P756&lt;O756),"⚠ Ende vor Start",IF(AND(R756="WON",AY756=0),"⛔ Zeitraum fehlt",IF(AR756=0,"○ Einstand offen",IF(AY756=0,"○ Zeitraum offen",IF(R756="WON","✅ belegt","✔ erfasst")))))))</f>
        <v/>
      </c>
    </row>
    <row r="757" customFormat="false" ht="15" hidden="false" customHeight="true" outlineLevel="0" collapsed="false">
      <c r="G757" s="1" t="str">
        <f aca="false">IF(B757="","",IF(AY757=1,P757-O757+1,IF(AW757="","",AW757)))</f>
        <v/>
      </c>
      <c r="I757" s="270"/>
      <c r="J757" s="270"/>
      <c r="K757" s="270"/>
      <c r="L757" s="270"/>
      <c r="M757" s="270"/>
      <c r="N757" s="270"/>
      <c r="O757" s="263"/>
      <c r="P757" s="263"/>
      <c r="Q757" s="270" t="str">
        <f aca="false">IF(AND(ISNUMBER(I757),ISNUMBER(S757)),I757*AJ757,IF(OR(I757&lt;&gt;"",S757&lt;&gt;""),"tbd",""))</f>
        <v/>
      </c>
      <c r="S757" s="268"/>
      <c r="Y757" s="275" t="str">
        <f aca="false">IF(ISNUMBER(I757),I757/Netto_Faktor,"")</f>
        <v/>
      </c>
      <c r="Z757" s="275" t="str">
        <f aca="false">IF(B757="","",IF(COUNT(J757:N757)=0,"",SUM(J757:N757)))</f>
        <v/>
      </c>
      <c r="AA757" s="266"/>
      <c r="AB757" s="266"/>
      <c r="AC757" s="266"/>
      <c r="AD757" s="266"/>
      <c r="AE757" s="266"/>
      <c r="AF757" s="266"/>
      <c r="AG757" s="267"/>
      <c r="AH757" s="266" t="str">
        <f aca="false">IF(B757="","",IF(BA757="",IF(R757="WON","✅ belegt &amp; vollständig","✔ vollständig"),LEFT(BA757,LEN(BA757)-3)))</f>
        <v/>
      </c>
      <c r="AJ757" s="268" t="n">
        <f aca="false">IF(ISNUMBER(S757),IFERROR(LOOKUP(IF(S757&lt;=1,S757,S757/100),'⚖️ Wahrscheinlichkeit'!$B$17:$B$21,'⚖️ Wahrscheinlichkeit'!$D$17:$D$21),0),0)</f>
        <v>0</v>
      </c>
      <c r="AK757" s="1" t="str">
        <f aca="false">IF(AND(R757="WON",ISNUMBER(I757)),AL757+(861-ROW())*0.000001,"")</f>
        <v/>
      </c>
      <c r="AL757" s="1" t="n">
        <f aca="false">IFERROR(I757*1,0)</f>
        <v>0</v>
      </c>
      <c r="AM757" s="1" t="n">
        <f aca="false">N(AM756)+IF(AND(R757="WON",B757&lt;&gt;""),1,0)</f>
        <v>12</v>
      </c>
      <c r="AN757" s="1" t="n">
        <f aca="false">N(AN756)+IF(AND(OR(R757="offered",R757="to be offered",R757="on hold"),B757&lt;&gt;""),1,0)</f>
        <v>33</v>
      </c>
      <c r="AO757" s="1" t="n">
        <f aca="false">N(AO756)+IF(AND(OR(R757="follow-up",R757="Evaluation",R757="tbd",R757="In evaluation"),B757&lt;&gt;""),1,0)</f>
        <v>1</v>
      </c>
      <c r="AP757" s="1" t="n">
        <f aca="false">IF(B757="",0,IF(COUNTIF('⚖️ Wahrscheinlichkeit'!$J$17:$J$24,R757)&gt;0,1,0))</f>
        <v>0</v>
      </c>
      <c r="AQ757" s="1" t="n">
        <f aca="false">IF(B757="",0,IF(AND(ISNUMBER(S757),COUNTIF('⚖️ Wahrscheinlichkeit'!$B$6:$B$11,S757)&gt;0),1,0))</f>
        <v>0</v>
      </c>
      <c r="AR757" s="1" t="n">
        <f aca="false">IF(B757="",0,IF(AND(COUNT(J757:M757)=4,SUM(J757:M757)&gt;0),1,0))</f>
        <v>0</v>
      </c>
      <c r="AS757" s="1" t="n">
        <f aca="false">IF(B757="",0,IF(AND(AF757&lt;&gt;"",AG757&lt;&gt;""),1,0))</f>
        <v>0</v>
      </c>
      <c r="AT757" s="1" t="n">
        <f aca="false">IF(AND(R757="WON",AS757=1,AR757=1),1,0)</f>
        <v>0</v>
      </c>
      <c r="AU757" s="1" t="n">
        <f aca="false">IF(B757="",0,IF(AD757="Alternative – zählt nicht",0,1))</f>
        <v>0</v>
      </c>
      <c r="AV757" s="1" t="n">
        <f aca="false">IF(B757="",0,IF(COUNTIF($B$6:$B$860,B757)&gt;1,1,0))</f>
        <v>0</v>
      </c>
      <c r="AX757" s="269" t="str">
        <f aca="false">IF(AY757=1,DATE(YEAR(O757),MONTH(O757),1),"")</f>
        <v/>
      </c>
      <c r="AY757" s="1" t="n">
        <f aca="false">IF(B757="",0,IF(AND(ISNUMBER(O757),ISNUMBER(P757)),IF(P757&gt;=O757,1,0),0))</f>
        <v>0</v>
      </c>
      <c r="AZ757" s="1" t="n">
        <f aca="false">IF(ISNUMBER(Y757),Y757,0)</f>
        <v>0</v>
      </c>
      <c r="BA757" s="1" t="str">
        <f aca="false">IF(B757="","",IF(AND(R757="WON",AS757=0),"⛔ Beleg fehlt · ","")&amp;IF(AND(R757="WON",AR757=0),"⛔ Einstand fehlt · ","")&amp;IF(AND(R757&lt;&gt;"WON",AR757=0),"○ Einstand offen · ","")&amp;IF(AND(R757="WON",AB757=""),"⛔ Vertragsart fehlt · ","")&amp;IF(AND(ISNUMBER(O757),ISNUMBER(P757)),IF(P757&lt;O757,"⚠ Ende vor Start · ",""),"")&amp;IF(AND(R757="WON",AY757=0,NOT(AND(ISNUMBER(O757),ISNUMBER(P757)))),"⛔ Zeitraum fehlt · ","")&amp;IF(AND(R757&lt;&gt;"WON",AY757=0,NOT(AND(ISNUMBER(O757),ISNUMBER(P757)))),"○ Zeitraum offen · ",""))</f>
        <v/>
      </c>
      <c r="BB757" s="1" t="str">
        <f aca="false">IF(B757="","",IF(AND(R757="WON",AS757=0),"⛔ Nachweis fehlt",IF(AND(ISNUMBER(O757),ISNUMBER(P757),P757&lt;O757),"⚠ Ende vor Start",IF(AND(R757="WON",AY757=0),"⛔ Zeitraum fehlt",IF(AR757=0,"○ Einstand offen",IF(AY757=0,"○ Zeitraum offen",IF(R757="WON","✅ belegt","✔ erfasst")))))))</f>
        <v/>
      </c>
    </row>
    <row r="758" customFormat="false" ht="15" hidden="false" customHeight="true" outlineLevel="0" collapsed="false">
      <c r="G758" s="1" t="str">
        <f aca="false">IF(B758="","",IF(AY758=1,P758-O758+1,IF(AW758="","",AW758)))</f>
        <v/>
      </c>
      <c r="I758" s="270"/>
      <c r="J758" s="270"/>
      <c r="K758" s="270"/>
      <c r="L758" s="270"/>
      <c r="M758" s="270"/>
      <c r="N758" s="270"/>
      <c r="O758" s="263"/>
      <c r="P758" s="263"/>
      <c r="Q758" s="270" t="str">
        <f aca="false">IF(AND(ISNUMBER(I758),ISNUMBER(S758)),I758*AJ758,IF(OR(I758&lt;&gt;"",S758&lt;&gt;""),"tbd",""))</f>
        <v/>
      </c>
      <c r="S758" s="268"/>
      <c r="Y758" s="275" t="str">
        <f aca="false">IF(ISNUMBER(I758),I758/Netto_Faktor,"")</f>
        <v/>
      </c>
      <c r="Z758" s="275" t="str">
        <f aca="false">IF(B758="","",IF(COUNT(J758:N758)=0,"",SUM(J758:N758)))</f>
        <v/>
      </c>
      <c r="AA758" s="266"/>
      <c r="AB758" s="266"/>
      <c r="AC758" s="266"/>
      <c r="AD758" s="266"/>
      <c r="AE758" s="266"/>
      <c r="AF758" s="266"/>
      <c r="AG758" s="267"/>
      <c r="AH758" s="266" t="str">
        <f aca="false">IF(B758="","",IF(BA758="",IF(R758="WON","✅ belegt &amp; vollständig","✔ vollständig"),LEFT(BA758,LEN(BA758)-3)))</f>
        <v/>
      </c>
      <c r="AJ758" s="268" t="n">
        <f aca="false">IF(ISNUMBER(S758),IFERROR(LOOKUP(IF(S758&lt;=1,S758,S758/100),'⚖️ Wahrscheinlichkeit'!$B$17:$B$21,'⚖️ Wahrscheinlichkeit'!$D$17:$D$21),0),0)</f>
        <v>0</v>
      </c>
      <c r="AK758" s="1" t="str">
        <f aca="false">IF(AND(R758="WON",ISNUMBER(I758)),AL758+(861-ROW())*0.000001,"")</f>
        <v/>
      </c>
      <c r="AL758" s="1" t="n">
        <f aca="false">IFERROR(I758*1,0)</f>
        <v>0</v>
      </c>
      <c r="AM758" s="1" t="n">
        <f aca="false">N(AM757)+IF(AND(R758="WON",B758&lt;&gt;""),1,0)</f>
        <v>12</v>
      </c>
      <c r="AN758" s="1" t="n">
        <f aca="false">N(AN757)+IF(AND(OR(R758="offered",R758="to be offered",R758="on hold"),B758&lt;&gt;""),1,0)</f>
        <v>33</v>
      </c>
      <c r="AO758" s="1" t="n">
        <f aca="false">N(AO757)+IF(AND(OR(R758="follow-up",R758="Evaluation",R758="tbd",R758="In evaluation"),B758&lt;&gt;""),1,0)</f>
        <v>1</v>
      </c>
      <c r="AP758" s="1" t="n">
        <f aca="false">IF(B758="",0,IF(COUNTIF('⚖️ Wahrscheinlichkeit'!$J$17:$J$24,R758)&gt;0,1,0))</f>
        <v>0</v>
      </c>
      <c r="AQ758" s="1" t="n">
        <f aca="false">IF(B758="",0,IF(AND(ISNUMBER(S758),COUNTIF('⚖️ Wahrscheinlichkeit'!$B$6:$B$11,S758)&gt;0),1,0))</f>
        <v>0</v>
      </c>
      <c r="AR758" s="1" t="n">
        <f aca="false">IF(B758="",0,IF(AND(COUNT(J758:M758)=4,SUM(J758:M758)&gt;0),1,0))</f>
        <v>0</v>
      </c>
      <c r="AS758" s="1" t="n">
        <f aca="false">IF(B758="",0,IF(AND(AF758&lt;&gt;"",AG758&lt;&gt;""),1,0))</f>
        <v>0</v>
      </c>
      <c r="AT758" s="1" t="n">
        <f aca="false">IF(AND(R758="WON",AS758=1,AR758=1),1,0)</f>
        <v>0</v>
      </c>
      <c r="AU758" s="1" t="n">
        <f aca="false">IF(B758="",0,IF(AD758="Alternative – zählt nicht",0,1))</f>
        <v>0</v>
      </c>
      <c r="AV758" s="1" t="n">
        <f aca="false">IF(B758="",0,IF(COUNTIF($B$6:$B$860,B758)&gt;1,1,0))</f>
        <v>0</v>
      </c>
      <c r="AX758" s="269" t="str">
        <f aca="false">IF(AY758=1,DATE(YEAR(O758),MONTH(O758),1),"")</f>
        <v/>
      </c>
      <c r="AY758" s="1" t="n">
        <f aca="false">IF(B758="",0,IF(AND(ISNUMBER(O758),ISNUMBER(P758)),IF(P758&gt;=O758,1,0),0))</f>
        <v>0</v>
      </c>
      <c r="AZ758" s="1" t="n">
        <f aca="false">IF(ISNUMBER(Y758),Y758,0)</f>
        <v>0</v>
      </c>
      <c r="BA758" s="1" t="str">
        <f aca="false">IF(B758="","",IF(AND(R758="WON",AS758=0),"⛔ Beleg fehlt · ","")&amp;IF(AND(R758="WON",AR758=0),"⛔ Einstand fehlt · ","")&amp;IF(AND(R758&lt;&gt;"WON",AR758=0),"○ Einstand offen · ","")&amp;IF(AND(R758="WON",AB758=""),"⛔ Vertragsart fehlt · ","")&amp;IF(AND(ISNUMBER(O758),ISNUMBER(P758)),IF(P758&lt;O758,"⚠ Ende vor Start · ",""),"")&amp;IF(AND(R758="WON",AY758=0,NOT(AND(ISNUMBER(O758),ISNUMBER(P758)))),"⛔ Zeitraum fehlt · ","")&amp;IF(AND(R758&lt;&gt;"WON",AY758=0,NOT(AND(ISNUMBER(O758),ISNUMBER(P758)))),"○ Zeitraum offen · ",""))</f>
        <v/>
      </c>
      <c r="BB758" s="1" t="str">
        <f aca="false">IF(B758="","",IF(AND(R758="WON",AS758=0),"⛔ Nachweis fehlt",IF(AND(ISNUMBER(O758),ISNUMBER(P758),P758&lt;O758),"⚠ Ende vor Start",IF(AND(R758="WON",AY758=0),"⛔ Zeitraum fehlt",IF(AR758=0,"○ Einstand offen",IF(AY758=0,"○ Zeitraum offen",IF(R758="WON","✅ belegt","✔ erfasst")))))))</f>
        <v/>
      </c>
    </row>
    <row r="759" customFormat="false" ht="15" hidden="false" customHeight="true" outlineLevel="0" collapsed="false">
      <c r="G759" s="1" t="str">
        <f aca="false">IF(B759="","",IF(AY759=1,P759-O759+1,IF(AW759="","",AW759)))</f>
        <v/>
      </c>
      <c r="I759" s="270"/>
      <c r="J759" s="270"/>
      <c r="K759" s="270"/>
      <c r="L759" s="270"/>
      <c r="M759" s="270"/>
      <c r="N759" s="270"/>
      <c r="O759" s="263"/>
      <c r="P759" s="263"/>
      <c r="Q759" s="270" t="str">
        <f aca="false">IF(AND(ISNUMBER(I759),ISNUMBER(S759)),I759*AJ759,IF(OR(I759&lt;&gt;"",S759&lt;&gt;""),"tbd",""))</f>
        <v/>
      </c>
      <c r="S759" s="268"/>
      <c r="Y759" s="275" t="str">
        <f aca="false">IF(ISNUMBER(I759),I759/Netto_Faktor,"")</f>
        <v/>
      </c>
      <c r="Z759" s="275" t="str">
        <f aca="false">IF(B759="","",IF(COUNT(J759:N759)=0,"",SUM(J759:N759)))</f>
        <v/>
      </c>
      <c r="AA759" s="266"/>
      <c r="AB759" s="266"/>
      <c r="AC759" s="266"/>
      <c r="AD759" s="266"/>
      <c r="AE759" s="266"/>
      <c r="AF759" s="266"/>
      <c r="AG759" s="267"/>
      <c r="AH759" s="266" t="str">
        <f aca="false">IF(B759="","",IF(BA759="",IF(R759="WON","✅ belegt &amp; vollständig","✔ vollständig"),LEFT(BA759,LEN(BA759)-3)))</f>
        <v/>
      </c>
      <c r="AJ759" s="268" t="n">
        <f aca="false">IF(ISNUMBER(S759),IFERROR(LOOKUP(IF(S759&lt;=1,S759,S759/100),'⚖️ Wahrscheinlichkeit'!$B$17:$B$21,'⚖️ Wahrscheinlichkeit'!$D$17:$D$21),0),0)</f>
        <v>0</v>
      </c>
      <c r="AK759" s="1" t="str">
        <f aca="false">IF(AND(R759="WON",ISNUMBER(I759)),AL759+(861-ROW())*0.000001,"")</f>
        <v/>
      </c>
      <c r="AL759" s="1" t="n">
        <f aca="false">IFERROR(I759*1,0)</f>
        <v>0</v>
      </c>
      <c r="AM759" s="1" t="n">
        <f aca="false">N(AM758)+IF(AND(R759="WON",B759&lt;&gt;""),1,0)</f>
        <v>12</v>
      </c>
      <c r="AN759" s="1" t="n">
        <f aca="false">N(AN758)+IF(AND(OR(R759="offered",R759="to be offered",R759="on hold"),B759&lt;&gt;""),1,0)</f>
        <v>33</v>
      </c>
      <c r="AO759" s="1" t="n">
        <f aca="false">N(AO758)+IF(AND(OR(R759="follow-up",R759="Evaluation",R759="tbd",R759="In evaluation"),B759&lt;&gt;""),1,0)</f>
        <v>1</v>
      </c>
      <c r="AP759" s="1" t="n">
        <f aca="false">IF(B759="",0,IF(COUNTIF('⚖️ Wahrscheinlichkeit'!$J$17:$J$24,R759)&gt;0,1,0))</f>
        <v>0</v>
      </c>
      <c r="AQ759" s="1" t="n">
        <f aca="false">IF(B759="",0,IF(AND(ISNUMBER(S759),COUNTIF('⚖️ Wahrscheinlichkeit'!$B$6:$B$11,S759)&gt;0),1,0))</f>
        <v>0</v>
      </c>
      <c r="AR759" s="1" t="n">
        <f aca="false">IF(B759="",0,IF(AND(COUNT(J759:M759)=4,SUM(J759:M759)&gt;0),1,0))</f>
        <v>0</v>
      </c>
      <c r="AS759" s="1" t="n">
        <f aca="false">IF(B759="",0,IF(AND(AF759&lt;&gt;"",AG759&lt;&gt;""),1,0))</f>
        <v>0</v>
      </c>
      <c r="AT759" s="1" t="n">
        <f aca="false">IF(AND(R759="WON",AS759=1,AR759=1),1,0)</f>
        <v>0</v>
      </c>
      <c r="AU759" s="1" t="n">
        <f aca="false">IF(B759="",0,IF(AD759="Alternative – zählt nicht",0,1))</f>
        <v>0</v>
      </c>
      <c r="AV759" s="1" t="n">
        <f aca="false">IF(B759="",0,IF(COUNTIF($B$6:$B$860,B759)&gt;1,1,0))</f>
        <v>0</v>
      </c>
      <c r="AX759" s="269" t="str">
        <f aca="false">IF(AY759=1,DATE(YEAR(O759),MONTH(O759),1),"")</f>
        <v/>
      </c>
      <c r="AY759" s="1" t="n">
        <f aca="false">IF(B759="",0,IF(AND(ISNUMBER(O759),ISNUMBER(P759)),IF(P759&gt;=O759,1,0),0))</f>
        <v>0</v>
      </c>
      <c r="AZ759" s="1" t="n">
        <f aca="false">IF(ISNUMBER(Y759),Y759,0)</f>
        <v>0</v>
      </c>
      <c r="BA759" s="1" t="str">
        <f aca="false">IF(B759="","",IF(AND(R759="WON",AS759=0),"⛔ Beleg fehlt · ","")&amp;IF(AND(R759="WON",AR759=0),"⛔ Einstand fehlt · ","")&amp;IF(AND(R759&lt;&gt;"WON",AR759=0),"○ Einstand offen · ","")&amp;IF(AND(R759="WON",AB759=""),"⛔ Vertragsart fehlt · ","")&amp;IF(AND(ISNUMBER(O759),ISNUMBER(P759)),IF(P759&lt;O759,"⚠ Ende vor Start · ",""),"")&amp;IF(AND(R759="WON",AY759=0,NOT(AND(ISNUMBER(O759),ISNUMBER(P759)))),"⛔ Zeitraum fehlt · ","")&amp;IF(AND(R759&lt;&gt;"WON",AY759=0,NOT(AND(ISNUMBER(O759),ISNUMBER(P759)))),"○ Zeitraum offen · ",""))</f>
        <v/>
      </c>
      <c r="BB759" s="1" t="str">
        <f aca="false">IF(B759="","",IF(AND(R759="WON",AS759=0),"⛔ Nachweis fehlt",IF(AND(ISNUMBER(O759),ISNUMBER(P759),P759&lt;O759),"⚠ Ende vor Start",IF(AND(R759="WON",AY759=0),"⛔ Zeitraum fehlt",IF(AR759=0,"○ Einstand offen",IF(AY759=0,"○ Zeitraum offen",IF(R759="WON","✅ belegt","✔ erfasst")))))))</f>
        <v/>
      </c>
    </row>
    <row r="760" customFormat="false" ht="15" hidden="false" customHeight="true" outlineLevel="0" collapsed="false">
      <c r="G760" s="1" t="str">
        <f aca="false">IF(B760="","",IF(AY760=1,P760-O760+1,IF(AW760="","",AW760)))</f>
        <v/>
      </c>
      <c r="I760" s="270"/>
      <c r="J760" s="270"/>
      <c r="K760" s="270"/>
      <c r="L760" s="270"/>
      <c r="M760" s="270"/>
      <c r="N760" s="270"/>
      <c r="O760" s="263"/>
      <c r="P760" s="263"/>
      <c r="Q760" s="270" t="str">
        <f aca="false">IF(AND(ISNUMBER(I760),ISNUMBER(S760)),I760*AJ760,IF(OR(I760&lt;&gt;"",S760&lt;&gt;""),"tbd",""))</f>
        <v/>
      </c>
      <c r="S760" s="268"/>
      <c r="Y760" s="275" t="str">
        <f aca="false">IF(ISNUMBER(I760),I760/Netto_Faktor,"")</f>
        <v/>
      </c>
      <c r="Z760" s="275" t="str">
        <f aca="false">IF(B760="","",IF(COUNT(J760:N760)=0,"",SUM(J760:N760)))</f>
        <v/>
      </c>
      <c r="AA760" s="266"/>
      <c r="AB760" s="266"/>
      <c r="AC760" s="266"/>
      <c r="AD760" s="266"/>
      <c r="AE760" s="266"/>
      <c r="AF760" s="266"/>
      <c r="AG760" s="267"/>
      <c r="AH760" s="266" t="str">
        <f aca="false">IF(B760="","",IF(BA760="",IF(R760="WON","✅ belegt &amp; vollständig","✔ vollständig"),LEFT(BA760,LEN(BA760)-3)))</f>
        <v/>
      </c>
      <c r="AJ760" s="268" t="n">
        <f aca="false">IF(ISNUMBER(S760),IFERROR(LOOKUP(IF(S760&lt;=1,S760,S760/100),'⚖️ Wahrscheinlichkeit'!$B$17:$B$21,'⚖️ Wahrscheinlichkeit'!$D$17:$D$21),0),0)</f>
        <v>0</v>
      </c>
      <c r="AK760" s="1" t="str">
        <f aca="false">IF(AND(R760="WON",ISNUMBER(I760)),AL760+(861-ROW())*0.000001,"")</f>
        <v/>
      </c>
      <c r="AL760" s="1" t="n">
        <f aca="false">IFERROR(I760*1,0)</f>
        <v>0</v>
      </c>
      <c r="AM760" s="1" t="n">
        <f aca="false">N(AM759)+IF(AND(R760="WON",B760&lt;&gt;""),1,0)</f>
        <v>12</v>
      </c>
      <c r="AN760" s="1" t="n">
        <f aca="false">N(AN759)+IF(AND(OR(R760="offered",R760="to be offered",R760="on hold"),B760&lt;&gt;""),1,0)</f>
        <v>33</v>
      </c>
      <c r="AO760" s="1" t="n">
        <f aca="false">N(AO759)+IF(AND(OR(R760="follow-up",R760="Evaluation",R760="tbd",R760="In evaluation"),B760&lt;&gt;""),1,0)</f>
        <v>1</v>
      </c>
      <c r="AP760" s="1" t="n">
        <f aca="false">IF(B760="",0,IF(COUNTIF('⚖️ Wahrscheinlichkeit'!$J$17:$J$24,R760)&gt;0,1,0))</f>
        <v>0</v>
      </c>
      <c r="AQ760" s="1" t="n">
        <f aca="false">IF(B760="",0,IF(AND(ISNUMBER(S760),COUNTIF('⚖️ Wahrscheinlichkeit'!$B$6:$B$11,S760)&gt;0),1,0))</f>
        <v>0</v>
      </c>
      <c r="AR760" s="1" t="n">
        <f aca="false">IF(B760="",0,IF(AND(COUNT(J760:M760)=4,SUM(J760:M760)&gt;0),1,0))</f>
        <v>0</v>
      </c>
      <c r="AS760" s="1" t="n">
        <f aca="false">IF(B760="",0,IF(AND(AF760&lt;&gt;"",AG760&lt;&gt;""),1,0))</f>
        <v>0</v>
      </c>
      <c r="AT760" s="1" t="n">
        <f aca="false">IF(AND(R760="WON",AS760=1,AR760=1),1,0)</f>
        <v>0</v>
      </c>
      <c r="AU760" s="1" t="n">
        <f aca="false">IF(B760="",0,IF(AD760="Alternative – zählt nicht",0,1))</f>
        <v>0</v>
      </c>
      <c r="AV760" s="1" t="n">
        <f aca="false">IF(B760="",0,IF(COUNTIF($B$6:$B$860,B760)&gt;1,1,0))</f>
        <v>0</v>
      </c>
      <c r="AX760" s="269" t="str">
        <f aca="false">IF(AY760=1,DATE(YEAR(O760),MONTH(O760),1),"")</f>
        <v/>
      </c>
      <c r="AY760" s="1" t="n">
        <f aca="false">IF(B760="",0,IF(AND(ISNUMBER(O760),ISNUMBER(P760)),IF(P760&gt;=O760,1,0),0))</f>
        <v>0</v>
      </c>
      <c r="AZ760" s="1" t="n">
        <f aca="false">IF(ISNUMBER(Y760),Y760,0)</f>
        <v>0</v>
      </c>
      <c r="BA760" s="1" t="str">
        <f aca="false">IF(B760="","",IF(AND(R760="WON",AS760=0),"⛔ Beleg fehlt · ","")&amp;IF(AND(R760="WON",AR760=0),"⛔ Einstand fehlt · ","")&amp;IF(AND(R760&lt;&gt;"WON",AR760=0),"○ Einstand offen · ","")&amp;IF(AND(R760="WON",AB760=""),"⛔ Vertragsart fehlt · ","")&amp;IF(AND(ISNUMBER(O760),ISNUMBER(P760)),IF(P760&lt;O760,"⚠ Ende vor Start · ",""),"")&amp;IF(AND(R760="WON",AY760=0,NOT(AND(ISNUMBER(O760),ISNUMBER(P760)))),"⛔ Zeitraum fehlt · ","")&amp;IF(AND(R760&lt;&gt;"WON",AY760=0,NOT(AND(ISNUMBER(O760),ISNUMBER(P760)))),"○ Zeitraum offen · ",""))</f>
        <v/>
      </c>
      <c r="BB760" s="1" t="str">
        <f aca="false">IF(B760="","",IF(AND(R760="WON",AS760=0),"⛔ Nachweis fehlt",IF(AND(ISNUMBER(O760),ISNUMBER(P760),P760&lt;O760),"⚠ Ende vor Start",IF(AND(R760="WON",AY760=0),"⛔ Zeitraum fehlt",IF(AR760=0,"○ Einstand offen",IF(AY760=0,"○ Zeitraum offen",IF(R760="WON","✅ belegt","✔ erfasst")))))))</f>
        <v/>
      </c>
    </row>
    <row r="761" customFormat="false" ht="15" hidden="false" customHeight="true" outlineLevel="0" collapsed="false">
      <c r="G761" s="1" t="str">
        <f aca="false">IF(B761="","",IF(AY761=1,P761-O761+1,IF(AW761="","",AW761)))</f>
        <v/>
      </c>
      <c r="I761" s="270"/>
      <c r="J761" s="270"/>
      <c r="K761" s="270"/>
      <c r="L761" s="270"/>
      <c r="M761" s="270"/>
      <c r="N761" s="270"/>
      <c r="O761" s="263"/>
      <c r="P761" s="263"/>
      <c r="Q761" s="270" t="str">
        <f aca="false">IF(AND(ISNUMBER(I761),ISNUMBER(S761)),I761*AJ761,IF(OR(I761&lt;&gt;"",S761&lt;&gt;""),"tbd",""))</f>
        <v/>
      </c>
      <c r="S761" s="268"/>
      <c r="Y761" s="275" t="str">
        <f aca="false">IF(ISNUMBER(I761),I761/Netto_Faktor,"")</f>
        <v/>
      </c>
      <c r="Z761" s="275" t="str">
        <f aca="false">IF(B761="","",IF(COUNT(J761:N761)=0,"",SUM(J761:N761)))</f>
        <v/>
      </c>
      <c r="AA761" s="266"/>
      <c r="AB761" s="266"/>
      <c r="AC761" s="266"/>
      <c r="AD761" s="266"/>
      <c r="AE761" s="266"/>
      <c r="AF761" s="266"/>
      <c r="AG761" s="267"/>
      <c r="AH761" s="266" t="str">
        <f aca="false">IF(B761="","",IF(BA761="",IF(R761="WON","✅ belegt &amp; vollständig","✔ vollständig"),LEFT(BA761,LEN(BA761)-3)))</f>
        <v/>
      </c>
      <c r="AJ761" s="268" t="n">
        <f aca="false">IF(ISNUMBER(S761),IFERROR(LOOKUP(IF(S761&lt;=1,S761,S761/100),'⚖️ Wahrscheinlichkeit'!$B$17:$B$21,'⚖️ Wahrscheinlichkeit'!$D$17:$D$21),0),0)</f>
        <v>0</v>
      </c>
      <c r="AK761" s="1" t="str">
        <f aca="false">IF(AND(R761="WON",ISNUMBER(I761)),AL761+(861-ROW())*0.000001,"")</f>
        <v/>
      </c>
      <c r="AL761" s="1" t="n">
        <f aca="false">IFERROR(I761*1,0)</f>
        <v>0</v>
      </c>
      <c r="AM761" s="1" t="n">
        <f aca="false">N(AM760)+IF(AND(R761="WON",B761&lt;&gt;""),1,0)</f>
        <v>12</v>
      </c>
      <c r="AN761" s="1" t="n">
        <f aca="false">N(AN760)+IF(AND(OR(R761="offered",R761="to be offered",R761="on hold"),B761&lt;&gt;""),1,0)</f>
        <v>33</v>
      </c>
      <c r="AO761" s="1" t="n">
        <f aca="false">N(AO760)+IF(AND(OR(R761="follow-up",R761="Evaluation",R761="tbd",R761="In evaluation"),B761&lt;&gt;""),1,0)</f>
        <v>1</v>
      </c>
      <c r="AP761" s="1" t="n">
        <f aca="false">IF(B761="",0,IF(COUNTIF('⚖️ Wahrscheinlichkeit'!$J$17:$J$24,R761)&gt;0,1,0))</f>
        <v>0</v>
      </c>
      <c r="AQ761" s="1" t="n">
        <f aca="false">IF(B761="",0,IF(AND(ISNUMBER(S761),COUNTIF('⚖️ Wahrscheinlichkeit'!$B$6:$B$11,S761)&gt;0),1,0))</f>
        <v>0</v>
      </c>
      <c r="AR761" s="1" t="n">
        <f aca="false">IF(B761="",0,IF(AND(COUNT(J761:M761)=4,SUM(J761:M761)&gt;0),1,0))</f>
        <v>0</v>
      </c>
      <c r="AS761" s="1" t="n">
        <f aca="false">IF(B761="",0,IF(AND(AF761&lt;&gt;"",AG761&lt;&gt;""),1,0))</f>
        <v>0</v>
      </c>
      <c r="AT761" s="1" t="n">
        <f aca="false">IF(AND(R761="WON",AS761=1,AR761=1),1,0)</f>
        <v>0</v>
      </c>
      <c r="AU761" s="1" t="n">
        <f aca="false">IF(B761="",0,IF(AD761="Alternative – zählt nicht",0,1))</f>
        <v>0</v>
      </c>
      <c r="AV761" s="1" t="n">
        <f aca="false">IF(B761="",0,IF(COUNTIF($B$6:$B$860,B761)&gt;1,1,0))</f>
        <v>0</v>
      </c>
      <c r="AX761" s="269" t="str">
        <f aca="false">IF(AY761=1,DATE(YEAR(O761),MONTH(O761),1),"")</f>
        <v/>
      </c>
      <c r="AY761" s="1" t="n">
        <f aca="false">IF(B761="",0,IF(AND(ISNUMBER(O761),ISNUMBER(P761)),IF(P761&gt;=O761,1,0),0))</f>
        <v>0</v>
      </c>
      <c r="AZ761" s="1" t="n">
        <f aca="false">IF(ISNUMBER(Y761),Y761,0)</f>
        <v>0</v>
      </c>
      <c r="BA761" s="1" t="str">
        <f aca="false">IF(B761="","",IF(AND(R761="WON",AS761=0),"⛔ Beleg fehlt · ","")&amp;IF(AND(R761="WON",AR761=0),"⛔ Einstand fehlt · ","")&amp;IF(AND(R761&lt;&gt;"WON",AR761=0),"○ Einstand offen · ","")&amp;IF(AND(R761="WON",AB761=""),"⛔ Vertragsart fehlt · ","")&amp;IF(AND(ISNUMBER(O761),ISNUMBER(P761)),IF(P761&lt;O761,"⚠ Ende vor Start · ",""),"")&amp;IF(AND(R761="WON",AY761=0,NOT(AND(ISNUMBER(O761),ISNUMBER(P761)))),"⛔ Zeitraum fehlt · ","")&amp;IF(AND(R761&lt;&gt;"WON",AY761=0,NOT(AND(ISNUMBER(O761),ISNUMBER(P761)))),"○ Zeitraum offen · ",""))</f>
        <v/>
      </c>
      <c r="BB761" s="1" t="str">
        <f aca="false">IF(B761="","",IF(AND(R761="WON",AS761=0),"⛔ Nachweis fehlt",IF(AND(ISNUMBER(O761),ISNUMBER(P761),P761&lt;O761),"⚠ Ende vor Start",IF(AND(R761="WON",AY761=0),"⛔ Zeitraum fehlt",IF(AR761=0,"○ Einstand offen",IF(AY761=0,"○ Zeitraum offen",IF(R761="WON","✅ belegt","✔ erfasst")))))))</f>
        <v/>
      </c>
    </row>
    <row r="762" customFormat="false" ht="15" hidden="false" customHeight="true" outlineLevel="0" collapsed="false">
      <c r="G762" s="1" t="str">
        <f aca="false">IF(B762="","",IF(AY762=1,P762-O762+1,IF(AW762="","",AW762)))</f>
        <v/>
      </c>
      <c r="I762" s="270"/>
      <c r="J762" s="270"/>
      <c r="K762" s="270"/>
      <c r="L762" s="270"/>
      <c r="M762" s="270"/>
      <c r="N762" s="270"/>
      <c r="O762" s="263"/>
      <c r="P762" s="263"/>
      <c r="Q762" s="270" t="str">
        <f aca="false">IF(AND(ISNUMBER(I762),ISNUMBER(S762)),I762*AJ762,IF(OR(I762&lt;&gt;"",S762&lt;&gt;""),"tbd",""))</f>
        <v/>
      </c>
      <c r="S762" s="268"/>
      <c r="Y762" s="275" t="str">
        <f aca="false">IF(ISNUMBER(I762),I762/Netto_Faktor,"")</f>
        <v/>
      </c>
      <c r="Z762" s="275" t="str">
        <f aca="false">IF(B762="","",IF(COUNT(J762:N762)=0,"",SUM(J762:N762)))</f>
        <v/>
      </c>
      <c r="AA762" s="266"/>
      <c r="AB762" s="266"/>
      <c r="AC762" s="266"/>
      <c r="AD762" s="266"/>
      <c r="AE762" s="266"/>
      <c r="AF762" s="266"/>
      <c r="AG762" s="267"/>
      <c r="AH762" s="266" t="str">
        <f aca="false">IF(B762="","",IF(BA762="",IF(R762="WON","✅ belegt &amp; vollständig","✔ vollständig"),LEFT(BA762,LEN(BA762)-3)))</f>
        <v/>
      </c>
      <c r="AJ762" s="268" t="n">
        <f aca="false">IF(ISNUMBER(S762),IFERROR(LOOKUP(IF(S762&lt;=1,S762,S762/100),'⚖️ Wahrscheinlichkeit'!$B$17:$B$21,'⚖️ Wahrscheinlichkeit'!$D$17:$D$21),0),0)</f>
        <v>0</v>
      </c>
      <c r="AK762" s="1" t="str">
        <f aca="false">IF(AND(R762="WON",ISNUMBER(I762)),AL762+(861-ROW())*0.000001,"")</f>
        <v/>
      </c>
      <c r="AL762" s="1" t="n">
        <f aca="false">IFERROR(I762*1,0)</f>
        <v>0</v>
      </c>
      <c r="AM762" s="1" t="n">
        <f aca="false">N(AM761)+IF(AND(R762="WON",B762&lt;&gt;""),1,0)</f>
        <v>12</v>
      </c>
      <c r="AN762" s="1" t="n">
        <f aca="false">N(AN761)+IF(AND(OR(R762="offered",R762="to be offered",R762="on hold"),B762&lt;&gt;""),1,0)</f>
        <v>33</v>
      </c>
      <c r="AO762" s="1" t="n">
        <f aca="false">N(AO761)+IF(AND(OR(R762="follow-up",R762="Evaluation",R762="tbd",R762="In evaluation"),B762&lt;&gt;""),1,0)</f>
        <v>1</v>
      </c>
      <c r="AP762" s="1" t="n">
        <f aca="false">IF(B762="",0,IF(COUNTIF('⚖️ Wahrscheinlichkeit'!$J$17:$J$24,R762)&gt;0,1,0))</f>
        <v>0</v>
      </c>
      <c r="AQ762" s="1" t="n">
        <f aca="false">IF(B762="",0,IF(AND(ISNUMBER(S762),COUNTIF('⚖️ Wahrscheinlichkeit'!$B$6:$B$11,S762)&gt;0),1,0))</f>
        <v>0</v>
      </c>
      <c r="AR762" s="1" t="n">
        <f aca="false">IF(B762="",0,IF(AND(COUNT(J762:M762)=4,SUM(J762:M762)&gt;0),1,0))</f>
        <v>0</v>
      </c>
      <c r="AS762" s="1" t="n">
        <f aca="false">IF(B762="",0,IF(AND(AF762&lt;&gt;"",AG762&lt;&gt;""),1,0))</f>
        <v>0</v>
      </c>
      <c r="AT762" s="1" t="n">
        <f aca="false">IF(AND(R762="WON",AS762=1,AR762=1),1,0)</f>
        <v>0</v>
      </c>
      <c r="AU762" s="1" t="n">
        <f aca="false">IF(B762="",0,IF(AD762="Alternative – zählt nicht",0,1))</f>
        <v>0</v>
      </c>
      <c r="AV762" s="1" t="n">
        <f aca="false">IF(B762="",0,IF(COUNTIF($B$6:$B$860,B762)&gt;1,1,0))</f>
        <v>0</v>
      </c>
      <c r="AX762" s="269" t="str">
        <f aca="false">IF(AY762=1,DATE(YEAR(O762),MONTH(O762),1),"")</f>
        <v/>
      </c>
      <c r="AY762" s="1" t="n">
        <f aca="false">IF(B762="",0,IF(AND(ISNUMBER(O762),ISNUMBER(P762)),IF(P762&gt;=O762,1,0),0))</f>
        <v>0</v>
      </c>
      <c r="AZ762" s="1" t="n">
        <f aca="false">IF(ISNUMBER(Y762),Y762,0)</f>
        <v>0</v>
      </c>
      <c r="BA762" s="1" t="str">
        <f aca="false">IF(B762="","",IF(AND(R762="WON",AS762=0),"⛔ Beleg fehlt · ","")&amp;IF(AND(R762="WON",AR762=0),"⛔ Einstand fehlt · ","")&amp;IF(AND(R762&lt;&gt;"WON",AR762=0),"○ Einstand offen · ","")&amp;IF(AND(R762="WON",AB762=""),"⛔ Vertragsart fehlt · ","")&amp;IF(AND(ISNUMBER(O762),ISNUMBER(P762)),IF(P762&lt;O762,"⚠ Ende vor Start · ",""),"")&amp;IF(AND(R762="WON",AY762=0,NOT(AND(ISNUMBER(O762),ISNUMBER(P762)))),"⛔ Zeitraum fehlt · ","")&amp;IF(AND(R762&lt;&gt;"WON",AY762=0,NOT(AND(ISNUMBER(O762),ISNUMBER(P762)))),"○ Zeitraum offen · ",""))</f>
        <v/>
      </c>
      <c r="BB762" s="1" t="str">
        <f aca="false">IF(B762="","",IF(AND(R762="WON",AS762=0),"⛔ Nachweis fehlt",IF(AND(ISNUMBER(O762),ISNUMBER(P762),P762&lt;O762),"⚠ Ende vor Start",IF(AND(R762="WON",AY762=0),"⛔ Zeitraum fehlt",IF(AR762=0,"○ Einstand offen",IF(AY762=0,"○ Zeitraum offen",IF(R762="WON","✅ belegt","✔ erfasst")))))))</f>
        <v/>
      </c>
    </row>
    <row r="763" customFormat="false" ht="15" hidden="false" customHeight="true" outlineLevel="0" collapsed="false">
      <c r="G763" s="1" t="str">
        <f aca="false">IF(B763="","",IF(AY763=1,P763-O763+1,IF(AW763="","",AW763)))</f>
        <v/>
      </c>
      <c r="I763" s="270"/>
      <c r="J763" s="270"/>
      <c r="K763" s="270"/>
      <c r="L763" s="270"/>
      <c r="M763" s="270"/>
      <c r="N763" s="270"/>
      <c r="O763" s="263"/>
      <c r="P763" s="263"/>
      <c r="Q763" s="270" t="str">
        <f aca="false">IF(AND(ISNUMBER(I763),ISNUMBER(S763)),I763*AJ763,IF(OR(I763&lt;&gt;"",S763&lt;&gt;""),"tbd",""))</f>
        <v/>
      </c>
      <c r="S763" s="268"/>
      <c r="Y763" s="275" t="str">
        <f aca="false">IF(ISNUMBER(I763),I763/Netto_Faktor,"")</f>
        <v/>
      </c>
      <c r="Z763" s="275" t="str">
        <f aca="false">IF(B763="","",IF(COUNT(J763:N763)=0,"",SUM(J763:N763)))</f>
        <v/>
      </c>
      <c r="AA763" s="266"/>
      <c r="AB763" s="266"/>
      <c r="AC763" s="266"/>
      <c r="AD763" s="266"/>
      <c r="AE763" s="266"/>
      <c r="AF763" s="266"/>
      <c r="AG763" s="267"/>
      <c r="AH763" s="266" t="str">
        <f aca="false">IF(B763="","",IF(BA763="",IF(R763="WON","✅ belegt &amp; vollständig","✔ vollständig"),LEFT(BA763,LEN(BA763)-3)))</f>
        <v/>
      </c>
      <c r="AJ763" s="268" t="n">
        <f aca="false">IF(ISNUMBER(S763),IFERROR(LOOKUP(IF(S763&lt;=1,S763,S763/100),'⚖️ Wahrscheinlichkeit'!$B$17:$B$21,'⚖️ Wahrscheinlichkeit'!$D$17:$D$21),0),0)</f>
        <v>0</v>
      </c>
      <c r="AK763" s="1" t="str">
        <f aca="false">IF(AND(R763="WON",ISNUMBER(I763)),AL763+(861-ROW())*0.000001,"")</f>
        <v/>
      </c>
      <c r="AL763" s="1" t="n">
        <f aca="false">IFERROR(I763*1,0)</f>
        <v>0</v>
      </c>
      <c r="AM763" s="1" t="n">
        <f aca="false">N(AM762)+IF(AND(R763="WON",B763&lt;&gt;""),1,0)</f>
        <v>12</v>
      </c>
      <c r="AN763" s="1" t="n">
        <f aca="false">N(AN762)+IF(AND(OR(R763="offered",R763="to be offered",R763="on hold"),B763&lt;&gt;""),1,0)</f>
        <v>33</v>
      </c>
      <c r="AO763" s="1" t="n">
        <f aca="false">N(AO762)+IF(AND(OR(R763="follow-up",R763="Evaluation",R763="tbd",R763="In evaluation"),B763&lt;&gt;""),1,0)</f>
        <v>1</v>
      </c>
      <c r="AP763" s="1" t="n">
        <f aca="false">IF(B763="",0,IF(COUNTIF('⚖️ Wahrscheinlichkeit'!$J$17:$J$24,R763)&gt;0,1,0))</f>
        <v>0</v>
      </c>
      <c r="AQ763" s="1" t="n">
        <f aca="false">IF(B763="",0,IF(AND(ISNUMBER(S763),COUNTIF('⚖️ Wahrscheinlichkeit'!$B$6:$B$11,S763)&gt;0),1,0))</f>
        <v>0</v>
      </c>
      <c r="AR763" s="1" t="n">
        <f aca="false">IF(B763="",0,IF(AND(COUNT(J763:M763)=4,SUM(J763:M763)&gt;0),1,0))</f>
        <v>0</v>
      </c>
      <c r="AS763" s="1" t="n">
        <f aca="false">IF(B763="",0,IF(AND(AF763&lt;&gt;"",AG763&lt;&gt;""),1,0))</f>
        <v>0</v>
      </c>
      <c r="AT763" s="1" t="n">
        <f aca="false">IF(AND(R763="WON",AS763=1,AR763=1),1,0)</f>
        <v>0</v>
      </c>
      <c r="AU763" s="1" t="n">
        <f aca="false">IF(B763="",0,IF(AD763="Alternative – zählt nicht",0,1))</f>
        <v>0</v>
      </c>
      <c r="AV763" s="1" t="n">
        <f aca="false">IF(B763="",0,IF(COUNTIF($B$6:$B$860,B763)&gt;1,1,0))</f>
        <v>0</v>
      </c>
      <c r="AX763" s="269" t="str">
        <f aca="false">IF(AY763=1,DATE(YEAR(O763),MONTH(O763),1),"")</f>
        <v/>
      </c>
      <c r="AY763" s="1" t="n">
        <f aca="false">IF(B763="",0,IF(AND(ISNUMBER(O763),ISNUMBER(P763)),IF(P763&gt;=O763,1,0),0))</f>
        <v>0</v>
      </c>
      <c r="AZ763" s="1" t="n">
        <f aca="false">IF(ISNUMBER(Y763),Y763,0)</f>
        <v>0</v>
      </c>
      <c r="BA763" s="1" t="str">
        <f aca="false">IF(B763="","",IF(AND(R763="WON",AS763=0),"⛔ Beleg fehlt · ","")&amp;IF(AND(R763="WON",AR763=0),"⛔ Einstand fehlt · ","")&amp;IF(AND(R763&lt;&gt;"WON",AR763=0),"○ Einstand offen · ","")&amp;IF(AND(R763="WON",AB763=""),"⛔ Vertragsart fehlt · ","")&amp;IF(AND(ISNUMBER(O763),ISNUMBER(P763)),IF(P763&lt;O763,"⚠ Ende vor Start · ",""),"")&amp;IF(AND(R763="WON",AY763=0,NOT(AND(ISNUMBER(O763),ISNUMBER(P763)))),"⛔ Zeitraum fehlt · ","")&amp;IF(AND(R763&lt;&gt;"WON",AY763=0,NOT(AND(ISNUMBER(O763),ISNUMBER(P763)))),"○ Zeitraum offen · ",""))</f>
        <v/>
      </c>
      <c r="BB763" s="1" t="str">
        <f aca="false">IF(B763="","",IF(AND(R763="WON",AS763=0),"⛔ Nachweis fehlt",IF(AND(ISNUMBER(O763),ISNUMBER(P763),P763&lt;O763),"⚠ Ende vor Start",IF(AND(R763="WON",AY763=0),"⛔ Zeitraum fehlt",IF(AR763=0,"○ Einstand offen",IF(AY763=0,"○ Zeitraum offen",IF(R763="WON","✅ belegt","✔ erfasst")))))))</f>
        <v/>
      </c>
    </row>
    <row r="764" customFormat="false" ht="15" hidden="false" customHeight="true" outlineLevel="0" collapsed="false">
      <c r="G764" s="1" t="str">
        <f aca="false">IF(B764="","",IF(AY764=1,P764-O764+1,IF(AW764="","",AW764)))</f>
        <v/>
      </c>
      <c r="I764" s="270"/>
      <c r="J764" s="270"/>
      <c r="K764" s="270"/>
      <c r="L764" s="270"/>
      <c r="M764" s="270"/>
      <c r="N764" s="270"/>
      <c r="O764" s="263"/>
      <c r="P764" s="263"/>
      <c r="Q764" s="270" t="str">
        <f aca="false">IF(AND(ISNUMBER(I764),ISNUMBER(S764)),I764*AJ764,IF(OR(I764&lt;&gt;"",S764&lt;&gt;""),"tbd",""))</f>
        <v/>
      </c>
      <c r="S764" s="268"/>
      <c r="Y764" s="275" t="str">
        <f aca="false">IF(ISNUMBER(I764),I764/Netto_Faktor,"")</f>
        <v/>
      </c>
      <c r="Z764" s="275" t="str">
        <f aca="false">IF(B764="","",IF(COUNT(J764:N764)=0,"",SUM(J764:N764)))</f>
        <v/>
      </c>
      <c r="AA764" s="266"/>
      <c r="AB764" s="266"/>
      <c r="AC764" s="266"/>
      <c r="AD764" s="266"/>
      <c r="AE764" s="266"/>
      <c r="AF764" s="266"/>
      <c r="AG764" s="267"/>
      <c r="AH764" s="266" t="str">
        <f aca="false">IF(B764="","",IF(BA764="",IF(R764="WON","✅ belegt &amp; vollständig","✔ vollständig"),LEFT(BA764,LEN(BA764)-3)))</f>
        <v/>
      </c>
      <c r="AJ764" s="268" t="n">
        <f aca="false">IF(ISNUMBER(S764),IFERROR(LOOKUP(IF(S764&lt;=1,S764,S764/100),'⚖️ Wahrscheinlichkeit'!$B$17:$B$21,'⚖️ Wahrscheinlichkeit'!$D$17:$D$21),0),0)</f>
        <v>0</v>
      </c>
      <c r="AK764" s="1" t="str">
        <f aca="false">IF(AND(R764="WON",ISNUMBER(I764)),AL764+(861-ROW())*0.000001,"")</f>
        <v/>
      </c>
      <c r="AL764" s="1" t="n">
        <f aca="false">IFERROR(I764*1,0)</f>
        <v>0</v>
      </c>
      <c r="AM764" s="1" t="n">
        <f aca="false">N(AM763)+IF(AND(R764="WON",B764&lt;&gt;""),1,0)</f>
        <v>12</v>
      </c>
      <c r="AN764" s="1" t="n">
        <f aca="false">N(AN763)+IF(AND(OR(R764="offered",R764="to be offered",R764="on hold"),B764&lt;&gt;""),1,0)</f>
        <v>33</v>
      </c>
      <c r="AO764" s="1" t="n">
        <f aca="false">N(AO763)+IF(AND(OR(R764="follow-up",R764="Evaluation",R764="tbd",R764="In evaluation"),B764&lt;&gt;""),1,0)</f>
        <v>1</v>
      </c>
      <c r="AP764" s="1" t="n">
        <f aca="false">IF(B764="",0,IF(COUNTIF('⚖️ Wahrscheinlichkeit'!$J$17:$J$24,R764)&gt;0,1,0))</f>
        <v>0</v>
      </c>
      <c r="AQ764" s="1" t="n">
        <f aca="false">IF(B764="",0,IF(AND(ISNUMBER(S764),COUNTIF('⚖️ Wahrscheinlichkeit'!$B$6:$B$11,S764)&gt;0),1,0))</f>
        <v>0</v>
      </c>
      <c r="AR764" s="1" t="n">
        <f aca="false">IF(B764="",0,IF(AND(COUNT(J764:M764)=4,SUM(J764:M764)&gt;0),1,0))</f>
        <v>0</v>
      </c>
      <c r="AS764" s="1" t="n">
        <f aca="false">IF(B764="",0,IF(AND(AF764&lt;&gt;"",AG764&lt;&gt;""),1,0))</f>
        <v>0</v>
      </c>
      <c r="AT764" s="1" t="n">
        <f aca="false">IF(AND(R764="WON",AS764=1,AR764=1),1,0)</f>
        <v>0</v>
      </c>
      <c r="AU764" s="1" t="n">
        <f aca="false">IF(B764="",0,IF(AD764="Alternative – zählt nicht",0,1))</f>
        <v>0</v>
      </c>
      <c r="AV764" s="1" t="n">
        <f aca="false">IF(B764="",0,IF(COUNTIF($B$6:$B$860,B764)&gt;1,1,0))</f>
        <v>0</v>
      </c>
      <c r="AX764" s="269" t="str">
        <f aca="false">IF(AY764=1,DATE(YEAR(O764),MONTH(O764),1),"")</f>
        <v/>
      </c>
      <c r="AY764" s="1" t="n">
        <f aca="false">IF(B764="",0,IF(AND(ISNUMBER(O764),ISNUMBER(P764)),IF(P764&gt;=O764,1,0),0))</f>
        <v>0</v>
      </c>
      <c r="AZ764" s="1" t="n">
        <f aca="false">IF(ISNUMBER(Y764),Y764,0)</f>
        <v>0</v>
      </c>
      <c r="BA764" s="1" t="str">
        <f aca="false">IF(B764="","",IF(AND(R764="WON",AS764=0),"⛔ Beleg fehlt · ","")&amp;IF(AND(R764="WON",AR764=0),"⛔ Einstand fehlt · ","")&amp;IF(AND(R764&lt;&gt;"WON",AR764=0),"○ Einstand offen · ","")&amp;IF(AND(R764="WON",AB764=""),"⛔ Vertragsart fehlt · ","")&amp;IF(AND(ISNUMBER(O764),ISNUMBER(P764)),IF(P764&lt;O764,"⚠ Ende vor Start · ",""),"")&amp;IF(AND(R764="WON",AY764=0,NOT(AND(ISNUMBER(O764),ISNUMBER(P764)))),"⛔ Zeitraum fehlt · ","")&amp;IF(AND(R764&lt;&gt;"WON",AY764=0,NOT(AND(ISNUMBER(O764),ISNUMBER(P764)))),"○ Zeitraum offen · ",""))</f>
        <v/>
      </c>
      <c r="BB764" s="1" t="str">
        <f aca="false">IF(B764="","",IF(AND(R764="WON",AS764=0),"⛔ Nachweis fehlt",IF(AND(ISNUMBER(O764),ISNUMBER(P764),P764&lt;O764),"⚠ Ende vor Start",IF(AND(R764="WON",AY764=0),"⛔ Zeitraum fehlt",IF(AR764=0,"○ Einstand offen",IF(AY764=0,"○ Zeitraum offen",IF(R764="WON","✅ belegt","✔ erfasst")))))))</f>
        <v/>
      </c>
    </row>
    <row r="765" customFormat="false" ht="15" hidden="false" customHeight="true" outlineLevel="0" collapsed="false">
      <c r="G765" s="1" t="str">
        <f aca="false">IF(B765="","",IF(AY765=1,P765-O765+1,IF(AW765="","",AW765)))</f>
        <v/>
      </c>
      <c r="I765" s="270"/>
      <c r="J765" s="270"/>
      <c r="K765" s="270"/>
      <c r="L765" s="270"/>
      <c r="M765" s="270"/>
      <c r="N765" s="270"/>
      <c r="O765" s="263"/>
      <c r="P765" s="263"/>
      <c r="Q765" s="270" t="str">
        <f aca="false">IF(AND(ISNUMBER(I765),ISNUMBER(S765)),I765*AJ765,IF(OR(I765&lt;&gt;"",S765&lt;&gt;""),"tbd",""))</f>
        <v/>
      </c>
      <c r="S765" s="268"/>
      <c r="Y765" s="275" t="str">
        <f aca="false">IF(ISNUMBER(I765),I765/Netto_Faktor,"")</f>
        <v/>
      </c>
      <c r="Z765" s="275" t="str">
        <f aca="false">IF(B765="","",IF(COUNT(J765:N765)=0,"",SUM(J765:N765)))</f>
        <v/>
      </c>
      <c r="AA765" s="266"/>
      <c r="AB765" s="266"/>
      <c r="AC765" s="266"/>
      <c r="AD765" s="266"/>
      <c r="AE765" s="266"/>
      <c r="AF765" s="266"/>
      <c r="AG765" s="267"/>
      <c r="AH765" s="266" t="str">
        <f aca="false">IF(B765="","",IF(BA765="",IF(R765="WON","✅ belegt &amp; vollständig","✔ vollständig"),LEFT(BA765,LEN(BA765)-3)))</f>
        <v/>
      </c>
      <c r="AJ765" s="268" t="n">
        <f aca="false">IF(ISNUMBER(S765),IFERROR(LOOKUP(IF(S765&lt;=1,S765,S765/100),'⚖️ Wahrscheinlichkeit'!$B$17:$B$21,'⚖️ Wahrscheinlichkeit'!$D$17:$D$21),0),0)</f>
        <v>0</v>
      </c>
      <c r="AK765" s="1" t="str">
        <f aca="false">IF(AND(R765="WON",ISNUMBER(I765)),AL765+(861-ROW())*0.000001,"")</f>
        <v/>
      </c>
      <c r="AL765" s="1" t="n">
        <f aca="false">IFERROR(I765*1,0)</f>
        <v>0</v>
      </c>
      <c r="AM765" s="1" t="n">
        <f aca="false">N(AM764)+IF(AND(R765="WON",B765&lt;&gt;""),1,0)</f>
        <v>12</v>
      </c>
      <c r="AN765" s="1" t="n">
        <f aca="false">N(AN764)+IF(AND(OR(R765="offered",R765="to be offered",R765="on hold"),B765&lt;&gt;""),1,0)</f>
        <v>33</v>
      </c>
      <c r="AO765" s="1" t="n">
        <f aca="false">N(AO764)+IF(AND(OR(R765="follow-up",R765="Evaluation",R765="tbd",R765="In evaluation"),B765&lt;&gt;""),1,0)</f>
        <v>1</v>
      </c>
      <c r="AP765" s="1" t="n">
        <f aca="false">IF(B765="",0,IF(COUNTIF('⚖️ Wahrscheinlichkeit'!$J$17:$J$24,R765)&gt;0,1,0))</f>
        <v>0</v>
      </c>
      <c r="AQ765" s="1" t="n">
        <f aca="false">IF(B765="",0,IF(AND(ISNUMBER(S765),COUNTIF('⚖️ Wahrscheinlichkeit'!$B$6:$B$11,S765)&gt;0),1,0))</f>
        <v>0</v>
      </c>
      <c r="AR765" s="1" t="n">
        <f aca="false">IF(B765="",0,IF(AND(COUNT(J765:M765)=4,SUM(J765:M765)&gt;0),1,0))</f>
        <v>0</v>
      </c>
      <c r="AS765" s="1" t="n">
        <f aca="false">IF(B765="",0,IF(AND(AF765&lt;&gt;"",AG765&lt;&gt;""),1,0))</f>
        <v>0</v>
      </c>
      <c r="AT765" s="1" t="n">
        <f aca="false">IF(AND(R765="WON",AS765=1,AR765=1),1,0)</f>
        <v>0</v>
      </c>
      <c r="AU765" s="1" t="n">
        <f aca="false">IF(B765="",0,IF(AD765="Alternative – zählt nicht",0,1))</f>
        <v>0</v>
      </c>
      <c r="AV765" s="1" t="n">
        <f aca="false">IF(B765="",0,IF(COUNTIF($B$6:$B$860,B765)&gt;1,1,0))</f>
        <v>0</v>
      </c>
      <c r="AX765" s="269" t="str">
        <f aca="false">IF(AY765=1,DATE(YEAR(O765),MONTH(O765),1),"")</f>
        <v/>
      </c>
      <c r="AY765" s="1" t="n">
        <f aca="false">IF(B765="",0,IF(AND(ISNUMBER(O765),ISNUMBER(P765)),IF(P765&gt;=O765,1,0),0))</f>
        <v>0</v>
      </c>
      <c r="AZ765" s="1" t="n">
        <f aca="false">IF(ISNUMBER(Y765),Y765,0)</f>
        <v>0</v>
      </c>
      <c r="BA765" s="1" t="str">
        <f aca="false">IF(B765="","",IF(AND(R765="WON",AS765=0),"⛔ Beleg fehlt · ","")&amp;IF(AND(R765="WON",AR765=0),"⛔ Einstand fehlt · ","")&amp;IF(AND(R765&lt;&gt;"WON",AR765=0),"○ Einstand offen · ","")&amp;IF(AND(R765="WON",AB765=""),"⛔ Vertragsart fehlt · ","")&amp;IF(AND(ISNUMBER(O765),ISNUMBER(P765)),IF(P765&lt;O765,"⚠ Ende vor Start · ",""),"")&amp;IF(AND(R765="WON",AY765=0,NOT(AND(ISNUMBER(O765),ISNUMBER(P765)))),"⛔ Zeitraum fehlt · ","")&amp;IF(AND(R765&lt;&gt;"WON",AY765=0,NOT(AND(ISNUMBER(O765),ISNUMBER(P765)))),"○ Zeitraum offen · ",""))</f>
        <v/>
      </c>
      <c r="BB765" s="1" t="str">
        <f aca="false">IF(B765="","",IF(AND(R765="WON",AS765=0),"⛔ Nachweis fehlt",IF(AND(ISNUMBER(O765),ISNUMBER(P765),P765&lt;O765),"⚠ Ende vor Start",IF(AND(R765="WON",AY765=0),"⛔ Zeitraum fehlt",IF(AR765=0,"○ Einstand offen",IF(AY765=0,"○ Zeitraum offen",IF(R765="WON","✅ belegt","✔ erfasst")))))))</f>
        <v/>
      </c>
    </row>
    <row r="766" customFormat="false" ht="15" hidden="false" customHeight="true" outlineLevel="0" collapsed="false">
      <c r="G766" s="1" t="str">
        <f aca="false">IF(B766="","",IF(AY766=1,P766-O766+1,IF(AW766="","",AW766)))</f>
        <v/>
      </c>
      <c r="I766" s="270"/>
      <c r="J766" s="270"/>
      <c r="K766" s="270"/>
      <c r="L766" s="270"/>
      <c r="M766" s="270"/>
      <c r="N766" s="270"/>
      <c r="O766" s="263"/>
      <c r="P766" s="263"/>
      <c r="Q766" s="270" t="str">
        <f aca="false">IF(AND(ISNUMBER(I766),ISNUMBER(S766)),I766*AJ766,IF(OR(I766&lt;&gt;"",S766&lt;&gt;""),"tbd",""))</f>
        <v/>
      </c>
      <c r="S766" s="268"/>
      <c r="Y766" s="275" t="str">
        <f aca="false">IF(ISNUMBER(I766),I766/Netto_Faktor,"")</f>
        <v/>
      </c>
      <c r="Z766" s="275" t="str">
        <f aca="false">IF(B766="","",IF(COUNT(J766:N766)=0,"",SUM(J766:N766)))</f>
        <v/>
      </c>
      <c r="AA766" s="266"/>
      <c r="AB766" s="266"/>
      <c r="AC766" s="266"/>
      <c r="AD766" s="266"/>
      <c r="AE766" s="266"/>
      <c r="AF766" s="266"/>
      <c r="AG766" s="267"/>
      <c r="AH766" s="266" t="str">
        <f aca="false">IF(B766="","",IF(BA766="",IF(R766="WON","✅ belegt &amp; vollständig","✔ vollständig"),LEFT(BA766,LEN(BA766)-3)))</f>
        <v/>
      </c>
      <c r="AJ766" s="268" t="n">
        <f aca="false">IF(ISNUMBER(S766),IFERROR(LOOKUP(IF(S766&lt;=1,S766,S766/100),'⚖️ Wahrscheinlichkeit'!$B$17:$B$21,'⚖️ Wahrscheinlichkeit'!$D$17:$D$21),0),0)</f>
        <v>0</v>
      </c>
      <c r="AK766" s="1" t="str">
        <f aca="false">IF(AND(R766="WON",ISNUMBER(I766)),AL766+(861-ROW())*0.000001,"")</f>
        <v/>
      </c>
      <c r="AL766" s="1" t="n">
        <f aca="false">IFERROR(I766*1,0)</f>
        <v>0</v>
      </c>
      <c r="AM766" s="1" t="n">
        <f aca="false">N(AM765)+IF(AND(R766="WON",B766&lt;&gt;""),1,0)</f>
        <v>12</v>
      </c>
      <c r="AN766" s="1" t="n">
        <f aca="false">N(AN765)+IF(AND(OR(R766="offered",R766="to be offered",R766="on hold"),B766&lt;&gt;""),1,0)</f>
        <v>33</v>
      </c>
      <c r="AO766" s="1" t="n">
        <f aca="false">N(AO765)+IF(AND(OR(R766="follow-up",R766="Evaluation",R766="tbd",R766="In evaluation"),B766&lt;&gt;""),1,0)</f>
        <v>1</v>
      </c>
      <c r="AP766" s="1" t="n">
        <f aca="false">IF(B766="",0,IF(COUNTIF('⚖️ Wahrscheinlichkeit'!$J$17:$J$24,R766)&gt;0,1,0))</f>
        <v>0</v>
      </c>
      <c r="AQ766" s="1" t="n">
        <f aca="false">IF(B766="",0,IF(AND(ISNUMBER(S766),COUNTIF('⚖️ Wahrscheinlichkeit'!$B$6:$B$11,S766)&gt;0),1,0))</f>
        <v>0</v>
      </c>
      <c r="AR766" s="1" t="n">
        <f aca="false">IF(B766="",0,IF(AND(COUNT(J766:M766)=4,SUM(J766:M766)&gt;0),1,0))</f>
        <v>0</v>
      </c>
      <c r="AS766" s="1" t="n">
        <f aca="false">IF(B766="",0,IF(AND(AF766&lt;&gt;"",AG766&lt;&gt;""),1,0))</f>
        <v>0</v>
      </c>
      <c r="AT766" s="1" t="n">
        <f aca="false">IF(AND(R766="WON",AS766=1,AR766=1),1,0)</f>
        <v>0</v>
      </c>
      <c r="AU766" s="1" t="n">
        <f aca="false">IF(B766="",0,IF(AD766="Alternative – zählt nicht",0,1))</f>
        <v>0</v>
      </c>
      <c r="AV766" s="1" t="n">
        <f aca="false">IF(B766="",0,IF(COUNTIF($B$6:$B$860,B766)&gt;1,1,0))</f>
        <v>0</v>
      </c>
      <c r="AX766" s="269" t="str">
        <f aca="false">IF(AY766=1,DATE(YEAR(O766),MONTH(O766),1),"")</f>
        <v/>
      </c>
      <c r="AY766" s="1" t="n">
        <f aca="false">IF(B766="",0,IF(AND(ISNUMBER(O766),ISNUMBER(P766)),IF(P766&gt;=O766,1,0),0))</f>
        <v>0</v>
      </c>
      <c r="AZ766" s="1" t="n">
        <f aca="false">IF(ISNUMBER(Y766),Y766,0)</f>
        <v>0</v>
      </c>
      <c r="BA766" s="1" t="str">
        <f aca="false">IF(B766="","",IF(AND(R766="WON",AS766=0),"⛔ Beleg fehlt · ","")&amp;IF(AND(R766="WON",AR766=0),"⛔ Einstand fehlt · ","")&amp;IF(AND(R766&lt;&gt;"WON",AR766=0),"○ Einstand offen · ","")&amp;IF(AND(R766="WON",AB766=""),"⛔ Vertragsart fehlt · ","")&amp;IF(AND(ISNUMBER(O766),ISNUMBER(P766)),IF(P766&lt;O766,"⚠ Ende vor Start · ",""),"")&amp;IF(AND(R766="WON",AY766=0,NOT(AND(ISNUMBER(O766),ISNUMBER(P766)))),"⛔ Zeitraum fehlt · ","")&amp;IF(AND(R766&lt;&gt;"WON",AY766=0,NOT(AND(ISNUMBER(O766),ISNUMBER(P766)))),"○ Zeitraum offen · ",""))</f>
        <v/>
      </c>
      <c r="BB766" s="1" t="str">
        <f aca="false">IF(B766="","",IF(AND(R766="WON",AS766=0),"⛔ Nachweis fehlt",IF(AND(ISNUMBER(O766),ISNUMBER(P766),P766&lt;O766),"⚠ Ende vor Start",IF(AND(R766="WON",AY766=0),"⛔ Zeitraum fehlt",IF(AR766=0,"○ Einstand offen",IF(AY766=0,"○ Zeitraum offen",IF(R766="WON","✅ belegt","✔ erfasst")))))))</f>
        <v/>
      </c>
    </row>
    <row r="767" customFormat="false" ht="15" hidden="false" customHeight="true" outlineLevel="0" collapsed="false">
      <c r="G767" s="1" t="str">
        <f aca="false">IF(B767="","",IF(AY767=1,P767-O767+1,IF(AW767="","",AW767)))</f>
        <v/>
      </c>
      <c r="I767" s="270"/>
      <c r="J767" s="270"/>
      <c r="K767" s="270"/>
      <c r="L767" s="270"/>
      <c r="M767" s="270"/>
      <c r="N767" s="270"/>
      <c r="O767" s="263"/>
      <c r="P767" s="263"/>
      <c r="Q767" s="270" t="str">
        <f aca="false">IF(AND(ISNUMBER(I767),ISNUMBER(S767)),I767*AJ767,IF(OR(I767&lt;&gt;"",S767&lt;&gt;""),"tbd",""))</f>
        <v/>
      </c>
      <c r="S767" s="268"/>
      <c r="Y767" s="275" t="str">
        <f aca="false">IF(ISNUMBER(I767),I767/Netto_Faktor,"")</f>
        <v/>
      </c>
      <c r="Z767" s="275" t="str">
        <f aca="false">IF(B767="","",IF(COUNT(J767:N767)=0,"",SUM(J767:N767)))</f>
        <v/>
      </c>
      <c r="AA767" s="266"/>
      <c r="AB767" s="266"/>
      <c r="AC767" s="266"/>
      <c r="AD767" s="266"/>
      <c r="AE767" s="266"/>
      <c r="AF767" s="266"/>
      <c r="AG767" s="267"/>
      <c r="AH767" s="266" t="str">
        <f aca="false">IF(B767="","",IF(BA767="",IF(R767="WON","✅ belegt &amp; vollständig","✔ vollständig"),LEFT(BA767,LEN(BA767)-3)))</f>
        <v/>
      </c>
      <c r="AJ767" s="268" t="n">
        <f aca="false">IF(ISNUMBER(S767),IFERROR(LOOKUP(IF(S767&lt;=1,S767,S767/100),'⚖️ Wahrscheinlichkeit'!$B$17:$B$21,'⚖️ Wahrscheinlichkeit'!$D$17:$D$21),0),0)</f>
        <v>0</v>
      </c>
      <c r="AK767" s="1" t="str">
        <f aca="false">IF(AND(R767="WON",ISNUMBER(I767)),AL767+(861-ROW())*0.000001,"")</f>
        <v/>
      </c>
      <c r="AL767" s="1" t="n">
        <f aca="false">IFERROR(I767*1,0)</f>
        <v>0</v>
      </c>
      <c r="AM767" s="1" t="n">
        <f aca="false">N(AM766)+IF(AND(R767="WON",B767&lt;&gt;""),1,0)</f>
        <v>12</v>
      </c>
      <c r="AN767" s="1" t="n">
        <f aca="false">N(AN766)+IF(AND(OR(R767="offered",R767="to be offered",R767="on hold"),B767&lt;&gt;""),1,0)</f>
        <v>33</v>
      </c>
      <c r="AO767" s="1" t="n">
        <f aca="false">N(AO766)+IF(AND(OR(R767="follow-up",R767="Evaluation",R767="tbd",R767="In evaluation"),B767&lt;&gt;""),1,0)</f>
        <v>1</v>
      </c>
      <c r="AP767" s="1" t="n">
        <f aca="false">IF(B767="",0,IF(COUNTIF('⚖️ Wahrscheinlichkeit'!$J$17:$J$24,R767)&gt;0,1,0))</f>
        <v>0</v>
      </c>
      <c r="AQ767" s="1" t="n">
        <f aca="false">IF(B767="",0,IF(AND(ISNUMBER(S767),COUNTIF('⚖️ Wahrscheinlichkeit'!$B$6:$B$11,S767)&gt;0),1,0))</f>
        <v>0</v>
      </c>
      <c r="AR767" s="1" t="n">
        <f aca="false">IF(B767="",0,IF(AND(COUNT(J767:M767)=4,SUM(J767:M767)&gt;0),1,0))</f>
        <v>0</v>
      </c>
      <c r="AS767" s="1" t="n">
        <f aca="false">IF(B767="",0,IF(AND(AF767&lt;&gt;"",AG767&lt;&gt;""),1,0))</f>
        <v>0</v>
      </c>
      <c r="AT767" s="1" t="n">
        <f aca="false">IF(AND(R767="WON",AS767=1,AR767=1),1,0)</f>
        <v>0</v>
      </c>
      <c r="AU767" s="1" t="n">
        <f aca="false">IF(B767="",0,IF(AD767="Alternative – zählt nicht",0,1))</f>
        <v>0</v>
      </c>
      <c r="AV767" s="1" t="n">
        <f aca="false">IF(B767="",0,IF(COUNTIF($B$6:$B$860,B767)&gt;1,1,0))</f>
        <v>0</v>
      </c>
      <c r="AX767" s="269" t="str">
        <f aca="false">IF(AY767=1,DATE(YEAR(O767),MONTH(O767),1),"")</f>
        <v/>
      </c>
      <c r="AY767" s="1" t="n">
        <f aca="false">IF(B767="",0,IF(AND(ISNUMBER(O767),ISNUMBER(P767)),IF(P767&gt;=O767,1,0),0))</f>
        <v>0</v>
      </c>
      <c r="AZ767" s="1" t="n">
        <f aca="false">IF(ISNUMBER(Y767),Y767,0)</f>
        <v>0</v>
      </c>
      <c r="BA767" s="1" t="str">
        <f aca="false">IF(B767="","",IF(AND(R767="WON",AS767=0),"⛔ Beleg fehlt · ","")&amp;IF(AND(R767="WON",AR767=0),"⛔ Einstand fehlt · ","")&amp;IF(AND(R767&lt;&gt;"WON",AR767=0),"○ Einstand offen · ","")&amp;IF(AND(R767="WON",AB767=""),"⛔ Vertragsart fehlt · ","")&amp;IF(AND(ISNUMBER(O767),ISNUMBER(P767)),IF(P767&lt;O767,"⚠ Ende vor Start · ",""),"")&amp;IF(AND(R767="WON",AY767=0,NOT(AND(ISNUMBER(O767),ISNUMBER(P767)))),"⛔ Zeitraum fehlt · ","")&amp;IF(AND(R767&lt;&gt;"WON",AY767=0,NOT(AND(ISNUMBER(O767),ISNUMBER(P767)))),"○ Zeitraum offen · ",""))</f>
        <v/>
      </c>
      <c r="BB767" s="1" t="str">
        <f aca="false">IF(B767="","",IF(AND(R767="WON",AS767=0),"⛔ Nachweis fehlt",IF(AND(ISNUMBER(O767),ISNUMBER(P767),P767&lt;O767),"⚠ Ende vor Start",IF(AND(R767="WON",AY767=0),"⛔ Zeitraum fehlt",IF(AR767=0,"○ Einstand offen",IF(AY767=0,"○ Zeitraum offen",IF(R767="WON","✅ belegt","✔ erfasst")))))))</f>
        <v/>
      </c>
    </row>
    <row r="768" customFormat="false" ht="15" hidden="false" customHeight="true" outlineLevel="0" collapsed="false">
      <c r="G768" s="1" t="str">
        <f aca="false">IF(B768="","",IF(AY768=1,P768-O768+1,IF(AW768="","",AW768)))</f>
        <v/>
      </c>
      <c r="I768" s="270"/>
      <c r="J768" s="270"/>
      <c r="K768" s="270"/>
      <c r="L768" s="270"/>
      <c r="M768" s="270"/>
      <c r="N768" s="270"/>
      <c r="O768" s="263"/>
      <c r="P768" s="263"/>
      <c r="Q768" s="270" t="str">
        <f aca="false">IF(AND(ISNUMBER(I768),ISNUMBER(S768)),I768*AJ768,IF(OR(I768&lt;&gt;"",S768&lt;&gt;""),"tbd",""))</f>
        <v/>
      </c>
      <c r="S768" s="268"/>
      <c r="Y768" s="275" t="str">
        <f aca="false">IF(ISNUMBER(I768),I768/Netto_Faktor,"")</f>
        <v/>
      </c>
      <c r="Z768" s="275" t="str">
        <f aca="false">IF(B768="","",IF(COUNT(J768:N768)=0,"",SUM(J768:N768)))</f>
        <v/>
      </c>
      <c r="AA768" s="266"/>
      <c r="AB768" s="266"/>
      <c r="AC768" s="266"/>
      <c r="AD768" s="266"/>
      <c r="AE768" s="266"/>
      <c r="AF768" s="266"/>
      <c r="AG768" s="267"/>
      <c r="AH768" s="266" t="str">
        <f aca="false">IF(B768="","",IF(BA768="",IF(R768="WON","✅ belegt &amp; vollständig","✔ vollständig"),LEFT(BA768,LEN(BA768)-3)))</f>
        <v/>
      </c>
      <c r="AJ768" s="268" t="n">
        <f aca="false">IF(ISNUMBER(S768),IFERROR(LOOKUP(IF(S768&lt;=1,S768,S768/100),'⚖️ Wahrscheinlichkeit'!$B$17:$B$21,'⚖️ Wahrscheinlichkeit'!$D$17:$D$21),0),0)</f>
        <v>0</v>
      </c>
      <c r="AK768" s="1" t="str">
        <f aca="false">IF(AND(R768="WON",ISNUMBER(I768)),AL768+(861-ROW())*0.000001,"")</f>
        <v/>
      </c>
      <c r="AL768" s="1" t="n">
        <f aca="false">IFERROR(I768*1,0)</f>
        <v>0</v>
      </c>
      <c r="AM768" s="1" t="n">
        <f aca="false">N(AM767)+IF(AND(R768="WON",B768&lt;&gt;""),1,0)</f>
        <v>12</v>
      </c>
      <c r="AN768" s="1" t="n">
        <f aca="false">N(AN767)+IF(AND(OR(R768="offered",R768="to be offered",R768="on hold"),B768&lt;&gt;""),1,0)</f>
        <v>33</v>
      </c>
      <c r="AO768" s="1" t="n">
        <f aca="false">N(AO767)+IF(AND(OR(R768="follow-up",R768="Evaluation",R768="tbd",R768="In evaluation"),B768&lt;&gt;""),1,0)</f>
        <v>1</v>
      </c>
      <c r="AP768" s="1" t="n">
        <f aca="false">IF(B768="",0,IF(COUNTIF('⚖️ Wahrscheinlichkeit'!$J$17:$J$24,R768)&gt;0,1,0))</f>
        <v>0</v>
      </c>
      <c r="AQ768" s="1" t="n">
        <f aca="false">IF(B768="",0,IF(AND(ISNUMBER(S768),COUNTIF('⚖️ Wahrscheinlichkeit'!$B$6:$B$11,S768)&gt;0),1,0))</f>
        <v>0</v>
      </c>
      <c r="AR768" s="1" t="n">
        <f aca="false">IF(B768="",0,IF(AND(COUNT(J768:M768)=4,SUM(J768:M768)&gt;0),1,0))</f>
        <v>0</v>
      </c>
      <c r="AS768" s="1" t="n">
        <f aca="false">IF(B768="",0,IF(AND(AF768&lt;&gt;"",AG768&lt;&gt;""),1,0))</f>
        <v>0</v>
      </c>
      <c r="AT768" s="1" t="n">
        <f aca="false">IF(AND(R768="WON",AS768=1,AR768=1),1,0)</f>
        <v>0</v>
      </c>
      <c r="AU768" s="1" t="n">
        <f aca="false">IF(B768="",0,IF(AD768="Alternative – zählt nicht",0,1))</f>
        <v>0</v>
      </c>
      <c r="AV768" s="1" t="n">
        <f aca="false">IF(B768="",0,IF(COUNTIF($B$6:$B$860,B768)&gt;1,1,0))</f>
        <v>0</v>
      </c>
      <c r="AX768" s="269" t="str">
        <f aca="false">IF(AY768=1,DATE(YEAR(O768),MONTH(O768),1),"")</f>
        <v/>
      </c>
      <c r="AY768" s="1" t="n">
        <f aca="false">IF(B768="",0,IF(AND(ISNUMBER(O768),ISNUMBER(P768)),IF(P768&gt;=O768,1,0),0))</f>
        <v>0</v>
      </c>
      <c r="AZ768" s="1" t="n">
        <f aca="false">IF(ISNUMBER(Y768),Y768,0)</f>
        <v>0</v>
      </c>
      <c r="BA768" s="1" t="str">
        <f aca="false">IF(B768="","",IF(AND(R768="WON",AS768=0),"⛔ Beleg fehlt · ","")&amp;IF(AND(R768="WON",AR768=0),"⛔ Einstand fehlt · ","")&amp;IF(AND(R768&lt;&gt;"WON",AR768=0),"○ Einstand offen · ","")&amp;IF(AND(R768="WON",AB768=""),"⛔ Vertragsart fehlt · ","")&amp;IF(AND(ISNUMBER(O768),ISNUMBER(P768)),IF(P768&lt;O768,"⚠ Ende vor Start · ",""),"")&amp;IF(AND(R768="WON",AY768=0,NOT(AND(ISNUMBER(O768),ISNUMBER(P768)))),"⛔ Zeitraum fehlt · ","")&amp;IF(AND(R768&lt;&gt;"WON",AY768=0,NOT(AND(ISNUMBER(O768),ISNUMBER(P768)))),"○ Zeitraum offen · ",""))</f>
        <v/>
      </c>
      <c r="BB768" s="1" t="str">
        <f aca="false">IF(B768="","",IF(AND(R768="WON",AS768=0),"⛔ Nachweis fehlt",IF(AND(ISNUMBER(O768),ISNUMBER(P768),P768&lt;O768),"⚠ Ende vor Start",IF(AND(R768="WON",AY768=0),"⛔ Zeitraum fehlt",IF(AR768=0,"○ Einstand offen",IF(AY768=0,"○ Zeitraum offen",IF(R768="WON","✅ belegt","✔ erfasst")))))))</f>
        <v/>
      </c>
    </row>
    <row r="769" customFormat="false" ht="15" hidden="false" customHeight="true" outlineLevel="0" collapsed="false">
      <c r="G769" s="1" t="str">
        <f aca="false">IF(B769="","",IF(AY769=1,P769-O769+1,IF(AW769="","",AW769)))</f>
        <v/>
      </c>
      <c r="I769" s="270"/>
      <c r="J769" s="270"/>
      <c r="K769" s="270"/>
      <c r="L769" s="270"/>
      <c r="M769" s="270"/>
      <c r="N769" s="270"/>
      <c r="O769" s="263"/>
      <c r="P769" s="263"/>
      <c r="Q769" s="270" t="str">
        <f aca="false">IF(AND(ISNUMBER(I769),ISNUMBER(S769)),I769*AJ769,IF(OR(I769&lt;&gt;"",S769&lt;&gt;""),"tbd",""))</f>
        <v/>
      </c>
      <c r="S769" s="268"/>
      <c r="Y769" s="275" t="str">
        <f aca="false">IF(ISNUMBER(I769),I769/Netto_Faktor,"")</f>
        <v/>
      </c>
      <c r="Z769" s="275" t="str">
        <f aca="false">IF(B769="","",IF(COUNT(J769:N769)=0,"",SUM(J769:N769)))</f>
        <v/>
      </c>
      <c r="AA769" s="266"/>
      <c r="AB769" s="266"/>
      <c r="AC769" s="266"/>
      <c r="AD769" s="266"/>
      <c r="AE769" s="266"/>
      <c r="AF769" s="266"/>
      <c r="AG769" s="267"/>
      <c r="AH769" s="266" t="str">
        <f aca="false">IF(B769="","",IF(BA769="",IF(R769="WON","✅ belegt &amp; vollständig","✔ vollständig"),LEFT(BA769,LEN(BA769)-3)))</f>
        <v/>
      </c>
      <c r="AJ769" s="268" t="n">
        <f aca="false">IF(ISNUMBER(S769),IFERROR(LOOKUP(IF(S769&lt;=1,S769,S769/100),'⚖️ Wahrscheinlichkeit'!$B$17:$B$21,'⚖️ Wahrscheinlichkeit'!$D$17:$D$21),0),0)</f>
        <v>0</v>
      </c>
      <c r="AK769" s="1" t="str">
        <f aca="false">IF(AND(R769="WON",ISNUMBER(I769)),AL769+(861-ROW())*0.000001,"")</f>
        <v/>
      </c>
      <c r="AL769" s="1" t="n">
        <f aca="false">IFERROR(I769*1,0)</f>
        <v>0</v>
      </c>
      <c r="AM769" s="1" t="n">
        <f aca="false">N(AM768)+IF(AND(R769="WON",B769&lt;&gt;""),1,0)</f>
        <v>12</v>
      </c>
      <c r="AN769" s="1" t="n">
        <f aca="false">N(AN768)+IF(AND(OR(R769="offered",R769="to be offered",R769="on hold"),B769&lt;&gt;""),1,0)</f>
        <v>33</v>
      </c>
      <c r="AO769" s="1" t="n">
        <f aca="false">N(AO768)+IF(AND(OR(R769="follow-up",R769="Evaluation",R769="tbd",R769="In evaluation"),B769&lt;&gt;""),1,0)</f>
        <v>1</v>
      </c>
      <c r="AP769" s="1" t="n">
        <f aca="false">IF(B769="",0,IF(COUNTIF('⚖️ Wahrscheinlichkeit'!$J$17:$J$24,R769)&gt;0,1,0))</f>
        <v>0</v>
      </c>
      <c r="AQ769" s="1" t="n">
        <f aca="false">IF(B769="",0,IF(AND(ISNUMBER(S769),COUNTIF('⚖️ Wahrscheinlichkeit'!$B$6:$B$11,S769)&gt;0),1,0))</f>
        <v>0</v>
      </c>
      <c r="AR769" s="1" t="n">
        <f aca="false">IF(B769="",0,IF(AND(COUNT(J769:M769)=4,SUM(J769:M769)&gt;0),1,0))</f>
        <v>0</v>
      </c>
      <c r="AS769" s="1" t="n">
        <f aca="false">IF(B769="",0,IF(AND(AF769&lt;&gt;"",AG769&lt;&gt;""),1,0))</f>
        <v>0</v>
      </c>
      <c r="AT769" s="1" t="n">
        <f aca="false">IF(AND(R769="WON",AS769=1,AR769=1),1,0)</f>
        <v>0</v>
      </c>
      <c r="AU769" s="1" t="n">
        <f aca="false">IF(B769="",0,IF(AD769="Alternative – zählt nicht",0,1))</f>
        <v>0</v>
      </c>
      <c r="AV769" s="1" t="n">
        <f aca="false">IF(B769="",0,IF(COUNTIF($B$6:$B$860,B769)&gt;1,1,0))</f>
        <v>0</v>
      </c>
      <c r="AX769" s="269" t="str">
        <f aca="false">IF(AY769=1,DATE(YEAR(O769),MONTH(O769),1),"")</f>
        <v/>
      </c>
      <c r="AY769" s="1" t="n">
        <f aca="false">IF(B769="",0,IF(AND(ISNUMBER(O769),ISNUMBER(P769)),IF(P769&gt;=O769,1,0),0))</f>
        <v>0</v>
      </c>
      <c r="AZ769" s="1" t="n">
        <f aca="false">IF(ISNUMBER(Y769),Y769,0)</f>
        <v>0</v>
      </c>
      <c r="BA769" s="1" t="str">
        <f aca="false">IF(B769="","",IF(AND(R769="WON",AS769=0),"⛔ Beleg fehlt · ","")&amp;IF(AND(R769="WON",AR769=0),"⛔ Einstand fehlt · ","")&amp;IF(AND(R769&lt;&gt;"WON",AR769=0),"○ Einstand offen · ","")&amp;IF(AND(R769="WON",AB769=""),"⛔ Vertragsart fehlt · ","")&amp;IF(AND(ISNUMBER(O769),ISNUMBER(P769)),IF(P769&lt;O769,"⚠ Ende vor Start · ",""),"")&amp;IF(AND(R769="WON",AY769=0,NOT(AND(ISNUMBER(O769),ISNUMBER(P769)))),"⛔ Zeitraum fehlt · ","")&amp;IF(AND(R769&lt;&gt;"WON",AY769=0,NOT(AND(ISNUMBER(O769),ISNUMBER(P769)))),"○ Zeitraum offen · ",""))</f>
        <v/>
      </c>
      <c r="BB769" s="1" t="str">
        <f aca="false">IF(B769="","",IF(AND(R769="WON",AS769=0),"⛔ Nachweis fehlt",IF(AND(ISNUMBER(O769),ISNUMBER(P769),P769&lt;O769),"⚠ Ende vor Start",IF(AND(R769="WON",AY769=0),"⛔ Zeitraum fehlt",IF(AR769=0,"○ Einstand offen",IF(AY769=0,"○ Zeitraum offen",IF(R769="WON","✅ belegt","✔ erfasst")))))))</f>
        <v/>
      </c>
    </row>
    <row r="770" customFormat="false" ht="15" hidden="false" customHeight="true" outlineLevel="0" collapsed="false">
      <c r="G770" s="1" t="str">
        <f aca="false">IF(B770="","",IF(AY770=1,P770-O770+1,IF(AW770="","",AW770)))</f>
        <v/>
      </c>
      <c r="I770" s="270"/>
      <c r="J770" s="270"/>
      <c r="K770" s="270"/>
      <c r="L770" s="270"/>
      <c r="M770" s="270"/>
      <c r="N770" s="270"/>
      <c r="O770" s="263"/>
      <c r="P770" s="263"/>
      <c r="Q770" s="270" t="str">
        <f aca="false">IF(AND(ISNUMBER(I770),ISNUMBER(S770)),I770*AJ770,IF(OR(I770&lt;&gt;"",S770&lt;&gt;""),"tbd",""))</f>
        <v/>
      </c>
      <c r="S770" s="268"/>
      <c r="Y770" s="275" t="str">
        <f aca="false">IF(ISNUMBER(I770),I770/Netto_Faktor,"")</f>
        <v/>
      </c>
      <c r="Z770" s="275" t="str">
        <f aca="false">IF(B770="","",IF(COUNT(J770:N770)=0,"",SUM(J770:N770)))</f>
        <v/>
      </c>
      <c r="AA770" s="266"/>
      <c r="AB770" s="266"/>
      <c r="AC770" s="266"/>
      <c r="AD770" s="266"/>
      <c r="AE770" s="266"/>
      <c r="AF770" s="266"/>
      <c r="AG770" s="267"/>
      <c r="AH770" s="266" t="str">
        <f aca="false">IF(B770="","",IF(BA770="",IF(R770="WON","✅ belegt &amp; vollständig","✔ vollständig"),LEFT(BA770,LEN(BA770)-3)))</f>
        <v/>
      </c>
      <c r="AJ770" s="268" t="n">
        <f aca="false">IF(ISNUMBER(S770),IFERROR(LOOKUP(IF(S770&lt;=1,S770,S770/100),'⚖️ Wahrscheinlichkeit'!$B$17:$B$21,'⚖️ Wahrscheinlichkeit'!$D$17:$D$21),0),0)</f>
        <v>0</v>
      </c>
      <c r="AK770" s="1" t="str">
        <f aca="false">IF(AND(R770="WON",ISNUMBER(I770)),AL770+(861-ROW())*0.000001,"")</f>
        <v/>
      </c>
      <c r="AL770" s="1" t="n">
        <f aca="false">IFERROR(I770*1,0)</f>
        <v>0</v>
      </c>
      <c r="AM770" s="1" t="n">
        <f aca="false">N(AM769)+IF(AND(R770="WON",B770&lt;&gt;""),1,0)</f>
        <v>12</v>
      </c>
      <c r="AN770" s="1" t="n">
        <f aca="false">N(AN769)+IF(AND(OR(R770="offered",R770="to be offered",R770="on hold"),B770&lt;&gt;""),1,0)</f>
        <v>33</v>
      </c>
      <c r="AO770" s="1" t="n">
        <f aca="false">N(AO769)+IF(AND(OR(R770="follow-up",R770="Evaluation",R770="tbd",R770="In evaluation"),B770&lt;&gt;""),1,0)</f>
        <v>1</v>
      </c>
      <c r="AP770" s="1" t="n">
        <f aca="false">IF(B770="",0,IF(COUNTIF('⚖️ Wahrscheinlichkeit'!$J$17:$J$24,R770)&gt;0,1,0))</f>
        <v>0</v>
      </c>
      <c r="AQ770" s="1" t="n">
        <f aca="false">IF(B770="",0,IF(AND(ISNUMBER(S770),COUNTIF('⚖️ Wahrscheinlichkeit'!$B$6:$B$11,S770)&gt;0),1,0))</f>
        <v>0</v>
      </c>
      <c r="AR770" s="1" t="n">
        <f aca="false">IF(B770="",0,IF(AND(COUNT(J770:M770)=4,SUM(J770:M770)&gt;0),1,0))</f>
        <v>0</v>
      </c>
      <c r="AS770" s="1" t="n">
        <f aca="false">IF(B770="",0,IF(AND(AF770&lt;&gt;"",AG770&lt;&gt;""),1,0))</f>
        <v>0</v>
      </c>
      <c r="AT770" s="1" t="n">
        <f aca="false">IF(AND(R770="WON",AS770=1,AR770=1),1,0)</f>
        <v>0</v>
      </c>
      <c r="AU770" s="1" t="n">
        <f aca="false">IF(B770="",0,IF(AD770="Alternative – zählt nicht",0,1))</f>
        <v>0</v>
      </c>
      <c r="AV770" s="1" t="n">
        <f aca="false">IF(B770="",0,IF(COUNTIF($B$6:$B$860,B770)&gt;1,1,0))</f>
        <v>0</v>
      </c>
      <c r="AX770" s="269" t="str">
        <f aca="false">IF(AY770=1,DATE(YEAR(O770),MONTH(O770),1),"")</f>
        <v/>
      </c>
      <c r="AY770" s="1" t="n">
        <f aca="false">IF(B770="",0,IF(AND(ISNUMBER(O770),ISNUMBER(P770)),IF(P770&gt;=O770,1,0),0))</f>
        <v>0</v>
      </c>
      <c r="AZ770" s="1" t="n">
        <f aca="false">IF(ISNUMBER(Y770),Y770,0)</f>
        <v>0</v>
      </c>
      <c r="BA770" s="1" t="str">
        <f aca="false">IF(B770="","",IF(AND(R770="WON",AS770=0),"⛔ Beleg fehlt · ","")&amp;IF(AND(R770="WON",AR770=0),"⛔ Einstand fehlt · ","")&amp;IF(AND(R770&lt;&gt;"WON",AR770=0),"○ Einstand offen · ","")&amp;IF(AND(R770="WON",AB770=""),"⛔ Vertragsart fehlt · ","")&amp;IF(AND(ISNUMBER(O770),ISNUMBER(P770)),IF(P770&lt;O770,"⚠ Ende vor Start · ",""),"")&amp;IF(AND(R770="WON",AY770=0,NOT(AND(ISNUMBER(O770),ISNUMBER(P770)))),"⛔ Zeitraum fehlt · ","")&amp;IF(AND(R770&lt;&gt;"WON",AY770=0,NOT(AND(ISNUMBER(O770),ISNUMBER(P770)))),"○ Zeitraum offen · ",""))</f>
        <v/>
      </c>
      <c r="BB770" s="1" t="str">
        <f aca="false">IF(B770="","",IF(AND(R770="WON",AS770=0),"⛔ Nachweis fehlt",IF(AND(ISNUMBER(O770),ISNUMBER(P770),P770&lt;O770),"⚠ Ende vor Start",IF(AND(R770="WON",AY770=0),"⛔ Zeitraum fehlt",IF(AR770=0,"○ Einstand offen",IF(AY770=0,"○ Zeitraum offen",IF(R770="WON","✅ belegt","✔ erfasst")))))))</f>
        <v/>
      </c>
    </row>
    <row r="771" customFormat="false" ht="15" hidden="false" customHeight="true" outlineLevel="0" collapsed="false">
      <c r="G771" s="1" t="str">
        <f aca="false">IF(B771="","",IF(AY771=1,P771-O771+1,IF(AW771="","",AW771)))</f>
        <v/>
      </c>
      <c r="I771" s="270"/>
      <c r="J771" s="270"/>
      <c r="K771" s="270"/>
      <c r="L771" s="270"/>
      <c r="M771" s="270"/>
      <c r="N771" s="270"/>
      <c r="O771" s="263"/>
      <c r="P771" s="263"/>
      <c r="Q771" s="270" t="str">
        <f aca="false">IF(AND(ISNUMBER(I771),ISNUMBER(S771)),I771*AJ771,IF(OR(I771&lt;&gt;"",S771&lt;&gt;""),"tbd",""))</f>
        <v/>
      </c>
      <c r="S771" s="268"/>
      <c r="Y771" s="275" t="str">
        <f aca="false">IF(ISNUMBER(I771),I771/Netto_Faktor,"")</f>
        <v/>
      </c>
      <c r="Z771" s="275" t="str">
        <f aca="false">IF(B771="","",IF(COUNT(J771:N771)=0,"",SUM(J771:N771)))</f>
        <v/>
      </c>
      <c r="AA771" s="266"/>
      <c r="AB771" s="266"/>
      <c r="AC771" s="266"/>
      <c r="AD771" s="266"/>
      <c r="AE771" s="266"/>
      <c r="AF771" s="266"/>
      <c r="AG771" s="267"/>
      <c r="AH771" s="266" t="str">
        <f aca="false">IF(B771="","",IF(BA771="",IF(R771="WON","✅ belegt &amp; vollständig","✔ vollständig"),LEFT(BA771,LEN(BA771)-3)))</f>
        <v/>
      </c>
      <c r="AJ771" s="268" t="n">
        <f aca="false">IF(ISNUMBER(S771),IFERROR(LOOKUP(IF(S771&lt;=1,S771,S771/100),'⚖️ Wahrscheinlichkeit'!$B$17:$B$21,'⚖️ Wahrscheinlichkeit'!$D$17:$D$21),0),0)</f>
        <v>0</v>
      </c>
      <c r="AK771" s="1" t="str">
        <f aca="false">IF(AND(R771="WON",ISNUMBER(I771)),AL771+(861-ROW())*0.000001,"")</f>
        <v/>
      </c>
      <c r="AL771" s="1" t="n">
        <f aca="false">IFERROR(I771*1,0)</f>
        <v>0</v>
      </c>
      <c r="AM771" s="1" t="n">
        <f aca="false">N(AM770)+IF(AND(R771="WON",B771&lt;&gt;""),1,0)</f>
        <v>12</v>
      </c>
      <c r="AN771" s="1" t="n">
        <f aca="false">N(AN770)+IF(AND(OR(R771="offered",R771="to be offered",R771="on hold"),B771&lt;&gt;""),1,0)</f>
        <v>33</v>
      </c>
      <c r="AO771" s="1" t="n">
        <f aca="false">N(AO770)+IF(AND(OR(R771="follow-up",R771="Evaluation",R771="tbd",R771="In evaluation"),B771&lt;&gt;""),1,0)</f>
        <v>1</v>
      </c>
      <c r="AP771" s="1" t="n">
        <f aca="false">IF(B771="",0,IF(COUNTIF('⚖️ Wahrscheinlichkeit'!$J$17:$J$24,R771)&gt;0,1,0))</f>
        <v>0</v>
      </c>
      <c r="AQ771" s="1" t="n">
        <f aca="false">IF(B771="",0,IF(AND(ISNUMBER(S771),COUNTIF('⚖️ Wahrscheinlichkeit'!$B$6:$B$11,S771)&gt;0),1,0))</f>
        <v>0</v>
      </c>
      <c r="AR771" s="1" t="n">
        <f aca="false">IF(B771="",0,IF(AND(COUNT(J771:M771)=4,SUM(J771:M771)&gt;0),1,0))</f>
        <v>0</v>
      </c>
      <c r="AS771" s="1" t="n">
        <f aca="false">IF(B771="",0,IF(AND(AF771&lt;&gt;"",AG771&lt;&gt;""),1,0))</f>
        <v>0</v>
      </c>
      <c r="AT771" s="1" t="n">
        <f aca="false">IF(AND(R771="WON",AS771=1,AR771=1),1,0)</f>
        <v>0</v>
      </c>
      <c r="AU771" s="1" t="n">
        <f aca="false">IF(B771="",0,IF(AD771="Alternative – zählt nicht",0,1))</f>
        <v>0</v>
      </c>
      <c r="AV771" s="1" t="n">
        <f aca="false">IF(B771="",0,IF(COUNTIF($B$6:$B$860,B771)&gt;1,1,0))</f>
        <v>0</v>
      </c>
      <c r="AX771" s="269" t="str">
        <f aca="false">IF(AY771=1,DATE(YEAR(O771),MONTH(O771),1),"")</f>
        <v/>
      </c>
      <c r="AY771" s="1" t="n">
        <f aca="false">IF(B771="",0,IF(AND(ISNUMBER(O771),ISNUMBER(P771)),IF(P771&gt;=O771,1,0),0))</f>
        <v>0</v>
      </c>
      <c r="AZ771" s="1" t="n">
        <f aca="false">IF(ISNUMBER(Y771),Y771,0)</f>
        <v>0</v>
      </c>
      <c r="BA771" s="1" t="str">
        <f aca="false">IF(B771="","",IF(AND(R771="WON",AS771=0),"⛔ Beleg fehlt · ","")&amp;IF(AND(R771="WON",AR771=0),"⛔ Einstand fehlt · ","")&amp;IF(AND(R771&lt;&gt;"WON",AR771=0),"○ Einstand offen · ","")&amp;IF(AND(R771="WON",AB771=""),"⛔ Vertragsart fehlt · ","")&amp;IF(AND(ISNUMBER(O771),ISNUMBER(P771)),IF(P771&lt;O771,"⚠ Ende vor Start · ",""),"")&amp;IF(AND(R771="WON",AY771=0,NOT(AND(ISNUMBER(O771),ISNUMBER(P771)))),"⛔ Zeitraum fehlt · ","")&amp;IF(AND(R771&lt;&gt;"WON",AY771=0,NOT(AND(ISNUMBER(O771),ISNUMBER(P771)))),"○ Zeitraum offen · ",""))</f>
        <v/>
      </c>
      <c r="BB771" s="1" t="str">
        <f aca="false">IF(B771="","",IF(AND(R771="WON",AS771=0),"⛔ Nachweis fehlt",IF(AND(ISNUMBER(O771),ISNUMBER(P771),P771&lt;O771),"⚠ Ende vor Start",IF(AND(R771="WON",AY771=0),"⛔ Zeitraum fehlt",IF(AR771=0,"○ Einstand offen",IF(AY771=0,"○ Zeitraum offen",IF(R771="WON","✅ belegt","✔ erfasst")))))))</f>
        <v/>
      </c>
    </row>
    <row r="772" customFormat="false" ht="15" hidden="false" customHeight="true" outlineLevel="0" collapsed="false">
      <c r="G772" s="1" t="str">
        <f aca="false">IF(B772="","",IF(AY772=1,P772-O772+1,IF(AW772="","",AW772)))</f>
        <v/>
      </c>
      <c r="I772" s="270"/>
      <c r="J772" s="270"/>
      <c r="K772" s="270"/>
      <c r="L772" s="270"/>
      <c r="M772" s="270"/>
      <c r="N772" s="270"/>
      <c r="O772" s="263"/>
      <c r="P772" s="263"/>
      <c r="Q772" s="270" t="str">
        <f aca="false">IF(AND(ISNUMBER(I772),ISNUMBER(S772)),I772*AJ772,IF(OR(I772&lt;&gt;"",S772&lt;&gt;""),"tbd",""))</f>
        <v/>
      </c>
      <c r="S772" s="268"/>
      <c r="Y772" s="275" t="str">
        <f aca="false">IF(ISNUMBER(I772),I772/Netto_Faktor,"")</f>
        <v/>
      </c>
      <c r="Z772" s="275" t="str">
        <f aca="false">IF(B772="","",IF(COUNT(J772:N772)=0,"",SUM(J772:N772)))</f>
        <v/>
      </c>
      <c r="AA772" s="266"/>
      <c r="AB772" s="266"/>
      <c r="AC772" s="266"/>
      <c r="AD772" s="266"/>
      <c r="AE772" s="266"/>
      <c r="AF772" s="266"/>
      <c r="AG772" s="267"/>
      <c r="AH772" s="266" t="str">
        <f aca="false">IF(B772="","",IF(BA772="",IF(R772="WON","✅ belegt &amp; vollständig","✔ vollständig"),LEFT(BA772,LEN(BA772)-3)))</f>
        <v/>
      </c>
      <c r="AJ772" s="268" t="n">
        <f aca="false">IF(ISNUMBER(S772),IFERROR(LOOKUP(IF(S772&lt;=1,S772,S772/100),'⚖️ Wahrscheinlichkeit'!$B$17:$B$21,'⚖️ Wahrscheinlichkeit'!$D$17:$D$21),0),0)</f>
        <v>0</v>
      </c>
      <c r="AK772" s="1" t="str">
        <f aca="false">IF(AND(R772="WON",ISNUMBER(I772)),AL772+(861-ROW())*0.000001,"")</f>
        <v/>
      </c>
      <c r="AL772" s="1" t="n">
        <f aca="false">IFERROR(I772*1,0)</f>
        <v>0</v>
      </c>
      <c r="AM772" s="1" t="n">
        <f aca="false">N(AM771)+IF(AND(R772="WON",B772&lt;&gt;""),1,0)</f>
        <v>12</v>
      </c>
      <c r="AN772" s="1" t="n">
        <f aca="false">N(AN771)+IF(AND(OR(R772="offered",R772="to be offered",R772="on hold"),B772&lt;&gt;""),1,0)</f>
        <v>33</v>
      </c>
      <c r="AO772" s="1" t="n">
        <f aca="false">N(AO771)+IF(AND(OR(R772="follow-up",R772="Evaluation",R772="tbd",R772="In evaluation"),B772&lt;&gt;""),1,0)</f>
        <v>1</v>
      </c>
      <c r="AP772" s="1" t="n">
        <f aca="false">IF(B772="",0,IF(COUNTIF('⚖️ Wahrscheinlichkeit'!$J$17:$J$24,R772)&gt;0,1,0))</f>
        <v>0</v>
      </c>
      <c r="AQ772" s="1" t="n">
        <f aca="false">IF(B772="",0,IF(AND(ISNUMBER(S772),COUNTIF('⚖️ Wahrscheinlichkeit'!$B$6:$B$11,S772)&gt;0),1,0))</f>
        <v>0</v>
      </c>
      <c r="AR772" s="1" t="n">
        <f aca="false">IF(B772="",0,IF(AND(COUNT(J772:M772)=4,SUM(J772:M772)&gt;0),1,0))</f>
        <v>0</v>
      </c>
      <c r="AS772" s="1" t="n">
        <f aca="false">IF(B772="",0,IF(AND(AF772&lt;&gt;"",AG772&lt;&gt;""),1,0))</f>
        <v>0</v>
      </c>
      <c r="AT772" s="1" t="n">
        <f aca="false">IF(AND(R772="WON",AS772=1,AR772=1),1,0)</f>
        <v>0</v>
      </c>
      <c r="AU772" s="1" t="n">
        <f aca="false">IF(B772="",0,IF(AD772="Alternative – zählt nicht",0,1))</f>
        <v>0</v>
      </c>
      <c r="AV772" s="1" t="n">
        <f aca="false">IF(B772="",0,IF(COUNTIF($B$6:$B$860,B772)&gt;1,1,0))</f>
        <v>0</v>
      </c>
      <c r="AX772" s="269" t="str">
        <f aca="false">IF(AY772=1,DATE(YEAR(O772),MONTH(O772),1),"")</f>
        <v/>
      </c>
      <c r="AY772" s="1" t="n">
        <f aca="false">IF(B772="",0,IF(AND(ISNUMBER(O772),ISNUMBER(P772)),IF(P772&gt;=O772,1,0),0))</f>
        <v>0</v>
      </c>
      <c r="AZ772" s="1" t="n">
        <f aca="false">IF(ISNUMBER(Y772),Y772,0)</f>
        <v>0</v>
      </c>
      <c r="BA772" s="1" t="str">
        <f aca="false">IF(B772="","",IF(AND(R772="WON",AS772=0),"⛔ Beleg fehlt · ","")&amp;IF(AND(R772="WON",AR772=0),"⛔ Einstand fehlt · ","")&amp;IF(AND(R772&lt;&gt;"WON",AR772=0),"○ Einstand offen · ","")&amp;IF(AND(R772="WON",AB772=""),"⛔ Vertragsart fehlt · ","")&amp;IF(AND(ISNUMBER(O772),ISNUMBER(P772)),IF(P772&lt;O772,"⚠ Ende vor Start · ",""),"")&amp;IF(AND(R772="WON",AY772=0,NOT(AND(ISNUMBER(O772),ISNUMBER(P772)))),"⛔ Zeitraum fehlt · ","")&amp;IF(AND(R772&lt;&gt;"WON",AY772=0,NOT(AND(ISNUMBER(O772),ISNUMBER(P772)))),"○ Zeitraum offen · ",""))</f>
        <v/>
      </c>
      <c r="BB772" s="1" t="str">
        <f aca="false">IF(B772="","",IF(AND(R772="WON",AS772=0),"⛔ Nachweis fehlt",IF(AND(ISNUMBER(O772),ISNUMBER(P772),P772&lt;O772),"⚠ Ende vor Start",IF(AND(R772="WON",AY772=0),"⛔ Zeitraum fehlt",IF(AR772=0,"○ Einstand offen",IF(AY772=0,"○ Zeitraum offen",IF(R772="WON","✅ belegt","✔ erfasst")))))))</f>
        <v/>
      </c>
    </row>
    <row r="773" customFormat="false" ht="15" hidden="false" customHeight="true" outlineLevel="0" collapsed="false">
      <c r="G773" s="1" t="str">
        <f aca="false">IF(B773="","",IF(AY773=1,P773-O773+1,IF(AW773="","",AW773)))</f>
        <v/>
      </c>
      <c r="I773" s="270"/>
      <c r="J773" s="270"/>
      <c r="K773" s="270"/>
      <c r="L773" s="270"/>
      <c r="M773" s="270"/>
      <c r="N773" s="270"/>
      <c r="O773" s="263"/>
      <c r="P773" s="263"/>
      <c r="Q773" s="270" t="str">
        <f aca="false">IF(AND(ISNUMBER(I773),ISNUMBER(S773)),I773*AJ773,IF(OR(I773&lt;&gt;"",S773&lt;&gt;""),"tbd",""))</f>
        <v/>
      </c>
      <c r="S773" s="268"/>
      <c r="Y773" s="275" t="str">
        <f aca="false">IF(ISNUMBER(I773),I773/Netto_Faktor,"")</f>
        <v/>
      </c>
      <c r="Z773" s="275" t="str">
        <f aca="false">IF(B773="","",IF(COUNT(J773:N773)=0,"",SUM(J773:N773)))</f>
        <v/>
      </c>
      <c r="AA773" s="266"/>
      <c r="AB773" s="266"/>
      <c r="AC773" s="266"/>
      <c r="AD773" s="266"/>
      <c r="AE773" s="266"/>
      <c r="AF773" s="266"/>
      <c r="AG773" s="267"/>
      <c r="AH773" s="266" t="str">
        <f aca="false">IF(B773="","",IF(BA773="",IF(R773="WON","✅ belegt &amp; vollständig","✔ vollständig"),LEFT(BA773,LEN(BA773)-3)))</f>
        <v/>
      </c>
      <c r="AJ773" s="268" t="n">
        <f aca="false">IF(ISNUMBER(S773),IFERROR(LOOKUP(IF(S773&lt;=1,S773,S773/100),'⚖️ Wahrscheinlichkeit'!$B$17:$B$21,'⚖️ Wahrscheinlichkeit'!$D$17:$D$21),0),0)</f>
        <v>0</v>
      </c>
      <c r="AK773" s="1" t="str">
        <f aca="false">IF(AND(R773="WON",ISNUMBER(I773)),AL773+(861-ROW())*0.000001,"")</f>
        <v/>
      </c>
      <c r="AL773" s="1" t="n">
        <f aca="false">IFERROR(I773*1,0)</f>
        <v>0</v>
      </c>
      <c r="AM773" s="1" t="n">
        <f aca="false">N(AM772)+IF(AND(R773="WON",B773&lt;&gt;""),1,0)</f>
        <v>12</v>
      </c>
      <c r="AN773" s="1" t="n">
        <f aca="false">N(AN772)+IF(AND(OR(R773="offered",R773="to be offered",R773="on hold"),B773&lt;&gt;""),1,0)</f>
        <v>33</v>
      </c>
      <c r="AO773" s="1" t="n">
        <f aca="false">N(AO772)+IF(AND(OR(R773="follow-up",R773="Evaluation",R773="tbd",R773="In evaluation"),B773&lt;&gt;""),1,0)</f>
        <v>1</v>
      </c>
      <c r="AP773" s="1" t="n">
        <f aca="false">IF(B773="",0,IF(COUNTIF('⚖️ Wahrscheinlichkeit'!$J$17:$J$24,R773)&gt;0,1,0))</f>
        <v>0</v>
      </c>
      <c r="AQ773" s="1" t="n">
        <f aca="false">IF(B773="",0,IF(AND(ISNUMBER(S773),COUNTIF('⚖️ Wahrscheinlichkeit'!$B$6:$B$11,S773)&gt;0),1,0))</f>
        <v>0</v>
      </c>
      <c r="AR773" s="1" t="n">
        <f aca="false">IF(B773="",0,IF(AND(COUNT(J773:M773)=4,SUM(J773:M773)&gt;0),1,0))</f>
        <v>0</v>
      </c>
      <c r="AS773" s="1" t="n">
        <f aca="false">IF(B773="",0,IF(AND(AF773&lt;&gt;"",AG773&lt;&gt;""),1,0))</f>
        <v>0</v>
      </c>
      <c r="AT773" s="1" t="n">
        <f aca="false">IF(AND(R773="WON",AS773=1,AR773=1),1,0)</f>
        <v>0</v>
      </c>
      <c r="AU773" s="1" t="n">
        <f aca="false">IF(B773="",0,IF(AD773="Alternative – zählt nicht",0,1))</f>
        <v>0</v>
      </c>
      <c r="AV773" s="1" t="n">
        <f aca="false">IF(B773="",0,IF(COUNTIF($B$6:$B$860,B773)&gt;1,1,0))</f>
        <v>0</v>
      </c>
      <c r="AX773" s="269" t="str">
        <f aca="false">IF(AY773=1,DATE(YEAR(O773),MONTH(O773),1),"")</f>
        <v/>
      </c>
      <c r="AY773" s="1" t="n">
        <f aca="false">IF(B773="",0,IF(AND(ISNUMBER(O773),ISNUMBER(P773)),IF(P773&gt;=O773,1,0),0))</f>
        <v>0</v>
      </c>
      <c r="AZ773" s="1" t="n">
        <f aca="false">IF(ISNUMBER(Y773),Y773,0)</f>
        <v>0</v>
      </c>
      <c r="BA773" s="1" t="str">
        <f aca="false">IF(B773="","",IF(AND(R773="WON",AS773=0),"⛔ Beleg fehlt · ","")&amp;IF(AND(R773="WON",AR773=0),"⛔ Einstand fehlt · ","")&amp;IF(AND(R773&lt;&gt;"WON",AR773=0),"○ Einstand offen · ","")&amp;IF(AND(R773="WON",AB773=""),"⛔ Vertragsart fehlt · ","")&amp;IF(AND(ISNUMBER(O773),ISNUMBER(P773)),IF(P773&lt;O773,"⚠ Ende vor Start · ",""),"")&amp;IF(AND(R773="WON",AY773=0,NOT(AND(ISNUMBER(O773),ISNUMBER(P773)))),"⛔ Zeitraum fehlt · ","")&amp;IF(AND(R773&lt;&gt;"WON",AY773=0,NOT(AND(ISNUMBER(O773),ISNUMBER(P773)))),"○ Zeitraum offen · ",""))</f>
        <v/>
      </c>
      <c r="BB773" s="1" t="str">
        <f aca="false">IF(B773="","",IF(AND(R773="WON",AS773=0),"⛔ Nachweis fehlt",IF(AND(ISNUMBER(O773),ISNUMBER(P773),P773&lt;O773),"⚠ Ende vor Start",IF(AND(R773="WON",AY773=0),"⛔ Zeitraum fehlt",IF(AR773=0,"○ Einstand offen",IF(AY773=0,"○ Zeitraum offen",IF(R773="WON","✅ belegt","✔ erfasst")))))))</f>
        <v/>
      </c>
    </row>
    <row r="774" customFormat="false" ht="15" hidden="false" customHeight="true" outlineLevel="0" collapsed="false">
      <c r="G774" s="1" t="str">
        <f aca="false">IF(B774="","",IF(AY774=1,P774-O774+1,IF(AW774="","",AW774)))</f>
        <v/>
      </c>
      <c r="I774" s="270"/>
      <c r="J774" s="270"/>
      <c r="K774" s="270"/>
      <c r="L774" s="270"/>
      <c r="M774" s="270"/>
      <c r="N774" s="270"/>
      <c r="O774" s="263"/>
      <c r="P774" s="263"/>
      <c r="Q774" s="270" t="str">
        <f aca="false">IF(AND(ISNUMBER(I774),ISNUMBER(S774)),I774*AJ774,IF(OR(I774&lt;&gt;"",S774&lt;&gt;""),"tbd",""))</f>
        <v/>
      </c>
      <c r="S774" s="268"/>
      <c r="Y774" s="275" t="str">
        <f aca="false">IF(ISNUMBER(I774),I774/Netto_Faktor,"")</f>
        <v/>
      </c>
      <c r="Z774" s="275" t="str">
        <f aca="false">IF(B774="","",IF(COUNT(J774:N774)=0,"",SUM(J774:N774)))</f>
        <v/>
      </c>
      <c r="AA774" s="266"/>
      <c r="AB774" s="266"/>
      <c r="AC774" s="266"/>
      <c r="AD774" s="266"/>
      <c r="AE774" s="266"/>
      <c r="AF774" s="266"/>
      <c r="AG774" s="267"/>
      <c r="AH774" s="266" t="str">
        <f aca="false">IF(B774="","",IF(BA774="",IF(R774="WON","✅ belegt &amp; vollständig","✔ vollständig"),LEFT(BA774,LEN(BA774)-3)))</f>
        <v/>
      </c>
      <c r="AJ774" s="268" t="n">
        <f aca="false">IF(ISNUMBER(S774),IFERROR(LOOKUP(IF(S774&lt;=1,S774,S774/100),'⚖️ Wahrscheinlichkeit'!$B$17:$B$21,'⚖️ Wahrscheinlichkeit'!$D$17:$D$21),0),0)</f>
        <v>0</v>
      </c>
      <c r="AK774" s="1" t="str">
        <f aca="false">IF(AND(R774="WON",ISNUMBER(I774)),AL774+(861-ROW())*0.000001,"")</f>
        <v/>
      </c>
      <c r="AL774" s="1" t="n">
        <f aca="false">IFERROR(I774*1,0)</f>
        <v>0</v>
      </c>
      <c r="AM774" s="1" t="n">
        <f aca="false">N(AM773)+IF(AND(R774="WON",B774&lt;&gt;""),1,0)</f>
        <v>12</v>
      </c>
      <c r="AN774" s="1" t="n">
        <f aca="false">N(AN773)+IF(AND(OR(R774="offered",R774="to be offered",R774="on hold"),B774&lt;&gt;""),1,0)</f>
        <v>33</v>
      </c>
      <c r="AO774" s="1" t="n">
        <f aca="false">N(AO773)+IF(AND(OR(R774="follow-up",R774="Evaluation",R774="tbd",R774="In evaluation"),B774&lt;&gt;""),1,0)</f>
        <v>1</v>
      </c>
      <c r="AP774" s="1" t="n">
        <f aca="false">IF(B774="",0,IF(COUNTIF('⚖️ Wahrscheinlichkeit'!$J$17:$J$24,R774)&gt;0,1,0))</f>
        <v>0</v>
      </c>
      <c r="AQ774" s="1" t="n">
        <f aca="false">IF(B774="",0,IF(AND(ISNUMBER(S774),COUNTIF('⚖️ Wahrscheinlichkeit'!$B$6:$B$11,S774)&gt;0),1,0))</f>
        <v>0</v>
      </c>
      <c r="AR774" s="1" t="n">
        <f aca="false">IF(B774="",0,IF(AND(COUNT(J774:M774)=4,SUM(J774:M774)&gt;0),1,0))</f>
        <v>0</v>
      </c>
      <c r="AS774" s="1" t="n">
        <f aca="false">IF(B774="",0,IF(AND(AF774&lt;&gt;"",AG774&lt;&gt;""),1,0))</f>
        <v>0</v>
      </c>
      <c r="AT774" s="1" t="n">
        <f aca="false">IF(AND(R774="WON",AS774=1,AR774=1),1,0)</f>
        <v>0</v>
      </c>
      <c r="AU774" s="1" t="n">
        <f aca="false">IF(B774="",0,IF(AD774="Alternative – zählt nicht",0,1))</f>
        <v>0</v>
      </c>
      <c r="AV774" s="1" t="n">
        <f aca="false">IF(B774="",0,IF(COUNTIF($B$6:$B$860,B774)&gt;1,1,0))</f>
        <v>0</v>
      </c>
      <c r="AX774" s="269" t="str">
        <f aca="false">IF(AY774=1,DATE(YEAR(O774),MONTH(O774),1),"")</f>
        <v/>
      </c>
      <c r="AY774" s="1" t="n">
        <f aca="false">IF(B774="",0,IF(AND(ISNUMBER(O774),ISNUMBER(P774)),IF(P774&gt;=O774,1,0),0))</f>
        <v>0</v>
      </c>
      <c r="AZ774" s="1" t="n">
        <f aca="false">IF(ISNUMBER(Y774),Y774,0)</f>
        <v>0</v>
      </c>
      <c r="BA774" s="1" t="str">
        <f aca="false">IF(B774="","",IF(AND(R774="WON",AS774=0),"⛔ Beleg fehlt · ","")&amp;IF(AND(R774="WON",AR774=0),"⛔ Einstand fehlt · ","")&amp;IF(AND(R774&lt;&gt;"WON",AR774=0),"○ Einstand offen · ","")&amp;IF(AND(R774="WON",AB774=""),"⛔ Vertragsart fehlt · ","")&amp;IF(AND(ISNUMBER(O774),ISNUMBER(P774)),IF(P774&lt;O774,"⚠ Ende vor Start · ",""),"")&amp;IF(AND(R774="WON",AY774=0,NOT(AND(ISNUMBER(O774),ISNUMBER(P774)))),"⛔ Zeitraum fehlt · ","")&amp;IF(AND(R774&lt;&gt;"WON",AY774=0,NOT(AND(ISNUMBER(O774),ISNUMBER(P774)))),"○ Zeitraum offen · ",""))</f>
        <v/>
      </c>
      <c r="BB774" s="1" t="str">
        <f aca="false">IF(B774="","",IF(AND(R774="WON",AS774=0),"⛔ Nachweis fehlt",IF(AND(ISNUMBER(O774),ISNUMBER(P774),P774&lt;O774),"⚠ Ende vor Start",IF(AND(R774="WON",AY774=0),"⛔ Zeitraum fehlt",IF(AR774=0,"○ Einstand offen",IF(AY774=0,"○ Zeitraum offen",IF(R774="WON","✅ belegt","✔ erfasst")))))))</f>
        <v/>
      </c>
    </row>
    <row r="775" customFormat="false" ht="15" hidden="false" customHeight="true" outlineLevel="0" collapsed="false">
      <c r="G775" s="1" t="str">
        <f aca="false">IF(B775="","",IF(AY775=1,P775-O775+1,IF(AW775="","",AW775)))</f>
        <v/>
      </c>
      <c r="I775" s="270"/>
      <c r="J775" s="270"/>
      <c r="K775" s="270"/>
      <c r="L775" s="270"/>
      <c r="M775" s="270"/>
      <c r="N775" s="270"/>
      <c r="O775" s="263"/>
      <c r="P775" s="263"/>
      <c r="Q775" s="270" t="str">
        <f aca="false">IF(AND(ISNUMBER(I775),ISNUMBER(S775)),I775*AJ775,IF(OR(I775&lt;&gt;"",S775&lt;&gt;""),"tbd",""))</f>
        <v/>
      </c>
      <c r="S775" s="268"/>
      <c r="Y775" s="275" t="str">
        <f aca="false">IF(ISNUMBER(I775),I775/Netto_Faktor,"")</f>
        <v/>
      </c>
      <c r="Z775" s="275" t="str">
        <f aca="false">IF(B775="","",IF(COUNT(J775:N775)=0,"",SUM(J775:N775)))</f>
        <v/>
      </c>
      <c r="AA775" s="266"/>
      <c r="AB775" s="266"/>
      <c r="AC775" s="266"/>
      <c r="AD775" s="266"/>
      <c r="AE775" s="266"/>
      <c r="AF775" s="266"/>
      <c r="AG775" s="267"/>
      <c r="AH775" s="266" t="str">
        <f aca="false">IF(B775="","",IF(BA775="",IF(R775="WON","✅ belegt &amp; vollständig","✔ vollständig"),LEFT(BA775,LEN(BA775)-3)))</f>
        <v/>
      </c>
      <c r="AJ775" s="268" t="n">
        <f aca="false">IF(ISNUMBER(S775),IFERROR(LOOKUP(IF(S775&lt;=1,S775,S775/100),'⚖️ Wahrscheinlichkeit'!$B$17:$B$21,'⚖️ Wahrscheinlichkeit'!$D$17:$D$21),0),0)</f>
        <v>0</v>
      </c>
      <c r="AK775" s="1" t="str">
        <f aca="false">IF(AND(R775="WON",ISNUMBER(I775)),AL775+(861-ROW())*0.000001,"")</f>
        <v/>
      </c>
      <c r="AL775" s="1" t="n">
        <f aca="false">IFERROR(I775*1,0)</f>
        <v>0</v>
      </c>
      <c r="AM775" s="1" t="n">
        <f aca="false">N(AM774)+IF(AND(R775="WON",B775&lt;&gt;""),1,0)</f>
        <v>12</v>
      </c>
      <c r="AN775" s="1" t="n">
        <f aca="false">N(AN774)+IF(AND(OR(R775="offered",R775="to be offered",R775="on hold"),B775&lt;&gt;""),1,0)</f>
        <v>33</v>
      </c>
      <c r="AO775" s="1" t="n">
        <f aca="false">N(AO774)+IF(AND(OR(R775="follow-up",R775="Evaluation",R775="tbd",R775="In evaluation"),B775&lt;&gt;""),1,0)</f>
        <v>1</v>
      </c>
      <c r="AP775" s="1" t="n">
        <f aca="false">IF(B775="",0,IF(COUNTIF('⚖️ Wahrscheinlichkeit'!$J$17:$J$24,R775)&gt;0,1,0))</f>
        <v>0</v>
      </c>
      <c r="AQ775" s="1" t="n">
        <f aca="false">IF(B775="",0,IF(AND(ISNUMBER(S775),COUNTIF('⚖️ Wahrscheinlichkeit'!$B$6:$B$11,S775)&gt;0),1,0))</f>
        <v>0</v>
      </c>
      <c r="AR775" s="1" t="n">
        <f aca="false">IF(B775="",0,IF(AND(COUNT(J775:M775)=4,SUM(J775:M775)&gt;0),1,0))</f>
        <v>0</v>
      </c>
      <c r="AS775" s="1" t="n">
        <f aca="false">IF(B775="",0,IF(AND(AF775&lt;&gt;"",AG775&lt;&gt;""),1,0))</f>
        <v>0</v>
      </c>
      <c r="AT775" s="1" t="n">
        <f aca="false">IF(AND(R775="WON",AS775=1,AR775=1),1,0)</f>
        <v>0</v>
      </c>
      <c r="AU775" s="1" t="n">
        <f aca="false">IF(B775="",0,IF(AD775="Alternative – zählt nicht",0,1))</f>
        <v>0</v>
      </c>
      <c r="AV775" s="1" t="n">
        <f aca="false">IF(B775="",0,IF(COUNTIF($B$6:$B$860,B775)&gt;1,1,0))</f>
        <v>0</v>
      </c>
      <c r="AX775" s="269" t="str">
        <f aca="false">IF(AY775=1,DATE(YEAR(O775),MONTH(O775),1),"")</f>
        <v/>
      </c>
      <c r="AY775" s="1" t="n">
        <f aca="false">IF(B775="",0,IF(AND(ISNUMBER(O775),ISNUMBER(P775)),IF(P775&gt;=O775,1,0),0))</f>
        <v>0</v>
      </c>
      <c r="AZ775" s="1" t="n">
        <f aca="false">IF(ISNUMBER(Y775),Y775,0)</f>
        <v>0</v>
      </c>
      <c r="BA775" s="1" t="str">
        <f aca="false">IF(B775="","",IF(AND(R775="WON",AS775=0),"⛔ Beleg fehlt · ","")&amp;IF(AND(R775="WON",AR775=0),"⛔ Einstand fehlt · ","")&amp;IF(AND(R775&lt;&gt;"WON",AR775=0),"○ Einstand offen · ","")&amp;IF(AND(R775="WON",AB775=""),"⛔ Vertragsart fehlt · ","")&amp;IF(AND(ISNUMBER(O775),ISNUMBER(P775)),IF(P775&lt;O775,"⚠ Ende vor Start · ",""),"")&amp;IF(AND(R775="WON",AY775=0,NOT(AND(ISNUMBER(O775),ISNUMBER(P775)))),"⛔ Zeitraum fehlt · ","")&amp;IF(AND(R775&lt;&gt;"WON",AY775=0,NOT(AND(ISNUMBER(O775),ISNUMBER(P775)))),"○ Zeitraum offen · ",""))</f>
        <v/>
      </c>
      <c r="BB775" s="1" t="str">
        <f aca="false">IF(B775="","",IF(AND(R775="WON",AS775=0),"⛔ Nachweis fehlt",IF(AND(ISNUMBER(O775),ISNUMBER(P775),P775&lt;O775),"⚠ Ende vor Start",IF(AND(R775="WON",AY775=0),"⛔ Zeitraum fehlt",IF(AR775=0,"○ Einstand offen",IF(AY775=0,"○ Zeitraum offen",IF(R775="WON","✅ belegt","✔ erfasst")))))))</f>
        <v/>
      </c>
    </row>
    <row r="776" customFormat="false" ht="15" hidden="false" customHeight="true" outlineLevel="0" collapsed="false">
      <c r="G776" s="1" t="str">
        <f aca="false">IF(B776="","",IF(AY776=1,P776-O776+1,IF(AW776="","",AW776)))</f>
        <v/>
      </c>
      <c r="I776" s="270"/>
      <c r="J776" s="270"/>
      <c r="K776" s="270"/>
      <c r="L776" s="270"/>
      <c r="M776" s="270"/>
      <c r="N776" s="270"/>
      <c r="O776" s="263"/>
      <c r="P776" s="263"/>
      <c r="Q776" s="270" t="str">
        <f aca="false">IF(AND(ISNUMBER(I776),ISNUMBER(S776)),I776*AJ776,IF(OR(I776&lt;&gt;"",S776&lt;&gt;""),"tbd",""))</f>
        <v/>
      </c>
      <c r="S776" s="268"/>
      <c r="Y776" s="275" t="str">
        <f aca="false">IF(ISNUMBER(I776),I776/Netto_Faktor,"")</f>
        <v/>
      </c>
      <c r="Z776" s="275" t="str">
        <f aca="false">IF(B776="","",IF(COUNT(J776:N776)=0,"",SUM(J776:N776)))</f>
        <v/>
      </c>
      <c r="AA776" s="266"/>
      <c r="AB776" s="266"/>
      <c r="AC776" s="266"/>
      <c r="AD776" s="266"/>
      <c r="AE776" s="266"/>
      <c r="AF776" s="266"/>
      <c r="AG776" s="267"/>
      <c r="AH776" s="266" t="str">
        <f aca="false">IF(B776="","",IF(BA776="",IF(R776="WON","✅ belegt &amp; vollständig","✔ vollständig"),LEFT(BA776,LEN(BA776)-3)))</f>
        <v/>
      </c>
      <c r="AJ776" s="268" t="n">
        <f aca="false">IF(ISNUMBER(S776),IFERROR(LOOKUP(IF(S776&lt;=1,S776,S776/100),'⚖️ Wahrscheinlichkeit'!$B$17:$B$21,'⚖️ Wahrscheinlichkeit'!$D$17:$D$21),0),0)</f>
        <v>0</v>
      </c>
      <c r="AK776" s="1" t="str">
        <f aca="false">IF(AND(R776="WON",ISNUMBER(I776)),AL776+(861-ROW())*0.000001,"")</f>
        <v/>
      </c>
      <c r="AL776" s="1" t="n">
        <f aca="false">IFERROR(I776*1,0)</f>
        <v>0</v>
      </c>
      <c r="AM776" s="1" t="n">
        <f aca="false">N(AM775)+IF(AND(R776="WON",B776&lt;&gt;""),1,0)</f>
        <v>12</v>
      </c>
      <c r="AN776" s="1" t="n">
        <f aca="false">N(AN775)+IF(AND(OR(R776="offered",R776="to be offered",R776="on hold"),B776&lt;&gt;""),1,0)</f>
        <v>33</v>
      </c>
      <c r="AO776" s="1" t="n">
        <f aca="false">N(AO775)+IF(AND(OR(R776="follow-up",R776="Evaluation",R776="tbd",R776="In evaluation"),B776&lt;&gt;""),1,0)</f>
        <v>1</v>
      </c>
      <c r="AP776" s="1" t="n">
        <f aca="false">IF(B776="",0,IF(COUNTIF('⚖️ Wahrscheinlichkeit'!$J$17:$J$24,R776)&gt;0,1,0))</f>
        <v>0</v>
      </c>
      <c r="AQ776" s="1" t="n">
        <f aca="false">IF(B776="",0,IF(AND(ISNUMBER(S776),COUNTIF('⚖️ Wahrscheinlichkeit'!$B$6:$B$11,S776)&gt;0),1,0))</f>
        <v>0</v>
      </c>
      <c r="AR776" s="1" t="n">
        <f aca="false">IF(B776="",0,IF(AND(COUNT(J776:M776)=4,SUM(J776:M776)&gt;0),1,0))</f>
        <v>0</v>
      </c>
      <c r="AS776" s="1" t="n">
        <f aca="false">IF(B776="",0,IF(AND(AF776&lt;&gt;"",AG776&lt;&gt;""),1,0))</f>
        <v>0</v>
      </c>
      <c r="AT776" s="1" t="n">
        <f aca="false">IF(AND(R776="WON",AS776=1,AR776=1),1,0)</f>
        <v>0</v>
      </c>
      <c r="AU776" s="1" t="n">
        <f aca="false">IF(B776="",0,IF(AD776="Alternative – zählt nicht",0,1))</f>
        <v>0</v>
      </c>
      <c r="AV776" s="1" t="n">
        <f aca="false">IF(B776="",0,IF(COUNTIF($B$6:$B$860,B776)&gt;1,1,0))</f>
        <v>0</v>
      </c>
      <c r="AX776" s="269" t="str">
        <f aca="false">IF(AY776=1,DATE(YEAR(O776),MONTH(O776),1),"")</f>
        <v/>
      </c>
      <c r="AY776" s="1" t="n">
        <f aca="false">IF(B776="",0,IF(AND(ISNUMBER(O776),ISNUMBER(P776)),IF(P776&gt;=O776,1,0),0))</f>
        <v>0</v>
      </c>
      <c r="AZ776" s="1" t="n">
        <f aca="false">IF(ISNUMBER(Y776),Y776,0)</f>
        <v>0</v>
      </c>
      <c r="BA776" s="1" t="str">
        <f aca="false">IF(B776="","",IF(AND(R776="WON",AS776=0),"⛔ Beleg fehlt · ","")&amp;IF(AND(R776="WON",AR776=0),"⛔ Einstand fehlt · ","")&amp;IF(AND(R776&lt;&gt;"WON",AR776=0),"○ Einstand offen · ","")&amp;IF(AND(R776="WON",AB776=""),"⛔ Vertragsart fehlt · ","")&amp;IF(AND(ISNUMBER(O776),ISNUMBER(P776)),IF(P776&lt;O776,"⚠ Ende vor Start · ",""),"")&amp;IF(AND(R776="WON",AY776=0,NOT(AND(ISNUMBER(O776),ISNUMBER(P776)))),"⛔ Zeitraum fehlt · ","")&amp;IF(AND(R776&lt;&gt;"WON",AY776=0,NOT(AND(ISNUMBER(O776),ISNUMBER(P776)))),"○ Zeitraum offen · ",""))</f>
        <v/>
      </c>
      <c r="BB776" s="1" t="str">
        <f aca="false">IF(B776="","",IF(AND(R776="WON",AS776=0),"⛔ Nachweis fehlt",IF(AND(ISNUMBER(O776),ISNUMBER(P776),P776&lt;O776),"⚠ Ende vor Start",IF(AND(R776="WON",AY776=0),"⛔ Zeitraum fehlt",IF(AR776=0,"○ Einstand offen",IF(AY776=0,"○ Zeitraum offen",IF(R776="WON","✅ belegt","✔ erfasst")))))))</f>
        <v/>
      </c>
    </row>
    <row r="777" customFormat="false" ht="15" hidden="false" customHeight="true" outlineLevel="0" collapsed="false">
      <c r="G777" s="1" t="str">
        <f aca="false">IF(B777="","",IF(AY777=1,P777-O777+1,IF(AW777="","",AW777)))</f>
        <v/>
      </c>
      <c r="I777" s="270"/>
      <c r="J777" s="270"/>
      <c r="K777" s="270"/>
      <c r="L777" s="270"/>
      <c r="M777" s="270"/>
      <c r="N777" s="270"/>
      <c r="O777" s="263"/>
      <c r="P777" s="263"/>
      <c r="Q777" s="270" t="str">
        <f aca="false">IF(AND(ISNUMBER(I777),ISNUMBER(S777)),I777*AJ777,IF(OR(I777&lt;&gt;"",S777&lt;&gt;""),"tbd",""))</f>
        <v/>
      </c>
      <c r="S777" s="268"/>
      <c r="Y777" s="275" t="str">
        <f aca="false">IF(ISNUMBER(I777),I777/Netto_Faktor,"")</f>
        <v/>
      </c>
      <c r="Z777" s="275" t="str">
        <f aca="false">IF(B777="","",IF(COUNT(J777:N777)=0,"",SUM(J777:N777)))</f>
        <v/>
      </c>
      <c r="AA777" s="266"/>
      <c r="AB777" s="266"/>
      <c r="AC777" s="266"/>
      <c r="AD777" s="266"/>
      <c r="AE777" s="266"/>
      <c r="AF777" s="266"/>
      <c r="AG777" s="267"/>
      <c r="AH777" s="266" t="str">
        <f aca="false">IF(B777="","",IF(BA777="",IF(R777="WON","✅ belegt &amp; vollständig","✔ vollständig"),LEFT(BA777,LEN(BA777)-3)))</f>
        <v/>
      </c>
      <c r="AJ777" s="268" t="n">
        <f aca="false">IF(ISNUMBER(S777),IFERROR(LOOKUP(IF(S777&lt;=1,S777,S777/100),'⚖️ Wahrscheinlichkeit'!$B$17:$B$21,'⚖️ Wahrscheinlichkeit'!$D$17:$D$21),0),0)</f>
        <v>0</v>
      </c>
      <c r="AK777" s="1" t="str">
        <f aca="false">IF(AND(R777="WON",ISNUMBER(I777)),AL777+(861-ROW())*0.000001,"")</f>
        <v/>
      </c>
      <c r="AL777" s="1" t="n">
        <f aca="false">IFERROR(I777*1,0)</f>
        <v>0</v>
      </c>
      <c r="AM777" s="1" t="n">
        <f aca="false">N(AM776)+IF(AND(R777="WON",B777&lt;&gt;""),1,0)</f>
        <v>12</v>
      </c>
      <c r="AN777" s="1" t="n">
        <f aca="false">N(AN776)+IF(AND(OR(R777="offered",R777="to be offered",R777="on hold"),B777&lt;&gt;""),1,0)</f>
        <v>33</v>
      </c>
      <c r="AO777" s="1" t="n">
        <f aca="false">N(AO776)+IF(AND(OR(R777="follow-up",R777="Evaluation",R777="tbd",R777="In evaluation"),B777&lt;&gt;""),1,0)</f>
        <v>1</v>
      </c>
      <c r="AP777" s="1" t="n">
        <f aca="false">IF(B777="",0,IF(COUNTIF('⚖️ Wahrscheinlichkeit'!$J$17:$J$24,R777)&gt;0,1,0))</f>
        <v>0</v>
      </c>
      <c r="AQ777" s="1" t="n">
        <f aca="false">IF(B777="",0,IF(AND(ISNUMBER(S777),COUNTIF('⚖️ Wahrscheinlichkeit'!$B$6:$B$11,S777)&gt;0),1,0))</f>
        <v>0</v>
      </c>
      <c r="AR777" s="1" t="n">
        <f aca="false">IF(B777="",0,IF(AND(COUNT(J777:M777)=4,SUM(J777:M777)&gt;0),1,0))</f>
        <v>0</v>
      </c>
      <c r="AS777" s="1" t="n">
        <f aca="false">IF(B777="",0,IF(AND(AF777&lt;&gt;"",AG777&lt;&gt;""),1,0))</f>
        <v>0</v>
      </c>
      <c r="AT777" s="1" t="n">
        <f aca="false">IF(AND(R777="WON",AS777=1,AR777=1),1,0)</f>
        <v>0</v>
      </c>
      <c r="AU777" s="1" t="n">
        <f aca="false">IF(B777="",0,IF(AD777="Alternative – zählt nicht",0,1))</f>
        <v>0</v>
      </c>
      <c r="AV777" s="1" t="n">
        <f aca="false">IF(B777="",0,IF(COUNTIF($B$6:$B$860,B777)&gt;1,1,0))</f>
        <v>0</v>
      </c>
      <c r="AX777" s="269" t="str">
        <f aca="false">IF(AY777=1,DATE(YEAR(O777),MONTH(O777),1),"")</f>
        <v/>
      </c>
      <c r="AY777" s="1" t="n">
        <f aca="false">IF(B777="",0,IF(AND(ISNUMBER(O777),ISNUMBER(P777)),IF(P777&gt;=O777,1,0),0))</f>
        <v>0</v>
      </c>
      <c r="AZ777" s="1" t="n">
        <f aca="false">IF(ISNUMBER(Y777),Y777,0)</f>
        <v>0</v>
      </c>
      <c r="BA777" s="1" t="str">
        <f aca="false">IF(B777="","",IF(AND(R777="WON",AS777=0),"⛔ Beleg fehlt · ","")&amp;IF(AND(R777="WON",AR777=0),"⛔ Einstand fehlt · ","")&amp;IF(AND(R777&lt;&gt;"WON",AR777=0),"○ Einstand offen · ","")&amp;IF(AND(R777="WON",AB777=""),"⛔ Vertragsart fehlt · ","")&amp;IF(AND(ISNUMBER(O777),ISNUMBER(P777)),IF(P777&lt;O777,"⚠ Ende vor Start · ",""),"")&amp;IF(AND(R777="WON",AY777=0,NOT(AND(ISNUMBER(O777),ISNUMBER(P777)))),"⛔ Zeitraum fehlt · ","")&amp;IF(AND(R777&lt;&gt;"WON",AY777=0,NOT(AND(ISNUMBER(O777),ISNUMBER(P777)))),"○ Zeitraum offen · ",""))</f>
        <v/>
      </c>
      <c r="BB777" s="1" t="str">
        <f aca="false">IF(B777="","",IF(AND(R777="WON",AS777=0),"⛔ Nachweis fehlt",IF(AND(ISNUMBER(O777),ISNUMBER(P777),P777&lt;O777),"⚠ Ende vor Start",IF(AND(R777="WON",AY777=0),"⛔ Zeitraum fehlt",IF(AR777=0,"○ Einstand offen",IF(AY777=0,"○ Zeitraum offen",IF(R777="WON","✅ belegt","✔ erfasst")))))))</f>
        <v/>
      </c>
    </row>
    <row r="778" customFormat="false" ht="15" hidden="false" customHeight="true" outlineLevel="0" collapsed="false">
      <c r="G778" s="1" t="str">
        <f aca="false">IF(B778="","",IF(AY778=1,P778-O778+1,IF(AW778="","",AW778)))</f>
        <v/>
      </c>
      <c r="I778" s="270"/>
      <c r="J778" s="270"/>
      <c r="K778" s="270"/>
      <c r="L778" s="270"/>
      <c r="M778" s="270"/>
      <c r="N778" s="270"/>
      <c r="O778" s="263"/>
      <c r="P778" s="263"/>
      <c r="Q778" s="270" t="str">
        <f aca="false">IF(AND(ISNUMBER(I778),ISNUMBER(S778)),I778*AJ778,IF(OR(I778&lt;&gt;"",S778&lt;&gt;""),"tbd",""))</f>
        <v/>
      </c>
      <c r="S778" s="268"/>
      <c r="Y778" s="275" t="str">
        <f aca="false">IF(ISNUMBER(I778),I778/Netto_Faktor,"")</f>
        <v/>
      </c>
      <c r="Z778" s="275" t="str">
        <f aca="false">IF(B778="","",IF(COUNT(J778:N778)=0,"",SUM(J778:N778)))</f>
        <v/>
      </c>
      <c r="AA778" s="266"/>
      <c r="AB778" s="266"/>
      <c r="AC778" s="266"/>
      <c r="AD778" s="266"/>
      <c r="AE778" s="266"/>
      <c r="AF778" s="266"/>
      <c r="AG778" s="267"/>
      <c r="AH778" s="266" t="str">
        <f aca="false">IF(B778="","",IF(BA778="",IF(R778="WON","✅ belegt &amp; vollständig","✔ vollständig"),LEFT(BA778,LEN(BA778)-3)))</f>
        <v/>
      </c>
      <c r="AJ778" s="268" t="n">
        <f aca="false">IF(ISNUMBER(S778),IFERROR(LOOKUP(IF(S778&lt;=1,S778,S778/100),'⚖️ Wahrscheinlichkeit'!$B$17:$B$21,'⚖️ Wahrscheinlichkeit'!$D$17:$D$21),0),0)</f>
        <v>0</v>
      </c>
      <c r="AK778" s="1" t="str">
        <f aca="false">IF(AND(R778="WON",ISNUMBER(I778)),AL778+(861-ROW())*0.000001,"")</f>
        <v/>
      </c>
      <c r="AL778" s="1" t="n">
        <f aca="false">IFERROR(I778*1,0)</f>
        <v>0</v>
      </c>
      <c r="AM778" s="1" t="n">
        <f aca="false">N(AM777)+IF(AND(R778="WON",B778&lt;&gt;""),1,0)</f>
        <v>12</v>
      </c>
      <c r="AN778" s="1" t="n">
        <f aca="false">N(AN777)+IF(AND(OR(R778="offered",R778="to be offered",R778="on hold"),B778&lt;&gt;""),1,0)</f>
        <v>33</v>
      </c>
      <c r="AO778" s="1" t="n">
        <f aca="false">N(AO777)+IF(AND(OR(R778="follow-up",R778="Evaluation",R778="tbd",R778="In evaluation"),B778&lt;&gt;""),1,0)</f>
        <v>1</v>
      </c>
      <c r="AP778" s="1" t="n">
        <f aca="false">IF(B778="",0,IF(COUNTIF('⚖️ Wahrscheinlichkeit'!$J$17:$J$24,R778)&gt;0,1,0))</f>
        <v>0</v>
      </c>
      <c r="AQ778" s="1" t="n">
        <f aca="false">IF(B778="",0,IF(AND(ISNUMBER(S778),COUNTIF('⚖️ Wahrscheinlichkeit'!$B$6:$B$11,S778)&gt;0),1,0))</f>
        <v>0</v>
      </c>
      <c r="AR778" s="1" t="n">
        <f aca="false">IF(B778="",0,IF(AND(COUNT(J778:M778)=4,SUM(J778:M778)&gt;0),1,0))</f>
        <v>0</v>
      </c>
      <c r="AS778" s="1" t="n">
        <f aca="false">IF(B778="",0,IF(AND(AF778&lt;&gt;"",AG778&lt;&gt;""),1,0))</f>
        <v>0</v>
      </c>
      <c r="AT778" s="1" t="n">
        <f aca="false">IF(AND(R778="WON",AS778=1,AR778=1),1,0)</f>
        <v>0</v>
      </c>
      <c r="AU778" s="1" t="n">
        <f aca="false">IF(B778="",0,IF(AD778="Alternative – zählt nicht",0,1))</f>
        <v>0</v>
      </c>
      <c r="AV778" s="1" t="n">
        <f aca="false">IF(B778="",0,IF(COUNTIF($B$6:$B$860,B778)&gt;1,1,0))</f>
        <v>0</v>
      </c>
      <c r="AX778" s="269" t="str">
        <f aca="false">IF(AY778=1,DATE(YEAR(O778),MONTH(O778),1),"")</f>
        <v/>
      </c>
      <c r="AY778" s="1" t="n">
        <f aca="false">IF(B778="",0,IF(AND(ISNUMBER(O778),ISNUMBER(P778)),IF(P778&gt;=O778,1,0),0))</f>
        <v>0</v>
      </c>
      <c r="AZ778" s="1" t="n">
        <f aca="false">IF(ISNUMBER(Y778),Y778,0)</f>
        <v>0</v>
      </c>
      <c r="BA778" s="1" t="str">
        <f aca="false">IF(B778="","",IF(AND(R778="WON",AS778=0),"⛔ Beleg fehlt · ","")&amp;IF(AND(R778="WON",AR778=0),"⛔ Einstand fehlt · ","")&amp;IF(AND(R778&lt;&gt;"WON",AR778=0),"○ Einstand offen · ","")&amp;IF(AND(R778="WON",AB778=""),"⛔ Vertragsart fehlt · ","")&amp;IF(AND(ISNUMBER(O778),ISNUMBER(P778)),IF(P778&lt;O778,"⚠ Ende vor Start · ",""),"")&amp;IF(AND(R778="WON",AY778=0,NOT(AND(ISNUMBER(O778),ISNUMBER(P778)))),"⛔ Zeitraum fehlt · ","")&amp;IF(AND(R778&lt;&gt;"WON",AY778=0,NOT(AND(ISNUMBER(O778),ISNUMBER(P778)))),"○ Zeitraum offen · ",""))</f>
        <v/>
      </c>
      <c r="BB778" s="1" t="str">
        <f aca="false">IF(B778="","",IF(AND(R778="WON",AS778=0),"⛔ Nachweis fehlt",IF(AND(ISNUMBER(O778),ISNUMBER(P778),P778&lt;O778),"⚠ Ende vor Start",IF(AND(R778="WON",AY778=0),"⛔ Zeitraum fehlt",IF(AR778=0,"○ Einstand offen",IF(AY778=0,"○ Zeitraum offen",IF(R778="WON","✅ belegt","✔ erfasst")))))))</f>
        <v/>
      </c>
    </row>
    <row r="779" customFormat="false" ht="15" hidden="false" customHeight="true" outlineLevel="0" collapsed="false">
      <c r="G779" s="1" t="str">
        <f aca="false">IF(B779="","",IF(AY779=1,P779-O779+1,IF(AW779="","",AW779)))</f>
        <v/>
      </c>
      <c r="I779" s="270"/>
      <c r="J779" s="270"/>
      <c r="K779" s="270"/>
      <c r="L779" s="270"/>
      <c r="M779" s="270"/>
      <c r="N779" s="270"/>
      <c r="O779" s="263"/>
      <c r="P779" s="263"/>
      <c r="Q779" s="270" t="str">
        <f aca="false">IF(AND(ISNUMBER(I779),ISNUMBER(S779)),I779*AJ779,IF(OR(I779&lt;&gt;"",S779&lt;&gt;""),"tbd",""))</f>
        <v/>
      </c>
      <c r="S779" s="268"/>
      <c r="Y779" s="275" t="str">
        <f aca="false">IF(ISNUMBER(I779),I779/Netto_Faktor,"")</f>
        <v/>
      </c>
      <c r="Z779" s="275" t="str">
        <f aca="false">IF(B779="","",IF(COUNT(J779:N779)=0,"",SUM(J779:N779)))</f>
        <v/>
      </c>
      <c r="AA779" s="266"/>
      <c r="AB779" s="266"/>
      <c r="AC779" s="266"/>
      <c r="AD779" s="266"/>
      <c r="AE779" s="266"/>
      <c r="AF779" s="266"/>
      <c r="AG779" s="267"/>
      <c r="AH779" s="266" t="str">
        <f aca="false">IF(B779="","",IF(BA779="",IF(R779="WON","✅ belegt &amp; vollständig","✔ vollständig"),LEFT(BA779,LEN(BA779)-3)))</f>
        <v/>
      </c>
      <c r="AJ779" s="268" t="n">
        <f aca="false">IF(ISNUMBER(S779),IFERROR(LOOKUP(IF(S779&lt;=1,S779,S779/100),'⚖️ Wahrscheinlichkeit'!$B$17:$B$21,'⚖️ Wahrscheinlichkeit'!$D$17:$D$21),0),0)</f>
        <v>0</v>
      </c>
      <c r="AK779" s="1" t="str">
        <f aca="false">IF(AND(R779="WON",ISNUMBER(I779)),AL779+(861-ROW())*0.000001,"")</f>
        <v/>
      </c>
      <c r="AL779" s="1" t="n">
        <f aca="false">IFERROR(I779*1,0)</f>
        <v>0</v>
      </c>
      <c r="AM779" s="1" t="n">
        <f aca="false">N(AM778)+IF(AND(R779="WON",B779&lt;&gt;""),1,0)</f>
        <v>12</v>
      </c>
      <c r="AN779" s="1" t="n">
        <f aca="false">N(AN778)+IF(AND(OR(R779="offered",R779="to be offered",R779="on hold"),B779&lt;&gt;""),1,0)</f>
        <v>33</v>
      </c>
      <c r="AO779" s="1" t="n">
        <f aca="false">N(AO778)+IF(AND(OR(R779="follow-up",R779="Evaluation",R779="tbd",R779="In evaluation"),B779&lt;&gt;""),1,0)</f>
        <v>1</v>
      </c>
      <c r="AP779" s="1" t="n">
        <f aca="false">IF(B779="",0,IF(COUNTIF('⚖️ Wahrscheinlichkeit'!$J$17:$J$24,R779)&gt;0,1,0))</f>
        <v>0</v>
      </c>
      <c r="AQ779" s="1" t="n">
        <f aca="false">IF(B779="",0,IF(AND(ISNUMBER(S779),COUNTIF('⚖️ Wahrscheinlichkeit'!$B$6:$B$11,S779)&gt;0),1,0))</f>
        <v>0</v>
      </c>
      <c r="AR779" s="1" t="n">
        <f aca="false">IF(B779="",0,IF(AND(COUNT(J779:M779)=4,SUM(J779:M779)&gt;0),1,0))</f>
        <v>0</v>
      </c>
      <c r="AS779" s="1" t="n">
        <f aca="false">IF(B779="",0,IF(AND(AF779&lt;&gt;"",AG779&lt;&gt;""),1,0))</f>
        <v>0</v>
      </c>
      <c r="AT779" s="1" t="n">
        <f aca="false">IF(AND(R779="WON",AS779=1,AR779=1),1,0)</f>
        <v>0</v>
      </c>
      <c r="AU779" s="1" t="n">
        <f aca="false">IF(B779="",0,IF(AD779="Alternative – zählt nicht",0,1))</f>
        <v>0</v>
      </c>
      <c r="AV779" s="1" t="n">
        <f aca="false">IF(B779="",0,IF(COUNTIF($B$6:$B$860,B779)&gt;1,1,0))</f>
        <v>0</v>
      </c>
      <c r="AX779" s="269" t="str">
        <f aca="false">IF(AY779=1,DATE(YEAR(O779),MONTH(O779),1),"")</f>
        <v/>
      </c>
      <c r="AY779" s="1" t="n">
        <f aca="false">IF(B779="",0,IF(AND(ISNUMBER(O779),ISNUMBER(P779)),IF(P779&gt;=O779,1,0),0))</f>
        <v>0</v>
      </c>
      <c r="AZ779" s="1" t="n">
        <f aca="false">IF(ISNUMBER(Y779),Y779,0)</f>
        <v>0</v>
      </c>
      <c r="BA779" s="1" t="str">
        <f aca="false">IF(B779="","",IF(AND(R779="WON",AS779=0),"⛔ Beleg fehlt · ","")&amp;IF(AND(R779="WON",AR779=0),"⛔ Einstand fehlt · ","")&amp;IF(AND(R779&lt;&gt;"WON",AR779=0),"○ Einstand offen · ","")&amp;IF(AND(R779="WON",AB779=""),"⛔ Vertragsart fehlt · ","")&amp;IF(AND(ISNUMBER(O779),ISNUMBER(P779)),IF(P779&lt;O779,"⚠ Ende vor Start · ",""),"")&amp;IF(AND(R779="WON",AY779=0,NOT(AND(ISNUMBER(O779),ISNUMBER(P779)))),"⛔ Zeitraum fehlt · ","")&amp;IF(AND(R779&lt;&gt;"WON",AY779=0,NOT(AND(ISNUMBER(O779),ISNUMBER(P779)))),"○ Zeitraum offen · ",""))</f>
        <v/>
      </c>
      <c r="BB779" s="1" t="str">
        <f aca="false">IF(B779="","",IF(AND(R779="WON",AS779=0),"⛔ Nachweis fehlt",IF(AND(ISNUMBER(O779),ISNUMBER(P779),P779&lt;O779),"⚠ Ende vor Start",IF(AND(R779="WON",AY779=0),"⛔ Zeitraum fehlt",IF(AR779=0,"○ Einstand offen",IF(AY779=0,"○ Zeitraum offen",IF(R779="WON","✅ belegt","✔ erfasst")))))))</f>
        <v/>
      </c>
    </row>
    <row r="780" customFormat="false" ht="15" hidden="false" customHeight="true" outlineLevel="0" collapsed="false">
      <c r="G780" s="1" t="str">
        <f aca="false">IF(B780="","",IF(AY780=1,P780-O780+1,IF(AW780="","",AW780)))</f>
        <v/>
      </c>
      <c r="I780" s="270"/>
      <c r="J780" s="270"/>
      <c r="K780" s="270"/>
      <c r="L780" s="270"/>
      <c r="M780" s="270"/>
      <c r="N780" s="270"/>
      <c r="O780" s="263"/>
      <c r="P780" s="263"/>
      <c r="Q780" s="270" t="str">
        <f aca="false">IF(AND(ISNUMBER(I780),ISNUMBER(S780)),I780*AJ780,IF(OR(I780&lt;&gt;"",S780&lt;&gt;""),"tbd",""))</f>
        <v/>
      </c>
      <c r="S780" s="268"/>
      <c r="Y780" s="275" t="str">
        <f aca="false">IF(ISNUMBER(I780),I780/Netto_Faktor,"")</f>
        <v/>
      </c>
      <c r="Z780" s="275" t="str">
        <f aca="false">IF(B780="","",IF(COUNT(J780:N780)=0,"",SUM(J780:N780)))</f>
        <v/>
      </c>
      <c r="AA780" s="266"/>
      <c r="AB780" s="266"/>
      <c r="AC780" s="266"/>
      <c r="AD780" s="266"/>
      <c r="AE780" s="266"/>
      <c r="AF780" s="266"/>
      <c r="AG780" s="267"/>
      <c r="AH780" s="266" t="str">
        <f aca="false">IF(B780="","",IF(BA780="",IF(R780="WON","✅ belegt &amp; vollständig","✔ vollständig"),LEFT(BA780,LEN(BA780)-3)))</f>
        <v/>
      </c>
      <c r="AJ780" s="268" t="n">
        <f aca="false">IF(ISNUMBER(S780),IFERROR(LOOKUP(IF(S780&lt;=1,S780,S780/100),'⚖️ Wahrscheinlichkeit'!$B$17:$B$21,'⚖️ Wahrscheinlichkeit'!$D$17:$D$21),0),0)</f>
        <v>0</v>
      </c>
      <c r="AK780" s="1" t="str">
        <f aca="false">IF(AND(R780="WON",ISNUMBER(I780)),AL780+(861-ROW())*0.000001,"")</f>
        <v/>
      </c>
      <c r="AL780" s="1" t="n">
        <f aca="false">IFERROR(I780*1,0)</f>
        <v>0</v>
      </c>
      <c r="AM780" s="1" t="n">
        <f aca="false">N(AM779)+IF(AND(R780="WON",B780&lt;&gt;""),1,0)</f>
        <v>12</v>
      </c>
      <c r="AN780" s="1" t="n">
        <f aca="false">N(AN779)+IF(AND(OR(R780="offered",R780="to be offered",R780="on hold"),B780&lt;&gt;""),1,0)</f>
        <v>33</v>
      </c>
      <c r="AO780" s="1" t="n">
        <f aca="false">N(AO779)+IF(AND(OR(R780="follow-up",R780="Evaluation",R780="tbd",R780="In evaluation"),B780&lt;&gt;""),1,0)</f>
        <v>1</v>
      </c>
      <c r="AP780" s="1" t="n">
        <f aca="false">IF(B780="",0,IF(COUNTIF('⚖️ Wahrscheinlichkeit'!$J$17:$J$24,R780)&gt;0,1,0))</f>
        <v>0</v>
      </c>
      <c r="AQ780" s="1" t="n">
        <f aca="false">IF(B780="",0,IF(AND(ISNUMBER(S780),COUNTIF('⚖️ Wahrscheinlichkeit'!$B$6:$B$11,S780)&gt;0),1,0))</f>
        <v>0</v>
      </c>
      <c r="AR780" s="1" t="n">
        <f aca="false">IF(B780="",0,IF(AND(COUNT(J780:M780)=4,SUM(J780:M780)&gt;0),1,0))</f>
        <v>0</v>
      </c>
      <c r="AS780" s="1" t="n">
        <f aca="false">IF(B780="",0,IF(AND(AF780&lt;&gt;"",AG780&lt;&gt;""),1,0))</f>
        <v>0</v>
      </c>
      <c r="AT780" s="1" t="n">
        <f aca="false">IF(AND(R780="WON",AS780=1,AR780=1),1,0)</f>
        <v>0</v>
      </c>
      <c r="AU780" s="1" t="n">
        <f aca="false">IF(B780="",0,IF(AD780="Alternative – zählt nicht",0,1))</f>
        <v>0</v>
      </c>
      <c r="AV780" s="1" t="n">
        <f aca="false">IF(B780="",0,IF(COUNTIF($B$6:$B$860,B780)&gt;1,1,0))</f>
        <v>0</v>
      </c>
      <c r="AX780" s="269" t="str">
        <f aca="false">IF(AY780=1,DATE(YEAR(O780),MONTH(O780),1),"")</f>
        <v/>
      </c>
      <c r="AY780" s="1" t="n">
        <f aca="false">IF(B780="",0,IF(AND(ISNUMBER(O780),ISNUMBER(P780)),IF(P780&gt;=O780,1,0),0))</f>
        <v>0</v>
      </c>
      <c r="AZ780" s="1" t="n">
        <f aca="false">IF(ISNUMBER(Y780),Y780,0)</f>
        <v>0</v>
      </c>
      <c r="BA780" s="1" t="str">
        <f aca="false">IF(B780="","",IF(AND(R780="WON",AS780=0),"⛔ Beleg fehlt · ","")&amp;IF(AND(R780="WON",AR780=0),"⛔ Einstand fehlt · ","")&amp;IF(AND(R780&lt;&gt;"WON",AR780=0),"○ Einstand offen · ","")&amp;IF(AND(R780="WON",AB780=""),"⛔ Vertragsart fehlt · ","")&amp;IF(AND(ISNUMBER(O780),ISNUMBER(P780)),IF(P780&lt;O780,"⚠ Ende vor Start · ",""),"")&amp;IF(AND(R780="WON",AY780=0,NOT(AND(ISNUMBER(O780),ISNUMBER(P780)))),"⛔ Zeitraum fehlt · ","")&amp;IF(AND(R780&lt;&gt;"WON",AY780=0,NOT(AND(ISNUMBER(O780),ISNUMBER(P780)))),"○ Zeitraum offen · ",""))</f>
        <v/>
      </c>
      <c r="BB780" s="1" t="str">
        <f aca="false">IF(B780="","",IF(AND(R780="WON",AS780=0),"⛔ Nachweis fehlt",IF(AND(ISNUMBER(O780),ISNUMBER(P780),P780&lt;O780),"⚠ Ende vor Start",IF(AND(R780="WON",AY780=0),"⛔ Zeitraum fehlt",IF(AR780=0,"○ Einstand offen",IF(AY780=0,"○ Zeitraum offen",IF(R780="WON","✅ belegt","✔ erfasst")))))))</f>
        <v/>
      </c>
    </row>
    <row r="781" customFormat="false" ht="15" hidden="false" customHeight="true" outlineLevel="0" collapsed="false">
      <c r="G781" s="1" t="str">
        <f aca="false">IF(B781="","",IF(AY781=1,P781-O781+1,IF(AW781="","",AW781)))</f>
        <v/>
      </c>
      <c r="I781" s="270"/>
      <c r="J781" s="270"/>
      <c r="K781" s="270"/>
      <c r="L781" s="270"/>
      <c r="M781" s="270"/>
      <c r="N781" s="270"/>
      <c r="O781" s="263"/>
      <c r="P781" s="263"/>
      <c r="Q781" s="270" t="str">
        <f aca="false">IF(AND(ISNUMBER(I781),ISNUMBER(S781)),I781*AJ781,IF(OR(I781&lt;&gt;"",S781&lt;&gt;""),"tbd",""))</f>
        <v/>
      </c>
      <c r="S781" s="268"/>
      <c r="Y781" s="275" t="str">
        <f aca="false">IF(ISNUMBER(I781),I781/Netto_Faktor,"")</f>
        <v/>
      </c>
      <c r="Z781" s="275" t="str">
        <f aca="false">IF(B781="","",IF(COUNT(J781:N781)=0,"",SUM(J781:N781)))</f>
        <v/>
      </c>
      <c r="AA781" s="266"/>
      <c r="AB781" s="266"/>
      <c r="AC781" s="266"/>
      <c r="AD781" s="266"/>
      <c r="AE781" s="266"/>
      <c r="AF781" s="266"/>
      <c r="AG781" s="267"/>
      <c r="AH781" s="266" t="str">
        <f aca="false">IF(B781="","",IF(BA781="",IF(R781="WON","✅ belegt &amp; vollständig","✔ vollständig"),LEFT(BA781,LEN(BA781)-3)))</f>
        <v/>
      </c>
      <c r="AJ781" s="268" t="n">
        <f aca="false">IF(ISNUMBER(S781),IFERROR(LOOKUP(IF(S781&lt;=1,S781,S781/100),'⚖️ Wahrscheinlichkeit'!$B$17:$B$21,'⚖️ Wahrscheinlichkeit'!$D$17:$D$21),0),0)</f>
        <v>0</v>
      </c>
      <c r="AK781" s="1" t="str">
        <f aca="false">IF(AND(R781="WON",ISNUMBER(I781)),AL781+(861-ROW())*0.000001,"")</f>
        <v/>
      </c>
      <c r="AL781" s="1" t="n">
        <f aca="false">IFERROR(I781*1,0)</f>
        <v>0</v>
      </c>
      <c r="AM781" s="1" t="n">
        <f aca="false">N(AM780)+IF(AND(R781="WON",B781&lt;&gt;""),1,0)</f>
        <v>12</v>
      </c>
      <c r="AN781" s="1" t="n">
        <f aca="false">N(AN780)+IF(AND(OR(R781="offered",R781="to be offered",R781="on hold"),B781&lt;&gt;""),1,0)</f>
        <v>33</v>
      </c>
      <c r="AO781" s="1" t="n">
        <f aca="false">N(AO780)+IF(AND(OR(R781="follow-up",R781="Evaluation",R781="tbd",R781="In evaluation"),B781&lt;&gt;""),1,0)</f>
        <v>1</v>
      </c>
      <c r="AP781" s="1" t="n">
        <f aca="false">IF(B781="",0,IF(COUNTIF('⚖️ Wahrscheinlichkeit'!$J$17:$J$24,R781)&gt;0,1,0))</f>
        <v>0</v>
      </c>
      <c r="AQ781" s="1" t="n">
        <f aca="false">IF(B781="",0,IF(AND(ISNUMBER(S781),COUNTIF('⚖️ Wahrscheinlichkeit'!$B$6:$B$11,S781)&gt;0),1,0))</f>
        <v>0</v>
      </c>
      <c r="AR781" s="1" t="n">
        <f aca="false">IF(B781="",0,IF(AND(COUNT(J781:M781)=4,SUM(J781:M781)&gt;0),1,0))</f>
        <v>0</v>
      </c>
      <c r="AS781" s="1" t="n">
        <f aca="false">IF(B781="",0,IF(AND(AF781&lt;&gt;"",AG781&lt;&gt;""),1,0))</f>
        <v>0</v>
      </c>
      <c r="AT781" s="1" t="n">
        <f aca="false">IF(AND(R781="WON",AS781=1,AR781=1),1,0)</f>
        <v>0</v>
      </c>
      <c r="AU781" s="1" t="n">
        <f aca="false">IF(B781="",0,IF(AD781="Alternative – zählt nicht",0,1))</f>
        <v>0</v>
      </c>
      <c r="AV781" s="1" t="n">
        <f aca="false">IF(B781="",0,IF(COUNTIF($B$6:$B$860,B781)&gt;1,1,0))</f>
        <v>0</v>
      </c>
      <c r="AX781" s="269" t="str">
        <f aca="false">IF(AY781=1,DATE(YEAR(O781),MONTH(O781),1),"")</f>
        <v/>
      </c>
      <c r="AY781" s="1" t="n">
        <f aca="false">IF(B781="",0,IF(AND(ISNUMBER(O781),ISNUMBER(P781)),IF(P781&gt;=O781,1,0),0))</f>
        <v>0</v>
      </c>
      <c r="AZ781" s="1" t="n">
        <f aca="false">IF(ISNUMBER(Y781),Y781,0)</f>
        <v>0</v>
      </c>
      <c r="BA781" s="1" t="str">
        <f aca="false">IF(B781="","",IF(AND(R781="WON",AS781=0),"⛔ Beleg fehlt · ","")&amp;IF(AND(R781="WON",AR781=0),"⛔ Einstand fehlt · ","")&amp;IF(AND(R781&lt;&gt;"WON",AR781=0),"○ Einstand offen · ","")&amp;IF(AND(R781="WON",AB781=""),"⛔ Vertragsart fehlt · ","")&amp;IF(AND(ISNUMBER(O781),ISNUMBER(P781)),IF(P781&lt;O781,"⚠ Ende vor Start · ",""),"")&amp;IF(AND(R781="WON",AY781=0,NOT(AND(ISNUMBER(O781),ISNUMBER(P781)))),"⛔ Zeitraum fehlt · ","")&amp;IF(AND(R781&lt;&gt;"WON",AY781=0,NOT(AND(ISNUMBER(O781),ISNUMBER(P781)))),"○ Zeitraum offen · ",""))</f>
        <v/>
      </c>
      <c r="BB781" s="1" t="str">
        <f aca="false">IF(B781="","",IF(AND(R781="WON",AS781=0),"⛔ Nachweis fehlt",IF(AND(ISNUMBER(O781),ISNUMBER(P781),P781&lt;O781),"⚠ Ende vor Start",IF(AND(R781="WON",AY781=0),"⛔ Zeitraum fehlt",IF(AR781=0,"○ Einstand offen",IF(AY781=0,"○ Zeitraum offen",IF(R781="WON","✅ belegt","✔ erfasst")))))))</f>
        <v/>
      </c>
    </row>
    <row r="782" customFormat="false" ht="15" hidden="false" customHeight="true" outlineLevel="0" collapsed="false">
      <c r="G782" s="1" t="str">
        <f aca="false">IF(B782="","",IF(AY782=1,P782-O782+1,IF(AW782="","",AW782)))</f>
        <v/>
      </c>
      <c r="I782" s="270"/>
      <c r="J782" s="270"/>
      <c r="K782" s="270"/>
      <c r="L782" s="270"/>
      <c r="M782" s="270"/>
      <c r="N782" s="270"/>
      <c r="O782" s="263"/>
      <c r="P782" s="263"/>
      <c r="Q782" s="270" t="str">
        <f aca="false">IF(AND(ISNUMBER(I782),ISNUMBER(S782)),I782*AJ782,IF(OR(I782&lt;&gt;"",S782&lt;&gt;""),"tbd",""))</f>
        <v/>
      </c>
      <c r="S782" s="268"/>
      <c r="Y782" s="275" t="str">
        <f aca="false">IF(ISNUMBER(I782),I782/Netto_Faktor,"")</f>
        <v/>
      </c>
      <c r="Z782" s="275" t="str">
        <f aca="false">IF(B782="","",IF(COUNT(J782:N782)=0,"",SUM(J782:N782)))</f>
        <v/>
      </c>
      <c r="AA782" s="266"/>
      <c r="AB782" s="266"/>
      <c r="AC782" s="266"/>
      <c r="AD782" s="266"/>
      <c r="AE782" s="266"/>
      <c r="AF782" s="266"/>
      <c r="AG782" s="267"/>
      <c r="AH782" s="266" t="str">
        <f aca="false">IF(B782="","",IF(BA782="",IF(R782="WON","✅ belegt &amp; vollständig","✔ vollständig"),LEFT(BA782,LEN(BA782)-3)))</f>
        <v/>
      </c>
      <c r="AJ782" s="268" t="n">
        <f aca="false">IF(ISNUMBER(S782),IFERROR(LOOKUP(IF(S782&lt;=1,S782,S782/100),'⚖️ Wahrscheinlichkeit'!$B$17:$B$21,'⚖️ Wahrscheinlichkeit'!$D$17:$D$21),0),0)</f>
        <v>0</v>
      </c>
      <c r="AK782" s="1" t="str">
        <f aca="false">IF(AND(R782="WON",ISNUMBER(I782)),AL782+(861-ROW())*0.000001,"")</f>
        <v/>
      </c>
      <c r="AL782" s="1" t="n">
        <f aca="false">IFERROR(I782*1,0)</f>
        <v>0</v>
      </c>
      <c r="AM782" s="1" t="n">
        <f aca="false">N(AM781)+IF(AND(R782="WON",B782&lt;&gt;""),1,0)</f>
        <v>12</v>
      </c>
      <c r="AN782" s="1" t="n">
        <f aca="false">N(AN781)+IF(AND(OR(R782="offered",R782="to be offered",R782="on hold"),B782&lt;&gt;""),1,0)</f>
        <v>33</v>
      </c>
      <c r="AO782" s="1" t="n">
        <f aca="false">N(AO781)+IF(AND(OR(R782="follow-up",R782="Evaluation",R782="tbd",R782="In evaluation"),B782&lt;&gt;""),1,0)</f>
        <v>1</v>
      </c>
      <c r="AP782" s="1" t="n">
        <f aca="false">IF(B782="",0,IF(COUNTIF('⚖️ Wahrscheinlichkeit'!$J$17:$J$24,R782)&gt;0,1,0))</f>
        <v>0</v>
      </c>
      <c r="AQ782" s="1" t="n">
        <f aca="false">IF(B782="",0,IF(AND(ISNUMBER(S782),COUNTIF('⚖️ Wahrscheinlichkeit'!$B$6:$B$11,S782)&gt;0),1,0))</f>
        <v>0</v>
      </c>
      <c r="AR782" s="1" t="n">
        <f aca="false">IF(B782="",0,IF(AND(COUNT(J782:M782)=4,SUM(J782:M782)&gt;0),1,0))</f>
        <v>0</v>
      </c>
      <c r="AS782" s="1" t="n">
        <f aca="false">IF(B782="",0,IF(AND(AF782&lt;&gt;"",AG782&lt;&gt;""),1,0))</f>
        <v>0</v>
      </c>
      <c r="AT782" s="1" t="n">
        <f aca="false">IF(AND(R782="WON",AS782=1,AR782=1),1,0)</f>
        <v>0</v>
      </c>
      <c r="AU782" s="1" t="n">
        <f aca="false">IF(B782="",0,IF(AD782="Alternative – zählt nicht",0,1))</f>
        <v>0</v>
      </c>
      <c r="AV782" s="1" t="n">
        <f aca="false">IF(B782="",0,IF(COUNTIF($B$6:$B$860,B782)&gt;1,1,0))</f>
        <v>0</v>
      </c>
      <c r="AX782" s="269" t="str">
        <f aca="false">IF(AY782=1,DATE(YEAR(O782),MONTH(O782),1),"")</f>
        <v/>
      </c>
      <c r="AY782" s="1" t="n">
        <f aca="false">IF(B782="",0,IF(AND(ISNUMBER(O782),ISNUMBER(P782)),IF(P782&gt;=O782,1,0),0))</f>
        <v>0</v>
      </c>
      <c r="AZ782" s="1" t="n">
        <f aca="false">IF(ISNUMBER(Y782),Y782,0)</f>
        <v>0</v>
      </c>
      <c r="BA782" s="1" t="str">
        <f aca="false">IF(B782="","",IF(AND(R782="WON",AS782=0),"⛔ Beleg fehlt · ","")&amp;IF(AND(R782="WON",AR782=0),"⛔ Einstand fehlt · ","")&amp;IF(AND(R782&lt;&gt;"WON",AR782=0),"○ Einstand offen · ","")&amp;IF(AND(R782="WON",AB782=""),"⛔ Vertragsart fehlt · ","")&amp;IF(AND(ISNUMBER(O782),ISNUMBER(P782)),IF(P782&lt;O782,"⚠ Ende vor Start · ",""),"")&amp;IF(AND(R782="WON",AY782=0,NOT(AND(ISNUMBER(O782),ISNUMBER(P782)))),"⛔ Zeitraum fehlt · ","")&amp;IF(AND(R782&lt;&gt;"WON",AY782=0,NOT(AND(ISNUMBER(O782),ISNUMBER(P782)))),"○ Zeitraum offen · ",""))</f>
        <v/>
      </c>
      <c r="BB782" s="1" t="str">
        <f aca="false">IF(B782="","",IF(AND(R782="WON",AS782=0),"⛔ Nachweis fehlt",IF(AND(ISNUMBER(O782),ISNUMBER(P782),P782&lt;O782),"⚠ Ende vor Start",IF(AND(R782="WON",AY782=0),"⛔ Zeitraum fehlt",IF(AR782=0,"○ Einstand offen",IF(AY782=0,"○ Zeitraum offen",IF(R782="WON","✅ belegt","✔ erfasst")))))))</f>
        <v/>
      </c>
    </row>
    <row r="783" customFormat="false" ht="15" hidden="false" customHeight="true" outlineLevel="0" collapsed="false">
      <c r="G783" s="1" t="str">
        <f aca="false">IF(B783="","",IF(AY783=1,P783-O783+1,IF(AW783="","",AW783)))</f>
        <v/>
      </c>
      <c r="I783" s="270"/>
      <c r="J783" s="270"/>
      <c r="K783" s="270"/>
      <c r="L783" s="270"/>
      <c r="M783" s="270"/>
      <c r="N783" s="270"/>
      <c r="O783" s="263"/>
      <c r="P783" s="263"/>
      <c r="Q783" s="270" t="str">
        <f aca="false">IF(AND(ISNUMBER(I783),ISNUMBER(S783)),I783*AJ783,IF(OR(I783&lt;&gt;"",S783&lt;&gt;""),"tbd",""))</f>
        <v/>
      </c>
      <c r="S783" s="268"/>
      <c r="Y783" s="275" t="str">
        <f aca="false">IF(ISNUMBER(I783),I783/Netto_Faktor,"")</f>
        <v/>
      </c>
      <c r="Z783" s="275" t="str">
        <f aca="false">IF(B783="","",IF(COUNT(J783:N783)=0,"",SUM(J783:N783)))</f>
        <v/>
      </c>
      <c r="AA783" s="266"/>
      <c r="AB783" s="266"/>
      <c r="AC783" s="266"/>
      <c r="AD783" s="266"/>
      <c r="AE783" s="266"/>
      <c r="AF783" s="266"/>
      <c r="AG783" s="267"/>
      <c r="AH783" s="266" t="str">
        <f aca="false">IF(B783="","",IF(BA783="",IF(R783="WON","✅ belegt &amp; vollständig","✔ vollständig"),LEFT(BA783,LEN(BA783)-3)))</f>
        <v/>
      </c>
      <c r="AJ783" s="268" t="n">
        <f aca="false">IF(ISNUMBER(S783),IFERROR(LOOKUP(IF(S783&lt;=1,S783,S783/100),'⚖️ Wahrscheinlichkeit'!$B$17:$B$21,'⚖️ Wahrscheinlichkeit'!$D$17:$D$21),0),0)</f>
        <v>0</v>
      </c>
      <c r="AK783" s="1" t="str">
        <f aca="false">IF(AND(R783="WON",ISNUMBER(I783)),AL783+(861-ROW())*0.000001,"")</f>
        <v/>
      </c>
      <c r="AL783" s="1" t="n">
        <f aca="false">IFERROR(I783*1,0)</f>
        <v>0</v>
      </c>
      <c r="AM783" s="1" t="n">
        <f aca="false">N(AM782)+IF(AND(R783="WON",B783&lt;&gt;""),1,0)</f>
        <v>12</v>
      </c>
      <c r="AN783" s="1" t="n">
        <f aca="false">N(AN782)+IF(AND(OR(R783="offered",R783="to be offered",R783="on hold"),B783&lt;&gt;""),1,0)</f>
        <v>33</v>
      </c>
      <c r="AO783" s="1" t="n">
        <f aca="false">N(AO782)+IF(AND(OR(R783="follow-up",R783="Evaluation",R783="tbd",R783="In evaluation"),B783&lt;&gt;""),1,0)</f>
        <v>1</v>
      </c>
      <c r="AP783" s="1" t="n">
        <f aca="false">IF(B783="",0,IF(COUNTIF('⚖️ Wahrscheinlichkeit'!$J$17:$J$24,R783)&gt;0,1,0))</f>
        <v>0</v>
      </c>
      <c r="AQ783" s="1" t="n">
        <f aca="false">IF(B783="",0,IF(AND(ISNUMBER(S783),COUNTIF('⚖️ Wahrscheinlichkeit'!$B$6:$B$11,S783)&gt;0),1,0))</f>
        <v>0</v>
      </c>
      <c r="AR783" s="1" t="n">
        <f aca="false">IF(B783="",0,IF(AND(COUNT(J783:M783)=4,SUM(J783:M783)&gt;0),1,0))</f>
        <v>0</v>
      </c>
      <c r="AS783" s="1" t="n">
        <f aca="false">IF(B783="",0,IF(AND(AF783&lt;&gt;"",AG783&lt;&gt;""),1,0))</f>
        <v>0</v>
      </c>
      <c r="AT783" s="1" t="n">
        <f aca="false">IF(AND(R783="WON",AS783=1,AR783=1),1,0)</f>
        <v>0</v>
      </c>
      <c r="AU783" s="1" t="n">
        <f aca="false">IF(B783="",0,IF(AD783="Alternative – zählt nicht",0,1))</f>
        <v>0</v>
      </c>
      <c r="AV783" s="1" t="n">
        <f aca="false">IF(B783="",0,IF(COUNTIF($B$6:$B$860,B783)&gt;1,1,0))</f>
        <v>0</v>
      </c>
      <c r="AX783" s="269" t="str">
        <f aca="false">IF(AY783=1,DATE(YEAR(O783),MONTH(O783),1),"")</f>
        <v/>
      </c>
      <c r="AY783" s="1" t="n">
        <f aca="false">IF(B783="",0,IF(AND(ISNUMBER(O783),ISNUMBER(P783)),IF(P783&gt;=O783,1,0),0))</f>
        <v>0</v>
      </c>
      <c r="AZ783" s="1" t="n">
        <f aca="false">IF(ISNUMBER(Y783),Y783,0)</f>
        <v>0</v>
      </c>
      <c r="BA783" s="1" t="str">
        <f aca="false">IF(B783="","",IF(AND(R783="WON",AS783=0),"⛔ Beleg fehlt · ","")&amp;IF(AND(R783="WON",AR783=0),"⛔ Einstand fehlt · ","")&amp;IF(AND(R783&lt;&gt;"WON",AR783=0),"○ Einstand offen · ","")&amp;IF(AND(R783="WON",AB783=""),"⛔ Vertragsart fehlt · ","")&amp;IF(AND(ISNUMBER(O783),ISNUMBER(P783)),IF(P783&lt;O783,"⚠ Ende vor Start · ",""),"")&amp;IF(AND(R783="WON",AY783=0,NOT(AND(ISNUMBER(O783),ISNUMBER(P783)))),"⛔ Zeitraum fehlt · ","")&amp;IF(AND(R783&lt;&gt;"WON",AY783=0,NOT(AND(ISNUMBER(O783),ISNUMBER(P783)))),"○ Zeitraum offen · ",""))</f>
        <v/>
      </c>
      <c r="BB783" s="1" t="str">
        <f aca="false">IF(B783="","",IF(AND(R783="WON",AS783=0),"⛔ Nachweis fehlt",IF(AND(ISNUMBER(O783),ISNUMBER(P783),P783&lt;O783),"⚠ Ende vor Start",IF(AND(R783="WON",AY783=0),"⛔ Zeitraum fehlt",IF(AR783=0,"○ Einstand offen",IF(AY783=0,"○ Zeitraum offen",IF(R783="WON","✅ belegt","✔ erfasst")))))))</f>
        <v/>
      </c>
    </row>
    <row r="784" customFormat="false" ht="15" hidden="false" customHeight="true" outlineLevel="0" collapsed="false">
      <c r="G784" s="1" t="str">
        <f aca="false">IF(B784="","",IF(AY784=1,P784-O784+1,IF(AW784="","",AW784)))</f>
        <v/>
      </c>
      <c r="I784" s="270"/>
      <c r="J784" s="270"/>
      <c r="K784" s="270"/>
      <c r="L784" s="270"/>
      <c r="M784" s="270"/>
      <c r="N784" s="270"/>
      <c r="O784" s="263"/>
      <c r="P784" s="263"/>
      <c r="Q784" s="270" t="str">
        <f aca="false">IF(AND(ISNUMBER(I784),ISNUMBER(S784)),I784*AJ784,IF(OR(I784&lt;&gt;"",S784&lt;&gt;""),"tbd",""))</f>
        <v/>
      </c>
      <c r="S784" s="268"/>
      <c r="Y784" s="275" t="str">
        <f aca="false">IF(ISNUMBER(I784),I784/Netto_Faktor,"")</f>
        <v/>
      </c>
      <c r="Z784" s="275" t="str">
        <f aca="false">IF(B784="","",IF(COUNT(J784:N784)=0,"",SUM(J784:N784)))</f>
        <v/>
      </c>
      <c r="AA784" s="266"/>
      <c r="AB784" s="266"/>
      <c r="AC784" s="266"/>
      <c r="AD784" s="266"/>
      <c r="AE784" s="266"/>
      <c r="AF784" s="266"/>
      <c r="AG784" s="267"/>
      <c r="AH784" s="266" t="str">
        <f aca="false">IF(B784="","",IF(BA784="",IF(R784="WON","✅ belegt &amp; vollständig","✔ vollständig"),LEFT(BA784,LEN(BA784)-3)))</f>
        <v/>
      </c>
      <c r="AJ784" s="268" t="n">
        <f aca="false">IF(ISNUMBER(S784),IFERROR(LOOKUP(IF(S784&lt;=1,S784,S784/100),'⚖️ Wahrscheinlichkeit'!$B$17:$B$21,'⚖️ Wahrscheinlichkeit'!$D$17:$D$21),0),0)</f>
        <v>0</v>
      </c>
      <c r="AK784" s="1" t="str">
        <f aca="false">IF(AND(R784="WON",ISNUMBER(I784)),AL784+(861-ROW())*0.000001,"")</f>
        <v/>
      </c>
      <c r="AL784" s="1" t="n">
        <f aca="false">IFERROR(I784*1,0)</f>
        <v>0</v>
      </c>
      <c r="AM784" s="1" t="n">
        <f aca="false">N(AM783)+IF(AND(R784="WON",B784&lt;&gt;""),1,0)</f>
        <v>12</v>
      </c>
      <c r="AN784" s="1" t="n">
        <f aca="false">N(AN783)+IF(AND(OR(R784="offered",R784="to be offered",R784="on hold"),B784&lt;&gt;""),1,0)</f>
        <v>33</v>
      </c>
      <c r="AO784" s="1" t="n">
        <f aca="false">N(AO783)+IF(AND(OR(R784="follow-up",R784="Evaluation",R784="tbd",R784="In evaluation"),B784&lt;&gt;""),1,0)</f>
        <v>1</v>
      </c>
      <c r="AP784" s="1" t="n">
        <f aca="false">IF(B784="",0,IF(COUNTIF('⚖️ Wahrscheinlichkeit'!$J$17:$J$24,R784)&gt;0,1,0))</f>
        <v>0</v>
      </c>
      <c r="AQ784" s="1" t="n">
        <f aca="false">IF(B784="",0,IF(AND(ISNUMBER(S784),COUNTIF('⚖️ Wahrscheinlichkeit'!$B$6:$B$11,S784)&gt;0),1,0))</f>
        <v>0</v>
      </c>
      <c r="AR784" s="1" t="n">
        <f aca="false">IF(B784="",0,IF(AND(COUNT(J784:M784)=4,SUM(J784:M784)&gt;0),1,0))</f>
        <v>0</v>
      </c>
      <c r="AS784" s="1" t="n">
        <f aca="false">IF(B784="",0,IF(AND(AF784&lt;&gt;"",AG784&lt;&gt;""),1,0))</f>
        <v>0</v>
      </c>
      <c r="AT784" s="1" t="n">
        <f aca="false">IF(AND(R784="WON",AS784=1,AR784=1),1,0)</f>
        <v>0</v>
      </c>
      <c r="AU784" s="1" t="n">
        <f aca="false">IF(B784="",0,IF(AD784="Alternative – zählt nicht",0,1))</f>
        <v>0</v>
      </c>
      <c r="AV784" s="1" t="n">
        <f aca="false">IF(B784="",0,IF(COUNTIF($B$6:$B$860,B784)&gt;1,1,0))</f>
        <v>0</v>
      </c>
      <c r="AX784" s="269" t="str">
        <f aca="false">IF(AY784=1,DATE(YEAR(O784),MONTH(O784),1),"")</f>
        <v/>
      </c>
      <c r="AY784" s="1" t="n">
        <f aca="false">IF(B784="",0,IF(AND(ISNUMBER(O784),ISNUMBER(P784)),IF(P784&gt;=O784,1,0),0))</f>
        <v>0</v>
      </c>
      <c r="AZ784" s="1" t="n">
        <f aca="false">IF(ISNUMBER(Y784),Y784,0)</f>
        <v>0</v>
      </c>
      <c r="BA784" s="1" t="str">
        <f aca="false">IF(B784="","",IF(AND(R784="WON",AS784=0),"⛔ Beleg fehlt · ","")&amp;IF(AND(R784="WON",AR784=0),"⛔ Einstand fehlt · ","")&amp;IF(AND(R784&lt;&gt;"WON",AR784=0),"○ Einstand offen · ","")&amp;IF(AND(R784="WON",AB784=""),"⛔ Vertragsart fehlt · ","")&amp;IF(AND(ISNUMBER(O784),ISNUMBER(P784)),IF(P784&lt;O784,"⚠ Ende vor Start · ",""),"")&amp;IF(AND(R784="WON",AY784=0,NOT(AND(ISNUMBER(O784),ISNUMBER(P784)))),"⛔ Zeitraum fehlt · ","")&amp;IF(AND(R784&lt;&gt;"WON",AY784=0,NOT(AND(ISNUMBER(O784),ISNUMBER(P784)))),"○ Zeitraum offen · ",""))</f>
        <v/>
      </c>
      <c r="BB784" s="1" t="str">
        <f aca="false">IF(B784="","",IF(AND(R784="WON",AS784=0),"⛔ Nachweis fehlt",IF(AND(ISNUMBER(O784),ISNUMBER(P784),P784&lt;O784),"⚠ Ende vor Start",IF(AND(R784="WON",AY784=0),"⛔ Zeitraum fehlt",IF(AR784=0,"○ Einstand offen",IF(AY784=0,"○ Zeitraum offen",IF(R784="WON","✅ belegt","✔ erfasst")))))))</f>
        <v/>
      </c>
    </row>
    <row r="785" customFormat="false" ht="15" hidden="false" customHeight="true" outlineLevel="0" collapsed="false">
      <c r="G785" s="1" t="str">
        <f aca="false">IF(B785="","",IF(AY785=1,P785-O785+1,IF(AW785="","",AW785)))</f>
        <v/>
      </c>
      <c r="I785" s="270"/>
      <c r="J785" s="270"/>
      <c r="K785" s="270"/>
      <c r="L785" s="270"/>
      <c r="M785" s="270"/>
      <c r="N785" s="270"/>
      <c r="O785" s="263"/>
      <c r="P785" s="263"/>
      <c r="Q785" s="270" t="str">
        <f aca="false">IF(AND(ISNUMBER(I785),ISNUMBER(S785)),I785*AJ785,IF(OR(I785&lt;&gt;"",S785&lt;&gt;""),"tbd",""))</f>
        <v/>
      </c>
      <c r="S785" s="268"/>
      <c r="Y785" s="275" t="str">
        <f aca="false">IF(ISNUMBER(I785),I785/Netto_Faktor,"")</f>
        <v/>
      </c>
      <c r="Z785" s="275" t="str">
        <f aca="false">IF(B785="","",IF(COUNT(J785:N785)=0,"",SUM(J785:N785)))</f>
        <v/>
      </c>
      <c r="AA785" s="266"/>
      <c r="AB785" s="266"/>
      <c r="AC785" s="266"/>
      <c r="AD785" s="266"/>
      <c r="AE785" s="266"/>
      <c r="AF785" s="266"/>
      <c r="AG785" s="267"/>
      <c r="AH785" s="266" t="str">
        <f aca="false">IF(B785="","",IF(BA785="",IF(R785="WON","✅ belegt &amp; vollständig","✔ vollständig"),LEFT(BA785,LEN(BA785)-3)))</f>
        <v/>
      </c>
      <c r="AJ785" s="268" t="n">
        <f aca="false">IF(ISNUMBER(S785),IFERROR(LOOKUP(IF(S785&lt;=1,S785,S785/100),'⚖️ Wahrscheinlichkeit'!$B$17:$B$21,'⚖️ Wahrscheinlichkeit'!$D$17:$D$21),0),0)</f>
        <v>0</v>
      </c>
      <c r="AK785" s="1" t="str">
        <f aca="false">IF(AND(R785="WON",ISNUMBER(I785)),AL785+(861-ROW())*0.000001,"")</f>
        <v/>
      </c>
      <c r="AL785" s="1" t="n">
        <f aca="false">IFERROR(I785*1,0)</f>
        <v>0</v>
      </c>
      <c r="AM785" s="1" t="n">
        <f aca="false">N(AM784)+IF(AND(R785="WON",B785&lt;&gt;""),1,0)</f>
        <v>12</v>
      </c>
      <c r="AN785" s="1" t="n">
        <f aca="false">N(AN784)+IF(AND(OR(R785="offered",R785="to be offered",R785="on hold"),B785&lt;&gt;""),1,0)</f>
        <v>33</v>
      </c>
      <c r="AO785" s="1" t="n">
        <f aca="false">N(AO784)+IF(AND(OR(R785="follow-up",R785="Evaluation",R785="tbd",R785="In evaluation"),B785&lt;&gt;""),1,0)</f>
        <v>1</v>
      </c>
      <c r="AP785" s="1" t="n">
        <f aca="false">IF(B785="",0,IF(COUNTIF('⚖️ Wahrscheinlichkeit'!$J$17:$J$24,R785)&gt;0,1,0))</f>
        <v>0</v>
      </c>
      <c r="AQ785" s="1" t="n">
        <f aca="false">IF(B785="",0,IF(AND(ISNUMBER(S785),COUNTIF('⚖️ Wahrscheinlichkeit'!$B$6:$B$11,S785)&gt;0),1,0))</f>
        <v>0</v>
      </c>
      <c r="AR785" s="1" t="n">
        <f aca="false">IF(B785="",0,IF(AND(COUNT(J785:M785)=4,SUM(J785:M785)&gt;0),1,0))</f>
        <v>0</v>
      </c>
      <c r="AS785" s="1" t="n">
        <f aca="false">IF(B785="",0,IF(AND(AF785&lt;&gt;"",AG785&lt;&gt;""),1,0))</f>
        <v>0</v>
      </c>
      <c r="AT785" s="1" t="n">
        <f aca="false">IF(AND(R785="WON",AS785=1,AR785=1),1,0)</f>
        <v>0</v>
      </c>
      <c r="AU785" s="1" t="n">
        <f aca="false">IF(B785="",0,IF(AD785="Alternative – zählt nicht",0,1))</f>
        <v>0</v>
      </c>
      <c r="AV785" s="1" t="n">
        <f aca="false">IF(B785="",0,IF(COUNTIF($B$6:$B$860,B785)&gt;1,1,0))</f>
        <v>0</v>
      </c>
      <c r="AX785" s="269" t="str">
        <f aca="false">IF(AY785=1,DATE(YEAR(O785),MONTH(O785),1),"")</f>
        <v/>
      </c>
      <c r="AY785" s="1" t="n">
        <f aca="false">IF(B785="",0,IF(AND(ISNUMBER(O785),ISNUMBER(P785)),IF(P785&gt;=O785,1,0),0))</f>
        <v>0</v>
      </c>
      <c r="AZ785" s="1" t="n">
        <f aca="false">IF(ISNUMBER(Y785),Y785,0)</f>
        <v>0</v>
      </c>
      <c r="BA785" s="1" t="str">
        <f aca="false">IF(B785="","",IF(AND(R785="WON",AS785=0),"⛔ Beleg fehlt · ","")&amp;IF(AND(R785="WON",AR785=0),"⛔ Einstand fehlt · ","")&amp;IF(AND(R785&lt;&gt;"WON",AR785=0),"○ Einstand offen · ","")&amp;IF(AND(R785="WON",AB785=""),"⛔ Vertragsart fehlt · ","")&amp;IF(AND(ISNUMBER(O785),ISNUMBER(P785)),IF(P785&lt;O785,"⚠ Ende vor Start · ",""),"")&amp;IF(AND(R785="WON",AY785=0,NOT(AND(ISNUMBER(O785),ISNUMBER(P785)))),"⛔ Zeitraum fehlt · ","")&amp;IF(AND(R785&lt;&gt;"WON",AY785=0,NOT(AND(ISNUMBER(O785),ISNUMBER(P785)))),"○ Zeitraum offen · ",""))</f>
        <v/>
      </c>
      <c r="BB785" s="1" t="str">
        <f aca="false">IF(B785="","",IF(AND(R785="WON",AS785=0),"⛔ Nachweis fehlt",IF(AND(ISNUMBER(O785),ISNUMBER(P785),P785&lt;O785),"⚠ Ende vor Start",IF(AND(R785="WON",AY785=0),"⛔ Zeitraum fehlt",IF(AR785=0,"○ Einstand offen",IF(AY785=0,"○ Zeitraum offen",IF(R785="WON","✅ belegt","✔ erfasst")))))))</f>
        <v/>
      </c>
    </row>
    <row r="786" customFormat="false" ht="15" hidden="false" customHeight="true" outlineLevel="0" collapsed="false">
      <c r="G786" s="1" t="str">
        <f aca="false">IF(B786="","",IF(AY786=1,P786-O786+1,IF(AW786="","",AW786)))</f>
        <v/>
      </c>
      <c r="I786" s="270"/>
      <c r="J786" s="270"/>
      <c r="K786" s="270"/>
      <c r="L786" s="270"/>
      <c r="M786" s="270"/>
      <c r="N786" s="270"/>
      <c r="O786" s="263"/>
      <c r="P786" s="263"/>
      <c r="Q786" s="270" t="str">
        <f aca="false">IF(AND(ISNUMBER(I786),ISNUMBER(S786)),I786*AJ786,IF(OR(I786&lt;&gt;"",S786&lt;&gt;""),"tbd",""))</f>
        <v/>
      </c>
      <c r="S786" s="268"/>
      <c r="Y786" s="275" t="str">
        <f aca="false">IF(ISNUMBER(I786),I786/Netto_Faktor,"")</f>
        <v/>
      </c>
      <c r="Z786" s="275" t="str">
        <f aca="false">IF(B786="","",IF(COUNT(J786:N786)=0,"",SUM(J786:N786)))</f>
        <v/>
      </c>
      <c r="AA786" s="266"/>
      <c r="AB786" s="266"/>
      <c r="AC786" s="266"/>
      <c r="AD786" s="266"/>
      <c r="AE786" s="266"/>
      <c r="AF786" s="266"/>
      <c r="AG786" s="267"/>
      <c r="AH786" s="266" t="str">
        <f aca="false">IF(B786="","",IF(BA786="",IF(R786="WON","✅ belegt &amp; vollständig","✔ vollständig"),LEFT(BA786,LEN(BA786)-3)))</f>
        <v/>
      </c>
      <c r="AJ786" s="268" t="n">
        <f aca="false">IF(ISNUMBER(S786),IFERROR(LOOKUP(IF(S786&lt;=1,S786,S786/100),'⚖️ Wahrscheinlichkeit'!$B$17:$B$21,'⚖️ Wahrscheinlichkeit'!$D$17:$D$21),0),0)</f>
        <v>0</v>
      </c>
      <c r="AK786" s="1" t="str">
        <f aca="false">IF(AND(R786="WON",ISNUMBER(I786)),AL786+(861-ROW())*0.000001,"")</f>
        <v/>
      </c>
      <c r="AL786" s="1" t="n">
        <f aca="false">IFERROR(I786*1,0)</f>
        <v>0</v>
      </c>
      <c r="AM786" s="1" t="n">
        <f aca="false">N(AM785)+IF(AND(R786="WON",B786&lt;&gt;""),1,0)</f>
        <v>12</v>
      </c>
      <c r="AN786" s="1" t="n">
        <f aca="false">N(AN785)+IF(AND(OR(R786="offered",R786="to be offered",R786="on hold"),B786&lt;&gt;""),1,0)</f>
        <v>33</v>
      </c>
      <c r="AO786" s="1" t="n">
        <f aca="false">N(AO785)+IF(AND(OR(R786="follow-up",R786="Evaluation",R786="tbd",R786="In evaluation"),B786&lt;&gt;""),1,0)</f>
        <v>1</v>
      </c>
      <c r="AP786" s="1" t="n">
        <f aca="false">IF(B786="",0,IF(COUNTIF('⚖️ Wahrscheinlichkeit'!$J$17:$J$24,R786)&gt;0,1,0))</f>
        <v>0</v>
      </c>
      <c r="AQ786" s="1" t="n">
        <f aca="false">IF(B786="",0,IF(AND(ISNUMBER(S786),COUNTIF('⚖️ Wahrscheinlichkeit'!$B$6:$B$11,S786)&gt;0),1,0))</f>
        <v>0</v>
      </c>
      <c r="AR786" s="1" t="n">
        <f aca="false">IF(B786="",0,IF(AND(COUNT(J786:M786)=4,SUM(J786:M786)&gt;0),1,0))</f>
        <v>0</v>
      </c>
      <c r="AS786" s="1" t="n">
        <f aca="false">IF(B786="",0,IF(AND(AF786&lt;&gt;"",AG786&lt;&gt;""),1,0))</f>
        <v>0</v>
      </c>
      <c r="AT786" s="1" t="n">
        <f aca="false">IF(AND(R786="WON",AS786=1,AR786=1),1,0)</f>
        <v>0</v>
      </c>
      <c r="AU786" s="1" t="n">
        <f aca="false">IF(B786="",0,IF(AD786="Alternative – zählt nicht",0,1))</f>
        <v>0</v>
      </c>
      <c r="AV786" s="1" t="n">
        <f aca="false">IF(B786="",0,IF(COUNTIF($B$6:$B$860,B786)&gt;1,1,0))</f>
        <v>0</v>
      </c>
      <c r="AX786" s="269" t="str">
        <f aca="false">IF(AY786=1,DATE(YEAR(O786),MONTH(O786),1),"")</f>
        <v/>
      </c>
      <c r="AY786" s="1" t="n">
        <f aca="false">IF(B786="",0,IF(AND(ISNUMBER(O786),ISNUMBER(P786)),IF(P786&gt;=O786,1,0),0))</f>
        <v>0</v>
      </c>
      <c r="AZ786" s="1" t="n">
        <f aca="false">IF(ISNUMBER(Y786),Y786,0)</f>
        <v>0</v>
      </c>
      <c r="BA786" s="1" t="str">
        <f aca="false">IF(B786="","",IF(AND(R786="WON",AS786=0),"⛔ Beleg fehlt · ","")&amp;IF(AND(R786="WON",AR786=0),"⛔ Einstand fehlt · ","")&amp;IF(AND(R786&lt;&gt;"WON",AR786=0),"○ Einstand offen · ","")&amp;IF(AND(R786="WON",AB786=""),"⛔ Vertragsart fehlt · ","")&amp;IF(AND(ISNUMBER(O786),ISNUMBER(P786)),IF(P786&lt;O786,"⚠ Ende vor Start · ",""),"")&amp;IF(AND(R786="WON",AY786=0,NOT(AND(ISNUMBER(O786),ISNUMBER(P786)))),"⛔ Zeitraum fehlt · ","")&amp;IF(AND(R786&lt;&gt;"WON",AY786=0,NOT(AND(ISNUMBER(O786),ISNUMBER(P786)))),"○ Zeitraum offen · ",""))</f>
        <v/>
      </c>
      <c r="BB786" s="1" t="str">
        <f aca="false">IF(B786="","",IF(AND(R786="WON",AS786=0),"⛔ Nachweis fehlt",IF(AND(ISNUMBER(O786),ISNUMBER(P786),P786&lt;O786),"⚠ Ende vor Start",IF(AND(R786="WON",AY786=0),"⛔ Zeitraum fehlt",IF(AR786=0,"○ Einstand offen",IF(AY786=0,"○ Zeitraum offen",IF(R786="WON","✅ belegt","✔ erfasst")))))))</f>
        <v/>
      </c>
    </row>
    <row r="787" customFormat="false" ht="15" hidden="false" customHeight="true" outlineLevel="0" collapsed="false">
      <c r="G787" s="1" t="str">
        <f aca="false">IF(B787="","",IF(AY787=1,P787-O787+1,IF(AW787="","",AW787)))</f>
        <v/>
      </c>
      <c r="I787" s="270"/>
      <c r="J787" s="270"/>
      <c r="K787" s="270"/>
      <c r="L787" s="270"/>
      <c r="M787" s="270"/>
      <c r="N787" s="270"/>
      <c r="O787" s="263"/>
      <c r="P787" s="263"/>
      <c r="Q787" s="270" t="str">
        <f aca="false">IF(AND(ISNUMBER(I787),ISNUMBER(S787)),I787*AJ787,IF(OR(I787&lt;&gt;"",S787&lt;&gt;""),"tbd",""))</f>
        <v/>
      </c>
      <c r="S787" s="268"/>
      <c r="Y787" s="275" t="str">
        <f aca="false">IF(ISNUMBER(I787),I787/Netto_Faktor,"")</f>
        <v/>
      </c>
      <c r="Z787" s="275" t="str">
        <f aca="false">IF(B787="","",IF(COUNT(J787:N787)=0,"",SUM(J787:N787)))</f>
        <v/>
      </c>
      <c r="AA787" s="266"/>
      <c r="AB787" s="266"/>
      <c r="AC787" s="266"/>
      <c r="AD787" s="266"/>
      <c r="AE787" s="266"/>
      <c r="AF787" s="266"/>
      <c r="AG787" s="267"/>
      <c r="AH787" s="266" t="str">
        <f aca="false">IF(B787="","",IF(BA787="",IF(R787="WON","✅ belegt &amp; vollständig","✔ vollständig"),LEFT(BA787,LEN(BA787)-3)))</f>
        <v/>
      </c>
      <c r="AJ787" s="268" t="n">
        <f aca="false">IF(ISNUMBER(S787),IFERROR(LOOKUP(IF(S787&lt;=1,S787,S787/100),'⚖️ Wahrscheinlichkeit'!$B$17:$B$21,'⚖️ Wahrscheinlichkeit'!$D$17:$D$21),0),0)</f>
        <v>0</v>
      </c>
      <c r="AK787" s="1" t="str">
        <f aca="false">IF(AND(R787="WON",ISNUMBER(I787)),AL787+(861-ROW())*0.000001,"")</f>
        <v/>
      </c>
      <c r="AL787" s="1" t="n">
        <f aca="false">IFERROR(I787*1,0)</f>
        <v>0</v>
      </c>
      <c r="AM787" s="1" t="n">
        <f aca="false">N(AM786)+IF(AND(R787="WON",B787&lt;&gt;""),1,0)</f>
        <v>12</v>
      </c>
      <c r="AN787" s="1" t="n">
        <f aca="false">N(AN786)+IF(AND(OR(R787="offered",R787="to be offered",R787="on hold"),B787&lt;&gt;""),1,0)</f>
        <v>33</v>
      </c>
      <c r="AO787" s="1" t="n">
        <f aca="false">N(AO786)+IF(AND(OR(R787="follow-up",R787="Evaluation",R787="tbd",R787="In evaluation"),B787&lt;&gt;""),1,0)</f>
        <v>1</v>
      </c>
      <c r="AP787" s="1" t="n">
        <f aca="false">IF(B787="",0,IF(COUNTIF('⚖️ Wahrscheinlichkeit'!$J$17:$J$24,R787)&gt;0,1,0))</f>
        <v>0</v>
      </c>
      <c r="AQ787" s="1" t="n">
        <f aca="false">IF(B787="",0,IF(AND(ISNUMBER(S787),COUNTIF('⚖️ Wahrscheinlichkeit'!$B$6:$B$11,S787)&gt;0),1,0))</f>
        <v>0</v>
      </c>
      <c r="AR787" s="1" t="n">
        <f aca="false">IF(B787="",0,IF(AND(COUNT(J787:M787)=4,SUM(J787:M787)&gt;0),1,0))</f>
        <v>0</v>
      </c>
      <c r="AS787" s="1" t="n">
        <f aca="false">IF(B787="",0,IF(AND(AF787&lt;&gt;"",AG787&lt;&gt;""),1,0))</f>
        <v>0</v>
      </c>
      <c r="AT787" s="1" t="n">
        <f aca="false">IF(AND(R787="WON",AS787=1,AR787=1),1,0)</f>
        <v>0</v>
      </c>
      <c r="AU787" s="1" t="n">
        <f aca="false">IF(B787="",0,IF(AD787="Alternative – zählt nicht",0,1))</f>
        <v>0</v>
      </c>
      <c r="AV787" s="1" t="n">
        <f aca="false">IF(B787="",0,IF(COUNTIF($B$6:$B$860,B787)&gt;1,1,0))</f>
        <v>0</v>
      </c>
      <c r="AX787" s="269" t="str">
        <f aca="false">IF(AY787=1,DATE(YEAR(O787),MONTH(O787),1),"")</f>
        <v/>
      </c>
      <c r="AY787" s="1" t="n">
        <f aca="false">IF(B787="",0,IF(AND(ISNUMBER(O787),ISNUMBER(P787)),IF(P787&gt;=O787,1,0),0))</f>
        <v>0</v>
      </c>
      <c r="AZ787" s="1" t="n">
        <f aca="false">IF(ISNUMBER(Y787),Y787,0)</f>
        <v>0</v>
      </c>
      <c r="BA787" s="1" t="str">
        <f aca="false">IF(B787="","",IF(AND(R787="WON",AS787=0),"⛔ Beleg fehlt · ","")&amp;IF(AND(R787="WON",AR787=0),"⛔ Einstand fehlt · ","")&amp;IF(AND(R787&lt;&gt;"WON",AR787=0),"○ Einstand offen · ","")&amp;IF(AND(R787="WON",AB787=""),"⛔ Vertragsart fehlt · ","")&amp;IF(AND(ISNUMBER(O787),ISNUMBER(P787)),IF(P787&lt;O787,"⚠ Ende vor Start · ",""),"")&amp;IF(AND(R787="WON",AY787=0,NOT(AND(ISNUMBER(O787),ISNUMBER(P787)))),"⛔ Zeitraum fehlt · ","")&amp;IF(AND(R787&lt;&gt;"WON",AY787=0,NOT(AND(ISNUMBER(O787),ISNUMBER(P787)))),"○ Zeitraum offen · ",""))</f>
        <v/>
      </c>
      <c r="BB787" s="1" t="str">
        <f aca="false">IF(B787="","",IF(AND(R787="WON",AS787=0),"⛔ Nachweis fehlt",IF(AND(ISNUMBER(O787),ISNUMBER(P787),P787&lt;O787),"⚠ Ende vor Start",IF(AND(R787="WON",AY787=0),"⛔ Zeitraum fehlt",IF(AR787=0,"○ Einstand offen",IF(AY787=0,"○ Zeitraum offen",IF(R787="WON","✅ belegt","✔ erfasst")))))))</f>
        <v/>
      </c>
    </row>
    <row r="788" customFormat="false" ht="15" hidden="false" customHeight="true" outlineLevel="0" collapsed="false">
      <c r="G788" s="1" t="str">
        <f aca="false">IF(B788="","",IF(AY788=1,P788-O788+1,IF(AW788="","",AW788)))</f>
        <v/>
      </c>
      <c r="I788" s="270"/>
      <c r="J788" s="270"/>
      <c r="K788" s="270"/>
      <c r="L788" s="270"/>
      <c r="M788" s="270"/>
      <c r="N788" s="270"/>
      <c r="O788" s="263"/>
      <c r="P788" s="263"/>
      <c r="Q788" s="270" t="str">
        <f aca="false">IF(AND(ISNUMBER(I788),ISNUMBER(S788)),I788*AJ788,IF(OR(I788&lt;&gt;"",S788&lt;&gt;""),"tbd",""))</f>
        <v/>
      </c>
      <c r="S788" s="268"/>
      <c r="Y788" s="275" t="str">
        <f aca="false">IF(ISNUMBER(I788),I788/Netto_Faktor,"")</f>
        <v/>
      </c>
      <c r="Z788" s="275" t="str">
        <f aca="false">IF(B788="","",IF(COUNT(J788:N788)=0,"",SUM(J788:N788)))</f>
        <v/>
      </c>
      <c r="AA788" s="266"/>
      <c r="AB788" s="266"/>
      <c r="AC788" s="266"/>
      <c r="AD788" s="266"/>
      <c r="AE788" s="266"/>
      <c r="AF788" s="266"/>
      <c r="AG788" s="267"/>
      <c r="AH788" s="266" t="str">
        <f aca="false">IF(B788="","",IF(BA788="",IF(R788="WON","✅ belegt &amp; vollständig","✔ vollständig"),LEFT(BA788,LEN(BA788)-3)))</f>
        <v/>
      </c>
      <c r="AJ788" s="268" t="n">
        <f aca="false">IF(ISNUMBER(S788),IFERROR(LOOKUP(IF(S788&lt;=1,S788,S788/100),'⚖️ Wahrscheinlichkeit'!$B$17:$B$21,'⚖️ Wahrscheinlichkeit'!$D$17:$D$21),0),0)</f>
        <v>0</v>
      </c>
      <c r="AK788" s="1" t="str">
        <f aca="false">IF(AND(R788="WON",ISNUMBER(I788)),AL788+(861-ROW())*0.000001,"")</f>
        <v/>
      </c>
      <c r="AL788" s="1" t="n">
        <f aca="false">IFERROR(I788*1,0)</f>
        <v>0</v>
      </c>
      <c r="AM788" s="1" t="n">
        <f aca="false">N(AM787)+IF(AND(R788="WON",B788&lt;&gt;""),1,0)</f>
        <v>12</v>
      </c>
      <c r="AN788" s="1" t="n">
        <f aca="false">N(AN787)+IF(AND(OR(R788="offered",R788="to be offered",R788="on hold"),B788&lt;&gt;""),1,0)</f>
        <v>33</v>
      </c>
      <c r="AO788" s="1" t="n">
        <f aca="false">N(AO787)+IF(AND(OR(R788="follow-up",R788="Evaluation",R788="tbd",R788="In evaluation"),B788&lt;&gt;""),1,0)</f>
        <v>1</v>
      </c>
      <c r="AP788" s="1" t="n">
        <f aca="false">IF(B788="",0,IF(COUNTIF('⚖️ Wahrscheinlichkeit'!$J$17:$J$24,R788)&gt;0,1,0))</f>
        <v>0</v>
      </c>
      <c r="AQ788" s="1" t="n">
        <f aca="false">IF(B788="",0,IF(AND(ISNUMBER(S788),COUNTIF('⚖️ Wahrscheinlichkeit'!$B$6:$B$11,S788)&gt;0),1,0))</f>
        <v>0</v>
      </c>
      <c r="AR788" s="1" t="n">
        <f aca="false">IF(B788="",0,IF(AND(COUNT(J788:M788)=4,SUM(J788:M788)&gt;0),1,0))</f>
        <v>0</v>
      </c>
      <c r="AS788" s="1" t="n">
        <f aca="false">IF(B788="",0,IF(AND(AF788&lt;&gt;"",AG788&lt;&gt;""),1,0))</f>
        <v>0</v>
      </c>
      <c r="AT788" s="1" t="n">
        <f aca="false">IF(AND(R788="WON",AS788=1,AR788=1),1,0)</f>
        <v>0</v>
      </c>
      <c r="AU788" s="1" t="n">
        <f aca="false">IF(B788="",0,IF(AD788="Alternative – zählt nicht",0,1))</f>
        <v>0</v>
      </c>
      <c r="AV788" s="1" t="n">
        <f aca="false">IF(B788="",0,IF(COUNTIF($B$6:$B$860,B788)&gt;1,1,0))</f>
        <v>0</v>
      </c>
      <c r="AX788" s="269" t="str">
        <f aca="false">IF(AY788=1,DATE(YEAR(O788),MONTH(O788),1),"")</f>
        <v/>
      </c>
      <c r="AY788" s="1" t="n">
        <f aca="false">IF(B788="",0,IF(AND(ISNUMBER(O788),ISNUMBER(P788)),IF(P788&gt;=O788,1,0),0))</f>
        <v>0</v>
      </c>
      <c r="AZ788" s="1" t="n">
        <f aca="false">IF(ISNUMBER(Y788),Y788,0)</f>
        <v>0</v>
      </c>
      <c r="BA788" s="1" t="str">
        <f aca="false">IF(B788="","",IF(AND(R788="WON",AS788=0),"⛔ Beleg fehlt · ","")&amp;IF(AND(R788="WON",AR788=0),"⛔ Einstand fehlt · ","")&amp;IF(AND(R788&lt;&gt;"WON",AR788=0),"○ Einstand offen · ","")&amp;IF(AND(R788="WON",AB788=""),"⛔ Vertragsart fehlt · ","")&amp;IF(AND(ISNUMBER(O788),ISNUMBER(P788)),IF(P788&lt;O788,"⚠ Ende vor Start · ",""),"")&amp;IF(AND(R788="WON",AY788=0,NOT(AND(ISNUMBER(O788),ISNUMBER(P788)))),"⛔ Zeitraum fehlt · ","")&amp;IF(AND(R788&lt;&gt;"WON",AY788=0,NOT(AND(ISNUMBER(O788),ISNUMBER(P788)))),"○ Zeitraum offen · ",""))</f>
        <v/>
      </c>
      <c r="BB788" s="1" t="str">
        <f aca="false">IF(B788="","",IF(AND(R788="WON",AS788=0),"⛔ Nachweis fehlt",IF(AND(ISNUMBER(O788),ISNUMBER(P788),P788&lt;O788),"⚠ Ende vor Start",IF(AND(R788="WON",AY788=0),"⛔ Zeitraum fehlt",IF(AR788=0,"○ Einstand offen",IF(AY788=0,"○ Zeitraum offen",IF(R788="WON","✅ belegt","✔ erfasst")))))))</f>
        <v/>
      </c>
    </row>
    <row r="789" customFormat="false" ht="15" hidden="false" customHeight="true" outlineLevel="0" collapsed="false">
      <c r="G789" s="1" t="str">
        <f aca="false">IF(B789="","",IF(AY789=1,P789-O789+1,IF(AW789="","",AW789)))</f>
        <v/>
      </c>
      <c r="I789" s="270"/>
      <c r="J789" s="270"/>
      <c r="K789" s="270"/>
      <c r="L789" s="270"/>
      <c r="M789" s="270"/>
      <c r="N789" s="270"/>
      <c r="O789" s="263"/>
      <c r="P789" s="263"/>
      <c r="Q789" s="270" t="str">
        <f aca="false">IF(AND(ISNUMBER(I789),ISNUMBER(S789)),I789*AJ789,IF(OR(I789&lt;&gt;"",S789&lt;&gt;""),"tbd",""))</f>
        <v/>
      </c>
      <c r="S789" s="268"/>
      <c r="Y789" s="275" t="str">
        <f aca="false">IF(ISNUMBER(I789),I789/Netto_Faktor,"")</f>
        <v/>
      </c>
      <c r="Z789" s="275" t="str">
        <f aca="false">IF(B789="","",IF(COUNT(J789:N789)=0,"",SUM(J789:N789)))</f>
        <v/>
      </c>
      <c r="AA789" s="266"/>
      <c r="AB789" s="266"/>
      <c r="AC789" s="266"/>
      <c r="AD789" s="266"/>
      <c r="AE789" s="266"/>
      <c r="AF789" s="266"/>
      <c r="AG789" s="267"/>
      <c r="AH789" s="266" t="str">
        <f aca="false">IF(B789="","",IF(BA789="",IF(R789="WON","✅ belegt &amp; vollständig","✔ vollständig"),LEFT(BA789,LEN(BA789)-3)))</f>
        <v/>
      </c>
      <c r="AJ789" s="268" t="n">
        <f aca="false">IF(ISNUMBER(S789),IFERROR(LOOKUP(IF(S789&lt;=1,S789,S789/100),'⚖️ Wahrscheinlichkeit'!$B$17:$B$21,'⚖️ Wahrscheinlichkeit'!$D$17:$D$21),0),0)</f>
        <v>0</v>
      </c>
      <c r="AK789" s="1" t="str">
        <f aca="false">IF(AND(R789="WON",ISNUMBER(I789)),AL789+(861-ROW())*0.000001,"")</f>
        <v/>
      </c>
      <c r="AL789" s="1" t="n">
        <f aca="false">IFERROR(I789*1,0)</f>
        <v>0</v>
      </c>
      <c r="AM789" s="1" t="n">
        <f aca="false">N(AM788)+IF(AND(R789="WON",B789&lt;&gt;""),1,0)</f>
        <v>12</v>
      </c>
      <c r="AN789" s="1" t="n">
        <f aca="false">N(AN788)+IF(AND(OR(R789="offered",R789="to be offered",R789="on hold"),B789&lt;&gt;""),1,0)</f>
        <v>33</v>
      </c>
      <c r="AO789" s="1" t="n">
        <f aca="false">N(AO788)+IF(AND(OR(R789="follow-up",R789="Evaluation",R789="tbd",R789="In evaluation"),B789&lt;&gt;""),1,0)</f>
        <v>1</v>
      </c>
      <c r="AP789" s="1" t="n">
        <f aca="false">IF(B789="",0,IF(COUNTIF('⚖️ Wahrscheinlichkeit'!$J$17:$J$24,R789)&gt;0,1,0))</f>
        <v>0</v>
      </c>
      <c r="AQ789" s="1" t="n">
        <f aca="false">IF(B789="",0,IF(AND(ISNUMBER(S789),COUNTIF('⚖️ Wahrscheinlichkeit'!$B$6:$B$11,S789)&gt;0),1,0))</f>
        <v>0</v>
      </c>
      <c r="AR789" s="1" t="n">
        <f aca="false">IF(B789="",0,IF(AND(COUNT(J789:M789)=4,SUM(J789:M789)&gt;0),1,0))</f>
        <v>0</v>
      </c>
      <c r="AS789" s="1" t="n">
        <f aca="false">IF(B789="",0,IF(AND(AF789&lt;&gt;"",AG789&lt;&gt;""),1,0))</f>
        <v>0</v>
      </c>
      <c r="AT789" s="1" t="n">
        <f aca="false">IF(AND(R789="WON",AS789=1,AR789=1),1,0)</f>
        <v>0</v>
      </c>
      <c r="AU789" s="1" t="n">
        <f aca="false">IF(B789="",0,IF(AD789="Alternative – zählt nicht",0,1))</f>
        <v>0</v>
      </c>
      <c r="AV789" s="1" t="n">
        <f aca="false">IF(B789="",0,IF(COUNTIF($B$6:$B$860,B789)&gt;1,1,0))</f>
        <v>0</v>
      </c>
      <c r="AX789" s="269" t="str">
        <f aca="false">IF(AY789=1,DATE(YEAR(O789),MONTH(O789),1),"")</f>
        <v/>
      </c>
      <c r="AY789" s="1" t="n">
        <f aca="false">IF(B789="",0,IF(AND(ISNUMBER(O789),ISNUMBER(P789)),IF(P789&gt;=O789,1,0),0))</f>
        <v>0</v>
      </c>
      <c r="AZ789" s="1" t="n">
        <f aca="false">IF(ISNUMBER(Y789),Y789,0)</f>
        <v>0</v>
      </c>
      <c r="BA789" s="1" t="str">
        <f aca="false">IF(B789="","",IF(AND(R789="WON",AS789=0),"⛔ Beleg fehlt · ","")&amp;IF(AND(R789="WON",AR789=0),"⛔ Einstand fehlt · ","")&amp;IF(AND(R789&lt;&gt;"WON",AR789=0),"○ Einstand offen · ","")&amp;IF(AND(R789="WON",AB789=""),"⛔ Vertragsart fehlt · ","")&amp;IF(AND(ISNUMBER(O789),ISNUMBER(P789)),IF(P789&lt;O789,"⚠ Ende vor Start · ",""),"")&amp;IF(AND(R789="WON",AY789=0,NOT(AND(ISNUMBER(O789),ISNUMBER(P789)))),"⛔ Zeitraum fehlt · ","")&amp;IF(AND(R789&lt;&gt;"WON",AY789=0,NOT(AND(ISNUMBER(O789),ISNUMBER(P789)))),"○ Zeitraum offen · ",""))</f>
        <v/>
      </c>
      <c r="BB789" s="1" t="str">
        <f aca="false">IF(B789="","",IF(AND(R789="WON",AS789=0),"⛔ Nachweis fehlt",IF(AND(ISNUMBER(O789),ISNUMBER(P789),P789&lt;O789),"⚠ Ende vor Start",IF(AND(R789="WON",AY789=0),"⛔ Zeitraum fehlt",IF(AR789=0,"○ Einstand offen",IF(AY789=0,"○ Zeitraum offen",IF(R789="WON","✅ belegt","✔ erfasst")))))))</f>
        <v/>
      </c>
    </row>
    <row r="790" customFormat="false" ht="15" hidden="false" customHeight="true" outlineLevel="0" collapsed="false">
      <c r="G790" s="1" t="str">
        <f aca="false">IF(B790="","",IF(AY790=1,P790-O790+1,IF(AW790="","",AW790)))</f>
        <v/>
      </c>
      <c r="I790" s="270"/>
      <c r="J790" s="270"/>
      <c r="K790" s="270"/>
      <c r="L790" s="270"/>
      <c r="M790" s="270"/>
      <c r="N790" s="270"/>
      <c r="O790" s="263"/>
      <c r="P790" s="263"/>
      <c r="Q790" s="270" t="str">
        <f aca="false">IF(AND(ISNUMBER(I790),ISNUMBER(S790)),I790*AJ790,IF(OR(I790&lt;&gt;"",S790&lt;&gt;""),"tbd",""))</f>
        <v/>
      </c>
      <c r="S790" s="268"/>
      <c r="Y790" s="275" t="str">
        <f aca="false">IF(ISNUMBER(I790),I790/Netto_Faktor,"")</f>
        <v/>
      </c>
      <c r="Z790" s="275" t="str">
        <f aca="false">IF(B790="","",IF(COUNT(J790:N790)=0,"",SUM(J790:N790)))</f>
        <v/>
      </c>
      <c r="AA790" s="266"/>
      <c r="AB790" s="266"/>
      <c r="AC790" s="266"/>
      <c r="AD790" s="266"/>
      <c r="AE790" s="266"/>
      <c r="AF790" s="266"/>
      <c r="AG790" s="267"/>
      <c r="AH790" s="266" t="str">
        <f aca="false">IF(B790="","",IF(BA790="",IF(R790="WON","✅ belegt &amp; vollständig","✔ vollständig"),LEFT(BA790,LEN(BA790)-3)))</f>
        <v/>
      </c>
      <c r="AJ790" s="268" t="n">
        <f aca="false">IF(ISNUMBER(S790),IFERROR(LOOKUP(IF(S790&lt;=1,S790,S790/100),'⚖️ Wahrscheinlichkeit'!$B$17:$B$21,'⚖️ Wahrscheinlichkeit'!$D$17:$D$21),0),0)</f>
        <v>0</v>
      </c>
      <c r="AK790" s="1" t="str">
        <f aca="false">IF(AND(R790="WON",ISNUMBER(I790)),AL790+(861-ROW())*0.000001,"")</f>
        <v/>
      </c>
      <c r="AL790" s="1" t="n">
        <f aca="false">IFERROR(I790*1,0)</f>
        <v>0</v>
      </c>
      <c r="AM790" s="1" t="n">
        <f aca="false">N(AM789)+IF(AND(R790="WON",B790&lt;&gt;""),1,0)</f>
        <v>12</v>
      </c>
      <c r="AN790" s="1" t="n">
        <f aca="false">N(AN789)+IF(AND(OR(R790="offered",R790="to be offered",R790="on hold"),B790&lt;&gt;""),1,0)</f>
        <v>33</v>
      </c>
      <c r="AO790" s="1" t="n">
        <f aca="false">N(AO789)+IF(AND(OR(R790="follow-up",R790="Evaluation",R790="tbd",R790="In evaluation"),B790&lt;&gt;""),1,0)</f>
        <v>1</v>
      </c>
      <c r="AP790" s="1" t="n">
        <f aca="false">IF(B790="",0,IF(COUNTIF('⚖️ Wahrscheinlichkeit'!$J$17:$J$24,R790)&gt;0,1,0))</f>
        <v>0</v>
      </c>
      <c r="AQ790" s="1" t="n">
        <f aca="false">IF(B790="",0,IF(AND(ISNUMBER(S790),COUNTIF('⚖️ Wahrscheinlichkeit'!$B$6:$B$11,S790)&gt;0),1,0))</f>
        <v>0</v>
      </c>
      <c r="AR790" s="1" t="n">
        <f aca="false">IF(B790="",0,IF(AND(COUNT(J790:M790)=4,SUM(J790:M790)&gt;0),1,0))</f>
        <v>0</v>
      </c>
      <c r="AS790" s="1" t="n">
        <f aca="false">IF(B790="",0,IF(AND(AF790&lt;&gt;"",AG790&lt;&gt;""),1,0))</f>
        <v>0</v>
      </c>
      <c r="AT790" s="1" t="n">
        <f aca="false">IF(AND(R790="WON",AS790=1,AR790=1),1,0)</f>
        <v>0</v>
      </c>
      <c r="AU790" s="1" t="n">
        <f aca="false">IF(B790="",0,IF(AD790="Alternative – zählt nicht",0,1))</f>
        <v>0</v>
      </c>
      <c r="AV790" s="1" t="n">
        <f aca="false">IF(B790="",0,IF(COUNTIF($B$6:$B$860,B790)&gt;1,1,0))</f>
        <v>0</v>
      </c>
      <c r="AX790" s="269" t="str">
        <f aca="false">IF(AY790=1,DATE(YEAR(O790),MONTH(O790),1),"")</f>
        <v/>
      </c>
      <c r="AY790" s="1" t="n">
        <f aca="false">IF(B790="",0,IF(AND(ISNUMBER(O790),ISNUMBER(P790)),IF(P790&gt;=O790,1,0),0))</f>
        <v>0</v>
      </c>
      <c r="AZ790" s="1" t="n">
        <f aca="false">IF(ISNUMBER(Y790),Y790,0)</f>
        <v>0</v>
      </c>
      <c r="BA790" s="1" t="str">
        <f aca="false">IF(B790="","",IF(AND(R790="WON",AS790=0),"⛔ Beleg fehlt · ","")&amp;IF(AND(R790="WON",AR790=0),"⛔ Einstand fehlt · ","")&amp;IF(AND(R790&lt;&gt;"WON",AR790=0),"○ Einstand offen · ","")&amp;IF(AND(R790="WON",AB790=""),"⛔ Vertragsart fehlt · ","")&amp;IF(AND(ISNUMBER(O790),ISNUMBER(P790)),IF(P790&lt;O790,"⚠ Ende vor Start · ",""),"")&amp;IF(AND(R790="WON",AY790=0,NOT(AND(ISNUMBER(O790),ISNUMBER(P790)))),"⛔ Zeitraum fehlt · ","")&amp;IF(AND(R790&lt;&gt;"WON",AY790=0,NOT(AND(ISNUMBER(O790),ISNUMBER(P790)))),"○ Zeitraum offen · ",""))</f>
        <v/>
      </c>
      <c r="BB790" s="1" t="str">
        <f aca="false">IF(B790="","",IF(AND(R790="WON",AS790=0),"⛔ Nachweis fehlt",IF(AND(ISNUMBER(O790),ISNUMBER(P790),P790&lt;O790),"⚠ Ende vor Start",IF(AND(R790="WON",AY790=0),"⛔ Zeitraum fehlt",IF(AR790=0,"○ Einstand offen",IF(AY790=0,"○ Zeitraum offen",IF(R790="WON","✅ belegt","✔ erfasst")))))))</f>
        <v/>
      </c>
    </row>
    <row r="791" customFormat="false" ht="15" hidden="false" customHeight="true" outlineLevel="0" collapsed="false">
      <c r="G791" s="1" t="str">
        <f aca="false">IF(B791="","",IF(AY791=1,P791-O791+1,IF(AW791="","",AW791)))</f>
        <v/>
      </c>
      <c r="I791" s="270"/>
      <c r="J791" s="270"/>
      <c r="K791" s="270"/>
      <c r="L791" s="270"/>
      <c r="M791" s="270"/>
      <c r="N791" s="270"/>
      <c r="O791" s="263"/>
      <c r="P791" s="263"/>
      <c r="Q791" s="270" t="str">
        <f aca="false">IF(AND(ISNUMBER(I791),ISNUMBER(S791)),I791*AJ791,IF(OR(I791&lt;&gt;"",S791&lt;&gt;""),"tbd",""))</f>
        <v/>
      </c>
      <c r="S791" s="268"/>
      <c r="Y791" s="275" t="str">
        <f aca="false">IF(ISNUMBER(I791),I791/Netto_Faktor,"")</f>
        <v/>
      </c>
      <c r="Z791" s="275" t="str">
        <f aca="false">IF(B791="","",IF(COUNT(J791:N791)=0,"",SUM(J791:N791)))</f>
        <v/>
      </c>
      <c r="AA791" s="266"/>
      <c r="AB791" s="266"/>
      <c r="AC791" s="266"/>
      <c r="AD791" s="266"/>
      <c r="AE791" s="266"/>
      <c r="AF791" s="266"/>
      <c r="AG791" s="267"/>
      <c r="AH791" s="266" t="str">
        <f aca="false">IF(B791="","",IF(BA791="",IF(R791="WON","✅ belegt &amp; vollständig","✔ vollständig"),LEFT(BA791,LEN(BA791)-3)))</f>
        <v/>
      </c>
      <c r="AJ791" s="268" t="n">
        <f aca="false">IF(ISNUMBER(S791),IFERROR(LOOKUP(IF(S791&lt;=1,S791,S791/100),'⚖️ Wahrscheinlichkeit'!$B$17:$B$21,'⚖️ Wahrscheinlichkeit'!$D$17:$D$21),0),0)</f>
        <v>0</v>
      </c>
      <c r="AK791" s="1" t="str">
        <f aca="false">IF(AND(R791="WON",ISNUMBER(I791)),AL791+(861-ROW())*0.000001,"")</f>
        <v/>
      </c>
      <c r="AL791" s="1" t="n">
        <f aca="false">IFERROR(I791*1,0)</f>
        <v>0</v>
      </c>
      <c r="AM791" s="1" t="n">
        <f aca="false">N(AM790)+IF(AND(R791="WON",B791&lt;&gt;""),1,0)</f>
        <v>12</v>
      </c>
      <c r="AN791" s="1" t="n">
        <f aca="false">N(AN790)+IF(AND(OR(R791="offered",R791="to be offered",R791="on hold"),B791&lt;&gt;""),1,0)</f>
        <v>33</v>
      </c>
      <c r="AO791" s="1" t="n">
        <f aca="false">N(AO790)+IF(AND(OR(R791="follow-up",R791="Evaluation",R791="tbd",R791="In evaluation"),B791&lt;&gt;""),1,0)</f>
        <v>1</v>
      </c>
      <c r="AP791" s="1" t="n">
        <f aca="false">IF(B791="",0,IF(COUNTIF('⚖️ Wahrscheinlichkeit'!$J$17:$J$24,R791)&gt;0,1,0))</f>
        <v>0</v>
      </c>
      <c r="AQ791" s="1" t="n">
        <f aca="false">IF(B791="",0,IF(AND(ISNUMBER(S791),COUNTIF('⚖️ Wahrscheinlichkeit'!$B$6:$B$11,S791)&gt;0),1,0))</f>
        <v>0</v>
      </c>
      <c r="AR791" s="1" t="n">
        <f aca="false">IF(B791="",0,IF(AND(COUNT(J791:M791)=4,SUM(J791:M791)&gt;0),1,0))</f>
        <v>0</v>
      </c>
      <c r="AS791" s="1" t="n">
        <f aca="false">IF(B791="",0,IF(AND(AF791&lt;&gt;"",AG791&lt;&gt;""),1,0))</f>
        <v>0</v>
      </c>
      <c r="AT791" s="1" t="n">
        <f aca="false">IF(AND(R791="WON",AS791=1,AR791=1),1,0)</f>
        <v>0</v>
      </c>
      <c r="AU791" s="1" t="n">
        <f aca="false">IF(B791="",0,IF(AD791="Alternative – zählt nicht",0,1))</f>
        <v>0</v>
      </c>
      <c r="AV791" s="1" t="n">
        <f aca="false">IF(B791="",0,IF(COUNTIF($B$6:$B$860,B791)&gt;1,1,0))</f>
        <v>0</v>
      </c>
      <c r="AX791" s="269" t="str">
        <f aca="false">IF(AY791=1,DATE(YEAR(O791),MONTH(O791),1),"")</f>
        <v/>
      </c>
      <c r="AY791" s="1" t="n">
        <f aca="false">IF(B791="",0,IF(AND(ISNUMBER(O791),ISNUMBER(P791)),IF(P791&gt;=O791,1,0),0))</f>
        <v>0</v>
      </c>
      <c r="AZ791" s="1" t="n">
        <f aca="false">IF(ISNUMBER(Y791),Y791,0)</f>
        <v>0</v>
      </c>
      <c r="BA791" s="1" t="str">
        <f aca="false">IF(B791="","",IF(AND(R791="WON",AS791=0),"⛔ Beleg fehlt · ","")&amp;IF(AND(R791="WON",AR791=0),"⛔ Einstand fehlt · ","")&amp;IF(AND(R791&lt;&gt;"WON",AR791=0),"○ Einstand offen · ","")&amp;IF(AND(R791="WON",AB791=""),"⛔ Vertragsart fehlt · ","")&amp;IF(AND(ISNUMBER(O791),ISNUMBER(P791)),IF(P791&lt;O791,"⚠ Ende vor Start · ",""),"")&amp;IF(AND(R791="WON",AY791=0,NOT(AND(ISNUMBER(O791),ISNUMBER(P791)))),"⛔ Zeitraum fehlt · ","")&amp;IF(AND(R791&lt;&gt;"WON",AY791=0,NOT(AND(ISNUMBER(O791),ISNUMBER(P791)))),"○ Zeitraum offen · ",""))</f>
        <v/>
      </c>
      <c r="BB791" s="1" t="str">
        <f aca="false">IF(B791="","",IF(AND(R791="WON",AS791=0),"⛔ Nachweis fehlt",IF(AND(ISNUMBER(O791),ISNUMBER(P791),P791&lt;O791),"⚠ Ende vor Start",IF(AND(R791="WON",AY791=0),"⛔ Zeitraum fehlt",IF(AR791=0,"○ Einstand offen",IF(AY791=0,"○ Zeitraum offen",IF(R791="WON","✅ belegt","✔ erfasst")))))))</f>
        <v/>
      </c>
    </row>
    <row r="792" customFormat="false" ht="15" hidden="false" customHeight="true" outlineLevel="0" collapsed="false">
      <c r="G792" s="1" t="str">
        <f aca="false">IF(B792="","",IF(AY792=1,P792-O792+1,IF(AW792="","",AW792)))</f>
        <v/>
      </c>
      <c r="I792" s="270"/>
      <c r="J792" s="270"/>
      <c r="K792" s="270"/>
      <c r="L792" s="270"/>
      <c r="M792" s="270"/>
      <c r="N792" s="270"/>
      <c r="O792" s="263"/>
      <c r="P792" s="263"/>
      <c r="Q792" s="270" t="str">
        <f aca="false">IF(AND(ISNUMBER(I792),ISNUMBER(S792)),I792*AJ792,IF(OR(I792&lt;&gt;"",S792&lt;&gt;""),"tbd",""))</f>
        <v/>
      </c>
      <c r="S792" s="268"/>
      <c r="Y792" s="275" t="str">
        <f aca="false">IF(ISNUMBER(I792),I792/Netto_Faktor,"")</f>
        <v/>
      </c>
      <c r="Z792" s="275" t="str">
        <f aca="false">IF(B792="","",IF(COUNT(J792:N792)=0,"",SUM(J792:N792)))</f>
        <v/>
      </c>
      <c r="AA792" s="266"/>
      <c r="AB792" s="266"/>
      <c r="AC792" s="266"/>
      <c r="AD792" s="266"/>
      <c r="AE792" s="266"/>
      <c r="AF792" s="266"/>
      <c r="AG792" s="267"/>
      <c r="AH792" s="266" t="str">
        <f aca="false">IF(B792="","",IF(BA792="",IF(R792="WON","✅ belegt &amp; vollständig","✔ vollständig"),LEFT(BA792,LEN(BA792)-3)))</f>
        <v/>
      </c>
      <c r="AJ792" s="268" t="n">
        <f aca="false">IF(ISNUMBER(S792),IFERROR(LOOKUP(IF(S792&lt;=1,S792,S792/100),'⚖️ Wahrscheinlichkeit'!$B$17:$B$21,'⚖️ Wahrscheinlichkeit'!$D$17:$D$21),0),0)</f>
        <v>0</v>
      </c>
      <c r="AK792" s="1" t="str">
        <f aca="false">IF(AND(R792="WON",ISNUMBER(I792)),AL792+(861-ROW())*0.000001,"")</f>
        <v/>
      </c>
      <c r="AL792" s="1" t="n">
        <f aca="false">IFERROR(I792*1,0)</f>
        <v>0</v>
      </c>
      <c r="AM792" s="1" t="n">
        <f aca="false">N(AM791)+IF(AND(R792="WON",B792&lt;&gt;""),1,0)</f>
        <v>12</v>
      </c>
      <c r="AN792" s="1" t="n">
        <f aca="false">N(AN791)+IF(AND(OR(R792="offered",R792="to be offered",R792="on hold"),B792&lt;&gt;""),1,0)</f>
        <v>33</v>
      </c>
      <c r="AO792" s="1" t="n">
        <f aca="false">N(AO791)+IF(AND(OR(R792="follow-up",R792="Evaluation",R792="tbd",R792="In evaluation"),B792&lt;&gt;""),1,0)</f>
        <v>1</v>
      </c>
      <c r="AP792" s="1" t="n">
        <f aca="false">IF(B792="",0,IF(COUNTIF('⚖️ Wahrscheinlichkeit'!$J$17:$J$24,R792)&gt;0,1,0))</f>
        <v>0</v>
      </c>
      <c r="AQ792" s="1" t="n">
        <f aca="false">IF(B792="",0,IF(AND(ISNUMBER(S792),COUNTIF('⚖️ Wahrscheinlichkeit'!$B$6:$B$11,S792)&gt;0),1,0))</f>
        <v>0</v>
      </c>
      <c r="AR792" s="1" t="n">
        <f aca="false">IF(B792="",0,IF(AND(COUNT(J792:M792)=4,SUM(J792:M792)&gt;0),1,0))</f>
        <v>0</v>
      </c>
      <c r="AS792" s="1" t="n">
        <f aca="false">IF(B792="",0,IF(AND(AF792&lt;&gt;"",AG792&lt;&gt;""),1,0))</f>
        <v>0</v>
      </c>
      <c r="AT792" s="1" t="n">
        <f aca="false">IF(AND(R792="WON",AS792=1,AR792=1),1,0)</f>
        <v>0</v>
      </c>
      <c r="AU792" s="1" t="n">
        <f aca="false">IF(B792="",0,IF(AD792="Alternative – zählt nicht",0,1))</f>
        <v>0</v>
      </c>
      <c r="AV792" s="1" t="n">
        <f aca="false">IF(B792="",0,IF(COUNTIF($B$6:$B$860,B792)&gt;1,1,0))</f>
        <v>0</v>
      </c>
      <c r="AX792" s="269" t="str">
        <f aca="false">IF(AY792=1,DATE(YEAR(O792),MONTH(O792),1),"")</f>
        <v/>
      </c>
      <c r="AY792" s="1" t="n">
        <f aca="false">IF(B792="",0,IF(AND(ISNUMBER(O792),ISNUMBER(P792)),IF(P792&gt;=O792,1,0),0))</f>
        <v>0</v>
      </c>
      <c r="AZ792" s="1" t="n">
        <f aca="false">IF(ISNUMBER(Y792),Y792,0)</f>
        <v>0</v>
      </c>
      <c r="BA792" s="1" t="str">
        <f aca="false">IF(B792="","",IF(AND(R792="WON",AS792=0),"⛔ Beleg fehlt · ","")&amp;IF(AND(R792="WON",AR792=0),"⛔ Einstand fehlt · ","")&amp;IF(AND(R792&lt;&gt;"WON",AR792=0),"○ Einstand offen · ","")&amp;IF(AND(R792="WON",AB792=""),"⛔ Vertragsart fehlt · ","")&amp;IF(AND(ISNUMBER(O792),ISNUMBER(P792)),IF(P792&lt;O792,"⚠ Ende vor Start · ",""),"")&amp;IF(AND(R792="WON",AY792=0,NOT(AND(ISNUMBER(O792),ISNUMBER(P792)))),"⛔ Zeitraum fehlt · ","")&amp;IF(AND(R792&lt;&gt;"WON",AY792=0,NOT(AND(ISNUMBER(O792),ISNUMBER(P792)))),"○ Zeitraum offen · ",""))</f>
        <v/>
      </c>
      <c r="BB792" s="1" t="str">
        <f aca="false">IF(B792="","",IF(AND(R792="WON",AS792=0),"⛔ Nachweis fehlt",IF(AND(ISNUMBER(O792),ISNUMBER(P792),P792&lt;O792),"⚠ Ende vor Start",IF(AND(R792="WON",AY792=0),"⛔ Zeitraum fehlt",IF(AR792=0,"○ Einstand offen",IF(AY792=0,"○ Zeitraum offen",IF(R792="WON","✅ belegt","✔ erfasst")))))))</f>
        <v/>
      </c>
    </row>
    <row r="793" customFormat="false" ht="15" hidden="false" customHeight="true" outlineLevel="0" collapsed="false">
      <c r="G793" s="1" t="str">
        <f aca="false">IF(B793="","",IF(AY793=1,P793-O793+1,IF(AW793="","",AW793)))</f>
        <v/>
      </c>
      <c r="I793" s="270"/>
      <c r="J793" s="270"/>
      <c r="K793" s="270"/>
      <c r="L793" s="270"/>
      <c r="M793" s="270"/>
      <c r="N793" s="270"/>
      <c r="O793" s="263"/>
      <c r="P793" s="263"/>
      <c r="Q793" s="270" t="str">
        <f aca="false">IF(AND(ISNUMBER(I793),ISNUMBER(S793)),I793*AJ793,IF(OR(I793&lt;&gt;"",S793&lt;&gt;""),"tbd",""))</f>
        <v/>
      </c>
      <c r="S793" s="268"/>
      <c r="Y793" s="275" t="str">
        <f aca="false">IF(ISNUMBER(I793),I793/Netto_Faktor,"")</f>
        <v/>
      </c>
      <c r="Z793" s="275" t="str">
        <f aca="false">IF(B793="","",IF(COUNT(J793:N793)=0,"",SUM(J793:N793)))</f>
        <v/>
      </c>
      <c r="AA793" s="266"/>
      <c r="AB793" s="266"/>
      <c r="AC793" s="266"/>
      <c r="AD793" s="266"/>
      <c r="AE793" s="266"/>
      <c r="AF793" s="266"/>
      <c r="AG793" s="267"/>
      <c r="AH793" s="266" t="str">
        <f aca="false">IF(B793="","",IF(BA793="",IF(R793="WON","✅ belegt &amp; vollständig","✔ vollständig"),LEFT(BA793,LEN(BA793)-3)))</f>
        <v/>
      </c>
      <c r="AJ793" s="268" t="n">
        <f aca="false">IF(ISNUMBER(S793),IFERROR(LOOKUP(IF(S793&lt;=1,S793,S793/100),'⚖️ Wahrscheinlichkeit'!$B$17:$B$21,'⚖️ Wahrscheinlichkeit'!$D$17:$D$21),0),0)</f>
        <v>0</v>
      </c>
      <c r="AK793" s="1" t="str">
        <f aca="false">IF(AND(R793="WON",ISNUMBER(I793)),AL793+(861-ROW())*0.000001,"")</f>
        <v/>
      </c>
      <c r="AL793" s="1" t="n">
        <f aca="false">IFERROR(I793*1,0)</f>
        <v>0</v>
      </c>
      <c r="AM793" s="1" t="n">
        <f aca="false">N(AM792)+IF(AND(R793="WON",B793&lt;&gt;""),1,0)</f>
        <v>12</v>
      </c>
      <c r="AN793" s="1" t="n">
        <f aca="false">N(AN792)+IF(AND(OR(R793="offered",R793="to be offered",R793="on hold"),B793&lt;&gt;""),1,0)</f>
        <v>33</v>
      </c>
      <c r="AO793" s="1" t="n">
        <f aca="false">N(AO792)+IF(AND(OR(R793="follow-up",R793="Evaluation",R793="tbd",R793="In evaluation"),B793&lt;&gt;""),1,0)</f>
        <v>1</v>
      </c>
      <c r="AP793" s="1" t="n">
        <f aca="false">IF(B793="",0,IF(COUNTIF('⚖️ Wahrscheinlichkeit'!$J$17:$J$24,R793)&gt;0,1,0))</f>
        <v>0</v>
      </c>
      <c r="AQ793" s="1" t="n">
        <f aca="false">IF(B793="",0,IF(AND(ISNUMBER(S793),COUNTIF('⚖️ Wahrscheinlichkeit'!$B$6:$B$11,S793)&gt;0),1,0))</f>
        <v>0</v>
      </c>
      <c r="AR793" s="1" t="n">
        <f aca="false">IF(B793="",0,IF(AND(COUNT(J793:M793)=4,SUM(J793:M793)&gt;0),1,0))</f>
        <v>0</v>
      </c>
      <c r="AS793" s="1" t="n">
        <f aca="false">IF(B793="",0,IF(AND(AF793&lt;&gt;"",AG793&lt;&gt;""),1,0))</f>
        <v>0</v>
      </c>
      <c r="AT793" s="1" t="n">
        <f aca="false">IF(AND(R793="WON",AS793=1,AR793=1),1,0)</f>
        <v>0</v>
      </c>
      <c r="AU793" s="1" t="n">
        <f aca="false">IF(B793="",0,IF(AD793="Alternative – zählt nicht",0,1))</f>
        <v>0</v>
      </c>
      <c r="AV793" s="1" t="n">
        <f aca="false">IF(B793="",0,IF(COUNTIF($B$6:$B$860,B793)&gt;1,1,0))</f>
        <v>0</v>
      </c>
      <c r="AX793" s="269" t="str">
        <f aca="false">IF(AY793=1,DATE(YEAR(O793),MONTH(O793),1),"")</f>
        <v/>
      </c>
      <c r="AY793" s="1" t="n">
        <f aca="false">IF(B793="",0,IF(AND(ISNUMBER(O793),ISNUMBER(P793)),IF(P793&gt;=O793,1,0),0))</f>
        <v>0</v>
      </c>
      <c r="AZ793" s="1" t="n">
        <f aca="false">IF(ISNUMBER(Y793),Y793,0)</f>
        <v>0</v>
      </c>
      <c r="BA793" s="1" t="str">
        <f aca="false">IF(B793="","",IF(AND(R793="WON",AS793=0),"⛔ Beleg fehlt · ","")&amp;IF(AND(R793="WON",AR793=0),"⛔ Einstand fehlt · ","")&amp;IF(AND(R793&lt;&gt;"WON",AR793=0),"○ Einstand offen · ","")&amp;IF(AND(R793="WON",AB793=""),"⛔ Vertragsart fehlt · ","")&amp;IF(AND(ISNUMBER(O793),ISNUMBER(P793)),IF(P793&lt;O793,"⚠ Ende vor Start · ",""),"")&amp;IF(AND(R793="WON",AY793=0,NOT(AND(ISNUMBER(O793),ISNUMBER(P793)))),"⛔ Zeitraum fehlt · ","")&amp;IF(AND(R793&lt;&gt;"WON",AY793=0,NOT(AND(ISNUMBER(O793),ISNUMBER(P793)))),"○ Zeitraum offen · ",""))</f>
        <v/>
      </c>
      <c r="BB793" s="1" t="str">
        <f aca="false">IF(B793="","",IF(AND(R793="WON",AS793=0),"⛔ Nachweis fehlt",IF(AND(ISNUMBER(O793),ISNUMBER(P793),P793&lt;O793),"⚠ Ende vor Start",IF(AND(R793="WON",AY793=0),"⛔ Zeitraum fehlt",IF(AR793=0,"○ Einstand offen",IF(AY793=0,"○ Zeitraum offen",IF(R793="WON","✅ belegt","✔ erfasst")))))))</f>
        <v/>
      </c>
    </row>
    <row r="794" customFormat="false" ht="15" hidden="false" customHeight="true" outlineLevel="0" collapsed="false">
      <c r="G794" s="1" t="str">
        <f aca="false">IF(B794="","",IF(AY794=1,P794-O794+1,IF(AW794="","",AW794)))</f>
        <v/>
      </c>
      <c r="I794" s="270"/>
      <c r="J794" s="270"/>
      <c r="K794" s="270"/>
      <c r="L794" s="270"/>
      <c r="M794" s="270"/>
      <c r="N794" s="270"/>
      <c r="O794" s="263"/>
      <c r="P794" s="263"/>
      <c r="Q794" s="270" t="str">
        <f aca="false">IF(AND(ISNUMBER(I794),ISNUMBER(S794)),I794*AJ794,IF(OR(I794&lt;&gt;"",S794&lt;&gt;""),"tbd",""))</f>
        <v/>
      </c>
      <c r="S794" s="268"/>
      <c r="Y794" s="275" t="str">
        <f aca="false">IF(ISNUMBER(I794),I794/Netto_Faktor,"")</f>
        <v/>
      </c>
      <c r="Z794" s="275" t="str">
        <f aca="false">IF(B794="","",IF(COUNT(J794:N794)=0,"",SUM(J794:N794)))</f>
        <v/>
      </c>
      <c r="AA794" s="266"/>
      <c r="AB794" s="266"/>
      <c r="AC794" s="266"/>
      <c r="AD794" s="266"/>
      <c r="AE794" s="266"/>
      <c r="AF794" s="266"/>
      <c r="AG794" s="267"/>
      <c r="AH794" s="266" t="str">
        <f aca="false">IF(B794="","",IF(BA794="",IF(R794="WON","✅ belegt &amp; vollständig","✔ vollständig"),LEFT(BA794,LEN(BA794)-3)))</f>
        <v/>
      </c>
      <c r="AJ794" s="268" t="n">
        <f aca="false">IF(ISNUMBER(S794),IFERROR(LOOKUP(IF(S794&lt;=1,S794,S794/100),'⚖️ Wahrscheinlichkeit'!$B$17:$B$21,'⚖️ Wahrscheinlichkeit'!$D$17:$D$21),0),0)</f>
        <v>0</v>
      </c>
      <c r="AK794" s="1" t="str">
        <f aca="false">IF(AND(R794="WON",ISNUMBER(I794)),AL794+(861-ROW())*0.000001,"")</f>
        <v/>
      </c>
      <c r="AL794" s="1" t="n">
        <f aca="false">IFERROR(I794*1,0)</f>
        <v>0</v>
      </c>
      <c r="AM794" s="1" t="n">
        <f aca="false">N(AM793)+IF(AND(R794="WON",B794&lt;&gt;""),1,0)</f>
        <v>12</v>
      </c>
      <c r="AN794" s="1" t="n">
        <f aca="false">N(AN793)+IF(AND(OR(R794="offered",R794="to be offered",R794="on hold"),B794&lt;&gt;""),1,0)</f>
        <v>33</v>
      </c>
      <c r="AO794" s="1" t="n">
        <f aca="false">N(AO793)+IF(AND(OR(R794="follow-up",R794="Evaluation",R794="tbd",R794="In evaluation"),B794&lt;&gt;""),1,0)</f>
        <v>1</v>
      </c>
      <c r="AP794" s="1" t="n">
        <f aca="false">IF(B794="",0,IF(COUNTIF('⚖️ Wahrscheinlichkeit'!$J$17:$J$24,R794)&gt;0,1,0))</f>
        <v>0</v>
      </c>
      <c r="AQ794" s="1" t="n">
        <f aca="false">IF(B794="",0,IF(AND(ISNUMBER(S794),COUNTIF('⚖️ Wahrscheinlichkeit'!$B$6:$B$11,S794)&gt;0),1,0))</f>
        <v>0</v>
      </c>
      <c r="AR794" s="1" t="n">
        <f aca="false">IF(B794="",0,IF(AND(COUNT(J794:M794)=4,SUM(J794:M794)&gt;0),1,0))</f>
        <v>0</v>
      </c>
      <c r="AS794" s="1" t="n">
        <f aca="false">IF(B794="",0,IF(AND(AF794&lt;&gt;"",AG794&lt;&gt;""),1,0))</f>
        <v>0</v>
      </c>
      <c r="AT794" s="1" t="n">
        <f aca="false">IF(AND(R794="WON",AS794=1,AR794=1),1,0)</f>
        <v>0</v>
      </c>
      <c r="AU794" s="1" t="n">
        <f aca="false">IF(B794="",0,IF(AD794="Alternative – zählt nicht",0,1))</f>
        <v>0</v>
      </c>
      <c r="AV794" s="1" t="n">
        <f aca="false">IF(B794="",0,IF(COUNTIF($B$6:$B$860,B794)&gt;1,1,0))</f>
        <v>0</v>
      </c>
      <c r="AX794" s="269" t="str">
        <f aca="false">IF(AY794=1,DATE(YEAR(O794),MONTH(O794),1),"")</f>
        <v/>
      </c>
      <c r="AY794" s="1" t="n">
        <f aca="false">IF(B794="",0,IF(AND(ISNUMBER(O794),ISNUMBER(P794)),IF(P794&gt;=O794,1,0),0))</f>
        <v>0</v>
      </c>
      <c r="AZ794" s="1" t="n">
        <f aca="false">IF(ISNUMBER(Y794),Y794,0)</f>
        <v>0</v>
      </c>
      <c r="BA794" s="1" t="str">
        <f aca="false">IF(B794="","",IF(AND(R794="WON",AS794=0),"⛔ Beleg fehlt · ","")&amp;IF(AND(R794="WON",AR794=0),"⛔ Einstand fehlt · ","")&amp;IF(AND(R794&lt;&gt;"WON",AR794=0),"○ Einstand offen · ","")&amp;IF(AND(R794="WON",AB794=""),"⛔ Vertragsart fehlt · ","")&amp;IF(AND(ISNUMBER(O794),ISNUMBER(P794)),IF(P794&lt;O794,"⚠ Ende vor Start · ",""),"")&amp;IF(AND(R794="WON",AY794=0,NOT(AND(ISNUMBER(O794),ISNUMBER(P794)))),"⛔ Zeitraum fehlt · ","")&amp;IF(AND(R794&lt;&gt;"WON",AY794=0,NOT(AND(ISNUMBER(O794),ISNUMBER(P794)))),"○ Zeitraum offen · ",""))</f>
        <v/>
      </c>
      <c r="BB794" s="1" t="str">
        <f aca="false">IF(B794="","",IF(AND(R794="WON",AS794=0),"⛔ Nachweis fehlt",IF(AND(ISNUMBER(O794),ISNUMBER(P794),P794&lt;O794),"⚠ Ende vor Start",IF(AND(R794="WON",AY794=0),"⛔ Zeitraum fehlt",IF(AR794=0,"○ Einstand offen",IF(AY794=0,"○ Zeitraum offen",IF(R794="WON","✅ belegt","✔ erfasst")))))))</f>
        <v/>
      </c>
    </row>
    <row r="795" customFormat="false" ht="15" hidden="false" customHeight="true" outlineLevel="0" collapsed="false">
      <c r="G795" s="1" t="str">
        <f aca="false">IF(B795="","",IF(AY795=1,P795-O795+1,IF(AW795="","",AW795)))</f>
        <v/>
      </c>
      <c r="I795" s="270"/>
      <c r="J795" s="270"/>
      <c r="K795" s="270"/>
      <c r="L795" s="270"/>
      <c r="M795" s="270"/>
      <c r="N795" s="270"/>
      <c r="O795" s="263"/>
      <c r="P795" s="263"/>
      <c r="Q795" s="270" t="str">
        <f aca="false">IF(AND(ISNUMBER(I795),ISNUMBER(S795)),I795*AJ795,IF(OR(I795&lt;&gt;"",S795&lt;&gt;""),"tbd",""))</f>
        <v/>
      </c>
      <c r="S795" s="268"/>
      <c r="Y795" s="275" t="str">
        <f aca="false">IF(ISNUMBER(I795),I795/Netto_Faktor,"")</f>
        <v/>
      </c>
      <c r="Z795" s="275" t="str">
        <f aca="false">IF(B795="","",IF(COUNT(J795:N795)=0,"",SUM(J795:N795)))</f>
        <v/>
      </c>
      <c r="AA795" s="266"/>
      <c r="AB795" s="266"/>
      <c r="AC795" s="266"/>
      <c r="AD795" s="266"/>
      <c r="AE795" s="266"/>
      <c r="AF795" s="266"/>
      <c r="AG795" s="267"/>
      <c r="AH795" s="266" t="str">
        <f aca="false">IF(B795="","",IF(BA795="",IF(R795="WON","✅ belegt &amp; vollständig","✔ vollständig"),LEFT(BA795,LEN(BA795)-3)))</f>
        <v/>
      </c>
      <c r="AJ795" s="268" t="n">
        <f aca="false">IF(ISNUMBER(S795),IFERROR(LOOKUP(IF(S795&lt;=1,S795,S795/100),'⚖️ Wahrscheinlichkeit'!$B$17:$B$21,'⚖️ Wahrscheinlichkeit'!$D$17:$D$21),0),0)</f>
        <v>0</v>
      </c>
      <c r="AK795" s="1" t="str">
        <f aca="false">IF(AND(R795="WON",ISNUMBER(I795)),AL795+(861-ROW())*0.000001,"")</f>
        <v/>
      </c>
      <c r="AL795" s="1" t="n">
        <f aca="false">IFERROR(I795*1,0)</f>
        <v>0</v>
      </c>
      <c r="AM795" s="1" t="n">
        <f aca="false">N(AM794)+IF(AND(R795="WON",B795&lt;&gt;""),1,0)</f>
        <v>12</v>
      </c>
      <c r="AN795" s="1" t="n">
        <f aca="false">N(AN794)+IF(AND(OR(R795="offered",R795="to be offered",R795="on hold"),B795&lt;&gt;""),1,0)</f>
        <v>33</v>
      </c>
      <c r="AO795" s="1" t="n">
        <f aca="false">N(AO794)+IF(AND(OR(R795="follow-up",R795="Evaluation",R795="tbd",R795="In evaluation"),B795&lt;&gt;""),1,0)</f>
        <v>1</v>
      </c>
      <c r="AP795" s="1" t="n">
        <f aca="false">IF(B795="",0,IF(COUNTIF('⚖️ Wahrscheinlichkeit'!$J$17:$J$24,R795)&gt;0,1,0))</f>
        <v>0</v>
      </c>
      <c r="AQ795" s="1" t="n">
        <f aca="false">IF(B795="",0,IF(AND(ISNUMBER(S795),COUNTIF('⚖️ Wahrscheinlichkeit'!$B$6:$B$11,S795)&gt;0),1,0))</f>
        <v>0</v>
      </c>
      <c r="AR795" s="1" t="n">
        <f aca="false">IF(B795="",0,IF(AND(COUNT(J795:M795)=4,SUM(J795:M795)&gt;0),1,0))</f>
        <v>0</v>
      </c>
      <c r="AS795" s="1" t="n">
        <f aca="false">IF(B795="",0,IF(AND(AF795&lt;&gt;"",AG795&lt;&gt;""),1,0))</f>
        <v>0</v>
      </c>
      <c r="AT795" s="1" t="n">
        <f aca="false">IF(AND(R795="WON",AS795=1,AR795=1),1,0)</f>
        <v>0</v>
      </c>
      <c r="AU795" s="1" t="n">
        <f aca="false">IF(B795="",0,IF(AD795="Alternative – zählt nicht",0,1))</f>
        <v>0</v>
      </c>
      <c r="AV795" s="1" t="n">
        <f aca="false">IF(B795="",0,IF(COUNTIF($B$6:$B$860,B795)&gt;1,1,0))</f>
        <v>0</v>
      </c>
      <c r="AX795" s="269" t="str">
        <f aca="false">IF(AY795=1,DATE(YEAR(O795),MONTH(O795),1),"")</f>
        <v/>
      </c>
      <c r="AY795" s="1" t="n">
        <f aca="false">IF(B795="",0,IF(AND(ISNUMBER(O795),ISNUMBER(P795)),IF(P795&gt;=O795,1,0),0))</f>
        <v>0</v>
      </c>
      <c r="AZ795" s="1" t="n">
        <f aca="false">IF(ISNUMBER(Y795),Y795,0)</f>
        <v>0</v>
      </c>
      <c r="BA795" s="1" t="str">
        <f aca="false">IF(B795="","",IF(AND(R795="WON",AS795=0),"⛔ Beleg fehlt · ","")&amp;IF(AND(R795="WON",AR795=0),"⛔ Einstand fehlt · ","")&amp;IF(AND(R795&lt;&gt;"WON",AR795=0),"○ Einstand offen · ","")&amp;IF(AND(R795="WON",AB795=""),"⛔ Vertragsart fehlt · ","")&amp;IF(AND(ISNUMBER(O795),ISNUMBER(P795)),IF(P795&lt;O795,"⚠ Ende vor Start · ",""),"")&amp;IF(AND(R795="WON",AY795=0,NOT(AND(ISNUMBER(O795),ISNUMBER(P795)))),"⛔ Zeitraum fehlt · ","")&amp;IF(AND(R795&lt;&gt;"WON",AY795=0,NOT(AND(ISNUMBER(O795),ISNUMBER(P795)))),"○ Zeitraum offen · ",""))</f>
        <v/>
      </c>
      <c r="BB795" s="1" t="str">
        <f aca="false">IF(B795="","",IF(AND(R795="WON",AS795=0),"⛔ Nachweis fehlt",IF(AND(ISNUMBER(O795),ISNUMBER(P795),P795&lt;O795),"⚠ Ende vor Start",IF(AND(R795="WON",AY795=0),"⛔ Zeitraum fehlt",IF(AR795=0,"○ Einstand offen",IF(AY795=0,"○ Zeitraum offen",IF(R795="WON","✅ belegt","✔ erfasst")))))))</f>
        <v/>
      </c>
    </row>
    <row r="796" customFormat="false" ht="15" hidden="false" customHeight="true" outlineLevel="0" collapsed="false">
      <c r="G796" s="1" t="str">
        <f aca="false">IF(B796="","",IF(AY796=1,P796-O796+1,IF(AW796="","",AW796)))</f>
        <v/>
      </c>
      <c r="I796" s="270"/>
      <c r="J796" s="270"/>
      <c r="K796" s="270"/>
      <c r="L796" s="270"/>
      <c r="M796" s="270"/>
      <c r="N796" s="270"/>
      <c r="O796" s="263"/>
      <c r="P796" s="263"/>
      <c r="Q796" s="270" t="str">
        <f aca="false">IF(AND(ISNUMBER(I796),ISNUMBER(S796)),I796*AJ796,IF(OR(I796&lt;&gt;"",S796&lt;&gt;""),"tbd",""))</f>
        <v/>
      </c>
      <c r="S796" s="268"/>
      <c r="Y796" s="275" t="str">
        <f aca="false">IF(ISNUMBER(I796),I796/Netto_Faktor,"")</f>
        <v/>
      </c>
      <c r="Z796" s="275" t="str">
        <f aca="false">IF(B796="","",IF(COUNT(J796:N796)=0,"",SUM(J796:N796)))</f>
        <v/>
      </c>
      <c r="AA796" s="266"/>
      <c r="AB796" s="266"/>
      <c r="AC796" s="266"/>
      <c r="AD796" s="266"/>
      <c r="AE796" s="266"/>
      <c r="AF796" s="266"/>
      <c r="AG796" s="267"/>
      <c r="AH796" s="266" t="str">
        <f aca="false">IF(B796="","",IF(BA796="",IF(R796="WON","✅ belegt &amp; vollständig","✔ vollständig"),LEFT(BA796,LEN(BA796)-3)))</f>
        <v/>
      </c>
      <c r="AJ796" s="268" t="n">
        <f aca="false">IF(ISNUMBER(S796),IFERROR(LOOKUP(IF(S796&lt;=1,S796,S796/100),'⚖️ Wahrscheinlichkeit'!$B$17:$B$21,'⚖️ Wahrscheinlichkeit'!$D$17:$D$21),0),0)</f>
        <v>0</v>
      </c>
      <c r="AK796" s="1" t="str">
        <f aca="false">IF(AND(R796="WON",ISNUMBER(I796)),AL796+(861-ROW())*0.000001,"")</f>
        <v/>
      </c>
      <c r="AL796" s="1" t="n">
        <f aca="false">IFERROR(I796*1,0)</f>
        <v>0</v>
      </c>
      <c r="AM796" s="1" t="n">
        <f aca="false">N(AM795)+IF(AND(R796="WON",B796&lt;&gt;""),1,0)</f>
        <v>12</v>
      </c>
      <c r="AN796" s="1" t="n">
        <f aca="false">N(AN795)+IF(AND(OR(R796="offered",R796="to be offered",R796="on hold"),B796&lt;&gt;""),1,0)</f>
        <v>33</v>
      </c>
      <c r="AO796" s="1" t="n">
        <f aca="false">N(AO795)+IF(AND(OR(R796="follow-up",R796="Evaluation",R796="tbd",R796="In evaluation"),B796&lt;&gt;""),1,0)</f>
        <v>1</v>
      </c>
      <c r="AP796" s="1" t="n">
        <f aca="false">IF(B796="",0,IF(COUNTIF('⚖️ Wahrscheinlichkeit'!$J$17:$J$24,R796)&gt;0,1,0))</f>
        <v>0</v>
      </c>
      <c r="AQ796" s="1" t="n">
        <f aca="false">IF(B796="",0,IF(AND(ISNUMBER(S796),COUNTIF('⚖️ Wahrscheinlichkeit'!$B$6:$B$11,S796)&gt;0),1,0))</f>
        <v>0</v>
      </c>
      <c r="AR796" s="1" t="n">
        <f aca="false">IF(B796="",0,IF(AND(COUNT(J796:M796)=4,SUM(J796:M796)&gt;0),1,0))</f>
        <v>0</v>
      </c>
      <c r="AS796" s="1" t="n">
        <f aca="false">IF(B796="",0,IF(AND(AF796&lt;&gt;"",AG796&lt;&gt;""),1,0))</f>
        <v>0</v>
      </c>
      <c r="AT796" s="1" t="n">
        <f aca="false">IF(AND(R796="WON",AS796=1,AR796=1),1,0)</f>
        <v>0</v>
      </c>
      <c r="AU796" s="1" t="n">
        <f aca="false">IF(B796="",0,IF(AD796="Alternative – zählt nicht",0,1))</f>
        <v>0</v>
      </c>
      <c r="AV796" s="1" t="n">
        <f aca="false">IF(B796="",0,IF(COUNTIF($B$6:$B$860,B796)&gt;1,1,0))</f>
        <v>0</v>
      </c>
      <c r="AX796" s="269" t="str">
        <f aca="false">IF(AY796=1,DATE(YEAR(O796),MONTH(O796),1),"")</f>
        <v/>
      </c>
      <c r="AY796" s="1" t="n">
        <f aca="false">IF(B796="",0,IF(AND(ISNUMBER(O796),ISNUMBER(P796)),IF(P796&gt;=O796,1,0),0))</f>
        <v>0</v>
      </c>
      <c r="AZ796" s="1" t="n">
        <f aca="false">IF(ISNUMBER(Y796),Y796,0)</f>
        <v>0</v>
      </c>
      <c r="BA796" s="1" t="str">
        <f aca="false">IF(B796="","",IF(AND(R796="WON",AS796=0),"⛔ Beleg fehlt · ","")&amp;IF(AND(R796="WON",AR796=0),"⛔ Einstand fehlt · ","")&amp;IF(AND(R796&lt;&gt;"WON",AR796=0),"○ Einstand offen · ","")&amp;IF(AND(R796="WON",AB796=""),"⛔ Vertragsart fehlt · ","")&amp;IF(AND(ISNUMBER(O796),ISNUMBER(P796)),IF(P796&lt;O796,"⚠ Ende vor Start · ",""),"")&amp;IF(AND(R796="WON",AY796=0,NOT(AND(ISNUMBER(O796),ISNUMBER(P796)))),"⛔ Zeitraum fehlt · ","")&amp;IF(AND(R796&lt;&gt;"WON",AY796=0,NOT(AND(ISNUMBER(O796),ISNUMBER(P796)))),"○ Zeitraum offen · ",""))</f>
        <v/>
      </c>
      <c r="BB796" s="1" t="str">
        <f aca="false">IF(B796="","",IF(AND(R796="WON",AS796=0),"⛔ Nachweis fehlt",IF(AND(ISNUMBER(O796),ISNUMBER(P796),P796&lt;O796),"⚠ Ende vor Start",IF(AND(R796="WON",AY796=0),"⛔ Zeitraum fehlt",IF(AR796=0,"○ Einstand offen",IF(AY796=0,"○ Zeitraum offen",IF(R796="WON","✅ belegt","✔ erfasst")))))))</f>
        <v/>
      </c>
    </row>
    <row r="797" customFormat="false" ht="15" hidden="false" customHeight="true" outlineLevel="0" collapsed="false">
      <c r="G797" s="1" t="str">
        <f aca="false">IF(B797="","",IF(AY797=1,P797-O797+1,IF(AW797="","",AW797)))</f>
        <v/>
      </c>
      <c r="I797" s="270"/>
      <c r="J797" s="270"/>
      <c r="K797" s="270"/>
      <c r="L797" s="270"/>
      <c r="M797" s="270"/>
      <c r="N797" s="270"/>
      <c r="O797" s="263"/>
      <c r="P797" s="263"/>
      <c r="Q797" s="270" t="str">
        <f aca="false">IF(AND(ISNUMBER(I797),ISNUMBER(S797)),I797*AJ797,IF(OR(I797&lt;&gt;"",S797&lt;&gt;""),"tbd",""))</f>
        <v/>
      </c>
      <c r="S797" s="268"/>
      <c r="Y797" s="275" t="str">
        <f aca="false">IF(ISNUMBER(I797),I797/Netto_Faktor,"")</f>
        <v/>
      </c>
      <c r="Z797" s="275" t="str">
        <f aca="false">IF(B797="","",IF(COUNT(J797:N797)=0,"",SUM(J797:N797)))</f>
        <v/>
      </c>
      <c r="AA797" s="266"/>
      <c r="AB797" s="266"/>
      <c r="AC797" s="266"/>
      <c r="AD797" s="266"/>
      <c r="AE797" s="266"/>
      <c r="AF797" s="266"/>
      <c r="AG797" s="267"/>
      <c r="AH797" s="266" t="str">
        <f aca="false">IF(B797="","",IF(BA797="",IF(R797="WON","✅ belegt &amp; vollständig","✔ vollständig"),LEFT(BA797,LEN(BA797)-3)))</f>
        <v/>
      </c>
      <c r="AJ797" s="268" t="n">
        <f aca="false">IF(ISNUMBER(S797),IFERROR(LOOKUP(IF(S797&lt;=1,S797,S797/100),'⚖️ Wahrscheinlichkeit'!$B$17:$B$21,'⚖️ Wahrscheinlichkeit'!$D$17:$D$21),0),0)</f>
        <v>0</v>
      </c>
      <c r="AK797" s="1" t="str">
        <f aca="false">IF(AND(R797="WON",ISNUMBER(I797)),AL797+(861-ROW())*0.000001,"")</f>
        <v/>
      </c>
      <c r="AL797" s="1" t="n">
        <f aca="false">IFERROR(I797*1,0)</f>
        <v>0</v>
      </c>
      <c r="AM797" s="1" t="n">
        <f aca="false">N(AM796)+IF(AND(R797="WON",B797&lt;&gt;""),1,0)</f>
        <v>12</v>
      </c>
      <c r="AN797" s="1" t="n">
        <f aca="false">N(AN796)+IF(AND(OR(R797="offered",R797="to be offered",R797="on hold"),B797&lt;&gt;""),1,0)</f>
        <v>33</v>
      </c>
      <c r="AO797" s="1" t="n">
        <f aca="false">N(AO796)+IF(AND(OR(R797="follow-up",R797="Evaluation",R797="tbd",R797="In evaluation"),B797&lt;&gt;""),1,0)</f>
        <v>1</v>
      </c>
      <c r="AP797" s="1" t="n">
        <f aca="false">IF(B797="",0,IF(COUNTIF('⚖️ Wahrscheinlichkeit'!$J$17:$J$24,R797)&gt;0,1,0))</f>
        <v>0</v>
      </c>
      <c r="AQ797" s="1" t="n">
        <f aca="false">IF(B797="",0,IF(AND(ISNUMBER(S797),COUNTIF('⚖️ Wahrscheinlichkeit'!$B$6:$B$11,S797)&gt;0),1,0))</f>
        <v>0</v>
      </c>
      <c r="AR797" s="1" t="n">
        <f aca="false">IF(B797="",0,IF(AND(COUNT(J797:M797)=4,SUM(J797:M797)&gt;0),1,0))</f>
        <v>0</v>
      </c>
      <c r="AS797" s="1" t="n">
        <f aca="false">IF(B797="",0,IF(AND(AF797&lt;&gt;"",AG797&lt;&gt;""),1,0))</f>
        <v>0</v>
      </c>
      <c r="AT797" s="1" t="n">
        <f aca="false">IF(AND(R797="WON",AS797=1,AR797=1),1,0)</f>
        <v>0</v>
      </c>
      <c r="AU797" s="1" t="n">
        <f aca="false">IF(B797="",0,IF(AD797="Alternative – zählt nicht",0,1))</f>
        <v>0</v>
      </c>
      <c r="AV797" s="1" t="n">
        <f aca="false">IF(B797="",0,IF(COUNTIF($B$6:$B$860,B797)&gt;1,1,0))</f>
        <v>0</v>
      </c>
      <c r="AX797" s="269" t="str">
        <f aca="false">IF(AY797=1,DATE(YEAR(O797),MONTH(O797),1),"")</f>
        <v/>
      </c>
      <c r="AY797" s="1" t="n">
        <f aca="false">IF(B797="",0,IF(AND(ISNUMBER(O797),ISNUMBER(P797)),IF(P797&gt;=O797,1,0),0))</f>
        <v>0</v>
      </c>
      <c r="AZ797" s="1" t="n">
        <f aca="false">IF(ISNUMBER(Y797),Y797,0)</f>
        <v>0</v>
      </c>
      <c r="BA797" s="1" t="str">
        <f aca="false">IF(B797="","",IF(AND(R797="WON",AS797=0),"⛔ Beleg fehlt · ","")&amp;IF(AND(R797="WON",AR797=0),"⛔ Einstand fehlt · ","")&amp;IF(AND(R797&lt;&gt;"WON",AR797=0),"○ Einstand offen · ","")&amp;IF(AND(R797="WON",AB797=""),"⛔ Vertragsart fehlt · ","")&amp;IF(AND(ISNUMBER(O797),ISNUMBER(P797)),IF(P797&lt;O797,"⚠ Ende vor Start · ",""),"")&amp;IF(AND(R797="WON",AY797=0,NOT(AND(ISNUMBER(O797),ISNUMBER(P797)))),"⛔ Zeitraum fehlt · ","")&amp;IF(AND(R797&lt;&gt;"WON",AY797=0,NOT(AND(ISNUMBER(O797),ISNUMBER(P797)))),"○ Zeitraum offen · ",""))</f>
        <v/>
      </c>
      <c r="BB797" s="1" t="str">
        <f aca="false">IF(B797="","",IF(AND(R797="WON",AS797=0),"⛔ Nachweis fehlt",IF(AND(ISNUMBER(O797),ISNUMBER(P797),P797&lt;O797),"⚠ Ende vor Start",IF(AND(R797="WON",AY797=0),"⛔ Zeitraum fehlt",IF(AR797=0,"○ Einstand offen",IF(AY797=0,"○ Zeitraum offen",IF(R797="WON","✅ belegt","✔ erfasst")))))))</f>
        <v/>
      </c>
    </row>
    <row r="798" customFormat="false" ht="15" hidden="false" customHeight="true" outlineLevel="0" collapsed="false">
      <c r="G798" s="1" t="str">
        <f aca="false">IF(B798="","",IF(AY798=1,P798-O798+1,IF(AW798="","",AW798)))</f>
        <v/>
      </c>
      <c r="I798" s="270"/>
      <c r="J798" s="270"/>
      <c r="K798" s="270"/>
      <c r="L798" s="270"/>
      <c r="M798" s="270"/>
      <c r="N798" s="270"/>
      <c r="O798" s="263"/>
      <c r="P798" s="263"/>
      <c r="Q798" s="270" t="str">
        <f aca="false">IF(AND(ISNUMBER(I798),ISNUMBER(S798)),I798*AJ798,IF(OR(I798&lt;&gt;"",S798&lt;&gt;""),"tbd",""))</f>
        <v/>
      </c>
      <c r="S798" s="268"/>
      <c r="Y798" s="275" t="str">
        <f aca="false">IF(ISNUMBER(I798),I798/Netto_Faktor,"")</f>
        <v/>
      </c>
      <c r="Z798" s="275" t="str">
        <f aca="false">IF(B798="","",IF(COUNT(J798:N798)=0,"",SUM(J798:N798)))</f>
        <v/>
      </c>
      <c r="AA798" s="266"/>
      <c r="AB798" s="266"/>
      <c r="AC798" s="266"/>
      <c r="AD798" s="266"/>
      <c r="AE798" s="266"/>
      <c r="AF798" s="266"/>
      <c r="AG798" s="267"/>
      <c r="AH798" s="266" t="str">
        <f aca="false">IF(B798="","",IF(BA798="",IF(R798="WON","✅ belegt &amp; vollständig","✔ vollständig"),LEFT(BA798,LEN(BA798)-3)))</f>
        <v/>
      </c>
      <c r="AJ798" s="268" t="n">
        <f aca="false">IF(ISNUMBER(S798),IFERROR(LOOKUP(IF(S798&lt;=1,S798,S798/100),'⚖️ Wahrscheinlichkeit'!$B$17:$B$21,'⚖️ Wahrscheinlichkeit'!$D$17:$D$21),0),0)</f>
        <v>0</v>
      </c>
      <c r="AK798" s="1" t="str">
        <f aca="false">IF(AND(R798="WON",ISNUMBER(I798)),AL798+(861-ROW())*0.000001,"")</f>
        <v/>
      </c>
      <c r="AL798" s="1" t="n">
        <f aca="false">IFERROR(I798*1,0)</f>
        <v>0</v>
      </c>
      <c r="AM798" s="1" t="n">
        <f aca="false">N(AM797)+IF(AND(R798="WON",B798&lt;&gt;""),1,0)</f>
        <v>12</v>
      </c>
      <c r="AN798" s="1" t="n">
        <f aca="false">N(AN797)+IF(AND(OR(R798="offered",R798="to be offered",R798="on hold"),B798&lt;&gt;""),1,0)</f>
        <v>33</v>
      </c>
      <c r="AO798" s="1" t="n">
        <f aca="false">N(AO797)+IF(AND(OR(R798="follow-up",R798="Evaluation",R798="tbd",R798="In evaluation"),B798&lt;&gt;""),1,0)</f>
        <v>1</v>
      </c>
      <c r="AP798" s="1" t="n">
        <f aca="false">IF(B798="",0,IF(COUNTIF('⚖️ Wahrscheinlichkeit'!$J$17:$J$24,R798)&gt;0,1,0))</f>
        <v>0</v>
      </c>
      <c r="AQ798" s="1" t="n">
        <f aca="false">IF(B798="",0,IF(AND(ISNUMBER(S798),COUNTIF('⚖️ Wahrscheinlichkeit'!$B$6:$B$11,S798)&gt;0),1,0))</f>
        <v>0</v>
      </c>
      <c r="AR798" s="1" t="n">
        <f aca="false">IF(B798="",0,IF(AND(COUNT(J798:M798)=4,SUM(J798:M798)&gt;0),1,0))</f>
        <v>0</v>
      </c>
      <c r="AS798" s="1" t="n">
        <f aca="false">IF(B798="",0,IF(AND(AF798&lt;&gt;"",AG798&lt;&gt;""),1,0))</f>
        <v>0</v>
      </c>
      <c r="AT798" s="1" t="n">
        <f aca="false">IF(AND(R798="WON",AS798=1,AR798=1),1,0)</f>
        <v>0</v>
      </c>
      <c r="AU798" s="1" t="n">
        <f aca="false">IF(B798="",0,IF(AD798="Alternative – zählt nicht",0,1))</f>
        <v>0</v>
      </c>
      <c r="AV798" s="1" t="n">
        <f aca="false">IF(B798="",0,IF(COUNTIF($B$6:$B$860,B798)&gt;1,1,0))</f>
        <v>0</v>
      </c>
      <c r="AX798" s="269" t="str">
        <f aca="false">IF(AY798=1,DATE(YEAR(O798),MONTH(O798),1),"")</f>
        <v/>
      </c>
      <c r="AY798" s="1" t="n">
        <f aca="false">IF(B798="",0,IF(AND(ISNUMBER(O798),ISNUMBER(P798)),IF(P798&gt;=O798,1,0),0))</f>
        <v>0</v>
      </c>
      <c r="AZ798" s="1" t="n">
        <f aca="false">IF(ISNUMBER(Y798),Y798,0)</f>
        <v>0</v>
      </c>
      <c r="BA798" s="1" t="str">
        <f aca="false">IF(B798="","",IF(AND(R798="WON",AS798=0),"⛔ Beleg fehlt · ","")&amp;IF(AND(R798="WON",AR798=0),"⛔ Einstand fehlt · ","")&amp;IF(AND(R798&lt;&gt;"WON",AR798=0),"○ Einstand offen · ","")&amp;IF(AND(R798="WON",AB798=""),"⛔ Vertragsart fehlt · ","")&amp;IF(AND(ISNUMBER(O798),ISNUMBER(P798)),IF(P798&lt;O798,"⚠ Ende vor Start · ",""),"")&amp;IF(AND(R798="WON",AY798=0,NOT(AND(ISNUMBER(O798),ISNUMBER(P798)))),"⛔ Zeitraum fehlt · ","")&amp;IF(AND(R798&lt;&gt;"WON",AY798=0,NOT(AND(ISNUMBER(O798),ISNUMBER(P798)))),"○ Zeitraum offen · ",""))</f>
        <v/>
      </c>
      <c r="BB798" s="1" t="str">
        <f aca="false">IF(B798="","",IF(AND(R798="WON",AS798=0),"⛔ Nachweis fehlt",IF(AND(ISNUMBER(O798),ISNUMBER(P798),P798&lt;O798),"⚠ Ende vor Start",IF(AND(R798="WON",AY798=0),"⛔ Zeitraum fehlt",IF(AR798=0,"○ Einstand offen",IF(AY798=0,"○ Zeitraum offen",IF(R798="WON","✅ belegt","✔ erfasst")))))))</f>
        <v/>
      </c>
    </row>
    <row r="799" customFormat="false" ht="15" hidden="false" customHeight="true" outlineLevel="0" collapsed="false">
      <c r="G799" s="1" t="str">
        <f aca="false">IF(B799="","",IF(AY799=1,P799-O799+1,IF(AW799="","",AW799)))</f>
        <v/>
      </c>
      <c r="I799" s="270"/>
      <c r="J799" s="270"/>
      <c r="K799" s="270"/>
      <c r="L799" s="270"/>
      <c r="M799" s="270"/>
      <c r="N799" s="270"/>
      <c r="O799" s="263"/>
      <c r="P799" s="263"/>
      <c r="Q799" s="270" t="str">
        <f aca="false">IF(AND(ISNUMBER(I799),ISNUMBER(S799)),I799*AJ799,IF(OR(I799&lt;&gt;"",S799&lt;&gt;""),"tbd",""))</f>
        <v/>
      </c>
      <c r="S799" s="268"/>
      <c r="Y799" s="275" t="str">
        <f aca="false">IF(ISNUMBER(I799),I799/Netto_Faktor,"")</f>
        <v/>
      </c>
      <c r="Z799" s="275" t="str">
        <f aca="false">IF(B799="","",IF(COUNT(J799:N799)=0,"",SUM(J799:N799)))</f>
        <v/>
      </c>
      <c r="AA799" s="266"/>
      <c r="AB799" s="266"/>
      <c r="AC799" s="266"/>
      <c r="AD799" s="266"/>
      <c r="AE799" s="266"/>
      <c r="AF799" s="266"/>
      <c r="AG799" s="267"/>
      <c r="AH799" s="266" t="str">
        <f aca="false">IF(B799="","",IF(BA799="",IF(R799="WON","✅ belegt &amp; vollständig","✔ vollständig"),LEFT(BA799,LEN(BA799)-3)))</f>
        <v/>
      </c>
      <c r="AJ799" s="268" t="n">
        <f aca="false">IF(ISNUMBER(S799),IFERROR(LOOKUP(IF(S799&lt;=1,S799,S799/100),'⚖️ Wahrscheinlichkeit'!$B$17:$B$21,'⚖️ Wahrscheinlichkeit'!$D$17:$D$21),0),0)</f>
        <v>0</v>
      </c>
      <c r="AK799" s="1" t="str">
        <f aca="false">IF(AND(R799="WON",ISNUMBER(I799)),AL799+(861-ROW())*0.000001,"")</f>
        <v/>
      </c>
      <c r="AL799" s="1" t="n">
        <f aca="false">IFERROR(I799*1,0)</f>
        <v>0</v>
      </c>
      <c r="AM799" s="1" t="n">
        <f aca="false">N(AM798)+IF(AND(R799="WON",B799&lt;&gt;""),1,0)</f>
        <v>12</v>
      </c>
      <c r="AN799" s="1" t="n">
        <f aca="false">N(AN798)+IF(AND(OR(R799="offered",R799="to be offered",R799="on hold"),B799&lt;&gt;""),1,0)</f>
        <v>33</v>
      </c>
      <c r="AO799" s="1" t="n">
        <f aca="false">N(AO798)+IF(AND(OR(R799="follow-up",R799="Evaluation",R799="tbd",R799="In evaluation"),B799&lt;&gt;""),1,0)</f>
        <v>1</v>
      </c>
      <c r="AP799" s="1" t="n">
        <f aca="false">IF(B799="",0,IF(COUNTIF('⚖️ Wahrscheinlichkeit'!$J$17:$J$24,R799)&gt;0,1,0))</f>
        <v>0</v>
      </c>
      <c r="AQ799" s="1" t="n">
        <f aca="false">IF(B799="",0,IF(AND(ISNUMBER(S799),COUNTIF('⚖️ Wahrscheinlichkeit'!$B$6:$B$11,S799)&gt;0),1,0))</f>
        <v>0</v>
      </c>
      <c r="AR799" s="1" t="n">
        <f aca="false">IF(B799="",0,IF(AND(COUNT(J799:M799)=4,SUM(J799:M799)&gt;0),1,0))</f>
        <v>0</v>
      </c>
      <c r="AS799" s="1" t="n">
        <f aca="false">IF(B799="",0,IF(AND(AF799&lt;&gt;"",AG799&lt;&gt;""),1,0))</f>
        <v>0</v>
      </c>
      <c r="AT799" s="1" t="n">
        <f aca="false">IF(AND(R799="WON",AS799=1,AR799=1),1,0)</f>
        <v>0</v>
      </c>
      <c r="AU799" s="1" t="n">
        <f aca="false">IF(B799="",0,IF(AD799="Alternative – zählt nicht",0,1))</f>
        <v>0</v>
      </c>
      <c r="AV799" s="1" t="n">
        <f aca="false">IF(B799="",0,IF(COUNTIF($B$6:$B$860,B799)&gt;1,1,0))</f>
        <v>0</v>
      </c>
      <c r="AX799" s="269" t="str">
        <f aca="false">IF(AY799=1,DATE(YEAR(O799),MONTH(O799),1),"")</f>
        <v/>
      </c>
      <c r="AY799" s="1" t="n">
        <f aca="false">IF(B799="",0,IF(AND(ISNUMBER(O799),ISNUMBER(P799)),IF(P799&gt;=O799,1,0),0))</f>
        <v>0</v>
      </c>
      <c r="AZ799" s="1" t="n">
        <f aca="false">IF(ISNUMBER(Y799),Y799,0)</f>
        <v>0</v>
      </c>
      <c r="BA799" s="1" t="str">
        <f aca="false">IF(B799="","",IF(AND(R799="WON",AS799=0),"⛔ Beleg fehlt · ","")&amp;IF(AND(R799="WON",AR799=0),"⛔ Einstand fehlt · ","")&amp;IF(AND(R799&lt;&gt;"WON",AR799=0),"○ Einstand offen · ","")&amp;IF(AND(R799="WON",AB799=""),"⛔ Vertragsart fehlt · ","")&amp;IF(AND(ISNUMBER(O799),ISNUMBER(P799)),IF(P799&lt;O799,"⚠ Ende vor Start · ",""),"")&amp;IF(AND(R799="WON",AY799=0,NOT(AND(ISNUMBER(O799),ISNUMBER(P799)))),"⛔ Zeitraum fehlt · ","")&amp;IF(AND(R799&lt;&gt;"WON",AY799=0,NOT(AND(ISNUMBER(O799),ISNUMBER(P799)))),"○ Zeitraum offen · ",""))</f>
        <v/>
      </c>
      <c r="BB799" s="1" t="str">
        <f aca="false">IF(B799="","",IF(AND(R799="WON",AS799=0),"⛔ Nachweis fehlt",IF(AND(ISNUMBER(O799),ISNUMBER(P799),P799&lt;O799),"⚠ Ende vor Start",IF(AND(R799="WON",AY799=0),"⛔ Zeitraum fehlt",IF(AR799=0,"○ Einstand offen",IF(AY799=0,"○ Zeitraum offen",IF(R799="WON","✅ belegt","✔ erfasst")))))))</f>
        <v/>
      </c>
    </row>
    <row r="800" customFormat="false" ht="15" hidden="false" customHeight="true" outlineLevel="0" collapsed="false">
      <c r="G800" s="1" t="str">
        <f aca="false">IF(B800="","",IF(AY800=1,P800-O800+1,IF(AW800="","",AW800)))</f>
        <v/>
      </c>
      <c r="I800" s="270"/>
      <c r="J800" s="270"/>
      <c r="K800" s="270"/>
      <c r="L800" s="270"/>
      <c r="M800" s="270"/>
      <c r="N800" s="270"/>
      <c r="O800" s="263"/>
      <c r="P800" s="263"/>
      <c r="Q800" s="270" t="str">
        <f aca="false">IF(AND(ISNUMBER(I800),ISNUMBER(S800)),I800*AJ800,IF(OR(I800&lt;&gt;"",S800&lt;&gt;""),"tbd",""))</f>
        <v/>
      </c>
      <c r="S800" s="268"/>
      <c r="Y800" s="275" t="str">
        <f aca="false">IF(ISNUMBER(I800),I800/Netto_Faktor,"")</f>
        <v/>
      </c>
      <c r="Z800" s="275" t="str">
        <f aca="false">IF(B800="","",IF(COUNT(J800:N800)=0,"",SUM(J800:N800)))</f>
        <v/>
      </c>
      <c r="AA800" s="266"/>
      <c r="AB800" s="266"/>
      <c r="AC800" s="266"/>
      <c r="AD800" s="266"/>
      <c r="AE800" s="266"/>
      <c r="AF800" s="266"/>
      <c r="AG800" s="267"/>
      <c r="AH800" s="266" t="str">
        <f aca="false">IF(B800="","",IF(BA800="",IF(R800="WON","✅ belegt &amp; vollständig","✔ vollständig"),LEFT(BA800,LEN(BA800)-3)))</f>
        <v/>
      </c>
      <c r="AJ800" s="268" t="n">
        <f aca="false">IF(ISNUMBER(S800),IFERROR(LOOKUP(IF(S800&lt;=1,S800,S800/100),'⚖️ Wahrscheinlichkeit'!$B$17:$B$21,'⚖️ Wahrscheinlichkeit'!$D$17:$D$21),0),0)</f>
        <v>0</v>
      </c>
      <c r="AK800" s="1" t="str">
        <f aca="false">IF(AND(R800="WON",ISNUMBER(I800)),AL800+(861-ROW())*0.000001,"")</f>
        <v/>
      </c>
      <c r="AL800" s="1" t="n">
        <f aca="false">IFERROR(I800*1,0)</f>
        <v>0</v>
      </c>
      <c r="AM800" s="1" t="n">
        <f aca="false">N(AM799)+IF(AND(R800="WON",B800&lt;&gt;""),1,0)</f>
        <v>12</v>
      </c>
      <c r="AN800" s="1" t="n">
        <f aca="false">N(AN799)+IF(AND(OR(R800="offered",R800="to be offered",R800="on hold"),B800&lt;&gt;""),1,0)</f>
        <v>33</v>
      </c>
      <c r="AO800" s="1" t="n">
        <f aca="false">N(AO799)+IF(AND(OR(R800="follow-up",R800="Evaluation",R800="tbd",R800="In evaluation"),B800&lt;&gt;""),1,0)</f>
        <v>1</v>
      </c>
      <c r="AP800" s="1" t="n">
        <f aca="false">IF(B800="",0,IF(COUNTIF('⚖️ Wahrscheinlichkeit'!$J$17:$J$24,R800)&gt;0,1,0))</f>
        <v>0</v>
      </c>
      <c r="AQ800" s="1" t="n">
        <f aca="false">IF(B800="",0,IF(AND(ISNUMBER(S800),COUNTIF('⚖️ Wahrscheinlichkeit'!$B$6:$B$11,S800)&gt;0),1,0))</f>
        <v>0</v>
      </c>
      <c r="AR800" s="1" t="n">
        <f aca="false">IF(B800="",0,IF(AND(COUNT(J800:M800)=4,SUM(J800:M800)&gt;0),1,0))</f>
        <v>0</v>
      </c>
      <c r="AS800" s="1" t="n">
        <f aca="false">IF(B800="",0,IF(AND(AF800&lt;&gt;"",AG800&lt;&gt;""),1,0))</f>
        <v>0</v>
      </c>
      <c r="AT800" s="1" t="n">
        <f aca="false">IF(AND(R800="WON",AS800=1,AR800=1),1,0)</f>
        <v>0</v>
      </c>
      <c r="AU800" s="1" t="n">
        <f aca="false">IF(B800="",0,IF(AD800="Alternative – zählt nicht",0,1))</f>
        <v>0</v>
      </c>
      <c r="AV800" s="1" t="n">
        <f aca="false">IF(B800="",0,IF(COUNTIF($B$6:$B$860,B800)&gt;1,1,0))</f>
        <v>0</v>
      </c>
      <c r="AX800" s="269" t="str">
        <f aca="false">IF(AY800=1,DATE(YEAR(O800),MONTH(O800),1),"")</f>
        <v/>
      </c>
      <c r="AY800" s="1" t="n">
        <f aca="false">IF(B800="",0,IF(AND(ISNUMBER(O800),ISNUMBER(P800)),IF(P800&gt;=O800,1,0),0))</f>
        <v>0</v>
      </c>
      <c r="AZ800" s="1" t="n">
        <f aca="false">IF(ISNUMBER(Y800),Y800,0)</f>
        <v>0</v>
      </c>
      <c r="BA800" s="1" t="str">
        <f aca="false">IF(B800="","",IF(AND(R800="WON",AS800=0),"⛔ Beleg fehlt · ","")&amp;IF(AND(R800="WON",AR800=0),"⛔ Einstand fehlt · ","")&amp;IF(AND(R800&lt;&gt;"WON",AR800=0),"○ Einstand offen · ","")&amp;IF(AND(R800="WON",AB800=""),"⛔ Vertragsart fehlt · ","")&amp;IF(AND(ISNUMBER(O800),ISNUMBER(P800)),IF(P800&lt;O800,"⚠ Ende vor Start · ",""),"")&amp;IF(AND(R800="WON",AY800=0,NOT(AND(ISNUMBER(O800),ISNUMBER(P800)))),"⛔ Zeitraum fehlt · ","")&amp;IF(AND(R800&lt;&gt;"WON",AY800=0,NOT(AND(ISNUMBER(O800),ISNUMBER(P800)))),"○ Zeitraum offen · ",""))</f>
        <v/>
      </c>
      <c r="BB800" s="1" t="str">
        <f aca="false">IF(B800="","",IF(AND(R800="WON",AS800=0),"⛔ Nachweis fehlt",IF(AND(ISNUMBER(O800),ISNUMBER(P800),P800&lt;O800),"⚠ Ende vor Start",IF(AND(R800="WON",AY800=0),"⛔ Zeitraum fehlt",IF(AR800=0,"○ Einstand offen",IF(AY800=0,"○ Zeitraum offen",IF(R800="WON","✅ belegt","✔ erfasst")))))))</f>
        <v/>
      </c>
    </row>
    <row r="801" customFormat="false" ht="15" hidden="false" customHeight="true" outlineLevel="0" collapsed="false">
      <c r="G801" s="1" t="str">
        <f aca="false">IF(B801="","",IF(AY801=1,P801-O801+1,IF(AW801="","",AW801)))</f>
        <v/>
      </c>
      <c r="I801" s="270"/>
      <c r="J801" s="270"/>
      <c r="K801" s="270"/>
      <c r="L801" s="270"/>
      <c r="M801" s="270"/>
      <c r="N801" s="270"/>
      <c r="O801" s="263"/>
      <c r="P801" s="263"/>
      <c r="Q801" s="270" t="str">
        <f aca="false">IF(AND(ISNUMBER(I801),ISNUMBER(S801)),I801*AJ801,IF(OR(I801&lt;&gt;"",S801&lt;&gt;""),"tbd",""))</f>
        <v/>
      </c>
      <c r="S801" s="268"/>
      <c r="Y801" s="275" t="str">
        <f aca="false">IF(ISNUMBER(I801),I801/Netto_Faktor,"")</f>
        <v/>
      </c>
      <c r="Z801" s="275" t="str">
        <f aca="false">IF(B801="","",IF(COUNT(J801:N801)=0,"",SUM(J801:N801)))</f>
        <v/>
      </c>
      <c r="AA801" s="266"/>
      <c r="AB801" s="266"/>
      <c r="AC801" s="266"/>
      <c r="AD801" s="266"/>
      <c r="AE801" s="266"/>
      <c r="AF801" s="266"/>
      <c r="AG801" s="267"/>
      <c r="AH801" s="266" t="str">
        <f aca="false">IF(B801="","",IF(BA801="",IF(R801="WON","✅ belegt &amp; vollständig","✔ vollständig"),LEFT(BA801,LEN(BA801)-3)))</f>
        <v/>
      </c>
      <c r="AJ801" s="268" t="n">
        <f aca="false">IF(ISNUMBER(S801),IFERROR(LOOKUP(IF(S801&lt;=1,S801,S801/100),'⚖️ Wahrscheinlichkeit'!$B$17:$B$21,'⚖️ Wahrscheinlichkeit'!$D$17:$D$21),0),0)</f>
        <v>0</v>
      </c>
      <c r="AK801" s="1" t="str">
        <f aca="false">IF(AND(R801="WON",ISNUMBER(I801)),AL801+(861-ROW())*0.000001,"")</f>
        <v/>
      </c>
      <c r="AL801" s="1" t="n">
        <f aca="false">IFERROR(I801*1,0)</f>
        <v>0</v>
      </c>
      <c r="AM801" s="1" t="n">
        <f aca="false">N(AM800)+IF(AND(R801="WON",B801&lt;&gt;""),1,0)</f>
        <v>12</v>
      </c>
      <c r="AN801" s="1" t="n">
        <f aca="false">N(AN800)+IF(AND(OR(R801="offered",R801="to be offered",R801="on hold"),B801&lt;&gt;""),1,0)</f>
        <v>33</v>
      </c>
      <c r="AO801" s="1" t="n">
        <f aca="false">N(AO800)+IF(AND(OR(R801="follow-up",R801="Evaluation",R801="tbd",R801="In evaluation"),B801&lt;&gt;""),1,0)</f>
        <v>1</v>
      </c>
      <c r="AP801" s="1" t="n">
        <f aca="false">IF(B801="",0,IF(COUNTIF('⚖️ Wahrscheinlichkeit'!$J$17:$J$24,R801)&gt;0,1,0))</f>
        <v>0</v>
      </c>
      <c r="AQ801" s="1" t="n">
        <f aca="false">IF(B801="",0,IF(AND(ISNUMBER(S801),COUNTIF('⚖️ Wahrscheinlichkeit'!$B$6:$B$11,S801)&gt;0),1,0))</f>
        <v>0</v>
      </c>
      <c r="AR801" s="1" t="n">
        <f aca="false">IF(B801="",0,IF(AND(COUNT(J801:M801)=4,SUM(J801:M801)&gt;0),1,0))</f>
        <v>0</v>
      </c>
      <c r="AS801" s="1" t="n">
        <f aca="false">IF(B801="",0,IF(AND(AF801&lt;&gt;"",AG801&lt;&gt;""),1,0))</f>
        <v>0</v>
      </c>
      <c r="AT801" s="1" t="n">
        <f aca="false">IF(AND(R801="WON",AS801=1,AR801=1),1,0)</f>
        <v>0</v>
      </c>
      <c r="AU801" s="1" t="n">
        <f aca="false">IF(B801="",0,IF(AD801="Alternative – zählt nicht",0,1))</f>
        <v>0</v>
      </c>
      <c r="AV801" s="1" t="n">
        <f aca="false">IF(B801="",0,IF(COUNTIF($B$6:$B$860,B801)&gt;1,1,0))</f>
        <v>0</v>
      </c>
      <c r="AX801" s="269" t="str">
        <f aca="false">IF(AY801=1,DATE(YEAR(O801),MONTH(O801),1),"")</f>
        <v/>
      </c>
      <c r="AY801" s="1" t="n">
        <f aca="false">IF(B801="",0,IF(AND(ISNUMBER(O801),ISNUMBER(P801)),IF(P801&gt;=O801,1,0),0))</f>
        <v>0</v>
      </c>
      <c r="AZ801" s="1" t="n">
        <f aca="false">IF(ISNUMBER(Y801),Y801,0)</f>
        <v>0</v>
      </c>
      <c r="BA801" s="1" t="str">
        <f aca="false">IF(B801="","",IF(AND(R801="WON",AS801=0),"⛔ Beleg fehlt · ","")&amp;IF(AND(R801="WON",AR801=0),"⛔ Einstand fehlt · ","")&amp;IF(AND(R801&lt;&gt;"WON",AR801=0),"○ Einstand offen · ","")&amp;IF(AND(R801="WON",AB801=""),"⛔ Vertragsart fehlt · ","")&amp;IF(AND(ISNUMBER(O801),ISNUMBER(P801)),IF(P801&lt;O801,"⚠ Ende vor Start · ",""),"")&amp;IF(AND(R801="WON",AY801=0,NOT(AND(ISNUMBER(O801),ISNUMBER(P801)))),"⛔ Zeitraum fehlt · ","")&amp;IF(AND(R801&lt;&gt;"WON",AY801=0,NOT(AND(ISNUMBER(O801),ISNUMBER(P801)))),"○ Zeitraum offen · ",""))</f>
        <v/>
      </c>
      <c r="BB801" s="1" t="str">
        <f aca="false">IF(B801="","",IF(AND(R801="WON",AS801=0),"⛔ Nachweis fehlt",IF(AND(ISNUMBER(O801),ISNUMBER(P801),P801&lt;O801),"⚠ Ende vor Start",IF(AND(R801="WON",AY801=0),"⛔ Zeitraum fehlt",IF(AR801=0,"○ Einstand offen",IF(AY801=0,"○ Zeitraum offen",IF(R801="WON","✅ belegt","✔ erfasst")))))))</f>
        <v/>
      </c>
    </row>
    <row r="802" customFormat="false" ht="15" hidden="false" customHeight="true" outlineLevel="0" collapsed="false">
      <c r="G802" s="1" t="str">
        <f aca="false">IF(B802="","",IF(AY802=1,P802-O802+1,IF(AW802="","",AW802)))</f>
        <v/>
      </c>
      <c r="I802" s="270"/>
      <c r="J802" s="270"/>
      <c r="K802" s="270"/>
      <c r="L802" s="270"/>
      <c r="M802" s="270"/>
      <c r="N802" s="270"/>
      <c r="O802" s="263"/>
      <c r="P802" s="263"/>
      <c r="Q802" s="270" t="str">
        <f aca="false">IF(AND(ISNUMBER(I802),ISNUMBER(S802)),I802*AJ802,IF(OR(I802&lt;&gt;"",S802&lt;&gt;""),"tbd",""))</f>
        <v/>
      </c>
      <c r="S802" s="268"/>
      <c r="Y802" s="275" t="str">
        <f aca="false">IF(ISNUMBER(I802),I802/Netto_Faktor,"")</f>
        <v/>
      </c>
      <c r="Z802" s="275" t="str">
        <f aca="false">IF(B802="","",IF(COUNT(J802:N802)=0,"",SUM(J802:N802)))</f>
        <v/>
      </c>
      <c r="AA802" s="266"/>
      <c r="AB802" s="266"/>
      <c r="AC802" s="266"/>
      <c r="AD802" s="266"/>
      <c r="AE802" s="266"/>
      <c r="AF802" s="266"/>
      <c r="AG802" s="267"/>
      <c r="AH802" s="266" t="str">
        <f aca="false">IF(B802="","",IF(BA802="",IF(R802="WON","✅ belegt &amp; vollständig","✔ vollständig"),LEFT(BA802,LEN(BA802)-3)))</f>
        <v/>
      </c>
      <c r="AJ802" s="268" t="n">
        <f aca="false">IF(ISNUMBER(S802),IFERROR(LOOKUP(IF(S802&lt;=1,S802,S802/100),'⚖️ Wahrscheinlichkeit'!$B$17:$B$21,'⚖️ Wahrscheinlichkeit'!$D$17:$D$21),0),0)</f>
        <v>0</v>
      </c>
      <c r="AK802" s="1" t="str">
        <f aca="false">IF(AND(R802="WON",ISNUMBER(I802)),AL802+(861-ROW())*0.000001,"")</f>
        <v/>
      </c>
      <c r="AL802" s="1" t="n">
        <f aca="false">IFERROR(I802*1,0)</f>
        <v>0</v>
      </c>
      <c r="AM802" s="1" t="n">
        <f aca="false">N(AM801)+IF(AND(R802="WON",B802&lt;&gt;""),1,0)</f>
        <v>12</v>
      </c>
      <c r="AN802" s="1" t="n">
        <f aca="false">N(AN801)+IF(AND(OR(R802="offered",R802="to be offered",R802="on hold"),B802&lt;&gt;""),1,0)</f>
        <v>33</v>
      </c>
      <c r="AO802" s="1" t="n">
        <f aca="false">N(AO801)+IF(AND(OR(R802="follow-up",R802="Evaluation",R802="tbd",R802="In evaluation"),B802&lt;&gt;""),1,0)</f>
        <v>1</v>
      </c>
      <c r="AP802" s="1" t="n">
        <f aca="false">IF(B802="",0,IF(COUNTIF('⚖️ Wahrscheinlichkeit'!$J$17:$J$24,R802)&gt;0,1,0))</f>
        <v>0</v>
      </c>
      <c r="AQ802" s="1" t="n">
        <f aca="false">IF(B802="",0,IF(AND(ISNUMBER(S802),COUNTIF('⚖️ Wahrscheinlichkeit'!$B$6:$B$11,S802)&gt;0),1,0))</f>
        <v>0</v>
      </c>
      <c r="AR802" s="1" t="n">
        <f aca="false">IF(B802="",0,IF(AND(COUNT(J802:M802)=4,SUM(J802:M802)&gt;0),1,0))</f>
        <v>0</v>
      </c>
      <c r="AS802" s="1" t="n">
        <f aca="false">IF(B802="",0,IF(AND(AF802&lt;&gt;"",AG802&lt;&gt;""),1,0))</f>
        <v>0</v>
      </c>
      <c r="AT802" s="1" t="n">
        <f aca="false">IF(AND(R802="WON",AS802=1,AR802=1),1,0)</f>
        <v>0</v>
      </c>
      <c r="AU802" s="1" t="n">
        <f aca="false">IF(B802="",0,IF(AD802="Alternative – zählt nicht",0,1))</f>
        <v>0</v>
      </c>
      <c r="AV802" s="1" t="n">
        <f aca="false">IF(B802="",0,IF(COUNTIF($B$6:$B$860,B802)&gt;1,1,0))</f>
        <v>0</v>
      </c>
      <c r="AX802" s="269" t="str">
        <f aca="false">IF(AY802=1,DATE(YEAR(O802),MONTH(O802),1),"")</f>
        <v/>
      </c>
      <c r="AY802" s="1" t="n">
        <f aca="false">IF(B802="",0,IF(AND(ISNUMBER(O802),ISNUMBER(P802)),IF(P802&gt;=O802,1,0),0))</f>
        <v>0</v>
      </c>
      <c r="AZ802" s="1" t="n">
        <f aca="false">IF(ISNUMBER(Y802),Y802,0)</f>
        <v>0</v>
      </c>
      <c r="BA802" s="1" t="str">
        <f aca="false">IF(B802="","",IF(AND(R802="WON",AS802=0),"⛔ Beleg fehlt · ","")&amp;IF(AND(R802="WON",AR802=0),"⛔ Einstand fehlt · ","")&amp;IF(AND(R802&lt;&gt;"WON",AR802=0),"○ Einstand offen · ","")&amp;IF(AND(R802="WON",AB802=""),"⛔ Vertragsart fehlt · ","")&amp;IF(AND(ISNUMBER(O802),ISNUMBER(P802)),IF(P802&lt;O802,"⚠ Ende vor Start · ",""),"")&amp;IF(AND(R802="WON",AY802=0,NOT(AND(ISNUMBER(O802),ISNUMBER(P802)))),"⛔ Zeitraum fehlt · ","")&amp;IF(AND(R802&lt;&gt;"WON",AY802=0,NOT(AND(ISNUMBER(O802),ISNUMBER(P802)))),"○ Zeitraum offen · ",""))</f>
        <v/>
      </c>
      <c r="BB802" s="1" t="str">
        <f aca="false">IF(B802="","",IF(AND(R802="WON",AS802=0),"⛔ Nachweis fehlt",IF(AND(ISNUMBER(O802),ISNUMBER(P802),P802&lt;O802),"⚠ Ende vor Start",IF(AND(R802="WON",AY802=0),"⛔ Zeitraum fehlt",IF(AR802=0,"○ Einstand offen",IF(AY802=0,"○ Zeitraum offen",IF(R802="WON","✅ belegt","✔ erfasst")))))))</f>
        <v/>
      </c>
    </row>
    <row r="803" customFormat="false" ht="15" hidden="false" customHeight="true" outlineLevel="0" collapsed="false">
      <c r="G803" s="1" t="str">
        <f aca="false">IF(B803="","",IF(AY803=1,P803-O803+1,IF(AW803="","",AW803)))</f>
        <v/>
      </c>
      <c r="I803" s="270"/>
      <c r="J803" s="270"/>
      <c r="K803" s="270"/>
      <c r="L803" s="270"/>
      <c r="M803" s="270"/>
      <c r="N803" s="270"/>
      <c r="O803" s="263"/>
      <c r="P803" s="263"/>
      <c r="Q803" s="270" t="str">
        <f aca="false">IF(AND(ISNUMBER(I803),ISNUMBER(S803)),I803*AJ803,IF(OR(I803&lt;&gt;"",S803&lt;&gt;""),"tbd",""))</f>
        <v/>
      </c>
      <c r="S803" s="268"/>
      <c r="Y803" s="275" t="str">
        <f aca="false">IF(ISNUMBER(I803),I803/Netto_Faktor,"")</f>
        <v/>
      </c>
      <c r="Z803" s="275" t="str">
        <f aca="false">IF(B803="","",IF(COUNT(J803:N803)=0,"",SUM(J803:N803)))</f>
        <v/>
      </c>
      <c r="AA803" s="266"/>
      <c r="AB803" s="266"/>
      <c r="AC803" s="266"/>
      <c r="AD803" s="266"/>
      <c r="AE803" s="266"/>
      <c r="AF803" s="266"/>
      <c r="AG803" s="267"/>
      <c r="AH803" s="266" t="str">
        <f aca="false">IF(B803="","",IF(BA803="",IF(R803="WON","✅ belegt &amp; vollständig","✔ vollständig"),LEFT(BA803,LEN(BA803)-3)))</f>
        <v/>
      </c>
      <c r="AJ803" s="268" t="n">
        <f aca="false">IF(ISNUMBER(S803),IFERROR(LOOKUP(IF(S803&lt;=1,S803,S803/100),'⚖️ Wahrscheinlichkeit'!$B$17:$B$21,'⚖️ Wahrscheinlichkeit'!$D$17:$D$21),0),0)</f>
        <v>0</v>
      </c>
      <c r="AK803" s="1" t="str">
        <f aca="false">IF(AND(R803="WON",ISNUMBER(I803)),AL803+(861-ROW())*0.000001,"")</f>
        <v/>
      </c>
      <c r="AL803" s="1" t="n">
        <f aca="false">IFERROR(I803*1,0)</f>
        <v>0</v>
      </c>
      <c r="AM803" s="1" t="n">
        <f aca="false">N(AM802)+IF(AND(R803="WON",B803&lt;&gt;""),1,0)</f>
        <v>12</v>
      </c>
      <c r="AN803" s="1" t="n">
        <f aca="false">N(AN802)+IF(AND(OR(R803="offered",R803="to be offered",R803="on hold"),B803&lt;&gt;""),1,0)</f>
        <v>33</v>
      </c>
      <c r="AO803" s="1" t="n">
        <f aca="false">N(AO802)+IF(AND(OR(R803="follow-up",R803="Evaluation",R803="tbd",R803="In evaluation"),B803&lt;&gt;""),1,0)</f>
        <v>1</v>
      </c>
      <c r="AP803" s="1" t="n">
        <f aca="false">IF(B803="",0,IF(COUNTIF('⚖️ Wahrscheinlichkeit'!$J$17:$J$24,R803)&gt;0,1,0))</f>
        <v>0</v>
      </c>
      <c r="AQ803" s="1" t="n">
        <f aca="false">IF(B803="",0,IF(AND(ISNUMBER(S803),COUNTIF('⚖️ Wahrscheinlichkeit'!$B$6:$B$11,S803)&gt;0),1,0))</f>
        <v>0</v>
      </c>
      <c r="AR803" s="1" t="n">
        <f aca="false">IF(B803="",0,IF(AND(COUNT(J803:M803)=4,SUM(J803:M803)&gt;0),1,0))</f>
        <v>0</v>
      </c>
      <c r="AS803" s="1" t="n">
        <f aca="false">IF(B803="",0,IF(AND(AF803&lt;&gt;"",AG803&lt;&gt;""),1,0))</f>
        <v>0</v>
      </c>
      <c r="AT803" s="1" t="n">
        <f aca="false">IF(AND(R803="WON",AS803=1,AR803=1),1,0)</f>
        <v>0</v>
      </c>
      <c r="AU803" s="1" t="n">
        <f aca="false">IF(B803="",0,IF(AD803="Alternative – zählt nicht",0,1))</f>
        <v>0</v>
      </c>
      <c r="AV803" s="1" t="n">
        <f aca="false">IF(B803="",0,IF(COUNTIF($B$6:$B$860,B803)&gt;1,1,0))</f>
        <v>0</v>
      </c>
      <c r="AX803" s="269" t="str">
        <f aca="false">IF(AY803=1,DATE(YEAR(O803),MONTH(O803),1),"")</f>
        <v/>
      </c>
      <c r="AY803" s="1" t="n">
        <f aca="false">IF(B803="",0,IF(AND(ISNUMBER(O803),ISNUMBER(P803)),IF(P803&gt;=O803,1,0),0))</f>
        <v>0</v>
      </c>
      <c r="AZ803" s="1" t="n">
        <f aca="false">IF(ISNUMBER(Y803),Y803,0)</f>
        <v>0</v>
      </c>
      <c r="BA803" s="1" t="str">
        <f aca="false">IF(B803="","",IF(AND(R803="WON",AS803=0),"⛔ Beleg fehlt · ","")&amp;IF(AND(R803="WON",AR803=0),"⛔ Einstand fehlt · ","")&amp;IF(AND(R803&lt;&gt;"WON",AR803=0),"○ Einstand offen · ","")&amp;IF(AND(R803="WON",AB803=""),"⛔ Vertragsart fehlt · ","")&amp;IF(AND(ISNUMBER(O803),ISNUMBER(P803)),IF(P803&lt;O803,"⚠ Ende vor Start · ",""),"")&amp;IF(AND(R803="WON",AY803=0,NOT(AND(ISNUMBER(O803),ISNUMBER(P803)))),"⛔ Zeitraum fehlt · ","")&amp;IF(AND(R803&lt;&gt;"WON",AY803=0,NOT(AND(ISNUMBER(O803),ISNUMBER(P803)))),"○ Zeitraum offen · ",""))</f>
        <v/>
      </c>
      <c r="BB803" s="1" t="str">
        <f aca="false">IF(B803="","",IF(AND(R803="WON",AS803=0),"⛔ Nachweis fehlt",IF(AND(ISNUMBER(O803),ISNUMBER(P803),P803&lt;O803),"⚠ Ende vor Start",IF(AND(R803="WON",AY803=0),"⛔ Zeitraum fehlt",IF(AR803=0,"○ Einstand offen",IF(AY803=0,"○ Zeitraum offen",IF(R803="WON","✅ belegt","✔ erfasst")))))))</f>
        <v/>
      </c>
    </row>
    <row r="804" customFormat="false" ht="15" hidden="false" customHeight="true" outlineLevel="0" collapsed="false">
      <c r="G804" s="1" t="str">
        <f aca="false">IF(B804="","",IF(AY804=1,P804-O804+1,IF(AW804="","",AW804)))</f>
        <v/>
      </c>
      <c r="I804" s="270"/>
      <c r="J804" s="270"/>
      <c r="K804" s="270"/>
      <c r="L804" s="270"/>
      <c r="M804" s="270"/>
      <c r="N804" s="270"/>
      <c r="O804" s="263"/>
      <c r="P804" s="263"/>
      <c r="Q804" s="270" t="str">
        <f aca="false">IF(AND(ISNUMBER(I804),ISNUMBER(S804)),I804*AJ804,IF(OR(I804&lt;&gt;"",S804&lt;&gt;""),"tbd",""))</f>
        <v/>
      </c>
      <c r="S804" s="268"/>
      <c r="Y804" s="275" t="str">
        <f aca="false">IF(ISNUMBER(I804),I804/Netto_Faktor,"")</f>
        <v/>
      </c>
      <c r="Z804" s="275" t="str">
        <f aca="false">IF(B804="","",IF(COUNT(J804:N804)=0,"",SUM(J804:N804)))</f>
        <v/>
      </c>
      <c r="AA804" s="266"/>
      <c r="AB804" s="266"/>
      <c r="AC804" s="266"/>
      <c r="AD804" s="266"/>
      <c r="AE804" s="266"/>
      <c r="AF804" s="266"/>
      <c r="AG804" s="267"/>
      <c r="AH804" s="266" t="str">
        <f aca="false">IF(B804="","",IF(BA804="",IF(R804="WON","✅ belegt &amp; vollständig","✔ vollständig"),LEFT(BA804,LEN(BA804)-3)))</f>
        <v/>
      </c>
      <c r="AJ804" s="268" t="n">
        <f aca="false">IF(ISNUMBER(S804),IFERROR(LOOKUP(IF(S804&lt;=1,S804,S804/100),'⚖️ Wahrscheinlichkeit'!$B$17:$B$21,'⚖️ Wahrscheinlichkeit'!$D$17:$D$21),0),0)</f>
        <v>0</v>
      </c>
      <c r="AK804" s="1" t="str">
        <f aca="false">IF(AND(R804="WON",ISNUMBER(I804)),AL804+(861-ROW())*0.000001,"")</f>
        <v/>
      </c>
      <c r="AL804" s="1" t="n">
        <f aca="false">IFERROR(I804*1,0)</f>
        <v>0</v>
      </c>
      <c r="AM804" s="1" t="n">
        <f aca="false">N(AM803)+IF(AND(R804="WON",B804&lt;&gt;""),1,0)</f>
        <v>12</v>
      </c>
      <c r="AN804" s="1" t="n">
        <f aca="false">N(AN803)+IF(AND(OR(R804="offered",R804="to be offered",R804="on hold"),B804&lt;&gt;""),1,0)</f>
        <v>33</v>
      </c>
      <c r="AO804" s="1" t="n">
        <f aca="false">N(AO803)+IF(AND(OR(R804="follow-up",R804="Evaluation",R804="tbd",R804="In evaluation"),B804&lt;&gt;""),1,0)</f>
        <v>1</v>
      </c>
      <c r="AP804" s="1" t="n">
        <f aca="false">IF(B804="",0,IF(COUNTIF('⚖️ Wahrscheinlichkeit'!$J$17:$J$24,R804)&gt;0,1,0))</f>
        <v>0</v>
      </c>
      <c r="AQ804" s="1" t="n">
        <f aca="false">IF(B804="",0,IF(AND(ISNUMBER(S804),COUNTIF('⚖️ Wahrscheinlichkeit'!$B$6:$B$11,S804)&gt;0),1,0))</f>
        <v>0</v>
      </c>
      <c r="AR804" s="1" t="n">
        <f aca="false">IF(B804="",0,IF(AND(COUNT(J804:M804)=4,SUM(J804:M804)&gt;0),1,0))</f>
        <v>0</v>
      </c>
      <c r="AS804" s="1" t="n">
        <f aca="false">IF(B804="",0,IF(AND(AF804&lt;&gt;"",AG804&lt;&gt;""),1,0))</f>
        <v>0</v>
      </c>
      <c r="AT804" s="1" t="n">
        <f aca="false">IF(AND(R804="WON",AS804=1,AR804=1),1,0)</f>
        <v>0</v>
      </c>
      <c r="AU804" s="1" t="n">
        <f aca="false">IF(B804="",0,IF(AD804="Alternative – zählt nicht",0,1))</f>
        <v>0</v>
      </c>
      <c r="AV804" s="1" t="n">
        <f aca="false">IF(B804="",0,IF(COUNTIF($B$6:$B$860,B804)&gt;1,1,0))</f>
        <v>0</v>
      </c>
      <c r="AX804" s="269" t="str">
        <f aca="false">IF(AY804=1,DATE(YEAR(O804),MONTH(O804),1),"")</f>
        <v/>
      </c>
      <c r="AY804" s="1" t="n">
        <f aca="false">IF(B804="",0,IF(AND(ISNUMBER(O804),ISNUMBER(P804)),IF(P804&gt;=O804,1,0),0))</f>
        <v>0</v>
      </c>
      <c r="AZ804" s="1" t="n">
        <f aca="false">IF(ISNUMBER(Y804),Y804,0)</f>
        <v>0</v>
      </c>
      <c r="BA804" s="1" t="str">
        <f aca="false">IF(B804="","",IF(AND(R804="WON",AS804=0),"⛔ Beleg fehlt · ","")&amp;IF(AND(R804="WON",AR804=0),"⛔ Einstand fehlt · ","")&amp;IF(AND(R804&lt;&gt;"WON",AR804=0),"○ Einstand offen · ","")&amp;IF(AND(R804="WON",AB804=""),"⛔ Vertragsart fehlt · ","")&amp;IF(AND(ISNUMBER(O804),ISNUMBER(P804)),IF(P804&lt;O804,"⚠ Ende vor Start · ",""),"")&amp;IF(AND(R804="WON",AY804=0,NOT(AND(ISNUMBER(O804),ISNUMBER(P804)))),"⛔ Zeitraum fehlt · ","")&amp;IF(AND(R804&lt;&gt;"WON",AY804=0,NOT(AND(ISNUMBER(O804),ISNUMBER(P804)))),"○ Zeitraum offen · ",""))</f>
        <v/>
      </c>
      <c r="BB804" s="1" t="str">
        <f aca="false">IF(B804="","",IF(AND(R804="WON",AS804=0),"⛔ Nachweis fehlt",IF(AND(ISNUMBER(O804),ISNUMBER(P804),P804&lt;O804),"⚠ Ende vor Start",IF(AND(R804="WON",AY804=0),"⛔ Zeitraum fehlt",IF(AR804=0,"○ Einstand offen",IF(AY804=0,"○ Zeitraum offen",IF(R804="WON","✅ belegt","✔ erfasst")))))))</f>
        <v/>
      </c>
    </row>
    <row r="805" customFormat="false" ht="15" hidden="false" customHeight="true" outlineLevel="0" collapsed="false">
      <c r="G805" s="1" t="str">
        <f aca="false">IF(B805="","",IF(AY805=1,P805-O805+1,IF(AW805="","",AW805)))</f>
        <v/>
      </c>
      <c r="I805" s="270"/>
      <c r="J805" s="270"/>
      <c r="K805" s="270"/>
      <c r="L805" s="270"/>
      <c r="M805" s="270"/>
      <c r="N805" s="270"/>
      <c r="O805" s="263"/>
      <c r="P805" s="263"/>
      <c r="Q805" s="270" t="str">
        <f aca="false">IF(AND(ISNUMBER(I805),ISNUMBER(S805)),I805*AJ805,IF(OR(I805&lt;&gt;"",S805&lt;&gt;""),"tbd",""))</f>
        <v/>
      </c>
      <c r="S805" s="268"/>
      <c r="Y805" s="275" t="str">
        <f aca="false">IF(ISNUMBER(I805),I805/Netto_Faktor,"")</f>
        <v/>
      </c>
      <c r="Z805" s="275" t="str">
        <f aca="false">IF(B805="","",IF(COUNT(J805:N805)=0,"",SUM(J805:N805)))</f>
        <v/>
      </c>
      <c r="AA805" s="266"/>
      <c r="AB805" s="266"/>
      <c r="AC805" s="266"/>
      <c r="AD805" s="266"/>
      <c r="AE805" s="266"/>
      <c r="AF805" s="266"/>
      <c r="AG805" s="267"/>
      <c r="AH805" s="266" t="str">
        <f aca="false">IF(B805="","",IF(BA805="",IF(R805="WON","✅ belegt &amp; vollständig","✔ vollständig"),LEFT(BA805,LEN(BA805)-3)))</f>
        <v/>
      </c>
      <c r="AJ805" s="268" t="n">
        <f aca="false">IF(ISNUMBER(S805),IFERROR(LOOKUP(IF(S805&lt;=1,S805,S805/100),'⚖️ Wahrscheinlichkeit'!$B$17:$B$21,'⚖️ Wahrscheinlichkeit'!$D$17:$D$21),0),0)</f>
        <v>0</v>
      </c>
      <c r="AK805" s="1" t="str">
        <f aca="false">IF(AND(R805="WON",ISNUMBER(I805)),AL805+(861-ROW())*0.000001,"")</f>
        <v/>
      </c>
      <c r="AL805" s="1" t="n">
        <f aca="false">IFERROR(I805*1,0)</f>
        <v>0</v>
      </c>
      <c r="AM805" s="1" t="n">
        <f aca="false">N(AM804)+IF(AND(R805="WON",B805&lt;&gt;""),1,0)</f>
        <v>12</v>
      </c>
      <c r="AN805" s="1" t="n">
        <f aca="false">N(AN804)+IF(AND(OR(R805="offered",R805="to be offered",R805="on hold"),B805&lt;&gt;""),1,0)</f>
        <v>33</v>
      </c>
      <c r="AO805" s="1" t="n">
        <f aca="false">N(AO804)+IF(AND(OR(R805="follow-up",R805="Evaluation",R805="tbd",R805="In evaluation"),B805&lt;&gt;""),1,0)</f>
        <v>1</v>
      </c>
      <c r="AP805" s="1" t="n">
        <f aca="false">IF(B805="",0,IF(COUNTIF('⚖️ Wahrscheinlichkeit'!$J$17:$J$24,R805)&gt;0,1,0))</f>
        <v>0</v>
      </c>
      <c r="AQ805" s="1" t="n">
        <f aca="false">IF(B805="",0,IF(AND(ISNUMBER(S805),COUNTIF('⚖️ Wahrscheinlichkeit'!$B$6:$B$11,S805)&gt;0),1,0))</f>
        <v>0</v>
      </c>
      <c r="AR805" s="1" t="n">
        <f aca="false">IF(B805="",0,IF(AND(COUNT(J805:M805)=4,SUM(J805:M805)&gt;0),1,0))</f>
        <v>0</v>
      </c>
      <c r="AS805" s="1" t="n">
        <f aca="false">IF(B805="",0,IF(AND(AF805&lt;&gt;"",AG805&lt;&gt;""),1,0))</f>
        <v>0</v>
      </c>
      <c r="AT805" s="1" t="n">
        <f aca="false">IF(AND(R805="WON",AS805=1,AR805=1),1,0)</f>
        <v>0</v>
      </c>
      <c r="AU805" s="1" t="n">
        <f aca="false">IF(B805="",0,IF(AD805="Alternative – zählt nicht",0,1))</f>
        <v>0</v>
      </c>
      <c r="AV805" s="1" t="n">
        <f aca="false">IF(B805="",0,IF(COUNTIF($B$6:$B$860,B805)&gt;1,1,0))</f>
        <v>0</v>
      </c>
      <c r="AX805" s="269" t="str">
        <f aca="false">IF(AY805=1,DATE(YEAR(O805),MONTH(O805),1),"")</f>
        <v/>
      </c>
      <c r="AY805" s="1" t="n">
        <f aca="false">IF(B805="",0,IF(AND(ISNUMBER(O805),ISNUMBER(P805)),IF(P805&gt;=O805,1,0),0))</f>
        <v>0</v>
      </c>
      <c r="AZ805" s="1" t="n">
        <f aca="false">IF(ISNUMBER(Y805),Y805,0)</f>
        <v>0</v>
      </c>
      <c r="BA805" s="1" t="str">
        <f aca="false">IF(B805="","",IF(AND(R805="WON",AS805=0),"⛔ Beleg fehlt · ","")&amp;IF(AND(R805="WON",AR805=0),"⛔ Einstand fehlt · ","")&amp;IF(AND(R805&lt;&gt;"WON",AR805=0),"○ Einstand offen · ","")&amp;IF(AND(R805="WON",AB805=""),"⛔ Vertragsart fehlt · ","")&amp;IF(AND(ISNUMBER(O805),ISNUMBER(P805)),IF(P805&lt;O805,"⚠ Ende vor Start · ",""),"")&amp;IF(AND(R805="WON",AY805=0,NOT(AND(ISNUMBER(O805),ISNUMBER(P805)))),"⛔ Zeitraum fehlt · ","")&amp;IF(AND(R805&lt;&gt;"WON",AY805=0,NOT(AND(ISNUMBER(O805),ISNUMBER(P805)))),"○ Zeitraum offen · ",""))</f>
        <v/>
      </c>
      <c r="BB805" s="1" t="str">
        <f aca="false">IF(B805="","",IF(AND(R805="WON",AS805=0),"⛔ Nachweis fehlt",IF(AND(ISNUMBER(O805),ISNUMBER(P805),P805&lt;O805),"⚠ Ende vor Start",IF(AND(R805="WON",AY805=0),"⛔ Zeitraum fehlt",IF(AR805=0,"○ Einstand offen",IF(AY805=0,"○ Zeitraum offen",IF(R805="WON","✅ belegt","✔ erfasst")))))))</f>
        <v/>
      </c>
    </row>
    <row r="806" customFormat="false" ht="15" hidden="false" customHeight="true" outlineLevel="0" collapsed="false">
      <c r="G806" s="1" t="str">
        <f aca="false">IF(B806="","",IF(AY806=1,P806-O806+1,IF(AW806="","",AW806)))</f>
        <v/>
      </c>
      <c r="I806" s="270"/>
      <c r="J806" s="270"/>
      <c r="K806" s="270"/>
      <c r="L806" s="270"/>
      <c r="M806" s="270"/>
      <c r="N806" s="270"/>
      <c r="O806" s="263"/>
      <c r="P806" s="263"/>
      <c r="Q806" s="270" t="str">
        <f aca="false">IF(AND(ISNUMBER(I806),ISNUMBER(S806)),I806*AJ806,IF(OR(I806&lt;&gt;"",S806&lt;&gt;""),"tbd",""))</f>
        <v/>
      </c>
      <c r="S806" s="268"/>
      <c r="Y806" s="275" t="str">
        <f aca="false">IF(ISNUMBER(I806),I806/Netto_Faktor,"")</f>
        <v/>
      </c>
      <c r="Z806" s="275" t="str">
        <f aca="false">IF(B806="","",IF(COUNT(J806:N806)=0,"",SUM(J806:N806)))</f>
        <v/>
      </c>
      <c r="AA806" s="266"/>
      <c r="AB806" s="266"/>
      <c r="AC806" s="266"/>
      <c r="AD806" s="266"/>
      <c r="AE806" s="266"/>
      <c r="AF806" s="266"/>
      <c r="AG806" s="267"/>
      <c r="AH806" s="266" t="str">
        <f aca="false">IF(B806="","",IF(BA806="",IF(R806="WON","✅ belegt &amp; vollständig","✔ vollständig"),LEFT(BA806,LEN(BA806)-3)))</f>
        <v/>
      </c>
      <c r="AJ806" s="268" t="n">
        <f aca="false">IF(ISNUMBER(S806),IFERROR(LOOKUP(IF(S806&lt;=1,S806,S806/100),'⚖️ Wahrscheinlichkeit'!$B$17:$B$21,'⚖️ Wahrscheinlichkeit'!$D$17:$D$21),0),0)</f>
        <v>0</v>
      </c>
      <c r="AK806" s="1" t="str">
        <f aca="false">IF(AND(R806="WON",ISNUMBER(I806)),AL806+(861-ROW())*0.000001,"")</f>
        <v/>
      </c>
      <c r="AL806" s="1" t="n">
        <f aca="false">IFERROR(I806*1,0)</f>
        <v>0</v>
      </c>
      <c r="AM806" s="1" t="n">
        <f aca="false">N(AM805)+IF(AND(R806="WON",B806&lt;&gt;""),1,0)</f>
        <v>12</v>
      </c>
      <c r="AN806" s="1" t="n">
        <f aca="false">N(AN805)+IF(AND(OR(R806="offered",R806="to be offered",R806="on hold"),B806&lt;&gt;""),1,0)</f>
        <v>33</v>
      </c>
      <c r="AO806" s="1" t="n">
        <f aca="false">N(AO805)+IF(AND(OR(R806="follow-up",R806="Evaluation",R806="tbd",R806="In evaluation"),B806&lt;&gt;""),1,0)</f>
        <v>1</v>
      </c>
      <c r="AP806" s="1" t="n">
        <f aca="false">IF(B806="",0,IF(COUNTIF('⚖️ Wahrscheinlichkeit'!$J$17:$J$24,R806)&gt;0,1,0))</f>
        <v>0</v>
      </c>
      <c r="AQ806" s="1" t="n">
        <f aca="false">IF(B806="",0,IF(AND(ISNUMBER(S806),COUNTIF('⚖️ Wahrscheinlichkeit'!$B$6:$B$11,S806)&gt;0),1,0))</f>
        <v>0</v>
      </c>
      <c r="AR806" s="1" t="n">
        <f aca="false">IF(B806="",0,IF(AND(COUNT(J806:M806)=4,SUM(J806:M806)&gt;0),1,0))</f>
        <v>0</v>
      </c>
      <c r="AS806" s="1" t="n">
        <f aca="false">IF(B806="",0,IF(AND(AF806&lt;&gt;"",AG806&lt;&gt;""),1,0))</f>
        <v>0</v>
      </c>
      <c r="AT806" s="1" t="n">
        <f aca="false">IF(AND(R806="WON",AS806=1,AR806=1),1,0)</f>
        <v>0</v>
      </c>
      <c r="AU806" s="1" t="n">
        <f aca="false">IF(B806="",0,IF(AD806="Alternative – zählt nicht",0,1))</f>
        <v>0</v>
      </c>
      <c r="AV806" s="1" t="n">
        <f aca="false">IF(B806="",0,IF(COUNTIF($B$6:$B$860,B806)&gt;1,1,0))</f>
        <v>0</v>
      </c>
      <c r="AX806" s="269" t="str">
        <f aca="false">IF(AY806=1,DATE(YEAR(O806),MONTH(O806),1),"")</f>
        <v/>
      </c>
      <c r="AY806" s="1" t="n">
        <f aca="false">IF(B806="",0,IF(AND(ISNUMBER(O806),ISNUMBER(P806)),IF(P806&gt;=O806,1,0),0))</f>
        <v>0</v>
      </c>
      <c r="AZ806" s="1" t="n">
        <f aca="false">IF(ISNUMBER(Y806),Y806,0)</f>
        <v>0</v>
      </c>
      <c r="BA806" s="1" t="str">
        <f aca="false">IF(B806="","",IF(AND(R806="WON",AS806=0),"⛔ Beleg fehlt · ","")&amp;IF(AND(R806="WON",AR806=0),"⛔ Einstand fehlt · ","")&amp;IF(AND(R806&lt;&gt;"WON",AR806=0),"○ Einstand offen · ","")&amp;IF(AND(R806="WON",AB806=""),"⛔ Vertragsart fehlt · ","")&amp;IF(AND(ISNUMBER(O806),ISNUMBER(P806)),IF(P806&lt;O806,"⚠ Ende vor Start · ",""),"")&amp;IF(AND(R806="WON",AY806=0,NOT(AND(ISNUMBER(O806),ISNUMBER(P806)))),"⛔ Zeitraum fehlt · ","")&amp;IF(AND(R806&lt;&gt;"WON",AY806=0,NOT(AND(ISNUMBER(O806),ISNUMBER(P806)))),"○ Zeitraum offen · ",""))</f>
        <v/>
      </c>
      <c r="BB806" s="1" t="str">
        <f aca="false">IF(B806="","",IF(AND(R806="WON",AS806=0),"⛔ Nachweis fehlt",IF(AND(ISNUMBER(O806),ISNUMBER(P806),P806&lt;O806),"⚠ Ende vor Start",IF(AND(R806="WON",AY806=0),"⛔ Zeitraum fehlt",IF(AR806=0,"○ Einstand offen",IF(AY806=0,"○ Zeitraum offen",IF(R806="WON","✅ belegt","✔ erfasst")))))))</f>
        <v/>
      </c>
    </row>
    <row r="807" customFormat="false" ht="15" hidden="false" customHeight="true" outlineLevel="0" collapsed="false">
      <c r="G807" s="1" t="str">
        <f aca="false">IF(B807="","",IF(AY807=1,P807-O807+1,IF(AW807="","",AW807)))</f>
        <v/>
      </c>
      <c r="I807" s="270"/>
      <c r="J807" s="270"/>
      <c r="K807" s="270"/>
      <c r="L807" s="270"/>
      <c r="M807" s="270"/>
      <c r="N807" s="270"/>
      <c r="O807" s="263"/>
      <c r="P807" s="263"/>
      <c r="Q807" s="270" t="str">
        <f aca="false">IF(AND(ISNUMBER(I807),ISNUMBER(S807)),I807*AJ807,IF(OR(I807&lt;&gt;"",S807&lt;&gt;""),"tbd",""))</f>
        <v/>
      </c>
      <c r="S807" s="268"/>
      <c r="Y807" s="275" t="str">
        <f aca="false">IF(ISNUMBER(I807),I807/Netto_Faktor,"")</f>
        <v/>
      </c>
      <c r="Z807" s="275" t="str">
        <f aca="false">IF(B807="","",IF(COUNT(J807:N807)=0,"",SUM(J807:N807)))</f>
        <v/>
      </c>
      <c r="AA807" s="266"/>
      <c r="AB807" s="266"/>
      <c r="AC807" s="266"/>
      <c r="AD807" s="266"/>
      <c r="AE807" s="266"/>
      <c r="AF807" s="266"/>
      <c r="AG807" s="267"/>
      <c r="AH807" s="266" t="str">
        <f aca="false">IF(B807="","",IF(BA807="",IF(R807="WON","✅ belegt &amp; vollständig","✔ vollständig"),LEFT(BA807,LEN(BA807)-3)))</f>
        <v/>
      </c>
      <c r="AJ807" s="268" t="n">
        <f aca="false">IF(ISNUMBER(S807),IFERROR(LOOKUP(IF(S807&lt;=1,S807,S807/100),'⚖️ Wahrscheinlichkeit'!$B$17:$B$21,'⚖️ Wahrscheinlichkeit'!$D$17:$D$21),0),0)</f>
        <v>0</v>
      </c>
      <c r="AK807" s="1" t="str">
        <f aca="false">IF(AND(R807="WON",ISNUMBER(I807)),AL807+(861-ROW())*0.000001,"")</f>
        <v/>
      </c>
      <c r="AL807" s="1" t="n">
        <f aca="false">IFERROR(I807*1,0)</f>
        <v>0</v>
      </c>
      <c r="AM807" s="1" t="n">
        <f aca="false">N(AM806)+IF(AND(R807="WON",B807&lt;&gt;""),1,0)</f>
        <v>12</v>
      </c>
      <c r="AN807" s="1" t="n">
        <f aca="false">N(AN806)+IF(AND(OR(R807="offered",R807="to be offered",R807="on hold"),B807&lt;&gt;""),1,0)</f>
        <v>33</v>
      </c>
      <c r="AO807" s="1" t="n">
        <f aca="false">N(AO806)+IF(AND(OR(R807="follow-up",R807="Evaluation",R807="tbd",R807="In evaluation"),B807&lt;&gt;""),1,0)</f>
        <v>1</v>
      </c>
      <c r="AP807" s="1" t="n">
        <f aca="false">IF(B807="",0,IF(COUNTIF('⚖️ Wahrscheinlichkeit'!$J$17:$J$24,R807)&gt;0,1,0))</f>
        <v>0</v>
      </c>
      <c r="AQ807" s="1" t="n">
        <f aca="false">IF(B807="",0,IF(AND(ISNUMBER(S807),COUNTIF('⚖️ Wahrscheinlichkeit'!$B$6:$B$11,S807)&gt;0),1,0))</f>
        <v>0</v>
      </c>
      <c r="AR807" s="1" t="n">
        <f aca="false">IF(B807="",0,IF(AND(COUNT(J807:M807)=4,SUM(J807:M807)&gt;0),1,0))</f>
        <v>0</v>
      </c>
      <c r="AS807" s="1" t="n">
        <f aca="false">IF(B807="",0,IF(AND(AF807&lt;&gt;"",AG807&lt;&gt;""),1,0))</f>
        <v>0</v>
      </c>
      <c r="AT807" s="1" t="n">
        <f aca="false">IF(AND(R807="WON",AS807=1,AR807=1),1,0)</f>
        <v>0</v>
      </c>
      <c r="AU807" s="1" t="n">
        <f aca="false">IF(B807="",0,IF(AD807="Alternative – zählt nicht",0,1))</f>
        <v>0</v>
      </c>
      <c r="AV807" s="1" t="n">
        <f aca="false">IF(B807="",0,IF(COUNTIF($B$6:$B$860,B807)&gt;1,1,0))</f>
        <v>0</v>
      </c>
      <c r="AX807" s="269" t="str">
        <f aca="false">IF(AY807=1,DATE(YEAR(O807),MONTH(O807),1),"")</f>
        <v/>
      </c>
      <c r="AY807" s="1" t="n">
        <f aca="false">IF(B807="",0,IF(AND(ISNUMBER(O807),ISNUMBER(P807)),IF(P807&gt;=O807,1,0),0))</f>
        <v>0</v>
      </c>
      <c r="AZ807" s="1" t="n">
        <f aca="false">IF(ISNUMBER(Y807),Y807,0)</f>
        <v>0</v>
      </c>
      <c r="BA807" s="1" t="str">
        <f aca="false">IF(B807="","",IF(AND(R807="WON",AS807=0),"⛔ Beleg fehlt · ","")&amp;IF(AND(R807="WON",AR807=0),"⛔ Einstand fehlt · ","")&amp;IF(AND(R807&lt;&gt;"WON",AR807=0),"○ Einstand offen · ","")&amp;IF(AND(R807="WON",AB807=""),"⛔ Vertragsart fehlt · ","")&amp;IF(AND(ISNUMBER(O807),ISNUMBER(P807)),IF(P807&lt;O807,"⚠ Ende vor Start · ",""),"")&amp;IF(AND(R807="WON",AY807=0,NOT(AND(ISNUMBER(O807),ISNUMBER(P807)))),"⛔ Zeitraum fehlt · ","")&amp;IF(AND(R807&lt;&gt;"WON",AY807=0,NOT(AND(ISNUMBER(O807),ISNUMBER(P807)))),"○ Zeitraum offen · ",""))</f>
        <v/>
      </c>
      <c r="BB807" s="1" t="str">
        <f aca="false">IF(B807="","",IF(AND(R807="WON",AS807=0),"⛔ Nachweis fehlt",IF(AND(ISNUMBER(O807),ISNUMBER(P807),P807&lt;O807),"⚠ Ende vor Start",IF(AND(R807="WON",AY807=0),"⛔ Zeitraum fehlt",IF(AR807=0,"○ Einstand offen",IF(AY807=0,"○ Zeitraum offen",IF(R807="WON","✅ belegt","✔ erfasst")))))))</f>
        <v/>
      </c>
    </row>
    <row r="808" customFormat="false" ht="15" hidden="false" customHeight="true" outlineLevel="0" collapsed="false">
      <c r="G808" s="1" t="str">
        <f aca="false">IF(B808="","",IF(AY808=1,P808-O808+1,IF(AW808="","",AW808)))</f>
        <v/>
      </c>
      <c r="I808" s="270"/>
      <c r="J808" s="270"/>
      <c r="K808" s="270"/>
      <c r="L808" s="270"/>
      <c r="M808" s="270"/>
      <c r="N808" s="270"/>
      <c r="O808" s="263"/>
      <c r="P808" s="263"/>
      <c r="Q808" s="270" t="str">
        <f aca="false">IF(AND(ISNUMBER(I808),ISNUMBER(S808)),I808*AJ808,IF(OR(I808&lt;&gt;"",S808&lt;&gt;""),"tbd",""))</f>
        <v/>
      </c>
      <c r="S808" s="268"/>
      <c r="Y808" s="275" t="str">
        <f aca="false">IF(ISNUMBER(I808),I808/Netto_Faktor,"")</f>
        <v/>
      </c>
      <c r="Z808" s="275" t="str">
        <f aca="false">IF(B808="","",IF(COUNT(J808:N808)=0,"",SUM(J808:N808)))</f>
        <v/>
      </c>
      <c r="AA808" s="266"/>
      <c r="AB808" s="266"/>
      <c r="AC808" s="266"/>
      <c r="AD808" s="266"/>
      <c r="AE808" s="266"/>
      <c r="AF808" s="266"/>
      <c r="AG808" s="267"/>
      <c r="AH808" s="266" t="str">
        <f aca="false">IF(B808="","",IF(BA808="",IF(R808="WON","✅ belegt &amp; vollständig","✔ vollständig"),LEFT(BA808,LEN(BA808)-3)))</f>
        <v/>
      </c>
      <c r="AJ808" s="268" t="n">
        <f aca="false">IF(ISNUMBER(S808),IFERROR(LOOKUP(IF(S808&lt;=1,S808,S808/100),'⚖️ Wahrscheinlichkeit'!$B$17:$B$21,'⚖️ Wahrscheinlichkeit'!$D$17:$D$21),0),0)</f>
        <v>0</v>
      </c>
      <c r="AK808" s="1" t="str">
        <f aca="false">IF(AND(R808="WON",ISNUMBER(I808)),AL808+(861-ROW())*0.000001,"")</f>
        <v/>
      </c>
      <c r="AL808" s="1" t="n">
        <f aca="false">IFERROR(I808*1,0)</f>
        <v>0</v>
      </c>
      <c r="AM808" s="1" t="n">
        <f aca="false">N(AM807)+IF(AND(R808="WON",B808&lt;&gt;""),1,0)</f>
        <v>12</v>
      </c>
      <c r="AN808" s="1" t="n">
        <f aca="false">N(AN807)+IF(AND(OR(R808="offered",R808="to be offered",R808="on hold"),B808&lt;&gt;""),1,0)</f>
        <v>33</v>
      </c>
      <c r="AO808" s="1" t="n">
        <f aca="false">N(AO807)+IF(AND(OR(R808="follow-up",R808="Evaluation",R808="tbd",R808="In evaluation"),B808&lt;&gt;""),1,0)</f>
        <v>1</v>
      </c>
      <c r="AP808" s="1" t="n">
        <f aca="false">IF(B808="",0,IF(COUNTIF('⚖️ Wahrscheinlichkeit'!$J$17:$J$24,R808)&gt;0,1,0))</f>
        <v>0</v>
      </c>
      <c r="AQ808" s="1" t="n">
        <f aca="false">IF(B808="",0,IF(AND(ISNUMBER(S808),COUNTIF('⚖️ Wahrscheinlichkeit'!$B$6:$B$11,S808)&gt;0),1,0))</f>
        <v>0</v>
      </c>
      <c r="AR808" s="1" t="n">
        <f aca="false">IF(B808="",0,IF(AND(COUNT(J808:M808)=4,SUM(J808:M808)&gt;0),1,0))</f>
        <v>0</v>
      </c>
      <c r="AS808" s="1" t="n">
        <f aca="false">IF(B808="",0,IF(AND(AF808&lt;&gt;"",AG808&lt;&gt;""),1,0))</f>
        <v>0</v>
      </c>
      <c r="AT808" s="1" t="n">
        <f aca="false">IF(AND(R808="WON",AS808=1,AR808=1),1,0)</f>
        <v>0</v>
      </c>
      <c r="AU808" s="1" t="n">
        <f aca="false">IF(B808="",0,IF(AD808="Alternative – zählt nicht",0,1))</f>
        <v>0</v>
      </c>
      <c r="AV808" s="1" t="n">
        <f aca="false">IF(B808="",0,IF(COUNTIF($B$6:$B$860,B808)&gt;1,1,0))</f>
        <v>0</v>
      </c>
      <c r="AX808" s="269" t="str">
        <f aca="false">IF(AY808=1,DATE(YEAR(O808),MONTH(O808),1),"")</f>
        <v/>
      </c>
      <c r="AY808" s="1" t="n">
        <f aca="false">IF(B808="",0,IF(AND(ISNUMBER(O808),ISNUMBER(P808)),IF(P808&gt;=O808,1,0),0))</f>
        <v>0</v>
      </c>
      <c r="AZ808" s="1" t="n">
        <f aca="false">IF(ISNUMBER(Y808),Y808,0)</f>
        <v>0</v>
      </c>
      <c r="BA808" s="1" t="str">
        <f aca="false">IF(B808="","",IF(AND(R808="WON",AS808=0),"⛔ Beleg fehlt · ","")&amp;IF(AND(R808="WON",AR808=0),"⛔ Einstand fehlt · ","")&amp;IF(AND(R808&lt;&gt;"WON",AR808=0),"○ Einstand offen · ","")&amp;IF(AND(R808="WON",AB808=""),"⛔ Vertragsart fehlt · ","")&amp;IF(AND(ISNUMBER(O808),ISNUMBER(P808)),IF(P808&lt;O808,"⚠ Ende vor Start · ",""),"")&amp;IF(AND(R808="WON",AY808=0,NOT(AND(ISNUMBER(O808),ISNUMBER(P808)))),"⛔ Zeitraum fehlt · ","")&amp;IF(AND(R808&lt;&gt;"WON",AY808=0,NOT(AND(ISNUMBER(O808),ISNUMBER(P808)))),"○ Zeitraum offen · ",""))</f>
        <v/>
      </c>
      <c r="BB808" s="1" t="str">
        <f aca="false">IF(B808="","",IF(AND(R808="WON",AS808=0),"⛔ Nachweis fehlt",IF(AND(ISNUMBER(O808),ISNUMBER(P808),P808&lt;O808),"⚠ Ende vor Start",IF(AND(R808="WON",AY808=0),"⛔ Zeitraum fehlt",IF(AR808=0,"○ Einstand offen",IF(AY808=0,"○ Zeitraum offen",IF(R808="WON","✅ belegt","✔ erfasst")))))))</f>
        <v/>
      </c>
    </row>
    <row r="809" customFormat="false" ht="15" hidden="false" customHeight="true" outlineLevel="0" collapsed="false">
      <c r="G809" s="1" t="str">
        <f aca="false">IF(B809="","",IF(AY809=1,P809-O809+1,IF(AW809="","",AW809)))</f>
        <v/>
      </c>
      <c r="I809" s="270"/>
      <c r="J809" s="270"/>
      <c r="K809" s="270"/>
      <c r="L809" s="270"/>
      <c r="M809" s="270"/>
      <c r="N809" s="270"/>
      <c r="O809" s="263"/>
      <c r="P809" s="263"/>
      <c r="Q809" s="270" t="str">
        <f aca="false">IF(AND(ISNUMBER(I809),ISNUMBER(S809)),I809*AJ809,IF(OR(I809&lt;&gt;"",S809&lt;&gt;""),"tbd",""))</f>
        <v/>
      </c>
      <c r="S809" s="268"/>
      <c r="Y809" s="275" t="str">
        <f aca="false">IF(ISNUMBER(I809),I809/Netto_Faktor,"")</f>
        <v/>
      </c>
      <c r="Z809" s="275" t="str">
        <f aca="false">IF(B809="","",IF(COUNT(J809:N809)=0,"",SUM(J809:N809)))</f>
        <v/>
      </c>
      <c r="AA809" s="266"/>
      <c r="AB809" s="266"/>
      <c r="AC809" s="266"/>
      <c r="AD809" s="266"/>
      <c r="AE809" s="266"/>
      <c r="AF809" s="266"/>
      <c r="AG809" s="267"/>
      <c r="AH809" s="266" t="str">
        <f aca="false">IF(B809="","",IF(BA809="",IF(R809="WON","✅ belegt &amp; vollständig","✔ vollständig"),LEFT(BA809,LEN(BA809)-3)))</f>
        <v/>
      </c>
      <c r="AJ809" s="268" t="n">
        <f aca="false">IF(ISNUMBER(S809),IFERROR(LOOKUP(IF(S809&lt;=1,S809,S809/100),'⚖️ Wahrscheinlichkeit'!$B$17:$B$21,'⚖️ Wahrscheinlichkeit'!$D$17:$D$21),0),0)</f>
        <v>0</v>
      </c>
      <c r="AK809" s="1" t="str">
        <f aca="false">IF(AND(R809="WON",ISNUMBER(I809)),AL809+(861-ROW())*0.000001,"")</f>
        <v/>
      </c>
      <c r="AL809" s="1" t="n">
        <f aca="false">IFERROR(I809*1,0)</f>
        <v>0</v>
      </c>
      <c r="AM809" s="1" t="n">
        <f aca="false">N(AM808)+IF(AND(R809="WON",B809&lt;&gt;""),1,0)</f>
        <v>12</v>
      </c>
      <c r="AN809" s="1" t="n">
        <f aca="false">N(AN808)+IF(AND(OR(R809="offered",R809="to be offered",R809="on hold"),B809&lt;&gt;""),1,0)</f>
        <v>33</v>
      </c>
      <c r="AO809" s="1" t="n">
        <f aca="false">N(AO808)+IF(AND(OR(R809="follow-up",R809="Evaluation",R809="tbd",R809="In evaluation"),B809&lt;&gt;""),1,0)</f>
        <v>1</v>
      </c>
      <c r="AP809" s="1" t="n">
        <f aca="false">IF(B809="",0,IF(COUNTIF('⚖️ Wahrscheinlichkeit'!$J$17:$J$24,R809)&gt;0,1,0))</f>
        <v>0</v>
      </c>
      <c r="AQ809" s="1" t="n">
        <f aca="false">IF(B809="",0,IF(AND(ISNUMBER(S809),COUNTIF('⚖️ Wahrscheinlichkeit'!$B$6:$B$11,S809)&gt;0),1,0))</f>
        <v>0</v>
      </c>
      <c r="AR809" s="1" t="n">
        <f aca="false">IF(B809="",0,IF(AND(COUNT(J809:M809)=4,SUM(J809:M809)&gt;0),1,0))</f>
        <v>0</v>
      </c>
      <c r="AS809" s="1" t="n">
        <f aca="false">IF(B809="",0,IF(AND(AF809&lt;&gt;"",AG809&lt;&gt;""),1,0))</f>
        <v>0</v>
      </c>
      <c r="AT809" s="1" t="n">
        <f aca="false">IF(AND(R809="WON",AS809=1,AR809=1),1,0)</f>
        <v>0</v>
      </c>
      <c r="AU809" s="1" t="n">
        <f aca="false">IF(B809="",0,IF(AD809="Alternative – zählt nicht",0,1))</f>
        <v>0</v>
      </c>
      <c r="AV809" s="1" t="n">
        <f aca="false">IF(B809="",0,IF(COUNTIF($B$6:$B$860,B809)&gt;1,1,0))</f>
        <v>0</v>
      </c>
      <c r="AX809" s="269" t="str">
        <f aca="false">IF(AY809=1,DATE(YEAR(O809),MONTH(O809),1),"")</f>
        <v/>
      </c>
      <c r="AY809" s="1" t="n">
        <f aca="false">IF(B809="",0,IF(AND(ISNUMBER(O809),ISNUMBER(P809)),IF(P809&gt;=O809,1,0),0))</f>
        <v>0</v>
      </c>
      <c r="AZ809" s="1" t="n">
        <f aca="false">IF(ISNUMBER(Y809),Y809,0)</f>
        <v>0</v>
      </c>
      <c r="BA809" s="1" t="str">
        <f aca="false">IF(B809="","",IF(AND(R809="WON",AS809=0),"⛔ Beleg fehlt · ","")&amp;IF(AND(R809="WON",AR809=0),"⛔ Einstand fehlt · ","")&amp;IF(AND(R809&lt;&gt;"WON",AR809=0),"○ Einstand offen · ","")&amp;IF(AND(R809="WON",AB809=""),"⛔ Vertragsart fehlt · ","")&amp;IF(AND(ISNUMBER(O809),ISNUMBER(P809)),IF(P809&lt;O809,"⚠ Ende vor Start · ",""),"")&amp;IF(AND(R809="WON",AY809=0,NOT(AND(ISNUMBER(O809),ISNUMBER(P809)))),"⛔ Zeitraum fehlt · ","")&amp;IF(AND(R809&lt;&gt;"WON",AY809=0,NOT(AND(ISNUMBER(O809),ISNUMBER(P809)))),"○ Zeitraum offen · ",""))</f>
        <v/>
      </c>
      <c r="BB809" s="1" t="str">
        <f aca="false">IF(B809="","",IF(AND(R809="WON",AS809=0),"⛔ Nachweis fehlt",IF(AND(ISNUMBER(O809),ISNUMBER(P809),P809&lt;O809),"⚠ Ende vor Start",IF(AND(R809="WON",AY809=0),"⛔ Zeitraum fehlt",IF(AR809=0,"○ Einstand offen",IF(AY809=0,"○ Zeitraum offen",IF(R809="WON","✅ belegt","✔ erfasst")))))))</f>
        <v/>
      </c>
    </row>
    <row r="810" customFormat="false" ht="15" hidden="false" customHeight="true" outlineLevel="0" collapsed="false">
      <c r="G810" s="1" t="str">
        <f aca="false">IF(B810="","",IF(AY810=1,P810-O810+1,IF(AW810="","",AW810)))</f>
        <v/>
      </c>
      <c r="I810" s="270"/>
      <c r="J810" s="270"/>
      <c r="K810" s="270"/>
      <c r="L810" s="270"/>
      <c r="M810" s="270"/>
      <c r="N810" s="270"/>
      <c r="O810" s="263"/>
      <c r="P810" s="263"/>
      <c r="Q810" s="270" t="str">
        <f aca="false">IF(AND(ISNUMBER(I810),ISNUMBER(S810)),I810*AJ810,IF(OR(I810&lt;&gt;"",S810&lt;&gt;""),"tbd",""))</f>
        <v/>
      </c>
      <c r="S810" s="268"/>
      <c r="Y810" s="275" t="str">
        <f aca="false">IF(ISNUMBER(I810),I810/Netto_Faktor,"")</f>
        <v/>
      </c>
      <c r="Z810" s="275" t="str">
        <f aca="false">IF(B810="","",IF(COUNT(J810:N810)=0,"",SUM(J810:N810)))</f>
        <v/>
      </c>
      <c r="AA810" s="266"/>
      <c r="AB810" s="266"/>
      <c r="AC810" s="266"/>
      <c r="AD810" s="266"/>
      <c r="AE810" s="266"/>
      <c r="AF810" s="266"/>
      <c r="AG810" s="267"/>
      <c r="AH810" s="266" t="str">
        <f aca="false">IF(B810="","",IF(BA810="",IF(R810="WON","✅ belegt &amp; vollständig","✔ vollständig"),LEFT(BA810,LEN(BA810)-3)))</f>
        <v/>
      </c>
      <c r="AJ810" s="268" t="n">
        <f aca="false">IF(ISNUMBER(S810),IFERROR(LOOKUP(IF(S810&lt;=1,S810,S810/100),'⚖️ Wahrscheinlichkeit'!$B$17:$B$21,'⚖️ Wahrscheinlichkeit'!$D$17:$D$21),0),0)</f>
        <v>0</v>
      </c>
      <c r="AK810" s="1" t="str">
        <f aca="false">IF(AND(R810="WON",ISNUMBER(I810)),AL810+(861-ROW())*0.000001,"")</f>
        <v/>
      </c>
      <c r="AL810" s="1" t="n">
        <f aca="false">IFERROR(I810*1,0)</f>
        <v>0</v>
      </c>
      <c r="AM810" s="1" t="n">
        <f aca="false">N(AM809)+IF(AND(R810="WON",B810&lt;&gt;""),1,0)</f>
        <v>12</v>
      </c>
      <c r="AN810" s="1" t="n">
        <f aca="false">N(AN809)+IF(AND(OR(R810="offered",R810="to be offered",R810="on hold"),B810&lt;&gt;""),1,0)</f>
        <v>33</v>
      </c>
      <c r="AO810" s="1" t="n">
        <f aca="false">N(AO809)+IF(AND(OR(R810="follow-up",R810="Evaluation",R810="tbd",R810="In evaluation"),B810&lt;&gt;""),1,0)</f>
        <v>1</v>
      </c>
      <c r="AP810" s="1" t="n">
        <f aca="false">IF(B810="",0,IF(COUNTIF('⚖️ Wahrscheinlichkeit'!$J$17:$J$24,R810)&gt;0,1,0))</f>
        <v>0</v>
      </c>
      <c r="AQ810" s="1" t="n">
        <f aca="false">IF(B810="",0,IF(AND(ISNUMBER(S810),COUNTIF('⚖️ Wahrscheinlichkeit'!$B$6:$B$11,S810)&gt;0),1,0))</f>
        <v>0</v>
      </c>
      <c r="AR810" s="1" t="n">
        <f aca="false">IF(B810="",0,IF(AND(COUNT(J810:M810)=4,SUM(J810:M810)&gt;0),1,0))</f>
        <v>0</v>
      </c>
      <c r="AS810" s="1" t="n">
        <f aca="false">IF(B810="",0,IF(AND(AF810&lt;&gt;"",AG810&lt;&gt;""),1,0))</f>
        <v>0</v>
      </c>
      <c r="AT810" s="1" t="n">
        <f aca="false">IF(AND(R810="WON",AS810=1,AR810=1),1,0)</f>
        <v>0</v>
      </c>
      <c r="AU810" s="1" t="n">
        <f aca="false">IF(B810="",0,IF(AD810="Alternative – zählt nicht",0,1))</f>
        <v>0</v>
      </c>
      <c r="AV810" s="1" t="n">
        <f aca="false">IF(B810="",0,IF(COUNTIF($B$6:$B$860,B810)&gt;1,1,0))</f>
        <v>0</v>
      </c>
      <c r="AX810" s="269" t="str">
        <f aca="false">IF(AY810=1,DATE(YEAR(O810),MONTH(O810),1),"")</f>
        <v/>
      </c>
      <c r="AY810" s="1" t="n">
        <f aca="false">IF(B810="",0,IF(AND(ISNUMBER(O810),ISNUMBER(P810)),IF(P810&gt;=O810,1,0),0))</f>
        <v>0</v>
      </c>
      <c r="AZ810" s="1" t="n">
        <f aca="false">IF(ISNUMBER(Y810),Y810,0)</f>
        <v>0</v>
      </c>
      <c r="BA810" s="1" t="str">
        <f aca="false">IF(B810="","",IF(AND(R810="WON",AS810=0),"⛔ Beleg fehlt · ","")&amp;IF(AND(R810="WON",AR810=0),"⛔ Einstand fehlt · ","")&amp;IF(AND(R810&lt;&gt;"WON",AR810=0),"○ Einstand offen · ","")&amp;IF(AND(R810="WON",AB810=""),"⛔ Vertragsart fehlt · ","")&amp;IF(AND(ISNUMBER(O810),ISNUMBER(P810)),IF(P810&lt;O810,"⚠ Ende vor Start · ",""),"")&amp;IF(AND(R810="WON",AY810=0,NOT(AND(ISNUMBER(O810),ISNUMBER(P810)))),"⛔ Zeitraum fehlt · ","")&amp;IF(AND(R810&lt;&gt;"WON",AY810=0,NOT(AND(ISNUMBER(O810),ISNUMBER(P810)))),"○ Zeitraum offen · ",""))</f>
        <v/>
      </c>
      <c r="BB810" s="1" t="str">
        <f aca="false">IF(B810="","",IF(AND(R810="WON",AS810=0),"⛔ Nachweis fehlt",IF(AND(ISNUMBER(O810),ISNUMBER(P810),P810&lt;O810),"⚠ Ende vor Start",IF(AND(R810="WON",AY810=0),"⛔ Zeitraum fehlt",IF(AR810=0,"○ Einstand offen",IF(AY810=0,"○ Zeitraum offen",IF(R810="WON","✅ belegt","✔ erfasst")))))))</f>
        <v/>
      </c>
    </row>
    <row r="811" customFormat="false" ht="15" hidden="false" customHeight="true" outlineLevel="0" collapsed="false">
      <c r="G811" s="1" t="str">
        <f aca="false">IF(B811="","",IF(AY811=1,P811-O811+1,IF(AW811="","",AW811)))</f>
        <v/>
      </c>
      <c r="I811" s="270"/>
      <c r="J811" s="270"/>
      <c r="K811" s="270"/>
      <c r="L811" s="270"/>
      <c r="M811" s="270"/>
      <c r="N811" s="270"/>
      <c r="O811" s="263"/>
      <c r="P811" s="263"/>
      <c r="Q811" s="270" t="str">
        <f aca="false">IF(AND(ISNUMBER(I811),ISNUMBER(S811)),I811*AJ811,IF(OR(I811&lt;&gt;"",S811&lt;&gt;""),"tbd",""))</f>
        <v/>
      </c>
      <c r="S811" s="268"/>
      <c r="Y811" s="275" t="str">
        <f aca="false">IF(ISNUMBER(I811),I811/Netto_Faktor,"")</f>
        <v/>
      </c>
      <c r="Z811" s="275" t="str">
        <f aca="false">IF(B811="","",IF(COUNT(J811:N811)=0,"",SUM(J811:N811)))</f>
        <v/>
      </c>
      <c r="AA811" s="266"/>
      <c r="AB811" s="266"/>
      <c r="AC811" s="266"/>
      <c r="AD811" s="266"/>
      <c r="AE811" s="266"/>
      <c r="AF811" s="266"/>
      <c r="AG811" s="267"/>
      <c r="AH811" s="266" t="str">
        <f aca="false">IF(B811="","",IF(BA811="",IF(R811="WON","✅ belegt &amp; vollständig","✔ vollständig"),LEFT(BA811,LEN(BA811)-3)))</f>
        <v/>
      </c>
      <c r="AJ811" s="268" t="n">
        <f aca="false">IF(ISNUMBER(S811),IFERROR(LOOKUP(IF(S811&lt;=1,S811,S811/100),'⚖️ Wahrscheinlichkeit'!$B$17:$B$21,'⚖️ Wahrscheinlichkeit'!$D$17:$D$21),0),0)</f>
        <v>0</v>
      </c>
      <c r="AK811" s="1" t="str">
        <f aca="false">IF(AND(R811="WON",ISNUMBER(I811)),AL811+(861-ROW())*0.000001,"")</f>
        <v/>
      </c>
      <c r="AL811" s="1" t="n">
        <f aca="false">IFERROR(I811*1,0)</f>
        <v>0</v>
      </c>
      <c r="AM811" s="1" t="n">
        <f aca="false">N(AM810)+IF(AND(R811="WON",B811&lt;&gt;""),1,0)</f>
        <v>12</v>
      </c>
      <c r="AN811" s="1" t="n">
        <f aca="false">N(AN810)+IF(AND(OR(R811="offered",R811="to be offered",R811="on hold"),B811&lt;&gt;""),1,0)</f>
        <v>33</v>
      </c>
      <c r="AO811" s="1" t="n">
        <f aca="false">N(AO810)+IF(AND(OR(R811="follow-up",R811="Evaluation",R811="tbd",R811="In evaluation"),B811&lt;&gt;""),1,0)</f>
        <v>1</v>
      </c>
      <c r="AP811" s="1" t="n">
        <f aca="false">IF(B811="",0,IF(COUNTIF('⚖️ Wahrscheinlichkeit'!$J$17:$J$24,R811)&gt;0,1,0))</f>
        <v>0</v>
      </c>
      <c r="AQ811" s="1" t="n">
        <f aca="false">IF(B811="",0,IF(AND(ISNUMBER(S811),COUNTIF('⚖️ Wahrscheinlichkeit'!$B$6:$B$11,S811)&gt;0),1,0))</f>
        <v>0</v>
      </c>
      <c r="AR811" s="1" t="n">
        <f aca="false">IF(B811="",0,IF(AND(COUNT(J811:M811)=4,SUM(J811:M811)&gt;0),1,0))</f>
        <v>0</v>
      </c>
      <c r="AS811" s="1" t="n">
        <f aca="false">IF(B811="",0,IF(AND(AF811&lt;&gt;"",AG811&lt;&gt;""),1,0))</f>
        <v>0</v>
      </c>
      <c r="AT811" s="1" t="n">
        <f aca="false">IF(AND(R811="WON",AS811=1,AR811=1),1,0)</f>
        <v>0</v>
      </c>
      <c r="AU811" s="1" t="n">
        <f aca="false">IF(B811="",0,IF(AD811="Alternative – zählt nicht",0,1))</f>
        <v>0</v>
      </c>
      <c r="AV811" s="1" t="n">
        <f aca="false">IF(B811="",0,IF(COUNTIF($B$6:$B$860,B811)&gt;1,1,0))</f>
        <v>0</v>
      </c>
      <c r="AX811" s="269" t="str">
        <f aca="false">IF(AY811=1,DATE(YEAR(O811),MONTH(O811),1),"")</f>
        <v/>
      </c>
      <c r="AY811" s="1" t="n">
        <f aca="false">IF(B811="",0,IF(AND(ISNUMBER(O811),ISNUMBER(P811)),IF(P811&gt;=O811,1,0),0))</f>
        <v>0</v>
      </c>
      <c r="AZ811" s="1" t="n">
        <f aca="false">IF(ISNUMBER(Y811),Y811,0)</f>
        <v>0</v>
      </c>
      <c r="BA811" s="1" t="str">
        <f aca="false">IF(B811="","",IF(AND(R811="WON",AS811=0),"⛔ Beleg fehlt · ","")&amp;IF(AND(R811="WON",AR811=0),"⛔ Einstand fehlt · ","")&amp;IF(AND(R811&lt;&gt;"WON",AR811=0),"○ Einstand offen · ","")&amp;IF(AND(R811="WON",AB811=""),"⛔ Vertragsart fehlt · ","")&amp;IF(AND(ISNUMBER(O811),ISNUMBER(P811)),IF(P811&lt;O811,"⚠ Ende vor Start · ",""),"")&amp;IF(AND(R811="WON",AY811=0,NOT(AND(ISNUMBER(O811),ISNUMBER(P811)))),"⛔ Zeitraum fehlt · ","")&amp;IF(AND(R811&lt;&gt;"WON",AY811=0,NOT(AND(ISNUMBER(O811),ISNUMBER(P811)))),"○ Zeitraum offen · ",""))</f>
        <v/>
      </c>
      <c r="BB811" s="1" t="str">
        <f aca="false">IF(B811="","",IF(AND(R811="WON",AS811=0),"⛔ Nachweis fehlt",IF(AND(ISNUMBER(O811),ISNUMBER(P811),P811&lt;O811),"⚠ Ende vor Start",IF(AND(R811="WON",AY811=0),"⛔ Zeitraum fehlt",IF(AR811=0,"○ Einstand offen",IF(AY811=0,"○ Zeitraum offen",IF(R811="WON","✅ belegt","✔ erfasst")))))))</f>
        <v/>
      </c>
    </row>
    <row r="812" customFormat="false" ht="15" hidden="false" customHeight="true" outlineLevel="0" collapsed="false">
      <c r="G812" s="1" t="str">
        <f aca="false">IF(B812="","",IF(AY812=1,P812-O812+1,IF(AW812="","",AW812)))</f>
        <v/>
      </c>
      <c r="I812" s="270"/>
      <c r="J812" s="270"/>
      <c r="K812" s="270"/>
      <c r="L812" s="270"/>
      <c r="M812" s="270"/>
      <c r="N812" s="270"/>
      <c r="O812" s="263"/>
      <c r="P812" s="263"/>
      <c r="Q812" s="270" t="str">
        <f aca="false">IF(AND(ISNUMBER(I812),ISNUMBER(S812)),I812*AJ812,IF(OR(I812&lt;&gt;"",S812&lt;&gt;""),"tbd",""))</f>
        <v/>
      </c>
      <c r="S812" s="268"/>
      <c r="Y812" s="275" t="str">
        <f aca="false">IF(ISNUMBER(I812),I812/Netto_Faktor,"")</f>
        <v/>
      </c>
      <c r="Z812" s="275" t="str">
        <f aca="false">IF(B812="","",IF(COUNT(J812:N812)=0,"",SUM(J812:N812)))</f>
        <v/>
      </c>
      <c r="AA812" s="266"/>
      <c r="AB812" s="266"/>
      <c r="AC812" s="266"/>
      <c r="AD812" s="266"/>
      <c r="AE812" s="266"/>
      <c r="AF812" s="266"/>
      <c r="AG812" s="267"/>
      <c r="AH812" s="266" t="str">
        <f aca="false">IF(B812="","",IF(BA812="",IF(R812="WON","✅ belegt &amp; vollständig","✔ vollständig"),LEFT(BA812,LEN(BA812)-3)))</f>
        <v/>
      </c>
      <c r="AJ812" s="268" t="n">
        <f aca="false">IF(ISNUMBER(S812),IFERROR(LOOKUP(IF(S812&lt;=1,S812,S812/100),'⚖️ Wahrscheinlichkeit'!$B$17:$B$21,'⚖️ Wahrscheinlichkeit'!$D$17:$D$21),0),0)</f>
        <v>0</v>
      </c>
      <c r="AK812" s="1" t="str">
        <f aca="false">IF(AND(R812="WON",ISNUMBER(I812)),AL812+(861-ROW())*0.000001,"")</f>
        <v/>
      </c>
      <c r="AL812" s="1" t="n">
        <f aca="false">IFERROR(I812*1,0)</f>
        <v>0</v>
      </c>
      <c r="AM812" s="1" t="n">
        <f aca="false">N(AM811)+IF(AND(R812="WON",B812&lt;&gt;""),1,0)</f>
        <v>12</v>
      </c>
      <c r="AN812" s="1" t="n">
        <f aca="false">N(AN811)+IF(AND(OR(R812="offered",R812="to be offered",R812="on hold"),B812&lt;&gt;""),1,0)</f>
        <v>33</v>
      </c>
      <c r="AO812" s="1" t="n">
        <f aca="false">N(AO811)+IF(AND(OR(R812="follow-up",R812="Evaluation",R812="tbd",R812="In evaluation"),B812&lt;&gt;""),1,0)</f>
        <v>1</v>
      </c>
      <c r="AP812" s="1" t="n">
        <f aca="false">IF(B812="",0,IF(COUNTIF('⚖️ Wahrscheinlichkeit'!$J$17:$J$24,R812)&gt;0,1,0))</f>
        <v>0</v>
      </c>
      <c r="AQ812" s="1" t="n">
        <f aca="false">IF(B812="",0,IF(AND(ISNUMBER(S812),COUNTIF('⚖️ Wahrscheinlichkeit'!$B$6:$B$11,S812)&gt;0),1,0))</f>
        <v>0</v>
      </c>
      <c r="AR812" s="1" t="n">
        <f aca="false">IF(B812="",0,IF(AND(COUNT(J812:M812)=4,SUM(J812:M812)&gt;0),1,0))</f>
        <v>0</v>
      </c>
      <c r="AS812" s="1" t="n">
        <f aca="false">IF(B812="",0,IF(AND(AF812&lt;&gt;"",AG812&lt;&gt;""),1,0))</f>
        <v>0</v>
      </c>
      <c r="AT812" s="1" t="n">
        <f aca="false">IF(AND(R812="WON",AS812=1,AR812=1),1,0)</f>
        <v>0</v>
      </c>
      <c r="AU812" s="1" t="n">
        <f aca="false">IF(B812="",0,IF(AD812="Alternative – zählt nicht",0,1))</f>
        <v>0</v>
      </c>
      <c r="AV812" s="1" t="n">
        <f aca="false">IF(B812="",0,IF(COUNTIF($B$6:$B$860,B812)&gt;1,1,0))</f>
        <v>0</v>
      </c>
      <c r="AX812" s="269" t="str">
        <f aca="false">IF(AY812=1,DATE(YEAR(O812),MONTH(O812),1),"")</f>
        <v/>
      </c>
      <c r="AY812" s="1" t="n">
        <f aca="false">IF(B812="",0,IF(AND(ISNUMBER(O812),ISNUMBER(P812)),IF(P812&gt;=O812,1,0),0))</f>
        <v>0</v>
      </c>
      <c r="AZ812" s="1" t="n">
        <f aca="false">IF(ISNUMBER(Y812),Y812,0)</f>
        <v>0</v>
      </c>
      <c r="BA812" s="1" t="str">
        <f aca="false">IF(B812="","",IF(AND(R812="WON",AS812=0),"⛔ Beleg fehlt · ","")&amp;IF(AND(R812="WON",AR812=0),"⛔ Einstand fehlt · ","")&amp;IF(AND(R812&lt;&gt;"WON",AR812=0),"○ Einstand offen · ","")&amp;IF(AND(R812="WON",AB812=""),"⛔ Vertragsart fehlt · ","")&amp;IF(AND(ISNUMBER(O812),ISNUMBER(P812)),IF(P812&lt;O812,"⚠ Ende vor Start · ",""),"")&amp;IF(AND(R812="WON",AY812=0,NOT(AND(ISNUMBER(O812),ISNUMBER(P812)))),"⛔ Zeitraum fehlt · ","")&amp;IF(AND(R812&lt;&gt;"WON",AY812=0,NOT(AND(ISNUMBER(O812),ISNUMBER(P812)))),"○ Zeitraum offen · ",""))</f>
        <v/>
      </c>
      <c r="BB812" s="1" t="str">
        <f aca="false">IF(B812="","",IF(AND(R812="WON",AS812=0),"⛔ Nachweis fehlt",IF(AND(ISNUMBER(O812),ISNUMBER(P812),P812&lt;O812),"⚠ Ende vor Start",IF(AND(R812="WON",AY812=0),"⛔ Zeitraum fehlt",IF(AR812=0,"○ Einstand offen",IF(AY812=0,"○ Zeitraum offen",IF(R812="WON","✅ belegt","✔ erfasst")))))))</f>
        <v/>
      </c>
    </row>
    <row r="813" customFormat="false" ht="15" hidden="false" customHeight="true" outlineLevel="0" collapsed="false">
      <c r="G813" s="1" t="str">
        <f aca="false">IF(B813="","",IF(AY813=1,P813-O813+1,IF(AW813="","",AW813)))</f>
        <v/>
      </c>
      <c r="I813" s="270"/>
      <c r="J813" s="270"/>
      <c r="K813" s="270"/>
      <c r="L813" s="270"/>
      <c r="M813" s="270"/>
      <c r="N813" s="270"/>
      <c r="O813" s="263"/>
      <c r="P813" s="263"/>
      <c r="Q813" s="270" t="str">
        <f aca="false">IF(AND(ISNUMBER(I813),ISNUMBER(S813)),I813*AJ813,IF(OR(I813&lt;&gt;"",S813&lt;&gt;""),"tbd",""))</f>
        <v/>
      </c>
      <c r="S813" s="268"/>
      <c r="Y813" s="275" t="str">
        <f aca="false">IF(ISNUMBER(I813),I813/Netto_Faktor,"")</f>
        <v/>
      </c>
      <c r="Z813" s="275" t="str">
        <f aca="false">IF(B813="","",IF(COUNT(J813:N813)=0,"",SUM(J813:N813)))</f>
        <v/>
      </c>
      <c r="AA813" s="266"/>
      <c r="AB813" s="266"/>
      <c r="AC813" s="266"/>
      <c r="AD813" s="266"/>
      <c r="AE813" s="266"/>
      <c r="AF813" s="266"/>
      <c r="AG813" s="267"/>
      <c r="AH813" s="266" t="str">
        <f aca="false">IF(B813="","",IF(BA813="",IF(R813="WON","✅ belegt &amp; vollständig","✔ vollständig"),LEFT(BA813,LEN(BA813)-3)))</f>
        <v/>
      </c>
      <c r="AJ813" s="268" t="n">
        <f aca="false">IF(ISNUMBER(S813),IFERROR(LOOKUP(IF(S813&lt;=1,S813,S813/100),'⚖️ Wahrscheinlichkeit'!$B$17:$B$21,'⚖️ Wahrscheinlichkeit'!$D$17:$D$21),0),0)</f>
        <v>0</v>
      </c>
      <c r="AK813" s="1" t="str">
        <f aca="false">IF(AND(R813="WON",ISNUMBER(I813)),AL813+(861-ROW())*0.000001,"")</f>
        <v/>
      </c>
      <c r="AL813" s="1" t="n">
        <f aca="false">IFERROR(I813*1,0)</f>
        <v>0</v>
      </c>
      <c r="AM813" s="1" t="n">
        <f aca="false">N(AM812)+IF(AND(R813="WON",B813&lt;&gt;""),1,0)</f>
        <v>12</v>
      </c>
      <c r="AN813" s="1" t="n">
        <f aca="false">N(AN812)+IF(AND(OR(R813="offered",R813="to be offered",R813="on hold"),B813&lt;&gt;""),1,0)</f>
        <v>33</v>
      </c>
      <c r="AO813" s="1" t="n">
        <f aca="false">N(AO812)+IF(AND(OR(R813="follow-up",R813="Evaluation",R813="tbd",R813="In evaluation"),B813&lt;&gt;""),1,0)</f>
        <v>1</v>
      </c>
      <c r="AP813" s="1" t="n">
        <f aca="false">IF(B813="",0,IF(COUNTIF('⚖️ Wahrscheinlichkeit'!$J$17:$J$24,R813)&gt;0,1,0))</f>
        <v>0</v>
      </c>
      <c r="AQ813" s="1" t="n">
        <f aca="false">IF(B813="",0,IF(AND(ISNUMBER(S813),COUNTIF('⚖️ Wahrscheinlichkeit'!$B$6:$B$11,S813)&gt;0),1,0))</f>
        <v>0</v>
      </c>
      <c r="AR813" s="1" t="n">
        <f aca="false">IF(B813="",0,IF(AND(COUNT(J813:M813)=4,SUM(J813:M813)&gt;0),1,0))</f>
        <v>0</v>
      </c>
      <c r="AS813" s="1" t="n">
        <f aca="false">IF(B813="",0,IF(AND(AF813&lt;&gt;"",AG813&lt;&gt;""),1,0))</f>
        <v>0</v>
      </c>
      <c r="AT813" s="1" t="n">
        <f aca="false">IF(AND(R813="WON",AS813=1,AR813=1),1,0)</f>
        <v>0</v>
      </c>
      <c r="AU813" s="1" t="n">
        <f aca="false">IF(B813="",0,IF(AD813="Alternative – zählt nicht",0,1))</f>
        <v>0</v>
      </c>
      <c r="AV813" s="1" t="n">
        <f aca="false">IF(B813="",0,IF(COUNTIF($B$6:$B$860,B813)&gt;1,1,0))</f>
        <v>0</v>
      </c>
      <c r="AX813" s="269" t="str">
        <f aca="false">IF(AY813=1,DATE(YEAR(O813),MONTH(O813),1),"")</f>
        <v/>
      </c>
      <c r="AY813" s="1" t="n">
        <f aca="false">IF(B813="",0,IF(AND(ISNUMBER(O813),ISNUMBER(P813)),IF(P813&gt;=O813,1,0),0))</f>
        <v>0</v>
      </c>
      <c r="AZ813" s="1" t="n">
        <f aca="false">IF(ISNUMBER(Y813),Y813,0)</f>
        <v>0</v>
      </c>
      <c r="BA813" s="1" t="str">
        <f aca="false">IF(B813="","",IF(AND(R813="WON",AS813=0),"⛔ Beleg fehlt · ","")&amp;IF(AND(R813="WON",AR813=0),"⛔ Einstand fehlt · ","")&amp;IF(AND(R813&lt;&gt;"WON",AR813=0),"○ Einstand offen · ","")&amp;IF(AND(R813="WON",AB813=""),"⛔ Vertragsart fehlt · ","")&amp;IF(AND(ISNUMBER(O813),ISNUMBER(P813)),IF(P813&lt;O813,"⚠ Ende vor Start · ",""),"")&amp;IF(AND(R813="WON",AY813=0,NOT(AND(ISNUMBER(O813),ISNUMBER(P813)))),"⛔ Zeitraum fehlt · ","")&amp;IF(AND(R813&lt;&gt;"WON",AY813=0,NOT(AND(ISNUMBER(O813),ISNUMBER(P813)))),"○ Zeitraum offen · ",""))</f>
        <v/>
      </c>
      <c r="BB813" s="1" t="str">
        <f aca="false">IF(B813="","",IF(AND(R813="WON",AS813=0),"⛔ Nachweis fehlt",IF(AND(ISNUMBER(O813),ISNUMBER(P813),P813&lt;O813),"⚠ Ende vor Start",IF(AND(R813="WON",AY813=0),"⛔ Zeitraum fehlt",IF(AR813=0,"○ Einstand offen",IF(AY813=0,"○ Zeitraum offen",IF(R813="WON","✅ belegt","✔ erfasst")))))))</f>
        <v/>
      </c>
    </row>
    <row r="814" customFormat="false" ht="15" hidden="false" customHeight="true" outlineLevel="0" collapsed="false">
      <c r="G814" s="1" t="str">
        <f aca="false">IF(B814="","",IF(AY814=1,P814-O814+1,IF(AW814="","",AW814)))</f>
        <v/>
      </c>
      <c r="I814" s="270"/>
      <c r="J814" s="270"/>
      <c r="K814" s="270"/>
      <c r="L814" s="270"/>
      <c r="M814" s="270"/>
      <c r="N814" s="270"/>
      <c r="O814" s="263"/>
      <c r="P814" s="263"/>
      <c r="Q814" s="270" t="str">
        <f aca="false">IF(AND(ISNUMBER(I814),ISNUMBER(S814)),I814*AJ814,IF(OR(I814&lt;&gt;"",S814&lt;&gt;""),"tbd",""))</f>
        <v/>
      </c>
      <c r="S814" s="268"/>
      <c r="Y814" s="275" t="str">
        <f aca="false">IF(ISNUMBER(I814),I814/Netto_Faktor,"")</f>
        <v/>
      </c>
      <c r="Z814" s="275" t="str">
        <f aca="false">IF(B814="","",IF(COUNT(J814:N814)=0,"",SUM(J814:N814)))</f>
        <v/>
      </c>
      <c r="AA814" s="266"/>
      <c r="AB814" s="266"/>
      <c r="AC814" s="266"/>
      <c r="AD814" s="266"/>
      <c r="AE814" s="266"/>
      <c r="AF814" s="266"/>
      <c r="AG814" s="267"/>
      <c r="AH814" s="266" t="str">
        <f aca="false">IF(B814="","",IF(BA814="",IF(R814="WON","✅ belegt &amp; vollständig","✔ vollständig"),LEFT(BA814,LEN(BA814)-3)))</f>
        <v/>
      </c>
      <c r="AJ814" s="268" t="n">
        <f aca="false">IF(ISNUMBER(S814),IFERROR(LOOKUP(IF(S814&lt;=1,S814,S814/100),'⚖️ Wahrscheinlichkeit'!$B$17:$B$21,'⚖️ Wahrscheinlichkeit'!$D$17:$D$21),0),0)</f>
        <v>0</v>
      </c>
      <c r="AK814" s="1" t="str">
        <f aca="false">IF(AND(R814="WON",ISNUMBER(I814)),AL814+(861-ROW())*0.000001,"")</f>
        <v/>
      </c>
      <c r="AL814" s="1" t="n">
        <f aca="false">IFERROR(I814*1,0)</f>
        <v>0</v>
      </c>
      <c r="AM814" s="1" t="n">
        <f aca="false">N(AM813)+IF(AND(R814="WON",B814&lt;&gt;""),1,0)</f>
        <v>12</v>
      </c>
      <c r="AN814" s="1" t="n">
        <f aca="false">N(AN813)+IF(AND(OR(R814="offered",R814="to be offered",R814="on hold"),B814&lt;&gt;""),1,0)</f>
        <v>33</v>
      </c>
      <c r="AO814" s="1" t="n">
        <f aca="false">N(AO813)+IF(AND(OR(R814="follow-up",R814="Evaluation",R814="tbd",R814="In evaluation"),B814&lt;&gt;""),1,0)</f>
        <v>1</v>
      </c>
      <c r="AP814" s="1" t="n">
        <f aca="false">IF(B814="",0,IF(COUNTIF('⚖️ Wahrscheinlichkeit'!$J$17:$J$24,R814)&gt;0,1,0))</f>
        <v>0</v>
      </c>
      <c r="AQ814" s="1" t="n">
        <f aca="false">IF(B814="",0,IF(AND(ISNUMBER(S814),COUNTIF('⚖️ Wahrscheinlichkeit'!$B$6:$B$11,S814)&gt;0),1,0))</f>
        <v>0</v>
      </c>
      <c r="AR814" s="1" t="n">
        <f aca="false">IF(B814="",0,IF(AND(COUNT(J814:M814)=4,SUM(J814:M814)&gt;0),1,0))</f>
        <v>0</v>
      </c>
      <c r="AS814" s="1" t="n">
        <f aca="false">IF(B814="",0,IF(AND(AF814&lt;&gt;"",AG814&lt;&gt;""),1,0))</f>
        <v>0</v>
      </c>
      <c r="AT814" s="1" t="n">
        <f aca="false">IF(AND(R814="WON",AS814=1,AR814=1),1,0)</f>
        <v>0</v>
      </c>
      <c r="AU814" s="1" t="n">
        <f aca="false">IF(B814="",0,IF(AD814="Alternative – zählt nicht",0,1))</f>
        <v>0</v>
      </c>
      <c r="AV814" s="1" t="n">
        <f aca="false">IF(B814="",0,IF(COUNTIF($B$6:$B$860,B814)&gt;1,1,0))</f>
        <v>0</v>
      </c>
      <c r="AX814" s="269" t="str">
        <f aca="false">IF(AY814=1,DATE(YEAR(O814),MONTH(O814),1),"")</f>
        <v/>
      </c>
      <c r="AY814" s="1" t="n">
        <f aca="false">IF(B814="",0,IF(AND(ISNUMBER(O814),ISNUMBER(P814)),IF(P814&gt;=O814,1,0),0))</f>
        <v>0</v>
      </c>
      <c r="AZ814" s="1" t="n">
        <f aca="false">IF(ISNUMBER(Y814),Y814,0)</f>
        <v>0</v>
      </c>
      <c r="BA814" s="1" t="str">
        <f aca="false">IF(B814="","",IF(AND(R814="WON",AS814=0),"⛔ Beleg fehlt · ","")&amp;IF(AND(R814="WON",AR814=0),"⛔ Einstand fehlt · ","")&amp;IF(AND(R814&lt;&gt;"WON",AR814=0),"○ Einstand offen · ","")&amp;IF(AND(R814="WON",AB814=""),"⛔ Vertragsart fehlt · ","")&amp;IF(AND(ISNUMBER(O814),ISNUMBER(P814)),IF(P814&lt;O814,"⚠ Ende vor Start · ",""),"")&amp;IF(AND(R814="WON",AY814=0,NOT(AND(ISNUMBER(O814),ISNUMBER(P814)))),"⛔ Zeitraum fehlt · ","")&amp;IF(AND(R814&lt;&gt;"WON",AY814=0,NOT(AND(ISNUMBER(O814),ISNUMBER(P814)))),"○ Zeitraum offen · ",""))</f>
        <v/>
      </c>
      <c r="BB814" s="1" t="str">
        <f aca="false">IF(B814="","",IF(AND(R814="WON",AS814=0),"⛔ Nachweis fehlt",IF(AND(ISNUMBER(O814),ISNUMBER(P814),P814&lt;O814),"⚠ Ende vor Start",IF(AND(R814="WON",AY814=0),"⛔ Zeitraum fehlt",IF(AR814=0,"○ Einstand offen",IF(AY814=0,"○ Zeitraum offen",IF(R814="WON","✅ belegt","✔ erfasst")))))))</f>
        <v/>
      </c>
    </row>
    <row r="815" customFormat="false" ht="15" hidden="false" customHeight="true" outlineLevel="0" collapsed="false">
      <c r="G815" s="1" t="str">
        <f aca="false">IF(B815="","",IF(AY815=1,P815-O815+1,IF(AW815="","",AW815)))</f>
        <v/>
      </c>
      <c r="I815" s="270"/>
      <c r="J815" s="270"/>
      <c r="K815" s="270"/>
      <c r="L815" s="270"/>
      <c r="M815" s="270"/>
      <c r="N815" s="270"/>
      <c r="O815" s="263"/>
      <c r="P815" s="263"/>
      <c r="Q815" s="270" t="str">
        <f aca="false">IF(AND(ISNUMBER(I815),ISNUMBER(S815)),I815*AJ815,IF(OR(I815&lt;&gt;"",S815&lt;&gt;""),"tbd",""))</f>
        <v/>
      </c>
      <c r="S815" s="268"/>
      <c r="Y815" s="275" t="str">
        <f aca="false">IF(ISNUMBER(I815),I815/Netto_Faktor,"")</f>
        <v/>
      </c>
      <c r="Z815" s="275" t="str">
        <f aca="false">IF(B815="","",IF(COUNT(J815:N815)=0,"",SUM(J815:N815)))</f>
        <v/>
      </c>
      <c r="AA815" s="266"/>
      <c r="AB815" s="266"/>
      <c r="AC815" s="266"/>
      <c r="AD815" s="266"/>
      <c r="AE815" s="266"/>
      <c r="AF815" s="266"/>
      <c r="AG815" s="267"/>
      <c r="AH815" s="266" t="str">
        <f aca="false">IF(B815="","",IF(BA815="",IF(R815="WON","✅ belegt &amp; vollständig","✔ vollständig"),LEFT(BA815,LEN(BA815)-3)))</f>
        <v/>
      </c>
      <c r="AJ815" s="268" t="n">
        <f aca="false">IF(ISNUMBER(S815),IFERROR(LOOKUP(IF(S815&lt;=1,S815,S815/100),'⚖️ Wahrscheinlichkeit'!$B$17:$B$21,'⚖️ Wahrscheinlichkeit'!$D$17:$D$21),0),0)</f>
        <v>0</v>
      </c>
      <c r="AK815" s="1" t="str">
        <f aca="false">IF(AND(R815="WON",ISNUMBER(I815)),AL815+(861-ROW())*0.000001,"")</f>
        <v/>
      </c>
      <c r="AL815" s="1" t="n">
        <f aca="false">IFERROR(I815*1,0)</f>
        <v>0</v>
      </c>
      <c r="AM815" s="1" t="n">
        <f aca="false">N(AM814)+IF(AND(R815="WON",B815&lt;&gt;""),1,0)</f>
        <v>12</v>
      </c>
      <c r="AN815" s="1" t="n">
        <f aca="false">N(AN814)+IF(AND(OR(R815="offered",R815="to be offered",R815="on hold"),B815&lt;&gt;""),1,0)</f>
        <v>33</v>
      </c>
      <c r="AO815" s="1" t="n">
        <f aca="false">N(AO814)+IF(AND(OR(R815="follow-up",R815="Evaluation",R815="tbd",R815="In evaluation"),B815&lt;&gt;""),1,0)</f>
        <v>1</v>
      </c>
      <c r="AP815" s="1" t="n">
        <f aca="false">IF(B815="",0,IF(COUNTIF('⚖️ Wahrscheinlichkeit'!$J$17:$J$24,R815)&gt;0,1,0))</f>
        <v>0</v>
      </c>
      <c r="AQ815" s="1" t="n">
        <f aca="false">IF(B815="",0,IF(AND(ISNUMBER(S815),COUNTIF('⚖️ Wahrscheinlichkeit'!$B$6:$B$11,S815)&gt;0),1,0))</f>
        <v>0</v>
      </c>
      <c r="AR815" s="1" t="n">
        <f aca="false">IF(B815="",0,IF(AND(COUNT(J815:M815)=4,SUM(J815:M815)&gt;0),1,0))</f>
        <v>0</v>
      </c>
      <c r="AS815" s="1" t="n">
        <f aca="false">IF(B815="",0,IF(AND(AF815&lt;&gt;"",AG815&lt;&gt;""),1,0))</f>
        <v>0</v>
      </c>
      <c r="AT815" s="1" t="n">
        <f aca="false">IF(AND(R815="WON",AS815=1,AR815=1),1,0)</f>
        <v>0</v>
      </c>
      <c r="AU815" s="1" t="n">
        <f aca="false">IF(B815="",0,IF(AD815="Alternative – zählt nicht",0,1))</f>
        <v>0</v>
      </c>
      <c r="AV815" s="1" t="n">
        <f aca="false">IF(B815="",0,IF(COUNTIF($B$6:$B$860,B815)&gt;1,1,0))</f>
        <v>0</v>
      </c>
      <c r="AX815" s="269" t="str">
        <f aca="false">IF(AY815=1,DATE(YEAR(O815),MONTH(O815),1),"")</f>
        <v/>
      </c>
      <c r="AY815" s="1" t="n">
        <f aca="false">IF(B815="",0,IF(AND(ISNUMBER(O815),ISNUMBER(P815)),IF(P815&gt;=O815,1,0),0))</f>
        <v>0</v>
      </c>
      <c r="AZ815" s="1" t="n">
        <f aca="false">IF(ISNUMBER(Y815),Y815,0)</f>
        <v>0</v>
      </c>
      <c r="BA815" s="1" t="str">
        <f aca="false">IF(B815="","",IF(AND(R815="WON",AS815=0),"⛔ Beleg fehlt · ","")&amp;IF(AND(R815="WON",AR815=0),"⛔ Einstand fehlt · ","")&amp;IF(AND(R815&lt;&gt;"WON",AR815=0),"○ Einstand offen · ","")&amp;IF(AND(R815="WON",AB815=""),"⛔ Vertragsart fehlt · ","")&amp;IF(AND(ISNUMBER(O815),ISNUMBER(P815)),IF(P815&lt;O815,"⚠ Ende vor Start · ",""),"")&amp;IF(AND(R815="WON",AY815=0,NOT(AND(ISNUMBER(O815),ISNUMBER(P815)))),"⛔ Zeitraum fehlt · ","")&amp;IF(AND(R815&lt;&gt;"WON",AY815=0,NOT(AND(ISNUMBER(O815),ISNUMBER(P815)))),"○ Zeitraum offen · ",""))</f>
        <v/>
      </c>
      <c r="BB815" s="1" t="str">
        <f aca="false">IF(B815="","",IF(AND(R815="WON",AS815=0),"⛔ Nachweis fehlt",IF(AND(ISNUMBER(O815),ISNUMBER(P815),P815&lt;O815),"⚠ Ende vor Start",IF(AND(R815="WON",AY815=0),"⛔ Zeitraum fehlt",IF(AR815=0,"○ Einstand offen",IF(AY815=0,"○ Zeitraum offen",IF(R815="WON","✅ belegt","✔ erfasst")))))))</f>
        <v/>
      </c>
    </row>
    <row r="816" customFormat="false" ht="15" hidden="false" customHeight="true" outlineLevel="0" collapsed="false">
      <c r="G816" s="1" t="str">
        <f aca="false">IF(B816="","",IF(AY816=1,P816-O816+1,IF(AW816="","",AW816)))</f>
        <v/>
      </c>
      <c r="I816" s="270"/>
      <c r="J816" s="270"/>
      <c r="K816" s="270"/>
      <c r="L816" s="270"/>
      <c r="M816" s="270"/>
      <c r="N816" s="270"/>
      <c r="O816" s="263"/>
      <c r="P816" s="263"/>
      <c r="Q816" s="270" t="str">
        <f aca="false">IF(AND(ISNUMBER(I816),ISNUMBER(S816)),I816*AJ816,IF(OR(I816&lt;&gt;"",S816&lt;&gt;""),"tbd",""))</f>
        <v/>
      </c>
      <c r="S816" s="268"/>
      <c r="Y816" s="275" t="str">
        <f aca="false">IF(ISNUMBER(I816),I816/Netto_Faktor,"")</f>
        <v/>
      </c>
      <c r="Z816" s="275" t="str">
        <f aca="false">IF(B816="","",IF(COUNT(J816:N816)=0,"",SUM(J816:N816)))</f>
        <v/>
      </c>
      <c r="AA816" s="266"/>
      <c r="AB816" s="266"/>
      <c r="AC816" s="266"/>
      <c r="AD816" s="266"/>
      <c r="AE816" s="266"/>
      <c r="AF816" s="266"/>
      <c r="AG816" s="267"/>
      <c r="AH816" s="266" t="str">
        <f aca="false">IF(B816="","",IF(BA816="",IF(R816="WON","✅ belegt &amp; vollständig","✔ vollständig"),LEFT(BA816,LEN(BA816)-3)))</f>
        <v/>
      </c>
      <c r="AJ816" s="268" t="n">
        <f aca="false">IF(ISNUMBER(S816),IFERROR(LOOKUP(IF(S816&lt;=1,S816,S816/100),'⚖️ Wahrscheinlichkeit'!$B$17:$B$21,'⚖️ Wahrscheinlichkeit'!$D$17:$D$21),0),0)</f>
        <v>0</v>
      </c>
      <c r="AK816" s="1" t="str">
        <f aca="false">IF(AND(R816="WON",ISNUMBER(I816)),AL816+(861-ROW())*0.000001,"")</f>
        <v/>
      </c>
      <c r="AL816" s="1" t="n">
        <f aca="false">IFERROR(I816*1,0)</f>
        <v>0</v>
      </c>
      <c r="AM816" s="1" t="n">
        <f aca="false">N(AM815)+IF(AND(R816="WON",B816&lt;&gt;""),1,0)</f>
        <v>12</v>
      </c>
      <c r="AN816" s="1" t="n">
        <f aca="false">N(AN815)+IF(AND(OR(R816="offered",R816="to be offered",R816="on hold"),B816&lt;&gt;""),1,0)</f>
        <v>33</v>
      </c>
      <c r="AO816" s="1" t="n">
        <f aca="false">N(AO815)+IF(AND(OR(R816="follow-up",R816="Evaluation",R816="tbd",R816="In evaluation"),B816&lt;&gt;""),1,0)</f>
        <v>1</v>
      </c>
      <c r="AP816" s="1" t="n">
        <f aca="false">IF(B816="",0,IF(COUNTIF('⚖️ Wahrscheinlichkeit'!$J$17:$J$24,R816)&gt;0,1,0))</f>
        <v>0</v>
      </c>
      <c r="AQ816" s="1" t="n">
        <f aca="false">IF(B816="",0,IF(AND(ISNUMBER(S816),COUNTIF('⚖️ Wahrscheinlichkeit'!$B$6:$B$11,S816)&gt;0),1,0))</f>
        <v>0</v>
      </c>
      <c r="AR816" s="1" t="n">
        <f aca="false">IF(B816="",0,IF(AND(COUNT(J816:M816)=4,SUM(J816:M816)&gt;0),1,0))</f>
        <v>0</v>
      </c>
      <c r="AS816" s="1" t="n">
        <f aca="false">IF(B816="",0,IF(AND(AF816&lt;&gt;"",AG816&lt;&gt;""),1,0))</f>
        <v>0</v>
      </c>
      <c r="AT816" s="1" t="n">
        <f aca="false">IF(AND(R816="WON",AS816=1,AR816=1),1,0)</f>
        <v>0</v>
      </c>
      <c r="AU816" s="1" t="n">
        <f aca="false">IF(B816="",0,IF(AD816="Alternative – zählt nicht",0,1))</f>
        <v>0</v>
      </c>
      <c r="AV816" s="1" t="n">
        <f aca="false">IF(B816="",0,IF(COUNTIF($B$6:$B$860,B816)&gt;1,1,0))</f>
        <v>0</v>
      </c>
      <c r="AX816" s="269" t="str">
        <f aca="false">IF(AY816=1,DATE(YEAR(O816),MONTH(O816),1),"")</f>
        <v/>
      </c>
      <c r="AY816" s="1" t="n">
        <f aca="false">IF(B816="",0,IF(AND(ISNUMBER(O816),ISNUMBER(P816)),IF(P816&gt;=O816,1,0),0))</f>
        <v>0</v>
      </c>
      <c r="AZ816" s="1" t="n">
        <f aca="false">IF(ISNUMBER(Y816),Y816,0)</f>
        <v>0</v>
      </c>
      <c r="BA816" s="1" t="str">
        <f aca="false">IF(B816="","",IF(AND(R816="WON",AS816=0),"⛔ Beleg fehlt · ","")&amp;IF(AND(R816="WON",AR816=0),"⛔ Einstand fehlt · ","")&amp;IF(AND(R816&lt;&gt;"WON",AR816=0),"○ Einstand offen · ","")&amp;IF(AND(R816="WON",AB816=""),"⛔ Vertragsart fehlt · ","")&amp;IF(AND(ISNUMBER(O816),ISNUMBER(P816)),IF(P816&lt;O816,"⚠ Ende vor Start · ",""),"")&amp;IF(AND(R816="WON",AY816=0,NOT(AND(ISNUMBER(O816),ISNUMBER(P816)))),"⛔ Zeitraum fehlt · ","")&amp;IF(AND(R816&lt;&gt;"WON",AY816=0,NOT(AND(ISNUMBER(O816),ISNUMBER(P816)))),"○ Zeitraum offen · ",""))</f>
        <v/>
      </c>
      <c r="BB816" s="1" t="str">
        <f aca="false">IF(B816="","",IF(AND(R816="WON",AS816=0),"⛔ Nachweis fehlt",IF(AND(ISNUMBER(O816),ISNUMBER(P816),P816&lt;O816),"⚠ Ende vor Start",IF(AND(R816="WON",AY816=0),"⛔ Zeitraum fehlt",IF(AR816=0,"○ Einstand offen",IF(AY816=0,"○ Zeitraum offen",IF(R816="WON","✅ belegt","✔ erfasst")))))))</f>
        <v/>
      </c>
    </row>
    <row r="817" customFormat="false" ht="15" hidden="false" customHeight="true" outlineLevel="0" collapsed="false">
      <c r="G817" s="1" t="str">
        <f aca="false">IF(B817="","",IF(AY817=1,P817-O817+1,IF(AW817="","",AW817)))</f>
        <v/>
      </c>
      <c r="I817" s="270"/>
      <c r="J817" s="270"/>
      <c r="K817" s="270"/>
      <c r="L817" s="270"/>
      <c r="M817" s="270"/>
      <c r="N817" s="270"/>
      <c r="O817" s="263"/>
      <c r="P817" s="263"/>
      <c r="Q817" s="270" t="str">
        <f aca="false">IF(AND(ISNUMBER(I817),ISNUMBER(S817)),I817*AJ817,IF(OR(I817&lt;&gt;"",S817&lt;&gt;""),"tbd",""))</f>
        <v/>
      </c>
      <c r="S817" s="268"/>
      <c r="Y817" s="275" t="str">
        <f aca="false">IF(ISNUMBER(I817),I817/Netto_Faktor,"")</f>
        <v/>
      </c>
      <c r="Z817" s="275" t="str">
        <f aca="false">IF(B817="","",IF(COUNT(J817:N817)=0,"",SUM(J817:N817)))</f>
        <v/>
      </c>
      <c r="AA817" s="266"/>
      <c r="AB817" s="266"/>
      <c r="AC817" s="266"/>
      <c r="AD817" s="266"/>
      <c r="AE817" s="266"/>
      <c r="AF817" s="266"/>
      <c r="AG817" s="267"/>
      <c r="AH817" s="266" t="str">
        <f aca="false">IF(B817="","",IF(BA817="",IF(R817="WON","✅ belegt &amp; vollständig","✔ vollständig"),LEFT(BA817,LEN(BA817)-3)))</f>
        <v/>
      </c>
      <c r="AJ817" s="268" t="n">
        <f aca="false">IF(ISNUMBER(S817),IFERROR(LOOKUP(IF(S817&lt;=1,S817,S817/100),'⚖️ Wahrscheinlichkeit'!$B$17:$B$21,'⚖️ Wahrscheinlichkeit'!$D$17:$D$21),0),0)</f>
        <v>0</v>
      </c>
      <c r="AK817" s="1" t="str">
        <f aca="false">IF(AND(R817="WON",ISNUMBER(I817)),AL817+(861-ROW())*0.000001,"")</f>
        <v/>
      </c>
      <c r="AL817" s="1" t="n">
        <f aca="false">IFERROR(I817*1,0)</f>
        <v>0</v>
      </c>
      <c r="AM817" s="1" t="n">
        <f aca="false">N(AM816)+IF(AND(R817="WON",B817&lt;&gt;""),1,0)</f>
        <v>12</v>
      </c>
      <c r="AN817" s="1" t="n">
        <f aca="false">N(AN816)+IF(AND(OR(R817="offered",R817="to be offered",R817="on hold"),B817&lt;&gt;""),1,0)</f>
        <v>33</v>
      </c>
      <c r="AO817" s="1" t="n">
        <f aca="false">N(AO816)+IF(AND(OR(R817="follow-up",R817="Evaluation",R817="tbd",R817="In evaluation"),B817&lt;&gt;""),1,0)</f>
        <v>1</v>
      </c>
      <c r="AP817" s="1" t="n">
        <f aca="false">IF(B817="",0,IF(COUNTIF('⚖️ Wahrscheinlichkeit'!$J$17:$J$24,R817)&gt;0,1,0))</f>
        <v>0</v>
      </c>
      <c r="AQ817" s="1" t="n">
        <f aca="false">IF(B817="",0,IF(AND(ISNUMBER(S817),COUNTIF('⚖️ Wahrscheinlichkeit'!$B$6:$B$11,S817)&gt;0),1,0))</f>
        <v>0</v>
      </c>
      <c r="AR817" s="1" t="n">
        <f aca="false">IF(B817="",0,IF(AND(COUNT(J817:M817)=4,SUM(J817:M817)&gt;0),1,0))</f>
        <v>0</v>
      </c>
      <c r="AS817" s="1" t="n">
        <f aca="false">IF(B817="",0,IF(AND(AF817&lt;&gt;"",AG817&lt;&gt;""),1,0))</f>
        <v>0</v>
      </c>
      <c r="AT817" s="1" t="n">
        <f aca="false">IF(AND(R817="WON",AS817=1,AR817=1),1,0)</f>
        <v>0</v>
      </c>
      <c r="AU817" s="1" t="n">
        <f aca="false">IF(B817="",0,IF(AD817="Alternative – zählt nicht",0,1))</f>
        <v>0</v>
      </c>
      <c r="AV817" s="1" t="n">
        <f aca="false">IF(B817="",0,IF(COUNTIF($B$6:$B$860,B817)&gt;1,1,0))</f>
        <v>0</v>
      </c>
      <c r="AX817" s="269" t="str">
        <f aca="false">IF(AY817=1,DATE(YEAR(O817),MONTH(O817),1),"")</f>
        <v/>
      </c>
      <c r="AY817" s="1" t="n">
        <f aca="false">IF(B817="",0,IF(AND(ISNUMBER(O817),ISNUMBER(P817)),IF(P817&gt;=O817,1,0),0))</f>
        <v>0</v>
      </c>
      <c r="AZ817" s="1" t="n">
        <f aca="false">IF(ISNUMBER(Y817),Y817,0)</f>
        <v>0</v>
      </c>
      <c r="BA817" s="1" t="str">
        <f aca="false">IF(B817="","",IF(AND(R817="WON",AS817=0),"⛔ Beleg fehlt · ","")&amp;IF(AND(R817="WON",AR817=0),"⛔ Einstand fehlt · ","")&amp;IF(AND(R817&lt;&gt;"WON",AR817=0),"○ Einstand offen · ","")&amp;IF(AND(R817="WON",AB817=""),"⛔ Vertragsart fehlt · ","")&amp;IF(AND(ISNUMBER(O817),ISNUMBER(P817)),IF(P817&lt;O817,"⚠ Ende vor Start · ",""),"")&amp;IF(AND(R817="WON",AY817=0,NOT(AND(ISNUMBER(O817),ISNUMBER(P817)))),"⛔ Zeitraum fehlt · ","")&amp;IF(AND(R817&lt;&gt;"WON",AY817=0,NOT(AND(ISNUMBER(O817),ISNUMBER(P817)))),"○ Zeitraum offen · ",""))</f>
        <v/>
      </c>
      <c r="BB817" s="1" t="str">
        <f aca="false">IF(B817="","",IF(AND(R817="WON",AS817=0),"⛔ Nachweis fehlt",IF(AND(ISNUMBER(O817),ISNUMBER(P817),P817&lt;O817),"⚠ Ende vor Start",IF(AND(R817="WON",AY817=0),"⛔ Zeitraum fehlt",IF(AR817=0,"○ Einstand offen",IF(AY817=0,"○ Zeitraum offen",IF(R817="WON","✅ belegt","✔ erfasst")))))))</f>
        <v/>
      </c>
    </row>
    <row r="818" customFormat="false" ht="15" hidden="false" customHeight="true" outlineLevel="0" collapsed="false">
      <c r="G818" s="1" t="str">
        <f aca="false">IF(B818="","",IF(AY818=1,P818-O818+1,IF(AW818="","",AW818)))</f>
        <v/>
      </c>
      <c r="I818" s="270"/>
      <c r="J818" s="270"/>
      <c r="K818" s="270"/>
      <c r="L818" s="270"/>
      <c r="M818" s="270"/>
      <c r="N818" s="270"/>
      <c r="O818" s="263"/>
      <c r="P818" s="263"/>
      <c r="Q818" s="270" t="str">
        <f aca="false">IF(AND(ISNUMBER(I818),ISNUMBER(S818)),I818*AJ818,IF(OR(I818&lt;&gt;"",S818&lt;&gt;""),"tbd",""))</f>
        <v/>
      </c>
      <c r="S818" s="268"/>
      <c r="Y818" s="275" t="str">
        <f aca="false">IF(ISNUMBER(I818),I818/Netto_Faktor,"")</f>
        <v/>
      </c>
      <c r="Z818" s="275" t="str">
        <f aca="false">IF(B818="","",IF(COUNT(J818:N818)=0,"",SUM(J818:N818)))</f>
        <v/>
      </c>
      <c r="AA818" s="266"/>
      <c r="AB818" s="266"/>
      <c r="AC818" s="266"/>
      <c r="AD818" s="266"/>
      <c r="AE818" s="266"/>
      <c r="AF818" s="266"/>
      <c r="AG818" s="267"/>
      <c r="AH818" s="266" t="str">
        <f aca="false">IF(B818="","",IF(BA818="",IF(R818="WON","✅ belegt &amp; vollständig","✔ vollständig"),LEFT(BA818,LEN(BA818)-3)))</f>
        <v/>
      </c>
      <c r="AJ818" s="268" t="n">
        <f aca="false">IF(ISNUMBER(S818),IFERROR(LOOKUP(IF(S818&lt;=1,S818,S818/100),'⚖️ Wahrscheinlichkeit'!$B$17:$B$21,'⚖️ Wahrscheinlichkeit'!$D$17:$D$21),0),0)</f>
        <v>0</v>
      </c>
      <c r="AK818" s="1" t="str">
        <f aca="false">IF(AND(R818="WON",ISNUMBER(I818)),AL818+(861-ROW())*0.000001,"")</f>
        <v/>
      </c>
      <c r="AL818" s="1" t="n">
        <f aca="false">IFERROR(I818*1,0)</f>
        <v>0</v>
      </c>
      <c r="AM818" s="1" t="n">
        <f aca="false">N(AM817)+IF(AND(R818="WON",B818&lt;&gt;""),1,0)</f>
        <v>12</v>
      </c>
      <c r="AN818" s="1" t="n">
        <f aca="false">N(AN817)+IF(AND(OR(R818="offered",R818="to be offered",R818="on hold"),B818&lt;&gt;""),1,0)</f>
        <v>33</v>
      </c>
      <c r="AO818" s="1" t="n">
        <f aca="false">N(AO817)+IF(AND(OR(R818="follow-up",R818="Evaluation",R818="tbd",R818="In evaluation"),B818&lt;&gt;""),1,0)</f>
        <v>1</v>
      </c>
      <c r="AP818" s="1" t="n">
        <f aca="false">IF(B818="",0,IF(COUNTIF('⚖️ Wahrscheinlichkeit'!$J$17:$J$24,R818)&gt;0,1,0))</f>
        <v>0</v>
      </c>
      <c r="AQ818" s="1" t="n">
        <f aca="false">IF(B818="",0,IF(AND(ISNUMBER(S818),COUNTIF('⚖️ Wahrscheinlichkeit'!$B$6:$B$11,S818)&gt;0),1,0))</f>
        <v>0</v>
      </c>
      <c r="AR818" s="1" t="n">
        <f aca="false">IF(B818="",0,IF(AND(COUNT(J818:M818)=4,SUM(J818:M818)&gt;0),1,0))</f>
        <v>0</v>
      </c>
      <c r="AS818" s="1" t="n">
        <f aca="false">IF(B818="",0,IF(AND(AF818&lt;&gt;"",AG818&lt;&gt;""),1,0))</f>
        <v>0</v>
      </c>
      <c r="AT818" s="1" t="n">
        <f aca="false">IF(AND(R818="WON",AS818=1,AR818=1),1,0)</f>
        <v>0</v>
      </c>
      <c r="AU818" s="1" t="n">
        <f aca="false">IF(B818="",0,IF(AD818="Alternative – zählt nicht",0,1))</f>
        <v>0</v>
      </c>
      <c r="AV818" s="1" t="n">
        <f aca="false">IF(B818="",0,IF(COUNTIF($B$6:$B$860,B818)&gt;1,1,0))</f>
        <v>0</v>
      </c>
      <c r="AX818" s="269" t="str">
        <f aca="false">IF(AY818=1,DATE(YEAR(O818),MONTH(O818),1),"")</f>
        <v/>
      </c>
      <c r="AY818" s="1" t="n">
        <f aca="false">IF(B818="",0,IF(AND(ISNUMBER(O818),ISNUMBER(P818)),IF(P818&gt;=O818,1,0),0))</f>
        <v>0</v>
      </c>
      <c r="AZ818" s="1" t="n">
        <f aca="false">IF(ISNUMBER(Y818),Y818,0)</f>
        <v>0</v>
      </c>
      <c r="BA818" s="1" t="str">
        <f aca="false">IF(B818="","",IF(AND(R818="WON",AS818=0),"⛔ Beleg fehlt · ","")&amp;IF(AND(R818="WON",AR818=0),"⛔ Einstand fehlt · ","")&amp;IF(AND(R818&lt;&gt;"WON",AR818=0),"○ Einstand offen · ","")&amp;IF(AND(R818="WON",AB818=""),"⛔ Vertragsart fehlt · ","")&amp;IF(AND(ISNUMBER(O818),ISNUMBER(P818)),IF(P818&lt;O818,"⚠ Ende vor Start · ",""),"")&amp;IF(AND(R818="WON",AY818=0,NOT(AND(ISNUMBER(O818),ISNUMBER(P818)))),"⛔ Zeitraum fehlt · ","")&amp;IF(AND(R818&lt;&gt;"WON",AY818=0,NOT(AND(ISNUMBER(O818),ISNUMBER(P818)))),"○ Zeitraum offen · ",""))</f>
        <v/>
      </c>
      <c r="BB818" s="1" t="str">
        <f aca="false">IF(B818="","",IF(AND(R818="WON",AS818=0),"⛔ Nachweis fehlt",IF(AND(ISNUMBER(O818),ISNUMBER(P818),P818&lt;O818),"⚠ Ende vor Start",IF(AND(R818="WON",AY818=0),"⛔ Zeitraum fehlt",IF(AR818=0,"○ Einstand offen",IF(AY818=0,"○ Zeitraum offen",IF(R818="WON","✅ belegt","✔ erfasst")))))))</f>
        <v/>
      </c>
    </row>
    <row r="819" customFormat="false" ht="15" hidden="false" customHeight="true" outlineLevel="0" collapsed="false">
      <c r="G819" s="1" t="str">
        <f aca="false">IF(B819="","",IF(AY819=1,P819-O819+1,IF(AW819="","",AW819)))</f>
        <v/>
      </c>
      <c r="I819" s="270"/>
      <c r="J819" s="270"/>
      <c r="K819" s="270"/>
      <c r="L819" s="270"/>
      <c r="M819" s="270"/>
      <c r="N819" s="270"/>
      <c r="O819" s="263"/>
      <c r="P819" s="263"/>
      <c r="Q819" s="270" t="str">
        <f aca="false">IF(AND(ISNUMBER(I819),ISNUMBER(S819)),I819*AJ819,IF(OR(I819&lt;&gt;"",S819&lt;&gt;""),"tbd",""))</f>
        <v/>
      </c>
      <c r="S819" s="268"/>
      <c r="Y819" s="275" t="str">
        <f aca="false">IF(ISNUMBER(I819),I819/Netto_Faktor,"")</f>
        <v/>
      </c>
      <c r="Z819" s="275" t="str">
        <f aca="false">IF(B819="","",IF(COUNT(J819:N819)=0,"",SUM(J819:N819)))</f>
        <v/>
      </c>
      <c r="AA819" s="266"/>
      <c r="AB819" s="266"/>
      <c r="AC819" s="266"/>
      <c r="AD819" s="266"/>
      <c r="AE819" s="266"/>
      <c r="AF819" s="266"/>
      <c r="AG819" s="267"/>
      <c r="AH819" s="266" t="str">
        <f aca="false">IF(B819="","",IF(BA819="",IF(R819="WON","✅ belegt &amp; vollständig","✔ vollständig"),LEFT(BA819,LEN(BA819)-3)))</f>
        <v/>
      </c>
      <c r="AJ819" s="268" t="n">
        <f aca="false">IF(ISNUMBER(S819),IFERROR(LOOKUP(IF(S819&lt;=1,S819,S819/100),'⚖️ Wahrscheinlichkeit'!$B$17:$B$21,'⚖️ Wahrscheinlichkeit'!$D$17:$D$21),0),0)</f>
        <v>0</v>
      </c>
      <c r="AK819" s="1" t="str">
        <f aca="false">IF(AND(R819="WON",ISNUMBER(I819)),AL819+(861-ROW())*0.000001,"")</f>
        <v/>
      </c>
      <c r="AL819" s="1" t="n">
        <f aca="false">IFERROR(I819*1,0)</f>
        <v>0</v>
      </c>
      <c r="AM819" s="1" t="n">
        <f aca="false">N(AM818)+IF(AND(R819="WON",B819&lt;&gt;""),1,0)</f>
        <v>12</v>
      </c>
      <c r="AN819" s="1" t="n">
        <f aca="false">N(AN818)+IF(AND(OR(R819="offered",R819="to be offered",R819="on hold"),B819&lt;&gt;""),1,0)</f>
        <v>33</v>
      </c>
      <c r="AO819" s="1" t="n">
        <f aca="false">N(AO818)+IF(AND(OR(R819="follow-up",R819="Evaluation",R819="tbd",R819="In evaluation"),B819&lt;&gt;""),1,0)</f>
        <v>1</v>
      </c>
      <c r="AP819" s="1" t="n">
        <f aca="false">IF(B819="",0,IF(COUNTIF('⚖️ Wahrscheinlichkeit'!$J$17:$J$24,R819)&gt;0,1,0))</f>
        <v>0</v>
      </c>
      <c r="AQ819" s="1" t="n">
        <f aca="false">IF(B819="",0,IF(AND(ISNUMBER(S819),COUNTIF('⚖️ Wahrscheinlichkeit'!$B$6:$B$11,S819)&gt;0),1,0))</f>
        <v>0</v>
      </c>
      <c r="AR819" s="1" t="n">
        <f aca="false">IF(B819="",0,IF(AND(COUNT(J819:M819)=4,SUM(J819:M819)&gt;0),1,0))</f>
        <v>0</v>
      </c>
      <c r="AS819" s="1" t="n">
        <f aca="false">IF(B819="",0,IF(AND(AF819&lt;&gt;"",AG819&lt;&gt;""),1,0))</f>
        <v>0</v>
      </c>
      <c r="AT819" s="1" t="n">
        <f aca="false">IF(AND(R819="WON",AS819=1,AR819=1),1,0)</f>
        <v>0</v>
      </c>
      <c r="AU819" s="1" t="n">
        <f aca="false">IF(B819="",0,IF(AD819="Alternative – zählt nicht",0,1))</f>
        <v>0</v>
      </c>
      <c r="AV819" s="1" t="n">
        <f aca="false">IF(B819="",0,IF(COUNTIF($B$6:$B$860,B819)&gt;1,1,0))</f>
        <v>0</v>
      </c>
      <c r="AX819" s="269" t="str">
        <f aca="false">IF(AY819=1,DATE(YEAR(O819),MONTH(O819),1),"")</f>
        <v/>
      </c>
      <c r="AY819" s="1" t="n">
        <f aca="false">IF(B819="",0,IF(AND(ISNUMBER(O819),ISNUMBER(P819)),IF(P819&gt;=O819,1,0),0))</f>
        <v>0</v>
      </c>
      <c r="AZ819" s="1" t="n">
        <f aca="false">IF(ISNUMBER(Y819),Y819,0)</f>
        <v>0</v>
      </c>
      <c r="BA819" s="1" t="str">
        <f aca="false">IF(B819="","",IF(AND(R819="WON",AS819=0),"⛔ Beleg fehlt · ","")&amp;IF(AND(R819="WON",AR819=0),"⛔ Einstand fehlt · ","")&amp;IF(AND(R819&lt;&gt;"WON",AR819=0),"○ Einstand offen · ","")&amp;IF(AND(R819="WON",AB819=""),"⛔ Vertragsart fehlt · ","")&amp;IF(AND(ISNUMBER(O819),ISNUMBER(P819)),IF(P819&lt;O819,"⚠ Ende vor Start · ",""),"")&amp;IF(AND(R819="WON",AY819=0,NOT(AND(ISNUMBER(O819),ISNUMBER(P819)))),"⛔ Zeitraum fehlt · ","")&amp;IF(AND(R819&lt;&gt;"WON",AY819=0,NOT(AND(ISNUMBER(O819),ISNUMBER(P819)))),"○ Zeitraum offen · ",""))</f>
        <v/>
      </c>
      <c r="BB819" s="1" t="str">
        <f aca="false">IF(B819="","",IF(AND(R819="WON",AS819=0),"⛔ Nachweis fehlt",IF(AND(ISNUMBER(O819),ISNUMBER(P819),P819&lt;O819),"⚠ Ende vor Start",IF(AND(R819="WON",AY819=0),"⛔ Zeitraum fehlt",IF(AR819=0,"○ Einstand offen",IF(AY819=0,"○ Zeitraum offen",IF(R819="WON","✅ belegt","✔ erfasst")))))))</f>
        <v/>
      </c>
    </row>
    <row r="820" customFormat="false" ht="15" hidden="false" customHeight="true" outlineLevel="0" collapsed="false">
      <c r="G820" s="1" t="str">
        <f aca="false">IF(B820="","",IF(AY820=1,P820-O820+1,IF(AW820="","",AW820)))</f>
        <v/>
      </c>
      <c r="I820" s="270"/>
      <c r="J820" s="270"/>
      <c r="K820" s="270"/>
      <c r="L820" s="270"/>
      <c r="M820" s="270"/>
      <c r="N820" s="270"/>
      <c r="O820" s="263"/>
      <c r="P820" s="263"/>
      <c r="Q820" s="270" t="str">
        <f aca="false">IF(AND(ISNUMBER(I820),ISNUMBER(S820)),I820*AJ820,IF(OR(I820&lt;&gt;"",S820&lt;&gt;""),"tbd",""))</f>
        <v/>
      </c>
      <c r="S820" s="268"/>
      <c r="Y820" s="275" t="str">
        <f aca="false">IF(ISNUMBER(I820),I820/Netto_Faktor,"")</f>
        <v/>
      </c>
      <c r="Z820" s="275" t="str">
        <f aca="false">IF(B820="","",IF(COUNT(J820:N820)=0,"",SUM(J820:N820)))</f>
        <v/>
      </c>
      <c r="AA820" s="266"/>
      <c r="AB820" s="266"/>
      <c r="AC820" s="266"/>
      <c r="AD820" s="266"/>
      <c r="AE820" s="266"/>
      <c r="AF820" s="266"/>
      <c r="AG820" s="267"/>
      <c r="AH820" s="266" t="str">
        <f aca="false">IF(B820="","",IF(BA820="",IF(R820="WON","✅ belegt &amp; vollständig","✔ vollständig"),LEFT(BA820,LEN(BA820)-3)))</f>
        <v/>
      </c>
      <c r="AJ820" s="268" t="n">
        <f aca="false">IF(ISNUMBER(S820),IFERROR(LOOKUP(IF(S820&lt;=1,S820,S820/100),'⚖️ Wahrscheinlichkeit'!$B$17:$B$21,'⚖️ Wahrscheinlichkeit'!$D$17:$D$21),0),0)</f>
        <v>0</v>
      </c>
      <c r="AK820" s="1" t="str">
        <f aca="false">IF(AND(R820="WON",ISNUMBER(I820)),AL820+(861-ROW())*0.000001,"")</f>
        <v/>
      </c>
      <c r="AL820" s="1" t="n">
        <f aca="false">IFERROR(I820*1,0)</f>
        <v>0</v>
      </c>
      <c r="AM820" s="1" t="n">
        <f aca="false">N(AM819)+IF(AND(R820="WON",B820&lt;&gt;""),1,0)</f>
        <v>12</v>
      </c>
      <c r="AN820" s="1" t="n">
        <f aca="false">N(AN819)+IF(AND(OR(R820="offered",R820="to be offered",R820="on hold"),B820&lt;&gt;""),1,0)</f>
        <v>33</v>
      </c>
      <c r="AO820" s="1" t="n">
        <f aca="false">N(AO819)+IF(AND(OR(R820="follow-up",R820="Evaluation",R820="tbd",R820="In evaluation"),B820&lt;&gt;""),1,0)</f>
        <v>1</v>
      </c>
      <c r="AP820" s="1" t="n">
        <f aca="false">IF(B820="",0,IF(COUNTIF('⚖️ Wahrscheinlichkeit'!$J$17:$J$24,R820)&gt;0,1,0))</f>
        <v>0</v>
      </c>
      <c r="AQ820" s="1" t="n">
        <f aca="false">IF(B820="",0,IF(AND(ISNUMBER(S820),COUNTIF('⚖️ Wahrscheinlichkeit'!$B$6:$B$11,S820)&gt;0),1,0))</f>
        <v>0</v>
      </c>
      <c r="AR820" s="1" t="n">
        <f aca="false">IF(B820="",0,IF(AND(COUNT(J820:M820)=4,SUM(J820:M820)&gt;0),1,0))</f>
        <v>0</v>
      </c>
      <c r="AS820" s="1" t="n">
        <f aca="false">IF(B820="",0,IF(AND(AF820&lt;&gt;"",AG820&lt;&gt;""),1,0))</f>
        <v>0</v>
      </c>
      <c r="AT820" s="1" t="n">
        <f aca="false">IF(AND(R820="WON",AS820=1,AR820=1),1,0)</f>
        <v>0</v>
      </c>
      <c r="AU820" s="1" t="n">
        <f aca="false">IF(B820="",0,IF(AD820="Alternative – zählt nicht",0,1))</f>
        <v>0</v>
      </c>
      <c r="AV820" s="1" t="n">
        <f aca="false">IF(B820="",0,IF(COUNTIF($B$6:$B$860,B820)&gt;1,1,0))</f>
        <v>0</v>
      </c>
      <c r="AX820" s="269" t="str">
        <f aca="false">IF(AY820=1,DATE(YEAR(O820),MONTH(O820),1),"")</f>
        <v/>
      </c>
      <c r="AY820" s="1" t="n">
        <f aca="false">IF(B820="",0,IF(AND(ISNUMBER(O820),ISNUMBER(P820)),IF(P820&gt;=O820,1,0),0))</f>
        <v>0</v>
      </c>
      <c r="AZ820" s="1" t="n">
        <f aca="false">IF(ISNUMBER(Y820),Y820,0)</f>
        <v>0</v>
      </c>
      <c r="BA820" s="1" t="str">
        <f aca="false">IF(B820="","",IF(AND(R820="WON",AS820=0),"⛔ Beleg fehlt · ","")&amp;IF(AND(R820="WON",AR820=0),"⛔ Einstand fehlt · ","")&amp;IF(AND(R820&lt;&gt;"WON",AR820=0),"○ Einstand offen · ","")&amp;IF(AND(R820="WON",AB820=""),"⛔ Vertragsart fehlt · ","")&amp;IF(AND(ISNUMBER(O820),ISNUMBER(P820)),IF(P820&lt;O820,"⚠ Ende vor Start · ",""),"")&amp;IF(AND(R820="WON",AY820=0,NOT(AND(ISNUMBER(O820),ISNUMBER(P820)))),"⛔ Zeitraum fehlt · ","")&amp;IF(AND(R820&lt;&gt;"WON",AY820=0,NOT(AND(ISNUMBER(O820),ISNUMBER(P820)))),"○ Zeitraum offen · ",""))</f>
        <v/>
      </c>
      <c r="BB820" s="1" t="str">
        <f aca="false">IF(B820="","",IF(AND(R820="WON",AS820=0),"⛔ Nachweis fehlt",IF(AND(ISNUMBER(O820),ISNUMBER(P820),P820&lt;O820),"⚠ Ende vor Start",IF(AND(R820="WON",AY820=0),"⛔ Zeitraum fehlt",IF(AR820=0,"○ Einstand offen",IF(AY820=0,"○ Zeitraum offen",IF(R820="WON","✅ belegt","✔ erfasst")))))))</f>
        <v/>
      </c>
    </row>
    <row r="821" customFormat="false" ht="15" hidden="false" customHeight="true" outlineLevel="0" collapsed="false">
      <c r="G821" s="1" t="str">
        <f aca="false">IF(B821="","",IF(AY821=1,P821-O821+1,IF(AW821="","",AW821)))</f>
        <v/>
      </c>
      <c r="I821" s="270"/>
      <c r="J821" s="270"/>
      <c r="K821" s="270"/>
      <c r="L821" s="270"/>
      <c r="M821" s="270"/>
      <c r="N821" s="270"/>
      <c r="O821" s="263"/>
      <c r="P821" s="263"/>
      <c r="Q821" s="270" t="str">
        <f aca="false">IF(AND(ISNUMBER(I821),ISNUMBER(S821)),I821*AJ821,IF(OR(I821&lt;&gt;"",S821&lt;&gt;""),"tbd",""))</f>
        <v/>
      </c>
      <c r="S821" s="268"/>
      <c r="Y821" s="275" t="str">
        <f aca="false">IF(ISNUMBER(I821),I821/Netto_Faktor,"")</f>
        <v/>
      </c>
      <c r="Z821" s="275" t="str">
        <f aca="false">IF(B821="","",IF(COUNT(J821:N821)=0,"",SUM(J821:N821)))</f>
        <v/>
      </c>
      <c r="AA821" s="266"/>
      <c r="AB821" s="266"/>
      <c r="AC821" s="266"/>
      <c r="AD821" s="266"/>
      <c r="AE821" s="266"/>
      <c r="AF821" s="266"/>
      <c r="AG821" s="267"/>
      <c r="AH821" s="266" t="str">
        <f aca="false">IF(B821="","",IF(BA821="",IF(R821="WON","✅ belegt &amp; vollständig","✔ vollständig"),LEFT(BA821,LEN(BA821)-3)))</f>
        <v/>
      </c>
      <c r="AJ821" s="268" t="n">
        <f aca="false">IF(ISNUMBER(S821),IFERROR(LOOKUP(IF(S821&lt;=1,S821,S821/100),'⚖️ Wahrscheinlichkeit'!$B$17:$B$21,'⚖️ Wahrscheinlichkeit'!$D$17:$D$21),0),0)</f>
        <v>0</v>
      </c>
      <c r="AK821" s="1" t="str">
        <f aca="false">IF(AND(R821="WON",ISNUMBER(I821)),AL821+(861-ROW())*0.000001,"")</f>
        <v/>
      </c>
      <c r="AL821" s="1" t="n">
        <f aca="false">IFERROR(I821*1,0)</f>
        <v>0</v>
      </c>
      <c r="AM821" s="1" t="n">
        <f aca="false">N(AM820)+IF(AND(R821="WON",B821&lt;&gt;""),1,0)</f>
        <v>12</v>
      </c>
      <c r="AN821" s="1" t="n">
        <f aca="false">N(AN820)+IF(AND(OR(R821="offered",R821="to be offered",R821="on hold"),B821&lt;&gt;""),1,0)</f>
        <v>33</v>
      </c>
      <c r="AO821" s="1" t="n">
        <f aca="false">N(AO820)+IF(AND(OR(R821="follow-up",R821="Evaluation",R821="tbd",R821="In evaluation"),B821&lt;&gt;""),1,0)</f>
        <v>1</v>
      </c>
      <c r="AP821" s="1" t="n">
        <f aca="false">IF(B821="",0,IF(COUNTIF('⚖️ Wahrscheinlichkeit'!$J$17:$J$24,R821)&gt;0,1,0))</f>
        <v>0</v>
      </c>
      <c r="AQ821" s="1" t="n">
        <f aca="false">IF(B821="",0,IF(AND(ISNUMBER(S821),COUNTIF('⚖️ Wahrscheinlichkeit'!$B$6:$B$11,S821)&gt;0),1,0))</f>
        <v>0</v>
      </c>
      <c r="AR821" s="1" t="n">
        <f aca="false">IF(B821="",0,IF(AND(COUNT(J821:M821)=4,SUM(J821:M821)&gt;0),1,0))</f>
        <v>0</v>
      </c>
      <c r="AS821" s="1" t="n">
        <f aca="false">IF(B821="",0,IF(AND(AF821&lt;&gt;"",AG821&lt;&gt;""),1,0))</f>
        <v>0</v>
      </c>
      <c r="AT821" s="1" t="n">
        <f aca="false">IF(AND(R821="WON",AS821=1,AR821=1),1,0)</f>
        <v>0</v>
      </c>
      <c r="AU821" s="1" t="n">
        <f aca="false">IF(B821="",0,IF(AD821="Alternative – zählt nicht",0,1))</f>
        <v>0</v>
      </c>
      <c r="AV821" s="1" t="n">
        <f aca="false">IF(B821="",0,IF(COUNTIF($B$6:$B$860,B821)&gt;1,1,0))</f>
        <v>0</v>
      </c>
      <c r="AX821" s="269" t="str">
        <f aca="false">IF(AY821=1,DATE(YEAR(O821),MONTH(O821),1),"")</f>
        <v/>
      </c>
      <c r="AY821" s="1" t="n">
        <f aca="false">IF(B821="",0,IF(AND(ISNUMBER(O821),ISNUMBER(P821)),IF(P821&gt;=O821,1,0),0))</f>
        <v>0</v>
      </c>
      <c r="AZ821" s="1" t="n">
        <f aca="false">IF(ISNUMBER(Y821),Y821,0)</f>
        <v>0</v>
      </c>
      <c r="BA821" s="1" t="str">
        <f aca="false">IF(B821="","",IF(AND(R821="WON",AS821=0),"⛔ Beleg fehlt · ","")&amp;IF(AND(R821="WON",AR821=0),"⛔ Einstand fehlt · ","")&amp;IF(AND(R821&lt;&gt;"WON",AR821=0),"○ Einstand offen · ","")&amp;IF(AND(R821="WON",AB821=""),"⛔ Vertragsart fehlt · ","")&amp;IF(AND(ISNUMBER(O821),ISNUMBER(P821)),IF(P821&lt;O821,"⚠ Ende vor Start · ",""),"")&amp;IF(AND(R821="WON",AY821=0,NOT(AND(ISNUMBER(O821),ISNUMBER(P821)))),"⛔ Zeitraum fehlt · ","")&amp;IF(AND(R821&lt;&gt;"WON",AY821=0,NOT(AND(ISNUMBER(O821),ISNUMBER(P821)))),"○ Zeitraum offen · ",""))</f>
        <v/>
      </c>
      <c r="BB821" s="1" t="str">
        <f aca="false">IF(B821="","",IF(AND(R821="WON",AS821=0),"⛔ Nachweis fehlt",IF(AND(ISNUMBER(O821),ISNUMBER(P821),P821&lt;O821),"⚠ Ende vor Start",IF(AND(R821="WON",AY821=0),"⛔ Zeitraum fehlt",IF(AR821=0,"○ Einstand offen",IF(AY821=0,"○ Zeitraum offen",IF(R821="WON","✅ belegt","✔ erfasst")))))))</f>
        <v/>
      </c>
    </row>
    <row r="822" customFormat="false" ht="15" hidden="false" customHeight="true" outlineLevel="0" collapsed="false">
      <c r="G822" s="1" t="str">
        <f aca="false">IF(B822="","",IF(AY822=1,P822-O822+1,IF(AW822="","",AW822)))</f>
        <v/>
      </c>
      <c r="I822" s="270"/>
      <c r="J822" s="270"/>
      <c r="K822" s="270"/>
      <c r="L822" s="270"/>
      <c r="M822" s="270"/>
      <c r="N822" s="270"/>
      <c r="O822" s="263"/>
      <c r="P822" s="263"/>
      <c r="Q822" s="270" t="str">
        <f aca="false">IF(AND(ISNUMBER(I822),ISNUMBER(S822)),I822*AJ822,IF(OR(I822&lt;&gt;"",S822&lt;&gt;""),"tbd",""))</f>
        <v/>
      </c>
      <c r="S822" s="268"/>
      <c r="Y822" s="275" t="str">
        <f aca="false">IF(ISNUMBER(I822),I822/Netto_Faktor,"")</f>
        <v/>
      </c>
      <c r="Z822" s="275" t="str">
        <f aca="false">IF(B822="","",IF(COUNT(J822:N822)=0,"",SUM(J822:N822)))</f>
        <v/>
      </c>
      <c r="AA822" s="266"/>
      <c r="AB822" s="266"/>
      <c r="AC822" s="266"/>
      <c r="AD822" s="266"/>
      <c r="AE822" s="266"/>
      <c r="AF822" s="266"/>
      <c r="AG822" s="267"/>
      <c r="AH822" s="266" t="str">
        <f aca="false">IF(B822="","",IF(BA822="",IF(R822="WON","✅ belegt &amp; vollständig","✔ vollständig"),LEFT(BA822,LEN(BA822)-3)))</f>
        <v/>
      </c>
      <c r="AJ822" s="268" t="n">
        <f aca="false">IF(ISNUMBER(S822),IFERROR(LOOKUP(IF(S822&lt;=1,S822,S822/100),'⚖️ Wahrscheinlichkeit'!$B$17:$B$21,'⚖️ Wahrscheinlichkeit'!$D$17:$D$21),0),0)</f>
        <v>0</v>
      </c>
      <c r="AK822" s="1" t="str">
        <f aca="false">IF(AND(R822="WON",ISNUMBER(I822)),AL822+(861-ROW())*0.000001,"")</f>
        <v/>
      </c>
      <c r="AL822" s="1" t="n">
        <f aca="false">IFERROR(I822*1,0)</f>
        <v>0</v>
      </c>
      <c r="AM822" s="1" t="n">
        <f aca="false">N(AM821)+IF(AND(R822="WON",B822&lt;&gt;""),1,0)</f>
        <v>12</v>
      </c>
      <c r="AN822" s="1" t="n">
        <f aca="false">N(AN821)+IF(AND(OR(R822="offered",R822="to be offered",R822="on hold"),B822&lt;&gt;""),1,0)</f>
        <v>33</v>
      </c>
      <c r="AO822" s="1" t="n">
        <f aca="false">N(AO821)+IF(AND(OR(R822="follow-up",R822="Evaluation",R822="tbd",R822="In evaluation"),B822&lt;&gt;""),1,0)</f>
        <v>1</v>
      </c>
      <c r="AP822" s="1" t="n">
        <f aca="false">IF(B822="",0,IF(COUNTIF('⚖️ Wahrscheinlichkeit'!$J$17:$J$24,R822)&gt;0,1,0))</f>
        <v>0</v>
      </c>
      <c r="AQ822" s="1" t="n">
        <f aca="false">IF(B822="",0,IF(AND(ISNUMBER(S822),COUNTIF('⚖️ Wahrscheinlichkeit'!$B$6:$B$11,S822)&gt;0),1,0))</f>
        <v>0</v>
      </c>
      <c r="AR822" s="1" t="n">
        <f aca="false">IF(B822="",0,IF(AND(COUNT(J822:M822)=4,SUM(J822:M822)&gt;0),1,0))</f>
        <v>0</v>
      </c>
      <c r="AS822" s="1" t="n">
        <f aca="false">IF(B822="",0,IF(AND(AF822&lt;&gt;"",AG822&lt;&gt;""),1,0))</f>
        <v>0</v>
      </c>
      <c r="AT822" s="1" t="n">
        <f aca="false">IF(AND(R822="WON",AS822=1,AR822=1),1,0)</f>
        <v>0</v>
      </c>
      <c r="AU822" s="1" t="n">
        <f aca="false">IF(B822="",0,IF(AD822="Alternative – zählt nicht",0,1))</f>
        <v>0</v>
      </c>
      <c r="AV822" s="1" t="n">
        <f aca="false">IF(B822="",0,IF(COUNTIF($B$6:$B$860,B822)&gt;1,1,0))</f>
        <v>0</v>
      </c>
      <c r="AX822" s="269" t="str">
        <f aca="false">IF(AY822=1,DATE(YEAR(O822),MONTH(O822),1),"")</f>
        <v/>
      </c>
      <c r="AY822" s="1" t="n">
        <f aca="false">IF(B822="",0,IF(AND(ISNUMBER(O822),ISNUMBER(P822)),IF(P822&gt;=O822,1,0),0))</f>
        <v>0</v>
      </c>
      <c r="AZ822" s="1" t="n">
        <f aca="false">IF(ISNUMBER(Y822),Y822,0)</f>
        <v>0</v>
      </c>
      <c r="BA822" s="1" t="str">
        <f aca="false">IF(B822="","",IF(AND(R822="WON",AS822=0),"⛔ Beleg fehlt · ","")&amp;IF(AND(R822="WON",AR822=0),"⛔ Einstand fehlt · ","")&amp;IF(AND(R822&lt;&gt;"WON",AR822=0),"○ Einstand offen · ","")&amp;IF(AND(R822="WON",AB822=""),"⛔ Vertragsart fehlt · ","")&amp;IF(AND(ISNUMBER(O822),ISNUMBER(P822)),IF(P822&lt;O822,"⚠ Ende vor Start · ",""),"")&amp;IF(AND(R822="WON",AY822=0,NOT(AND(ISNUMBER(O822),ISNUMBER(P822)))),"⛔ Zeitraum fehlt · ","")&amp;IF(AND(R822&lt;&gt;"WON",AY822=0,NOT(AND(ISNUMBER(O822),ISNUMBER(P822)))),"○ Zeitraum offen · ",""))</f>
        <v/>
      </c>
      <c r="BB822" s="1" t="str">
        <f aca="false">IF(B822="","",IF(AND(R822="WON",AS822=0),"⛔ Nachweis fehlt",IF(AND(ISNUMBER(O822),ISNUMBER(P822),P822&lt;O822),"⚠ Ende vor Start",IF(AND(R822="WON",AY822=0),"⛔ Zeitraum fehlt",IF(AR822=0,"○ Einstand offen",IF(AY822=0,"○ Zeitraum offen",IF(R822="WON","✅ belegt","✔ erfasst")))))))</f>
        <v/>
      </c>
    </row>
    <row r="823" customFormat="false" ht="15" hidden="false" customHeight="true" outlineLevel="0" collapsed="false">
      <c r="G823" s="1" t="str">
        <f aca="false">IF(B823="","",IF(AY823=1,P823-O823+1,IF(AW823="","",AW823)))</f>
        <v/>
      </c>
      <c r="I823" s="270"/>
      <c r="J823" s="270"/>
      <c r="K823" s="270"/>
      <c r="L823" s="270"/>
      <c r="M823" s="270"/>
      <c r="N823" s="270"/>
      <c r="O823" s="263"/>
      <c r="P823" s="263"/>
      <c r="Q823" s="270" t="str">
        <f aca="false">IF(AND(ISNUMBER(I823),ISNUMBER(S823)),I823*AJ823,IF(OR(I823&lt;&gt;"",S823&lt;&gt;""),"tbd",""))</f>
        <v/>
      </c>
      <c r="S823" s="268"/>
      <c r="Y823" s="275" t="str">
        <f aca="false">IF(ISNUMBER(I823),I823/Netto_Faktor,"")</f>
        <v/>
      </c>
      <c r="Z823" s="275" t="str">
        <f aca="false">IF(B823="","",IF(COUNT(J823:N823)=0,"",SUM(J823:N823)))</f>
        <v/>
      </c>
      <c r="AA823" s="266"/>
      <c r="AB823" s="266"/>
      <c r="AC823" s="266"/>
      <c r="AD823" s="266"/>
      <c r="AE823" s="266"/>
      <c r="AF823" s="266"/>
      <c r="AG823" s="267"/>
      <c r="AH823" s="266" t="str">
        <f aca="false">IF(B823="","",IF(BA823="",IF(R823="WON","✅ belegt &amp; vollständig","✔ vollständig"),LEFT(BA823,LEN(BA823)-3)))</f>
        <v/>
      </c>
      <c r="AJ823" s="268" t="n">
        <f aca="false">IF(ISNUMBER(S823),IFERROR(LOOKUP(IF(S823&lt;=1,S823,S823/100),'⚖️ Wahrscheinlichkeit'!$B$17:$B$21,'⚖️ Wahrscheinlichkeit'!$D$17:$D$21),0),0)</f>
        <v>0</v>
      </c>
      <c r="AK823" s="1" t="str">
        <f aca="false">IF(AND(R823="WON",ISNUMBER(I823)),AL823+(861-ROW())*0.000001,"")</f>
        <v/>
      </c>
      <c r="AL823" s="1" t="n">
        <f aca="false">IFERROR(I823*1,0)</f>
        <v>0</v>
      </c>
      <c r="AM823" s="1" t="n">
        <f aca="false">N(AM822)+IF(AND(R823="WON",B823&lt;&gt;""),1,0)</f>
        <v>12</v>
      </c>
      <c r="AN823" s="1" t="n">
        <f aca="false">N(AN822)+IF(AND(OR(R823="offered",R823="to be offered",R823="on hold"),B823&lt;&gt;""),1,0)</f>
        <v>33</v>
      </c>
      <c r="AO823" s="1" t="n">
        <f aca="false">N(AO822)+IF(AND(OR(R823="follow-up",R823="Evaluation",R823="tbd",R823="In evaluation"),B823&lt;&gt;""),1,0)</f>
        <v>1</v>
      </c>
      <c r="AP823" s="1" t="n">
        <f aca="false">IF(B823="",0,IF(COUNTIF('⚖️ Wahrscheinlichkeit'!$J$17:$J$24,R823)&gt;0,1,0))</f>
        <v>0</v>
      </c>
      <c r="AQ823" s="1" t="n">
        <f aca="false">IF(B823="",0,IF(AND(ISNUMBER(S823),COUNTIF('⚖️ Wahrscheinlichkeit'!$B$6:$B$11,S823)&gt;0),1,0))</f>
        <v>0</v>
      </c>
      <c r="AR823" s="1" t="n">
        <f aca="false">IF(B823="",0,IF(AND(COUNT(J823:M823)=4,SUM(J823:M823)&gt;0),1,0))</f>
        <v>0</v>
      </c>
      <c r="AS823" s="1" t="n">
        <f aca="false">IF(B823="",0,IF(AND(AF823&lt;&gt;"",AG823&lt;&gt;""),1,0))</f>
        <v>0</v>
      </c>
      <c r="AT823" s="1" t="n">
        <f aca="false">IF(AND(R823="WON",AS823=1,AR823=1),1,0)</f>
        <v>0</v>
      </c>
      <c r="AU823" s="1" t="n">
        <f aca="false">IF(B823="",0,IF(AD823="Alternative – zählt nicht",0,1))</f>
        <v>0</v>
      </c>
      <c r="AV823" s="1" t="n">
        <f aca="false">IF(B823="",0,IF(COUNTIF($B$6:$B$860,B823)&gt;1,1,0))</f>
        <v>0</v>
      </c>
      <c r="AX823" s="269" t="str">
        <f aca="false">IF(AY823=1,DATE(YEAR(O823),MONTH(O823),1),"")</f>
        <v/>
      </c>
      <c r="AY823" s="1" t="n">
        <f aca="false">IF(B823="",0,IF(AND(ISNUMBER(O823),ISNUMBER(P823)),IF(P823&gt;=O823,1,0),0))</f>
        <v>0</v>
      </c>
      <c r="AZ823" s="1" t="n">
        <f aca="false">IF(ISNUMBER(Y823),Y823,0)</f>
        <v>0</v>
      </c>
      <c r="BA823" s="1" t="str">
        <f aca="false">IF(B823="","",IF(AND(R823="WON",AS823=0),"⛔ Beleg fehlt · ","")&amp;IF(AND(R823="WON",AR823=0),"⛔ Einstand fehlt · ","")&amp;IF(AND(R823&lt;&gt;"WON",AR823=0),"○ Einstand offen · ","")&amp;IF(AND(R823="WON",AB823=""),"⛔ Vertragsart fehlt · ","")&amp;IF(AND(ISNUMBER(O823),ISNUMBER(P823)),IF(P823&lt;O823,"⚠ Ende vor Start · ",""),"")&amp;IF(AND(R823="WON",AY823=0,NOT(AND(ISNUMBER(O823),ISNUMBER(P823)))),"⛔ Zeitraum fehlt · ","")&amp;IF(AND(R823&lt;&gt;"WON",AY823=0,NOT(AND(ISNUMBER(O823),ISNUMBER(P823)))),"○ Zeitraum offen · ",""))</f>
        <v/>
      </c>
      <c r="BB823" s="1" t="str">
        <f aca="false">IF(B823="","",IF(AND(R823="WON",AS823=0),"⛔ Nachweis fehlt",IF(AND(ISNUMBER(O823),ISNUMBER(P823),P823&lt;O823),"⚠ Ende vor Start",IF(AND(R823="WON",AY823=0),"⛔ Zeitraum fehlt",IF(AR823=0,"○ Einstand offen",IF(AY823=0,"○ Zeitraum offen",IF(R823="WON","✅ belegt","✔ erfasst")))))))</f>
        <v/>
      </c>
    </row>
    <row r="824" customFormat="false" ht="15" hidden="false" customHeight="true" outlineLevel="0" collapsed="false">
      <c r="G824" s="1" t="str">
        <f aca="false">IF(B824="","",IF(AY824=1,P824-O824+1,IF(AW824="","",AW824)))</f>
        <v/>
      </c>
      <c r="I824" s="270"/>
      <c r="J824" s="270"/>
      <c r="K824" s="270"/>
      <c r="L824" s="270"/>
      <c r="M824" s="270"/>
      <c r="N824" s="270"/>
      <c r="O824" s="263"/>
      <c r="P824" s="263"/>
      <c r="Q824" s="270" t="str">
        <f aca="false">IF(AND(ISNUMBER(I824),ISNUMBER(S824)),I824*AJ824,IF(OR(I824&lt;&gt;"",S824&lt;&gt;""),"tbd",""))</f>
        <v/>
      </c>
      <c r="S824" s="268"/>
      <c r="Y824" s="275" t="str">
        <f aca="false">IF(ISNUMBER(I824),I824/Netto_Faktor,"")</f>
        <v/>
      </c>
      <c r="Z824" s="275" t="str">
        <f aca="false">IF(B824="","",IF(COUNT(J824:N824)=0,"",SUM(J824:N824)))</f>
        <v/>
      </c>
      <c r="AA824" s="266"/>
      <c r="AB824" s="266"/>
      <c r="AC824" s="266"/>
      <c r="AD824" s="266"/>
      <c r="AE824" s="266"/>
      <c r="AF824" s="266"/>
      <c r="AG824" s="267"/>
      <c r="AH824" s="266" t="str">
        <f aca="false">IF(B824="","",IF(BA824="",IF(R824="WON","✅ belegt &amp; vollständig","✔ vollständig"),LEFT(BA824,LEN(BA824)-3)))</f>
        <v/>
      </c>
      <c r="AJ824" s="268" t="n">
        <f aca="false">IF(ISNUMBER(S824),IFERROR(LOOKUP(IF(S824&lt;=1,S824,S824/100),'⚖️ Wahrscheinlichkeit'!$B$17:$B$21,'⚖️ Wahrscheinlichkeit'!$D$17:$D$21),0),0)</f>
        <v>0</v>
      </c>
      <c r="AK824" s="1" t="str">
        <f aca="false">IF(AND(R824="WON",ISNUMBER(I824)),AL824+(861-ROW())*0.000001,"")</f>
        <v/>
      </c>
      <c r="AL824" s="1" t="n">
        <f aca="false">IFERROR(I824*1,0)</f>
        <v>0</v>
      </c>
      <c r="AM824" s="1" t="n">
        <f aca="false">N(AM823)+IF(AND(R824="WON",B824&lt;&gt;""),1,0)</f>
        <v>12</v>
      </c>
      <c r="AN824" s="1" t="n">
        <f aca="false">N(AN823)+IF(AND(OR(R824="offered",R824="to be offered",R824="on hold"),B824&lt;&gt;""),1,0)</f>
        <v>33</v>
      </c>
      <c r="AO824" s="1" t="n">
        <f aca="false">N(AO823)+IF(AND(OR(R824="follow-up",R824="Evaluation",R824="tbd",R824="In evaluation"),B824&lt;&gt;""),1,0)</f>
        <v>1</v>
      </c>
      <c r="AP824" s="1" t="n">
        <f aca="false">IF(B824="",0,IF(COUNTIF('⚖️ Wahrscheinlichkeit'!$J$17:$J$24,R824)&gt;0,1,0))</f>
        <v>0</v>
      </c>
      <c r="AQ824" s="1" t="n">
        <f aca="false">IF(B824="",0,IF(AND(ISNUMBER(S824),COUNTIF('⚖️ Wahrscheinlichkeit'!$B$6:$B$11,S824)&gt;0),1,0))</f>
        <v>0</v>
      </c>
      <c r="AR824" s="1" t="n">
        <f aca="false">IF(B824="",0,IF(AND(COUNT(J824:M824)=4,SUM(J824:M824)&gt;0),1,0))</f>
        <v>0</v>
      </c>
      <c r="AS824" s="1" t="n">
        <f aca="false">IF(B824="",0,IF(AND(AF824&lt;&gt;"",AG824&lt;&gt;""),1,0))</f>
        <v>0</v>
      </c>
      <c r="AT824" s="1" t="n">
        <f aca="false">IF(AND(R824="WON",AS824=1,AR824=1),1,0)</f>
        <v>0</v>
      </c>
      <c r="AU824" s="1" t="n">
        <f aca="false">IF(B824="",0,IF(AD824="Alternative – zählt nicht",0,1))</f>
        <v>0</v>
      </c>
      <c r="AV824" s="1" t="n">
        <f aca="false">IF(B824="",0,IF(COUNTIF($B$6:$B$860,B824)&gt;1,1,0))</f>
        <v>0</v>
      </c>
      <c r="AX824" s="269" t="str">
        <f aca="false">IF(AY824=1,DATE(YEAR(O824),MONTH(O824),1),"")</f>
        <v/>
      </c>
      <c r="AY824" s="1" t="n">
        <f aca="false">IF(B824="",0,IF(AND(ISNUMBER(O824),ISNUMBER(P824)),IF(P824&gt;=O824,1,0),0))</f>
        <v>0</v>
      </c>
      <c r="AZ824" s="1" t="n">
        <f aca="false">IF(ISNUMBER(Y824),Y824,0)</f>
        <v>0</v>
      </c>
      <c r="BA824" s="1" t="str">
        <f aca="false">IF(B824="","",IF(AND(R824="WON",AS824=0),"⛔ Beleg fehlt · ","")&amp;IF(AND(R824="WON",AR824=0),"⛔ Einstand fehlt · ","")&amp;IF(AND(R824&lt;&gt;"WON",AR824=0),"○ Einstand offen · ","")&amp;IF(AND(R824="WON",AB824=""),"⛔ Vertragsart fehlt · ","")&amp;IF(AND(ISNUMBER(O824),ISNUMBER(P824)),IF(P824&lt;O824,"⚠ Ende vor Start · ",""),"")&amp;IF(AND(R824="WON",AY824=0,NOT(AND(ISNUMBER(O824),ISNUMBER(P824)))),"⛔ Zeitraum fehlt · ","")&amp;IF(AND(R824&lt;&gt;"WON",AY824=0,NOT(AND(ISNUMBER(O824),ISNUMBER(P824)))),"○ Zeitraum offen · ",""))</f>
        <v/>
      </c>
      <c r="BB824" s="1" t="str">
        <f aca="false">IF(B824="","",IF(AND(R824="WON",AS824=0),"⛔ Nachweis fehlt",IF(AND(ISNUMBER(O824),ISNUMBER(P824),P824&lt;O824),"⚠ Ende vor Start",IF(AND(R824="WON",AY824=0),"⛔ Zeitraum fehlt",IF(AR824=0,"○ Einstand offen",IF(AY824=0,"○ Zeitraum offen",IF(R824="WON","✅ belegt","✔ erfasst")))))))</f>
        <v/>
      </c>
    </row>
    <row r="825" customFormat="false" ht="15" hidden="false" customHeight="true" outlineLevel="0" collapsed="false">
      <c r="G825" s="1" t="str">
        <f aca="false">IF(B825="","",IF(AY825=1,P825-O825+1,IF(AW825="","",AW825)))</f>
        <v/>
      </c>
      <c r="I825" s="270"/>
      <c r="J825" s="270"/>
      <c r="K825" s="270"/>
      <c r="L825" s="270"/>
      <c r="M825" s="270"/>
      <c r="N825" s="270"/>
      <c r="O825" s="263"/>
      <c r="P825" s="263"/>
      <c r="Q825" s="270" t="str">
        <f aca="false">IF(AND(ISNUMBER(I825),ISNUMBER(S825)),I825*AJ825,IF(OR(I825&lt;&gt;"",S825&lt;&gt;""),"tbd",""))</f>
        <v/>
      </c>
      <c r="S825" s="268"/>
      <c r="Y825" s="275" t="str">
        <f aca="false">IF(ISNUMBER(I825),I825/Netto_Faktor,"")</f>
        <v/>
      </c>
      <c r="Z825" s="275" t="str">
        <f aca="false">IF(B825="","",IF(COUNT(J825:N825)=0,"",SUM(J825:N825)))</f>
        <v/>
      </c>
      <c r="AA825" s="266"/>
      <c r="AB825" s="266"/>
      <c r="AC825" s="266"/>
      <c r="AD825" s="266"/>
      <c r="AE825" s="266"/>
      <c r="AF825" s="266"/>
      <c r="AG825" s="267"/>
      <c r="AH825" s="266" t="str">
        <f aca="false">IF(B825="","",IF(BA825="",IF(R825="WON","✅ belegt &amp; vollständig","✔ vollständig"),LEFT(BA825,LEN(BA825)-3)))</f>
        <v/>
      </c>
      <c r="AJ825" s="268" t="n">
        <f aca="false">IF(ISNUMBER(S825),IFERROR(LOOKUP(IF(S825&lt;=1,S825,S825/100),'⚖️ Wahrscheinlichkeit'!$B$17:$B$21,'⚖️ Wahrscheinlichkeit'!$D$17:$D$21),0),0)</f>
        <v>0</v>
      </c>
      <c r="AK825" s="1" t="str">
        <f aca="false">IF(AND(R825="WON",ISNUMBER(I825)),AL825+(861-ROW())*0.000001,"")</f>
        <v/>
      </c>
      <c r="AL825" s="1" t="n">
        <f aca="false">IFERROR(I825*1,0)</f>
        <v>0</v>
      </c>
      <c r="AM825" s="1" t="n">
        <f aca="false">N(AM824)+IF(AND(R825="WON",B825&lt;&gt;""),1,0)</f>
        <v>12</v>
      </c>
      <c r="AN825" s="1" t="n">
        <f aca="false">N(AN824)+IF(AND(OR(R825="offered",R825="to be offered",R825="on hold"),B825&lt;&gt;""),1,0)</f>
        <v>33</v>
      </c>
      <c r="AO825" s="1" t="n">
        <f aca="false">N(AO824)+IF(AND(OR(R825="follow-up",R825="Evaluation",R825="tbd",R825="In evaluation"),B825&lt;&gt;""),1,0)</f>
        <v>1</v>
      </c>
      <c r="AP825" s="1" t="n">
        <f aca="false">IF(B825="",0,IF(COUNTIF('⚖️ Wahrscheinlichkeit'!$J$17:$J$24,R825)&gt;0,1,0))</f>
        <v>0</v>
      </c>
      <c r="AQ825" s="1" t="n">
        <f aca="false">IF(B825="",0,IF(AND(ISNUMBER(S825),COUNTIF('⚖️ Wahrscheinlichkeit'!$B$6:$B$11,S825)&gt;0),1,0))</f>
        <v>0</v>
      </c>
      <c r="AR825" s="1" t="n">
        <f aca="false">IF(B825="",0,IF(AND(COUNT(J825:M825)=4,SUM(J825:M825)&gt;0),1,0))</f>
        <v>0</v>
      </c>
      <c r="AS825" s="1" t="n">
        <f aca="false">IF(B825="",0,IF(AND(AF825&lt;&gt;"",AG825&lt;&gt;""),1,0))</f>
        <v>0</v>
      </c>
      <c r="AT825" s="1" t="n">
        <f aca="false">IF(AND(R825="WON",AS825=1,AR825=1),1,0)</f>
        <v>0</v>
      </c>
      <c r="AU825" s="1" t="n">
        <f aca="false">IF(B825="",0,IF(AD825="Alternative – zählt nicht",0,1))</f>
        <v>0</v>
      </c>
      <c r="AV825" s="1" t="n">
        <f aca="false">IF(B825="",0,IF(COUNTIF($B$6:$B$860,B825)&gt;1,1,0))</f>
        <v>0</v>
      </c>
      <c r="AX825" s="269" t="str">
        <f aca="false">IF(AY825=1,DATE(YEAR(O825),MONTH(O825),1),"")</f>
        <v/>
      </c>
      <c r="AY825" s="1" t="n">
        <f aca="false">IF(B825="",0,IF(AND(ISNUMBER(O825),ISNUMBER(P825)),IF(P825&gt;=O825,1,0),0))</f>
        <v>0</v>
      </c>
      <c r="AZ825" s="1" t="n">
        <f aca="false">IF(ISNUMBER(Y825),Y825,0)</f>
        <v>0</v>
      </c>
      <c r="BA825" s="1" t="str">
        <f aca="false">IF(B825="","",IF(AND(R825="WON",AS825=0),"⛔ Beleg fehlt · ","")&amp;IF(AND(R825="WON",AR825=0),"⛔ Einstand fehlt · ","")&amp;IF(AND(R825&lt;&gt;"WON",AR825=0),"○ Einstand offen · ","")&amp;IF(AND(R825="WON",AB825=""),"⛔ Vertragsart fehlt · ","")&amp;IF(AND(ISNUMBER(O825),ISNUMBER(P825)),IF(P825&lt;O825,"⚠ Ende vor Start · ",""),"")&amp;IF(AND(R825="WON",AY825=0,NOT(AND(ISNUMBER(O825),ISNUMBER(P825)))),"⛔ Zeitraum fehlt · ","")&amp;IF(AND(R825&lt;&gt;"WON",AY825=0,NOT(AND(ISNUMBER(O825),ISNUMBER(P825)))),"○ Zeitraum offen · ",""))</f>
        <v/>
      </c>
      <c r="BB825" s="1" t="str">
        <f aca="false">IF(B825="","",IF(AND(R825="WON",AS825=0),"⛔ Nachweis fehlt",IF(AND(ISNUMBER(O825),ISNUMBER(P825),P825&lt;O825),"⚠ Ende vor Start",IF(AND(R825="WON",AY825=0),"⛔ Zeitraum fehlt",IF(AR825=0,"○ Einstand offen",IF(AY825=0,"○ Zeitraum offen",IF(R825="WON","✅ belegt","✔ erfasst")))))))</f>
        <v/>
      </c>
    </row>
    <row r="826" customFormat="false" ht="15" hidden="false" customHeight="true" outlineLevel="0" collapsed="false">
      <c r="G826" s="1" t="str">
        <f aca="false">IF(B826="","",IF(AY826=1,P826-O826+1,IF(AW826="","",AW826)))</f>
        <v/>
      </c>
      <c r="I826" s="270"/>
      <c r="J826" s="270"/>
      <c r="K826" s="270"/>
      <c r="L826" s="270"/>
      <c r="M826" s="270"/>
      <c r="N826" s="270"/>
      <c r="O826" s="263"/>
      <c r="P826" s="263"/>
      <c r="Q826" s="270" t="str">
        <f aca="false">IF(AND(ISNUMBER(I826),ISNUMBER(S826)),I826*AJ826,IF(OR(I826&lt;&gt;"",S826&lt;&gt;""),"tbd",""))</f>
        <v/>
      </c>
      <c r="S826" s="268"/>
      <c r="Y826" s="275" t="str">
        <f aca="false">IF(ISNUMBER(I826),I826/Netto_Faktor,"")</f>
        <v/>
      </c>
      <c r="Z826" s="275" t="str">
        <f aca="false">IF(B826="","",IF(COUNT(J826:N826)=0,"",SUM(J826:N826)))</f>
        <v/>
      </c>
      <c r="AA826" s="266"/>
      <c r="AB826" s="266"/>
      <c r="AC826" s="266"/>
      <c r="AD826" s="266"/>
      <c r="AE826" s="266"/>
      <c r="AF826" s="266"/>
      <c r="AG826" s="267"/>
      <c r="AH826" s="266" t="str">
        <f aca="false">IF(B826="","",IF(BA826="",IF(R826="WON","✅ belegt &amp; vollständig","✔ vollständig"),LEFT(BA826,LEN(BA826)-3)))</f>
        <v/>
      </c>
      <c r="AJ826" s="268" t="n">
        <f aca="false">IF(ISNUMBER(S826),IFERROR(LOOKUP(IF(S826&lt;=1,S826,S826/100),'⚖️ Wahrscheinlichkeit'!$B$17:$B$21,'⚖️ Wahrscheinlichkeit'!$D$17:$D$21),0),0)</f>
        <v>0</v>
      </c>
      <c r="AK826" s="1" t="str">
        <f aca="false">IF(AND(R826="WON",ISNUMBER(I826)),AL826+(861-ROW())*0.000001,"")</f>
        <v/>
      </c>
      <c r="AL826" s="1" t="n">
        <f aca="false">IFERROR(I826*1,0)</f>
        <v>0</v>
      </c>
      <c r="AM826" s="1" t="n">
        <f aca="false">N(AM825)+IF(AND(R826="WON",B826&lt;&gt;""),1,0)</f>
        <v>12</v>
      </c>
      <c r="AN826" s="1" t="n">
        <f aca="false">N(AN825)+IF(AND(OR(R826="offered",R826="to be offered",R826="on hold"),B826&lt;&gt;""),1,0)</f>
        <v>33</v>
      </c>
      <c r="AO826" s="1" t="n">
        <f aca="false">N(AO825)+IF(AND(OR(R826="follow-up",R826="Evaluation",R826="tbd",R826="In evaluation"),B826&lt;&gt;""),1,0)</f>
        <v>1</v>
      </c>
      <c r="AP826" s="1" t="n">
        <f aca="false">IF(B826="",0,IF(COUNTIF('⚖️ Wahrscheinlichkeit'!$J$17:$J$24,R826)&gt;0,1,0))</f>
        <v>0</v>
      </c>
      <c r="AQ826" s="1" t="n">
        <f aca="false">IF(B826="",0,IF(AND(ISNUMBER(S826),COUNTIF('⚖️ Wahrscheinlichkeit'!$B$6:$B$11,S826)&gt;0),1,0))</f>
        <v>0</v>
      </c>
      <c r="AR826" s="1" t="n">
        <f aca="false">IF(B826="",0,IF(AND(COUNT(J826:M826)=4,SUM(J826:M826)&gt;0),1,0))</f>
        <v>0</v>
      </c>
      <c r="AS826" s="1" t="n">
        <f aca="false">IF(B826="",0,IF(AND(AF826&lt;&gt;"",AG826&lt;&gt;""),1,0))</f>
        <v>0</v>
      </c>
      <c r="AT826" s="1" t="n">
        <f aca="false">IF(AND(R826="WON",AS826=1,AR826=1),1,0)</f>
        <v>0</v>
      </c>
      <c r="AU826" s="1" t="n">
        <f aca="false">IF(B826="",0,IF(AD826="Alternative – zählt nicht",0,1))</f>
        <v>0</v>
      </c>
      <c r="AV826" s="1" t="n">
        <f aca="false">IF(B826="",0,IF(COUNTIF($B$6:$B$860,B826)&gt;1,1,0))</f>
        <v>0</v>
      </c>
      <c r="AX826" s="269" t="str">
        <f aca="false">IF(AY826=1,DATE(YEAR(O826),MONTH(O826),1),"")</f>
        <v/>
      </c>
      <c r="AY826" s="1" t="n">
        <f aca="false">IF(B826="",0,IF(AND(ISNUMBER(O826),ISNUMBER(P826)),IF(P826&gt;=O826,1,0),0))</f>
        <v>0</v>
      </c>
      <c r="AZ826" s="1" t="n">
        <f aca="false">IF(ISNUMBER(Y826),Y826,0)</f>
        <v>0</v>
      </c>
      <c r="BA826" s="1" t="str">
        <f aca="false">IF(B826="","",IF(AND(R826="WON",AS826=0),"⛔ Beleg fehlt · ","")&amp;IF(AND(R826="WON",AR826=0),"⛔ Einstand fehlt · ","")&amp;IF(AND(R826&lt;&gt;"WON",AR826=0),"○ Einstand offen · ","")&amp;IF(AND(R826="WON",AB826=""),"⛔ Vertragsart fehlt · ","")&amp;IF(AND(ISNUMBER(O826),ISNUMBER(P826)),IF(P826&lt;O826,"⚠ Ende vor Start · ",""),"")&amp;IF(AND(R826="WON",AY826=0,NOT(AND(ISNUMBER(O826),ISNUMBER(P826)))),"⛔ Zeitraum fehlt · ","")&amp;IF(AND(R826&lt;&gt;"WON",AY826=0,NOT(AND(ISNUMBER(O826),ISNUMBER(P826)))),"○ Zeitraum offen · ",""))</f>
        <v/>
      </c>
      <c r="BB826" s="1" t="str">
        <f aca="false">IF(B826="","",IF(AND(R826="WON",AS826=0),"⛔ Nachweis fehlt",IF(AND(ISNUMBER(O826),ISNUMBER(P826),P826&lt;O826),"⚠ Ende vor Start",IF(AND(R826="WON",AY826=0),"⛔ Zeitraum fehlt",IF(AR826=0,"○ Einstand offen",IF(AY826=0,"○ Zeitraum offen",IF(R826="WON","✅ belegt","✔ erfasst")))))))</f>
        <v/>
      </c>
    </row>
    <row r="827" customFormat="false" ht="15" hidden="false" customHeight="true" outlineLevel="0" collapsed="false">
      <c r="G827" s="1" t="str">
        <f aca="false">IF(B827="","",IF(AY827=1,P827-O827+1,IF(AW827="","",AW827)))</f>
        <v/>
      </c>
      <c r="I827" s="270"/>
      <c r="J827" s="270"/>
      <c r="K827" s="270"/>
      <c r="L827" s="270"/>
      <c r="M827" s="270"/>
      <c r="N827" s="270"/>
      <c r="O827" s="263"/>
      <c r="P827" s="263"/>
      <c r="Q827" s="270" t="str">
        <f aca="false">IF(AND(ISNUMBER(I827),ISNUMBER(S827)),I827*AJ827,IF(OR(I827&lt;&gt;"",S827&lt;&gt;""),"tbd",""))</f>
        <v/>
      </c>
      <c r="S827" s="268"/>
      <c r="Y827" s="275" t="str">
        <f aca="false">IF(ISNUMBER(I827),I827/Netto_Faktor,"")</f>
        <v/>
      </c>
      <c r="Z827" s="275" t="str">
        <f aca="false">IF(B827="","",IF(COUNT(J827:N827)=0,"",SUM(J827:N827)))</f>
        <v/>
      </c>
      <c r="AA827" s="266"/>
      <c r="AB827" s="266"/>
      <c r="AC827" s="266"/>
      <c r="AD827" s="266"/>
      <c r="AE827" s="266"/>
      <c r="AF827" s="266"/>
      <c r="AG827" s="267"/>
      <c r="AH827" s="266" t="str">
        <f aca="false">IF(B827="","",IF(BA827="",IF(R827="WON","✅ belegt &amp; vollständig","✔ vollständig"),LEFT(BA827,LEN(BA827)-3)))</f>
        <v/>
      </c>
      <c r="AJ827" s="268" t="n">
        <f aca="false">IF(ISNUMBER(S827),IFERROR(LOOKUP(IF(S827&lt;=1,S827,S827/100),'⚖️ Wahrscheinlichkeit'!$B$17:$B$21,'⚖️ Wahrscheinlichkeit'!$D$17:$D$21),0),0)</f>
        <v>0</v>
      </c>
      <c r="AK827" s="1" t="str">
        <f aca="false">IF(AND(R827="WON",ISNUMBER(I827)),AL827+(861-ROW())*0.000001,"")</f>
        <v/>
      </c>
      <c r="AL827" s="1" t="n">
        <f aca="false">IFERROR(I827*1,0)</f>
        <v>0</v>
      </c>
      <c r="AM827" s="1" t="n">
        <f aca="false">N(AM826)+IF(AND(R827="WON",B827&lt;&gt;""),1,0)</f>
        <v>12</v>
      </c>
      <c r="AN827" s="1" t="n">
        <f aca="false">N(AN826)+IF(AND(OR(R827="offered",R827="to be offered",R827="on hold"),B827&lt;&gt;""),1,0)</f>
        <v>33</v>
      </c>
      <c r="AO827" s="1" t="n">
        <f aca="false">N(AO826)+IF(AND(OR(R827="follow-up",R827="Evaluation",R827="tbd",R827="In evaluation"),B827&lt;&gt;""),1,0)</f>
        <v>1</v>
      </c>
      <c r="AP827" s="1" t="n">
        <f aca="false">IF(B827="",0,IF(COUNTIF('⚖️ Wahrscheinlichkeit'!$J$17:$J$24,R827)&gt;0,1,0))</f>
        <v>0</v>
      </c>
      <c r="AQ827" s="1" t="n">
        <f aca="false">IF(B827="",0,IF(AND(ISNUMBER(S827),COUNTIF('⚖️ Wahrscheinlichkeit'!$B$6:$B$11,S827)&gt;0),1,0))</f>
        <v>0</v>
      </c>
      <c r="AR827" s="1" t="n">
        <f aca="false">IF(B827="",0,IF(AND(COUNT(J827:M827)=4,SUM(J827:M827)&gt;0),1,0))</f>
        <v>0</v>
      </c>
      <c r="AS827" s="1" t="n">
        <f aca="false">IF(B827="",0,IF(AND(AF827&lt;&gt;"",AG827&lt;&gt;""),1,0))</f>
        <v>0</v>
      </c>
      <c r="AT827" s="1" t="n">
        <f aca="false">IF(AND(R827="WON",AS827=1,AR827=1),1,0)</f>
        <v>0</v>
      </c>
      <c r="AU827" s="1" t="n">
        <f aca="false">IF(B827="",0,IF(AD827="Alternative – zählt nicht",0,1))</f>
        <v>0</v>
      </c>
      <c r="AV827" s="1" t="n">
        <f aca="false">IF(B827="",0,IF(COUNTIF($B$6:$B$860,B827)&gt;1,1,0))</f>
        <v>0</v>
      </c>
      <c r="AX827" s="269" t="str">
        <f aca="false">IF(AY827=1,DATE(YEAR(O827),MONTH(O827),1),"")</f>
        <v/>
      </c>
      <c r="AY827" s="1" t="n">
        <f aca="false">IF(B827="",0,IF(AND(ISNUMBER(O827),ISNUMBER(P827)),IF(P827&gt;=O827,1,0),0))</f>
        <v>0</v>
      </c>
      <c r="AZ827" s="1" t="n">
        <f aca="false">IF(ISNUMBER(Y827),Y827,0)</f>
        <v>0</v>
      </c>
      <c r="BA827" s="1" t="str">
        <f aca="false">IF(B827="","",IF(AND(R827="WON",AS827=0),"⛔ Beleg fehlt · ","")&amp;IF(AND(R827="WON",AR827=0),"⛔ Einstand fehlt · ","")&amp;IF(AND(R827&lt;&gt;"WON",AR827=0),"○ Einstand offen · ","")&amp;IF(AND(R827="WON",AB827=""),"⛔ Vertragsart fehlt · ","")&amp;IF(AND(ISNUMBER(O827),ISNUMBER(P827)),IF(P827&lt;O827,"⚠ Ende vor Start · ",""),"")&amp;IF(AND(R827="WON",AY827=0,NOT(AND(ISNUMBER(O827),ISNUMBER(P827)))),"⛔ Zeitraum fehlt · ","")&amp;IF(AND(R827&lt;&gt;"WON",AY827=0,NOT(AND(ISNUMBER(O827),ISNUMBER(P827)))),"○ Zeitraum offen · ",""))</f>
        <v/>
      </c>
      <c r="BB827" s="1" t="str">
        <f aca="false">IF(B827="","",IF(AND(R827="WON",AS827=0),"⛔ Nachweis fehlt",IF(AND(ISNUMBER(O827),ISNUMBER(P827),P827&lt;O827),"⚠ Ende vor Start",IF(AND(R827="WON",AY827=0),"⛔ Zeitraum fehlt",IF(AR827=0,"○ Einstand offen",IF(AY827=0,"○ Zeitraum offen",IF(R827="WON","✅ belegt","✔ erfasst")))))))</f>
        <v/>
      </c>
    </row>
    <row r="828" customFormat="false" ht="15" hidden="false" customHeight="true" outlineLevel="0" collapsed="false">
      <c r="G828" s="1" t="str">
        <f aca="false">IF(B828="","",IF(AY828=1,P828-O828+1,IF(AW828="","",AW828)))</f>
        <v/>
      </c>
      <c r="I828" s="270"/>
      <c r="J828" s="270"/>
      <c r="K828" s="270"/>
      <c r="L828" s="270"/>
      <c r="M828" s="270"/>
      <c r="N828" s="270"/>
      <c r="O828" s="263"/>
      <c r="P828" s="263"/>
      <c r="Q828" s="270" t="str">
        <f aca="false">IF(AND(ISNUMBER(I828),ISNUMBER(S828)),I828*AJ828,IF(OR(I828&lt;&gt;"",S828&lt;&gt;""),"tbd",""))</f>
        <v/>
      </c>
      <c r="S828" s="268"/>
      <c r="Y828" s="275" t="str">
        <f aca="false">IF(ISNUMBER(I828),I828/Netto_Faktor,"")</f>
        <v/>
      </c>
      <c r="Z828" s="275" t="str">
        <f aca="false">IF(B828="","",IF(COUNT(J828:N828)=0,"",SUM(J828:N828)))</f>
        <v/>
      </c>
      <c r="AA828" s="266"/>
      <c r="AB828" s="266"/>
      <c r="AC828" s="266"/>
      <c r="AD828" s="266"/>
      <c r="AE828" s="266"/>
      <c r="AF828" s="266"/>
      <c r="AG828" s="267"/>
      <c r="AH828" s="266" t="str">
        <f aca="false">IF(B828="","",IF(BA828="",IF(R828="WON","✅ belegt &amp; vollständig","✔ vollständig"),LEFT(BA828,LEN(BA828)-3)))</f>
        <v/>
      </c>
      <c r="AJ828" s="268" t="n">
        <f aca="false">IF(ISNUMBER(S828),IFERROR(LOOKUP(IF(S828&lt;=1,S828,S828/100),'⚖️ Wahrscheinlichkeit'!$B$17:$B$21,'⚖️ Wahrscheinlichkeit'!$D$17:$D$21),0),0)</f>
        <v>0</v>
      </c>
      <c r="AK828" s="1" t="str">
        <f aca="false">IF(AND(R828="WON",ISNUMBER(I828)),AL828+(861-ROW())*0.000001,"")</f>
        <v/>
      </c>
      <c r="AL828" s="1" t="n">
        <f aca="false">IFERROR(I828*1,0)</f>
        <v>0</v>
      </c>
      <c r="AM828" s="1" t="n">
        <f aca="false">N(AM827)+IF(AND(R828="WON",B828&lt;&gt;""),1,0)</f>
        <v>12</v>
      </c>
      <c r="AN828" s="1" t="n">
        <f aca="false">N(AN827)+IF(AND(OR(R828="offered",R828="to be offered",R828="on hold"),B828&lt;&gt;""),1,0)</f>
        <v>33</v>
      </c>
      <c r="AO828" s="1" t="n">
        <f aca="false">N(AO827)+IF(AND(OR(R828="follow-up",R828="Evaluation",R828="tbd",R828="In evaluation"),B828&lt;&gt;""),1,0)</f>
        <v>1</v>
      </c>
      <c r="AP828" s="1" t="n">
        <f aca="false">IF(B828="",0,IF(COUNTIF('⚖️ Wahrscheinlichkeit'!$J$17:$J$24,R828)&gt;0,1,0))</f>
        <v>0</v>
      </c>
      <c r="AQ828" s="1" t="n">
        <f aca="false">IF(B828="",0,IF(AND(ISNUMBER(S828),COUNTIF('⚖️ Wahrscheinlichkeit'!$B$6:$B$11,S828)&gt;0),1,0))</f>
        <v>0</v>
      </c>
      <c r="AR828" s="1" t="n">
        <f aca="false">IF(B828="",0,IF(AND(COUNT(J828:M828)=4,SUM(J828:M828)&gt;0),1,0))</f>
        <v>0</v>
      </c>
      <c r="AS828" s="1" t="n">
        <f aca="false">IF(B828="",0,IF(AND(AF828&lt;&gt;"",AG828&lt;&gt;""),1,0))</f>
        <v>0</v>
      </c>
      <c r="AT828" s="1" t="n">
        <f aca="false">IF(AND(R828="WON",AS828=1,AR828=1),1,0)</f>
        <v>0</v>
      </c>
      <c r="AU828" s="1" t="n">
        <f aca="false">IF(B828="",0,IF(AD828="Alternative – zählt nicht",0,1))</f>
        <v>0</v>
      </c>
      <c r="AV828" s="1" t="n">
        <f aca="false">IF(B828="",0,IF(COUNTIF($B$6:$B$860,B828)&gt;1,1,0))</f>
        <v>0</v>
      </c>
      <c r="AX828" s="269" t="str">
        <f aca="false">IF(AY828=1,DATE(YEAR(O828),MONTH(O828),1),"")</f>
        <v/>
      </c>
      <c r="AY828" s="1" t="n">
        <f aca="false">IF(B828="",0,IF(AND(ISNUMBER(O828),ISNUMBER(P828)),IF(P828&gt;=O828,1,0),0))</f>
        <v>0</v>
      </c>
      <c r="AZ828" s="1" t="n">
        <f aca="false">IF(ISNUMBER(Y828),Y828,0)</f>
        <v>0</v>
      </c>
      <c r="BA828" s="1" t="str">
        <f aca="false">IF(B828="","",IF(AND(R828="WON",AS828=0),"⛔ Beleg fehlt · ","")&amp;IF(AND(R828="WON",AR828=0),"⛔ Einstand fehlt · ","")&amp;IF(AND(R828&lt;&gt;"WON",AR828=0),"○ Einstand offen · ","")&amp;IF(AND(R828="WON",AB828=""),"⛔ Vertragsart fehlt · ","")&amp;IF(AND(ISNUMBER(O828),ISNUMBER(P828)),IF(P828&lt;O828,"⚠ Ende vor Start · ",""),"")&amp;IF(AND(R828="WON",AY828=0,NOT(AND(ISNUMBER(O828),ISNUMBER(P828)))),"⛔ Zeitraum fehlt · ","")&amp;IF(AND(R828&lt;&gt;"WON",AY828=0,NOT(AND(ISNUMBER(O828),ISNUMBER(P828)))),"○ Zeitraum offen · ",""))</f>
        <v/>
      </c>
      <c r="BB828" s="1" t="str">
        <f aca="false">IF(B828="","",IF(AND(R828="WON",AS828=0),"⛔ Nachweis fehlt",IF(AND(ISNUMBER(O828),ISNUMBER(P828),P828&lt;O828),"⚠ Ende vor Start",IF(AND(R828="WON",AY828=0),"⛔ Zeitraum fehlt",IF(AR828=0,"○ Einstand offen",IF(AY828=0,"○ Zeitraum offen",IF(R828="WON","✅ belegt","✔ erfasst")))))))</f>
        <v/>
      </c>
    </row>
    <row r="829" customFormat="false" ht="15" hidden="false" customHeight="true" outlineLevel="0" collapsed="false">
      <c r="G829" s="1" t="str">
        <f aca="false">IF(B829="","",IF(AY829=1,P829-O829+1,IF(AW829="","",AW829)))</f>
        <v/>
      </c>
      <c r="I829" s="270"/>
      <c r="J829" s="270"/>
      <c r="K829" s="270"/>
      <c r="L829" s="270"/>
      <c r="M829" s="270"/>
      <c r="N829" s="270"/>
      <c r="O829" s="263"/>
      <c r="P829" s="263"/>
      <c r="Q829" s="270" t="str">
        <f aca="false">IF(AND(ISNUMBER(I829),ISNUMBER(S829)),I829*AJ829,IF(OR(I829&lt;&gt;"",S829&lt;&gt;""),"tbd",""))</f>
        <v/>
      </c>
      <c r="S829" s="268"/>
      <c r="Y829" s="275" t="str">
        <f aca="false">IF(ISNUMBER(I829),I829/Netto_Faktor,"")</f>
        <v/>
      </c>
      <c r="Z829" s="275" t="str">
        <f aca="false">IF(B829="","",IF(COUNT(J829:N829)=0,"",SUM(J829:N829)))</f>
        <v/>
      </c>
      <c r="AA829" s="266"/>
      <c r="AB829" s="266"/>
      <c r="AC829" s="266"/>
      <c r="AD829" s="266"/>
      <c r="AE829" s="266"/>
      <c r="AF829" s="266"/>
      <c r="AG829" s="267"/>
      <c r="AH829" s="266" t="str">
        <f aca="false">IF(B829="","",IF(BA829="",IF(R829="WON","✅ belegt &amp; vollständig","✔ vollständig"),LEFT(BA829,LEN(BA829)-3)))</f>
        <v/>
      </c>
      <c r="AJ829" s="268" t="n">
        <f aca="false">IF(ISNUMBER(S829),IFERROR(LOOKUP(IF(S829&lt;=1,S829,S829/100),'⚖️ Wahrscheinlichkeit'!$B$17:$B$21,'⚖️ Wahrscheinlichkeit'!$D$17:$D$21),0),0)</f>
        <v>0</v>
      </c>
      <c r="AK829" s="1" t="str">
        <f aca="false">IF(AND(R829="WON",ISNUMBER(I829)),AL829+(861-ROW())*0.000001,"")</f>
        <v/>
      </c>
      <c r="AL829" s="1" t="n">
        <f aca="false">IFERROR(I829*1,0)</f>
        <v>0</v>
      </c>
      <c r="AM829" s="1" t="n">
        <f aca="false">N(AM828)+IF(AND(R829="WON",B829&lt;&gt;""),1,0)</f>
        <v>12</v>
      </c>
      <c r="AN829" s="1" t="n">
        <f aca="false">N(AN828)+IF(AND(OR(R829="offered",R829="to be offered",R829="on hold"),B829&lt;&gt;""),1,0)</f>
        <v>33</v>
      </c>
      <c r="AO829" s="1" t="n">
        <f aca="false">N(AO828)+IF(AND(OR(R829="follow-up",R829="Evaluation",R829="tbd",R829="In evaluation"),B829&lt;&gt;""),1,0)</f>
        <v>1</v>
      </c>
      <c r="AP829" s="1" t="n">
        <f aca="false">IF(B829="",0,IF(COUNTIF('⚖️ Wahrscheinlichkeit'!$J$17:$J$24,R829)&gt;0,1,0))</f>
        <v>0</v>
      </c>
      <c r="AQ829" s="1" t="n">
        <f aca="false">IF(B829="",0,IF(AND(ISNUMBER(S829),COUNTIF('⚖️ Wahrscheinlichkeit'!$B$6:$B$11,S829)&gt;0),1,0))</f>
        <v>0</v>
      </c>
      <c r="AR829" s="1" t="n">
        <f aca="false">IF(B829="",0,IF(AND(COUNT(J829:M829)=4,SUM(J829:M829)&gt;0),1,0))</f>
        <v>0</v>
      </c>
      <c r="AS829" s="1" t="n">
        <f aca="false">IF(B829="",0,IF(AND(AF829&lt;&gt;"",AG829&lt;&gt;""),1,0))</f>
        <v>0</v>
      </c>
      <c r="AT829" s="1" t="n">
        <f aca="false">IF(AND(R829="WON",AS829=1,AR829=1),1,0)</f>
        <v>0</v>
      </c>
      <c r="AU829" s="1" t="n">
        <f aca="false">IF(B829="",0,IF(AD829="Alternative – zählt nicht",0,1))</f>
        <v>0</v>
      </c>
      <c r="AV829" s="1" t="n">
        <f aca="false">IF(B829="",0,IF(COUNTIF($B$6:$B$860,B829)&gt;1,1,0))</f>
        <v>0</v>
      </c>
      <c r="AX829" s="269" t="str">
        <f aca="false">IF(AY829=1,DATE(YEAR(O829),MONTH(O829),1),"")</f>
        <v/>
      </c>
      <c r="AY829" s="1" t="n">
        <f aca="false">IF(B829="",0,IF(AND(ISNUMBER(O829),ISNUMBER(P829)),IF(P829&gt;=O829,1,0),0))</f>
        <v>0</v>
      </c>
      <c r="AZ829" s="1" t="n">
        <f aca="false">IF(ISNUMBER(Y829),Y829,0)</f>
        <v>0</v>
      </c>
      <c r="BA829" s="1" t="str">
        <f aca="false">IF(B829="","",IF(AND(R829="WON",AS829=0),"⛔ Beleg fehlt · ","")&amp;IF(AND(R829="WON",AR829=0),"⛔ Einstand fehlt · ","")&amp;IF(AND(R829&lt;&gt;"WON",AR829=0),"○ Einstand offen · ","")&amp;IF(AND(R829="WON",AB829=""),"⛔ Vertragsart fehlt · ","")&amp;IF(AND(ISNUMBER(O829),ISNUMBER(P829)),IF(P829&lt;O829,"⚠ Ende vor Start · ",""),"")&amp;IF(AND(R829="WON",AY829=0,NOT(AND(ISNUMBER(O829),ISNUMBER(P829)))),"⛔ Zeitraum fehlt · ","")&amp;IF(AND(R829&lt;&gt;"WON",AY829=0,NOT(AND(ISNUMBER(O829),ISNUMBER(P829)))),"○ Zeitraum offen · ",""))</f>
        <v/>
      </c>
      <c r="BB829" s="1" t="str">
        <f aca="false">IF(B829="","",IF(AND(R829="WON",AS829=0),"⛔ Nachweis fehlt",IF(AND(ISNUMBER(O829),ISNUMBER(P829),P829&lt;O829),"⚠ Ende vor Start",IF(AND(R829="WON",AY829=0),"⛔ Zeitraum fehlt",IF(AR829=0,"○ Einstand offen",IF(AY829=0,"○ Zeitraum offen",IF(R829="WON","✅ belegt","✔ erfasst")))))))</f>
        <v/>
      </c>
    </row>
    <row r="830" customFormat="false" ht="15" hidden="false" customHeight="true" outlineLevel="0" collapsed="false">
      <c r="G830" s="1" t="str">
        <f aca="false">IF(B830="","",IF(AY830=1,P830-O830+1,IF(AW830="","",AW830)))</f>
        <v/>
      </c>
      <c r="I830" s="270"/>
      <c r="J830" s="270"/>
      <c r="K830" s="270"/>
      <c r="L830" s="270"/>
      <c r="M830" s="270"/>
      <c r="N830" s="270"/>
      <c r="O830" s="263"/>
      <c r="P830" s="263"/>
      <c r="Q830" s="270" t="str">
        <f aca="false">IF(AND(ISNUMBER(I830),ISNUMBER(S830)),I830*AJ830,IF(OR(I830&lt;&gt;"",S830&lt;&gt;""),"tbd",""))</f>
        <v/>
      </c>
      <c r="S830" s="268"/>
      <c r="Y830" s="275" t="str">
        <f aca="false">IF(ISNUMBER(I830),I830/Netto_Faktor,"")</f>
        <v/>
      </c>
      <c r="Z830" s="275" t="str">
        <f aca="false">IF(B830="","",IF(COUNT(J830:N830)=0,"",SUM(J830:N830)))</f>
        <v/>
      </c>
      <c r="AA830" s="266"/>
      <c r="AB830" s="266"/>
      <c r="AC830" s="266"/>
      <c r="AD830" s="266"/>
      <c r="AE830" s="266"/>
      <c r="AF830" s="266"/>
      <c r="AG830" s="267"/>
      <c r="AH830" s="266" t="str">
        <f aca="false">IF(B830="","",IF(BA830="",IF(R830="WON","✅ belegt &amp; vollständig","✔ vollständig"),LEFT(BA830,LEN(BA830)-3)))</f>
        <v/>
      </c>
      <c r="AJ830" s="268" t="n">
        <f aca="false">IF(ISNUMBER(S830),IFERROR(LOOKUP(IF(S830&lt;=1,S830,S830/100),'⚖️ Wahrscheinlichkeit'!$B$17:$B$21,'⚖️ Wahrscheinlichkeit'!$D$17:$D$21),0),0)</f>
        <v>0</v>
      </c>
      <c r="AK830" s="1" t="str">
        <f aca="false">IF(AND(R830="WON",ISNUMBER(I830)),AL830+(861-ROW())*0.000001,"")</f>
        <v/>
      </c>
      <c r="AL830" s="1" t="n">
        <f aca="false">IFERROR(I830*1,0)</f>
        <v>0</v>
      </c>
      <c r="AM830" s="1" t="n">
        <f aca="false">N(AM829)+IF(AND(R830="WON",B830&lt;&gt;""),1,0)</f>
        <v>12</v>
      </c>
      <c r="AN830" s="1" t="n">
        <f aca="false">N(AN829)+IF(AND(OR(R830="offered",R830="to be offered",R830="on hold"),B830&lt;&gt;""),1,0)</f>
        <v>33</v>
      </c>
      <c r="AO830" s="1" t="n">
        <f aca="false">N(AO829)+IF(AND(OR(R830="follow-up",R830="Evaluation",R830="tbd",R830="In evaluation"),B830&lt;&gt;""),1,0)</f>
        <v>1</v>
      </c>
      <c r="AP830" s="1" t="n">
        <f aca="false">IF(B830="",0,IF(COUNTIF('⚖️ Wahrscheinlichkeit'!$J$17:$J$24,R830)&gt;0,1,0))</f>
        <v>0</v>
      </c>
      <c r="AQ830" s="1" t="n">
        <f aca="false">IF(B830="",0,IF(AND(ISNUMBER(S830),COUNTIF('⚖️ Wahrscheinlichkeit'!$B$6:$B$11,S830)&gt;0),1,0))</f>
        <v>0</v>
      </c>
      <c r="AR830" s="1" t="n">
        <f aca="false">IF(B830="",0,IF(AND(COUNT(J830:M830)=4,SUM(J830:M830)&gt;0),1,0))</f>
        <v>0</v>
      </c>
      <c r="AS830" s="1" t="n">
        <f aca="false">IF(B830="",0,IF(AND(AF830&lt;&gt;"",AG830&lt;&gt;""),1,0))</f>
        <v>0</v>
      </c>
      <c r="AT830" s="1" t="n">
        <f aca="false">IF(AND(R830="WON",AS830=1,AR830=1),1,0)</f>
        <v>0</v>
      </c>
      <c r="AU830" s="1" t="n">
        <f aca="false">IF(B830="",0,IF(AD830="Alternative – zählt nicht",0,1))</f>
        <v>0</v>
      </c>
      <c r="AV830" s="1" t="n">
        <f aca="false">IF(B830="",0,IF(COUNTIF($B$6:$B$860,B830)&gt;1,1,0))</f>
        <v>0</v>
      </c>
      <c r="AX830" s="269" t="str">
        <f aca="false">IF(AY830=1,DATE(YEAR(O830),MONTH(O830),1),"")</f>
        <v/>
      </c>
      <c r="AY830" s="1" t="n">
        <f aca="false">IF(B830="",0,IF(AND(ISNUMBER(O830),ISNUMBER(P830)),IF(P830&gt;=O830,1,0),0))</f>
        <v>0</v>
      </c>
      <c r="AZ830" s="1" t="n">
        <f aca="false">IF(ISNUMBER(Y830),Y830,0)</f>
        <v>0</v>
      </c>
      <c r="BA830" s="1" t="str">
        <f aca="false">IF(B830="","",IF(AND(R830="WON",AS830=0),"⛔ Beleg fehlt · ","")&amp;IF(AND(R830="WON",AR830=0),"⛔ Einstand fehlt · ","")&amp;IF(AND(R830&lt;&gt;"WON",AR830=0),"○ Einstand offen · ","")&amp;IF(AND(R830="WON",AB830=""),"⛔ Vertragsart fehlt · ","")&amp;IF(AND(ISNUMBER(O830),ISNUMBER(P830)),IF(P830&lt;O830,"⚠ Ende vor Start · ",""),"")&amp;IF(AND(R830="WON",AY830=0,NOT(AND(ISNUMBER(O830),ISNUMBER(P830)))),"⛔ Zeitraum fehlt · ","")&amp;IF(AND(R830&lt;&gt;"WON",AY830=0,NOT(AND(ISNUMBER(O830),ISNUMBER(P830)))),"○ Zeitraum offen · ",""))</f>
        <v/>
      </c>
      <c r="BB830" s="1" t="str">
        <f aca="false">IF(B830="","",IF(AND(R830="WON",AS830=0),"⛔ Nachweis fehlt",IF(AND(ISNUMBER(O830),ISNUMBER(P830),P830&lt;O830),"⚠ Ende vor Start",IF(AND(R830="WON",AY830=0),"⛔ Zeitraum fehlt",IF(AR830=0,"○ Einstand offen",IF(AY830=0,"○ Zeitraum offen",IF(R830="WON","✅ belegt","✔ erfasst")))))))</f>
        <v/>
      </c>
    </row>
    <row r="831" customFormat="false" ht="15" hidden="false" customHeight="true" outlineLevel="0" collapsed="false">
      <c r="G831" s="1" t="str">
        <f aca="false">IF(B831="","",IF(AY831=1,P831-O831+1,IF(AW831="","",AW831)))</f>
        <v/>
      </c>
      <c r="I831" s="270"/>
      <c r="J831" s="270"/>
      <c r="K831" s="270"/>
      <c r="L831" s="270"/>
      <c r="M831" s="270"/>
      <c r="N831" s="270"/>
      <c r="O831" s="263"/>
      <c r="P831" s="263"/>
      <c r="Q831" s="270" t="str">
        <f aca="false">IF(AND(ISNUMBER(I831),ISNUMBER(S831)),I831*AJ831,IF(OR(I831&lt;&gt;"",S831&lt;&gt;""),"tbd",""))</f>
        <v/>
      </c>
      <c r="S831" s="268"/>
      <c r="Y831" s="275" t="str">
        <f aca="false">IF(ISNUMBER(I831),I831/Netto_Faktor,"")</f>
        <v/>
      </c>
      <c r="Z831" s="275" t="str">
        <f aca="false">IF(B831="","",IF(COUNT(J831:N831)=0,"",SUM(J831:N831)))</f>
        <v/>
      </c>
      <c r="AA831" s="266"/>
      <c r="AB831" s="266"/>
      <c r="AC831" s="266"/>
      <c r="AD831" s="266"/>
      <c r="AE831" s="266"/>
      <c r="AF831" s="266"/>
      <c r="AG831" s="267"/>
      <c r="AH831" s="266" t="str">
        <f aca="false">IF(B831="","",IF(BA831="",IF(R831="WON","✅ belegt &amp; vollständig","✔ vollständig"),LEFT(BA831,LEN(BA831)-3)))</f>
        <v/>
      </c>
      <c r="AJ831" s="268" t="n">
        <f aca="false">IF(ISNUMBER(S831),IFERROR(LOOKUP(IF(S831&lt;=1,S831,S831/100),'⚖️ Wahrscheinlichkeit'!$B$17:$B$21,'⚖️ Wahrscheinlichkeit'!$D$17:$D$21),0),0)</f>
        <v>0</v>
      </c>
      <c r="AK831" s="1" t="str">
        <f aca="false">IF(AND(R831="WON",ISNUMBER(I831)),AL831+(861-ROW())*0.000001,"")</f>
        <v/>
      </c>
      <c r="AL831" s="1" t="n">
        <f aca="false">IFERROR(I831*1,0)</f>
        <v>0</v>
      </c>
      <c r="AM831" s="1" t="n">
        <f aca="false">N(AM830)+IF(AND(R831="WON",B831&lt;&gt;""),1,0)</f>
        <v>12</v>
      </c>
      <c r="AN831" s="1" t="n">
        <f aca="false">N(AN830)+IF(AND(OR(R831="offered",R831="to be offered",R831="on hold"),B831&lt;&gt;""),1,0)</f>
        <v>33</v>
      </c>
      <c r="AO831" s="1" t="n">
        <f aca="false">N(AO830)+IF(AND(OR(R831="follow-up",R831="Evaluation",R831="tbd",R831="In evaluation"),B831&lt;&gt;""),1,0)</f>
        <v>1</v>
      </c>
      <c r="AP831" s="1" t="n">
        <f aca="false">IF(B831="",0,IF(COUNTIF('⚖️ Wahrscheinlichkeit'!$J$17:$J$24,R831)&gt;0,1,0))</f>
        <v>0</v>
      </c>
      <c r="AQ831" s="1" t="n">
        <f aca="false">IF(B831="",0,IF(AND(ISNUMBER(S831),COUNTIF('⚖️ Wahrscheinlichkeit'!$B$6:$B$11,S831)&gt;0),1,0))</f>
        <v>0</v>
      </c>
      <c r="AR831" s="1" t="n">
        <f aca="false">IF(B831="",0,IF(AND(COUNT(J831:M831)=4,SUM(J831:M831)&gt;0),1,0))</f>
        <v>0</v>
      </c>
      <c r="AS831" s="1" t="n">
        <f aca="false">IF(B831="",0,IF(AND(AF831&lt;&gt;"",AG831&lt;&gt;""),1,0))</f>
        <v>0</v>
      </c>
      <c r="AT831" s="1" t="n">
        <f aca="false">IF(AND(R831="WON",AS831=1,AR831=1),1,0)</f>
        <v>0</v>
      </c>
      <c r="AU831" s="1" t="n">
        <f aca="false">IF(B831="",0,IF(AD831="Alternative – zählt nicht",0,1))</f>
        <v>0</v>
      </c>
      <c r="AV831" s="1" t="n">
        <f aca="false">IF(B831="",0,IF(COUNTIF($B$6:$B$860,B831)&gt;1,1,0))</f>
        <v>0</v>
      </c>
      <c r="AX831" s="269" t="str">
        <f aca="false">IF(AY831=1,DATE(YEAR(O831),MONTH(O831),1),"")</f>
        <v/>
      </c>
      <c r="AY831" s="1" t="n">
        <f aca="false">IF(B831="",0,IF(AND(ISNUMBER(O831),ISNUMBER(P831)),IF(P831&gt;=O831,1,0),0))</f>
        <v>0</v>
      </c>
      <c r="AZ831" s="1" t="n">
        <f aca="false">IF(ISNUMBER(Y831),Y831,0)</f>
        <v>0</v>
      </c>
      <c r="BA831" s="1" t="str">
        <f aca="false">IF(B831="","",IF(AND(R831="WON",AS831=0),"⛔ Beleg fehlt · ","")&amp;IF(AND(R831="WON",AR831=0),"⛔ Einstand fehlt · ","")&amp;IF(AND(R831&lt;&gt;"WON",AR831=0),"○ Einstand offen · ","")&amp;IF(AND(R831="WON",AB831=""),"⛔ Vertragsart fehlt · ","")&amp;IF(AND(ISNUMBER(O831),ISNUMBER(P831)),IF(P831&lt;O831,"⚠ Ende vor Start · ",""),"")&amp;IF(AND(R831="WON",AY831=0,NOT(AND(ISNUMBER(O831),ISNUMBER(P831)))),"⛔ Zeitraum fehlt · ","")&amp;IF(AND(R831&lt;&gt;"WON",AY831=0,NOT(AND(ISNUMBER(O831),ISNUMBER(P831)))),"○ Zeitraum offen · ",""))</f>
        <v/>
      </c>
      <c r="BB831" s="1" t="str">
        <f aca="false">IF(B831="","",IF(AND(R831="WON",AS831=0),"⛔ Nachweis fehlt",IF(AND(ISNUMBER(O831),ISNUMBER(P831),P831&lt;O831),"⚠ Ende vor Start",IF(AND(R831="WON",AY831=0),"⛔ Zeitraum fehlt",IF(AR831=0,"○ Einstand offen",IF(AY831=0,"○ Zeitraum offen",IF(R831="WON","✅ belegt","✔ erfasst")))))))</f>
        <v/>
      </c>
    </row>
    <row r="832" customFormat="false" ht="15" hidden="false" customHeight="true" outlineLevel="0" collapsed="false">
      <c r="G832" s="1" t="str">
        <f aca="false">IF(B832="","",IF(AY832=1,P832-O832+1,IF(AW832="","",AW832)))</f>
        <v/>
      </c>
      <c r="I832" s="270"/>
      <c r="J832" s="270"/>
      <c r="K832" s="270"/>
      <c r="L832" s="270"/>
      <c r="M832" s="270"/>
      <c r="N832" s="270"/>
      <c r="O832" s="263"/>
      <c r="P832" s="263"/>
      <c r="Q832" s="270" t="str">
        <f aca="false">IF(AND(ISNUMBER(I832),ISNUMBER(S832)),I832*AJ832,IF(OR(I832&lt;&gt;"",S832&lt;&gt;""),"tbd",""))</f>
        <v/>
      </c>
      <c r="S832" s="268"/>
      <c r="Y832" s="275" t="str">
        <f aca="false">IF(ISNUMBER(I832),I832/Netto_Faktor,"")</f>
        <v/>
      </c>
      <c r="Z832" s="275" t="str">
        <f aca="false">IF(B832="","",IF(COUNT(J832:N832)=0,"",SUM(J832:N832)))</f>
        <v/>
      </c>
      <c r="AA832" s="266"/>
      <c r="AB832" s="266"/>
      <c r="AC832" s="266"/>
      <c r="AD832" s="266"/>
      <c r="AE832" s="266"/>
      <c r="AF832" s="266"/>
      <c r="AG832" s="267"/>
      <c r="AH832" s="266" t="str">
        <f aca="false">IF(B832="","",IF(BA832="",IF(R832="WON","✅ belegt &amp; vollständig","✔ vollständig"),LEFT(BA832,LEN(BA832)-3)))</f>
        <v/>
      </c>
      <c r="AJ832" s="268" t="n">
        <f aca="false">IF(ISNUMBER(S832),IFERROR(LOOKUP(IF(S832&lt;=1,S832,S832/100),'⚖️ Wahrscheinlichkeit'!$B$17:$B$21,'⚖️ Wahrscheinlichkeit'!$D$17:$D$21),0),0)</f>
        <v>0</v>
      </c>
      <c r="AK832" s="1" t="str">
        <f aca="false">IF(AND(R832="WON",ISNUMBER(I832)),AL832+(861-ROW())*0.000001,"")</f>
        <v/>
      </c>
      <c r="AL832" s="1" t="n">
        <f aca="false">IFERROR(I832*1,0)</f>
        <v>0</v>
      </c>
      <c r="AM832" s="1" t="n">
        <f aca="false">N(AM831)+IF(AND(R832="WON",B832&lt;&gt;""),1,0)</f>
        <v>12</v>
      </c>
      <c r="AN832" s="1" t="n">
        <f aca="false">N(AN831)+IF(AND(OR(R832="offered",R832="to be offered",R832="on hold"),B832&lt;&gt;""),1,0)</f>
        <v>33</v>
      </c>
      <c r="AO832" s="1" t="n">
        <f aca="false">N(AO831)+IF(AND(OR(R832="follow-up",R832="Evaluation",R832="tbd",R832="In evaluation"),B832&lt;&gt;""),1,0)</f>
        <v>1</v>
      </c>
      <c r="AP832" s="1" t="n">
        <f aca="false">IF(B832="",0,IF(COUNTIF('⚖️ Wahrscheinlichkeit'!$J$17:$J$24,R832)&gt;0,1,0))</f>
        <v>0</v>
      </c>
      <c r="AQ832" s="1" t="n">
        <f aca="false">IF(B832="",0,IF(AND(ISNUMBER(S832),COUNTIF('⚖️ Wahrscheinlichkeit'!$B$6:$B$11,S832)&gt;0),1,0))</f>
        <v>0</v>
      </c>
      <c r="AR832" s="1" t="n">
        <f aca="false">IF(B832="",0,IF(AND(COUNT(J832:M832)=4,SUM(J832:M832)&gt;0),1,0))</f>
        <v>0</v>
      </c>
      <c r="AS832" s="1" t="n">
        <f aca="false">IF(B832="",0,IF(AND(AF832&lt;&gt;"",AG832&lt;&gt;""),1,0))</f>
        <v>0</v>
      </c>
      <c r="AT832" s="1" t="n">
        <f aca="false">IF(AND(R832="WON",AS832=1,AR832=1),1,0)</f>
        <v>0</v>
      </c>
      <c r="AU832" s="1" t="n">
        <f aca="false">IF(B832="",0,IF(AD832="Alternative – zählt nicht",0,1))</f>
        <v>0</v>
      </c>
      <c r="AV832" s="1" t="n">
        <f aca="false">IF(B832="",0,IF(COUNTIF($B$6:$B$860,B832)&gt;1,1,0))</f>
        <v>0</v>
      </c>
      <c r="AX832" s="269" t="str">
        <f aca="false">IF(AY832=1,DATE(YEAR(O832),MONTH(O832),1),"")</f>
        <v/>
      </c>
      <c r="AY832" s="1" t="n">
        <f aca="false">IF(B832="",0,IF(AND(ISNUMBER(O832),ISNUMBER(P832)),IF(P832&gt;=O832,1,0),0))</f>
        <v>0</v>
      </c>
      <c r="AZ832" s="1" t="n">
        <f aca="false">IF(ISNUMBER(Y832),Y832,0)</f>
        <v>0</v>
      </c>
      <c r="BA832" s="1" t="str">
        <f aca="false">IF(B832="","",IF(AND(R832="WON",AS832=0),"⛔ Beleg fehlt · ","")&amp;IF(AND(R832="WON",AR832=0),"⛔ Einstand fehlt · ","")&amp;IF(AND(R832&lt;&gt;"WON",AR832=0),"○ Einstand offen · ","")&amp;IF(AND(R832="WON",AB832=""),"⛔ Vertragsart fehlt · ","")&amp;IF(AND(ISNUMBER(O832),ISNUMBER(P832)),IF(P832&lt;O832,"⚠ Ende vor Start · ",""),"")&amp;IF(AND(R832="WON",AY832=0,NOT(AND(ISNUMBER(O832),ISNUMBER(P832)))),"⛔ Zeitraum fehlt · ","")&amp;IF(AND(R832&lt;&gt;"WON",AY832=0,NOT(AND(ISNUMBER(O832),ISNUMBER(P832)))),"○ Zeitraum offen · ",""))</f>
        <v/>
      </c>
      <c r="BB832" s="1" t="str">
        <f aca="false">IF(B832="","",IF(AND(R832="WON",AS832=0),"⛔ Nachweis fehlt",IF(AND(ISNUMBER(O832),ISNUMBER(P832),P832&lt;O832),"⚠ Ende vor Start",IF(AND(R832="WON",AY832=0),"⛔ Zeitraum fehlt",IF(AR832=0,"○ Einstand offen",IF(AY832=0,"○ Zeitraum offen",IF(R832="WON","✅ belegt","✔ erfasst")))))))</f>
        <v/>
      </c>
    </row>
    <row r="833" customFormat="false" ht="15" hidden="false" customHeight="true" outlineLevel="0" collapsed="false">
      <c r="G833" s="1" t="str">
        <f aca="false">IF(B833="","",IF(AY833=1,P833-O833+1,IF(AW833="","",AW833)))</f>
        <v/>
      </c>
      <c r="I833" s="270"/>
      <c r="J833" s="270"/>
      <c r="K833" s="270"/>
      <c r="L833" s="270"/>
      <c r="M833" s="270"/>
      <c r="N833" s="270"/>
      <c r="O833" s="263"/>
      <c r="P833" s="263"/>
      <c r="Q833" s="270" t="str">
        <f aca="false">IF(AND(ISNUMBER(I833),ISNUMBER(S833)),I833*AJ833,IF(OR(I833&lt;&gt;"",S833&lt;&gt;""),"tbd",""))</f>
        <v/>
      </c>
      <c r="S833" s="268"/>
      <c r="Y833" s="275" t="str">
        <f aca="false">IF(ISNUMBER(I833),I833/Netto_Faktor,"")</f>
        <v/>
      </c>
      <c r="Z833" s="275" t="str">
        <f aca="false">IF(B833="","",IF(COUNT(J833:N833)=0,"",SUM(J833:N833)))</f>
        <v/>
      </c>
      <c r="AA833" s="266"/>
      <c r="AB833" s="266"/>
      <c r="AC833" s="266"/>
      <c r="AD833" s="266"/>
      <c r="AE833" s="266"/>
      <c r="AF833" s="266"/>
      <c r="AG833" s="267"/>
      <c r="AH833" s="266" t="str">
        <f aca="false">IF(B833="","",IF(BA833="",IF(R833="WON","✅ belegt &amp; vollständig","✔ vollständig"),LEFT(BA833,LEN(BA833)-3)))</f>
        <v/>
      </c>
      <c r="AJ833" s="268" t="n">
        <f aca="false">IF(ISNUMBER(S833),IFERROR(LOOKUP(IF(S833&lt;=1,S833,S833/100),'⚖️ Wahrscheinlichkeit'!$B$17:$B$21,'⚖️ Wahrscheinlichkeit'!$D$17:$D$21),0),0)</f>
        <v>0</v>
      </c>
      <c r="AK833" s="1" t="str">
        <f aca="false">IF(AND(R833="WON",ISNUMBER(I833)),AL833+(861-ROW())*0.000001,"")</f>
        <v/>
      </c>
      <c r="AL833" s="1" t="n">
        <f aca="false">IFERROR(I833*1,0)</f>
        <v>0</v>
      </c>
      <c r="AM833" s="1" t="n">
        <f aca="false">N(AM832)+IF(AND(R833="WON",B833&lt;&gt;""),1,0)</f>
        <v>12</v>
      </c>
      <c r="AN833" s="1" t="n">
        <f aca="false">N(AN832)+IF(AND(OR(R833="offered",R833="to be offered",R833="on hold"),B833&lt;&gt;""),1,0)</f>
        <v>33</v>
      </c>
      <c r="AO833" s="1" t="n">
        <f aca="false">N(AO832)+IF(AND(OR(R833="follow-up",R833="Evaluation",R833="tbd",R833="In evaluation"),B833&lt;&gt;""),1,0)</f>
        <v>1</v>
      </c>
      <c r="AP833" s="1" t="n">
        <f aca="false">IF(B833="",0,IF(COUNTIF('⚖️ Wahrscheinlichkeit'!$J$17:$J$24,R833)&gt;0,1,0))</f>
        <v>0</v>
      </c>
      <c r="AQ833" s="1" t="n">
        <f aca="false">IF(B833="",0,IF(AND(ISNUMBER(S833),COUNTIF('⚖️ Wahrscheinlichkeit'!$B$6:$B$11,S833)&gt;0),1,0))</f>
        <v>0</v>
      </c>
      <c r="AR833" s="1" t="n">
        <f aca="false">IF(B833="",0,IF(AND(COUNT(J833:M833)=4,SUM(J833:M833)&gt;0),1,0))</f>
        <v>0</v>
      </c>
      <c r="AS833" s="1" t="n">
        <f aca="false">IF(B833="",0,IF(AND(AF833&lt;&gt;"",AG833&lt;&gt;""),1,0))</f>
        <v>0</v>
      </c>
      <c r="AT833" s="1" t="n">
        <f aca="false">IF(AND(R833="WON",AS833=1,AR833=1),1,0)</f>
        <v>0</v>
      </c>
      <c r="AU833" s="1" t="n">
        <f aca="false">IF(B833="",0,IF(AD833="Alternative – zählt nicht",0,1))</f>
        <v>0</v>
      </c>
      <c r="AV833" s="1" t="n">
        <f aca="false">IF(B833="",0,IF(COUNTIF($B$6:$B$860,B833)&gt;1,1,0))</f>
        <v>0</v>
      </c>
      <c r="AX833" s="269" t="str">
        <f aca="false">IF(AY833=1,DATE(YEAR(O833),MONTH(O833),1),"")</f>
        <v/>
      </c>
      <c r="AY833" s="1" t="n">
        <f aca="false">IF(B833="",0,IF(AND(ISNUMBER(O833),ISNUMBER(P833)),IF(P833&gt;=O833,1,0),0))</f>
        <v>0</v>
      </c>
      <c r="AZ833" s="1" t="n">
        <f aca="false">IF(ISNUMBER(Y833),Y833,0)</f>
        <v>0</v>
      </c>
      <c r="BA833" s="1" t="str">
        <f aca="false">IF(B833="","",IF(AND(R833="WON",AS833=0),"⛔ Beleg fehlt · ","")&amp;IF(AND(R833="WON",AR833=0),"⛔ Einstand fehlt · ","")&amp;IF(AND(R833&lt;&gt;"WON",AR833=0),"○ Einstand offen · ","")&amp;IF(AND(R833="WON",AB833=""),"⛔ Vertragsart fehlt · ","")&amp;IF(AND(ISNUMBER(O833),ISNUMBER(P833)),IF(P833&lt;O833,"⚠ Ende vor Start · ",""),"")&amp;IF(AND(R833="WON",AY833=0,NOT(AND(ISNUMBER(O833),ISNUMBER(P833)))),"⛔ Zeitraum fehlt · ","")&amp;IF(AND(R833&lt;&gt;"WON",AY833=0,NOT(AND(ISNUMBER(O833),ISNUMBER(P833)))),"○ Zeitraum offen · ",""))</f>
        <v/>
      </c>
      <c r="BB833" s="1" t="str">
        <f aca="false">IF(B833="","",IF(AND(R833="WON",AS833=0),"⛔ Nachweis fehlt",IF(AND(ISNUMBER(O833),ISNUMBER(P833),P833&lt;O833),"⚠ Ende vor Start",IF(AND(R833="WON",AY833=0),"⛔ Zeitraum fehlt",IF(AR833=0,"○ Einstand offen",IF(AY833=0,"○ Zeitraum offen",IF(R833="WON","✅ belegt","✔ erfasst")))))))</f>
        <v/>
      </c>
    </row>
    <row r="834" customFormat="false" ht="15" hidden="false" customHeight="true" outlineLevel="0" collapsed="false">
      <c r="G834" s="1" t="str">
        <f aca="false">IF(B834="","",IF(AY834=1,P834-O834+1,IF(AW834="","",AW834)))</f>
        <v/>
      </c>
      <c r="I834" s="270"/>
      <c r="J834" s="270"/>
      <c r="K834" s="270"/>
      <c r="L834" s="270"/>
      <c r="M834" s="270"/>
      <c r="N834" s="270"/>
      <c r="O834" s="263"/>
      <c r="P834" s="263"/>
      <c r="Q834" s="270" t="str">
        <f aca="false">IF(AND(ISNUMBER(I834),ISNUMBER(S834)),I834*AJ834,IF(OR(I834&lt;&gt;"",S834&lt;&gt;""),"tbd",""))</f>
        <v/>
      </c>
      <c r="S834" s="268"/>
      <c r="Y834" s="275" t="str">
        <f aca="false">IF(ISNUMBER(I834),I834/Netto_Faktor,"")</f>
        <v/>
      </c>
      <c r="Z834" s="275" t="str">
        <f aca="false">IF(B834="","",IF(COUNT(J834:N834)=0,"",SUM(J834:N834)))</f>
        <v/>
      </c>
      <c r="AA834" s="266"/>
      <c r="AB834" s="266"/>
      <c r="AC834" s="266"/>
      <c r="AD834" s="266"/>
      <c r="AE834" s="266"/>
      <c r="AF834" s="266"/>
      <c r="AG834" s="267"/>
      <c r="AH834" s="266" t="str">
        <f aca="false">IF(B834="","",IF(BA834="",IF(R834="WON","✅ belegt &amp; vollständig","✔ vollständig"),LEFT(BA834,LEN(BA834)-3)))</f>
        <v/>
      </c>
      <c r="AJ834" s="268" t="n">
        <f aca="false">IF(ISNUMBER(S834),IFERROR(LOOKUP(IF(S834&lt;=1,S834,S834/100),'⚖️ Wahrscheinlichkeit'!$B$17:$B$21,'⚖️ Wahrscheinlichkeit'!$D$17:$D$21),0),0)</f>
        <v>0</v>
      </c>
      <c r="AK834" s="1" t="str">
        <f aca="false">IF(AND(R834="WON",ISNUMBER(I834)),AL834+(861-ROW())*0.000001,"")</f>
        <v/>
      </c>
      <c r="AL834" s="1" t="n">
        <f aca="false">IFERROR(I834*1,0)</f>
        <v>0</v>
      </c>
      <c r="AM834" s="1" t="n">
        <f aca="false">N(AM833)+IF(AND(R834="WON",B834&lt;&gt;""),1,0)</f>
        <v>12</v>
      </c>
      <c r="AN834" s="1" t="n">
        <f aca="false">N(AN833)+IF(AND(OR(R834="offered",R834="to be offered",R834="on hold"),B834&lt;&gt;""),1,0)</f>
        <v>33</v>
      </c>
      <c r="AO834" s="1" t="n">
        <f aca="false">N(AO833)+IF(AND(OR(R834="follow-up",R834="Evaluation",R834="tbd",R834="In evaluation"),B834&lt;&gt;""),1,0)</f>
        <v>1</v>
      </c>
      <c r="AP834" s="1" t="n">
        <f aca="false">IF(B834="",0,IF(COUNTIF('⚖️ Wahrscheinlichkeit'!$J$17:$J$24,R834)&gt;0,1,0))</f>
        <v>0</v>
      </c>
      <c r="AQ834" s="1" t="n">
        <f aca="false">IF(B834="",0,IF(AND(ISNUMBER(S834),COUNTIF('⚖️ Wahrscheinlichkeit'!$B$6:$B$11,S834)&gt;0),1,0))</f>
        <v>0</v>
      </c>
      <c r="AR834" s="1" t="n">
        <f aca="false">IF(B834="",0,IF(AND(COUNT(J834:M834)=4,SUM(J834:M834)&gt;0),1,0))</f>
        <v>0</v>
      </c>
      <c r="AS834" s="1" t="n">
        <f aca="false">IF(B834="",0,IF(AND(AF834&lt;&gt;"",AG834&lt;&gt;""),1,0))</f>
        <v>0</v>
      </c>
      <c r="AT834" s="1" t="n">
        <f aca="false">IF(AND(R834="WON",AS834=1,AR834=1),1,0)</f>
        <v>0</v>
      </c>
      <c r="AU834" s="1" t="n">
        <f aca="false">IF(B834="",0,IF(AD834="Alternative – zählt nicht",0,1))</f>
        <v>0</v>
      </c>
      <c r="AV834" s="1" t="n">
        <f aca="false">IF(B834="",0,IF(COUNTIF($B$6:$B$860,B834)&gt;1,1,0))</f>
        <v>0</v>
      </c>
      <c r="AX834" s="269" t="str">
        <f aca="false">IF(AY834=1,DATE(YEAR(O834),MONTH(O834),1),"")</f>
        <v/>
      </c>
      <c r="AY834" s="1" t="n">
        <f aca="false">IF(B834="",0,IF(AND(ISNUMBER(O834),ISNUMBER(P834)),IF(P834&gt;=O834,1,0),0))</f>
        <v>0</v>
      </c>
      <c r="AZ834" s="1" t="n">
        <f aca="false">IF(ISNUMBER(Y834),Y834,0)</f>
        <v>0</v>
      </c>
      <c r="BA834" s="1" t="str">
        <f aca="false">IF(B834="","",IF(AND(R834="WON",AS834=0),"⛔ Beleg fehlt · ","")&amp;IF(AND(R834="WON",AR834=0),"⛔ Einstand fehlt · ","")&amp;IF(AND(R834&lt;&gt;"WON",AR834=0),"○ Einstand offen · ","")&amp;IF(AND(R834="WON",AB834=""),"⛔ Vertragsart fehlt · ","")&amp;IF(AND(ISNUMBER(O834),ISNUMBER(P834)),IF(P834&lt;O834,"⚠ Ende vor Start · ",""),"")&amp;IF(AND(R834="WON",AY834=0,NOT(AND(ISNUMBER(O834),ISNUMBER(P834)))),"⛔ Zeitraum fehlt · ","")&amp;IF(AND(R834&lt;&gt;"WON",AY834=0,NOT(AND(ISNUMBER(O834),ISNUMBER(P834)))),"○ Zeitraum offen · ",""))</f>
        <v/>
      </c>
      <c r="BB834" s="1" t="str">
        <f aca="false">IF(B834="","",IF(AND(R834="WON",AS834=0),"⛔ Nachweis fehlt",IF(AND(ISNUMBER(O834),ISNUMBER(P834),P834&lt;O834),"⚠ Ende vor Start",IF(AND(R834="WON",AY834=0),"⛔ Zeitraum fehlt",IF(AR834=0,"○ Einstand offen",IF(AY834=0,"○ Zeitraum offen",IF(R834="WON","✅ belegt","✔ erfasst")))))))</f>
        <v/>
      </c>
    </row>
    <row r="835" customFormat="false" ht="15" hidden="false" customHeight="true" outlineLevel="0" collapsed="false">
      <c r="G835" s="1" t="str">
        <f aca="false">IF(B835="","",IF(AY835=1,P835-O835+1,IF(AW835="","",AW835)))</f>
        <v/>
      </c>
      <c r="I835" s="270"/>
      <c r="J835" s="270"/>
      <c r="K835" s="270"/>
      <c r="L835" s="270"/>
      <c r="M835" s="270"/>
      <c r="N835" s="270"/>
      <c r="O835" s="263"/>
      <c r="P835" s="263"/>
      <c r="Q835" s="270" t="str">
        <f aca="false">IF(AND(ISNUMBER(I835),ISNUMBER(S835)),I835*AJ835,IF(OR(I835&lt;&gt;"",S835&lt;&gt;""),"tbd",""))</f>
        <v/>
      </c>
      <c r="S835" s="268"/>
      <c r="Y835" s="275" t="str">
        <f aca="false">IF(ISNUMBER(I835),I835/Netto_Faktor,"")</f>
        <v/>
      </c>
      <c r="Z835" s="275" t="str">
        <f aca="false">IF(B835="","",IF(COUNT(J835:N835)=0,"",SUM(J835:N835)))</f>
        <v/>
      </c>
      <c r="AA835" s="266"/>
      <c r="AB835" s="266"/>
      <c r="AC835" s="266"/>
      <c r="AD835" s="266"/>
      <c r="AE835" s="266"/>
      <c r="AF835" s="266"/>
      <c r="AG835" s="267"/>
      <c r="AH835" s="266" t="str">
        <f aca="false">IF(B835="","",IF(BA835="",IF(R835="WON","✅ belegt &amp; vollständig","✔ vollständig"),LEFT(BA835,LEN(BA835)-3)))</f>
        <v/>
      </c>
      <c r="AJ835" s="268" t="n">
        <f aca="false">IF(ISNUMBER(S835),IFERROR(LOOKUP(IF(S835&lt;=1,S835,S835/100),'⚖️ Wahrscheinlichkeit'!$B$17:$B$21,'⚖️ Wahrscheinlichkeit'!$D$17:$D$21),0),0)</f>
        <v>0</v>
      </c>
      <c r="AK835" s="1" t="str">
        <f aca="false">IF(AND(R835="WON",ISNUMBER(I835)),AL835+(861-ROW())*0.000001,"")</f>
        <v/>
      </c>
      <c r="AL835" s="1" t="n">
        <f aca="false">IFERROR(I835*1,0)</f>
        <v>0</v>
      </c>
      <c r="AM835" s="1" t="n">
        <f aca="false">N(AM834)+IF(AND(R835="WON",B835&lt;&gt;""),1,0)</f>
        <v>12</v>
      </c>
      <c r="AN835" s="1" t="n">
        <f aca="false">N(AN834)+IF(AND(OR(R835="offered",R835="to be offered",R835="on hold"),B835&lt;&gt;""),1,0)</f>
        <v>33</v>
      </c>
      <c r="AO835" s="1" t="n">
        <f aca="false">N(AO834)+IF(AND(OR(R835="follow-up",R835="Evaluation",R835="tbd",R835="In evaluation"),B835&lt;&gt;""),1,0)</f>
        <v>1</v>
      </c>
      <c r="AP835" s="1" t="n">
        <f aca="false">IF(B835="",0,IF(COUNTIF('⚖️ Wahrscheinlichkeit'!$J$17:$J$24,R835)&gt;0,1,0))</f>
        <v>0</v>
      </c>
      <c r="AQ835" s="1" t="n">
        <f aca="false">IF(B835="",0,IF(AND(ISNUMBER(S835),COUNTIF('⚖️ Wahrscheinlichkeit'!$B$6:$B$11,S835)&gt;0),1,0))</f>
        <v>0</v>
      </c>
      <c r="AR835" s="1" t="n">
        <f aca="false">IF(B835="",0,IF(AND(COUNT(J835:M835)=4,SUM(J835:M835)&gt;0),1,0))</f>
        <v>0</v>
      </c>
      <c r="AS835" s="1" t="n">
        <f aca="false">IF(B835="",0,IF(AND(AF835&lt;&gt;"",AG835&lt;&gt;""),1,0))</f>
        <v>0</v>
      </c>
      <c r="AT835" s="1" t="n">
        <f aca="false">IF(AND(R835="WON",AS835=1,AR835=1),1,0)</f>
        <v>0</v>
      </c>
      <c r="AU835" s="1" t="n">
        <f aca="false">IF(B835="",0,IF(AD835="Alternative – zählt nicht",0,1))</f>
        <v>0</v>
      </c>
      <c r="AV835" s="1" t="n">
        <f aca="false">IF(B835="",0,IF(COUNTIF($B$6:$B$860,B835)&gt;1,1,0))</f>
        <v>0</v>
      </c>
      <c r="AX835" s="269" t="str">
        <f aca="false">IF(AY835=1,DATE(YEAR(O835),MONTH(O835),1),"")</f>
        <v/>
      </c>
      <c r="AY835" s="1" t="n">
        <f aca="false">IF(B835="",0,IF(AND(ISNUMBER(O835),ISNUMBER(P835)),IF(P835&gt;=O835,1,0),0))</f>
        <v>0</v>
      </c>
      <c r="AZ835" s="1" t="n">
        <f aca="false">IF(ISNUMBER(Y835),Y835,0)</f>
        <v>0</v>
      </c>
      <c r="BA835" s="1" t="str">
        <f aca="false">IF(B835="","",IF(AND(R835="WON",AS835=0),"⛔ Beleg fehlt · ","")&amp;IF(AND(R835="WON",AR835=0),"⛔ Einstand fehlt · ","")&amp;IF(AND(R835&lt;&gt;"WON",AR835=0),"○ Einstand offen · ","")&amp;IF(AND(R835="WON",AB835=""),"⛔ Vertragsart fehlt · ","")&amp;IF(AND(ISNUMBER(O835),ISNUMBER(P835)),IF(P835&lt;O835,"⚠ Ende vor Start · ",""),"")&amp;IF(AND(R835="WON",AY835=0,NOT(AND(ISNUMBER(O835),ISNUMBER(P835)))),"⛔ Zeitraum fehlt · ","")&amp;IF(AND(R835&lt;&gt;"WON",AY835=0,NOT(AND(ISNUMBER(O835),ISNUMBER(P835)))),"○ Zeitraum offen · ",""))</f>
        <v/>
      </c>
      <c r="BB835" s="1" t="str">
        <f aca="false">IF(B835="","",IF(AND(R835="WON",AS835=0),"⛔ Nachweis fehlt",IF(AND(ISNUMBER(O835),ISNUMBER(P835),P835&lt;O835),"⚠ Ende vor Start",IF(AND(R835="WON",AY835=0),"⛔ Zeitraum fehlt",IF(AR835=0,"○ Einstand offen",IF(AY835=0,"○ Zeitraum offen",IF(R835="WON","✅ belegt","✔ erfasst")))))))</f>
        <v/>
      </c>
    </row>
    <row r="836" customFormat="false" ht="15" hidden="false" customHeight="true" outlineLevel="0" collapsed="false">
      <c r="G836" s="1" t="str">
        <f aca="false">IF(B836="","",IF(AY836=1,P836-O836+1,IF(AW836="","",AW836)))</f>
        <v/>
      </c>
      <c r="I836" s="270"/>
      <c r="J836" s="270"/>
      <c r="K836" s="270"/>
      <c r="L836" s="270"/>
      <c r="M836" s="270"/>
      <c r="N836" s="270"/>
      <c r="O836" s="263"/>
      <c r="P836" s="263"/>
      <c r="Q836" s="270" t="str">
        <f aca="false">IF(AND(ISNUMBER(I836),ISNUMBER(S836)),I836*AJ836,IF(OR(I836&lt;&gt;"",S836&lt;&gt;""),"tbd",""))</f>
        <v/>
      </c>
      <c r="S836" s="268"/>
      <c r="Y836" s="275" t="str">
        <f aca="false">IF(ISNUMBER(I836),I836/Netto_Faktor,"")</f>
        <v/>
      </c>
      <c r="Z836" s="275" t="str">
        <f aca="false">IF(B836="","",IF(COUNT(J836:N836)=0,"",SUM(J836:N836)))</f>
        <v/>
      </c>
      <c r="AA836" s="266"/>
      <c r="AB836" s="266"/>
      <c r="AC836" s="266"/>
      <c r="AD836" s="266"/>
      <c r="AE836" s="266"/>
      <c r="AF836" s="266"/>
      <c r="AG836" s="267"/>
      <c r="AH836" s="266" t="str">
        <f aca="false">IF(B836="","",IF(BA836="",IF(R836="WON","✅ belegt &amp; vollständig","✔ vollständig"),LEFT(BA836,LEN(BA836)-3)))</f>
        <v/>
      </c>
      <c r="AJ836" s="268" t="n">
        <f aca="false">IF(ISNUMBER(S836),IFERROR(LOOKUP(IF(S836&lt;=1,S836,S836/100),'⚖️ Wahrscheinlichkeit'!$B$17:$B$21,'⚖️ Wahrscheinlichkeit'!$D$17:$D$21),0),0)</f>
        <v>0</v>
      </c>
      <c r="AK836" s="1" t="str">
        <f aca="false">IF(AND(R836="WON",ISNUMBER(I836)),AL836+(861-ROW())*0.000001,"")</f>
        <v/>
      </c>
      <c r="AL836" s="1" t="n">
        <f aca="false">IFERROR(I836*1,0)</f>
        <v>0</v>
      </c>
      <c r="AM836" s="1" t="n">
        <f aca="false">N(AM835)+IF(AND(R836="WON",B836&lt;&gt;""),1,0)</f>
        <v>12</v>
      </c>
      <c r="AN836" s="1" t="n">
        <f aca="false">N(AN835)+IF(AND(OR(R836="offered",R836="to be offered",R836="on hold"),B836&lt;&gt;""),1,0)</f>
        <v>33</v>
      </c>
      <c r="AO836" s="1" t="n">
        <f aca="false">N(AO835)+IF(AND(OR(R836="follow-up",R836="Evaluation",R836="tbd",R836="In evaluation"),B836&lt;&gt;""),1,0)</f>
        <v>1</v>
      </c>
      <c r="AP836" s="1" t="n">
        <f aca="false">IF(B836="",0,IF(COUNTIF('⚖️ Wahrscheinlichkeit'!$J$17:$J$24,R836)&gt;0,1,0))</f>
        <v>0</v>
      </c>
      <c r="AQ836" s="1" t="n">
        <f aca="false">IF(B836="",0,IF(AND(ISNUMBER(S836),COUNTIF('⚖️ Wahrscheinlichkeit'!$B$6:$B$11,S836)&gt;0),1,0))</f>
        <v>0</v>
      </c>
      <c r="AR836" s="1" t="n">
        <f aca="false">IF(B836="",0,IF(AND(COUNT(J836:M836)=4,SUM(J836:M836)&gt;0),1,0))</f>
        <v>0</v>
      </c>
      <c r="AS836" s="1" t="n">
        <f aca="false">IF(B836="",0,IF(AND(AF836&lt;&gt;"",AG836&lt;&gt;""),1,0))</f>
        <v>0</v>
      </c>
      <c r="AT836" s="1" t="n">
        <f aca="false">IF(AND(R836="WON",AS836=1,AR836=1),1,0)</f>
        <v>0</v>
      </c>
      <c r="AU836" s="1" t="n">
        <f aca="false">IF(B836="",0,IF(AD836="Alternative – zählt nicht",0,1))</f>
        <v>0</v>
      </c>
      <c r="AV836" s="1" t="n">
        <f aca="false">IF(B836="",0,IF(COUNTIF($B$6:$B$860,B836)&gt;1,1,0))</f>
        <v>0</v>
      </c>
      <c r="AX836" s="269" t="str">
        <f aca="false">IF(AY836=1,DATE(YEAR(O836),MONTH(O836),1),"")</f>
        <v/>
      </c>
      <c r="AY836" s="1" t="n">
        <f aca="false">IF(B836="",0,IF(AND(ISNUMBER(O836),ISNUMBER(P836)),IF(P836&gt;=O836,1,0),0))</f>
        <v>0</v>
      </c>
      <c r="AZ836" s="1" t="n">
        <f aca="false">IF(ISNUMBER(Y836),Y836,0)</f>
        <v>0</v>
      </c>
      <c r="BA836" s="1" t="str">
        <f aca="false">IF(B836="","",IF(AND(R836="WON",AS836=0),"⛔ Beleg fehlt · ","")&amp;IF(AND(R836="WON",AR836=0),"⛔ Einstand fehlt · ","")&amp;IF(AND(R836&lt;&gt;"WON",AR836=0),"○ Einstand offen · ","")&amp;IF(AND(R836="WON",AB836=""),"⛔ Vertragsart fehlt · ","")&amp;IF(AND(ISNUMBER(O836),ISNUMBER(P836)),IF(P836&lt;O836,"⚠ Ende vor Start · ",""),"")&amp;IF(AND(R836="WON",AY836=0,NOT(AND(ISNUMBER(O836),ISNUMBER(P836)))),"⛔ Zeitraum fehlt · ","")&amp;IF(AND(R836&lt;&gt;"WON",AY836=0,NOT(AND(ISNUMBER(O836),ISNUMBER(P836)))),"○ Zeitraum offen · ",""))</f>
        <v/>
      </c>
      <c r="BB836" s="1" t="str">
        <f aca="false">IF(B836="","",IF(AND(R836="WON",AS836=0),"⛔ Nachweis fehlt",IF(AND(ISNUMBER(O836),ISNUMBER(P836),P836&lt;O836),"⚠ Ende vor Start",IF(AND(R836="WON",AY836=0),"⛔ Zeitraum fehlt",IF(AR836=0,"○ Einstand offen",IF(AY836=0,"○ Zeitraum offen",IF(R836="WON","✅ belegt","✔ erfasst")))))))</f>
        <v/>
      </c>
    </row>
    <row r="837" customFormat="false" ht="15" hidden="false" customHeight="true" outlineLevel="0" collapsed="false">
      <c r="G837" s="1" t="str">
        <f aca="false">IF(B837="","",IF(AY837=1,P837-O837+1,IF(AW837="","",AW837)))</f>
        <v/>
      </c>
      <c r="I837" s="270"/>
      <c r="J837" s="270"/>
      <c r="K837" s="270"/>
      <c r="L837" s="270"/>
      <c r="M837" s="270"/>
      <c r="N837" s="270"/>
      <c r="O837" s="263"/>
      <c r="P837" s="263"/>
      <c r="Q837" s="270" t="str">
        <f aca="false">IF(AND(ISNUMBER(I837),ISNUMBER(S837)),I837*AJ837,IF(OR(I837&lt;&gt;"",S837&lt;&gt;""),"tbd",""))</f>
        <v/>
      </c>
      <c r="S837" s="268"/>
      <c r="Y837" s="275" t="str">
        <f aca="false">IF(ISNUMBER(I837),I837/Netto_Faktor,"")</f>
        <v/>
      </c>
      <c r="Z837" s="275" t="str">
        <f aca="false">IF(B837="","",IF(COUNT(J837:N837)=0,"",SUM(J837:N837)))</f>
        <v/>
      </c>
      <c r="AA837" s="266"/>
      <c r="AB837" s="266"/>
      <c r="AC837" s="266"/>
      <c r="AD837" s="266"/>
      <c r="AE837" s="266"/>
      <c r="AF837" s="266"/>
      <c r="AG837" s="267"/>
      <c r="AH837" s="266" t="str">
        <f aca="false">IF(B837="","",IF(BA837="",IF(R837="WON","✅ belegt &amp; vollständig","✔ vollständig"),LEFT(BA837,LEN(BA837)-3)))</f>
        <v/>
      </c>
      <c r="AJ837" s="268" t="n">
        <f aca="false">IF(ISNUMBER(S837),IFERROR(LOOKUP(IF(S837&lt;=1,S837,S837/100),'⚖️ Wahrscheinlichkeit'!$B$17:$B$21,'⚖️ Wahrscheinlichkeit'!$D$17:$D$21),0),0)</f>
        <v>0</v>
      </c>
      <c r="AK837" s="1" t="str">
        <f aca="false">IF(AND(R837="WON",ISNUMBER(I837)),AL837+(861-ROW())*0.000001,"")</f>
        <v/>
      </c>
      <c r="AL837" s="1" t="n">
        <f aca="false">IFERROR(I837*1,0)</f>
        <v>0</v>
      </c>
      <c r="AM837" s="1" t="n">
        <f aca="false">N(AM836)+IF(AND(R837="WON",B837&lt;&gt;""),1,0)</f>
        <v>12</v>
      </c>
      <c r="AN837" s="1" t="n">
        <f aca="false">N(AN836)+IF(AND(OR(R837="offered",R837="to be offered",R837="on hold"),B837&lt;&gt;""),1,0)</f>
        <v>33</v>
      </c>
      <c r="AO837" s="1" t="n">
        <f aca="false">N(AO836)+IF(AND(OR(R837="follow-up",R837="Evaluation",R837="tbd",R837="In evaluation"),B837&lt;&gt;""),1,0)</f>
        <v>1</v>
      </c>
      <c r="AP837" s="1" t="n">
        <f aca="false">IF(B837="",0,IF(COUNTIF('⚖️ Wahrscheinlichkeit'!$J$17:$J$24,R837)&gt;0,1,0))</f>
        <v>0</v>
      </c>
      <c r="AQ837" s="1" t="n">
        <f aca="false">IF(B837="",0,IF(AND(ISNUMBER(S837),COUNTIF('⚖️ Wahrscheinlichkeit'!$B$6:$B$11,S837)&gt;0),1,0))</f>
        <v>0</v>
      </c>
      <c r="AR837" s="1" t="n">
        <f aca="false">IF(B837="",0,IF(AND(COUNT(J837:M837)=4,SUM(J837:M837)&gt;0),1,0))</f>
        <v>0</v>
      </c>
      <c r="AS837" s="1" t="n">
        <f aca="false">IF(B837="",0,IF(AND(AF837&lt;&gt;"",AG837&lt;&gt;""),1,0))</f>
        <v>0</v>
      </c>
      <c r="AT837" s="1" t="n">
        <f aca="false">IF(AND(R837="WON",AS837=1,AR837=1),1,0)</f>
        <v>0</v>
      </c>
      <c r="AU837" s="1" t="n">
        <f aca="false">IF(B837="",0,IF(AD837="Alternative – zählt nicht",0,1))</f>
        <v>0</v>
      </c>
      <c r="AV837" s="1" t="n">
        <f aca="false">IF(B837="",0,IF(COUNTIF($B$6:$B$860,B837)&gt;1,1,0))</f>
        <v>0</v>
      </c>
      <c r="AX837" s="269" t="str">
        <f aca="false">IF(AY837=1,DATE(YEAR(O837),MONTH(O837),1),"")</f>
        <v/>
      </c>
      <c r="AY837" s="1" t="n">
        <f aca="false">IF(B837="",0,IF(AND(ISNUMBER(O837),ISNUMBER(P837)),IF(P837&gt;=O837,1,0),0))</f>
        <v>0</v>
      </c>
      <c r="AZ837" s="1" t="n">
        <f aca="false">IF(ISNUMBER(Y837),Y837,0)</f>
        <v>0</v>
      </c>
      <c r="BA837" s="1" t="str">
        <f aca="false">IF(B837="","",IF(AND(R837="WON",AS837=0),"⛔ Beleg fehlt · ","")&amp;IF(AND(R837="WON",AR837=0),"⛔ Einstand fehlt · ","")&amp;IF(AND(R837&lt;&gt;"WON",AR837=0),"○ Einstand offen · ","")&amp;IF(AND(R837="WON",AB837=""),"⛔ Vertragsart fehlt · ","")&amp;IF(AND(ISNUMBER(O837),ISNUMBER(P837)),IF(P837&lt;O837,"⚠ Ende vor Start · ",""),"")&amp;IF(AND(R837="WON",AY837=0,NOT(AND(ISNUMBER(O837),ISNUMBER(P837)))),"⛔ Zeitraum fehlt · ","")&amp;IF(AND(R837&lt;&gt;"WON",AY837=0,NOT(AND(ISNUMBER(O837),ISNUMBER(P837)))),"○ Zeitraum offen · ",""))</f>
        <v/>
      </c>
      <c r="BB837" s="1" t="str">
        <f aca="false">IF(B837="","",IF(AND(R837="WON",AS837=0),"⛔ Nachweis fehlt",IF(AND(ISNUMBER(O837),ISNUMBER(P837),P837&lt;O837),"⚠ Ende vor Start",IF(AND(R837="WON",AY837=0),"⛔ Zeitraum fehlt",IF(AR837=0,"○ Einstand offen",IF(AY837=0,"○ Zeitraum offen",IF(R837="WON","✅ belegt","✔ erfasst")))))))</f>
        <v/>
      </c>
    </row>
    <row r="838" customFormat="false" ht="15" hidden="false" customHeight="true" outlineLevel="0" collapsed="false">
      <c r="G838" s="1" t="str">
        <f aca="false">IF(B838="","",IF(AY838=1,P838-O838+1,IF(AW838="","",AW838)))</f>
        <v/>
      </c>
      <c r="I838" s="270"/>
      <c r="J838" s="270"/>
      <c r="K838" s="270"/>
      <c r="L838" s="270"/>
      <c r="M838" s="270"/>
      <c r="N838" s="270"/>
      <c r="O838" s="263"/>
      <c r="P838" s="263"/>
      <c r="Q838" s="270" t="str">
        <f aca="false">IF(AND(ISNUMBER(I838),ISNUMBER(S838)),I838*AJ838,IF(OR(I838&lt;&gt;"",S838&lt;&gt;""),"tbd",""))</f>
        <v/>
      </c>
      <c r="S838" s="268"/>
      <c r="Y838" s="275" t="str">
        <f aca="false">IF(ISNUMBER(I838),I838/Netto_Faktor,"")</f>
        <v/>
      </c>
      <c r="Z838" s="275" t="str">
        <f aca="false">IF(B838="","",IF(COUNT(J838:N838)=0,"",SUM(J838:N838)))</f>
        <v/>
      </c>
      <c r="AA838" s="266"/>
      <c r="AB838" s="266"/>
      <c r="AC838" s="266"/>
      <c r="AD838" s="266"/>
      <c r="AE838" s="266"/>
      <c r="AF838" s="266"/>
      <c r="AG838" s="267"/>
      <c r="AH838" s="266" t="str">
        <f aca="false">IF(B838="","",IF(BA838="",IF(R838="WON","✅ belegt &amp; vollständig","✔ vollständig"),LEFT(BA838,LEN(BA838)-3)))</f>
        <v/>
      </c>
      <c r="AJ838" s="268" t="n">
        <f aca="false">IF(ISNUMBER(S838),IFERROR(LOOKUP(IF(S838&lt;=1,S838,S838/100),'⚖️ Wahrscheinlichkeit'!$B$17:$B$21,'⚖️ Wahrscheinlichkeit'!$D$17:$D$21),0),0)</f>
        <v>0</v>
      </c>
      <c r="AK838" s="1" t="str">
        <f aca="false">IF(AND(R838="WON",ISNUMBER(I838)),AL838+(861-ROW())*0.000001,"")</f>
        <v/>
      </c>
      <c r="AL838" s="1" t="n">
        <f aca="false">IFERROR(I838*1,0)</f>
        <v>0</v>
      </c>
      <c r="AM838" s="1" t="n">
        <f aca="false">N(AM837)+IF(AND(R838="WON",B838&lt;&gt;""),1,0)</f>
        <v>12</v>
      </c>
      <c r="AN838" s="1" t="n">
        <f aca="false">N(AN837)+IF(AND(OR(R838="offered",R838="to be offered",R838="on hold"),B838&lt;&gt;""),1,0)</f>
        <v>33</v>
      </c>
      <c r="AO838" s="1" t="n">
        <f aca="false">N(AO837)+IF(AND(OR(R838="follow-up",R838="Evaluation",R838="tbd",R838="In evaluation"),B838&lt;&gt;""),1,0)</f>
        <v>1</v>
      </c>
      <c r="AP838" s="1" t="n">
        <f aca="false">IF(B838="",0,IF(COUNTIF('⚖️ Wahrscheinlichkeit'!$J$17:$J$24,R838)&gt;0,1,0))</f>
        <v>0</v>
      </c>
      <c r="AQ838" s="1" t="n">
        <f aca="false">IF(B838="",0,IF(AND(ISNUMBER(S838),COUNTIF('⚖️ Wahrscheinlichkeit'!$B$6:$B$11,S838)&gt;0),1,0))</f>
        <v>0</v>
      </c>
      <c r="AR838" s="1" t="n">
        <f aca="false">IF(B838="",0,IF(AND(COUNT(J838:M838)=4,SUM(J838:M838)&gt;0),1,0))</f>
        <v>0</v>
      </c>
      <c r="AS838" s="1" t="n">
        <f aca="false">IF(B838="",0,IF(AND(AF838&lt;&gt;"",AG838&lt;&gt;""),1,0))</f>
        <v>0</v>
      </c>
      <c r="AT838" s="1" t="n">
        <f aca="false">IF(AND(R838="WON",AS838=1,AR838=1),1,0)</f>
        <v>0</v>
      </c>
      <c r="AU838" s="1" t="n">
        <f aca="false">IF(B838="",0,IF(AD838="Alternative – zählt nicht",0,1))</f>
        <v>0</v>
      </c>
      <c r="AV838" s="1" t="n">
        <f aca="false">IF(B838="",0,IF(COUNTIF($B$6:$B$860,B838)&gt;1,1,0))</f>
        <v>0</v>
      </c>
      <c r="AX838" s="269" t="str">
        <f aca="false">IF(AY838=1,DATE(YEAR(O838),MONTH(O838),1),"")</f>
        <v/>
      </c>
      <c r="AY838" s="1" t="n">
        <f aca="false">IF(B838="",0,IF(AND(ISNUMBER(O838),ISNUMBER(P838)),IF(P838&gt;=O838,1,0),0))</f>
        <v>0</v>
      </c>
      <c r="AZ838" s="1" t="n">
        <f aca="false">IF(ISNUMBER(Y838),Y838,0)</f>
        <v>0</v>
      </c>
      <c r="BA838" s="1" t="str">
        <f aca="false">IF(B838="","",IF(AND(R838="WON",AS838=0),"⛔ Beleg fehlt · ","")&amp;IF(AND(R838="WON",AR838=0),"⛔ Einstand fehlt · ","")&amp;IF(AND(R838&lt;&gt;"WON",AR838=0),"○ Einstand offen · ","")&amp;IF(AND(R838="WON",AB838=""),"⛔ Vertragsart fehlt · ","")&amp;IF(AND(ISNUMBER(O838),ISNUMBER(P838)),IF(P838&lt;O838,"⚠ Ende vor Start · ",""),"")&amp;IF(AND(R838="WON",AY838=0,NOT(AND(ISNUMBER(O838),ISNUMBER(P838)))),"⛔ Zeitraum fehlt · ","")&amp;IF(AND(R838&lt;&gt;"WON",AY838=0,NOT(AND(ISNUMBER(O838),ISNUMBER(P838)))),"○ Zeitraum offen · ",""))</f>
        <v/>
      </c>
      <c r="BB838" s="1" t="str">
        <f aca="false">IF(B838="","",IF(AND(R838="WON",AS838=0),"⛔ Nachweis fehlt",IF(AND(ISNUMBER(O838),ISNUMBER(P838),P838&lt;O838),"⚠ Ende vor Start",IF(AND(R838="WON",AY838=0),"⛔ Zeitraum fehlt",IF(AR838=0,"○ Einstand offen",IF(AY838=0,"○ Zeitraum offen",IF(R838="WON","✅ belegt","✔ erfasst")))))))</f>
        <v/>
      </c>
    </row>
    <row r="839" customFormat="false" ht="15" hidden="false" customHeight="true" outlineLevel="0" collapsed="false">
      <c r="G839" s="1" t="str">
        <f aca="false">IF(B839="","",IF(AY839=1,P839-O839+1,IF(AW839="","",AW839)))</f>
        <v/>
      </c>
      <c r="I839" s="270"/>
      <c r="J839" s="270"/>
      <c r="K839" s="270"/>
      <c r="L839" s="270"/>
      <c r="M839" s="270"/>
      <c r="N839" s="270"/>
      <c r="O839" s="263"/>
      <c r="P839" s="263"/>
      <c r="Q839" s="270" t="str">
        <f aca="false">IF(AND(ISNUMBER(I839),ISNUMBER(S839)),I839*AJ839,IF(OR(I839&lt;&gt;"",S839&lt;&gt;""),"tbd",""))</f>
        <v/>
      </c>
      <c r="S839" s="268"/>
      <c r="Y839" s="275" t="str">
        <f aca="false">IF(ISNUMBER(I839),I839/Netto_Faktor,"")</f>
        <v/>
      </c>
      <c r="Z839" s="275" t="str">
        <f aca="false">IF(B839="","",IF(COUNT(J839:N839)=0,"",SUM(J839:N839)))</f>
        <v/>
      </c>
      <c r="AA839" s="266"/>
      <c r="AB839" s="266"/>
      <c r="AC839" s="266"/>
      <c r="AD839" s="266"/>
      <c r="AE839" s="266"/>
      <c r="AF839" s="266"/>
      <c r="AG839" s="267"/>
      <c r="AH839" s="266" t="str">
        <f aca="false">IF(B839="","",IF(BA839="",IF(R839="WON","✅ belegt &amp; vollständig","✔ vollständig"),LEFT(BA839,LEN(BA839)-3)))</f>
        <v/>
      </c>
      <c r="AJ839" s="268" t="n">
        <f aca="false">IF(ISNUMBER(S839),IFERROR(LOOKUP(IF(S839&lt;=1,S839,S839/100),'⚖️ Wahrscheinlichkeit'!$B$17:$B$21,'⚖️ Wahrscheinlichkeit'!$D$17:$D$21),0),0)</f>
        <v>0</v>
      </c>
      <c r="AK839" s="1" t="str">
        <f aca="false">IF(AND(R839="WON",ISNUMBER(I839)),AL839+(861-ROW())*0.000001,"")</f>
        <v/>
      </c>
      <c r="AL839" s="1" t="n">
        <f aca="false">IFERROR(I839*1,0)</f>
        <v>0</v>
      </c>
      <c r="AM839" s="1" t="n">
        <f aca="false">N(AM838)+IF(AND(R839="WON",B839&lt;&gt;""),1,0)</f>
        <v>12</v>
      </c>
      <c r="AN839" s="1" t="n">
        <f aca="false">N(AN838)+IF(AND(OR(R839="offered",R839="to be offered",R839="on hold"),B839&lt;&gt;""),1,0)</f>
        <v>33</v>
      </c>
      <c r="AO839" s="1" t="n">
        <f aca="false">N(AO838)+IF(AND(OR(R839="follow-up",R839="Evaluation",R839="tbd",R839="In evaluation"),B839&lt;&gt;""),1,0)</f>
        <v>1</v>
      </c>
      <c r="AP839" s="1" t="n">
        <f aca="false">IF(B839="",0,IF(COUNTIF('⚖️ Wahrscheinlichkeit'!$J$17:$J$24,R839)&gt;0,1,0))</f>
        <v>0</v>
      </c>
      <c r="AQ839" s="1" t="n">
        <f aca="false">IF(B839="",0,IF(AND(ISNUMBER(S839),COUNTIF('⚖️ Wahrscheinlichkeit'!$B$6:$B$11,S839)&gt;0),1,0))</f>
        <v>0</v>
      </c>
      <c r="AR839" s="1" t="n">
        <f aca="false">IF(B839="",0,IF(AND(COUNT(J839:M839)=4,SUM(J839:M839)&gt;0),1,0))</f>
        <v>0</v>
      </c>
      <c r="AS839" s="1" t="n">
        <f aca="false">IF(B839="",0,IF(AND(AF839&lt;&gt;"",AG839&lt;&gt;""),1,0))</f>
        <v>0</v>
      </c>
      <c r="AT839" s="1" t="n">
        <f aca="false">IF(AND(R839="WON",AS839=1,AR839=1),1,0)</f>
        <v>0</v>
      </c>
      <c r="AU839" s="1" t="n">
        <f aca="false">IF(B839="",0,IF(AD839="Alternative – zählt nicht",0,1))</f>
        <v>0</v>
      </c>
      <c r="AV839" s="1" t="n">
        <f aca="false">IF(B839="",0,IF(COUNTIF($B$6:$B$860,B839)&gt;1,1,0))</f>
        <v>0</v>
      </c>
      <c r="AX839" s="269" t="str">
        <f aca="false">IF(AY839=1,DATE(YEAR(O839),MONTH(O839),1),"")</f>
        <v/>
      </c>
      <c r="AY839" s="1" t="n">
        <f aca="false">IF(B839="",0,IF(AND(ISNUMBER(O839),ISNUMBER(P839)),IF(P839&gt;=O839,1,0),0))</f>
        <v>0</v>
      </c>
      <c r="AZ839" s="1" t="n">
        <f aca="false">IF(ISNUMBER(Y839),Y839,0)</f>
        <v>0</v>
      </c>
      <c r="BA839" s="1" t="str">
        <f aca="false">IF(B839="","",IF(AND(R839="WON",AS839=0),"⛔ Beleg fehlt · ","")&amp;IF(AND(R839="WON",AR839=0),"⛔ Einstand fehlt · ","")&amp;IF(AND(R839&lt;&gt;"WON",AR839=0),"○ Einstand offen · ","")&amp;IF(AND(R839="WON",AB839=""),"⛔ Vertragsart fehlt · ","")&amp;IF(AND(ISNUMBER(O839),ISNUMBER(P839)),IF(P839&lt;O839,"⚠ Ende vor Start · ",""),"")&amp;IF(AND(R839="WON",AY839=0,NOT(AND(ISNUMBER(O839),ISNUMBER(P839)))),"⛔ Zeitraum fehlt · ","")&amp;IF(AND(R839&lt;&gt;"WON",AY839=0,NOT(AND(ISNUMBER(O839),ISNUMBER(P839)))),"○ Zeitraum offen · ",""))</f>
        <v/>
      </c>
      <c r="BB839" s="1" t="str">
        <f aca="false">IF(B839="","",IF(AND(R839="WON",AS839=0),"⛔ Nachweis fehlt",IF(AND(ISNUMBER(O839),ISNUMBER(P839),P839&lt;O839),"⚠ Ende vor Start",IF(AND(R839="WON",AY839=0),"⛔ Zeitraum fehlt",IF(AR839=0,"○ Einstand offen",IF(AY839=0,"○ Zeitraum offen",IF(R839="WON","✅ belegt","✔ erfasst")))))))</f>
        <v/>
      </c>
    </row>
    <row r="840" customFormat="false" ht="15" hidden="false" customHeight="true" outlineLevel="0" collapsed="false">
      <c r="G840" s="1" t="str">
        <f aca="false">IF(B840="","",IF(AY840=1,P840-O840+1,IF(AW840="","",AW840)))</f>
        <v/>
      </c>
      <c r="I840" s="270"/>
      <c r="J840" s="270"/>
      <c r="K840" s="270"/>
      <c r="L840" s="270"/>
      <c r="M840" s="270"/>
      <c r="N840" s="270"/>
      <c r="O840" s="263"/>
      <c r="P840" s="263"/>
      <c r="Q840" s="270" t="str">
        <f aca="false">IF(AND(ISNUMBER(I840),ISNUMBER(S840)),I840*AJ840,IF(OR(I840&lt;&gt;"",S840&lt;&gt;""),"tbd",""))</f>
        <v/>
      </c>
      <c r="S840" s="268"/>
      <c r="Y840" s="275" t="str">
        <f aca="false">IF(ISNUMBER(I840),I840/Netto_Faktor,"")</f>
        <v/>
      </c>
      <c r="Z840" s="275" t="str">
        <f aca="false">IF(B840="","",IF(COUNT(J840:N840)=0,"",SUM(J840:N840)))</f>
        <v/>
      </c>
      <c r="AA840" s="266"/>
      <c r="AB840" s="266"/>
      <c r="AC840" s="266"/>
      <c r="AD840" s="266"/>
      <c r="AE840" s="266"/>
      <c r="AF840" s="266"/>
      <c r="AG840" s="267"/>
      <c r="AH840" s="266" t="str">
        <f aca="false">IF(B840="","",IF(BA840="",IF(R840="WON","✅ belegt &amp; vollständig","✔ vollständig"),LEFT(BA840,LEN(BA840)-3)))</f>
        <v/>
      </c>
      <c r="AJ840" s="268" t="n">
        <f aca="false">IF(ISNUMBER(S840),IFERROR(LOOKUP(IF(S840&lt;=1,S840,S840/100),'⚖️ Wahrscheinlichkeit'!$B$17:$B$21,'⚖️ Wahrscheinlichkeit'!$D$17:$D$21),0),0)</f>
        <v>0</v>
      </c>
      <c r="AK840" s="1" t="str">
        <f aca="false">IF(AND(R840="WON",ISNUMBER(I840)),AL840+(861-ROW())*0.000001,"")</f>
        <v/>
      </c>
      <c r="AL840" s="1" t="n">
        <f aca="false">IFERROR(I840*1,0)</f>
        <v>0</v>
      </c>
      <c r="AM840" s="1" t="n">
        <f aca="false">N(AM839)+IF(AND(R840="WON",B840&lt;&gt;""),1,0)</f>
        <v>12</v>
      </c>
      <c r="AN840" s="1" t="n">
        <f aca="false">N(AN839)+IF(AND(OR(R840="offered",R840="to be offered",R840="on hold"),B840&lt;&gt;""),1,0)</f>
        <v>33</v>
      </c>
      <c r="AO840" s="1" t="n">
        <f aca="false">N(AO839)+IF(AND(OR(R840="follow-up",R840="Evaluation",R840="tbd",R840="In evaluation"),B840&lt;&gt;""),1,0)</f>
        <v>1</v>
      </c>
      <c r="AP840" s="1" t="n">
        <f aca="false">IF(B840="",0,IF(COUNTIF('⚖️ Wahrscheinlichkeit'!$J$17:$J$24,R840)&gt;0,1,0))</f>
        <v>0</v>
      </c>
      <c r="AQ840" s="1" t="n">
        <f aca="false">IF(B840="",0,IF(AND(ISNUMBER(S840),COUNTIF('⚖️ Wahrscheinlichkeit'!$B$6:$B$11,S840)&gt;0),1,0))</f>
        <v>0</v>
      </c>
      <c r="AR840" s="1" t="n">
        <f aca="false">IF(B840="",0,IF(AND(COUNT(J840:M840)=4,SUM(J840:M840)&gt;0),1,0))</f>
        <v>0</v>
      </c>
      <c r="AS840" s="1" t="n">
        <f aca="false">IF(B840="",0,IF(AND(AF840&lt;&gt;"",AG840&lt;&gt;""),1,0))</f>
        <v>0</v>
      </c>
      <c r="AT840" s="1" t="n">
        <f aca="false">IF(AND(R840="WON",AS840=1,AR840=1),1,0)</f>
        <v>0</v>
      </c>
      <c r="AU840" s="1" t="n">
        <f aca="false">IF(B840="",0,IF(AD840="Alternative – zählt nicht",0,1))</f>
        <v>0</v>
      </c>
      <c r="AV840" s="1" t="n">
        <f aca="false">IF(B840="",0,IF(COUNTIF($B$6:$B$860,B840)&gt;1,1,0))</f>
        <v>0</v>
      </c>
      <c r="AX840" s="269" t="str">
        <f aca="false">IF(AY840=1,DATE(YEAR(O840),MONTH(O840),1),"")</f>
        <v/>
      </c>
      <c r="AY840" s="1" t="n">
        <f aca="false">IF(B840="",0,IF(AND(ISNUMBER(O840),ISNUMBER(P840)),IF(P840&gt;=O840,1,0),0))</f>
        <v>0</v>
      </c>
      <c r="AZ840" s="1" t="n">
        <f aca="false">IF(ISNUMBER(Y840),Y840,0)</f>
        <v>0</v>
      </c>
      <c r="BA840" s="1" t="str">
        <f aca="false">IF(B840="","",IF(AND(R840="WON",AS840=0),"⛔ Beleg fehlt · ","")&amp;IF(AND(R840="WON",AR840=0),"⛔ Einstand fehlt · ","")&amp;IF(AND(R840&lt;&gt;"WON",AR840=0),"○ Einstand offen · ","")&amp;IF(AND(R840="WON",AB840=""),"⛔ Vertragsart fehlt · ","")&amp;IF(AND(ISNUMBER(O840),ISNUMBER(P840)),IF(P840&lt;O840,"⚠ Ende vor Start · ",""),"")&amp;IF(AND(R840="WON",AY840=0,NOT(AND(ISNUMBER(O840),ISNUMBER(P840)))),"⛔ Zeitraum fehlt · ","")&amp;IF(AND(R840&lt;&gt;"WON",AY840=0,NOT(AND(ISNUMBER(O840),ISNUMBER(P840)))),"○ Zeitraum offen · ",""))</f>
        <v/>
      </c>
      <c r="BB840" s="1" t="str">
        <f aca="false">IF(B840="","",IF(AND(R840="WON",AS840=0),"⛔ Nachweis fehlt",IF(AND(ISNUMBER(O840),ISNUMBER(P840),P840&lt;O840),"⚠ Ende vor Start",IF(AND(R840="WON",AY840=0),"⛔ Zeitraum fehlt",IF(AR840=0,"○ Einstand offen",IF(AY840=0,"○ Zeitraum offen",IF(R840="WON","✅ belegt","✔ erfasst")))))))</f>
        <v/>
      </c>
    </row>
    <row r="841" customFormat="false" ht="15" hidden="false" customHeight="true" outlineLevel="0" collapsed="false">
      <c r="G841" s="1" t="str">
        <f aca="false">IF(B841="","",IF(AY841=1,P841-O841+1,IF(AW841="","",AW841)))</f>
        <v/>
      </c>
      <c r="I841" s="270"/>
      <c r="J841" s="270"/>
      <c r="K841" s="270"/>
      <c r="L841" s="270"/>
      <c r="M841" s="270"/>
      <c r="N841" s="270"/>
      <c r="O841" s="263"/>
      <c r="P841" s="263"/>
      <c r="Q841" s="270" t="str">
        <f aca="false">IF(AND(ISNUMBER(I841),ISNUMBER(S841)),I841*AJ841,IF(OR(I841&lt;&gt;"",S841&lt;&gt;""),"tbd",""))</f>
        <v/>
      </c>
      <c r="S841" s="268"/>
      <c r="Y841" s="275" t="str">
        <f aca="false">IF(ISNUMBER(I841),I841/Netto_Faktor,"")</f>
        <v/>
      </c>
      <c r="Z841" s="275" t="str">
        <f aca="false">IF(B841="","",IF(COUNT(J841:N841)=0,"",SUM(J841:N841)))</f>
        <v/>
      </c>
      <c r="AA841" s="266"/>
      <c r="AB841" s="266"/>
      <c r="AC841" s="266"/>
      <c r="AD841" s="266"/>
      <c r="AE841" s="266"/>
      <c r="AF841" s="266"/>
      <c r="AG841" s="267"/>
      <c r="AH841" s="266" t="str">
        <f aca="false">IF(B841="","",IF(BA841="",IF(R841="WON","✅ belegt &amp; vollständig","✔ vollständig"),LEFT(BA841,LEN(BA841)-3)))</f>
        <v/>
      </c>
      <c r="AJ841" s="268" t="n">
        <f aca="false">IF(ISNUMBER(S841),IFERROR(LOOKUP(IF(S841&lt;=1,S841,S841/100),'⚖️ Wahrscheinlichkeit'!$B$17:$B$21,'⚖️ Wahrscheinlichkeit'!$D$17:$D$21),0),0)</f>
        <v>0</v>
      </c>
      <c r="AK841" s="1" t="str">
        <f aca="false">IF(AND(R841="WON",ISNUMBER(I841)),AL841+(861-ROW())*0.000001,"")</f>
        <v/>
      </c>
      <c r="AL841" s="1" t="n">
        <f aca="false">IFERROR(I841*1,0)</f>
        <v>0</v>
      </c>
      <c r="AM841" s="1" t="n">
        <f aca="false">N(AM840)+IF(AND(R841="WON",B841&lt;&gt;""),1,0)</f>
        <v>12</v>
      </c>
      <c r="AN841" s="1" t="n">
        <f aca="false">N(AN840)+IF(AND(OR(R841="offered",R841="to be offered",R841="on hold"),B841&lt;&gt;""),1,0)</f>
        <v>33</v>
      </c>
      <c r="AO841" s="1" t="n">
        <f aca="false">N(AO840)+IF(AND(OR(R841="follow-up",R841="Evaluation",R841="tbd",R841="In evaluation"),B841&lt;&gt;""),1,0)</f>
        <v>1</v>
      </c>
      <c r="AP841" s="1" t="n">
        <f aca="false">IF(B841="",0,IF(COUNTIF('⚖️ Wahrscheinlichkeit'!$J$17:$J$24,R841)&gt;0,1,0))</f>
        <v>0</v>
      </c>
      <c r="AQ841" s="1" t="n">
        <f aca="false">IF(B841="",0,IF(AND(ISNUMBER(S841),COUNTIF('⚖️ Wahrscheinlichkeit'!$B$6:$B$11,S841)&gt;0),1,0))</f>
        <v>0</v>
      </c>
      <c r="AR841" s="1" t="n">
        <f aca="false">IF(B841="",0,IF(AND(COUNT(J841:M841)=4,SUM(J841:M841)&gt;0),1,0))</f>
        <v>0</v>
      </c>
      <c r="AS841" s="1" t="n">
        <f aca="false">IF(B841="",0,IF(AND(AF841&lt;&gt;"",AG841&lt;&gt;""),1,0))</f>
        <v>0</v>
      </c>
      <c r="AT841" s="1" t="n">
        <f aca="false">IF(AND(R841="WON",AS841=1,AR841=1),1,0)</f>
        <v>0</v>
      </c>
      <c r="AU841" s="1" t="n">
        <f aca="false">IF(B841="",0,IF(AD841="Alternative – zählt nicht",0,1))</f>
        <v>0</v>
      </c>
      <c r="AV841" s="1" t="n">
        <f aca="false">IF(B841="",0,IF(COUNTIF($B$6:$B$860,B841)&gt;1,1,0))</f>
        <v>0</v>
      </c>
      <c r="AX841" s="269" t="str">
        <f aca="false">IF(AY841=1,DATE(YEAR(O841),MONTH(O841),1),"")</f>
        <v/>
      </c>
      <c r="AY841" s="1" t="n">
        <f aca="false">IF(B841="",0,IF(AND(ISNUMBER(O841),ISNUMBER(P841)),IF(P841&gt;=O841,1,0),0))</f>
        <v>0</v>
      </c>
      <c r="AZ841" s="1" t="n">
        <f aca="false">IF(ISNUMBER(Y841),Y841,0)</f>
        <v>0</v>
      </c>
      <c r="BA841" s="1" t="str">
        <f aca="false">IF(B841="","",IF(AND(R841="WON",AS841=0),"⛔ Beleg fehlt · ","")&amp;IF(AND(R841="WON",AR841=0),"⛔ Einstand fehlt · ","")&amp;IF(AND(R841&lt;&gt;"WON",AR841=0),"○ Einstand offen · ","")&amp;IF(AND(R841="WON",AB841=""),"⛔ Vertragsart fehlt · ","")&amp;IF(AND(ISNUMBER(O841),ISNUMBER(P841)),IF(P841&lt;O841,"⚠ Ende vor Start · ",""),"")&amp;IF(AND(R841="WON",AY841=0,NOT(AND(ISNUMBER(O841),ISNUMBER(P841)))),"⛔ Zeitraum fehlt · ","")&amp;IF(AND(R841&lt;&gt;"WON",AY841=0,NOT(AND(ISNUMBER(O841),ISNUMBER(P841)))),"○ Zeitraum offen · ",""))</f>
        <v/>
      </c>
      <c r="BB841" s="1" t="str">
        <f aca="false">IF(B841="","",IF(AND(R841="WON",AS841=0),"⛔ Nachweis fehlt",IF(AND(ISNUMBER(O841),ISNUMBER(P841),P841&lt;O841),"⚠ Ende vor Start",IF(AND(R841="WON",AY841=0),"⛔ Zeitraum fehlt",IF(AR841=0,"○ Einstand offen",IF(AY841=0,"○ Zeitraum offen",IF(R841="WON","✅ belegt","✔ erfasst")))))))</f>
        <v/>
      </c>
    </row>
    <row r="842" customFormat="false" ht="15" hidden="false" customHeight="true" outlineLevel="0" collapsed="false">
      <c r="G842" s="1" t="str">
        <f aca="false">IF(B842="","",IF(AY842=1,P842-O842+1,IF(AW842="","",AW842)))</f>
        <v/>
      </c>
      <c r="I842" s="270"/>
      <c r="J842" s="270"/>
      <c r="K842" s="270"/>
      <c r="L842" s="270"/>
      <c r="M842" s="270"/>
      <c r="N842" s="270"/>
      <c r="O842" s="263"/>
      <c r="P842" s="263"/>
      <c r="Q842" s="270" t="str">
        <f aca="false">IF(AND(ISNUMBER(I842),ISNUMBER(S842)),I842*AJ842,IF(OR(I842&lt;&gt;"",S842&lt;&gt;""),"tbd",""))</f>
        <v/>
      </c>
      <c r="S842" s="268"/>
      <c r="Y842" s="275" t="str">
        <f aca="false">IF(ISNUMBER(I842),I842/Netto_Faktor,"")</f>
        <v/>
      </c>
      <c r="Z842" s="275" t="str">
        <f aca="false">IF(B842="","",IF(COUNT(J842:N842)=0,"",SUM(J842:N842)))</f>
        <v/>
      </c>
      <c r="AA842" s="266"/>
      <c r="AB842" s="266"/>
      <c r="AC842" s="266"/>
      <c r="AD842" s="266"/>
      <c r="AE842" s="266"/>
      <c r="AF842" s="266"/>
      <c r="AG842" s="267"/>
      <c r="AH842" s="266" t="str">
        <f aca="false">IF(B842="","",IF(BA842="",IF(R842="WON","✅ belegt &amp; vollständig","✔ vollständig"),LEFT(BA842,LEN(BA842)-3)))</f>
        <v/>
      </c>
      <c r="AJ842" s="268" t="n">
        <f aca="false">IF(ISNUMBER(S842),IFERROR(LOOKUP(IF(S842&lt;=1,S842,S842/100),'⚖️ Wahrscheinlichkeit'!$B$17:$B$21,'⚖️ Wahrscheinlichkeit'!$D$17:$D$21),0),0)</f>
        <v>0</v>
      </c>
      <c r="AK842" s="1" t="str">
        <f aca="false">IF(AND(R842="WON",ISNUMBER(I842)),AL842+(861-ROW())*0.000001,"")</f>
        <v/>
      </c>
      <c r="AL842" s="1" t="n">
        <f aca="false">IFERROR(I842*1,0)</f>
        <v>0</v>
      </c>
      <c r="AM842" s="1" t="n">
        <f aca="false">N(AM841)+IF(AND(R842="WON",B842&lt;&gt;""),1,0)</f>
        <v>12</v>
      </c>
      <c r="AN842" s="1" t="n">
        <f aca="false">N(AN841)+IF(AND(OR(R842="offered",R842="to be offered",R842="on hold"),B842&lt;&gt;""),1,0)</f>
        <v>33</v>
      </c>
      <c r="AO842" s="1" t="n">
        <f aca="false">N(AO841)+IF(AND(OR(R842="follow-up",R842="Evaluation",R842="tbd",R842="In evaluation"),B842&lt;&gt;""),1,0)</f>
        <v>1</v>
      </c>
      <c r="AP842" s="1" t="n">
        <f aca="false">IF(B842="",0,IF(COUNTIF('⚖️ Wahrscheinlichkeit'!$J$17:$J$24,R842)&gt;0,1,0))</f>
        <v>0</v>
      </c>
      <c r="AQ842" s="1" t="n">
        <f aca="false">IF(B842="",0,IF(AND(ISNUMBER(S842),COUNTIF('⚖️ Wahrscheinlichkeit'!$B$6:$B$11,S842)&gt;0),1,0))</f>
        <v>0</v>
      </c>
      <c r="AR842" s="1" t="n">
        <f aca="false">IF(B842="",0,IF(AND(COUNT(J842:M842)=4,SUM(J842:M842)&gt;0),1,0))</f>
        <v>0</v>
      </c>
      <c r="AS842" s="1" t="n">
        <f aca="false">IF(B842="",0,IF(AND(AF842&lt;&gt;"",AG842&lt;&gt;""),1,0))</f>
        <v>0</v>
      </c>
      <c r="AT842" s="1" t="n">
        <f aca="false">IF(AND(R842="WON",AS842=1,AR842=1),1,0)</f>
        <v>0</v>
      </c>
      <c r="AU842" s="1" t="n">
        <f aca="false">IF(B842="",0,IF(AD842="Alternative – zählt nicht",0,1))</f>
        <v>0</v>
      </c>
      <c r="AV842" s="1" t="n">
        <f aca="false">IF(B842="",0,IF(COUNTIF($B$6:$B$860,B842)&gt;1,1,0))</f>
        <v>0</v>
      </c>
      <c r="AX842" s="269" t="str">
        <f aca="false">IF(AY842=1,DATE(YEAR(O842),MONTH(O842),1),"")</f>
        <v/>
      </c>
      <c r="AY842" s="1" t="n">
        <f aca="false">IF(B842="",0,IF(AND(ISNUMBER(O842),ISNUMBER(P842)),IF(P842&gt;=O842,1,0),0))</f>
        <v>0</v>
      </c>
      <c r="AZ842" s="1" t="n">
        <f aca="false">IF(ISNUMBER(Y842),Y842,0)</f>
        <v>0</v>
      </c>
      <c r="BA842" s="1" t="str">
        <f aca="false">IF(B842="","",IF(AND(R842="WON",AS842=0),"⛔ Beleg fehlt · ","")&amp;IF(AND(R842="WON",AR842=0),"⛔ Einstand fehlt · ","")&amp;IF(AND(R842&lt;&gt;"WON",AR842=0),"○ Einstand offen · ","")&amp;IF(AND(R842="WON",AB842=""),"⛔ Vertragsart fehlt · ","")&amp;IF(AND(ISNUMBER(O842),ISNUMBER(P842)),IF(P842&lt;O842,"⚠ Ende vor Start · ",""),"")&amp;IF(AND(R842="WON",AY842=0,NOT(AND(ISNUMBER(O842),ISNUMBER(P842)))),"⛔ Zeitraum fehlt · ","")&amp;IF(AND(R842&lt;&gt;"WON",AY842=0,NOT(AND(ISNUMBER(O842),ISNUMBER(P842)))),"○ Zeitraum offen · ",""))</f>
        <v/>
      </c>
      <c r="BB842" s="1" t="str">
        <f aca="false">IF(B842="","",IF(AND(R842="WON",AS842=0),"⛔ Nachweis fehlt",IF(AND(ISNUMBER(O842),ISNUMBER(P842),P842&lt;O842),"⚠ Ende vor Start",IF(AND(R842="WON",AY842=0),"⛔ Zeitraum fehlt",IF(AR842=0,"○ Einstand offen",IF(AY842=0,"○ Zeitraum offen",IF(R842="WON","✅ belegt","✔ erfasst")))))))</f>
        <v/>
      </c>
    </row>
    <row r="843" customFormat="false" ht="15" hidden="false" customHeight="true" outlineLevel="0" collapsed="false">
      <c r="G843" s="1" t="str">
        <f aca="false">IF(B843="","",IF(AY843=1,P843-O843+1,IF(AW843="","",AW843)))</f>
        <v/>
      </c>
      <c r="I843" s="270"/>
      <c r="J843" s="270"/>
      <c r="K843" s="270"/>
      <c r="L843" s="270"/>
      <c r="M843" s="270"/>
      <c r="N843" s="270"/>
      <c r="O843" s="263"/>
      <c r="P843" s="263"/>
      <c r="Q843" s="270" t="str">
        <f aca="false">IF(AND(ISNUMBER(I843),ISNUMBER(S843)),I843*AJ843,IF(OR(I843&lt;&gt;"",S843&lt;&gt;""),"tbd",""))</f>
        <v/>
      </c>
      <c r="S843" s="268"/>
      <c r="Y843" s="275" t="str">
        <f aca="false">IF(ISNUMBER(I843),I843/Netto_Faktor,"")</f>
        <v/>
      </c>
      <c r="Z843" s="275" t="str">
        <f aca="false">IF(B843="","",IF(COUNT(J843:N843)=0,"",SUM(J843:N843)))</f>
        <v/>
      </c>
      <c r="AA843" s="266"/>
      <c r="AB843" s="266"/>
      <c r="AC843" s="266"/>
      <c r="AD843" s="266"/>
      <c r="AE843" s="266"/>
      <c r="AF843" s="266"/>
      <c r="AG843" s="267"/>
      <c r="AH843" s="266" t="str">
        <f aca="false">IF(B843="","",IF(BA843="",IF(R843="WON","✅ belegt &amp; vollständig","✔ vollständig"),LEFT(BA843,LEN(BA843)-3)))</f>
        <v/>
      </c>
      <c r="AJ843" s="268" t="n">
        <f aca="false">IF(ISNUMBER(S843),IFERROR(LOOKUP(IF(S843&lt;=1,S843,S843/100),'⚖️ Wahrscheinlichkeit'!$B$17:$B$21,'⚖️ Wahrscheinlichkeit'!$D$17:$D$21),0),0)</f>
        <v>0</v>
      </c>
      <c r="AK843" s="1" t="str">
        <f aca="false">IF(AND(R843="WON",ISNUMBER(I843)),AL843+(861-ROW())*0.000001,"")</f>
        <v/>
      </c>
      <c r="AL843" s="1" t="n">
        <f aca="false">IFERROR(I843*1,0)</f>
        <v>0</v>
      </c>
      <c r="AM843" s="1" t="n">
        <f aca="false">N(AM842)+IF(AND(R843="WON",B843&lt;&gt;""),1,0)</f>
        <v>12</v>
      </c>
      <c r="AN843" s="1" t="n">
        <f aca="false">N(AN842)+IF(AND(OR(R843="offered",R843="to be offered",R843="on hold"),B843&lt;&gt;""),1,0)</f>
        <v>33</v>
      </c>
      <c r="AO843" s="1" t="n">
        <f aca="false">N(AO842)+IF(AND(OR(R843="follow-up",R843="Evaluation",R843="tbd",R843="In evaluation"),B843&lt;&gt;""),1,0)</f>
        <v>1</v>
      </c>
      <c r="AP843" s="1" t="n">
        <f aca="false">IF(B843="",0,IF(COUNTIF('⚖️ Wahrscheinlichkeit'!$J$17:$J$24,R843)&gt;0,1,0))</f>
        <v>0</v>
      </c>
      <c r="AQ843" s="1" t="n">
        <f aca="false">IF(B843="",0,IF(AND(ISNUMBER(S843),COUNTIF('⚖️ Wahrscheinlichkeit'!$B$6:$B$11,S843)&gt;0),1,0))</f>
        <v>0</v>
      </c>
      <c r="AR843" s="1" t="n">
        <f aca="false">IF(B843="",0,IF(AND(COUNT(J843:M843)=4,SUM(J843:M843)&gt;0),1,0))</f>
        <v>0</v>
      </c>
      <c r="AS843" s="1" t="n">
        <f aca="false">IF(B843="",0,IF(AND(AF843&lt;&gt;"",AG843&lt;&gt;""),1,0))</f>
        <v>0</v>
      </c>
      <c r="AT843" s="1" t="n">
        <f aca="false">IF(AND(R843="WON",AS843=1,AR843=1),1,0)</f>
        <v>0</v>
      </c>
      <c r="AU843" s="1" t="n">
        <f aca="false">IF(B843="",0,IF(AD843="Alternative – zählt nicht",0,1))</f>
        <v>0</v>
      </c>
      <c r="AV843" s="1" t="n">
        <f aca="false">IF(B843="",0,IF(COUNTIF($B$6:$B$860,B843)&gt;1,1,0))</f>
        <v>0</v>
      </c>
      <c r="AX843" s="269" t="str">
        <f aca="false">IF(AY843=1,DATE(YEAR(O843),MONTH(O843),1),"")</f>
        <v/>
      </c>
      <c r="AY843" s="1" t="n">
        <f aca="false">IF(B843="",0,IF(AND(ISNUMBER(O843),ISNUMBER(P843)),IF(P843&gt;=O843,1,0),0))</f>
        <v>0</v>
      </c>
      <c r="AZ843" s="1" t="n">
        <f aca="false">IF(ISNUMBER(Y843),Y843,0)</f>
        <v>0</v>
      </c>
      <c r="BA843" s="1" t="str">
        <f aca="false">IF(B843="","",IF(AND(R843="WON",AS843=0),"⛔ Beleg fehlt · ","")&amp;IF(AND(R843="WON",AR843=0),"⛔ Einstand fehlt · ","")&amp;IF(AND(R843&lt;&gt;"WON",AR843=0),"○ Einstand offen · ","")&amp;IF(AND(R843="WON",AB843=""),"⛔ Vertragsart fehlt · ","")&amp;IF(AND(ISNUMBER(O843),ISNUMBER(P843)),IF(P843&lt;O843,"⚠ Ende vor Start · ",""),"")&amp;IF(AND(R843="WON",AY843=0,NOT(AND(ISNUMBER(O843),ISNUMBER(P843)))),"⛔ Zeitraum fehlt · ","")&amp;IF(AND(R843&lt;&gt;"WON",AY843=0,NOT(AND(ISNUMBER(O843),ISNUMBER(P843)))),"○ Zeitraum offen · ",""))</f>
        <v/>
      </c>
      <c r="BB843" s="1" t="str">
        <f aca="false">IF(B843="","",IF(AND(R843="WON",AS843=0),"⛔ Nachweis fehlt",IF(AND(ISNUMBER(O843),ISNUMBER(P843),P843&lt;O843),"⚠ Ende vor Start",IF(AND(R843="WON",AY843=0),"⛔ Zeitraum fehlt",IF(AR843=0,"○ Einstand offen",IF(AY843=0,"○ Zeitraum offen",IF(R843="WON","✅ belegt","✔ erfasst")))))))</f>
        <v/>
      </c>
    </row>
    <row r="844" customFormat="false" ht="15" hidden="false" customHeight="true" outlineLevel="0" collapsed="false">
      <c r="G844" s="1" t="str">
        <f aca="false">IF(B844="","",IF(AY844=1,P844-O844+1,IF(AW844="","",AW844)))</f>
        <v/>
      </c>
      <c r="I844" s="270"/>
      <c r="J844" s="270"/>
      <c r="K844" s="270"/>
      <c r="L844" s="270"/>
      <c r="M844" s="270"/>
      <c r="N844" s="270"/>
      <c r="O844" s="263"/>
      <c r="P844" s="263"/>
      <c r="Q844" s="270" t="str">
        <f aca="false">IF(AND(ISNUMBER(I844),ISNUMBER(S844)),I844*AJ844,IF(OR(I844&lt;&gt;"",S844&lt;&gt;""),"tbd",""))</f>
        <v/>
      </c>
      <c r="S844" s="268"/>
      <c r="Y844" s="275" t="str">
        <f aca="false">IF(ISNUMBER(I844),I844/Netto_Faktor,"")</f>
        <v/>
      </c>
      <c r="Z844" s="275" t="str">
        <f aca="false">IF(B844="","",IF(COUNT(J844:N844)=0,"",SUM(J844:N844)))</f>
        <v/>
      </c>
      <c r="AA844" s="266"/>
      <c r="AB844" s="266"/>
      <c r="AC844" s="266"/>
      <c r="AD844" s="266"/>
      <c r="AE844" s="266"/>
      <c r="AF844" s="266"/>
      <c r="AG844" s="267"/>
      <c r="AH844" s="266" t="str">
        <f aca="false">IF(B844="","",IF(BA844="",IF(R844="WON","✅ belegt &amp; vollständig","✔ vollständig"),LEFT(BA844,LEN(BA844)-3)))</f>
        <v/>
      </c>
      <c r="AJ844" s="268" t="n">
        <f aca="false">IF(ISNUMBER(S844),IFERROR(LOOKUP(IF(S844&lt;=1,S844,S844/100),'⚖️ Wahrscheinlichkeit'!$B$17:$B$21,'⚖️ Wahrscheinlichkeit'!$D$17:$D$21),0),0)</f>
        <v>0</v>
      </c>
      <c r="AK844" s="1" t="str">
        <f aca="false">IF(AND(R844="WON",ISNUMBER(I844)),AL844+(861-ROW())*0.000001,"")</f>
        <v/>
      </c>
      <c r="AL844" s="1" t="n">
        <f aca="false">IFERROR(I844*1,0)</f>
        <v>0</v>
      </c>
      <c r="AM844" s="1" t="n">
        <f aca="false">N(AM843)+IF(AND(R844="WON",B844&lt;&gt;""),1,0)</f>
        <v>12</v>
      </c>
      <c r="AN844" s="1" t="n">
        <f aca="false">N(AN843)+IF(AND(OR(R844="offered",R844="to be offered",R844="on hold"),B844&lt;&gt;""),1,0)</f>
        <v>33</v>
      </c>
      <c r="AO844" s="1" t="n">
        <f aca="false">N(AO843)+IF(AND(OR(R844="follow-up",R844="Evaluation",R844="tbd",R844="In evaluation"),B844&lt;&gt;""),1,0)</f>
        <v>1</v>
      </c>
      <c r="AP844" s="1" t="n">
        <f aca="false">IF(B844="",0,IF(COUNTIF('⚖️ Wahrscheinlichkeit'!$J$17:$J$24,R844)&gt;0,1,0))</f>
        <v>0</v>
      </c>
      <c r="AQ844" s="1" t="n">
        <f aca="false">IF(B844="",0,IF(AND(ISNUMBER(S844),COUNTIF('⚖️ Wahrscheinlichkeit'!$B$6:$B$11,S844)&gt;0),1,0))</f>
        <v>0</v>
      </c>
      <c r="AR844" s="1" t="n">
        <f aca="false">IF(B844="",0,IF(AND(COUNT(J844:M844)=4,SUM(J844:M844)&gt;0),1,0))</f>
        <v>0</v>
      </c>
      <c r="AS844" s="1" t="n">
        <f aca="false">IF(B844="",0,IF(AND(AF844&lt;&gt;"",AG844&lt;&gt;""),1,0))</f>
        <v>0</v>
      </c>
      <c r="AT844" s="1" t="n">
        <f aca="false">IF(AND(R844="WON",AS844=1,AR844=1),1,0)</f>
        <v>0</v>
      </c>
      <c r="AU844" s="1" t="n">
        <f aca="false">IF(B844="",0,IF(AD844="Alternative – zählt nicht",0,1))</f>
        <v>0</v>
      </c>
      <c r="AV844" s="1" t="n">
        <f aca="false">IF(B844="",0,IF(COUNTIF($B$6:$B$860,B844)&gt;1,1,0))</f>
        <v>0</v>
      </c>
      <c r="AX844" s="269" t="str">
        <f aca="false">IF(AY844=1,DATE(YEAR(O844),MONTH(O844),1),"")</f>
        <v/>
      </c>
      <c r="AY844" s="1" t="n">
        <f aca="false">IF(B844="",0,IF(AND(ISNUMBER(O844),ISNUMBER(P844)),IF(P844&gt;=O844,1,0),0))</f>
        <v>0</v>
      </c>
      <c r="AZ844" s="1" t="n">
        <f aca="false">IF(ISNUMBER(Y844),Y844,0)</f>
        <v>0</v>
      </c>
      <c r="BA844" s="1" t="str">
        <f aca="false">IF(B844="","",IF(AND(R844="WON",AS844=0),"⛔ Beleg fehlt · ","")&amp;IF(AND(R844="WON",AR844=0),"⛔ Einstand fehlt · ","")&amp;IF(AND(R844&lt;&gt;"WON",AR844=0),"○ Einstand offen · ","")&amp;IF(AND(R844="WON",AB844=""),"⛔ Vertragsart fehlt · ","")&amp;IF(AND(ISNUMBER(O844),ISNUMBER(P844)),IF(P844&lt;O844,"⚠ Ende vor Start · ",""),"")&amp;IF(AND(R844="WON",AY844=0,NOT(AND(ISNUMBER(O844),ISNUMBER(P844)))),"⛔ Zeitraum fehlt · ","")&amp;IF(AND(R844&lt;&gt;"WON",AY844=0,NOT(AND(ISNUMBER(O844),ISNUMBER(P844)))),"○ Zeitraum offen · ",""))</f>
        <v/>
      </c>
      <c r="BB844" s="1" t="str">
        <f aca="false">IF(B844="","",IF(AND(R844="WON",AS844=0),"⛔ Nachweis fehlt",IF(AND(ISNUMBER(O844),ISNUMBER(P844),P844&lt;O844),"⚠ Ende vor Start",IF(AND(R844="WON",AY844=0),"⛔ Zeitraum fehlt",IF(AR844=0,"○ Einstand offen",IF(AY844=0,"○ Zeitraum offen",IF(R844="WON","✅ belegt","✔ erfasst")))))))</f>
        <v/>
      </c>
    </row>
    <row r="845" customFormat="false" ht="15" hidden="false" customHeight="true" outlineLevel="0" collapsed="false">
      <c r="G845" s="1" t="str">
        <f aca="false">IF(B845="","",IF(AY845=1,P845-O845+1,IF(AW845="","",AW845)))</f>
        <v/>
      </c>
      <c r="I845" s="270"/>
      <c r="J845" s="270"/>
      <c r="K845" s="270"/>
      <c r="L845" s="270"/>
      <c r="M845" s="270"/>
      <c r="N845" s="270"/>
      <c r="O845" s="263"/>
      <c r="P845" s="263"/>
      <c r="Q845" s="270" t="str">
        <f aca="false">IF(AND(ISNUMBER(I845),ISNUMBER(S845)),I845*AJ845,IF(OR(I845&lt;&gt;"",S845&lt;&gt;""),"tbd",""))</f>
        <v/>
      </c>
      <c r="S845" s="268"/>
      <c r="Y845" s="275" t="str">
        <f aca="false">IF(ISNUMBER(I845),I845/Netto_Faktor,"")</f>
        <v/>
      </c>
      <c r="Z845" s="275" t="str">
        <f aca="false">IF(B845="","",IF(COUNT(J845:N845)=0,"",SUM(J845:N845)))</f>
        <v/>
      </c>
      <c r="AA845" s="266"/>
      <c r="AB845" s="266"/>
      <c r="AC845" s="266"/>
      <c r="AD845" s="266"/>
      <c r="AE845" s="266"/>
      <c r="AF845" s="266"/>
      <c r="AG845" s="267"/>
      <c r="AH845" s="266" t="str">
        <f aca="false">IF(B845="","",IF(BA845="",IF(R845="WON","✅ belegt &amp; vollständig","✔ vollständig"),LEFT(BA845,LEN(BA845)-3)))</f>
        <v/>
      </c>
      <c r="AJ845" s="268" t="n">
        <f aca="false">IF(ISNUMBER(S845),IFERROR(LOOKUP(IF(S845&lt;=1,S845,S845/100),'⚖️ Wahrscheinlichkeit'!$B$17:$B$21,'⚖️ Wahrscheinlichkeit'!$D$17:$D$21),0),0)</f>
        <v>0</v>
      </c>
      <c r="AK845" s="1" t="str">
        <f aca="false">IF(AND(R845="WON",ISNUMBER(I845)),AL845+(861-ROW())*0.000001,"")</f>
        <v/>
      </c>
      <c r="AL845" s="1" t="n">
        <f aca="false">IFERROR(I845*1,0)</f>
        <v>0</v>
      </c>
      <c r="AM845" s="1" t="n">
        <f aca="false">N(AM844)+IF(AND(R845="WON",B845&lt;&gt;""),1,0)</f>
        <v>12</v>
      </c>
      <c r="AN845" s="1" t="n">
        <f aca="false">N(AN844)+IF(AND(OR(R845="offered",R845="to be offered",R845="on hold"),B845&lt;&gt;""),1,0)</f>
        <v>33</v>
      </c>
      <c r="AO845" s="1" t="n">
        <f aca="false">N(AO844)+IF(AND(OR(R845="follow-up",R845="Evaluation",R845="tbd",R845="In evaluation"),B845&lt;&gt;""),1,0)</f>
        <v>1</v>
      </c>
      <c r="AP845" s="1" t="n">
        <f aca="false">IF(B845="",0,IF(COUNTIF('⚖️ Wahrscheinlichkeit'!$J$17:$J$24,R845)&gt;0,1,0))</f>
        <v>0</v>
      </c>
      <c r="AQ845" s="1" t="n">
        <f aca="false">IF(B845="",0,IF(AND(ISNUMBER(S845),COUNTIF('⚖️ Wahrscheinlichkeit'!$B$6:$B$11,S845)&gt;0),1,0))</f>
        <v>0</v>
      </c>
      <c r="AR845" s="1" t="n">
        <f aca="false">IF(B845="",0,IF(AND(COUNT(J845:M845)=4,SUM(J845:M845)&gt;0),1,0))</f>
        <v>0</v>
      </c>
      <c r="AS845" s="1" t="n">
        <f aca="false">IF(B845="",0,IF(AND(AF845&lt;&gt;"",AG845&lt;&gt;""),1,0))</f>
        <v>0</v>
      </c>
      <c r="AT845" s="1" t="n">
        <f aca="false">IF(AND(R845="WON",AS845=1,AR845=1),1,0)</f>
        <v>0</v>
      </c>
      <c r="AU845" s="1" t="n">
        <f aca="false">IF(B845="",0,IF(AD845="Alternative – zählt nicht",0,1))</f>
        <v>0</v>
      </c>
      <c r="AV845" s="1" t="n">
        <f aca="false">IF(B845="",0,IF(COUNTIF($B$6:$B$860,B845)&gt;1,1,0))</f>
        <v>0</v>
      </c>
      <c r="AX845" s="269" t="str">
        <f aca="false">IF(AY845=1,DATE(YEAR(O845),MONTH(O845),1),"")</f>
        <v/>
      </c>
      <c r="AY845" s="1" t="n">
        <f aca="false">IF(B845="",0,IF(AND(ISNUMBER(O845),ISNUMBER(P845)),IF(P845&gt;=O845,1,0),0))</f>
        <v>0</v>
      </c>
      <c r="AZ845" s="1" t="n">
        <f aca="false">IF(ISNUMBER(Y845),Y845,0)</f>
        <v>0</v>
      </c>
      <c r="BA845" s="1" t="str">
        <f aca="false">IF(B845="","",IF(AND(R845="WON",AS845=0),"⛔ Beleg fehlt · ","")&amp;IF(AND(R845="WON",AR845=0),"⛔ Einstand fehlt · ","")&amp;IF(AND(R845&lt;&gt;"WON",AR845=0),"○ Einstand offen · ","")&amp;IF(AND(R845="WON",AB845=""),"⛔ Vertragsart fehlt · ","")&amp;IF(AND(ISNUMBER(O845),ISNUMBER(P845)),IF(P845&lt;O845,"⚠ Ende vor Start · ",""),"")&amp;IF(AND(R845="WON",AY845=0,NOT(AND(ISNUMBER(O845),ISNUMBER(P845)))),"⛔ Zeitraum fehlt · ","")&amp;IF(AND(R845&lt;&gt;"WON",AY845=0,NOT(AND(ISNUMBER(O845),ISNUMBER(P845)))),"○ Zeitraum offen · ",""))</f>
        <v/>
      </c>
      <c r="BB845" s="1" t="str">
        <f aca="false">IF(B845="","",IF(AND(R845="WON",AS845=0),"⛔ Nachweis fehlt",IF(AND(ISNUMBER(O845),ISNUMBER(P845),P845&lt;O845),"⚠ Ende vor Start",IF(AND(R845="WON",AY845=0),"⛔ Zeitraum fehlt",IF(AR845=0,"○ Einstand offen",IF(AY845=0,"○ Zeitraum offen",IF(R845="WON","✅ belegt","✔ erfasst")))))))</f>
        <v/>
      </c>
    </row>
    <row r="846" customFormat="false" ht="15" hidden="false" customHeight="true" outlineLevel="0" collapsed="false">
      <c r="G846" s="1" t="str">
        <f aca="false">IF(B846="","",IF(AY846=1,P846-O846+1,IF(AW846="","",AW846)))</f>
        <v/>
      </c>
      <c r="I846" s="270"/>
      <c r="J846" s="270"/>
      <c r="K846" s="270"/>
      <c r="L846" s="270"/>
      <c r="M846" s="270"/>
      <c r="N846" s="270"/>
      <c r="O846" s="263"/>
      <c r="P846" s="263"/>
      <c r="Q846" s="270" t="str">
        <f aca="false">IF(AND(ISNUMBER(I846),ISNUMBER(S846)),I846*AJ846,IF(OR(I846&lt;&gt;"",S846&lt;&gt;""),"tbd",""))</f>
        <v/>
      </c>
      <c r="S846" s="268"/>
      <c r="Y846" s="275" t="str">
        <f aca="false">IF(ISNUMBER(I846),I846/Netto_Faktor,"")</f>
        <v/>
      </c>
      <c r="Z846" s="275" t="str">
        <f aca="false">IF(B846="","",IF(COUNT(J846:N846)=0,"",SUM(J846:N846)))</f>
        <v/>
      </c>
      <c r="AA846" s="266"/>
      <c r="AB846" s="266"/>
      <c r="AC846" s="266"/>
      <c r="AD846" s="266"/>
      <c r="AE846" s="266"/>
      <c r="AF846" s="266"/>
      <c r="AG846" s="267"/>
      <c r="AH846" s="266" t="str">
        <f aca="false">IF(B846="","",IF(BA846="",IF(R846="WON","✅ belegt &amp; vollständig","✔ vollständig"),LEFT(BA846,LEN(BA846)-3)))</f>
        <v/>
      </c>
      <c r="AJ846" s="268" t="n">
        <f aca="false">IF(ISNUMBER(S846),IFERROR(LOOKUP(IF(S846&lt;=1,S846,S846/100),'⚖️ Wahrscheinlichkeit'!$B$17:$B$21,'⚖️ Wahrscheinlichkeit'!$D$17:$D$21),0),0)</f>
        <v>0</v>
      </c>
      <c r="AK846" s="1" t="str">
        <f aca="false">IF(AND(R846="WON",ISNUMBER(I846)),AL846+(861-ROW())*0.000001,"")</f>
        <v/>
      </c>
      <c r="AL846" s="1" t="n">
        <f aca="false">IFERROR(I846*1,0)</f>
        <v>0</v>
      </c>
      <c r="AM846" s="1" t="n">
        <f aca="false">N(AM845)+IF(AND(R846="WON",B846&lt;&gt;""),1,0)</f>
        <v>12</v>
      </c>
      <c r="AN846" s="1" t="n">
        <f aca="false">N(AN845)+IF(AND(OR(R846="offered",R846="to be offered",R846="on hold"),B846&lt;&gt;""),1,0)</f>
        <v>33</v>
      </c>
      <c r="AO846" s="1" t="n">
        <f aca="false">N(AO845)+IF(AND(OR(R846="follow-up",R846="Evaluation",R846="tbd",R846="In evaluation"),B846&lt;&gt;""),1,0)</f>
        <v>1</v>
      </c>
      <c r="AP846" s="1" t="n">
        <f aca="false">IF(B846="",0,IF(COUNTIF('⚖️ Wahrscheinlichkeit'!$J$17:$J$24,R846)&gt;0,1,0))</f>
        <v>0</v>
      </c>
      <c r="AQ846" s="1" t="n">
        <f aca="false">IF(B846="",0,IF(AND(ISNUMBER(S846),COUNTIF('⚖️ Wahrscheinlichkeit'!$B$6:$B$11,S846)&gt;0),1,0))</f>
        <v>0</v>
      </c>
      <c r="AR846" s="1" t="n">
        <f aca="false">IF(B846="",0,IF(AND(COUNT(J846:M846)=4,SUM(J846:M846)&gt;0),1,0))</f>
        <v>0</v>
      </c>
      <c r="AS846" s="1" t="n">
        <f aca="false">IF(B846="",0,IF(AND(AF846&lt;&gt;"",AG846&lt;&gt;""),1,0))</f>
        <v>0</v>
      </c>
      <c r="AT846" s="1" t="n">
        <f aca="false">IF(AND(R846="WON",AS846=1,AR846=1),1,0)</f>
        <v>0</v>
      </c>
      <c r="AU846" s="1" t="n">
        <f aca="false">IF(B846="",0,IF(AD846="Alternative – zählt nicht",0,1))</f>
        <v>0</v>
      </c>
      <c r="AV846" s="1" t="n">
        <f aca="false">IF(B846="",0,IF(COUNTIF($B$6:$B$860,B846)&gt;1,1,0))</f>
        <v>0</v>
      </c>
      <c r="AX846" s="269" t="str">
        <f aca="false">IF(AY846=1,DATE(YEAR(O846),MONTH(O846),1),"")</f>
        <v/>
      </c>
      <c r="AY846" s="1" t="n">
        <f aca="false">IF(B846="",0,IF(AND(ISNUMBER(O846),ISNUMBER(P846)),IF(P846&gt;=O846,1,0),0))</f>
        <v>0</v>
      </c>
      <c r="AZ846" s="1" t="n">
        <f aca="false">IF(ISNUMBER(Y846),Y846,0)</f>
        <v>0</v>
      </c>
      <c r="BA846" s="1" t="str">
        <f aca="false">IF(B846="","",IF(AND(R846="WON",AS846=0),"⛔ Beleg fehlt · ","")&amp;IF(AND(R846="WON",AR846=0),"⛔ Einstand fehlt · ","")&amp;IF(AND(R846&lt;&gt;"WON",AR846=0),"○ Einstand offen · ","")&amp;IF(AND(R846="WON",AB846=""),"⛔ Vertragsart fehlt · ","")&amp;IF(AND(ISNUMBER(O846),ISNUMBER(P846)),IF(P846&lt;O846,"⚠ Ende vor Start · ",""),"")&amp;IF(AND(R846="WON",AY846=0,NOT(AND(ISNUMBER(O846),ISNUMBER(P846)))),"⛔ Zeitraum fehlt · ","")&amp;IF(AND(R846&lt;&gt;"WON",AY846=0,NOT(AND(ISNUMBER(O846),ISNUMBER(P846)))),"○ Zeitraum offen · ",""))</f>
        <v/>
      </c>
      <c r="BB846" s="1" t="str">
        <f aca="false">IF(B846="","",IF(AND(R846="WON",AS846=0),"⛔ Nachweis fehlt",IF(AND(ISNUMBER(O846),ISNUMBER(P846),P846&lt;O846),"⚠ Ende vor Start",IF(AND(R846="WON",AY846=0),"⛔ Zeitraum fehlt",IF(AR846=0,"○ Einstand offen",IF(AY846=0,"○ Zeitraum offen",IF(R846="WON","✅ belegt","✔ erfasst")))))))</f>
        <v/>
      </c>
    </row>
    <row r="847" customFormat="false" ht="15" hidden="false" customHeight="true" outlineLevel="0" collapsed="false">
      <c r="G847" s="1" t="str">
        <f aca="false">IF(B847="","",IF(AY847=1,P847-O847+1,IF(AW847="","",AW847)))</f>
        <v/>
      </c>
      <c r="I847" s="270"/>
      <c r="J847" s="270"/>
      <c r="K847" s="270"/>
      <c r="L847" s="270"/>
      <c r="M847" s="270"/>
      <c r="N847" s="270"/>
      <c r="O847" s="263"/>
      <c r="P847" s="263"/>
      <c r="Q847" s="270" t="str">
        <f aca="false">IF(AND(ISNUMBER(I847),ISNUMBER(S847)),I847*AJ847,IF(OR(I847&lt;&gt;"",S847&lt;&gt;""),"tbd",""))</f>
        <v/>
      </c>
      <c r="S847" s="268"/>
      <c r="Y847" s="275" t="str">
        <f aca="false">IF(ISNUMBER(I847),I847/Netto_Faktor,"")</f>
        <v/>
      </c>
      <c r="Z847" s="275" t="str">
        <f aca="false">IF(B847="","",IF(COUNT(J847:N847)=0,"",SUM(J847:N847)))</f>
        <v/>
      </c>
      <c r="AA847" s="266"/>
      <c r="AB847" s="266"/>
      <c r="AC847" s="266"/>
      <c r="AD847" s="266"/>
      <c r="AE847" s="266"/>
      <c r="AF847" s="266"/>
      <c r="AG847" s="267"/>
      <c r="AH847" s="266" t="str">
        <f aca="false">IF(B847="","",IF(BA847="",IF(R847="WON","✅ belegt &amp; vollständig","✔ vollständig"),LEFT(BA847,LEN(BA847)-3)))</f>
        <v/>
      </c>
      <c r="AJ847" s="268" t="n">
        <f aca="false">IF(ISNUMBER(S847),IFERROR(LOOKUP(IF(S847&lt;=1,S847,S847/100),'⚖️ Wahrscheinlichkeit'!$B$17:$B$21,'⚖️ Wahrscheinlichkeit'!$D$17:$D$21),0),0)</f>
        <v>0</v>
      </c>
      <c r="AK847" s="1" t="str">
        <f aca="false">IF(AND(R847="WON",ISNUMBER(I847)),AL847+(861-ROW())*0.000001,"")</f>
        <v/>
      </c>
      <c r="AL847" s="1" t="n">
        <f aca="false">IFERROR(I847*1,0)</f>
        <v>0</v>
      </c>
      <c r="AM847" s="1" t="n">
        <f aca="false">N(AM846)+IF(AND(R847="WON",B847&lt;&gt;""),1,0)</f>
        <v>12</v>
      </c>
      <c r="AN847" s="1" t="n">
        <f aca="false">N(AN846)+IF(AND(OR(R847="offered",R847="to be offered",R847="on hold"),B847&lt;&gt;""),1,0)</f>
        <v>33</v>
      </c>
      <c r="AO847" s="1" t="n">
        <f aca="false">N(AO846)+IF(AND(OR(R847="follow-up",R847="Evaluation",R847="tbd",R847="In evaluation"),B847&lt;&gt;""),1,0)</f>
        <v>1</v>
      </c>
      <c r="AP847" s="1" t="n">
        <f aca="false">IF(B847="",0,IF(COUNTIF('⚖️ Wahrscheinlichkeit'!$J$17:$J$24,R847)&gt;0,1,0))</f>
        <v>0</v>
      </c>
      <c r="AQ847" s="1" t="n">
        <f aca="false">IF(B847="",0,IF(AND(ISNUMBER(S847),COUNTIF('⚖️ Wahrscheinlichkeit'!$B$6:$B$11,S847)&gt;0),1,0))</f>
        <v>0</v>
      </c>
      <c r="AR847" s="1" t="n">
        <f aca="false">IF(B847="",0,IF(AND(COUNT(J847:M847)=4,SUM(J847:M847)&gt;0),1,0))</f>
        <v>0</v>
      </c>
      <c r="AS847" s="1" t="n">
        <f aca="false">IF(B847="",0,IF(AND(AF847&lt;&gt;"",AG847&lt;&gt;""),1,0))</f>
        <v>0</v>
      </c>
      <c r="AT847" s="1" t="n">
        <f aca="false">IF(AND(R847="WON",AS847=1,AR847=1),1,0)</f>
        <v>0</v>
      </c>
      <c r="AU847" s="1" t="n">
        <f aca="false">IF(B847="",0,IF(AD847="Alternative – zählt nicht",0,1))</f>
        <v>0</v>
      </c>
      <c r="AV847" s="1" t="n">
        <f aca="false">IF(B847="",0,IF(COUNTIF($B$6:$B$860,B847)&gt;1,1,0))</f>
        <v>0</v>
      </c>
      <c r="AX847" s="269" t="str">
        <f aca="false">IF(AY847=1,DATE(YEAR(O847),MONTH(O847),1),"")</f>
        <v/>
      </c>
      <c r="AY847" s="1" t="n">
        <f aca="false">IF(B847="",0,IF(AND(ISNUMBER(O847),ISNUMBER(P847)),IF(P847&gt;=O847,1,0),0))</f>
        <v>0</v>
      </c>
      <c r="AZ847" s="1" t="n">
        <f aca="false">IF(ISNUMBER(Y847),Y847,0)</f>
        <v>0</v>
      </c>
      <c r="BA847" s="1" t="str">
        <f aca="false">IF(B847="","",IF(AND(R847="WON",AS847=0),"⛔ Beleg fehlt · ","")&amp;IF(AND(R847="WON",AR847=0),"⛔ Einstand fehlt · ","")&amp;IF(AND(R847&lt;&gt;"WON",AR847=0),"○ Einstand offen · ","")&amp;IF(AND(R847="WON",AB847=""),"⛔ Vertragsart fehlt · ","")&amp;IF(AND(ISNUMBER(O847),ISNUMBER(P847)),IF(P847&lt;O847,"⚠ Ende vor Start · ",""),"")&amp;IF(AND(R847="WON",AY847=0,NOT(AND(ISNUMBER(O847),ISNUMBER(P847)))),"⛔ Zeitraum fehlt · ","")&amp;IF(AND(R847&lt;&gt;"WON",AY847=0,NOT(AND(ISNUMBER(O847),ISNUMBER(P847)))),"○ Zeitraum offen · ",""))</f>
        <v/>
      </c>
      <c r="BB847" s="1" t="str">
        <f aca="false">IF(B847="","",IF(AND(R847="WON",AS847=0),"⛔ Nachweis fehlt",IF(AND(ISNUMBER(O847),ISNUMBER(P847),P847&lt;O847),"⚠ Ende vor Start",IF(AND(R847="WON",AY847=0),"⛔ Zeitraum fehlt",IF(AR847=0,"○ Einstand offen",IF(AY847=0,"○ Zeitraum offen",IF(R847="WON","✅ belegt","✔ erfasst")))))))</f>
        <v/>
      </c>
    </row>
    <row r="848" customFormat="false" ht="15" hidden="false" customHeight="true" outlineLevel="0" collapsed="false">
      <c r="G848" s="1" t="str">
        <f aca="false">IF(B848="","",IF(AY848=1,P848-O848+1,IF(AW848="","",AW848)))</f>
        <v/>
      </c>
      <c r="I848" s="270"/>
      <c r="J848" s="270"/>
      <c r="K848" s="270"/>
      <c r="L848" s="270"/>
      <c r="M848" s="270"/>
      <c r="N848" s="270"/>
      <c r="O848" s="263"/>
      <c r="P848" s="263"/>
      <c r="Q848" s="270" t="str">
        <f aca="false">IF(AND(ISNUMBER(I848),ISNUMBER(S848)),I848*AJ848,IF(OR(I848&lt;&gt;"",S848&lt;&gt;""),"tbd",""))</f>
        <v/>
      </c>
      <c r="S848" s="268"/>
      <c r="Y848" s="275" t="str">
        <f aca="false">IF(ISNUMBER(I848),I848/Netto_Faktor,"")</f>
        <v/>
      </c>
      <c r="Z848" s="275" t="str">
        <f aca="false">IF(B848="","",IF(COUNT(J848:N848)=0,"",SUM(J848:N848)))</f>
        <v/>
      </c>
      <c r="AA848" s="266"/>
      <c r="AB848" s="266"/>
      <c r="AC848" s="266"/>
      <c r="AD848" s="266"/>
      <c r="AE848" s="266"/>
      <c r="AF848" s="266"/>
      <c r="AG848" s="267"/>
      <c r="AH848" s="266" t="str">
        <f aca="false">IF(B848="","",IF(BA848="",IF(R848="WON","✅ belegt &amp; vollständig","✔ vollständig"),LEFT(BA848,LEN(BA848)-3)))</f>
        <v/>
      </c>
      <c r="AJ848" s="268" t="n">
        <f aca="false">IF(ISNUMBER(S848),IFERROR(LOOKUP(IF(S848&lt;=1,S848,S848/100),'⚖️ Wahrscheinlichkeit'!$B$17:$B$21,'⚖️ Wahrscheinlichkeit'!$D$17:$D$21),0),0)</f>
        <v>0</v>
      </c>
      <c r="AK848" s="1" t="str">
        <f aca="false">IF(AND(R848="WON",ISNUMBER(I848)),AL848+(861-ROW())*0.000001,"")</f>
        <v/>
      </c>
      <c r="AL848" s="1" t="n">
        <f aca="false">IFERROR(I848*1,0)</f>
        <v>0</v>
      </c>
      <c r="AM848" s="1" t="n">
        <f aca="false">N(AM847)+IF(AND(R848="WON",B848&lt;&gt;""),1,0)</f>
        <v>12</v>
      </c>
      <c r="AN848" s="1" t="n">
        <f aca="false">N(AN847)+IF(AND(OR(R848="offered",R848="to be offered",R848="on hold"),B848&lt;&gt;""),1,0)</f>
        <v>33</v>
      </c>
      <c r="AO848" s="1" t="n">
        <f aca="false">N(AO847)+IF(AND(OR(R848="follow-up",R848="Evaluation",R848="tbd",R848="In evaluation"),B848&lt;&gt;""),1,0)</f>
        <v>1</v>
      </c>
      <c r="AP848" s="1" t="n">
        <f aca="false">IF(B848="",0,IF(COUNTIF('⚖️ Wahrscheinlichkeit'!$J$17:$J$24,R848)&gt;0,1,0))</f>
        <v>0</v>
      </c>
      <c r="AQ848" s="1" t="n">
        <f aca="false">IF(B848="",0,IF(AND(ISNUMBER(S848),COUNTIF('⚖️ Wahrscheinlichkeit'!$B$6:$B$11,S848)&gt;0),1,0))</f>
        <v>0</v>
      </c>
      <c r="AR848" s="1" t="n">
        <f aca="false">IF(B848="",0,IF(AND(COUNT(J848:M848)=4,SUM(J848:M848)&gt;0),1,0))</f>
        <v>0</v>
      </c>
      <c r="AS848" s="1" t="n">
        <f aca="false">IF(B848="",0,IF(AND(AF848&lt;&gt;"",AG848&lt;&gt;""),1,0))</f>
        <v>0</v>
      </c>
      <c r="AT848" s="1" t="n">
        <f aca="false">IF(AND(R848="WON",AS848=1,AR848=1),1,0)</f>
        <v>0</v>
      </c>
      <c r="AU848" s="1" t="n">
        <f aca="false">IF(B848="",0,IF(AD848="Alternative – zählt nicht",0,1))</f>
        <v>0</v>
      </c>
      <c r="AV848" s="1" t="n">
        <f aca="false">IF(B848="",0,IF(COUNTIF($B$6:$B$860,B848)&gt;1,1,0))</f>
        <v>0</v>
      </c>
      <c r="AX848" s="269" t="str">
        <f aca="false">IF(AY848=1,DATE(YEAR(O848),MONTH(O848),1),"")</f>
        <v/>
      </c>
      <c r="AY848" s="1" t="n">
        <f aca="false">IF(B848="",0,IF(AND(ISNUMBER(O848),ISNUMBER(P848)),IF(P848&gt;=O848,1,0),0))</f>
        <v>0</v>
      </c>
      <c r="AZ848" s="1" t="n">
        <f aca="false">IF(ISNUMBER(Y848),Y848,0)</f>
        <v>0</v>
      </c>
      <c r="BA848" s="1" t="str">
        <f aca="false">IF(B848="","",IF(AND(R848="WON",AS848=0),"⛔ Beleg fehlt · ","")&amp;IF(AND(R848="WON",AR848=0),"⛔ Einstand fehlt · ","")&amp;IF(AND(R848&lt;&gt;"WON",AR848=0),"○ Einstand offen · ","")&amp;IF(AND(R848="WON",AB848=""),"⛔ Vertragsart fehlt · ","")&amp;IF(AND(ISNUMBER(O848),ISNUMBER(P848)),IF(P848&lt;O848,"⚠ Ende vor Start · ",""),"")&amp;IF(AND(R848="WON",AY848=0,NOT(AND(ISNUMBER(O848),ISNUMBER(P848)))),"⛔ Zeitraum fehlt · ","")&amp;IF(AND(R848&lt;&gt;"WON",AY848=0,NOT(AND(ISNUMBER(O848),ISNUMBER(P848)))),"○ Zeitraum offen · ",""))</f>
        <v/>
      </c>
      <c r="BB848" s="1" t="str">
        <f aca="false">IF(B848="","",IF(AND(R848="WON",AS848=0),"⛔ Nachweis fehlt",IF(AND(ISNUMBER(O848),ISNUMBER(P848),P848&lt;O848),"⚠ Ende vor Start",IF(AND(R848="WON",AY848=0),"⛔ Zeitraum fehlt",IF(AR848=0,"○ Einstand offen",IF(AY848=0,"○ Zeitraum offen",IF(R848="WON","✅ belegt","✔ erfasst")))))))</f>
        <v/>
      </c>
    </row>
    <row r="849" customFormat="false" ht="15" hidden="false" customHeight="true" outlineLevel="0" collapsed="false">
      <c r="G849" s="1" t="str">
        <f aca="false">IF(B849="","",IF(AY849=1,P849-O849+1,IF(AW849="","",AW849)))</f>
        <v/>
      </c>
      <c r="I849" s="270"/>
      <c r="J849" s="270"/>
      <c r="K849" s="270"/>
      <c r="L849" s="270"/>
      <c r="M849" s="270"/>
      <c r="N849" s="270"/>
      <c r="O849" s="263"/>
      <c r="P849" s="263"/>
      <c r="Q849" s="270" t="str">
        <f aca="false">IF(AND(ISNUMBER(I849),ISNUMBER(S849)),I849*AJ849,IF(OR(I849&lt;&gt;"",S849&lt;&gt;""),"tbd",""))</f>
        <v/>
      </c>
      <c r="S849" s="268"/>
      <c r="Y849" s="275" t="str">
        <f aca="false">IF(ISNUMBER(I849),I849/Netto_Faktor,"")</f>
        <v/>
      </c>
      <c r="Z849" s="275" t="str">
        <f aca="false">IF(B849="","",IF(COUNT(J849:N849)=0,"",SUM(J849:N849)))</f>
        <v/>
      </c>
      <c r="AA849" s="266"/>
      <c r="AB849" s="266"/>
      <c r="AC849" s="266"/>
      <c r="AD849" s="266"/>
      <c r="AE849" s="266"/>
      <c r="AF849" s="266"/>
      <c r="AG849" s="267"/>
      <c r="AH849" s="266" t="str">
        <f aca="false">IF(B849="","",IF(BA849="",IF(R849="WON","✅ belegt &amp; vollständig","✔ vollständig"),LEFT(BA849,LEN(BA849)-3)))</f>
        <v/>
      </c>
      <c r="AJ849" s="268" t="n">
        <f aca="false">IF(ISNUMBER(S849),IFERROR(LOOKUP(IF(S849&lt;=1,S849,S849/100),'⚖️ Wahrscheinlichkeit'!$B$17:$B$21,'⚖️ Wahrscheinlichkeit'!$D$17:$D$21),0),0)</f>
        <v>0</v>
      </c>
      <c r="AK849" s="1" t="str">
        <f aca="false">IF(AND(R849="WON",ISNUMBER(I849)),AL849+(861-ROW())*0.000001,"")</f>
        <v/>
      </c>
      <c r="AL849" s="1" t="n">
        <f aca="false">IFERROR(I849*1,0)</f>
        <v>0</v>
      </c>
      <c r="AM849" s="1" t="n">
        <f aca="false">N(AM848)+IF(AND(R849="WON",B849&lt;&gt;""),1,0)</f>
        <v>12</v>
      </c>
      <c r="AN849" s="1" t="n">
        <f aca="false">N(AN848)+IF(AND(OR(R849="offered",R849="to be offered",R849="on hold"),B849&lt;&gt;""),1,0)</f>
        <v>33</v>
      </c>
      <c r="AO849" s="1" t="n">
        <f aca="false">N(AO848)+IF(AND(OR(R849="follow-up",R849="Evaluation",R849="tbd",R849="In evaluation"),B849&lt;&gt;""),1,0)</f>
        <v>1</v>
      </c>
      <c r="AP849" s="1" t="n">
        <f aca="false">IF(B849="",0,IF(COUNTIF('⚖️ Wahrscheinlichkeit'!$J$17:$J$24,R849)&gt;0,1,0))</f>
        <v>0</v>
      </c>
      <c r="AQ849" s="1" t="n">
        <f aca="false">IF(B849="",0,IF(AND(ISNUMBER(S849),COUNTIF('⚖️ Wahrscheinlichkeit'!$B$6:$B$11,S849)&gt;0),1,0))</f>
        <v>0</v>
      </c>
      <c r="AR849" s="1" t="n">
        <f aca="false">IF(B849="",0,IF(AND(COUNT(J849:M849)=4,SUM(J849:M849)&gt;0),1,0))</f>
        <v>0</v>
      </c>
      <c r="AS849" s="1" t="n">
        <f aca="false">IF(B849="",0,IF(AND(AF849&lt;&gt;"",AG849&lt;&gt;""),1,0))</f>
        <v>0</v>
      </c>
      <c r="AT849" s="1" t="n">
        <f aca="false">IF(AND(R849="WON",AS849=1,AR849=1),1,0)</f>
        <v>0</v>
      </c>
      <c r="AU849" s="1" t="n">
        <f aca="false">IF(B849="",0,IF(AD849="Alternative – zählt nicht",0,1))</f>
        <v>0</v>
      </c>
      <c r="AV849" s="1" t="n">
        <f aca="false">IF(B849="",0,IF(COUNTIF($B$6:$B$860,B849)&gt;1,1,0))</f>
        <v>0</v>
      </c>
      <c r="AX849" s="269" t="str">
        <f aca="false">IF(AY849=1,DATE(YEAR(O849),MONTH(O849),1),"")</f>
        <v/>
      </c>
      <c r="AY849" s="1" t="n">
        <f aca="false">IF(B849="",0,IF(AND(ISNUMBER(O849),ISNUMBER(P849)),IF(P849&gt;=O849,1,0),0))</f>
        <v>0</v>
      </c>
      <c r="AZ849" s="1" t="n">
        <f aca="false">IF(ISNUMBER(Y849),Y849,0)</f>
        <v>0</v>
      </c>
      <c r="BA849" s="1" t="str">
        <f aca="false">IF(B849="","",IF(AND(R849="WON",AS849=0),"⛔ Beleg fehlt · ","")&amp;IF(AND(R849="WON",AR849=0),"⛔ Einstand fehlt · ","")&amp;IF(AND(R849&lt;&gt;"WON",AR849=0),"○ Einstand offen · ","")&amp;IF(AND(R849="WON",AB849=""),"⛔ Vertragsart fehlt · ","")&amp;IF(AND(ISNUMBER(O849),ISNUMBER(P849)),IF(P849&lt;O849,"⚠ Ende vor Start · ",""),"")&amp;IF(AND(R849="WON",AY849=0,NOT(AND(ISNUMBER(O849),ISNUMBER(P849)))),"⛔ Zeitraum fehlt · ","")&amp;IF(AND(R849&lt;&gt;"WON",AY849=0,NOT(AND(ISNUMBER(O849),ISNUMBER(P849)))),"○ Zeitraum offen · ",""))</f>
        <v/>
      </c>
      <c r="BB849" s="1" t="str">
        <f aca="false">IF(B849="","",IF(AND(R849="WON",AS849=0),"⛔ Nachweis fehlt",IF(AND(ISNUMBER(O849),ISNUMBER(P849),P849&lt;O849),"⚠ Ende vor Start",IF(AND(R849="WON",AY849=0),"⛔ Zeitraum fehlt",IF(AR849=0,"○ Einstand offen",IF(AY849=0,"○ Zeitraum offen",IF(R849="WON","✅ belegt","✔ erfasst")))))))</f>
        <v/>
      </c>
    </row>
    <row r="850" customFormat="false" ht="15" hidden="false" customHeight="true" outlineLevel="0" collapsed="false">
      <c r="G850" s="1" t="str">
        <f aca="false">IF(B850="","",IF(AY850=1,P850-O850+1,IF(AW850="","",AW850)))</f>
        <v/>
      </c>
      <c r="I850" s="270"/>
      <c r="J850" s="270"/>
      <c r="K850" s="270"/>
      <c r="L850" s="270"/>
      <c r="M850" s="270"/>
      <c r="N850" s="270"/>
      <c r="O850" s="263"/>
      <c r="P850" s="263"/>
      <c r="Q850" s="270" t="str">
        <f aca="false">IF(AND(ISNUMBER(I850),ISNUMBER(S850)),I850*AJ850,IF(OR(I850&lt;&gt;"",S850&lt;&gt;""),"tbd",""))</f>
        <v/>
      </c>
      <c r="S850" s="268"/>
      <c r="Y850" s="275" t="str">
        <f aca="false">IF(ISNUMBER(I850),I850/Netto_Faktor,"")</f>
        <v/>
      </c>
      <c r="Z850" s="275" t="str">
        <f aca="false">IF(B850="","",IF(COUNT(J850:N850)=0,"",SUM(J850:N850)))</f>
        <v/>
      </c>
      <c r="AA850" s="266"/>
      <c r="AB850" s="266"/>
      <c r="AC850" s="266"/>
      <c r="AD850" s="266"/>
      <c r="AE850" s="266"/>
      <c r="AF850" s="266"/>
      <c r="AG850" s="267"/>
      <c r="AH850" s="266" t="str">
        <f aca="false">IF(B850="","",IF(BA850="",IF(R850="WON","✅ belegt &amp; vollständig","✔ vollständig"),LEFT(BA850,LEN(BA850)-3)))</f>
        <v/>
      </c>
      <c r="AJ850" s="268" t="n">
        <f aca="false">IF(ISNUMBER(S850),IFERROR(LOOKUP(IF(S850&lt;=1,S850,S850/100),'⚖️ Wahrscheinlichkeit'!$B$17:$B$21,'⚖️ Wahrscheinlichkeit'!$D$17:$D$21),0),0)</f>
        <v>0</v>
      </c>
      <c r="AK850" s="1" t="str">
        <f aca="false">IF(AND(R850="WON",ISNUMBER(I850)),AL850+(861-ROW())*0.000001,"")</f>
        <v/>
      </c>
      <c r="AL850" s="1" t="n">
        <f aca="false">IFERROR(I850*1,0)</f>
        <v>0</v>
      </c>
      <c r="AM850" s="1" t="n">
        <f aca="false">N(AM849)+IF(AND(R850="WON",B850&lt;&gt;""),1,0)</f>
        <v>12</v>
      </c>
      <c r="AN850" s="1" t="n">
        <f aca="false">N(AN849)+IF(AND(OR(R850="offered",R850="to be offered",R850="on hold"),B850&lt;&gt;""),1,0)</f>
        <v>33</v>
      </c>
      <c r="AO850" s="1" t="n">
        <f aca="false">N(AO849)+IF(AND(OR(R850="follow-up",R850="Evaluation",R850="tbd",R850="In evaluation"),B850&lt;&gt;""),1,0)</f>
        <v>1</v>
      </c>
      <c r="AP850" s="1" t="n">
        <f aca="false">IF(B850="",0,IF(COUNTIF('⚖️ Wahrscheinlichkeit'!$J$17:$J$24,R850)&gt;0,1,0))</f>
        <v>0</v>
      </c>
      <c r="AQ850" s="1" t="n">
        <f aca="false">IF(B850="",0,IF(AND(ISNUMBER(S850),COUNTIF('⚖️ Wahrscheinlichkeit'!$B$6:$B$11,S850)&gt;0),1,0))</f>
        <v>0</v>
      </c>
      <c r="AR850" s="1" t="n">
        <f aca="false">IF(B850="",0,IF(AND(COUNT(J850:M850)=4,SUM(J850:M850)&gt;0),1,0))</f>
        <v>0</v>
      </c>
      <c r="AS850" s="1" t="n">
        <f aca="false">IF(B850="",0,IF(AND(AF850&lt;&gt;"",AG850&lt;&gt;""),1,0))</f>
        <v>0</v>
      </c>
      <c r="AT850" s="1" t="n">
        <f aca="false">IF(AND(R850="WON",AS850=1,AR850=1),1,0)</f>
        <v>0</v>
      </c>
      <c r="AU850" s="1" t="n">
        <f aca="false">IF(B850="",0,IF(AD850="Alternative – zählt nicht",0,1))</f>
        <v>0</v>
      </c>
      <c r="AV850" s="1" t="n">
        <f aca="false">IF(B850="",0,IF(COUNTIF($B$6:$B$860,B850)&gt;1,1,0))</f>
        <v>0</v>
      </c>
      <c r="AX850" s="269" t="str">
        <f aca="false">IF(AY850=1,DATE(YEAR(O850),MONTH(O850),1),"")</f>
        <v/>
      </c>
      <c r="AY850" s="1" t="n">
        <f aca="false">IF(B850="",0,IF(AND(ISNUMBER(O850),ISNUMBER(P850)),IF(P850&gt;=O850,1,0),0))</f>
        <v>0</v>
      </c>
      <c r="AZ850" s="1" t="n">
        <f aca="false">IF(ISNUMBER(Y850),Y850,0)</f>
        <v>0</v>
      </c>
      <c r="BA850" s="1" t="str">
        <f aca="false">IF(B850="","",IF(AND(R850="WON",AS850=0),"⛔ Beleg fehlt · ","")&amp;IF(AND(R850="WON",AR850=0),"⛔ Einstand fehlt · ","")&amp;IF(AND(R850&lt;&gt;"WON",AR850=0),"○ Einstand offen · ","")&amp;IF(AND(R850="WON",AB850=""),"⛔ Vertragsart fehlt · ","")&amp;IF(AND(ISNUMBER(O850),ISNUMBER(P850)),IF(P850&lt;O850,"⚠ Ende vor Start · ",""),"")&amp;IF(AND(R850="WON",AY850=0,NOT(AND(ISNUMBER(O850),ISNUMBER(P850)))),"⛔ Zeitraum fehlt · ","")&amp;IF(AND(R850&lt;&gt;"WON",AY850=0,NOT(AND(ISNUMBER(O850),ISNUMBER(P850)))),"○ Zeitraum offen · ",""))</f>
        <v/>
      </c>
      <c r="BB850" s="1" t="str">
        <f aca="false">IF(B850="","",IF(AND(R850="WON",AS850=0),"⛔ Nachweis fehlt",IF(AND(ISNUMBER(O850),ISNUMBER(P850),P850&lt;O850),"⚠ Ende vor Start",IF(AND(R850="WON",AY850=0),"⛔ Zeitraum fehlt",IF(AR850=0,"○ Einstand offen",IF(AY850=0,"○ Zeitraum offen",IF(R850="WON","✅ belegt","✔ erfasst")))))))</f>
        <v/>
      </c>
    </row>
    <row r="851" customFormat="false" ht="15" hidden="false" customHeight="true" outlineLevel="0" collapsed="false">
      <c r="G851" s="1" t="str">
        <f aca="false">IF(B851="","",IF(AY851=1,P851-O851+1,IF(AW851="","",AW851)))</f>
        <v/>
      </c>
      <c r="I851" s="270"/>
      <c r="J851" s="270"/>
      <c r="K851" s="270"/>
      <c r="L851" s="270"/>
      <c r="M851" s="270"/>
      <c r="N851" s="270"/>
      <c r="O851" s="263"/>
      <c r="P851" s="263"/>
      <c r="Q851" s="270" t="str">
        <f aca="false">IF(AND(ISNUMBER(I851),ISNUMBER(S851)),I851*AJ851,IF(OR(I851&lt;&gt;"",S851&lt;&gt;""),"tbd",""))</f>
        <v/>
      </c>
      <c r="S851" s="268"/>
      <c r="Y851" s="275" t="str">
        <f aca="false">IF(ISNUMBER(I851),I851/Netto_Faktor,"")</f>
        <v/>
      </c>
      <c r="Z851" s="275" t="str">
        <f aca="false">IF(B851="","",IF(COUNT(J851:N851)=0,"",SUM(J851:N851)))</f>
        <v/>
      </c>
      <c r="AA851" s="266"/>
      <c r="AB851" s="266"/>
      <c r="AC851" s="266"/>
      <c r="AD851" s="266"/>
      <c r="AE851" s="266"/>
      <c r="AF851" s="266"/>
      <c r="AG851" s="267"/>
      <c r="AH851" s="266" t="str">
        <f aca="false">IF(B851="","",IF(BA851="",IF(R851="WON","✅ belegt &amp; vollständig","✔ vollständig"),LEFT(BA851,LEN(BA851)-3)))</f>
        <v/>
      </c>
      <c r="AJ851" s="268" t="n">
        <f aca="false">IF(ISNUMBER(S851),IFERROR(LOOKUP(IF(S851&lt;=1,S851,S851/100),'⚖️ Wahrscheinlichkeit'!$B$17:$B$21,'⚖️ Wahrscheinlichkeit'!$D$17:$D$21),0),0)</f>
        <v>0</v>
      </c>
      <c r="AK851" s="1" t="str">
        <f aca="false">IF(AND(R851="WON",ISNUMBER(I851)),AL851+(861-ROW())*0.000001,"")</f>
        <v/>
      </c>
      <c r="AL851" s="1" t="n">
        <f aca="false">IFERROR(I851*1,0)</f>
        <v>0</v>
      </c>
      <c r="AM851" s="1" t="n">
        <f aca="false">N(AM850)+IF(AND(R851="WON",B851&lt;&gt;""),1,0)</f>
        <v>12</v>
      </c>
      <c r="AN851" s="1" t="n">
        <f aca="false">N(AN850)+IF(AND(OR(R851="offered",R851="to be offered",R851="on hold"),B851&lt;&gt;""),1,0)</f>
        <v>33</v>
      </c>
      <c r="AO851" s="1" t="n">
        <f aca="false">N(AO850)+IF(AND(OR(R851="follow-up",R851="Evaluation",R851="tbd",R851="In evaluation"),B851&lt;&gt;""),1,0)</f>
        <v>1</v>
      </c>
      <c r="AP851" s="1" t="n">
        <f aca="false">IF(B851="",0,IF(COUNTIF('⚖️ Wahrscheinlichkeit'!$J$17:$J$24,R851)&gt;0,1,0))</f>
        <v>0</v>
      </c>
      <c r="AQ851" s="1" t="n">
        <f aca="false">IF(B851="",0,IF(AND(ISNUMBER(S851),COUNTIF('⚖️ Wahrscheinlichkeit'!$B$6:$B$11,S851)&gt;0),1,0))</f>
        <v>0</v>
      </c>
      <c r="AR851" s="1" t="n">
        <f aca="false">IF(B851="",0,IF(AND(COUNT(J851:M851)=4,SUM(J851:M851)&gt;0),1,0))</f>
        <v>0</v>
      </c>
      <c r="AS851" s="1" t="n">
        <f aca="false">IF(B851="",0,IF(AND(AF851&lt;&gt;"",AG851&lt;&gt;""),1,0))</f>
        <v>0</v>
      </c>
      <c r="AT851" s="1" t="n">
        <f aca="false">IF(AND(R851="WON",AS851=1,AR851=1),1,0)</f>
        <v>0</v>
      </c>
      <c r="AU851" s="1" t="n">
        <f aca="false">IF(B851="",0,IF(AD851="Alternative – zählt nicht",0,1))</f>
        <v>0</v>
      </c>
      <c r="AV851" s="1" t="n">
        <f aca="false">IF(B851="",0,IF(COUNTIF($B$6:$B$860,B851)&gt;1,1,0))</f>
        <v>0</v>
      </c>
      <c r="AX851" s="269" t="str">
        <f aca="false">IF(AY851=1,DATE(YEAR(O851),MONTH(O851),1),"")</f>
        <v/>
      </c>
      <c r="AY851" s="1" t="n">
        <f aca="false">IF(B851="",0,IF(AND(ISNUMBER(O851),ISNUMBER(P851)),IF(P851&gt;=O851,1,0),0))</f>
        <v>0</v>
      </c>
      <c r="AZ851" s="1" t="n">
        <f aca="false">IF(ISNUMBER(Y851),Y851,0)</f>
        <v>0</v>
      </c>
      <c r="BA851" s="1" t="str">
        <f aca="false">IF(B851="","",IF(AND(R851="WON",AS851=0),"⛔ Beleg fehlt · ","")&amp;IF(AND(R851="WON",AR851=0),"⛔ Einstand fehlt · ","")&amp;IF(AND(R851&lt;&gt;"WON",AR851=0),"○ Einstand offen · ","")&amp;IF(AND(R851="WON",AB851=""),"⛔ Vertragsart fehlt · ","")&amp;IF(AND(ISNUMBER(O851),ISNUMBER(P851)),IF(P851&lt;O851,"⚠ Ende vor Start · ",""),"")&amp;IF(AND(R851="WON",AY851=0,NOT(AND(ISNUMBER(O851),ISNUMBER(P851)))),"⛔ Zeitraum fehlt · ","")&amp;IF(AND(R851&lt;&gt;"WON",AY851=0,NOT(AND(ISNUMBER(O851),ISNUMBER(P851)))),"○ Zeitraum offen · ",""))</f>
        <v/>
      </c>
      <c r="BB851" s="1" t="str">
        <f aca="false">IF(B851="","",IF(AND(R851="WON",AS851=0),"⛔ Nachweis fehlt",IF(AND(ISNUMBER(O851),ISNUMBER(P851),P851&lt;O851),"⚠ Ende vor Start",IF(AND(R851="WON",AY851=0),"⛔ Zeitraum fehlt",IF(AR851=0,"○ Einstand offen",IF(AY851=0,"○ Zeitraum offen",IF(R851="WON","✅ belegt","✔ erfasst")))))))</f>
        <v/>
      </c>
    </row>
    <row r="852" customFormat="false" ht="15" hidden="false" customHeight="true" outlineLevel="0" collapsed="false">
      <c r="G852" s="1" t="str">
        <f aca="false">IF(B852="","",IF(AY852=1,P852-O852+1,IF(AW852="","",AW852)))</f>
        <v/>
      </c>
      <c r="I852" s="270"/>
      <c r="J852" s="270"/>
      <c r="K852" s="270"/>
      <c r="L852" s="270"/>
      <c r="M852" s="270"/>
      <c r="N852" s="270"/>
      <c r="O852" s="263"/>
      <c r="P852" s="263"/>
      <c r="Q852" s="270" t="str">
        <f aca="false">IF(AND(ISNUMBER(I852),ISNUMBER(S852)),I852*AJ852,IF(OR(I852&lt;&gt;"",S852&lt;&gt;""),"tbd",""))</f>
        <v/>
      </c>
      <c r="S852" s="268"/>
      <c r="Y852" s="275" t="str">
        <f aca="false">IF(ISNUMBER(I852),I852/Netto_Faktor,"")</f>
        <v/>
      </c>
      <c r="Z852" s="275" t="str">
        <f aca="false">IF(B852="","",IF(COUNT(J852:N852)=0,"",SUM(J852:N852)))</f>
        <v/>
      </c>
      <c r="AA852" s="266"/>
      <c r="AB852" s="266"/>
      <c r="AC852" s="266"/>
      <c r="AD852" s="266"/>
      <c r="AE852" s="266"/>
      <c r="AF852" s="266"/>
      <c r="AG852" s="267"/>
      <c r="AH852" s="266" t="str">
        <f aca="false">IF(B852="","",IF(BA852="",IF(R852="WON","✅ belegt &amp; vollständig","✔ vollständig"),LEFT(BA852,LEN(BA852)-3)))</f>
        <v/>
      </c>
      <c r="AJ852" s="268" t="n">
        <f aca="false">IF(ISNUMBER(S852),IFERROR(LOOKUP(IF(S852&lt;=1,S852,S852/100),'⚖️ Wahrscheinlichkeit'!$B$17:$B$21,'⚖️ Wahrscheinlichkeit'!$D$17:$D$21),0),0)</f>
        <v>0</v>
      </c>
      <c r="AK852" s="1" t="str">
        <f aca="false">IF(AND(R852="WON",ISNUMBER(I852)),AL852+(861-ROW())*0.000001,"")</f>
        <v/>
      </c>
      <c r="AL852" s="1" t="n">
        <f aca="false">IFERROR(I852*1,0)</f>
        <v>0</v>
      </c>
      <c r="AM852" s="1" t="n">
        <f aca="false">N(AM851)+IF(AND(R852="WON",B852&lt;&gt;""),1,0)</f>
        <v>12</v>
      </c>
      <c r="AN852" s="1" t="n">
        <f aca="false">N(AN851)+IF(AND(OR(R852="offered",R852="to be offered",R852="on hold"),B852&lt;&gt;""),1,0)</f>
        <v>33</v>
      </c>
      <c r="AO852" s="1" t="n">
        <f aca="false">N(AO851)+IF(AND(OR(R852="follow-up",R852="Evaluation",R852="tbd",R852="In evaluation"),B852&lt;&gt;""),1,0)</f>
        <v>1</v>
      </c>
      <c r="AP852" s="1" t="n">
        <f aca="false">IF(B852="",0,IF(COUNTIF('⚖️ Wahrscheinlichkeit'!$J$17:$J$24,R852)&gt;0,1,0))</f>
        <v>0</v>
      </c>
      <c r="AQ852" s="1" t="n">
        <f aca="false">IF(B852="",0,IF(AND(ISNUMBER(S852),COUNTIF('⚖️ Wahrscheinlichkeit'!$B$6:$B$11,S852)&gt;0),1,0))</f>
        <v>0</v>
      </c>
      <c r="AR852" s="1" t="n">
        <f aca="false">IF(B852="",0,IF(AND(COUNT(J852:M852)=4,SUM(J852:M852)&gt;0),1,0))</f>
        <v>0</v>
      </c>
      <c r="AS852" s="1" t="n">
        <f aca="false">IF(B852="",0,IF(AND(AF852&lt;&gt;"",AG852&lt;&gt;""),1,0))</f>
        <v>0</v>
      </c>
      <c r="AT852" s="1" t="n">
        <f aca="false">IF(AND(R852="WON",AS852=1,AR852=1),1,0)</f>
        <v>0</v>
      </c>
      <c r="AU852" s="1" t="n">
        <f aca="false">IF(B852="",0,IF(AD852="Alternative – zählt nicht",0,1))</f>
        <v>0</v>
      </c>
      <c r="AV852" s="1" t="n">
        <f aca="false">IF(B852="",0,IF(COUNTIF($B$6:$B$860,B852)&gt;1,1,0))</f>
        <v>0</v>
      </c>
      <c r="AX852" s="269" t="str">
        <f aca="false">IF(AY852=1,DATE(YEAR(O852),MONTH(O852),1),"")</f>
        <v/>
      </c>
      <c r="AY852" s="1" t="n">
        <f aca="false">IF(B852="",0,IF(AND(ISNUMBER(O852),ISNUMBER(P852)),IF(P852&gt;=O852,1,0),0))</f>
        <v>0</v>
      </c>
      <c r="AZ852" s="1" t="n">
        <f aca="false">IF(ISNUMBER(Y852),Y852,0)</f>
        <v>0</v>
      </c>
      <c r="BA852" s="1" t="str">
        <f aca="false">IF(B852="","",IF(AND(R852="WON",AS852=0),"⛔ Beleg fehlt · ","")&amp;IF(AND(R852="WON",AR852=0),"⛔ Einstand fehlt · ","")&amp;IF(AND(R852&lt;&gt;"WON",AR852=0),"○ Einstand offen · ","")&amp;IF(AND(R852="WON",AB852=""),"⛔ Vertragsart fehlt · ","")&amp;IF(AND(ISNUMBER(O852),ISNUMBER(P852)),IF(P852&lt;O852,"⚠ Ende vor Start · ",""),"")&amp;IF(AND(R852="WON",AY852=0,NOT(AND(ISNUMBER(O852),ISNUMBER(P852)))),"⛔ Zeitraum fehlt · ","")&amp;IF(AND(R852&lt;&gt;"WON",AY852=0,NOT(AND(ISNUMBER(O852),ISNUMBER(P852)))),"○ Zeitraum offen · ",""))</f>
        <v/>
      </c>
      <c r="BB852" s="1" t="str">
        <f aca="false">IF(B852="","",IF(AND(R852="WON",AS852=0),"⛔ Nachweis fehlt",IF(AND(ISNUMBER(O852),ISNUMBER(P852),P852&lt;O852),"⚠ Ende vor Start",IF(AND(R852="WON",AY852=0),"⛔ Zeitraum fehlt",IF(AR852=0,"○ Einstand offen",IF(AY852=0,"○ Zeitraum offen",IF(R852="WON","✅ belegt","✔ erfasst")))))))</f>
        <v/>
      </c>
    </row>
    <row r="853" customFormat="false" ht="15" hidden="false" customHeight="true" outlineLevel="0" collapsed="false">
      <c r="G853" s="1" t="str">
        <f aca="false">IF(B853="","",IF(AY853=1,P853-O853+1,IF(AW853="","",AW853)))</f>
        <v/>
      </c>
      <c r="I853" s="270"/>
      <c r="J853" s="270"/>
      <c r="K853" s="270"/>
      <c r="L853" s="270"/>
      <c r="M853" s="270"/>
      <c r="N853" s="270"/>
      <c r="O853" s="263"/>
      <c r="P853" s="263"/>
      <c r="Q853" s="270" t="str">
        <f aca="false">IF(AND(ISNUMBER(I853),ISNUMBER(S853)),I853*AJ853,IF(OR(I853&lt;&gt;"",S853&lt;&gt;""),"tbd",""))</f>
        <v/>
      </c>
      <c r="S853" s="268"/>
      <c r="Y853" s="275" t="str">
        <f aca="false">IF(ISNUMBER(I853),I853/Netto_Faktor,"")</f>
        <v/>
      </c>
      <c r="Z853" s="275" t="str">
        <f aca="false">IF(B853="","",IF(COUNT(J853:N853)=0,"",SUM(J853:N853)))</f>
        <v/>
      </c>
      <c r="AA853" s="266"/>
      <c r="AB853" s="266"/>
      <c r="AC853" s="266"/>
      <c r="AD853" s="266"/>
      <c r="AE853" s="266"/>
      <c r="AF853" s="266"/>
      <c r="AG853" s="267"/>
      <c r="AH853" s="266" t="str">
        <f aca="false">IF(B853="","",IF(BA853="",IF(R853="WON","✅ belegt &amp; vollständig","✔ vollständig"),LEFT(BA853,LEN(BA853)-3)))</f>
        <v/>
      </c>
      <c r="AJ853" s="268" t="n">
        <f aca="false">IF(ISNUMBER(S853),IFERROR(LOOKUP(IF(S853&lt;=1,S853,S853/100),'⚖️ Wahrscheinlichkeit'!$B$17:$B$21,'⚖️ Wahrscheinlichkeit'!$D$17:$D$21),0),0)</f>
        <v>0</v>
      </c>
      <c r="AK853" s="1" t="str">
        <f aca="false">IF(AND(R853="WON",ISNUMBER(I853)),AL853+(861-ROW())*0.000001,"")</f>
        <v/>
      </c>
      <c r="AL853" s="1" t="n">
        <f aca="false">IFERROR(I853*1,0)</f>
        <v>0</v>
      </c>
      <c r="AM853" s="1" t="n">
        <f aca="false">N(AM852)+IF(AND(R853="WON",B853&lt;&gt;""),1,0)</f>
        <v>12</v>
      </c>
      <c r="AN853" s="1" t="n">
        <f aca="false">N(AN852)+IF(AND(OR(R853="offered",R853="to be offered",R853="on hold"),B853&lt;&gt;""),1,0)</f>
        <v>33</v>
      </c>
      <c r="AO853" s="1" t="n">
        <f aca="false">N(AO852)+IF(AND(OR(R853="follow-up",R853="Evaluation",R853="tbd",R853="In evaluation"),B853&lt;&gt;""),1,0)</f>
        <v>1</v>
      </c>
      <c r="AP853" s="1" t="n">
        <f aca="false">IF(B853="",0,IF(COUNTIF('⚖️ Wahrscheinlichkeit'!$J$17:$J$24,R853)&gt;0,1,0))</f>
        <v>0</v>
      </c>
      <c r="AQ853" s="1" t="n">
        <f aca="false">IF(B853="",0,IF(AND(ISNUMBER(S853),COUNTIF('⚖️ Wahrscheinlichkeit'!$B$6:$B$11,S853)&gt;0),1,0))</f>
        <v>0</v>
      </c>
      <c r="AR853" s="1" t="n">
        <f aca="false">IF(B853="",0,IF(AND(COUNT(J853:M853)=4,SUM(J853:M853)&gt;0),1,0))</f>
        <v>0</v>
      </c>
      <c r="AS853" s="1" t="n">
        <f aca="false">IF(B853="",0,IF(AND(AF853&lt;&gt;"",AG853&lt;&gt;""),1,0))</f>
        <v>0</v>
      </c>
      <c r="AT853" s="1" t="n">
        <f aca="false">IF(AND(R853="WON",AS853=1,AR853=1),1,0)</f>
        <v>0</v>
      </c>
      <c r="AU853" s="1" t="n">
        <f aca="false">IF(B853="",0,IF(AD853="Alternative – zählt nicht",0,1))</f>
        <v>0</v>
      </c>
      <c r="AV853" s="1" t="n">
        <f aca="false">IF(B853="",0,IF(COUNTIF($B$6:$B$860,B853)&gt;1,1,0))</f>
        <v>0</v>
      </c>
      <c r="AX853" s="269" t="str">
        <f aca="false">IF(AY853=1,DATE(YEAR(O853),MONTH(O853),1),"")</f>
        <v/>
      </c>
      <c r="AY853" s="1" t="n">
        <f aca="false">IF(B853="",0,IF(AND(ISNUMBER(O853),ISNUMBER(P853)),IF(P853&gt;=O853,1,0),0))</f>
        <v>0</v>
      </c>
      <c r="AZ853" s="1" t="n">
        <f aca="false">IF(ISNUMBER(Y853),Y853,0)</f>
        <v>0</v>
      </c>
      <c r="BA853" s="1" t="str">
        <f aca="false">IF(B853="","",IF(AND(R853="WON",AS853=0),"⛔ Beleg fehlt · ","")&amp;IF(AND(R853="WON",AR853=0),"⛔ Einstand fehlt · ","")&amp;IF(AND(R853&lt;&gt;"WON",AR853=0),"○ Einstand offen · ","")&amp;IF(AND(R853="WON",AB853=""),"⛔ Vertragsart fehlt · ","")&amp;IF(AND(ISNUMBER(O853),ISNUMBER(P853)),IF(P853&lt;O853,"⚠ Ende vor Start · ",""),"")&amp;IF(AND(R853="WON",AY853=0,NOT(AND(ISNUMBER(O853),ISNUMBER(P853)))),"⛔ Zeitraum fehlt · ","")&amp;IF(AND(R853&lt;&gt;"WON",AY853=0,NOT(AND(ISNUMBER(O853),ISNUMBER(P853)))),"○ Zeitraum offen · ",""))</f>
        <v/>
      </c>
      <c r="BB853" s="1" t="str">
        <f aca="false">IF(B853="","",IF(AND(R853="WON",AS853=0),"⛔ Nachweis fehlt",IF(AND(ISNUMBER(O853),ISNUMBER(P853),P853&lt;O853),"⚠ Ende vor Start",IF(AND(R853="WON",AY853=0),"⛔ Zeitraum fehlt",IF(AR853=0,"○ Einstand offen",IF(AY853=0,"○ Zeitraum offen",IF(R853="WON","✅ belegt","✔ erfasst")))))))</f>
        <v/>
      </c>
    </row>
    <row r="854" customFormat="false" ht="15" hidden="false" customHeight="true" outlineLevel="0" collapsed="false">
      <c r="G854" s="1" t="str">
        <f aca="false">IF(B854="","",IF(AY854=1,P854-O854+1,IF(AW854="","",AW854)))</f>
        <v/>
      </c>
      <c r="I854" s="270"/>
      <c r="J854" s="270"/>
      <c r="K854" s="270"/>
      <c r="L854" s="270"/>
      <c r="M854" s="270"/>
      <c r="N854" s="270"/>
      <c r="O854" s="263"/>
      <c r="P854" s="263"/>
      <c r="Q854" s="270" t="str">
        <f aca="false">IF(AND(ISNUMBER(I854),ISNUMBER(S854)),I854*AJ854,IF(OR(I854&lt;&gt;"",S854&lt;&gt;""),"tbd",""))</f>
        <v/>
      </c>
      <c r="S854" s="268"/>
      <c r="Y854" s="275" t="str">
        <f aca="false">IF(ISNUMBER(I854),I854/Netto_Faktor,"")</f>
        <v/>
      </c>
      <c r="Z854" s="275" t="str">
        <f aca="false">IF(B854="","",IF(COUNT(J854:N854)=0,"",SUM(J854:N854)))</f>
        <v/>
      </c>
      <c r="AA854" s="266"/>
      <c r="AB854" s="266"/>
      <c r="AC854" s="266"/>
      <c r="AD854" s="266"/>
      <c r="AE854" s="266"/>
      <c r="AF854" s="266"/>
      <c r="AG854" s="267"/>
      <c r="AH854" s="266" t="str">
        <f aca="false">IF(B854="","",IF(BA854="",IF(R854="WON","✅ belegt &amp; vollständig","✔ vollständig"),LEFT(BA854,LEN(BA854)-3)))</f>
        <v/>
      </c>
      <c r="AJ854" s="268" t="n">
        <f aca="false">IF(ISNUMBER(S854),IFERROR(LOOKUP(IF(S854&lt;=1,S854,S854/100),'⚖️ Wahrscheinlichkeit'!$B$17:$B$21,'⚖️ Wahrscheinlichkeit'!$D$17:$D$21),0),0)</f>
        <v>0</v>
      </c>
      <c r="AK854" s="1" t="str">
        <f aca="false">IF(AND(R854="WON",ISNUMBER(I854)),AL854+(861-ROW())*0.000001,"")</f>
        <v/>
      </c>
      <c r="AL854" s="1" t="n">
        <f aca="false">IFERROR(I854*1,0)</f>
        <v>0</v>
      </c>
      <c r="AM854" s="1" t="n">
        <f aca="false">N(AM853)+IF(AND(R854="WON",B854&lt;&gt;""),1,0)</f>
        <v>12</v>
      </c>
      <c r="AN854" s="1" t="n">
        <f aca="false">N(AN853)+IF(AND(OR(R854="offered",R854="to be offered",R854="on hold"),B854&lt;&gt;""),1,0)</f>
        <v>33</v>
      </c>
      <c r="AO854" s="1" t="n">
        <f aca="false">N(AO853)+IF(AND(OR(R854="follow-up",R854="Evaluation",R854="tbd",R854="In evaluation"),B854&lt;&gt;""),1,0)</f>
        <v>1</v>
      </c>
      <c r="AP854" s="1" t="n">
        <f aca="false">IF(B854="",0,IF(COUNTIF('⚖️ Wahrscheinlichkeit'!$J$17:$J$24,R854)&gt;0,1,0))</f>
        <v>0</v>
      </c>
      <c r="AQ854" s="1" t="n">
        <f aca="false">IF(B854="",0,IF(AND(ISNUMBER(S854),COUNTIF('⚖️ Wahrscheinlichkeit'!$B$6:$B$11,S854)&gt;0),1,0))</f>
        <v>0</v>
      </c>
      <c r="AR854" s="1" t="n">
        <f aca="false">IF(B854="",0,IF(AND(COUNT(J854:M854)=4,SUM(J854:M854)&gt;0),1,0))</f>
        <v>0</v>
      </c>
      <c r="AS854" s="1" t="n">
        <f aca="false">IF(B854="",0,IF(AND(AF854&lt;&gt;"",AG854&lt;&gt;""),1,0))</f>
        <v>0</v>
      </c>
      <c r="AT854" s="1" t="n">
        <f aca="false">IF(AND(R854="WON",AS854=1,AR854=1),1,0)</f>
        <v>0</v>
      </c>
      <c r="AU854" s="1" t="n">
        <f aca="false">IF(B854="",0,IF(AD854="Alternative – zählt nicht",0,1))</f>
        <v>0</v>
      </c>
      <c r="AV854" s="1" t="n">
        <f aca="false">IF(B854="",0,IF(COUNTIF($B$6:$B$860,B854)&gt;1,1,0))</f>
        <v>0</v>
      </c>
      <c r="AX854" s="269" t="str">
        <f aca="false">IF(AY854=1,DATE(YEAR(O854),MONTH(O854),1),"")</f>
        <v/>
      </c>
      <c r="AY854" s="1" t="n">
        <f aca="false">IF(B854="",0,IF(AND(ISNUMBER(O854),ISNUMBER(P854)),IF(P854&gt;=O854,1,0),0))</f>
        <v>0</v>
      </c>
      <c r="AZ854" s="1" t="n">
        <f aca="false">IF(ISNUMBER(Y854),Y854,0)</f>
        <v>0</v>
      </c>
      <c r="BA854" s="1" t="str">
        <f aca="false">IF(B854="","",IF(AND(R854="WON",AS854=0),"⛔ Beleg fehlt · ","")&amp;IF(AND(R854="WON",AR854=0),"⛔ Einstand fehlt · ","")&amp;IF(AND(R854&lt;&gt;"WON",AR854=0),"○ Einstand offen · ","")&amp;IF(AND(R854="WON",AB854=""),"⛔ Vertragsart fehlt · ","")&amp;IF(AND(ISNUMBER(O854),ISNUMBER(P854)),IF(P854&lt;O854,"⚠ Ende vor Start · ",""),"")&amp;IF(AND(R854="WON",AY854=0,NOT(AND(ISNUMBER(O854),ISNUMBER(P854)))),"⛔ Zeitraum fehlt · ","")&amp;IF(AND(R854&lt;&gt;"WON",AY854=0,NOT(AND(ISNUMBER(O854),ISNUMBER(P854)))),"○ Zeitraum offen · ",""))</f>
        <v/>
      </c>
      <c r="BB854" s="1" t="str">
        <f aca="false">IF(B854="","",IF(AND(R854="WON",AS854=0),"⛔ Nachweis fehlt",IF(AND(ISNUMBER(O854),ISNUMBER(P854),P854&lt;O854),"⚠ Ende vor Start",IF(AND(R854="WON",AY854=0),"⛔ Zeitraum fehlt",IF(AR854=0,"○ Einstand offen",IF(AY854=0,"○ Zeitraum offen",IF(R854="WON","✅ belegt","✔ erfasst")))))))</f>
        <v/>
      </c>
    </row>
    <row r="855" customFormat="false" ht="15" hidden="false" customHeight="true" outlineLevel="0" collapsed="false">
      <c r="G855" s="1" t="str">
        <f aca="false">IF(B855="","",IF(AY855=1,P855-O855+1,IF(AW855="","",AW855)))</f>
        <v/>
      </c>
      <c r="I855" s="270"/>
      <c r="J855" s="270"/>
      <c r="K855" s="270"/>
      <c r="L855" s="270"/>
      <c r="M855" s="270"/>
      <c r="N855" s="270"/>
      <c r="O855" s="263"/>
      <c r="P855" s="263"/>
      <c r="Q855" s="270" t="str">
        <f aca="false">IF(AND(ISNUMBER(I855),ISNUMBER(S855)),I855*AJ855,IF(OR(I855&lt;&gt;"",S855&lt;&gt;""),"tbd",""))</f>
        <v/>
      </c>
      <c r="S855" s="268"/>
      <c r="Y855" s="275" t="str">
        <f aca="false">IF(ISNUMBER(I855),I855/Netto_Faktor,"")</f>
        <v/>
      </c>
      <c r="Z855" s="275" t="str">
        <f aca="false">IF(B855="","",IF(COUNT(J855:N855)=0,"",SUM(J855:N855)))</f>
        <v/>
      </c>
      <c r="AA855" s="266"/>
      <c r="AB855" s="266"/>
      <c r="AC855" s="266"/>
      <c r="AD855" s="266"/>
      <c r="AE855" s="266"/>
      <c r="AF855" s="266"/>
      <c r="AG855" s="267"/>
      <c r="AH855" s="266" t="str">
        <f aca="false">IF(B855="","",IF(BA855="",IF(R855="WON","✅ belegt &amp; vollständig","✔ vollständig"),LEFT(BA855,LEN(BA855)-3)))</f>
        <v/>
      </c>
      <c r="AJ855" s="268" t="n">
        <f aca="false">IF(ISNUMBER(S855),IFERROR(LOOKUP(IF(S855&lt;=1,S855,S855/100),'⚖️ Wahrscheinlichkeit'!$B$17:$B$21,'⚖️ Wahrscheinlichkeit'!$D$17:$D$21),0),0)</f>
        <v>0</v>
      </c>
      <c r="AK855" s="1" t="str">
        <f aca="false">IF(AND(R855="WON",ISNUMBER(I855)),AL855+(861-ROW())*0.000001,"")</f>
        <v/>
      </c>
      <c r="AL855" s="1" t="n">
        <f aca="false">IFERROR(I855*1,0)</f>
        <v>0</v>
      </c>
      <c r="AM855" s="1" t="n">
        <f aca="false">N(AM854)+IF(AND(R855="WON",B855&lt;&gt;""),1,0)</f>
        <v>12</v>
      </c>
      <c r="AN855" s="1" t="n">
        <f aca="false">N(AN854)+IF(AND(OR(R855="offered",R855="to be offered",R855="on hold"),B855&lt;&gt;""),1,0)</f>
        <v>33</v>
      </c>
      <c r="AO855" s="1" t="n">
        <f aca="false">N(AO854)+IF(AND(OR(R855="follow-up",R855="Evaluation",R855="tbd",R855="In evaluation"),B855&lt;&gt;""),1,0)</f>
        <v>1</v>
      </c>
      <c r="AP855" s="1" t="n">
        <f aca="false">IF(B855="",0,IF(COUNTIF('⚖️ Wahrscheinlichkeit'!$J$17:$J$24,R855)&gt;0,1,0))</f>
        <v>0</v>
      </c>
      <c r="AQ855" s="1" t="n">
        <f aca="false">IF(B855="",0,IF(AND(ISNUMBER(S855),COUNTIF('⚖️ Wahrscheinlichkeit'!$B$6:$B$11,S855)&gt;0),1,0))</f>
        <v>0</v>
      </c>
      <c r="AR855" s="1" t="n">
        <f aca="false">IF(B855="",0,IF(AND(COUNT(J855:M855)=4,SUM(J855:M855)&gt;0),1,0))</f>
        <v>0</v>
      </c>
      <c r="AS855" s="1" t="n">
        <f aca="false">IF(B855="",0,IF(AND(AF855&lt;&gt;"",AG855&lt;&gt;""),1,0))</f>
        <v>0</v>
      </c>
      <c r="AT855" s="1" t="n">
        <f aca="false">IF(AND(R855="WON",AS855=1,AR855=1),1,0)</f>
        <v>0</v>
      </c>
      <c r="AU855" s="1" t="n">
        <f aca="false">IF(B855="",0,IF(AD855="Alternative – zählt nicht",0,1))</f>
        <v>0</v>
      </c>
      <c r="AV855" s="1" t="n">
        <f aca="false">IF(B855="",0,IF(COUNTIF($B$6:$B$860,B855)&gt;1,1,0))</f>
        <v>0</v>
      </c>
      <c r="AX855" s="269" t="str">
        <f aca="false">IF(AY855=1,DATE(YEAR(O855),MONTH(O855),1),"")</f>
        <v/>
      </c>
      <c r="AY855" s="1" t="n">
        <f aca="false">IF(B855="",0,IF(AND(ISNUMBER(O855),ISNUMBER(P855)),IF(P855&gt;=O855,1,0),0))</f>
        <v>0</v>
      </c>
      <c r="AZ855" s="1" t="n">
        <f aca="false">IF(ISNUMBER(Y855),Y855,0)</f>
        <v>0</v>
      </c>
      <c r="BA855" s="1" t="str">
        <f aca="false">IF(B855="","",IF(AND(R855="WON",AS855=0),"⛔ Beleg fehlt · ","")&amp;IF(AND(R855="WON",AR855=0),"⛔ Einstand fehlt · ","")&amp;IF(AND(R855&lt;&gt;"WON",AR855=0),"○ Einstand offen · ","")&amp;IF(AND(R855="WON",AB855=""),"⛔ Vertragsart fehlt · ","")&amp;IF(AND(ISNUMBER(O855),ISNUMBER(P855)),IF(P855&lt;O855,"⚠ Ende vor Start · ",""),"")&amp;IF(AND(R855="WON",AY855=0,NOT(AND(ISNUMBER(O855),ISNUMBER(P855)))),"⛔ Zeitraum fehlt · ","")&amp;IF(AND(R855&lt;&gt;"WON",AY855=0,NOT(AND(ISNUMBER(O855),ISNUMBER(P855)))),"○ Zeitraum offen · ",""))</f>
        <v/>
      </c>
      <c r="BB855" s="1" t="str">
        <f aca="false">IF(B855="","",IF(AND(R855="WON",AS855=0),"⛔ Nachweis fehlt",IF(AND(ISNUMBER(O855),ISNUMBER(P855),P855&lt;O855),"⚠ Ende vor Start",IF(AND(R855="WON",AY855=0),"⛔ Zeitraum fehlt",IF(AR855=0,"○ Einstand offen",IF(AY855=0,"○ Zeitraum offen",IF(R855="WON","✅ belegt","✔ erfasst")))))))</f>
        <v/>
      </c>
    </row>
    <row r="856" customFormat="false" ht="15" hidden="false" customHeight="true" outlineLevel="0" collapsed="false">
      <c r="G856" s="1" t="str">
        <f aca="false">IF(B856="","",IF(AY856=1,P856-O856+1,IF(AW856="","",AW856)))</f>
        <v/>
      </c>
      <c r="I856" s="270"/>
      <c r="J856" s="270"/>
      <c r="K856" s="270"/>
      <c r="L856" s="270"/>
      <c r="M856" s="270"/>
      <c r="N856" s="270"/>
      <c r="O856" s="263"/>
      <c r="P856" s="263"/>
      <c r="Q856" s="270" t="str">
        <f aca="false">IF(AND(ISNUMBER(I856),ISNUMBER(S856)),I856*AJ856,IF(OR(I856&lt;&gt;"",S856&lt;&gt;""),"tbd",""))</f>
        <v/>
      </c>
      <c r="S856" s="268"/>
      <c r="Y856" s="275" t="str">
        <f aca="false">IF(ISNUMBER(I856),I856/Netto_Faktor,"")</f>
        <v/>
      </c>
      <c r="Z856" s="275" t="str">
        <f aca="false">IF(B856="","",IF(COUNT(J856:N856)=0,"",SUM(J856:N856)))</f>
        <v/>
      </c>
      <c r="AA856" s="266"/>
      <c r="AB856" s="266"/>
      <c r="AC856" s="266"/>
      <c r="AD856" s="266"/>
      <c r="AE856" s="266"/>
      <c r="AF856" s="266"/>
      <c r="AG856" s="267"/>
      <c r="AH856" s="266" t="str">
        <f aca="false">IF(B856="","",IF(BA856="",IF(R856="WON","✅ belegt &amp; vollständig","✔ vollständig"),LEFT(BA856,LEN(BA856)-3)))</f>
        <v/>
      </c>
      <c r="AJ856" s="268" t="n">
        <f aca="false">IF(ISNUMBER(S856),IFERROR(LOOKUP(IF(S856&lt;=1,S856,S856/100),'⚖️ Wahrscheinlichkeit'!$B$17:$B$21,'⚖️ Wahrscheinlichkeit'!$D$17:$D$21),0),0)</f>
        <v>0</v>
      </c>
      <c r="AK856" s="1" t="str">
        <f aca="false">IF(AND(R856="WON",ISNUMBER(I856)),AL856+(861-ROW())*0.000001,"")</f>
        <v/>
      </c>
      <c r="AL856" s="1" t="n">
        <f aca="false">IFERROR(I856*1,0)</f>
        <v>0</v>
      </c>
      <c r="AM856" s="1" t="n">
        <f aca="false">N(AM855)+IF(AND(R856="WON",B856&lt;&gt;""),1,0)</f>
        <v>12</v>
      </c>
      <c r="AN856" s="1" t="n">
        <f aca="false">N(AN855)+IF(AND(OR(R856="offered",R856="to be offered",R856="on hold"),B856&lt;&gt;""),1,0)</f>
        <v>33</v>
      </c>
      <c r="AO856" s="1" t="n">
        <f aca="false">N(AO855)+IF(AND(OR(R856="follow-up",R856="Evaluation",R856="tbd",R856="In evaluation"),B856&lt;&gt;""),1,0)</f>
        <v>1</v>
      </c>
      <c r="AP856" s="1" t="n">
        <f aca="false">IF(B856="",0,IF(COUNTIF('⚖️ Wahrscheinlichkeit'!$J$17:$J$24,R856)&gt;0,1,0))</f>
        <v>0</v>
      </c>
      <c r="AQ856" s="1" t="n">
        <f aca="false">IF(B856="",0,IF(AND(ISNUMBER(S856),COUNTIF('⚖️ Wahrscheinlichkeit'!$B$6:$B$11,S856)&gt;0),1,0))</f>
        <v>0</v>
      </c>
      <c r="AR856" s="1" t="n">
        <f aca="false">IF(B856="",0,IF(AND(COUNT(J856:M856)=4,SUM(J856:M856)&gt;0),1,0))</f>
        <v>0</v>
      </c>
      <c r="AS856" s="1" t="n">
        <f aca="false">IF(B856="",0,IF(AND(AF856&lt;&gt;"",AG856&lt;&gt;""),1,0))</f>
        <v>0</v>
      </c>
      <c r="AT856" s="1" t="n">
        <f aca="false">IF(AND(R856="WON",AS856=1,AR856=1),1,0)</f>
        <v>0</v>
      </c>
      <c r="AU856" s="1" t="n">
        <f aca="false">IF(B856="",0,IF(AD856="Alternative – zählt nicht",0,1))</f>
        <v>0</v>
      </c>
      <c r="AV856" s="1" t="n">
        <f aca="false">IF(B856="",0,IF(COUNTIF($B$6:$B$860,B856)&gt;1,1,0))</f>
        <v>0</v>
      </c>
      <c r="AX856" s="269" t="str">
        <f aca="false">IF(AY856=1,DATE(YEAR(O856),MONTH(O856),1),"")</f>
        <v/>
      </c>
      <c r="AY856" s="1" t="n">
        <f aca="false">IF(B856="",0,IF(AND(ISNUMBER(O856),ISNUMBER(P856)),IF(P856&gt;=O856,1,0),0))</f>
        <v>0</v>
      </c>
      <c r="AZ856" s="1" t="n">
        <f aca="false">IF(ISNUMBER(Y856),Y856,0)</f>
        <v>0</v>
      </c>
      <c r="BA856" s="1" t="str">
        <f aca="false">IF(B856="","",IF(AND(R856="WON",AS856=0),"⛔ Beleg fehlt · ","")&amp;IF(AND(R856="WON",AR856=0),"⛔ Einstand fehlt · ","")&amp;IF(AND(R856&lt;&gt;"WON",AR856=0),"○ Einstand offen · ","")&amp;IF(AND(R856="WON",AB856=""),"⛔ Vertragsart fehlt · ","")&amp;IF(AND(ISNUMBER(O856),ISNUMBER(P856)),IF(P856&lt;O856,"⚠ Ende vor Start · ",""),"")&amp;IF(AND(R856="WON",AY856=0,NOT(AND(ISNUMBER(O856),ISNUMBER(P856)))),"⛔ Zeitraum fehlt · ","")&amp;IF(AND(R856&lt;&gt;"WON",AY856=0,NOT(AND(ISNUMBER(O856),ISNUMBER(P856)))),"○ Zeitraum offen · ",""))</f>
        <v/>
      </c>
      <c r="BB856" s="1" t="str">
        <f aca="false">IF(B856="","",IF(AND(R856="WON",AS856=0),"⛔ Nachweis fehlt",IF(AND(ISNUMBER(O856),ISNUMBER(P856),P856&lt;O856),"⚠ Ende vor Start",IF(AND(R856="WON",AY856=0),"⛔ Zeitraum fehlt",IF(AR856=0,"○ Einstand offen",IF(AY856=0,"○ Zeitraum offen",IF(R856="WON","✅ belegt","✔ erfasst")))))))</f>
        <v/>
      </c>
    </row>
    <row r="857" customFormat="false" ht="15" hidden="false" customHeight="true" outlineLevel="0" collapsed="false">
      <c r="G857" s="1" t="str">
        <f aca="false">IF(B857="","",IF(AY857=1,P857-O857+1,IF(AW857="","",AW857)))</f>
        <v/>
      </c>
      <c r="I857" s="270"/>
      <c r="J857" s="270"/>
      <c r="K857" s="270"/>
      <c r="L857" s="270"/>
      <c r="M857" s="270"/>
      <c r="N857" s="270"/>
      <c r="O857" s="263"/>
      <c r="P857" s="263"/>
      <c r="Q857" s="270" t="str">
        <f aca="false">IF(AND(ISNUMBER(I857),ISNUMBER(S857)),I857*AJ857,IF(OR(I857&lt;&gt;"",S857&lt;&gt;""),"tbd",""))</f>
        <v/>
      </c>
      <c r="S857" s="268"/>
      <c r="Y857" s="275" t="str">
        <f aca="false">IF(ISNUMBER(I857),I857/Netto_Faktor,"")</f>
        <v/>
      </c>
      <c r="Z857" s="275" t="str">
        <f aca="false">IF(B857="","",IF(COUNT(J857:N857)=0,"",SUM(J857:N857)))</f>
        <v/>
      </c>
      <c r="AA857" s="266"/>
      <c r="AB857" s="266"/>
      <c r="AC857" s="266"/>
      <c r="AD857" s="266"/>
      <c r="AE857" s="266"/>
      <c r="AF857" s="266"/>
      <c r="AG857" s="267"/>
      <c r="AH857" s="266" t="str">
        <f aca="false">IF(B857="","",IF(BA857="",IF(R857="WON","✅ belegt &amp; vollständig","✔ vollständig"),LEFT(BA857,LEN(BA857)-3)))</f>
        <v/>
      </c>
      <c r="AJ857" s="268" t="n">
        <f aca="false">IF(ISNUMBER(S857),IFERROR(LOOKUP(IF(S857&lt;=1,S857,S857/100),'⚖️ Wahrscheinlichkeit'!$B$17:$B$21,'⚖️ Wahrscheinlichkeit'!$D$17:$D$21),0),0)</f>
        <v>0</v>
      </c>
      <c r="AK857" s="1" t="str">
        <f aca="false">IF(AND(R857="WON",ISNUMBER(I857)),AL857+(861-ROW())*0.000001,"")</f>
        <v/>
      </c>
      <c r="AL857" s="1" t="n">
        <f aca="false">IFERROR(I857*1,0)</f>
        <v>0</v>
      </c>
      <c r="AM857" s="1" t="n">
        <f aca="false">N(AM856)+IF(AND(R857="WON",B857&lt;&gt;""),1,0)</f>
        <v>12</v>
      </c>
      <c r="AN857" s="1" t="n">
        <f aca="false">N(AN856)+IF(AND(OR(R857="offered",R857="to be offered",R857="on hold"),B857&lt;&gt;""),1,0)</f>
        <v>33</v>
      </c>
      <c r="AO857" s="1" t="n">
        <f aca="false">N(AO856)+IF(AND(OR(R857="follow-up",R857="Evaluation",R857="tbd",R857="In evaluation"),B857&lt;&gt;""),1,0)</f>
        <v>1</v>
      </c>
      <c r="AP857" s="1" t="n">
        <f aca="false">IF(B857="",0,IF(COUNTIF('⚖️ Wahrscheinlichkeit'!$J$17:$J$24,R857)&gt;0,1,0))</f>
        <v>0</v>
      </c>
      <c r="AQ857" s="1" t="n">
        <f aca="false">IF(B857="",0,IF(AND(ISNUMBER(S857),COUNTIF('⚖️ Wahrscheinlichkeit'!$B$6:$B$11,S857)&gt;0),1,0))</f>
        <v>0</v>
      </c>
      <c r="AR857" s="1" t="n">
        <f aca="false">IF(B857="",0,IF(AND(COUNT(J857:M857)=4,SUM(J857:M857)&gt;0),1,0))</f>
        <v>0</v>
      </c>
      <c r="AS857" s="1" t="n">
        <f aca="false">IF(B857="",0,IF(AND(AF857&lt;&gt;"",AG857&lt;&gt;""),1,0))</f>
        <v>0</v>
      </c>
      <c r="AT857" s="1" t="n">
        <f aca="false">IF(AND(R857="WON",AS857=1,AR857=1),1,0)</f>
        <v>0</v>
      </c>
      <c r="AU857" s="1" t="n">
        <f aca="false">IF(B857="",0,IF(AD857="Alternative – zählt nicht",0,1))</f>
        <v>0</v>
      </c>
      <c r="AV857" s="1" t="n">
        <f aca="false">IF(B857="",0,IF(COUNTIF($B$6:$B$860,B857)&gt;1,1,0))</f>
        <v>0</v>
      </c>
      <c r="AX857" s="269" t="str">
        <f aca="false">IF(AY857=1,DATE(YEAR(O857),MONTH(O857),1),"")</f>
        <v/>
      </c>
      <c r="AY857" s="1" t="n">
        <f aca="false">IF(B857="",0,IF(AND(ISNUMBER(O857),ISNUMBER(P857)),IF(P857&gt;=O857,1,0),0))</f>
        <v>0</v>
      </c>
      <c r="AZ857" s="1" t="n">
        <f aca="false">IF(ISNUMBER(Y857),Y857,0)</f>
        <v>0</v>
      </c>
      <c r="BA857" s="1" t="str">
        <f aca="false">IF(B857="","",IF(AND(R857="WON",AS857=0),"⛔ Beleg fehlt · ","")&amp;IF(AND(R857="WON",AR857=0),"⛔ Einstand fehlt · ","")&amp;IF(AND(R857&lt;&gt;"WON",AR857=0),"○ Einstand offen · ","")&amp;IF(AND(R857="WON",AB857=""),"⛔ Vertragsart fehlt · ","")&amp;IF(AND(ISNUMBER(O857),ISNUMBER(P857)),IF(P857&lt;O857,"⚠ Ende vor Start · ",""),"")&amp;IF(AND(R857="WON",AY857=0,NOT(AND(ISNUMBER(O857),ISNUMBER(P857)))),"⛔ Zeitraum fehlt · ","")&amp;IF(AND(R857&lt;&gt;"WON",AY857=0,NOT(AND(ISNUMBER(O857),ISNUMBER(P857)))),"○ Zeitraum offen · ",""))</f>
        <v/>
      </c>
      <c r="BB857" s="1" t="str">
        <f aca="false">IF(B857="","",IF(AND(R857="WON",AS857=0),"⛔ Nachweis fehlt",IF(AND(ISNUMBER(O857),ISNUMBER(P857),P857&lt;O857),"⚠ Ende vor Start",IF(AND(R857="WON",AY857=0),"⛔ Zeitraum fehlt",IF(AR857=0,"○ Einstand offen",IF(AY857=0,"○ Zeitraum offen",IF(R857="WON","✅ belegt","✔ erfasst")))))))</f>
        <v/>
      </c>
    </row>
    <row r="858" customFormat="false" ht="15" hidden="false" customHeight="true" outlineLevel="0" collapsed="false">
      <c r="G858" s="1" t="str">
        <f aca="false">IF(B858="","",IF(AY858=1,P858-O858+1,IF(AW858="","",AW858)))</f>
        <v/>
      </c>
      <c r="I858" s="270"/>
      <c r="J858" s="270"/>
      <c r="K858" s="270"/>
      <c r="L858" s="270"/>
      <c r="M858" s="270"/>
      <c r="N858" s="270"/>
      <c r="O858" s="263"/>
      <c r="P858" s="263"/>
      <c r="Q858" s="270" t="str">
        <f aca="false">IF(AND(ISNUMBER(I858),ISNUMBER(S858)),I858*AJ858,IF(OR(I858&lt;&gt;"",S858&lt;&gt;""),"tbd",""))</f>
        <v/>
      </c>
      <c r="S858" s="268"/>
      <c r="Y858" s="275" t="str">
        <f aca="false">IF(ISNUMBER(I858),I858/Netto_Faktor,"")</f>
        <v/>
      </c>
      <c r="Z858" s="275" t="str">
        <f aca="false">IF(B858="","",IF(COUNT(J858:N858)=0,"",SUM(J858:N858)))</f>
        <v/>
      </c>
      <c r="AA858" s="266"/>
      <c r="AB858" s="266"/>
      <c r="AC858" s="266"/>
      <c r="AD858" s="266"/>
      <c r="AE858" s="266"/>
      <c r="AF858" s="266"/>
      <c r="AG858" s="267"/>
      <c r="AH858" s="266" t="str">
        <f aca="false">IF(B858="","",IF(BA858="",IF(R858="WON","✅ belegt &amp; vollständig","✔ vollständig"),LEFT(BA858,LEN(BA858)-3)))</f>
        <v/>
      </c>
      <c r="AJ858" s="268" t="n">
        <f aca="false">IF(ISNUMBER(S858),IFERROR(LOOKUP(IF(S858&lt;=1,S858,S858/100),'⚖️ Wahrscheinlichkeit'!$B$17:$B$21,'⚖️ Wahrscheinlichkeit'!$D$17:$D$21),0),0)</f>
        <v>0</v>
      </c>
      <c r="AK858" s="1" t="str">
        <f aca="false">IF(AND(R858="WON",ISNUMBER(I858)),AL858+(861-ROW())*0.000001,"")</f>
        <v/>
      </c>
      <c r="AL858" s="1" t="n">
        <f aca="false">IFERROR(I858*1,0)</f>
        <v>0</v>
      </c>
      <c r="AM858" s="1" t="n">
        <f aca="false">N(AM857)+IF(AND(R858="WON",B858&lt;&gt;""),1,0)</f>
        <v>12</v>
      </c>
      <c r="AN858" s="1" t="n">
        <f aca="false">N(AN857)+IF(AND(OR(R858="offered",R858="to be offered",R858="on hold"),B858&lt;&gt;""),1,0)</f>
        <v>33</v>
      </c>
      <c r="AO858" s="1" t="n">
        <f aca="false">N(AO857)+IF(AND(OR(R858="follow-up",R858="Evaluation",R858="tbd",R858="In evaluation"),B858&lt;&gt;""),1,0)</f>
        <v>1</v>
      </c>
      <c r="AP858" s="1" t="n">
        <f aca="false">IF(B858="",0,IF(COUNTIF('⚖️ Wahrscheinlichkeit'!$J$17:$J$24,R858)&gt;0,1,0))</f>
        <v>0</v>
      </c>
      <c r="AQ858" s="1" t="n">
        <f aca="false">IF(B858="",0,IF(AND(ISNUMBER(S858),COUNTIF('⚖️ Wahrscheinlichkeit'!$B$6:$B$11,S858)&gt;0),1,0))</f>
        <v>0</v>
      </c>
      <c r="AR858" s="1" t="n">
        <f aca="false">IF(B858="",0,IF(AND(COUNT(J858:M858)=4,SUM(J858:M858)&gt;0),1,0))</f>
        <v>0</v>
      </c>
      <c r="AS858" s="1" t="n">
        <f aca="false">IF(B858="",0,IF(AND(AF858&lt;&gt;"",AG858&lt;&gt;""),1,0))</f>
        <v>0</v>
      </c>
      <c r="AT858" s="1" t="n">
        <f aca="false">IF(AND(R858="WON",AS858=1,AR858=1),1,0)</f>
        <v>0</v>
      </c>
      <c r="AU858" s="1" t="n">
        <f aca="false">IF(B858="",0,IF(AD858="Alternative – zählt nicht",0,1))</f>
        <v>0</v>
      </c>
      <c r="AV858" s="1" t="n">
        <f aca="false">IF(B858="",0,IF(COUNTIF($B$6:$B$860,B858)&gt;1,1,0))</f>
        <v>0</v>
      </c>
      <c r="AX858" s="269" t="str">
        <f aca="false">IF(AY858=1,DATE(YEAR(O858),MONTH(O858),1),"")</f>
        <v/>
      </c>
      <c r="AY858" s="1" t="n">
        <f aca="false">IF(B858="",0,IF(AND(ISNUMBER(O858),ISNUMBER(P858)),IF(P858&gt;=O858,1,0),0))</f>
        <v>0</v>
      </c>
      <c r="AZ858" s="1" t="n">
        <f aca="false">IF(ISNUMBER(Y858),Y858,0)</f>
        <v>0</v>
      </c>
      <c r="BA858" s="1" t="str">
        <f aca="false">IF(B858="","",IF(AND(R858="WON",AS858=0),"⛔ Beleg fehlt · ","")&amp;IF(AND(R858="WON",AR858=0),"⛔ Einstand fehlt · ","")&amp;IF(AND(R858&lt;&gt;"WON",AR858=0),"○ Einstand offen · ","")&amp;IF(AND(R858="WON",AB858=""),"⛔ Vertragsart fehlt · ","")&amp;IF(AND(ISNUMBER(O858),ISNUMBER(P858)),IF(P858&lt;O858,"⚠ Ende vor Start · ",""),"")&amp;IF(AND(R858="WON",AY858=0,NOT(AND(ISNUMBER(O858),ISNUMBER(P858)))),"⛔ Zeitraum fehlt · ","")&amp;IF(AND(R858&lt;&gt;"WON",AY858=0,NOT(AND(ISNUMBER(O858),ISNUMBER(P858)))),"○ Zeitraum offen · ",""))</f>
        <v/>
      </c>
      <c r="BB858" s="1" t="str">
        <f aca="false">IF(B858="","",IF(AND(R858="WON",AS858=0),"⛔ Nachweis fehlt",IF(AND(ISNUMBER(O858),ISNUMBER(P858),P858&lt;O858),"⚠ Ende vor Start",IF(AND(R858="WON",AY858=0),"⛔ Zeitraum fehlt",IF(AR858=0,"○ Einstand offen",IF(AY858=0,"○ Zeitraum offen",IF(R858="WON","✅ belegt","✔ erfasst")))))))</f>
        <v/>
      </c>
    </row>
    <row r="859" customFormat="false" ht="15" hidden="false" customHeight="true" outlineLevel="0" collapsed="false">
      <c r="G859" s="1" t="str">
        <f aca="false">IF(B859="","",IF(AY859=1,P859-O859+1,IF(AW859="","",AW859)))</f>
        <v/>
      </c>
      <c r="I859" s="270"/>
      <c r="J859" s="270"/>
      <c r="K859" s="270"/>
      <c r="L859" s="270"/>
      <c r="M859" s="270"/>
      <c r="N859" s="270"/>
      <c r="O859" s="263"/>
      <c r="P859" s="263"/>
      <c r="Q859" s="270" t="str">
        <f aca="false">IF(AND(ISNUMBER(I859),ISNUMBER(S859)),I859*AJ859,IF(OR(I859&lt;&gt;"",S859&lt;&gt;""),"tbd",""))</f>
        <v/>
      </c>
      <c r="S859" s="268"/>
      <c r="Y859" s="275" t="str">
        <f aca="false">IF(ISNUMBER(I859),I859/Netto_Faktor,"")</f>
        <v/>
      </c>
      <c r="Z859" s="275" t="str">
        <f aca="false">IF(B859="","",IF(COUNT(J859:N859)=0,"",SUM(J859:N859)))</f>
        <v/>
      </c>
      <c r="AA859" s="266"/>
      <c r="AB859" s="266"/>
      <c r="AC859" s="266"/>
      <c r="AD859" s="266"/>
      <c r="AE859" s="266"/>
      <c r="AF859" s="266"/>
      <c r="AG859" s="267"/>
      <c r="AH859" s="266" t="str">
        <f aca="false">IF(B859="","",IF(BA859="",IF(R859="WON","✅ belegt &amp; vollständig","✔ vollständig"),LEFT(BA859,LEN(BA859)-3)))</f>
        <v/>
      </c>
      <c r="AJ859" s="268" t="n">
        <f aca="false">IF(ISNUMBER(S859),IFERROR(LOOKUP(IF(S859&lt;=1,S859,S859/100),'⚖️ Wahrscheinlichkeit'!$B$17:$B$21,'⚖️ Wahrscheinlichkeit'!$D$17:$D$21),0),0)</f>
        <v>0</v>
      </c>
      <c r="AK859" s="1" t="str">
        <f aca="false">IF(AND(R859="WON",ISNUMBER(I859)),AL859+(861-ROW())*0.000001,"")</f>
        <v/>
      </c>
      <c r="AL859" s="1" t="n">
        <f aca="false">IFERROR(I859*1,0)</f>
        <v>0</v>
      </c>
      <c r="AM859" s="1" t="n">
        <f aca="false">N(AM858)+IF(AND(R859="WON",B859&lt;&gt;""),1,0)</f>
        <v>12</v>
      </c>
      <c r="AN859" s="1" t="n">
        <f aca="false">N(AN858)+IF(AND(OR(R859="offered",R859="to be offered",R859="on hold"),B859&lt;&gt;""),1,0)</f>
        <v>33</v>
      </c>
      <c r="AO859" s="1" t="n">
        <f aca="false">N(AO858)+IF(AND(OR(R859="follow-up",R859="Evaluation",R859="tbd",R859="In evaluation"),B859&lt;&gt;""),1,0)</f>
        <v>1</v>
      </c>
      <c r="AP859" s="1" t="n">
        <f aca="false">IF(B859="",0,IF(COUNTIF('⚖️ Wahrscheinlichkeit'!$J$17:$J$24,R859)&gt;0,1,0))</f>
        <v>0</v>
      </c>
      <c r="AQ859" s="1" t="n">
        <f aca="false">IF(B859="",0,IF(AND(ISNUMBER(S859),COUNTIF('⚖️ Wahrscheinlichkeit'!$B$6:$B$11,S859)&gt;0),1,0))</f>
        <v>0</v>
      </c>
      <c r="AR859" s="1" t="n">
        <f aca="false">IF(B859="",0,IF(AND(COUNT(J859:M859)=4,SUM(J859:M859)&gt;0),1,0))</f>
        <v>0</v>
      </c>
      <c r="AS859" s="1" t="n">
        <f aca="false">IF(B859="",0,IF(AND(AF859&lt;&gt;"",AG859&lt;&gt;""),1,0))</f>
        <v>0</v>
      </c>
      <c r="AT859" s="1" t="n">
        <f aca="false">IF(AND(R859="WON",AS859=1,AR859=1),1,0)</f>
        <v>0</v>
      </c>
      <c r="AU859" s="1" t="n">
        <f aca="false">IF(B859="",0,IF(AD859="Alternative – zählt nicht",0,1))</f>
        <v>0</v>
      </c>
      <c r="AV859" s="1" t="n">
        <f aca="false">IF(B859="",0,IF(COUNTIF($B$6:$B$860,B859)&gt;1,1,0))</f>
        <v>0</v>
      </c>
      <c r="AX859" s="269" t="str">
        <f aca="false">IF(AY859=1,DATE(YEAR(O859),MONTH(O859),1),"")</f>
        <v/>
      </c>
      <c r="AY859" s="1" t="n">
        <f aca="false">IF(B859="",0,IF(AND(ISNUMBER(O859),ISNUMBER(P859)),IF(P859&gt;=O859,1,0),0))</f>
        <v>0</v>
      </c>
      <c r="AZ859" s="1" t="n">
        <f aca="false">IF(ISNUMBER(Y859),Y859,0)</f>
        <v>0</v>
      </c>
      <c r="BA859" s="1" t="str">
        <f aca="false">IF(B859="","",IF(AND(R859="WON",AS859=0),"⛔ Beleg fehlt · ","")&amp;IF(AND(R859="WON",AR859=0),"⛔ Einstand fehlt · ","")&amp;IF(AND(R859&lt;&gt;"WON",AR859=0),"○ Einstand offen · ","")&amp;IF(AND(R859="WON",AB859=""),"⛔ Vertragsart fehlt · ","")&amp;IF(AND(ISNUMBER(O859),ISNUMBER(P859)),IF(P859&lt;O859,"⚠ Ende vor Start · ",""),"")&amp;IF(AND(R859="WON",AY859=0,NOT(AND(ISNUMBER(O859),ISNUMBER(P859)))),"⛔ Zeitraum fehlt · ","")&amp;IF(AND(R859&lt;&gt;"WON",AY859=0,NOT(AND(ISNUMBER(O859),ISNUMBER(P859)))),"○ Zeitraum offen · ",""))</f>
        <v/>
      </c>
      <c r="BB859" s="1" t="str">
        <f aca="false">IF(B859="","",IF(AND(R859="WON",AS859=0),"⛔ Nachweis fehlt",IF(AND(ISNUMBER(O859),ISNUMBER(P859),P859&lt;O859),"⚠ Ende vor Start",IF(AND(R859="WON",AY859=0),"⛔ Zeitraum fehlt",IF(AR859=0,"○ Einstand offen",IF(AY859=0,"○ Zeitraum offen",IF(R859="WON","✅ belegt","✔ erfasst")))))))</f>
        <v/>
      </c>
    </row>
    <row r="860" customFormat="false" ht="15" hidden="false" customHeight="true" outlineLevel="0" collapsed="false">
      <c r="G860" s="1" t="str">
        <f aca="false">IF(B860="","",IF(AY860=1,P860-O860+1,IF(AW860="","",AW860)))</f>
        <v/>
      </c>
      <c r="I860" s="270"/>
      <c r="J860" s="270"/>
      <c r="K860" s="270"/>
      <c r="L860" s="270"/>
      <c r="M860" s="270"/>
      <c r="N860" s="270"/>
      <c r="O860" s="263"/>
      <c r="P860" s="263"/>
      <c r="Q860" s="270" t="str">
        <f aca="false">IF(AND(ISNUMBER(I860),ISNUMBER(S860)),I860*AJ860,IF(OR(I860&lt;&gt;"",S860&lt;&gt;""),"tbd",""))</f>
        <v/>
      </c>
      <c r="S860" s="268"/>
      <c r="Y860" s="275" t="str">
        <f aca="false">IF(ISNUMBER(I860),I860/Netto_Faktor,"")</f>
        <v/>
      </c>
      <c r="Z860" s="275" t="str">
        <f aca="false">IF(B860="","",IF(COUNT(J860:N860)=0,"",SUM(J860:N860)))</f>
        <v/>
      </c>
      <c r="AA860" s="266"/>
      <c r="AB860" s="266"/>
      <c r="AC860" s="266"/>
      <c r="AD860" s="266"/>
      <c r="AE860" s="266"/>
      <c r="AF860" s="266"/>
      <c r="AG860" s="267"/>
      <c r="AH860" s="266" t="str">
        <f aca="false">IF(B860="","",IF(BA860="",IF(R860="WON","✅ belegt &amp; vollständig","✔ vollständig"),LEFT(BA860,LEN(BA860)-3)))</f>
        <v/>
      </c>
      <c r="AJ860" s="268" t="n">
        <f aca="false">IF(ISNUMBER(S860),IFERROR(LOOKUP(IF(S860&lt;=1,S860,S860/100),'⚖️ Wahrscheinlichkeit'!$B$17:$B$21,'⚖️ Wahrscheinlichkeit'!$D$17:$D$21),0),0)</f>
        <v>0</v>
      </c>
      <c r="AK860" s="1" t="str">
        <f aca="false">IF(AND(R860="WON",ISNUMBER(I860)),AL860+(861-ROW())*0.000001,"")</f>
        <v/>
      </c>
      <c r="AL860" s="1" t="n">
        <f aca="false">IFERROR(I860*1,0)</f>
        <v>0</v>
      </c>
      <c r="AM860" s="1" t="n">
        <f aca="false">N(AM859)+IF(AND(R860="WON",B860&lt;&gt;""),1,0)</f>
        <v>12</v>
      </c>
      <c r="AN860" s="1" t="n">
        <f aca="false">N(AN859)+IF(AND(OR(R860="offered",R860="to be offered",R860="on hold"),B860&lt;&gt;""),1,0)</f>
        <v>33</v>
      </c>
      <c r="AO860" s="1" t="n">
        <f aca="false">N(AO859)+IF(AND(OR(R860="follow-up",R860="Evaluation",R860="tbd",R860="In evaluation"),B860&lt;&gt;""),1,0)</f>
        <v>1</v>
      </c>
      <c r="AP860" s="1" t="n">
        <f aca="false">IF(B860="",0,IF(COUNTIF('⚖️ Wahrscheinlichkeit'!$J$17:$J$24,R860)&gt;0,1,0))</f>
        <v>0</v>
      </c>
      <c r="AQ860" s="1" t="n">
        <f aca="false">IF(B860="",0,IF(AND(ISNUMBER(S860),COUNTIF('⚖️ Wahrscheinlichkeit'!$B$6:$B$11,S860)&gt;0),1,0))</f>
        <v>0</v>
      </c>
      <c r="AR860" s="1" t="n">
        <f aca="false">IF(B860="",0,IF(AND(COUNT(J860:M860)=4,SUM(J860:M860)&gt;0),1,0))</f>
        <v>0</v>
      </c>
      <c r="AS860" s="1" t="n">
        <f aca="false">IF(B860="",0,IF(AND(AF860&lt;&gt;"",AG860&lt;&gt;""),1,0))</f>
        <v>0</v>
      </c>
      <c r="AT860" s="1" t="n">
        <f aca="false">IF(AND(R860="WON",AS860=1,AR860=1),1,0)</f>
        <v>0</v>
      </c>
      <c r="AU860" s="1" t="n">
        <f aca="false">IF(B860="",0,IF(AD860="Alternative – zählt nicht",0,1))</f>
        <v>0</v>
      </c>
      <c r="AV860" s="1" t="n">
        <f aca="false">IF(B860="",0,IF(COUNTIF($B$6:$B$860,B860)&gt;1,1,0))</f>
        <v>0</v>
      </c>
      <c r="AX860" s="269" t="str">
        <f aca="false">IF(AY860=1,DATE(YEAR(O860),MONTH(O860),1),"")</f>
        <v/>
      </c>
      <c r="AY860" s="1" t="n">
        <f aca="false">IF(B860="",0,IF(AND(ISNUMBER(O860),ISNUMBER(P860)),IF(P860&gt;=O860,1,0),0))</f>
        <v>0</v>
      </c>
      <c r="AZ860" s="1" t="n">
        <f aca="false">IF(ISNUMBER(Y860),Y860,0)</f>
        <v>0</v>
      </c>
      <c r="BA860" s="1" t="str">
        <f aca="false">IF(B860="","",IF(AND(R860="WON",AS860=0),"⛔ Beleg fehlt · ","")&amp;IF(AND(R860="WON",AR860=0),"⛔ Einstand fehlt · ","")&amp;IF(AND(R860&lt;&gt;"WON",AR860=0),"○ Einstand offen · ","")&amp;IF(AND(R860="WON",AB860=""),"⛔ Vertragsart fehlt · ","")&amp;IF(AND(ISNUMBER(O860),ISNUMBER(P860)),IF(P860&lt;O860,"⚠ Ende vor Start · ",""),"")&amp;IF(AND(R860="WON",AY860=0,NOT(AND(ISNUMBER(O860),ISNUMBER(P860)))),"⛔ Zeitraum fehlt · ","")&amp;IF(AND(R860&lt;&gt;"WON",AY860=0,NOT(AND(ISNUMBER(O860),ISNUMBER(P860)))),"○ Zeitraum offen · ",""))</f>
        <v/>
      </c>
      <c r="BB860" s="1" t="str">
        <f aca="false">IF(B860="","",IF(AND(R860="WON",AS860=0),"⛔ Nachweis fehlt",IF(AND(ISNUMBER(O860),ISNUMBER(P860),P860&lt;O860),"⚠ Ende vor Start",IF(AND(R860="WON",AY860=0),"⛔ Zeitraum fehlt",IF(AR860=0,"○ Einstand offen",IF(AY860=0,"○ Zeitraum offen",IF(R860="WON","✅ belegt","✔ erfasst")))))))</f>
        <v/>
      </c>
    </row>
    <row r="861" customFormat="false" ht="15" hidden="false" customHeight="true" outlineLevel="0" collapsed="false"/>
    <row r="862" customFormat="false" ht="15" hidden="false" customHeight="true" outlineLevel="0" collapsed="false">
      <c r="Q862" s="285"/>
    </row>
    <row r="864" customFormat="false" ht="15" hidden="false" customHeight="true" outlineLevel="0" collapsed="false">
      <c r="Q864" s="286"/>
    </row>
  </sheetData>
  <autoFilter ref="A5:X860">
    <sortState ref="A6:X860">
      <sortCondition ref="E6:E860" descending="1" customList=""/>
    </sortState>
  </autoFilter>
  <mergeCells count="11">
    <mergeCell ref="A1:AI1"/>
    <mergeCell ref="A2:AI2"/>
    <mergeCell ref="A3:AI3"/>
    <mergeCell ref="A4:B4"/>
    <mergeCell ref="C4:F4"/>
    <mergeCell ref="G4:H4"/>
    <mergeCell ref="I4:L4"/>
    <mergeCell ref="M4:N4"/>
    <mergeCell ref="O4:R4"/>
    <mergeCell ref="S4:T4"/>
    <mergeCell ref="U4:X4"/>
  </mergeCells>
  <conditionalFormatting sqref="J63">
    <cfRule type="dataBar" priority="2">
      <dataBar showValue="1" minLength="10" maxLength="90">
        <cfvo type="min" val="0"/>
        <cfvo type="max" val="0"/>
        <color rgb="FF63A6FF"/>
      </dataBar>
      <extLst>
        <ext xmlns:x14="http://schemas.microsoft.com/office/spreadsheetml/2009/9/main" uri="{B025F937-C7B1-47D3-B67F-A62EFF666E3E}">
          <x14:id>{C0DC2293-606A-4980-AC41-2130569AFB32}</x14:id>
        </ext>
      </extLst>
    </cfRule>
  </conditionalFormatting>
  <conditionalFormatting sqref="J62">
    <cfRule type="dataBar" priority="3">
      <dataBar showValue="1" minLength="10" maxLength="90">
        <cfvo type="min" val="0"/>
        <cfvo type="max" val="0"/>
        <color rgb="FF63A6FF"/>
      </dataBar>
      <extLst>
        <ext xmlns:x14="http://schemas.microsoft.com/office/spreadsheetml/2009/9/main" uri="{B025F937-C7B1-47D3-B67F-A62EFF666E3E}">
          <x14:id>{637D9593-E1F4-4993-A94C-D278E61186F6}</x14:id>
        </ext>
      </extLst>
    </cfRule>
  </conditionalFormatting>
  <conditionalFormatting sqref="R6:R860">
    <cfRule type="cellIs" priority="4" operator="equal" aboveAverage="0" equalAverage="0" bottom="0" percent="0" rank="0" text="" dxfId="5">
      <formula>"WON"</formula>
    </cfRule>
    <cfRule type="cellIs" priority="5" operator="equal" aboveAverage="0" equalAverage="0" bottom="0" percent="0" rank="0" text="" dxfId="6">
      <formula>"offered"</formula>
    </cfRule>
    <cfRule type="cellIs" priority="6" operator="equal" aboveAverage="0" equalAverage="0" bottom="0" percent="0" rank="0" text="" dxfId="7">
      <formula>"to be offered"</formula>
    </cfRule>
    <cfRule type="cellIs" priority="7" operator="equal" aboveAverage="0" equalAverage="0" bottom="0" percent="0" rank="0" text="" dxfId="8">
      <formula>"follow-up"</formula>
    </cfRule>
    <cfRule type="cellIs" priority="8" operator="equal" aboveAverage="0" equalAverage="0" bottom="0" percent="0" rank="0" text="" dxfId="9">
      <formula>"Evaluation"</formula>
    </cfRule>
    <cfRule type="cellIs" priority="9" operator="equal" aboveAverage="0" equalAverage="0" bottom="0" percent="0" rank="0" text="" dxfId="9">
      <formula>"In evaluation"</formula>
    </cfRule>
    <cfRule type="cellIs" priority="10" operator="equal" aboveAverage="0" equalAverage="0" bottom="0" percent="0" rank="0" text="" dxfId="10">
      <formula>"on hold"</formula>
    </cfRule>
    <cfRule type="cellIs" priority="11" operator="equal" aboveAverage="0" equalAverage="0" bottom="0" percent="0" rank="0" text="" dxfId="11">
      <formula>"tbd"</formula>
    </cfRule>
    <cfRule type="cellIs" priority="12" operator="equal" aboveAverage="0" equalAverage="0" bottom="0" percent="0" rank="0" text="" dxfId="12">
      <formula>"LOST"</formula>
    </cfRule>
    <cfRule type="cellIs" priority="13" operator="equal" aboveAverage="0" equalAverage="0" bottom="0" percent="0" rank="0" text="" dxfId="13">
      <formula>"Declined"</formula>
    </cfRule>
  </conditionalFormatting>
  <conditionalFormatting sqref="P6:P860">
    <cfRule type="colorScale" priority="14">
      <colorScale>
        <cfvo type="num" val="0"/>
        <cfvo type="num" val="0.3"/>
        <cfvo type="num" val="0.7"/>
        <color rgb="FFF8696B"/>
        <color rgb="FFFFEB84"/>
        <color rgb="FF63BE7B"/>
      </colorScale>
    </cfRule>
  </conditionalFormatting>
  <conditionalFormatting sqref="I6:I860">
    <cfRule type="dataBar" priority="15">
      <dataBar showValue="1" minLength="10" maxLength="90">
        <cfvo type="min" val="0"/>
        <cfvo type="max" val="0"/>
        <color rgb="FF63A6FF"/>
      </dataBar>
      <extLst>
        <ext xmlns:x14="http://schemas.microsoft.com/office/spreadsheetml/2009/9/main" uri="{B025F937-C7B1-47D3-B67F-A62EFF666E3E}">
          <x14:id>{C493BAC3-8360-4F2D-81D9-38FC805D9767}</x14:id>
        </ext>
      </extLst>
    </cfRule>
  </conditionalFormatting>
  <conditionalFormatting sqref="S6:S860">
    <cfRule type="expression" priority="16" aboveAverage="0" equalAverage="0" bottom="0" percent="0" rank="0" text="" dxfId="27">
      <formula>AND($B6&lt;&gt;"",ISNUMBER($S6),$S6&lt;&gt;0,$S6&lt;&gt;0.1,$S6&lt;&gt;0.3,$S6&lt;&gt;0.6,$S6&lt;&gt;0.9)</formula>
    </cfRule>
  </conditionalFormatting>
  <conditionalFormatting sqref="AH6:AH860">
    <cfRule type="expression" priority="17" aboveAverage="0" equalAverage="0" bottom="0" percent="0" rank="0" text="" dxfId="28">
      <formula>LEFT($AH6,1)="⛔"</formula>
    </cfRule>
    <cfRule type="expression" priority="18" aboveAverage="0" equalAverage="0" bottom="0" percent="0" rank="0" text="" dxfId="29">
      <formula>LEFT($AH6,1)="⚠"</formula>
    </cfRule>
    <cfRule type="expression" priority="19" aboveAverage="0" equalAverage="0" bottom="0" percent="0" rank="0" text="" dxfId="30">
      <formula>LEFT($AH6,1)="✅"</formula>
    </cfRule>
  </conditionalFormatting>
  <conditionalFormatting sqref="O6:P860">
    <cfRule type="expression" priority="20" aboveAverage="0" equalAverage="0" bottom="0" percent="0" rank="0" text="" dxfId="28">
      <formula>AND(ISNUMBER($O6),ISNUMBER($P6),$P6&lt;$O6)</formula>
    </cfRule>
    <cfRule type="expression" priority="21" aboveAverage="0" equalAverage="0" bottom="0" percent="0" rank="0" text="" dxfId="31">
      <formula>AND($B6&lt;&gt;"",$O6="")</formula>
    </cfRule>
  </conditionalFormatting>
  <conditionalFormatting sqref="AI6:AI860">
    <cfRule type="expression" priority="22" aboveAverage="0" equalAverage="0" bottom="0" percent="0" rank="0" text="" dxfId="32">
      <formula>AND($B6&lt;&gt;"",ISNUMBER($AI6),$AI6&lt;&gt;$S6)</formula>
    </cfRule>
  </conditionalFormatting>
  <dataValidations count="9">
    <dataValidation allowBlank="true" errorStyle="stop" operator="between" showDropDown="false" showErrorMessage="false" showInputMessage="false" sqref="R6:R860" type="list">
      <formula1>"WON,offered,to be offered,follow-up,Evaluation,In evaluation,on hold,tbd,LOST,Declined"</formula1>
      <formula2>0</formula2>
    </dataValidation>
    <dataValidation allowBlank="true" errorStyle="stop" operator="between" showDropDown="false" showErrorMessage="false" showInputMessage="false" sqref="C6:C860" type="list">
      <formula1>"AG,AI,AR,BE,BL,BS,FR,GE,GL,GR,JU,LU,NE,NW,OW,SG,SH,SO,SZ,TG,TI,UR,VD,VS,ZG,ZH,tbd"</formula1>
      <formula2>0</formula2>
    </dataValidation>
    <dataValidation allowBlank="true" errorStyle="stop" operator="between" showDropDown="false" showErrorMessage="false" showInputMessage="false" sqref="T6:T860" type="list">
      <formula1>"Kalt,Kalt (Burak),Kalt (Mauro),Warm,Warm – Aggreko,Warm – CBM,Warm – Netzwerk,Inbound"</formula1>
      <formula2>0</formula2>
    </dataValidation>
    <dataValidation allowBlank="true" error="Aggreko-Standard: 0 %, 10 %, 30 %, 60 % oder 90 %.&#10;Andere Werte sind möglich (z. B. Salesforce-Import), werden aber orange markiert." errorStyle="warning" errorTitle="Wahrscheinlichkeit ausserhalb der Skala" operator="between" prompt="0 % = keine Opportunität · 10 % = Platzhalter/Contingency · 30 % = lebt, on-hire offen · 60 % = sehr gute Chance, keine PO · 90 % = sicher, PO/Commitment ausstehend" promptTitle="Probability to Win %" showDropDown="false" showErrorMessage="true" showInputMessage="true" sqref="S6:S860" type="list">
      <formula1>Wahrscheinlichkeit_Skala</formula1>
      <formula2>0</formula2>
    </dataValidation>
    <dataValidation allowBlank="true" error="Bitte einen Wert aus der Liste wählen. Die Definitionen stehen im Blatt «📋 Definitionen &amp; Klärung»." errorStyle="stop" errorTitle="Wert nicht zulässig" operator="between" showDropDown="false" showErrorMessage="true" showInputMessage="false" sqref="AA6:AA860" type="list">
      <formula1>"MiT CH,Aggreko (intl.),Partner / Dritte"</formula1>
      <formula2>0</formula2>
    </dataValidation>
    <dataValidation allowBlank="true" error="Bitte einen Wert aus der Liste wählen. Die Definitionen stehen im Blatt «📋 Definitionen &amp; Klärung»." errorStyle="stop" errorTitle="Wert nicht zulässig" operator="between" showDropDown="false" showErrorMessage="true" showInputMessage="false" sqref="AB6:AB860" type="list">
      <formula1>"Einzelauftrag,Rahmenvertrag – Abruf bestätigt,Abrufbereitschaft,Option / Reservation"</formula1>
      <formula2>0</formula2>
    </dataValidation>
    <dataValidation allowBlank="true" error="Bitte einen Wert aus der Liste wählen. Die Definitionen stehen im Blatt «📋 Definitionen &amp; Klärung»." errorStyle="stop" errorTitle="Wert nicht zulässig" operator="between" showDropDown="false" showErrorMessage="true" showInputMessage="false" sqref="AD6:AD860" type="list">
      <formula1>"Führend,Alternative – zählt nicht"</formula1>
      <formula2>0</formula2>
    </dataValidation>
    <dataValidation allowBlank="true" error="Bitte ein gültiges Datum erfassen (Datum der Bestellung bzw. der PO)." errorStyle="stop" errorTitle="Belegdatum" operator="greaterThan" showDropDown="false" showErrorMessage="true" showInputMessage="false" sqref="AG6:AG860" type="date">
      <formula1>DATE(2000,1,1)</formula1>
      <formula2>0</formula2>
    </dataValidation>
    <dataValidation allowBlank="true" error="Bitte ein echtes Datum im Format TT.MM.JJJJ erfassen — keine Monatsangabe und kein «tbd». Ist der Zeitraum noch offen, das Feld leer lassen; der Prüfstatus meldet ihn dann als fehlend." errorStyle="stop" errorTitle="Projektzeitraum" operator="greaterThan" showDropDown="false" showErrorMessage="true" showInputMessage="false" sqref="O6:P860" type="date">
      <formula1>DATE(2000,1,1)</formula1>
      <formula2>0</formula2>
    </dataValidation>
  </dataValidations>
  <printOptions headings="false" gridLines="false" gridLinesSet="true" horizontalCentered="true" verticalCentered="false"/>
  <pageMargins left="0.3" right="0.3" top="0.5" bottom="0.5" header="0.25" footer="0.25"/>
  <pageSetup paperSize="9" scale="100" fitToWidth="3" fitToHeight="0" pageOrder="downThenOver" orientation="landscape" blackAndWhite="false" draft="false" cellComments="none" horizontalDpi="300" verticalDpi="300" copies="1"/>
  <headerFooter differentFirst="false" differentOddEven="false">
    <oddHeader>&amp;C&amp;"Calibri,Bold"&amp;10 MiT Strom Schweiz — Pipeline und Deal Tracking</oddHeader>
    <oddFooter>&amp;L&amp;8 Mobil in Time AG · An Aggreko Company&amp;C&amp;8 Stand: &amp;D&amp;R&amp;8 Seite &amp;P von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C0DC2293-606A-4980-AC41-2130569AFB32}">
            <x14:dataBar minLength="10" maxLength="90" axisPosition="none" gradient="true">
              <x14:cfvo type="min"/>
              <x14:cfvo type="max"/>
              <x14:negativeFillColor rgb="FF63A6FF"/>
              <x14:axisColor rgb="FF000000"/>
            </x14:dataBar>
          </x14:cfRule>
          <xm:sqref>J63</xm:sqref>
        </x14:conditionalFormatting>
        <x14:conditionalFormatting xmlns:xm="http://schemas.microsoft.com/office/excel/2006/main">
          <x14:cfRule type="dataBar" id="{637D9593-E1F4-4993-A94C-D278E61186F6}">
            <x14:dataBar minLength="10" maxLength="90" axisPosition="none" gradient="true">
              <x14:cfvo type="min"/>
              <x14:cfvo type="max"/>
              <x14:negativeFillColor rgb="FF63A6FF"/>
              <x14:axisColor rgb="FF000000"/>
            </x14:dataBar>
          </x14:cfRule>
          <xm:sqref>J62</xm:sqref>
        </x14:conditionalFormatting>
        <x14:conditionalFormatting xmlns:xm="http://schemas.microsoft.com/office/excel/2006/main">
          <x14:cfRule type="dataBar" id="{C493BAC3-8360-4F2D-81D9-38FC805D9767}">
            <x14:dataBar minLength="10" maxLength="90" axisPosition="none" gradient="true">
              <x14:cfvo type="min"/>
              <x14:cfvo type="max"/>
              <x14:negativeFillColor rgb="FF63A6FF"/>
              <x14:axisColor rgb="FF000000"/>
            </x14:dataBar>
          </x14:cfRule>
          <xm:sqref>I6:I860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1B1B"/>
    <pageSetUpPr fitToPage="true"/>
  </sheetPr>
  <dimension ref="A1:H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9.09"/>
    <col collapsed="false" customWidth="true" hidden="false" outlineLevel="0" max="3" min="3" style="1" width="34"/>
    <col collapsed="false" customWidth="true" hidden="false" outlineLevel="0" max="5" min="4" style="1" width="16"/>
    <col collapsed="false" customWidth="true" hidden="false" outlineLevel="0" max="6" min="6" style="1" width="17.32"/>
    <col collapsed="false" customWidth="true" hidden="false" outlineLevel="0" max="7" min="7" style="1" width="34"/>
    <col collapsed="false" customWidth="true" hidden="false" outlineLevel="0" max="8" min="8" style="1" width="16"/>
    <col collapsed="false" customWidth="true" hidden="false" outlineLevel="0" max="9" min="9" style="1" width="3"/>
  </cols>
  <sheetData>
    <row r="1" customFormat="false" ht="33.75" hidden="false" customHeight="true" outlineLevel="0" collapsed="false">
      <c r="A1" s="287" t="s">
        <v>462</v>
      </c>
      <c r="B1" s="287"/>
      <c r="C1" s="287"/>
      <c r="D1" s="287"/>
      <c r="E1" s="287"/>
      <c r="F1" s="287"/>
      <c r="G1" s="287"/>
      <c r="H1" s="287"/>
    </row>
    <row r="2" customFormat="false" ht="24" hidden="false" customHeight="true" outlineLevel="0" collapsed="false">
      <c r="A2" s="288" t="s">
        <v>463</v>
      </c>
      <c r="B2" s="288"/>
      <c r="C2" s="288"/>
      <c r="D2" s="288"/>
      <c r="E2" s="288"/>
      <c r="F2" s="288"/>
      <c r="G2" s="288"/>
      <c r="H2" s="288"/>
    </row>
    <row r="4" customFormat="false" ht="21.75" hidden="false" customHeight="true" outlineLevel="0" collapsed="false">
      <c r="A4" s="289" t="s">
        <v>464</v>
      </c>
      <c r="B4" s="289"/>
      <c r="C4" s="289"/>
      <c r="D4" s="289"/>
      <c r="E4" s="289"/>
      <c r="F4" s="289"/>
      <c r="G4" s="289"/>
      <c r="H4" s="289"/>
    </row>
    <row r="5" customFormat="false" ht="15" hidden="false" customHeight="true" outlineLevel="0" collapsed="false">
      <c r="B5" s="149" t="s">
        <v>465</v>
      </c>
      <c r="C5" s="149" t="s">
        <v>466</v>
      </c>
      <c r="D5" s="149"/>
      <c r="E5" s="149"/>
      <c r="F5" s="149"/>
      <c r="G5" s="149" t="s">
        <v>467</v>
      </c>
      <c r="H5" s="149"/>
    </row>
    <row r="6" customFormat="false" ht="84" hidden="false" customHeight="true" outlineLevel="0" collapsed="false">
      <c r="B6" s="290" t="s">
        <v>468</v>
      </c>
      <c r="C6" s="291" t="s">
        <v>469</v>
      </c>
      <c r="D6" s="291"/>
      <c r="E6" s="291"/>
      <c r="F6" s="291"/>
      <c r="G6" s="292" t="str">
        <f aca="false">"Kostenspalten weiterhin gepflegt: "&amp;SUMPRODUCT('MiT Strom Pipeline'!$AP$6:$AP$860,'MiT Strom Pipeline'!$AR$6:$AR$860)&amp;" von "&amp;SUM('MiT Strom Pipeline'!$AP$6:$AP$860)&amp;" aktiven Deals  ·  Marge im Bericht: nicht ausgewiesen"</f>
        <v>Kostenspalten weiterhin gepflegt: 38 von 46 aktiven Deals  ·  Marge im Bericht: nicht ausgewiesen</v>
      </c>
      <c r="H6" s="292"/>
    </row>
    <row r="7" customFormat="false" ht="61.5" hidden="false" customHeight="true" outlineLevel="0" collapsed="false">
      <c r="B7" s="290" t="s">
        <v>470</v>
      </c>
      <c r="C7" s="291" t="s">
        <v>471</v>
      </c>
      <c r="D7" s="291"/>
      <c r="E7" s="291"/>
      <c r="F7" s="291"/>
      <c r="G7" s="292" t="str">
        <f aca="false">"Deals mit vollständigem Einstand: "&amp;SUMPRODUCT('MiT Strom Pipeline'!$AP$6:$AP$860,'MiT Strom Pipeline'!$AR$6:$AR$860)&amp;" von "&amp;SUM('MiT Strom Pipeline'!$AP$6:$AP$860)</f>
        <v>Deals mit vollständigem Einstand: 38 von 46</v>
      </c>
      <c r="H7" s="292"/>
    </row>
    <row r="8" customFormat="false" ht="61.5" hidden="false" customHeight="true" outlineLevel="0" collapsed="false">
      <c r="B8" s="290" t="s">
        <v>472</v>
      </c>
      <c r="C8" s="291" t="s">
        <v>473</v>
      </c>
      <c r="D8" s="291"/>
      <c r="E8" s="291"/>
      <c r="F8" s="291"/>
      <c r="G8" s="292" t="str">
        <f aca="false">"Abweichend von MiT CH erfasst: "&amp;SUMPRODUCT('MiT Strom Pipeline'!$AP$6:$AP$860,--('MiT Strom Pipeline'!$AA$6:$AA$860&lt;&gt;""),--('MiT Strom Pipeline'!$AA$6:$AA$860&lt;&gt;"MiT CH"))&amp;" Deals  ·  "&amp;TEXT(SUMPRODUCT('MiT Strom Pipeline'!$AP$6:$AP$860,--('MiT Strom Pipeline'!$AA$6:$AA$860&lt;&gt;""),--('MiT Strom Pipeline'!$AA$6:$AA$860&lt;&gt;"MiT CH"),'MiT Strom Pipeline'!$AL$6:$AL$860),"#,##0")&amp;" CHF  ·  über MiT CH: "&amp;TEXT(SUMPRODUCT('MiT Strom Pipeline'!$AP$6:$AP$860,'MiT Strom Pipeline'!$AL$6:$AL$860)-SUMPRODUCT('MiT Strom Pipeline'!$AP$6:$AP$860,--('MiT Strom Pipeline'!$AA$6:$AA$860&lt;&gt;""),--('MiT Strom Pipeline'!$AA$6:$AA$860&lt;&gt;"MiT CH"),'MiT Strom Pipeline'!$AL$6:$AL$860),"#,##0")&amp;" CHF"</f>
        <v>Abweichend von MiT CH erfasst: 0 Deals  ·  0 CHF  ·  über MiT CH: 6,862,149 CHF</v>
      </c>
      <c r="H8" s="292"/>
    </row>
    <row r="9" customFormat="false" ht="61.5" hidden="false" customHeight="true" outlineLevel="0" collapsed="false">
      <c r="B9" s="290" t="s">
        <v>474</v>
      </c>
      <c r="C9" s="291" t="s">
        <v>475</v>
      </c>
      <c r="D9" s="291"/>
      <c r="E9" s="291"/>
      <c r="F9" s="291"/>
      <c r="G9" s="292" t="str">
        <f aca="false">"WON brutto: "&amp;TEXT(SUMIFS('MiT Strom Pipeline'!$I$6:$I$860,'MiT Strom Pipeline'!$R$6:$R$860,"WON"),"#,##0")&amp;" CHF  ·  netto: "&amp;TEXT(SUMPRODUCT(--('MiT Strom Pipeline'!$R$6:$R$860="WON"),'MiT Strom Pipeline'!$AZ$6:$AZ$860),"#,##0")&amp;" CHF  ·  davon belegt: "&amp;TEXT(SUMPRODUCT('MiT Strom Pipeline'!$AT$6:$AT$860,'MiT Strom Pipeline'!$AL$6:$AL$860),"#,##0")&amp;" CHF"</f>
        <v>WON brutto: 1,428,553 CHF  ·  netto: 1,321,511 CHF  ·  davon belegt: 0 CHF</v>
      </c>
      <c r="H9" s="292"/>
    </row>
    <row r="10" customFormat="false" ht="61.5" hidden="false" customHeight="true" outlineLevel="0" collapsed="false">
      <c r="B10" s="290" t="s">
        <v>476</v>
      </c>
      <c r="C10" s="291" t="s">
        <v>477</v>
      </c>
      <c r="D10" s="291"/>
      <c r="E10" s="291"/>
      <c r="F10" s="291"/>
      <c r="G10" s="292" t="str">
        <f aca="false">"Brutto: "&amp;TEXT(SUMPRODUCT('MiT Strom Pipeline'!$AP$6:$AP$860,'MiT Strom Pipeline'!$AL$6:$AL$860),"#,##0")&amp;" CHF  ·  bereinigt: "&amp;TEXT(SUMPRODUCT('MiT Strom Pipeline'!$AP$6:$AP$860,'MiT Strom Pipeline'!$AU$6:$AU$860,'MiT Strom Pipeline'!$AL$6:$AL$860),"#,##0")&amp;" CHF  ·  Zeilen mit Mehrfachkunde: "&amp;SUMPRODUCT('MiT Strom Pipeline'!$AP$6:$AP$860,'MiT Strom Pipeline'!$AV$6:$AV$860)</f>
        <v>Brutto: 6,862,149 CHF  ·  bereinigt: 6,862,149 CHF  ·  Zeilen mit Mehrfachkunde: 17</v>
      </c>
      <c r="H10" s="292"/>
    </row>
    <row r="11" customFormat="false" ht="61.5" hidden="false" customHeight="true" outlineLevel="0" collapsed="false">
      <c r="B11" s="290" t="s">
        <v>478</v>
      </c>
      <c r="C11" s="291" t="s">
        <v>479</v>
      </c>
      <c r="D11" s="291"/>
      <c r="E11" s="291"/>
      <c r="F11" s="291"/>
      <c r="G11" s="292" t="str">
        <f aca="false">"Offerten mit Offert-Nr.: "&amp;SUMPRODUCT(--(('MiT Strom Pipeline'!$R$6:$R$860="offered")+('MiT Strom Pipeline'!$R$6:$R$860="to be offered")&gt;0),--('MiT Strom Pipeline'!$AE$6:$AE$860&lt;&gt;""))&amp;" von "&amp;SUMPRODUCT(--(('MiT Strom Pipeline'!$R$6:$R$860="offered")+('MiT Strom Pipeline'!$R$6:$R$860="to be offered")&gt;0))&amp;"  ·  Aufträge mit PO-Nr. und Datum: "&amp;SUMPRODUCT('MiT Strom Pipeline'!$AT$6:$AT$860)&amp;" von "&amp;COUNTIF('MiT Strom Pipeline'!$R$6:$R$860,"WON")</f>
        <v>Offerten mit Offert-Nr.: 0 von 29  ·  Aufträge mit PO-Nr. und Datum: 0 von 12</v>
      </c>
      <c r="H11" s="292"/>
    </row>
    <row r="12" customFormat="false" ht="61.5" hidden="false" customHeight="true" outlineLevel="0" collapsed="false">
      <c r="B12" s="290" t="s">
        <v>480</v>
      </c>
      <c r="C12" s="291" t="s">
        <v>481</v>
      </c>
      <c r="D12" s="291"/>
      <c r="E12" s="291"/>
      <c r="F12" s="291"/>
      <c r="G12" s="292" t="str">
        <f aca="false">"Noch ausserhalb der Skala: "&amp;SUMPRODUCT('MiT Strom Pipeline'!$AP$6:$AP$860,--('MiT Strom Pipeline'!$AQ$6:$AQ$860=0))&amp;"  ·  umgeschlüsselt: "&amp;SUMPRODUCT(--('MiT Strom Pipeline'!$B$6:$B$860&lt;&gt;""),--('MiT Strom Pipeline'!$AI$6:$AI$860&lt;&gt;""),--('MiT Strom Pipeline'!$AI$6:$AI$860&lt;&gt;'MiT Strom Pipeline'!$S$6:$S$860))&amp;"  ·  davon mit Gewichtsänderung: "&amp;SUMPRODUCT(--('MiT Strom Pipeline'!$B$6:$B$860&lt;&gt;""),--(ROUND('MiT Strom Pipeline'!$AI$6:$AI$860,6)=0.5))&amp;"  ·  gewichtete Pipeline: "&amp;TEXT('⚖️ Wahrscheinlichkeit'!$G$20,"#,##0")&amp;" CHF"</f>
        <v>Noch ausserhalb der Skala: 0  ·  umgeschlüsselt: 30  ·  davon mit Gewichtsänderung: 22  ·  gewichtete Pipeline: 65,622 CHF</v>
      </c>
      <c r="H12" s="292"/>
    </row>
    <row r="13" customFormat="false" ht="61.5" hidden="false" customHeight="true" outlineLevel="0" collapsed="false">
      <c r="B13" s="290" t="s">
        <v>482</v>
      </c>
      <c r="C13" s="291" t="s">
        <v>483</v>
      </c>
      <c r="D13" s="291"/>
      <c r="E13" s="291"/>
      <c r="F13" s="291"/>
      <c r="G13" s="292" t="str">
        <f aca="false">"Als WON mit Abrufbereitschaft (muss 0 sein): "&amp;SUMPRODUCT(--('MiT Strom Pipeline'!$R$6:$R$860="WON"),--('MiT Strom Pipeline'!$AB$6:$AB$860="Abrufbereitschaft"))&amp;"  ·  Vertragsart noch offen: "&amp;SUMPRODUCT('MiT Strom Pipeline'!$AP$6:$AP$860,--('MiT Strom Pipeline'!$AB$6:$AB$860=""))</f>
        <v>Als WON mit Abrufbereitschaft (muss 0 sein): 0  ·  Vertragsart noch offen: 46</v>
      </c>
      <c r="H13" s="292"/>
    </row>
    <row r="15" customFormat="false" ht="21.75" hidden="false" customHeight="true" outlineLevel="0" collapsed="false">
      <c r="A15" s="289" t="s">
        <v>484</v>
      </c>
      <c r="B15" s="289"/>
      <c r="C15" s="289"/>
      <c r="D15" s="289"/>
      <c r="E15" s="289"/>
      <c r="F15" s="289"/>
      <c r="G15" s="289"/>
      <c r="H15" s="289"/>
    </row>
    <row r="16" customFormat="false" ht="15" hidden="false" customHeight="true" outlineLevel="0" collapsed="false">
      <c r="B16" s="149" t="s">
        <v>485</v>
      </c>
      <c r="C16" s="149" t="s">
        <v>15</v>
      </c>
      <c r="D16" s="149" t="s">
        <v>16</v>
      </c>
      <c r="E16" s="149"/>
      <c r="F16" s="149"/>
      <c r="G16" s="149" t="s">
        <v>14</v>
      </c>
      <c r="H16" s="149"/>
    </row>
    <row r="17" customFormat="false" ht="25.5" hidden="false" customHeight="true" outlineLevel="0" collapsed="false">
      <c r="B17" s="293" t="s">
        <v>486</v>
      </c>
      <c r="C17" s="294" t="n">
        <f aca="false">SUMPRODUCT(--('MiT Strom Pipeline'!$R$6:$R$860="WON"),--('MiT Strom Pipeline'!$AS$6:$AS$860=0))</f>
        <v>12</v>
      </c>
      <c r="D17" s="295" t="n">
        <f aca="false">SUMPRODUCT(--('MiT Strom Pipeline'!$R$6:$R$860="WON"),--('MiT Strom Pipeline'!$AS$6:$AS$860=0),'MiT Strom Pipeline'!$AL$6:$AL$860)</f>
        <v>1428553.13</v>
      </c>
      <c r="E17" s="295"/>
      <c r="F17" s="295"/>
      <c r="G17" s="296" t="str">
        <f aca="false">IF(C17=0,"✔ erledigt","⚠ offen")</f>
        <v>⚠ offen</v>
      </c>
      <c r="H17" s="296"/>
    </row>
    <row r="18" customFormat="false" ht="21.75" hidden="false" customHeight="true" outlineLevel="0" collapsed="false">
      <c r="B18" s="293" t="s">
        <v>487</v>
      </c>
      <c r="C18" s="294" t="n">
        <f aca="false">SUMPRODUCT(--('MiT Strom Pipeline'!$R$6:$R$860="WON"),--('MiT Strom Pipeline'!$AR$6:$AR$860=0))</f>
        <v>2</v>
      </c>
      <c r="D18" s="295" t="n">
        <f aca="false">SUMPRODUCT(--('MiT Strom Pipeline'!$R$6:$R$860="WON"),--('MiT Strom Pipeline'!$AR$6:$AR$860=0),'MiT Strom Pipeline'!$AL$6:$AL$860)</f>
        <v>10000</v>
      </c>
      <c r="E18" s="295"/>
      <c r="F18" s="295"/>
      <c r="G18" s="296" t="str">
        <f aca="false">IF(C18=0,"✔ erledigt","⚠ offen")</f>
        <v>⚠ offen</v>
      </c>
      <c r="H18" s="296"/>
    </row>
    <row r="19" customFormat="false" ht="21.75" hidden="false" customHeight="true" outlineLevel="0" collapsed="false">
      <c r="B19" s="293" t="s">
        <v>488</v>
      </c>
      <c r="C19" s="294" t="n">
        <f aca="false">SUMPRODUCT('MiT Strom Pipeline'!$AP$6:$AP$860,--('MiT Strom Pipeline'!$AY$6:$AY$860=0))</f>
        <v>46</v>
      </c>
      <c r="D19" s="295" t="n">
        <f aca="false">SUMPRODUCT('MiT Strom Pipeline'!$AP$6:$AP$860,--('MiT Strom Pipeline'!$AY$6:$AY$860=0),'MiT Strom Pipeline'!$AL$6:$AL$860)</f>
        <v>6862149.23</v>
      </c>
      <c r="E19" s="295"/>
      <c r="F19" s="295"/>
      <c r="G19" s="296" t="str">
        <f aca="false">IF(C19=0,"✔ erledigt","⚠ offen")</f>
        <v>⚠ offen</v>
      </c>
      <c r="H19" s="296"/>
    </row>
    <row r="20" customFormat="false" ht="21.75" hidden="false" customHeight="true" outlineLevel="0" collapsed="false">
      <c r="B20" s="293" t="s">
        <v>489</v>
      </c>
      <c r="C20" s="294" t="n">
        <f aca="false">SUMPRODUCT(--('MiT Strom Pipeline'!$R$6:$R$860="WON"),--('MiT Strom Pipeline'!$AY$6:$AY$860=0))</f>
        <v>12</v>
      </c>
      <c r="D20" s="295" t="n">
        <f aca="false">SUMPRODUCT(--('MiT Strom Pipeline'!$R$6:$R$860="WON"),--('MiT Strom Pipeline'!$AY$6:$AY$860=0),'MiT Strom Pipeline'!$AL$6:$AL$860)</f>
        <v>1428553.13</v>
      </c>
      <c r="E20" s="295"/>
      <c r="F20" s="295"/>
      <c r="G20" s="296" t="str">
        <f aca="false">IF(C20=0,"✔ erledigt","⚠ offen")</f>
        <v>⚠ offen</v>
      </c>
      <c r="H20" s="296"/>
    </row>
    <row r="21" customFormat="false" ht="25.5" hidden="false" customHeight="true" outlineLevel="0" collapsed="false">
      <c r="B21" s="293" t="s">
        <v>490</v>
      </c>
      <c r="C21" s="294" t="n">
        <f aca="false">SUMPRODUCT(--('MiT Strom Pipeline'!$R$6:$R$860="WON"),--('MiT Strom Pipeline'!$AB$6:$AB$860=""))</f>
        <v>12</v>
      </c>
      <c r="D21" s="295" t="n">
        <f aca="false">SUMPRODUCT(--('MiT Strom Pipeline'!$R$6:$R$860="WON"),--('MiT Strom Pipeline'!$AB$6:$AB$860=""),'MiT Strom Pipeline'!$AL$6:$AL$860)</f>
        <v>1428553.13</v>
      </c>
      <c r="E21" s="295"/>
      <c r="F21" s="295"/>
      <c r="G21" s="296" t="str">
        <f aca="false">IF(C21=0,"✔ erledigt","⚠ offen")</f>
        <v>⚠ offen</v>
      </c>
      <c r="H21" s="296"/>
    </row>
    <row r="22" customFormat="false" ht="25.5" hidden="false" customHeight="true" outlineLevel="0" collapsed="false">
      <c r="B22" s="293" t="s">
        <v>491</v>
      </c>
      <c r="C22" s="294" t="n">
        <f aca="false">SUMPRODUCT('MiT Strom Pipeline'!$AP$6:$AP$860,'MiT Strom Pipeline'!$AV$6:$AV$860,--('MiT Strom Pipeline'!$AD$6:$AD$860=""))</f>
        <v>17</v>
      </c>
      <c r="D22" s="295" t="n">
        <f aca="false">SUMPRODUCT('MiT Strom Pipeline'!$AP$6:$AP$860,'MiT Strom Pipeline'!$AV$6:$AV$860,--('MiT Strom Pipeline'!$AD$6:$AD$860=""),'MiT Strom Pipeline'!$AL$6:$AL$860)</f>
        <v>3368728.31</v>
      </c>
      <c r="E22" s="295"/>
      <c r="F22" s="295"/>
      <c r="G22" s="296" t="str">
        <f aca="false">IF(C22=0,"✔ erledigt","⚠ offen")</f>
        <v>⚠ offen</v>
      </c>
      <c r="H22" s="296"/>
    </row>
    <row r="23" customFormat="false" ht="24" hidden="false" customHeight="true" outlineLevel="0" collapsed="false">
      <c r="B23" s="297" t="s">
        <v>492</v>
      </c>
      <c r="C23" s="298" t="n">
        <f aca="false">SUM(C17:C22)</f>
        <v>101</v>
      </c>
      <c r="D23" s="299" t="str">
        <f aca="false">IF(C23=0,"Alle Pflichtangaben vollständig — Reporting ist belastbar.","Noch "&amp;C23&amp;" offene Einträge. Bis dahin gilt: WON-Volumen nur als «gemeldet», nicht als «belegt» lesen.")</f>
        <v>Noch 101 offene Einträge. Bis dahin gilt: WON-Volumen nur als «gemeldet», nicht als «belegt» lesen.</v>
      </c>
      <c r="E23" s="299"/>
      <c r="F23" s="299"/>
      <c r="G23" s="299"/>
      <c r="H23" s="299"/>
    </row>
    <row r="25" customFormat="false" ht="21.75" hidden="false" customHeight="true" outlineLevel="0" collapsed="false">
      <c r="A25" s="289" t="s">
        <v>493</v>
      </c>
      <c r="B25" s="289"/>
      <c r="C25" s="289"/>
      <c r="D25" s="289"/>
      <c r="E25" s="289"/>
      <c r="F25" s="289"/>
      <c r="G25" s="289"/>
      <c r="H25" s="289"/>
    </row>
    <row r="26" customFormat="false" ht="15" hidden="false" customHeight="true" outlineLevel="0" collapsed="false">
      <c r="B26" s="149" t="s">
        <v>494</v>
      </c>
      <c r="C26" s="149" t="s">
        <v>495</v>
      </c>
      <c r="D26" s="149"/>
      <c r="E26" s="149"/>
      <c r="F26" s="149"/>
      <c r="G26" s="149" t="s">
        <v>496</v>
      </c>
      <c r="H26" s="149"/>
    </row>
    <row r="27" customFormat="false" ht="55.5" hidden="false" customHeight="true" outlineLevel="0" collapsed="false">
      <c r="B27" s="300" t="s">
        <v>497</v>
      </c>
      <c r="C27" s="301" t="s">
        <v>498</v>
      </c>
      <c r="D27" s="301"/>
      <c r="E27" s="301"/>
      <c r="F27" s="301"/>
      <c r="G27" s="292" t="str">
        <f aca="false">"Summe beider Zeilen: "&amp;TEXT(SUMIF('MiT Strom Pipeline'!$B$6:$B$860,"DPR Heat Loadbank",'MiT Strom Pipeline'!$I$6:$I$860)+SUMIF('MiT Strom Pipeline'!$B$6:$B$860,"DPR Generator Loadbank Test",'MiT Strom Pipeline'!$I$6:$I$860),"#,##0")&amp;" CHF  ·  "&amp;IF(AND(IFERROR(INDEX('MiT Strom Pipeline'!$AC$6:$AC$860,MATCH("DPR Heat Loadbank",'MiT Strom Pipeline'!$B$6:$B$860,0)),"")&lt;&gt;"",IFERROR(INDEX('MiT Strom Pipeline'!$AC$6:$AC$860,MATCH("DPR Heat Loadbank",'MiT Strom Pipeline'!$B$6:$B$860,0)),"")=IFERROR(INDEX('MiT Strom Pipeline'!$AC$6:$AC$860,MATCH("DPR Generator Loadbank Test",'MiT Strom Pipeline'!$B$6:$B$860,0)),"")),"✔ als ein Entscheid zugeordnet","⚠ Deal-Gruppe noch nicht gesetzt")</f>
        <v>Summe beider Zeilen: 665,679 CHF  ·  ⚠ Deal-Gruppe noch nicht gesetzt</v>
      </c>
      <c r="H27" s="292"/>
    </row>
    <row r="28" customFormat="false" ht="55.5" hidden="false" customHeight="true" outlineLevel="0" collapsed="false">
      <c r="B28" s="300" t="s">
        <v>499</v>
      </c>
      <c r="C28" s="301" t="s">
        <v>500</v>
      </c>
      <c r="D28" s="301"/>
      <c r="E28" s="301"/>
      <c r="F28" s="301"/>
      <c r="G28" s="292" t="str">
        <f aca="false">"Volumen: "&amp;TEXT(SUMIF('MiT Strom Pipeline'!$B$6:$B$860,"Murg Flums Energie",'MiT Strom Pipeline'!$I$6:$I$860),"#,##0")&amp;" CHF  ·  Vertragsart: "&amp;IF(IFERROR(INDEX('MiT Strom Pipeline'!$AB$6:$AB$860,MATCH("Murg Flums Energie",'MiT Strom Pipeline'!$B$6:$B$860,0)),"")="","⚠ noch nicht gesetzt",IFERROR(INDEX('MiT Strom Pipeline'!$AB$6:$AB$860,MATCH("Murg Flums Energie",'MiT Strom Pipeline'!$B$6:$B$860,0)),""))</f>
        <v>Volumen: 96,659 CHF  ·  Vertragsart: ⚠ noch nicht gesetzt</v>
      </c>
      <c r="H28" s="292"/>
    </row>
    <row r="29" customFormat="false" ht="15" hidden="false" customHeight="true" outlineLevel="0" collapsed="false">
      <c r="B29" s="148" t="s">
        <v>501</v>
      </c>
      <c r="C29" s="148" t="s">
        <v>502</v>
      </c>
      <c r="D29" s="148" t="s">
        <v>503</v>
      </c>
      <c r="E29" s="148"/>
      <c r="F29" s="148" t="s">
        <v>504</v>
      </c>
      <c r="G29" s="148" t="s">
        <v>505</v>
      </c>
      <c r="H29" s="148"/>
    </row>
    <row r="30" customFormat="false" ht="15" hidden="false" customHeight="true" outlineLevel="0" collapsed="false">
      <c r="B30" s="302" t="s">
        <v>440</v>
      </c>
      <c r="C30" s="303" t="n">
        <f aca="false">COUNTIF('MiT Strom Pipeline'!$B$6:$B$860,"(Megger) Power Diagnostix Service GmbH")</f>
        <v>2</v>
      </c>
      <c r="D30" s="304" t="n">
        <f aca="false">SUMIF('MiT Strom Pipeline'!$B$6:$B$860,"(Megger) Power Diagnostix Service GmbH",'MiT Strom Pipeline'!$I$6:$I$860)</f>
        <v>7924.65</v>
      </c>
      <c r="E30" s="304"/>
      <c r="F30" s="201" t="n">
        <f aca="false">SUMPRODUCT(--('MiT Strom Pipeline'!$B$6:$B$860="(Megger) Power Diagnostix Service GmbH"),'MiT Strom Pipeline'!$AU$6:$AU$860,'MiT Strom Pipeline'!$AL$6:$AL$860)</f>
        <v>7924.65</v>
      </c>
      <c r="G30" s="296" t="str">
        <f aca="false">IF(SUMPRODUCT(--('MiT Strom Pipeline'!$B$6:$B$860="(Megger) Power Diagnostix Service GmbH"),--('MiT Strom Pipeline'!$AC$6:$AC$860&lt;&gt;""))=COUNTIF('MiT Strom Pipeline'!$B$6:$B$860,"(Megger) Power Diagnostix Service GmbH"),"✔ zugeordnet","⚠ offen")</f>
        <v>⚠ offen</v>
      </c>
      <c r="H30" s="296"/>
    </row>
    <row r="31" customFormat="false" ht="15" hidden="false" customHeight="true" outlineLevel="0" collapsed="false">
      <c r="B31" s="302" t="s">
        <v>419</v>
      </c>
      <c r="C31" s="303" t="n">
        <f aca="false">COUNTIF('MiT Strom Pipeline'!$B$6:$B$860,"Equans Switzerland Kloten")</f>
        <v>2</v>
      </c>
      <c r="D31" s="304" t="n">
        <f aca="false">SUMIF('MiT Strom Pipeline'!$B$6:$B$860,"Equans Switzerland Kloten",'MiT Strom Pipeline'!$I$6:$I$860)</f>
        <v>255314.04</v>
      </c>
      <c r="E31" s="304"/>
      <c r="F31" s="201" t="n">
        <f aca="false">SUMPRODUCT(--('MiT Strom Pipeline'!$B$6:$B$860="Equans Switzerland Kloten"),'MiT Strom Pipeline'!$AU$6:$AU$860,'MiT Strom Pipeline'!$AL$6:$AL$860)</f>
        <v>255314.04</v>
      </c>
      <c r="G31" s="296" t="str">
        <f aca="false">IF(SUMPRODUCT(--('MiT Strom Pipeline'!$B$6:$B$860="Equans Switzerland Kloten"),--('MiT Strom Pipeline'!$AC$6:$AC$860&lt;&gt;""))=COUNTIF('MiT Strom Pipeline'!$B$6:$B$860,"Equans Switzerland Kloten"),"✔ zugeordnet","⚠ offen")</f>
        <v>⚠ offen</v>
      </c>
      <c r="H31" s="296"/>
    </row>
    <row r="32" customFormat="false" ht="15" hidden="false" customHeight="true" outlineLevel="0" collapsed="false">
      <c r="B32" s="302" t="s">
        <v>249</v>
      </c>
      <c r="C32" s="303" t="n">
        <f aca="false">COUNTIF('MiT Strom Pipeline'!$B$6:$B$860,"Oerlikon Metco Wohlen")</f>
        <v>3</v>
      </c>
      <c r="D32" s="304" t="n">
        <f aca="false">SUMIF('MiT Strom Pipeline'!$B$6:$B$860,"Oerlikon Metco Wohlen",'MiT Strom Pipeline'!$I$6:$I$860)</f>
        <v>281600.23</v>
      </c>
      <c r="E32" s="304"/>
      <c r="F32" s="201" t="n">
        <f aca="false">SUMPRODUCT(--('MiT Strom Pipeline'!$B$6:$B$860="Oerlikon Metco Wohlen"),'MiT Strom Pipeline'!$AU$6:$AU$860,'MiT Strom Pipeline'!$AL$6:$AL$860)</f>
        <v>281600.23</v>
      </c>
      <c r="G32" s="296" t="str">
        <f aca="false">IF(SUMPRODUCT(--('MiT Strom Pipeline'!$B$6:$B$860="Oerlikon Metco Wohlen"),--('MiT Strom Pipeline'!$AC$6:$AC$860&lt;&gt;""))=COUNTIF('MiT Strom Pipeline'!$B$6:$B$860,"Oerlikon Metco Wohlen"),"✔ zugeordnet","⚠ offen")</f>
        <v>⚠ offen</v>
      </c>
      <c r="H32" s="296"/>
    </row>
    <row r="33" customFormat="false" ht="15" hidden="false" customHeight="true" outlineLevel="0" collapsed="false">
      <c r="B33" s="302" t="s">
        <v>292</v>
      </c>
      <c r="C33" s="303" t="n">
        <f aca="false">COUNTIF('MiT Strom Pipeline'!$B$6:$B$860,"Reto EKAG")</f>
        <v>2</v>
      </c>
      <c r="D33" s="304" t="n">
        <f aca="false">SUMIF('MiT Strom Pipeline'!$B$6:$B$860,"Reto EKAG",'MiT Strom Pipeline'!$I$6:$I$860)</f>
        <v>72913.72</v>
      </c>
      <c r="E33" s="304"/>
      <c r="F33" s="201" t="n">
        <f aca="false">SUMPRODUCT(--('MiT Strom Pipeline'!$B$6:$B$860="Reto EKAG"),'MiT Strom Pipeline'!$AU$6:$AU$860,'MiT Strom Pipeline'!$AL$6:$AL$860)</f>
        <v>72913.72</v>
      </c>
      <c r="G33" s="296" t="str">
        <f aca="false">IF(SUMPRODUCT(--('MiT Strom Pipeline'!$B$6:$B$860="Reto EKAG"),--('MiT Strom Pipeline'!$AC$6:$AC$860&lt;&gt;""))=COUNTIF('MiT Strom Pipeline'!$B$6:$B$860,"Reto EKAG"),"✔ zugeordnet","⚠ offen")</f>
        <v>⚠ offen</v>
      </c>
      <c r="H33" s="296"/>
    </row>
    <row r="34" customFormat="false" ht="15" hidden="false" customHeight="true" outlineLevel="0" collapsed="false">
      <c r="B34" s="302" t="s">
        <v>371</v>
      </c>
      <c r="C34" s="303" t="n">
        <f aca="false">COUNTIF('MiT Strom Pipeline'!$B$6:$B$860,"Rimus &amp; Sstrada")</f>
        <v>3</v>
      </c>
      <c r="D34" s="304" t="n">
        <f aca="false">SUMIF('MiT Strom Pipeline'!$B$6:$B$860,"Rimus &amp; Sstrada",'MiT Strom Pipeline'!$I$6:$I$860)</f>
        <v>2624715</v>
      </c>
      <c r="E34" s="304"/>
      <c r="F34" s="201" t="n">
        <f aca="false">SUMPRODUCT(--('MiT Strom Pipeline'!$B$6:$B$860="Rimus &amp; Sstrada"),'MiT Strom Pipeline'!$AU$6:$AU$860,'MiT Strom Pipeline'!$AL$6:$AL$860)</f>
        <v>2624715</v>
      </c>
      <c r="G34" s="296" t="str">
        <f aca="false">IF(SUMPRODUCT(--('MiT Strom Pipeline'!$B$6:$B$860="Rimus &amp; Sstrada"),--('MiT Strom Pipeline'!$AC$6:$AC$860&lt;&gt;""))=COUNTIF('MiT Strom Pipeline'!$B$6:$B$860,"Rimus &amp; Sstrada"),"✔ zugeordnet","⚠ offen")</f>
        <v>⚠ offen</v>
      </c>
      <c r="H34" s="296"/>
    </row>
    <row r="35" customFormat="false" ht="15" hidden="false" customHeight="true" outlineLevel="0" collapsed="false">
      <c r="B35" s="302" t="s">
        <v>260</v>
      </c>
      <c r="C35" s="303" t="n">
        <f aca="false">COUNTIF('MiT Strom Pipeline'!$B$6:$B$860,"Siemens")</f>
        <v>2</v>
      </c>
      <c r="D35" s="304" t="n">
        <f aca="false">SUMIF('MiT Strom Pipeline'!$B$6:$B$860,"Siemens",'MiT Strom Pipeline'!$I$6:$I$860)</f>
        <v>50491.67</v>
      </c>
      <c r="E35" s="304"/>
      <c r="F35" s="201" t="n">
        <f aca="false">SUMPRODUCT(--('MiT Strom Pipeline'!$B$6:$B$860="Siemens"),'MiT Strom Pipeline'!$AU$6:$AU$860,'MiT Strom Pipeline'!$AL$6:$AL$860)</f>
        <v>50491.67</v>
      </c>
      <c r="G35" s="296" t="str">
        <f aca="false">IF(SUMPRODUCT(--('MiT Strom Pipeline'!$B$6:$B$860="Siemens"),--('MiT Strom Pipeline'!$AC$6:$AC$860&lt;&gt;""))=COUNTIF('MiT Strom Pipeline'!$B$6:$B$860,"Siemens"),"✔ zugeordnet","⚠ offen")</f>
        <v>⚠ offen</v>
      </c>
      <c r="H35" s="296"/>
    </row>
    <row r="36" customFormat="false" ht="15" hidden="false" customHeight="true" outlineLevel="0" collapsed="false">
      <c r="B36" s="302" t="s">
        <v>358</v>
      </c>
      <c r="C36" s="303" t="n">
        <f aca="false">COUNTIF('MiT Strom Pipeline'!$B$6:$B$860,"Trafag AG")</f>
        <v>3</v>
      </c>
      <c r="D36" s="304" t="n">
        <f aca="false">SUMIF('MiT Strom Pipeline'!$B$6:$B$860,"Trafag AG",'MiT Strom Pipeline'!$I$6:$I$860)</f>
        <v>75769</v>
      </c>
      <c r="E36" s="304"/>
      <c r="F36" s="201" t="n">
        <f aca="false">SUMPRODUCT(--('MiT Strom Pipeline'!$B$6:$B$860="Trafag AG"),'MiT Strom Pipeline'!$AU$6:$AU$860,'MiT Strom Pipeline'!$AL$6:$AL$860)</f>
        <v>75769</v>
      </c>
      <c r="G36" s="296" t="str">
        <f aca="false">IF(SUMPRODUCT(--('MiT Strom Pipeline'!$B$6:$B$860="Trafag AG"),--('MiT Strom Pipeline'!$AC$6:$AC$860&lt;&gt;""))=COUNTIF('MiT Strom Pipeline'!$B$6:$B$860,"Trafag AG"),"✔ zugeordnet","⚠ offen")</f>
        <v>⚠ offen</v>
      </c>
      <c r="H36" s="296"/>
    </row>
    <row r="39" customFormat="false" ht="21.75" hidden="false" customHeight="true" outlineLevel="0" collapsed="false">
      <c r="A39" s="289" t="s">
        <v>506</v>
      </c>
      <c r="B39" s="289"/>
      <c r="C39" s="289"/>
      <c r="D39" s="289"/>
      <c r="E39" s="289"/>
      <c r="F39" s="289"/>
      <c r="G39" s="289"/>
      <c r="H39" s="289"/>
    </row>
    <row r="40" customFormat="false" ht="15" hidden="false" customHeight="true" outlineLevel="0" collapsed="false">
      <c r="B40" s="148" t="s">
        <v>507</v>
      </c>
      <c r="C40" s="148" t="s">
        <v>133</v>
      </c>
      <c r="D40" s="148" t="s">
        <v>508</v>
      </c>
      <c r="E40" s="148"/>
      <c r="F40" s="148"/>
      <c r="G40" s="148"/>
      <c r="H40" s="148"/>
    </row>
    <row r="41" customFormat="false" ht="39.75" hidden="false" customHeight="true" outlineLevel="0" collapsed="false">
      <c r="B41" s="305" t="s">
        <v>509</v>
      </c>
      <c r="C41" s="306" t="s">
        <v>510</v>
      </c>
      <c r="D41" s="307" t="s">
        <v>511</v>
      </c>
      <c r="E41" s="307"/>
      <c r="F41" s="307"/>
      <c r="G41" s="307"/>
      <c r="H41" s="307"/>
    </row>
    <row r="42" customFormat="false" ht="39.75" hidden="false" customHeight="true" outlineLevel="0" collapsed="false">
      <c r="B42" s="305" t="s">
        <v>512</v>
      </c>
      <c r="C42" s="308" t="n">
        <v>0.081</v>
      </c>
      <c r="D42" s="307" t="s">
        <v>513</v>
      </c>
      <c r="E42" s="307"/>
      <c r="F42" s="307"/>
      <c r="G42" s="307"/>
      <c r="H42" s="307"/>
    </row>
    <row r="43" customFormat="false" ht="39.75" hidden="false" customHeight="true" outlineLevel="0" collapsed="false">
      <c r="B43" s="305" t="s">
        <v>514</v>
      </c>
      <c r="C43" s="308" t="n">
        <v>0.005</v>
      </c>
      <c r="D43" s="307" t="s">
        <v>515</v>
      </c>
      <c r="E43" s="307"/>
      <c r="F43" s="307"/>
      <c r="G43" s="307"/>
      <c r="H43" s="307"/>
    </row>
    <row r="44" customFormat="false" ht="15" hidden="false" customHeight="true" outlineLevel="0" collapsed="false">
      <c r="B44" s="305" t="s">
        <v>516</v>
      </c>
      <c r="C44" s="309" t="n">
        <f aca="false">IF($C$41="brutto inkl. MwSt",1+$C$42,1)</f>
        <v>1.081</v>
      </c>
      <c r="D44" s="307" t="s">
        <v>517</v>
      </c>
      <c r="E44" s="307"/>
      <c r="F44" s="307"/>
      <c r="G44" s="307"/>
      <c r="H44" s="307"/>
    </row>
    <row r="46" customFormat="false" ht="21.75" hidden="false" customHeight="true" outlineLevel="0" collapsed="false">
      <c r="A46" s="289" t="s">
        <v>518</v>
      </c>
      <c r="B46" s="289"/>
      <c r="C46" s="289"/>
      <c r="D46" s="289"/>
      <c r="E46" s="289"/>
      <c r="F46" s="289"/>
      <c r="G46" s="289"/>
      <c r="H46" s="289"/>
    </row>
    <row r="47" customFormat="false" ht="31.5" hidden="false" customHeight="true" outlineLevel="0" collapsed="false">
      <c r="B47" s="290" t="s">
        <v>519</v>
      </c>
      <c r="C47" s="291" t="s">
        <v>520</v>
      </c>
      <c r="D47" s="291"/>
      <c r="E47" s="291"/>
      <c r="F47" s="291"/>
      <c r="G47" s="291"/>
      <c r="H47" s="291"/>
    </row>
    <row r="48" customFormat="false" ht="31.5" hidden="false" customHeight="true" outlineLevel="0" collapsed="false">
      <c r="B48" s="290" t="s">
        <v>521</v>
      </c>
      <c r="C48" s="291" t="s">
        <v>522</v>
      </c>
      <c r="D48" s="291"/>
      <c r="E48" s="291"/>
      <c r="F48" s="291"/>
      <c r="G48" s="291"/>
      <c r="H48" s="291"/>
    </row>
    <row r="49" customFormat="false" ht="31.5" hidden="false" customHeight="true" outlineLevel="0" collapsed="false">
      <c r="B49" s="290" t="s">
        <v>523</v>
      </c>
      <c r="C49" s="291" t="s">
        <v>524</v>
      </c>
      <c r="D49" s="291"/>
      <c r="E49" s="291"/>
      <c r="F49" s="291"/>
      <c r="G49" s="291"/>
      <c r="H49" s="291"/>
    </row>
    <row r="50" customFormat="false" ht="31.5" hidden="false" customHeight="true" outlineLevel="0" collapsed="false">
      <c r="B50" s="290" t="s">
        <v>525</v>
      </c>
      <c r="C50" s="291" t="s">
        <v>526</v>
      </c>
      <c r="D50" s="291"/>
      <c r="E50" s="291"/>
      <c r="F50" s="291"/>
      <c r="G50" s="291"/>
      <c r="H50" s="291"/>
    </row>
    <row r="51" customFormat="false" ht="31.5" hidden="false" customHeight="true" outlineLevel="0" collapsed="false">
      <c r="B51" s="290" t="s">
        <v>527</v>
      </c>
      <c r="C51" s="291" t="s">
        <v>528</v>
      </c>
      <c r="D51" s="291"/>
      <c r="E51" s="291"/>
      <c r="F51" s="291"/>
      <c r="G51" s="291"/>
      <c r="H51" s="291"/>
    </row>
    <row r="52" customFormat="false" ht="31.5" hidden="false" customHeight="true" outlineLevel="0" collapsed="false">
      <c r="B52" s="290" t="s">
        <v>529</v>
      </c>
      <c r="C52" s="291" t="s">
        <v>530</v>
      </c>
      <c r="D52" s="291"/>
      <c r="E52" s="291"/>
      <c r="F52" s="291"/>
      <c r="G52" s="291"/>
      <c r="H52" s="291"/>
    </row>
    <row r="54" customFormat="false" ht="21.75" hidden="false" customHeight="true" outlineLevel="0" collapsed="false">
      <c r="A54" s="289" t="s">
        <v>531</v>
      </c>
      <c r="B54" s="289"/>
      <c r="C54" s="289"/>
      <c r="D54" s="289"/>
      <c r="E54" s="289"/>
      <c r="F54" s="289"/>
      <c r="G54" s="289"/>
      <c r="H54" s="289"/>
    </row>
    <row r="55" customFormat="false" ht="15" hidden="false" customHeight="true" outlineLevel="0" collapsed="false">
      <c r="B55" s="149" t="s">
        <v>14</v>
      </c>
      <c r="C55" s="149" t="s">
        <v>532</v>
      </c>
      <c r="D55" s="149"/>
      <c r="E55" s="149"/>
      <c r="F55" s="149"/>
      <c r="G55" s="149" t="s">
        <v>533</v>
      </c>
      <c r="H55" s="149"/>
    </row>
    <row r="56" customFormat="false" ht="19.5" hidden="false" customHeight="true" outlineLevel="0" collapsed="false">
      <c r="B56" s="310" t="s">
        <v>244</v>
      </c>
      <c r="C56" s="311" t="s">
        <v>534</v>
      </c>
      <c r="D56" s="311"/>
      <c r="E56" s="311"/>
      <c r="F56" s="311"/>
      <c r="G56" s="312" t="s">
        <v>535</v>
      </c>
      <c r="H56" s="312"/>
    </row>
    <row r="57" customFormat="false" ht="19.5" hidden="false" customHeight="true" outlineLevel="0" collapsed="false">
      <c r="B57" s="305" t="s">
        <v>219</v>
      </c>
      <c r="C57" s="291" t="s">
        <v>536</v>
      </c>
      <c r="D57" s="291"/>
      <c r="E57" s="291"/>
      <c r="F57" s="291"/>
      <c r="G57" s="291" t="s">
        <v>194</v>
      </c>
      <c r="H57" s="291"/>
    </row>
    <row r="58" customFormat="false" ht="19.5" hidden="false" customHeight="true" outlineLevel="0" collapsed="false">
      <c r="B58" s="305" t="s">
        <v>537</v>
      </c>
      <c r="C58" s="291" t="s">
        <v>538</v>
      </c>
      <c r="D58" s="291"/>
      <c r="E58" s="291"/>
      <c r="F58" s="291"/>
      <c r="G58" s="291" t="s">
        <v>107</v>
      </c>
      <c r="H58" s="291"/>
    </row>
    <row r="59" customFormat="false" ht="19.5" hidden="false" customHeight="true" outlineLevel="0" collapsed="false">
      <c r="B59" s="305" t="s">
        <v>235</v>
      </c>
      <c r="C59" s="291" t="s">
        <v>539</v>
      </c>
      <c r="D59" s="291"/>
      <c r="E59" s="291"/>
      <c r="F59" s="291"/>
      <c r="G59" s="291" t="s">
        <v>107</v>
      </c>
      <c r="H59" s="291"/>
    </row>
    <row r="60" customFormat="false" ht="19.5" hidden="false" customHeight="true" outlineLevel="0" collapsed="false">
      <c r="B60" s="305" t="s">
        <v>540</v>
      </c>
      <c r="C60" s="291" t="s">
        <v>541</v>
      </c>
      <c r="D60" s="291"/>
      <c r="E60" s="291"/>
      <c r="F60" s="291"/>
      <c r="G60" s="291" t="s">
        <v>107</v>
      </c>
      <c r="H60" s="291"/>
    </row>
    <row r="61" customFormat="false" ht="19.5" hidden="false" customHeight="true" outlineLevel="0" collapsed="false">
      <c r="B61" s="305" t="s">
        <v>542</v>
      </c>
      <c r="C61" s="291" t="s">
        <v>543</v>
      </c>
      <c r="D61" s="291"/>
      <c r="E61" s="291"/>
      <c r="F61" s="291"/>
      <c r="G61" s="291" t="s">
        <v>107</v>
      </c>
      <c r="H61" s="291"/>
    </row>
    <row r="62" customFormat="false" ht="19.5" hidden="false" customHeight="true" outlineLevel="0" collapsed="false">
      <c r="B62" s="305" t="s">
        <v>227</v>
      </c>
      <c r="C62" s="291" t="s">
        <v>544</v>
      </c>
      <c r="D62" s="291"/>
      <c r="E62" s="291"/>
      <c r="F62" s="291"/>
      <c r="G62" s="291" t="s">
        <v>107</v>
      </c>
      <c r="H62" s="291"/>
    </row>
    <row r="63" customFormat="false" ht="19.5" hidden="false" customHeight="true" outlineLevel="0" collapsed="false">
      <c r="B63" s="313" t="s">
        <v>329</v>
      </c>
      <c r="C63" s="314" t="s">
        <v>545</v>
      </c>
      <c r="D63" s="314"/>
      <c r="E63" s="314"/>
      <c r="F63" s="314"/>
      <c r="G63" s="314" t="s">
        <v>107</v>
      </c>
      <c r="H63" s="314"/>
    </row>
    <row r="64" customFormat="false" ht="19.5" hidden="false" customHeight="true" outlineLevel="0" collapsed="false">
      <c r="B64" s="313" t="s">
        <v>228</v>
      </c>
      <c r="C64" s="314" t="s">
        <v>546</v>
      </c>
      <c r="D64" s="314"/>
      <c r="E64" s="314"/>
      <c r="F64" s="314"/>
      <c r="G64" s="314" t="s">
        <v>107</v>
      </c>
      <c r="H64" s="314"/>
    </row>
    <row r="66" customFormat="false" ht="21.75" hidden="false" customHeight="true" outlineLevel="0" collapsed="false">
      <c r="A66" s="289" t="s">
        <v>547</v>
      </c>
      <c r="B66" s="289"/>
      <c r="C66" s="289"/>
      <c r="D66" s="289"/>
      <c r="E66" s="289"/>
      <c r="F66" s="289"/>
      <c r="G66" s="289"/>
      <c r="H66" s="289"/>
    </row>
    <row r="67" customFormat="false" ht="15" hidden="false" customHeight="true" outlineLevel="0" collapsed="false">
      <c r="B67" s="149" t="s">
        <v>191</v>
      </c>
      <c r="C67" s="149" t="s">
        <v>548</v>
      </c>
      <c r="D67" s="149"/>
      <c r="E67" s="149"/>
      <c r="F67" s="149"/>
      <c r="G67" s="149" t="s">
        <v>549</v>
      </c>
      <c r="H67" s="149"/>
    </row>
    <row r="68" customFormat="false" ht="33.75" hidden="false" customHeight="true" outlineLevel="0" collapsed="false">
      <c r="B68" s="315" t="s">
        <v>550</v>
      </c>
      <c r="C68" s="311" t="s">
        <v>551</v>
      </c>
      <c r="D68" s="311"/>
      <c r="E68" s="311"/>
      <c r="F68" s="311"/>
      <c r="G68" s="312" t="s">
        <v>552</v>
      </c>
      <c r="H68" s="312"/>
    </row>
    <row r="69" customFormat="false" ht="33.75" hidden="false" customHeight="true" outlineLevel="0" collapsed="false">
      <c r="B69" s="315" t="s">
        <v>553</v>
      </c>
      <c r="C69" s="311" t="s">
        <v>554</v>
      </c>
      <c r="D69" s="311"/>
      <c r="E69" s="311"/>
      <c r="F69" s="311"/>
      <c r="G69" s="312" t="s">
        <v>555</v>
      </c>
      <c r="H69" s="312"/>
    </row>
    <row r="70" customFormat="false" ht="33.75" hidden="false" customHeight="true" outlineLevel="0" collapsed="false">
      <c r="B70" s="300" t="s">
        <v>274</v>
      </c>
      <c r="C70" s="301" t="s">
        <v>556</v>
      </c>
      <c r="D70" s="301"/>
      <c r="E70" s="301"/>
      <c r="F70" s="301"/>
      <c r="G70" s="316" t="s">
        <v>557</v>
      </c>
      <c r="H70" s="316"/>
    </row>
    <row r="71" customFormat="false" ht="33.75" hidden="false" customHeight="true" outlineLevel="0" collapsed="false">
      <c r="B71" s="300" t="s">
        <v>558</v>
      </c>
      <c r="C71" s="301" t="s">
        <v>559</v>
      </c>
      <c r="D71" s="301"/>
      <c r="E71" s="301"/>
      <c r="F71" s="301"/>
      <c r="G71" s="316" t="s">
        <v>560</v>
      </c>
      <c r="H71" s="316"/>
    </row>
    <row r="73" customFormat="false" ht="21.75" hidden="false" customHeight="true" outlineLevel="0" collapsed="false">
      <c r="A73" s="289" t="s">
        <v>561</v>
      </c>
      <c r="B73" s="289"/>
      <c r="C73" s="289"/>
      <c r="D73" s="289"/>
      <c r="E73" s="289"/>
      <c r="F73" s="289"/>
      <c r="G73" s="289"/>
      <c r="H73" s="289"/>
    </row>
    <row r="74" customFormat="false" ht="31.5" hidden="false" customHeight="true" outlineLevel="0" collapsed="false">
      <c r="B74" s="290" t="s">
        <v>562</v>
      </c>
      <c r="C74" s="291" t="s">
        <v>563</v>
      </c>
      <c r="D74" s="291"/>
      <c r="E74" s="291"/>
      <c r="F74" s="291"/>
      <c r="G74" s="291"/>
      <c r="H74" s="291"/>
    </row>
    <row r="75" customFormat="false" ht="31.5" hidden="false" customHeight="true" outlineLevel="0" collapsed="false">
      <c r="B75" s="290" t="s">
        <v>564</v>
      </c>
      <c r="C75" s="291" t="s">
        <v>565</v>
      </c>
      <c r="D75" s="291"/>
      <c r="E75" s="291"/>
      <c r="F75" s="291"/>
      <c r="G75" s="291"/>
      <c r="H75" s="291"/>
    </row>
    <row r="76" customFormat="false" ht="31.5" hidden="false" customHeight="true" outlineLevel="0" collapsed="false">
      <c r="B76" s="290" t="s">
        <v>566</v>
      </c>
      <c r="C76" s="291" t="s">
        <v>567</v>
      </c>
      <c r="D76" s="291"/>
      <c r="E76" s="291"/>
      <c r="F76" s="291"/>
      <c r="G76" s="291"/>
      <c r="H76" s="291"/>
    </row>
    <row r="77" customFormat="false" ht="31.5" hidden="false" customHeight="true" outlineLevel="0" collapsed="false">
      <c r="B77" s="290" t="s">
        <v>568</v>
      </c>
      <c r="C77" s="291" t="s">
        <v>569</v>
      </c>
      <c r="D77" s="291"/>
      <c r="E77" s="291"/>
      <c r="F77" s="291"/>
      <c r="G77" s="291"/>
      <c r="H77" s="291"/>
    </row>
  </sheetData>
  <mergeCells count="110">
    <mergeCell ref="A1:H1"/>
    <mergeCell ref="A2:H2"/>
    <mergeCell ref="A4:H4"/>
    <mergeCell ref="C5:F5"/>
    <mergeCell ref="G5:H5"/>
    <mergeCell ref="C6:F6"/>
    <mergeCell ref="G6:H6"/>
    <mergeCell ref="C7:F7"/>
    <mergeCell ref="G7:H7"/>
    <mergeCell ref="C8:F8"/>
    <mergeCell ref="G8:H8"/>
    <mergeCell ref="C9:F9"/>
    <mergeCell ref="G9:H9"/>
    <mergeCell ref="C10:F10"/>
    <mergeCell ref="G10:H10"/>
    <mergeCell ref="C11:F11"/>
    <mergeCell ref="G11:H11"/>
    <mergeCell ref="C12:F12"/>
    <mergeCell ref="G12:H12"/>
    <mergeCell ref="C13:F13"/>
    <mergeCell ref="G13:H13"/>
    <mergeCell ref="A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H23"/>
    <mergeCell ref="A25:H25"/>
    <mergeCell ref="C26:F26"/>
    <mergeCell ref="G26:H26"/>
    <mergeCell ref="C27:F27"/>
    <mergeCell ref="G27:H27"/>
    <mergeCell ref="C28:F28"/>
    <mergeCell ref="G28:H28"/>
    <mergeCell ref="D29:E29"/>
    <mergeCell ref="G29:H29"/>
    <mergeCell ref="D30:E30"/>
    <mergeCell ref="G30:H30"/>
    <mergeCell ref="D31:E31"/>
    <mergeCell ref="G31:H31"/>
    <mergeCell ref="D32:E32"/>
    <mergeCell ref="G32:H32"/>
    <mergeCell ref="D33:E33"/>
    <mergeCell ref="G33:H33"/>
    <mergeCell ref="D34:E34"/>
    <mergeCell ref="G34:H34"/>
    <mergeCell ref="D35:E35"/>
    <mergeCell ref="G35:H35"/>
    <mergeCell ref="D36:E36"/>
    <mergeCell ref="G36:H36"/>
    <mergeCell ref="A39:H39"/>
    <mergeCell ref="D40:H40"/>
    <mergeCell ref="D41:H41"/>
    <mergeCell ref="D42:H42"/>
    <mergeCell ref="D43:H43"/>
    <mergeCell ref="D44:H44"/>
    <mergeCell ref="A46:H46"/>
    <mergeCell ref="C47:H47"/>
    <mergeCell ref="C48:H48"/>
    <mergeCell ref="C49:H49"/>
    <mergeCell ref="C50:H50"/>
    <mergeCell ref="C51:H51"/>
    <mergeCell ref="C52:H52"/>
    <mergeCell ref="A54:H54"/>
    <mergeCell ref="C55:F55"/>
    <mergeCell ref="G55:H55"/>
    <mergeCell ref="C56:F56"/>
    <mergeCell ref="G56:H56"/>
    <mergeCell ref="C57:F57"/>
    <mergeCell ref="G57:H57"/>
    <mergeCell ref="C58:F58"/>
    <mergeCell ref="G58:H58"/>
    <mergeCell ref="C59:F59"/>
    <mergeCell ref="G59:H59"/>
    <mergeCell ref="C60:F60"/>
    <mergeCell ref="G60:H60"/>
    <mergeCell ref="C61:F61"/>
    <mergeCell ref="G61:H61"/>
    <mergeCell ref="C62:F62"/>
    <mergeCell ref="G62:H62"/>
    <mergeCell ref="C63:F63"/>
    <mergeCell ref="G63:H63"/>
    <mergeCell ref="C64:F64"/>
    <mergeCell ref="G64:H64"/>
    <mergeCell ref="A66:H66"/>
    <mergeCell ref="C67:F67"/>
    <mergeCell ref="G67:H67"/>
    <mergeCell ref="C68:F68"/>
    <mergeCell ref="G68:H68"/>
    <mergeCell ref="C69:F69"/>
    <mergeCell ref="G69:H69"/>
    <mergeCell ref="C70:F70"/>
    <mergeCell ref="G70:H70"/>
    <mergeCell ref="C71:F71"/>
    <mergeCell ref="G71:H71"/>
    <mergeCell ref="A73:H73"/>
    <mergeCell ref="C74:H74"/>
    <mergeCell ref="C75:H75"/>
    <mergeCell ref="C76:H76"/>
    <mergeCell ref="C77:H77"/>
  </mergeCells>
  <dataValidations count="1">
    <dataValidation allowBlank="false" errorStyle="stop" operator="between" showDropDown="false" showErrorMessage="true" showInputMessage="false" sqref="C41" type="list">
      <formula1>"brutto inkl. MwSt,netto exkl. MwSt"</formula1>
      <formula2>0</formula2>
    </dataValidation>
  </dataValidation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Definitionen, Kalkulationsregeln und offene Punkte</oddHeader>
    <oddFooter>&amp;L&amp;8 Mobil in Time AG · An Aggreko Company&amp;C&amp;8 Stand: &amp;D&amp;R&amp;8 Seite &amp;P von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true"/>
  </sheetPr>
  <dimension ref="A1:F1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6"/>
    <col collapsed="false" customWidth="true" hidden="false" outlineLevel="0" max="4" min="4" style="1" width="13"/>
    <col collapsed="false" customWidth="true" hidden="false" outlineLevel="0" max="5" min="5" style="1" width="46"/>
    <col collapsed="false" customWidth="true" hidden="false" outlineLevel="0" max="6" min="6" style="1" width="56"/>
    <col collapsed="false" customWidth="true" hidden="false" outlineLevel="0" max="7" min="7" style="1" width="3"/>
  </cols>
  <sheetData>
    <row r="1" customFormat="false" ht="33.75" hidden="false" customHeight="true" outlineLevel="0" collapsed="false">
      <c r="A1" s="287" t="s">
        <v>570</v>
      </c>
      <c r="B1" s="287"/>
      <c r="C1" s="287"/>
      <c r="D1" s="287"/>
      <c r="E1" s="287"/>
      <c r="F1" s="287"/>
    </row>
    <row r="2" customFormat="false" ht="25.5" hidden="false" customHeight="true" outlineLevel="0" collapsed="false">
      <c r="A2" s="288" t="s">
        <v>571</v>
      </c>
      <c r="B2" s="288"/>
      <c r="C2" s="288"/>
      <c r="D2" s="288"/>
      <c r="E2" s="288"/>
      <c r="F2" s="288"/>
    </row>
    <row r="4" customFormat="false" ht="21.75" hidden="false" customHeight="true" outlineLevel="0" collapsed="false">
      <c r="A4" s="289" t="s">
        <v>572</v>
      </c>
      <c r="B4" s="289"/>
      <c r="C4" s="289"/>
      <c r="D4" s="289"/>
      <c r="E4" s="289"/>
      <c r="F4" s="289"/>
    </row>
    <row r="5" customFormat="false" ht="19.5" hidden="false" customHeight="true" outlineLevel="0" collapsed="false">
      <c r="B5" s="149" t="s">
        <v>573</v>
      </c>
      <c r="C5" s="149" t="s">
        <v>574</v>
      </c>
      <c r="D5" s="149" t="s">
        <v>575</v>
      </c>
      <c r="E5" s="149" t="s">
        <v>576</v>
      </c>
      <c r="F5" s="149" t="s">
        <v>577</v>
      </c>
    </row>
    <row r="6" customFormat="false" ht="42" hidden="false" customHeight="true" outlineLevel="0" collapsed="false">
      <c r="B6" s="317" t="s">
        <v>578</v>
      </c>
      <c r="C6" s="318" t="s">
        <v>579</v>
      </c>
      <c r="D6" s="319" t="s">
        <v>580</v>
      </c>
      <c r="E6" s="320" t="s">
        <v>107</v>
      </c>
      <c r="F6" s="321" t="s">
        <v>581</v>
      </c>
    </row>
    <row r="7" customFormat="false" ht="42" hidden="false" customHeight="true" outlineLevel="0" collapsed="false">
      <c r="B7" s="317" t="s">
        <v>582</v>
      </c>
      <c r="C7" s="318" t="s">
        <v>583</v>
      </c>
      <c r="D7" s="319" t="s">
        <v>584</v>
      </c>
      <c r="E7" s="205" t="n">
        <f aca="false">SUMPRODUCT('MiT Strom Pipeline'!$AP$6:$AP$860,'MiT Strom Pipeline'!$AZ$6:$AZ$860)</f>
        <v>6347964.13506013</v>
      </c>
      <c r="F7" s="321" t="s">
        <v>585</v>
      </c>
    </row>
    <row r="8" customFormat="false" ht="42" hidden="false" customHeight="true" outlineLevel="0" collapsed="false">
      <c r="B8" s="317" t="s">
        <v>586</v>
      </c>
      <c r="C8" s="318" t="s">
        <v>587</v>
      </c>
      <c r="D8" s="319" t="s">
        <v>588</v>
      </c>
      <c r="E8" s="320" t="s">
        <v>107</v>
      </c>
      <c r="F8" s="321" t="s">
        <v>589</v>
      </c>
    </row>
    <row r="9" customFormat="false" ht="42" hidden="false" customHeight="true" outlineLevel="0" collapsed="false">
      <c r="B9" s="317" t="s">
        <v>590</v>
      </c>
      <c r="C9" s="318" t="s">
        <v>591</v>
      </c>
      <c r="D9" s="319" t="s">
        <v>592</v>
      </c>
      <c r="E9" s="322" t="n">
        <f aca="false">SUMPRODUCT('MiT Strom Pipeline'!$AP$6:$AP$860,'MiT Strom Pipeline'!$AY$6:$AY$860)</f>
        <v>0</v>
      </c>
      <c r="F9" s="321" t="s">
        <v>593</v>
      </c>
    </row>
    <row r="10" customFormat="false" ht="42" hidden="false" customHeight="true" outlineLevel="0" collapsed="false">
      <c r="B10" s="317" t="s">
        <v>594</v>
      </c>
      <c r="C10" s="318" t="s">
        <v>595</v>
      </c>
      <c r="D10" s="319" t="s">
        <v>596</v>
      </c>
      <c r="E10" s="322" t="n">
        <f aca="false">SUMPRODUCT('MiT Strom Pipeline'!$AP$6:$AP$860,'MiT Strom Pipeline'!$AS$6:$AS$860)</f>
        <v>0</v>
      </c>
      <c r="F10" s="321" t="s">
        <v>597</v>
      </c>
    </row>
    <row r="11" customFormat="false" ht="42" hidden="false" customHeight="true" outlineLevel="0" collapsed="false">
      <c r="B11" s="317" t="s">
        <v>598</v>
      </c>
      <c r="C11" s="318" t="s">
        <v>599</v>
      </c>
      <c r="D11" s="319" t="s">
        <v>600</v>
      </c>
      <c r="E11" s="205" t="n">
        <f aca="false">'⚖️ Wahrscheinlichkeit'!$G$22</f>
        <v>1628425.593</v>
      </c>
      <c r="F11" s="321" t="s">
        <v>601</v>
      </c>
    </row>
    <row r="12" customFormat="false" ht="42" hidden="false" customHeight="true" outlineLevel="0" collapsed="false">
      <c r="B12" s="317" t="s">
        <v>602</v>
      </c>
      <c r="C12" s="318" t="s">
        <v>603</v>
      </c>
      <c r="D12" s="319" t="s">
        <v>604</v>
      </c>
      <c r="E12" s="205" t="n">
        <f aca="false">SUMPRODUCT('MiT Strom Pipeline'!$AP$6:$AP$860,'MiT Strom Pipeline'!$AL$6:$AL$860)</f>
        <v>6862149.23</v>
      </c>
      <c r="F12" s="321" t="s">
        <v>605</v>
      </c>
    </row>
    <row r="13" customFormat="false" ht="15" hidden="false" customHeight="true" outlineLevel="0" collapsed="false">
      <c r="B13" s="323" t="s">
        <v>606</v>
      </c>
      <c r="C13" s="323"/>
      <c r="D13" s="323"/>
      <c r="E13" s="323"/>
      <c r="F13" s="323"/>
    </row>
    <row r="15" customFormat="false" ht="21.75" hidden="false" customHeight="true" outlineLevel="0" collapsed="false">
      <c r="A15" s="289" t="s">
        <v>607</v>
      </c>
      <c r="B15" s="289"/>
      <c r="C15" s="289"/>
      <c r="D15" s="289"/>
      <c r="E15" s="289"/>
      <c r="F15" s="289"/>
    </row>
    <row r="16" customFormat="false" ht="19.5" hidden="false" customHeight="true" outlineLevel="0" collapsed="false">
      <c r="B16" s="149" t="s">
        <v>608</v>
      </c>
      <c r="C16" s="149" t="s">
        <v>609</v>
      </c>
      <c r="D16" s="149" t="s">
        <v>610</v>
      </c>
      <c r="E16" s="149" t="s">
        <v>41</v>
      </c>
      <c r="F16" s="149" t="s">
        <v>611</v>
      </c>
    </row>
    <row r="17" customFormat="false" ht="19.5" hidden="false" customHeight="true" outlineLevel="0" collapsed="false">
      <c r="B17" s="324" t="s">
        <v>612</v>
      </c>
      <c r="C17" s="325" t="s">
        <v>613</v>
      </c>
      <c r="D17" s="326" t="s">
        <v>614</v>
      </c>
      <c r="E17" s="205" t="n">
        <f aca="false">IFERROR(IF(INDEX('MiT Strom Pipeline'!$I$6:$I$860,MATCH("Wincasa Solothurn",'MiT Strom Pipeline'!$B$6:$B$860,0))="","",INDEX('MiT Strom Pipeline'!$I$6:$I$860,MATCH("Wincasa Solothurn",'MiT Strom Pipeline'!$B$6:$B$860,0))),"")</f>
        <v>390000</v>
      </c>
      <c r="F17" s="327" t="s">
        <v>615</v>
      </c>
    </row>
    <row r="18" customFormat="false" ht="19.5" hidden="false" customHeight="true" outlineLevel="0" collapsed="false">
      <c r="B18" s="324" t="s">
        <v>616</v>
      </c>
      <c r="C18" s="325" t="s">
        <v>617</v>
      </c>
      <c r="D18" s="326" t="s">
        <v>618</v>
      </c>
      <c r="E18" s="328" t="n">
        <f aca="false">Netto_Faktor</f>
        <v>1.081</v>
      </c>
      <c r="F18" s="327" t="s">
        <v>619</v>
      </c>
    </row>
    <row r="19" customFormat="false" ht="19.5" hidden="false" customHeight="true" outlineLevel="0" collapsed="false">
      <c r="B19" s="317" t="s">
        <v>620</v>
      </c>
      <c r="C19" s="329" t="s">
        <v>621</v>
      </c>
      <c r="D19" s="330" t="s">
        <v>618</v>
      </c>
      <c r="E19" s="205" t="n">
        <f aca="false">IFERROR(IF(INDEX('MiT Strom Pipeline'!$Y$6:$Y$860,MATCH("Wincasa Solothurn",'MiT Strom Pipeline'!$B$6:$B$860,0))="","",INDEX('MiT Strom Pipeline'!$Y$6:$Y$860,MATCH("Wincasa Solothurn",'MiT Strom Pipeline'!$B$6:$B$860,0))),"")</f>
        <v>360777.058279371</v>
      </c>
      <c r="F19" s="321" t="s">
        <v>622</v>
      </c>
    </row>
    <row r="20" customFormat="false" ht="19.5" hidden="false" customHeight="true" outlineLevel="0" collapsed="false">
      <c r="B20" s="324" t="s">
        <v>623</v>
      </c>
      <c r="C20" s="325" t="s">
        <v>613</v>
      </c>
      <c r="D20" s="326" t="s">
        <v>624</v>
      </c>
      <c r="E20" s="205" t="n">
        <f aca="false">IFERROR(IF(INDEX('MiT Strom Pipeline'!$J$6:$J$860,MATCH("Wincasa Solothurn",'MiT Strom Pipeline'!$B$6:$B$860,0))="","",INDEX('MiT Strom Pipeline'!$J$6:$J$860,MATCH("Wincasa Solothurn",'MiT Strom Pipeline'!$B$6:$B$860,0))),"")</f>
        <v>240000</v>
      </c>
      <c r="F20" s="327" t="s">
        <v>625</v>
      </c>
    </row>
    <row r="21" customFormat="false" ht="19.5" hidden="false" customHeight="true" outlineLevel="0" collapsed="false">
      <c r="B21" s="324" t="s">
        <v>626</v>
      </c>
      <c r="C21" s="325" t="s">
        <v>613</v>
      </c>
      <c r="D21" s="326" t="s">
        <v>627</v>
      </c>
      <c r="E21" s="205" t="n">
        <f aca="false">IFERROR(IF(INDEX('MiT Strom Pipeline'!$K$6:$K$860,MATCH("Wincasa Solothurn",'MiT Strom Pipeline'!$B$6:$B$860,0))="","",INDEX('MiT Strom Pipeline'!$K$6:$K$860,MATCH("Wincasa Solothurn",'MiT Strom Pipeline'!$B$6:$B$860,0))),"")</f>
        <v>6000</v>
      </c>
      <c r="F21" s="327" t="s">
        <v>628</v>
      </c>
    </row>
    <row r="22" customFormat="false" ht="19.5" hidden="false" customHeight="true" outlineLevel="0" collapsed="false">
      <c r="B22" s="324" t="s">
        <v>629</v>
      </c>
      <c r="C22" s="325" t="s">
        <v>613</v>
      </c>
      <c r="D22" s="326" t="s">
        <v>630</v>
      </c>
      <c r="E22" s="205" t="n">
        <f aca="false">IFERROR(IF(INDEX('MiT Strom Pipeline'!$L$6:$L$860,MATCH("Wincasa Solothurn",'MiT Strom Pipeline'!$B$6:$B$860,0))="","",INDEX('MiT Strom Pipeline'!$L$6:$L$860,MATCH("Wincasa Solothurn",'MiT Strom Pipeline'!$B$6:$B$860,0))),"")</f>
        <v>0</v>
      </c>
      <c r="F22" s="327" t="s">
        <v>631</v>
      </c>
    </row>
    <row r="23" customFormat="false" ht="19.5" hidden="false" customHeight="true" outlineLevel="0" collapsed="false">
      <c r="B23" s="324" t="s">
        <v>632</v>
      </c>
      <c r="C23" s="325" t="s">
        <v>613</v>
      </c>
      <c r="D23" s="326" t="s">
        <v>633</v>
      </c>
      <c r="E23" s="205" t="n">
        <f aca="false">IFERROR(IF(INDEX('MiT Strom Pipeline'!$M$6:$M$860,MATCH("Wincasa Solothurn",'MiT Strom Pipeline'!$B$6:$B$860,0))="","",INDEX('MiT Strom Pipeline'!$M$6:$M$860,MATCH("Wincasa Solothurn",'MiT Strom Pipeline'!$B$6:$B$860,0))),"")</f>
        <v>18000</v>
      </c>
      <c r="F23" s="327" t="s">
        <v>634</v>
      </c>
    </row>
    <row r="24" customFormat="false" ht="24" hidden="false" customHeight="true" outlineLevel="0" collapsed="false">
      <c r="B24" s="324" t="s">
        <v>635</v>
      </c>
      <c r="C24" s="325" t="s">
        <v>613</v>
      </c>
      <c r="D24" s="326" t="s">
        <v>636</v>
      </c>
      <c r="E24" s="205" t="n">
        <f aca="false">IFERROR(IF(INDEX('MiT Strom Pipeline'!$N$6:$N$860,MATCH("Wincasa Solothurn",'MiT Strom Pipeline'!$B$6:$B$860,0))="","",INDEX('MiT Strom Pipeline'!$N$6:$N$860,MATCH("Wincasa Solothurn",'MiT Strom Pipeline'!$B$6:$B$860,0))),"")</f>
        <v>8000</v>
      </c>
      <c r="F24" s="327" t="s">
        <v>637</v>
      </c>
    </row>
    <row r="25" customFormat="false" ht="19.5" hidden="false" customHeight="true" outlineLevel="0" collapsed="false">
      <c r="B25" s="317" t="s">
        <v>638</v>
      </c>
      <c r="C25" s="329" t="s">
        <v>639</v>
      </c>
      <c r="D25" s="330" t="s">
        <v>640</v>
      </c>
      <c r="E25" s="205" t="n">
        <f aca="false">IFERROR(IF(INDEX('MiT Strom Pipeline'!$Z$6:$Z$860,MATCH("Wincasa Solothurn",'MiT Strom Pipeline'!$B$6:$B$860,0))="","",INDEX('MiT Strom Pipeline'!$Z$6:$Z$860,MATCH("Wincasa Solothurn",'MiT Strom Pipeline'!$B$6:$B$860,0))),"")</f>
        <v>272000</v>
      </c>
      <c r="F25" s="321" t="s">
        <v>641</v>
      </c>
    </row>
    <row r="26" customFormat="false" ht="19.5" hidden="false" customHeight="true" outlineLevel="0" collapsed="false">
      <c r="B26" s="324" t="s">
        <v>9</v>
      </c>
      <c r="C26" s="325" t="s">
        <v>613</v>
      </c>
      <c r="D26" s="326" t="s">
        <v>642</v>
      </c>
      <c r="E26" s="331" t="str">
        <f aca="false">IFERROR(IF(INDEX('MiT Strom Pipeline'!$O$6:$O$860,MATCH("Wincasa Solothurn",'MiT Strom Pipeline'!$B$6:$B$860,0))="","",INDEX('MiT Strom Pipeline'!$O$6:$O$860,MATCH("Wincasa Solothurn",'MiT Strom Pipeline'!$B$6:$B$860,0))),"")</f>
        <v/>
      </c>
      <c r="F26" s="327" t="s">
        <v>643</v>
      </c>
    </row>
    <row r="27" customFormat="false" ht="19.5" hidden="false" customHeight="true" outlineLevel="0" collapsed="false">
      <c r="B27" s="324" t="s">
        <v>12</v>
      </c>
      <c r="C27" s="325" t="s">
        <v>613</v>
      </c>
      <c r="D27" s="326" t="s">
        <v>644</v>
      </c>
      <c r="E27" s="331" t="str">
        <f aca="false">IFERROR(IF(INDEX('MiT Strom Pipeline'!$P$6:$P$860,MATCH("Wincasa Solothurn",'MiT Strom Pipeline'!$B$6:$B$860,0))="","",INDEX('MiT Strom Pipeline'!$P$6:$P$860,MATCH("Wincasa Solothurn",'MiT Strom Pipeline'!$B$6:$B$860,0))),"")</f>
        <v/>
      </c>
      <c r="F27" s="327" t="s">
        <v>645</v>
      </c>
    </row>
    <row r="28" customFormat="false" ht="24" hidden="false" customHeight="true" outlineLevel="0" collapsed="false">
      <c r="B28" s="317" t="s">
        <v>646</v>
      </c>
      <c r="C28" s="329" t="s">
        <v>647</v>
      </c>
      <c r="D28" s="330" t="s">
        <v>648</v>
      </c>
      <c r="E28" s="322" t="n">
        <f aca="false">IFERROR(IF(INDEX('MiT Strom Pipeline'!$G$6:$G$860,MATCH("Wincasa Solothurn",'MiT Strom Pipeline'!$B$6:$B$860,0))="","",INDEX('MiT Strom Pipeline'!$G$6:$G$860,MATCH("Wincasa Solothurn",'MiT Strom Pipeline'!$B$6:$B$860,0))),"")</f>
        <v>365</v>
      </c>
      <c r="F28" s="321" t="s">
        <v>649</v>
      </c>
    </row>
    <row r="29" customFormat="false" ht="19.5" hidden="false" customHeight="true" outlineLevel="0" collapsed="false">
      <c r="B29" s="324" t="s">
        <v>650</v>
      </c>
      <c r="C29" s="325" t="s">
        <v>613</v>
      </c>
      <c r="D29" s="326" t="s">
        <v>651</v>
      </c>
      <c r="E29" s="332" t="n">
        <f aca="false">IFERROR(IF(INDEX('MiT Strom Pipeline'!$S$6:$S$860,MATCH("Wincasa Solothurn",'MiT Strom Pipeline'!$B$6:$B$860,0))="","",INDEX('MiT Strom Pipeline'!$S$6:$S$860,MATCH("Wincasa Solothurn",'MiT Strom Pipeline'!$B$6:$B$860,0))),"")</f>
        <v>0.3</v>
      </c>
      <c r="F29" s="327" t="s">
        <v>652</v>
      </c>
    </row>
    <row r="30" customFormat="false" ht="24" hidden="false" customHeight="true" outlineLevel="0" collapsed="false">
      <c r="B30" s="317" t="s">
        <v>653</v>
      </c>
      <c r="C30" s="329" t="s">
        <v>654</v>
      </c>
      <c r="D30" s="330" t="s">
        <v>655</v>
      </c>
      <c r="E30" s="332" t="n">
        <f aca="false">IFERROR(IF(INDEX('MiT Strom Pipeline'!$AJ$6:$AJ$860,MATCH("Wincasa Solothurn",'MiT Strom Pipeline'!$B$6:$B$860,0))="","",INDEX('MiT Strom Pipeline'!$AJ$6:$AJ$860,MATCH("Wincasa Solothurn",'MiT Strom Pipeline'!$B$6:$B$860,0))),"")</f>
        <v>0</v>
      </c>
      <c r="F30" s="321" t="s">
        <v>656</v>
      </c>
    </row>
    <row r="31" customFormat="false" ht="24" hidden="false" customHeight="true" outlineLevel="0" collapsed="false">
      <c r="B31" s="317" t="s">
        <v>657</v>
      </c>
      <c r="C31" s="329" t="s">
        <v>658</v>
      </c>
      <c r="D31" s="330" t="s">
        <v>659</v>
      </c>
      <c r="E31" s="205" t="n">
        <f aca="false">IFERROR(IF(INDEX('MiT Strom Pipeline'!$Q$6:$Q$860,MATCH("Wincasa Solothurn",'MiT Strom Pipeline'!$B$6:$B$860,0))="","",INDEX('MiT Strom Pipeline'!$Q$6:$Q$860,MATCH("Wincasa Solothurn",'MiT Strom Pipeline'!$B$6:$B$860,0))),"")</f>
        <v>0</v>
      </c>
      <c r="F31" s="321" t="s">
        <v>660</v>
      </c>
    </row>
    <row r="32" customFormat="false" ht="19.5" hidden="false" customHeight="true" outlineLevel="0" collapsed="false">
      <c r="B32" s="324" t="s">
        <v>121</v>
      </c>
      <c r="C32" s="325" t="s">
        <v>661</v>
      </c>
      <c r="D32" s="326" t="s">
        <v>662</v>
      </c>
      <c r="E32" s="333" t="str">
        <f aca="false">IFERROR(IF(INDEX('MiT Strom Pipeline'!$AH$6:$AH$860,MATCH("Wincasa Solothurn",'MiT Strom Pipeline'!$B$6:$B$860,0))="","",INDEX('MiT Strom Pipeline'!$AH$6:$AH$860,MATCH("Wincasa Solothurn",'MiT Strom Pipeline'!$B$6:$B$860,0))),"")</f>
        <v>○ Zeitraum offen</v>
      </c>
      <c r="F32" s="327" t="s">
        <v>663</v>
      </c>
    </row>
    <row r="33" customFormat="false" ht="25.5" hidden="false" customHeight="true" outlineLevel="0" collapsed="false">
      <c r="B33" s="334" t="s">
        <v>664</v>
      </c>
      <c r="C33" s="335" t="s">
        <v>665</v>
      </c>
      <c r="D33" s="326" t="s">
        <v>666</v>
      </c>
      <c r="E33" s="336" t="str">
        <f aca="false">IF(ISNUMBER(MATCH("Wincasa Solothurn",'MiT Strom Pipeline'!$B$6:$B$860,0)),"✔ gefunden","⚠ nicht in der Pipeline")</f>
        <v>✔ gefunden</v>
      </c>
      <c r="F33" s="327" t="s">
        <v>667</v>
      </c>
    </row>
    <row r="34" customFormat="false" ht="48" hidden="false" customHeight="true" outlineLevel="0" collapsed="false">
      <c r="B34" s="337" t="s">
        <v>668</v>
      </c>
      <c r="C34" s="338"/>
      <c r="D34" s="338"/>
      <c r="E34" s="339"/>
      <c r="F34" s="340" t="s">
        <v>669</v>
      </c>
    </row>
    <row r="36" customFormat="false" ht="21.75" hidden="false" customHeight="true" outlineLevel="0" collapsed="false">
      <c r="A36" s="341" t="s">
        <v>670</v>
      </c>
      <c r="B36" s="341"/>
      <c r="C36" s="341"/>
      <c r="D36" s="341"/>
      <c r="E36" s="341"/>
      <c r="F36" s="341"/>
    </row>
    <row r="37" customFormat="false" ht="19.5" hidden="false" customHeight="true" outlineLevel="0" collapsed="false">
      <c r="B37" s="149" t="s">
        <v>608</v>
      </c>
      <c r="C37" s="149" t="s">
        <v>609</v>
      </c>
      <c r="D37" s="149" t="s">
        <v>610</v>
      </c>
      <c r="E37" s="149" t="s">
        <v>41</v>
      </c>
      <c r="F37" s="149" t="s">
        <v>611</v>
      </c>
    </row>
    <row r="38" customFormat="false" ht="19.5" hidden="false" customHeight="true" outlineLevel="0" collapsed="false">
      <c r="B38" s="324" t="s">
        <v>612</v>
      </c>
      <c r="C38" s="325" t="s">
        <v>613</v>
      </c>
      <c r="D38" s="326" t="s">
        <v>614</v>
      </c>
      <c r="E38" s="205" t="n">
        <f aca="false">IFERROR(IF(INDEX('MiT Strom Pipeline'!$I$6:$I$860,MATCH("DPR Heat Loadbank",'MiT Strom Pipeline'!$B$6:$B$860,0))="","",INDEX('MiT Strom Pipeline'!$I$6:$I$860,MATCH("DPR Heat Loadbank",'MiT Strom Pipeline'!$B$6:$B$860,0))),"")</f>
        <v>333790</v>
      </c>
      <c r="F38" s="327" t="s">
        <v>615</v>
      </c>
    </row>
    <row r="39" customFormat="false" ht="19.5" hidden="false" customHeight="true" outlineLevel="0" collapsed="false">
      <c r="B39" s="324" t="s">
        <v>616</v>
      </c>
      <c r="C39" s="325" t="s">
        <v>617</v>
      </c>
      <c r="D39" s="326" t="s">
        <v>618</v>
      </c>
      <c r="E39" s="328" t="n">
        <f aca="false">Netto_Faktor</f>
        <v>1.081</v>
      </c>
      <c r="F39" s="327" t="s">
        <v>619</v>
      </c>
    </row>
    <row r="40" customFormat="false" ht="19.5" hidden="false" customHeight="true" outlineLevel="0" collapsed="false">
      <c r="B40" s="317" t="s">
        <v>620</v>
      </c>
      <c r="C40" s="329" t="s">
        <v>621</v>
      </c>
      <c r="D40" s="330" t="s">
        <v>618</v>
      </c>
      <c r="E40" s="205" t="n">
        <f aca="false">IFERROR(IF(INDEX('MiT Strom Pipeline'!$Y$6:$Y$860,MATCH("DPR Heat Loadbank",'MiT Strom Pipeline'!$B$6:$B$860,0))="","",INDEX('MiT Strom Pipeline'!$Y$6:$Y$860,MATCH("DPR Heat Loadbank",'MiT Strom Pipeline'!$B$6:$B$860,0))),"")</f>
        <v>308778.908418131</v>
      </c>
      <c r="F40" s="321" t="s">
        <v>622</v>
      </c>
    </row>
    <row r="41" customFormat="false" ht="19.5" hidden="false" customHeight="true" outlineLevel="0" collapsed="false">
      <c r="B41" s="324" t="s">
        <v>623</v>
      </c>
      <c r="C41" s="325" t="s">
        <v>613</v>
      </c>
      <c r="D41" s="326" t="s">
        <v>624</v>
      </c>
      <c r="E41" s="205" t="n">
        <f aca="false">IFERROR(IF(INDEX('MiT Strom Pipeline'!$J$6:$J$860,MATCH("DPR Heat Loadbank",'MiT Strom Pipeline'!$B$6:$B$860,0))="","",INDEX('MiT Strom Pipeline'!$J$6:$J$860,MATCH("DPR Heat Loadbank",'MiT Strom Pipeline'!$B$6:$B$860,0))),"")</f>
        <v>333790</v>
      </c>
      <c r="F41" s="327" t="s">
        <v>625</v>
      </c>
    </row>
    <row r="42" customFormat="false" ht="19.5" hidden="false" customHeight="true" outlineLevel="0" collapsed="false">
      <c r="B42" s="324" t="s">
        <v>626</v>
      </c>
      <c r="C42" s="325" t="s">
        <v>613</v>
      </c>
      <c r="D42" s="326" t="s">
        <v>627</v>
      </c>
      <c r="E42" s="205" t="n">
        <f aca="false">IFERROR(IF(INDEX('MiT Strom Pipeline'!$K$6:$K$860,MATCH("DPR Heat Loadbank",'MiT Strom Pipeline'!$B$6:$B$860,0))="","",INDEX('MiT Strom Pipeline'!$K$6:$K$860,MATCH("DPR Heat Loadbank",'MiT Strom Pipeline'!$B$6:$B$860,0))),"")</f>
        <v>0</v>
      </c>
      <c r="F42" s="327" t="s">
        <v>628</v>
      </c>
    </row>
    <row r="43" customFormat="false" ht="19.5" hidden="false" customHeight="true" outlineLevel="0" collapsed="false">
      <c r="B43" s="324" t="s">
        <v>629</v>
      </c>
      <c r="C43" s="325" t="s">
        <v>613</v>
      </c>
      <c r="D43" s="326" t="s">
        <v>630</v>
      </c>
      <c r="E43" s="205" t="n">
        <f aca="false">IFERROR(IF(INDEX('MiT Strom Pipeline'!$L$6:$L$860,MATCH("DPR Heat Loadbank",'MiT Strom Pipeline'!$B$6:$B$860,0))="","",INDEX('MiT Strom Pipeline'!$L$6:$L$860,MATCH("DPR Heat Loadbank",'MiT Strom Pipeline'!$B$6:$B$860,0))),"")</f>
        <v>0</v>
      </c>
      <c r="F43" s="327" t="s">
        <v>631</v>
      </c>
    </row>
    <row r="44" customFormat="false" ht="19.5" hidden="false" customHeight="true" outlineLevel="0" collapsed="false">
      <c r="B44" s="324" t="s">
        <v>632</v>
      </c>
      <c r="C44" s="325" t="s">
        <v>613</v>
      </c>
      <c r="D44" s="326" t="s">
        <v>633</v>
      </c>
      <c r="E44" s="205" t="n">
        <f aca="false">IFERROR(IF(INDEX('MiT Strom Pipeline'!$M$6:$M$860,MATCH("DPR Heat Loadbank",'MiT Strom Pipeline'!$B$6:$B$860,0))="","",INDEX('MiT Strom Pipeline'!$M$6:$M$860,MATCH("DPR Heat Loadbank",'MiT Strom Pipeline'!$B$6:$B$860,0))),"")</f>
        <v>0</v>
      </c>
      <c r="F44" s="327" t="s">
        <v>634</v>
      </c>
    </row>
    <row r="45" customFormat="false" ht="24" hidden="false" customHeight="true" outlineLevel="0" collapsed="false">
      <c r="B45" s="324" t="s">
        <v>635</v>
      </c>
      <c r="C45" s="325" t="s">
        <v>613</v>
      </c>
      <c r="D45" s="326" t="s">
        <v>636</v>
      </c>
      <c r="E45" s="205" t="str">
        <f aca="false">IFERROR(IF(INDEX('MiT Strom Pipeline'!$N$6:$N$860,MATCH("DPR Heat Loadbank",'MiT Strom Pipeline'!$B$6:$B$860,0))="","",INDEX('MiT Strom Pipeline'!$N$6:$N$860,MATCH("DPR Heat Loadbank",'MiT Strom Pipeline'!$B$6:$B$860,0))),"")</f>
        <v/>
      </c>
      <c r="F45" s="327" t="s">
        <v>637</v>
      </c>
    </row>
    <row r="46" customFormat="false" ht="19.5" hidden="false" customHeight="true" outlineLevel="0" collapsed="false">
      <c r="B46" s="317" t="s">
        <v>638</v>
      </c>
      <c r="C46" s="329" t="s">
        <v>639</v>
      </c>
      <c r="D46" s="330" t="s">
        <v>640</v>
      </c>
      <c r="E46" s="205" t="n">
        <f aca="false">IFERROR(IF(INDEX('MiT Strom Pipeline'!$Z$6:$Z$860,MATCH("DPR Heat Loadbank",'MiT Strom Pipeline'!$B$6:$B$860,0))="","",INDEX('MiT Strom Pipeline'!$Z$6:$Z$860,MATCH("DPR Heat Loadbank",'MiT Strom Pipeline'!$B$6:$B$860,0))),"")</f>
        <v>333790</v>
      </c>
      <c r="F46" s="321" t="s">
        <v>641</v>
      </c>
    </row>
    <row r="47" customFormat="false" ht="19.5" hidden="false" customHeight="true" outlineLevel="0" collapsed="false">
      <c r="B47" s="324" t="s">
        <v>9</v>
      </c>
      <c r="C47" s="325" t="s">
        <v>613</v>
      </c>
      <c r="D47" s="326" t="s">
        <v>642</v>
      </c>
      <c r="E47" s="331" t="str">
        <f aca="false">IFERROR(IF(INDEX('MiT Strom Pipeline'!$O$6:$O$860,MATCH("DPR Heat Loadbank",'MiT Strom Pipeline'!$B$6:$B$860,0))="","",INDEX('MiT Strom Pipeline'!$O$6:$O$860,MATCH("DPR Heat Loadbank",'MiT Strom Pipeline'!$B$6:$B$860,0))),"")</f>
        <v/>
      </c>
      <c r="F47" s="327" t="s">
        <v>643</v>
      </c>
    </row>
    <row r="48" customFormat="false" ht="19.5" hidden="false" customHeight="true" outlineLevel="0" collapsed="false">
      <c r="B48" s="324" t="s">
        <v>12</v>
      </c>
      <c r="C48" s="325" t="s">
        <v>613</v>
      </c>
      <c r="D48" s="326" t="s">
        <v>644</v>
      </c>
      <c r="E48" s="331" t="str">
        <f aca="false">IFERROR(IF(INDEX('MiT Strom Pipeline'!$P$6:$P$860,MATCH("DPR Heat Loadbank",'MiT Strom Pipeline'!$B$6:$B$860,0))="","",INDEX('MiT Strom Pipeline'!$P$6:$P$860,MATCH("DPR Heat Loadbank",'MiT Strom Pipeline'!$B$6:$B$860,0))),"")</f>
        <v/>
      </c>
      <c r="F48" s="327" t="s">
        <v>645</v>
      </c>
    </row>
    <row r="49" customFormat="false" ht="24" hidden="false" customHeight="true" outlineLevel="0" collapsed="false">
      <c r="B49" s="317" t="s">
        <v>646</v>
      </c>
      <c r="C49" s="329" t="s">
        <v>647</v>
      </c>
      <c r="D49" s="330" t="s">
        <v>648</v>
      </c>
      <c r="E49" s="322" t="n">
        <f aca="false">IFERROR(IF(INDEX('MiT Strom Pipeline'!$G$6:$G$860,MATCH("DPR Heat Loadbank",'MiT Strom Pipeline'!$B$6:$B$860,0))="","",INDEX('MiT Strom Pipeline'!$G$6:$G$860,MATCH("DPR Heat Loadbank",'MiT Strom Pipeline'!$B$6:$B$860,0))),"")</f>
        <v>110</v>
      </c>
      <c r="F49" s="321" t="s">
        <v>649</v>
      </c>
    </row>
    <row r="50" customFormat="false" ht="19.5" hidden="false" customHeight="true" outlineLevel="0" collapsed="false">
      <c r="B50" s="324" t="s">
        <v>650</v>
      </c>
      <c r="C50" s="325" t="s">
        <v>613</v>
      </c>
      <c r="D50" s="326" t="s">
        <v>651</v>
      </c>
      <c r="E50" s="332" t="n">
        <f aca="false">IFERROR(IF(INDEX('MiT Strom Pipeline'!$S$6:$S$860,MATCH("DPR Heat Loadbank",'MiT Strom Pipeline'!$B$6:$B$860,0))="","",INDEX('MiT Strom Pipeline'!$S$6:$S$860,MATCH("DPR Heat Loadbank",'MiT Strom Pipeline'!$B$6:$B$860,0))),"")</f>
        <v>1</v>
      </c>
      <c r="F50" s="327" t="s">
        <v>652</v>
      </c>
    </row>
    <row r="51" customFormat="false" ht="24" hidden="false" customHeight="true" outlineLevel="0" collapsed="false">
      <c r="B51" s="317" t="s">
        <v>653</v>
      </c>
      <c r="C51" s="329" t="s">
        <v>654</v>
      </c>
      <c r="D51" s="330" t="s">
        <v>655</v>
      </c>
      <c r="E51" s="332" t="n">
        <f aca="false">IFERROR(IF(INDEX('MiT Strom Pipeline'!$AJ$6:$AJ$860,MATCH("DPR Heat Loadbank",'MiT Strom Pipeline'!$B$6:$B$860,0))="","",INDEX('MiT Strom Pipeline'!$AJ$6:$AJ$860,MATCH("DPR Heat Loadbank",'MiT Strom Pipeline'!$B$6:$B$860,0))),"")</f>
        <v>1</v>
      </c>
      <c r="F51" s="321" t="s">
        <v>656</v>
      </c>
    </row>
    <row r="52" customFormat="false" ht="24" hidden="false" customHeight="true" outlineLevel="0" collapsed="false">
      <c r="B52" s="317" t="s">
        <v>657</v>
      </c>
      <c r="C52" s="329" t="s">
        <v>658</v>
      </c>
      <c r="D52" s="330" t="s">
        <v>659</v>
      </c>
      <c r="E52" s="205" t="n">
        <f aca="false">IFERROR(IF(INDEX('MiT Strom Pipeline'!$Q$6:$Q$860,MATCH("DPR Heat Loadbank",'MiT Strom Pipeline'!$B$6:$B$860,0))="","",INDEX('MiT Strom Pipeline'!$Q$6:$Q$860,MATCH("DPR Heat Loadbank",'MiT Strom Pipeline'!$B$6:$B$860,0))),"")</f>
        <v>333790</v>
      </c>
      <c r="F52" s="321" t="s">
        <v>660</v>
      </c>
    </row>
    <row r="53" customFormat="false" ht="25.5" hidden="false" customHeight="true" outlineLevel="0" collapsed="false">
      <c r="B53" s="324" t="s">
        <v>121</v>
      </c>
      <c r="C53" s="325" t="s">
        <v>661</v>
      </c>
      <c r="D53" s="326" t="s">
        <v>662</v>
      </c>
      <c r="E53" s="300" t="str">
        <f aca="false">IFERROR(IF(INDEX('MiT Strom Pipeline'!$AH$6:$AH$860,MATCH("DPR Heat Loadbank",'MiT Strom Pipeline'!$B$6:$B$860,0))="","",INDEX('MiT Strom Pipeline'!$AH$6:$AH$860,MATCH("DPR Heat Loadbank",'MiT Strom Pipeline'!$B$6:$B$860,0))),"")</f>
        <v>⛔ Beleg fehlt · ⛔ Vertragsart fehlt · ⛔ Zeitraum fehlt</v>
      </c>
      <c r="F53" s="327" t="s">
        <v>663</v>
      </c>
    </row>
    <row r="54" customFormat="false" ht="25.5" hidden="false" customHeight="true" outlineLevel="0" collapsed="false">
      <c r="B54" s="334" t="s">
        <v>664</v>
      </c>
      <c r="C54" s="335" t="s">
        <v>671</v>
      </c>
      <c r="D54" s="326" t="s">
        <v>666</v>
      </c>
      <c r="E54" s="336" t="str">
        <f aca="false">IF(ISNUMBER(MATCH("DPR Heat Loadbank",'MiT Strom Pipeline'!$B$6:$B$860,0)),"✔ gefunden","⚠ nicht in der Pipeline")</f>
        <v>✔ gefunden</v>
      </c>
      <c r="F54" s="327" t="s">
        <v>667</v>
      </c>
    </row>
    <row r="55" customFormat="false" ht="48" hidden="false" customHeight="true" outlineLevel="0" collapsed="false">
      <c r="B55" s="337" t="s">
        <v>672</v>
      </c>
      <c r="C55" s="338"/>
      <c r="D55" s="338"/>
      <c r="E55" s="339"/>
      <c r="F55" s="340" t="s">
        <v>673</v>
      </c>
    </row>
    <row r="57" customFormat="false" ht="21.75" hidden="false" customHeight="true" outlineLevel="0" collapsed="false">
      <c r="A57" s="289" t="s">
        <v>674</v>
      </c>
      <c r="B57" s="289"/>
      <c r="C57" s="289"/>
      <c r="D57" s="289"/>
      <c r="E57" s="289"/>
      <c r="F57" s="289"/>
    </row>
    <row r="58" customFormat="false" ht="19.5" hidden="false" customHeight="true" outlineLevel="0" collapsed="false">
      <c r="B58" s="149" t="s">
        <v>675</v>
      </c>
      <c r="C58" s="149" t="s">
        <v>676</v>
      </c>
      <c r="D58" s="149" t="s">
        <v>502</v>
      </c>
      <c r="E58" s="149" t="s">
        <v>677</v>
      </c>
      <c r="F58" s="149" t="s">
        <v>678</v>
      </c>
    </row>
    <row r="59" customFormat="false" ht="61.5" hidden="false" customHeight="true" outlineLevel="0" collapsed="false">
      <c r="B59" s="290" t="s">
        <v>679</v>
      </c>
      <c r="C59" s="335" t="s">
        <v>680</v>
      </c>
      <c r="D59" s="294" t="n">
        <v>36</v>
      </c>
      <c r="E59" s="342" t="s">
        <v>681</v>
      </c>
      <c r="F59" s="327" t="s">
        <v>682</v>
      </c>
    </row>
    <row r="60" customFormat="false" ht="61.5" hidden="false" customHeight="true" outlineLevel="0" collapsed="false">
      <c r="B60" s="290" t="s">
        <v>683</v>
      </c>
      <c r="C60" s="335" t="s">
        <v>684</v>
      </c>
      <c r="D60" s="294" t="n">
        <v>30</v>
      </c>
      <c r="E60" s="342" t="s">
        <v>685</v>
      </c>
      <c r="F60" s="327" t="s">
        <v>686</v>
      </c>
    </row>
    <row r="62" customFormat="false" ht="21.75" hidden="false" customHeight="true" outlineLevel="0" collapsed="false">
      <c r="A62" s="289" t="s">
        <v>687</v>
      </c>
      <c r="B62" s="289"/>
      <c r="C62" s="289"/>
      <c r="D62" s="289"/>
      <c r="E62" s="289"/>
      <c r="F62" s="289"/>
    </row>
    <row r="63" customFormat="false" ht="19.5" hidden="false" customHeight="true" outlineLevel="0" collapsed="false">
      <c r="B63" s="149" t="s">
        <v>688</v>
      </c>
      <c r="C63" s="149" t="s">
        <v>689</v>
      </c>
      <c r="D63" s="149" t="s">
        <v>690</v>
      </c>
      <c r="E63" s="149" t="s">
        <v>576</v>
      </c>
      <c r="F63" s="149" t="s">
        <v>691</v>
      </c>
    </row>
    <row r="64" customFormat="false" ht="33.75" hidden="false" customHeight="true" outlineLevel="0" collapsed="false">
      <c r="B64" s="290" t="s">
        <v>692</v>
      </c>
      <c r="C64" s="335" t="s">
        <v>693</v>
      </c>
      <c r="D64" s="343" t="s">
        <v>694</v>
      </c>
      <c r="E64" s="205" t="n">
        <f aca="false">SUMIFS('MiT Strom Pipeline'!$I$6:$I$860,'MiT Strom Pipeline'!$R$6:$R$860,"WON")</f>
        <v>1428553.13</v>
      </c>
      <c r="F64" s="327" t="s">
        <v>695</v>
      </c>
    </row>
    <row r="65" customFormat="false" ht="33.75" hidden="false" customHeight="true" outlineLevel="0" collapsed="false">
      <c r="B65" s="290" t="s">
        <v>696</v>
      </c>
      <c r="C65" s="335" t="s">
        <v>697</v>
      </c>
      <c r="D65" s="343" t="s">
        <v>698</v>
      </c>
      <c r="E65" s="205" t="n">
        <f aca="false">SUMPRODUCT(--('MiT Strom Pipeline'!$R$6:$R$860="WON"),'MiT Strom Pipeline'!$AZ$6:$AZ$860)</f>
        <v>1321510.75855689</v>
      </c>
      <c r="F65" s="327" t="s">
        <v>699</v>
      </c>
    </row>
    <row r="66" customFormat="false" ht="33.75" hidden="false" customHeight="true" outlineLevel="0" collapsed="false">
      <c r="B66" s="290" t="s">
        <v>700</v>
      </c>
      <c r="C66" s="335" t="s">
        <v>701</v>
      </c>
      <c r="D66" s="343" t="s">
        <v>702</v>
      </c>
      <c r="E66" s="205" t="n">
        <f aca="false">SUMPRODUCT('MiT Strom Pipeline'!$AT$6:$AT$860,'MiT Strom Pipeline'!$AL$6:$AL$860)</f>
        <v>0</v>
      </c>
      <c r="F66" s="327" t="s">
        <v>703</v>
      </c>
    </row>
    <row r="67" customFormat="false" ht="33.75" hidden="false" customHeight="true" outlineLevel="0" collapsed="false">
      <c r="B67" s="290" t="s">
        <v>704</v>
      </c>
      <c r="C67" s="335" t="s">
        <v>705</v>
      </c>
      <c r="D67" s="343" t="s">
        <v>706</v>
      </c>
      <c r="E67" s="205" t="n">
        <f aca="false">SUMPRODUCT('MiT Strom Pipeline'!$AP$6:$AP$860,'MiT Strom Pipeline'!$AL$6:$AL$860)</f>
        <v>6862149.23</v>
      </c>
      <c r="F67" s="327" t="s">
        <v>707</v>
      </c>
    </row>
    <row r="68" customFormat="false" ht="33.75" hidden="false" customHeight="true" outlineLevel="0" collapsed="false">
      <c r="B68" s="290" t="s">
        <v>708</v>
      </c>
      <c r="C68" s="335" t="s">
        <v>709</v>
      </c>
      <c r="D68" s="343" t="s">
        <v>710</v>
      </c>
      <c r="E68" s="205" t="n">
        <f aca="false">SUMPRODUCT('MiT Strom Pipeline'!$AP$6:$AP$860,'MiT Strom Pipeline'!$AU$6:$AU$860,'MiT Strom Pipeline'!$AL$6:$AL$860)</f>
        <v>6862149.23</v>
      </c>
      <c r="F68" s="327" t="s">
        <v>711</v>
      </c>
    </row>
    <row r="69" customFormat="false" ht="33.75" hidden="false" customHeight="true" outlineLevel="0" collapsed="false">
      <c r="B69" s="290" t="s">
        <v>712</v>
      </c>
      <c r="C69" s="335" t="s">
        <v>713</v>
      </c>
      <c r="D69" s="343" t="s">
        <v>600</v>
      </c>
      <c r="E69" s="205" t="n">
        <f aca="false">'⚖️ Wahrscheinlichkeit'!$G$22</f>
        <v>1628425.593</v>
      </c>
      <c r="F69" s="327" t="s">
        <v>714</v>
      </c>
    </row>
    <row r="70" customFormat="false" ht="36" hidden="false" customHeight="true" outlineLevel="0" collapsed="false">
      <c r="B70" s="290" t="s">
        <v>34</v>
      </c>
      <c r="C70" s="335" t="s">
        <v>715</v>
      </c>
      <c r="D70" s="343" t="s">
        <v>716</v>
      </c>
      <c r="E70" s="344" t="n">
        <f aca="false">IFERROR(SUMPRODUCT('MiT Strom Pipeline'!$AT$6:$AT$860,'MiT Strom Pipeline'!$AL$6:$AL$860)/SUMIFS('MiT Strom Pipeline'!$I$6:$I$860,'MiT Strom Pipeline'!$R$6:$R$860,"WON"),0)</f>
        <v>0</v>
      </c>
      <c r="F70" s="327" t="s">
        <v>717</v>
      </c>
    </row>
    <row r="71" customFormat="false" ht="33.75" hidden="false" customHeight="true" outlineLevel="0" collapsed="false">
      <c r="B71" s="290" t="s">
        <v>718</v>
      </c>
      <c r="C71" s="335" t="s">
        <v>719</v>
      </c>
      <c r="D71" s="343" t="s">
        <v>720</v>
      </c>
      <c r="E71" s="322" t="n">
        <f aca="false">SUMPRODUCT('MiT Strom Pipeline'!$AP$6:$AP$860,'MiT Strom Pipeline'!$AY$6:$AY$860)</f>
        <v>0</v>
      </c>
      <c r="F71" s="327" t="s">
        <v>721</v>
      </c>
    </row>
    <row r="72" customFormat="false" ht="33.75" hidden="false" customHeight="true" outlineLevel="0" collapsed="false">
      <c r="B72" s="290" t="s">
        <v>722</v>
      </c>
      <c r="C72" s="335" t="s">
        <v>723</v>
      </c>
      <c r="D72" s="343" t="s">
        <v>724</v>
      </c>
      <c r="E72" s="345" t="s">
        <v>107</v>
      </c>
      <c r="F72" s="327" t="s">
        <v>725</v>
      </c>
    </row>
    <row r="73" customFormat="false" ht="36" hidden="false" customHeight="true" outlineLevel="0" collapsed="false">
      <c r="B73" s="290" t="s">
        <v>726</v>
      </c>
      <c r="C73" s="335" t="s">
        <v>727</v>
      </c>
      <c r="D73" s="343" t="s">
        <v>728</v>
      </c>
      <c r="E73" s="345" t="s">
        <v>107</v>
      </c>
      <c r="F73" s="327" t="s">
        <v>729</v>
      </c>
    </row>
    <row r="74" customFormat="false" ht="33.75" hidden="false" customHeight="true" outlineLevel="0" collapsed="false">
      <c r="B74" s="290" t="s">
        <v>730</v>
      </c>
      <c r="C74" s="335" t="s">
        <v>731</v>
      </c>
      <c r="D74" s="343" t="s">
        <v>732</v>
      </c>
      <c r="E74" s="345" t="s">
        <v>107</v>
      </c>
      <c r="F74" s="327" t="s">
        <v>733</v>
      </c>
    </row>
    <row r="76" customFormat="false" ht="21.75" hidden="false" customHeight="true" outlineLevel="0" collapsed="false">
      <c r="A76" s="289" t="s">
        <v>734</v>
      </c>
      <c r="B76" s="289"/>
      <c r="C76" s="289"/>
      <c r="D76" s="289"/>
      <c r="E76" s="289"/>
      <c r="F76" s="289"/>
    </row>
    <row r="77" customFormat="false" ht="24" hidden="false" customHeight="true" outlineLevel="0" collapsed="false">
      <c r="B77" s="149" t="s">
        <v>610</v>
      </c>
      <c r="C77" s="149" t="s">
        <v>735</v>
      </c>
      <c r="D77" s="149" t="s">
        <v>736</v>
      </c>
      <c r="E77" s="149" t="s">
        <v>737</v>
      </c>
      <c r="F77" s="149" t="s">
        <v>738</v>
      </c>
    </row>
    <row r="78" customFormat="false" ht="30" hidden="false" customHeight="true" outlineLevel="0" collapsed="false">
      <c r="B78" s="315" t="s">
        <v>739</v>
      </c>
      <c r="C78" s="346" t="s">
        <v>740</v>
      </c>
      <c r="D78" s="347" t="s">
        <v>613</v>
      </c>
      <c r="E78" s="347" t="s">
        <v>741</v>
      </c>
      <c r="F78" s="348" t="s">
        <v>742</v>
      </c>
    </row>
    <row r="79" customFormat="false" ht="30" hidden="false" customHeight="true" outlineLevel="0" collapsed="false">
      <c r="B79" s="315" t="s">
        <v>743</v>
      </c>
      <c r="C79" s="346" t="s">
        <v>740</v>
      </c>
      <c r="D79" s="347" t="s">
        <v>613</v>
      </c>
      <c r="E79" s="347" t="s">
        <v>741</v>
      </c>
      <c r="F79" s="348" t="s">
        <v>744</v>
      </c>
    </row>
    <row r="80" customFormat="false" ht="30" hidden="false" customHeight="true" outlineLevel="0" collapsed="false">
      <c r="B80" s="315" t="s">
        <v>745</v>
      </c>
      <c r="C80" s="346" t="s">
        <v>740</v>
      </c>
      <c r="D80" s="347" t="s">
        <v>613</v>
      </c>
      <c r="E80" s="347" t="s">
        <v>741</v>
      </c>
      <c r="F80" s="348" t="s">
        <v>746</v>
      </c>
    </row>
    <row r="81" customFormat="false" ht="30" hidden="false" customHeight="true" outlineLevel="0" collapsed="false">
      <c r="B81" s="315" t="s">
        <v>747</v>
      </c>
      <c r="C81" s="346" t="s">
        <v>740</v>
      </c>
      <c r="D81" s="347" t="s">
        <v>613</v>
      </c>
      <c r="E81" s="347" t="s">
        <v>741</v>
      </c>
      <c r="F81" s="348" t="s">
        <v>748</v>
      </c>
    </row>
    <row r="82" customFormat="false" ht="30" hidden="false" customHeight="true" outlineLevel="0" collapsed="false">
      <c r="B82" s="315" t="s">
        <v>749</v>
      </c>
      <c r="C82" s="346" t="s">
        <v>740</v>
      </c>
      <c r="D82" s="347" t="s">
        <v>613</v>
      </c>
      <c r="E82" s="347" t="s">
        <v>741</v>
      </c>
      <c r="F82" s="348" t="s">
        <v>750</v>
      </c>
    </row>
    <row r="83" customFormat="false" ht="30" hidden="false" customHeight="true" outlineLevel="0" collapsed="false">
      <c r="B83" s="315" t="s">
        <v>751</v>
      </c>
      <c r="C83" s="346" t="s">
        <v>740</v>
      </c>
      <c r="D83" s="347" t="s">
        <v>613</v>
      </c>
      <c r="E83" s="347" t="s">
        <v>741</v>
      </c>
      <c r="F83" s="348" t="s">
        <v>752</v>
      </c>
    </row>
    <row r="84" customFormat="false" ht="36" hidden="false" customHeight="true" outlineLevel="0" collapsed="false">
      <c r="B84" s="317" t="s">
        <v>753</v>
      </c>
      <c r="C84" s="349" t="s">
        <v>754</v>
      </c>
      <c r="D84" s="330" t="s">
        <v>755</v>
      </c>
      <c r="E84" s="330" t="s">
        <v>741</v>
      </c>
      <c r="F84" s="321" t="s">
        <v>756</v>
      </c>
    </row>
    <row r="85" customFormat="false" ht="30" hidden="false" customHeight="true" outlineLevel="0" collapsed="false">
      <c r="B85" s="315" t="s">
        <v>757</v>
      </c>
      <c r="C85" s="346" t="s">
        <v>740</v>
      </c>
      <c r="D85" s="347" t="s">
        <v>613</v>
      </c>
      <c r="E85" s="347" t="s">
        <v>741</v>
      </c>
      <c r="F85" s="348" t="s">
        <v>758</v>
      </c>
    </row>
    <row r="86" customFormat="false" ht="30" hidden="false" customHeight="true" outlineLevel="0" collapsed="false">
      <c r="B86" s="315" t="s">
        <v>759</v>
      </c>
      <c r="C86" s="346" t="s">
        <v>740</v>
      </c>
      <c r="D86" s="347" t="s">
        <v>613</v>
      </c>
      <c r="E86" s="347" t="s">
        <v>741</v>
      </c>
      <c r="F86" s="348" t="s">
        <v>760</v>
      </c>
    </row>
    <row r="87" customFormat="false" ht="30" hidden="false" customHeight="true" outlineLevel="0" collapsed="false">
      <c r="B87" s="315" t="s">
        <v>761</v>
      </c>
      <c r="C87" s="346" t="s">
        <v>740</v>
      </c>
      <c r="D87" s="347" t="s">
        <v>613</v>
      </c>
      <c r="E87" s="347" t="s">
        <v>741</v>
      </c>
      <c r="F87" s="348" t="s">
        <v>762</v>
      </c>
    </row>
    <row r="88" customFormat="false" ht="30" hidden="false" customHeight="true" outlineLevel="0" collapsed="false">
      <c r="B88" s="315" t="s">
        <v>763</v>
      </c>
      <c r="C88" s="346" t="s">
        <v>740</v>
      </c>
      <c r="D88" s="347" t="s">
        <v>613</v>
      </c>
      <c r="E88" s="347" t="s">
        <v>741</v>
      </c>
      <c r="F88" s="348" t="s">
        <v>764</v>
      </c>
    </row>
    <row r="89" customFormat="false" ht="30" hidden="false" customHeight="true" outlineLevel="0" collapsed="false">
      <c r="B89" s="315" t="s">
        <v>765</v>
      </c>
      <c r="C89" s="346" t="s">
        <v>740</v>
      </c>
      <c r="D89" s="347" t="s">
        <v>613</v>
      </c>
      <c r="E89" s="347" t="s">
        <v>741</v>
      </c>
      <c r="F89" s="348" t="s">
        <v>766</v>
      </c>
    </row>
    <row r="90" customFormat="false" ht="30" hidden="false" customHeight="true" outlineLevel="0" collapsed="false">
      <c r="B90" s="315" t="s">
        <v>767</v>
      </c>
      <c r="C90" s="346" t="s">
        <v>740</v>
      </c>
      <c r="D90" s="347" t="s">
        <v>613</v>
      </c>
      <c r="E90" s="347" t="s">
        <v>741</v>
      </c>
      <c r="F90" s="348" t="s">
        <v>768</v>
      </c>
    </row>
    <row r="91" customFormat="false" ht="30" hidden="false" customHeight="true" outlineLevel="0" collapsed="false">
      <c r="B91" s="315" t="s">
        <v>769</v>
      </c>
      <c r="C91" s="346" t="s">
        <v>740</v>
      </c>
      <c r="D91" s="347" t="s">
        <v>613</v>
      </c>
      <c r="E91" s="347" t="s">
        <v>741</v>
      </c>
      <c r="F91" s="348" t="s">
        <v>770</v>
      </c>
    </row>
    <row r="92" customFormat="false" ht="30" hidden="false" customHeight="true" outlineLevel="0" collapsed="false">
      <c r="B92" s="315" t="s">
        <v>771</v>
      </c>
      <c r="C92" s="346" t="s">
        <v>740</v>
      </c>
      <c r="D92" s="347" t="s">
        <v>613</v>
      </c>
      <c r="E92" s="347" t="s">
        <v>741</v>
      </c>
      <c r="F92" s="348" t="s">
        <v>772</v>
      </c>
    </row>
    <row r="93" customFormat="false" ht="30" hidden="false" customHeight="true" outlineLevel="0" collapsed="false">
      <c r="B93" s="315" t="s">
        <v>773</v>
      </c>
      <c r="C93" s="346" t="s">
        <v>740</v>
      </c>
      <c r="D93" s="347" t="s">
        <v>613</v>
      </c>
      <c r="E93" s="347" t="s">
        <v>741</v>
      </c>
      <c r="F93" s="348" t="s">
        <v>774</v>
      </c>
    </row>
    <row r="94" customFormat="false" ht="30" hidden="false" customHeight="true" outlineLevel="0" collapsed="false">
      <c r="B94" s="317" t="s">
        <v>775</v>
      </c>
      <c r="C94" s="349" t="s">
        <v>776</v>
      </c>
      <c r="D94" s="330" t="s">
        <v>755</v>
      </c>
      <c r="E94" s="330" t="s">
        <v>741</v>
      </c>
      <c r="F94" s="321" t="s">
        <v>777</v>
      </c>
    </row>
    <row r="95" customFormat="false" ht="30" hidden="false" customHeight="true" outlineLevel="0" collapsed="false">
      <c r="B95" s="315" t="s">
        <v>778</v>
      </c>
      <c r="C95" s="346" t="s">
        <v>740</v>
      </c>
      <c r="D95" s="347" t="s">
        <v>613</v>
      </c>
      <c r="E95" s="347" t="s">
        <v>741</v>
      </c>
      <c r="F95" s="348" t="s">
        <v>779</v>
      </c>
    </row>
    <row r="96" customFormat="false" ht="30" hidden="false" customHeight="true" outlineLevel="0" collapsed="false">
      <c r="B96" s="315" t="s">
        <v>780</v>
      </c>
      <c r="C96" s="346" t="s">
        <v>740</v>
      </c>
      <c r="D96" s="347" t="s">
        <v>613</v>
      </c>
      <c r="E96" s="347" t="s">
        <v>741</v>
      </c>
      <c r="F96" s="348" t="s">
        <v>781</v>
      </c>
    </row>
    <row r="97" customFormat="false" ht="30" hidden="false" customHeight="true" outlineLevel="0" collapsed="false">
      <c r="B97" s="315" t="s">
        <v>782</v>
      </c>
      <c r="C97" s="346" t="s">
        <v>740</v>
      </c>
      <c r="D97" s="347" t="s">
        <v>613</v>
      </c>
      <c r="E97" s="347" t="s">
        <v>741</v>
      </c>
      <c r="F97" s="348" t="s">
        <v>783</v>
      </c>
    </row>
    <row r="98" customFormat="false" ht="30" hidden="false" customHeight="true" outlineLevel="0" collapsed="false">
      <c r="B98" s="315" t="s">
        <v>784</v>
      </c>
      <c r="C98" s="346" t="s">
        <v>740</v>
      </c>
      <c r="D98" s="347" t="s">
        <v>613</v>
      </c>
      <c r="E98" s="347" t="s">
        <v>741</v>
      </c>
      <c r="F98" s="348" t="s">
        <v>785</v>
      </c>
    </row>
    <row r="99" customFormat="false" ht="30" hidden="false" customHeight="true" outlineLevel="0" collapsed="false">
      <c r="B99" s="315" t="s">
        <v>786</v>
      </c>
      <c r="C99" s="346" t="s">
        <v>740</v>
      </c>
      <c r="D99" s="347" t="s">
        <v>613</v>
      </c>
      <c r="E99" s="347" t="s">
        <v>741</v>
      </c>
      <c r="F99" s="348" t="s">
        <v>787</v>
      </c>
    </row>
    <row r="100" customFormat="false" ht="30" hidden="false" customHeight="true" outlineLevel="0" collapsed="false">
      <c r="B100" s="315" t="s">
        <v>788</v>
      </c>
      <c r="C100" s="346" t="s">
        <v>740</v>
      </c>
      <c r="D100" s="347" t="s">
        <v>613</v>
      </c>
      <c r="E100" s="347" t="s">
        <v>741</v>
      </c>
      <c r="F100" s="348" t="s">
        <v>789</v>
      </c>
    </row>
    <row r="101" customFormat="false" ht="30" hidden="false" customHeight="true" outlineLevel="0" collapsed="false">
      <c r="B101" s="315" t="s">
        <v>790</v>
      </c>
      <c r="C101" s="346" t="s">
        <v>740</v>
      </c>
      <c r="D101" s="347" t="s">
        <v>613</v>
      </c>
      <c r="E101" s="347" t="s">
        <v>741</v>
      </c>
      <c r="F101" s="348" t="s">
        <v>791</v>
      </c>
    </row>
    <row r="102" customFormat="false" ht="30" hidden="false" customHeight="true" outlineLevel="0" collapsed="false">
      <c r="B102" s="317" t="s">
        <v>792</v>
      </c>
      <c r="C102" s="349" t="s">
        <v>793</v>
      </c>
      <c r="D102" s="330" t="s">
        <v>755</v>
      </c>
      <c r="E102" s="330" t="s">
        <v>741</v>
      </c>
      <c r="F102" s="321" t="s">
        <v>794</v>
      </c>
    </row>
    <row r="103" customFormat="false" ht="30" hidden="false" customHeight="true" outlineLevel="0" collapsed="false">
      <c r="B103" s="317" t="s">
        <v>795</v>
      </c>
      <c r="C103" s="349" t="s">
        <v>796</v>
      </c>
      <c r="D103" s="330" t="s">
        <v>755</v>
      </c>
      <c r="E103" s="330" t="s">
        <v>741</v>
      </c>
      <c r="F103" s="321" t="s">
        <v>797</v>
      </c>
    </row>
    <row r="104" customFormat="false" ht="30" hidden="false" customHeight="true" outlineLevel="0" collapsed="false">
      <c r="B104" s="315" t="s">
        <v>798</v>
      </c>
      <c r="C104" s="346" t="s">
        <v>740</v>
      </c>
      <c r="D104" s="347" t="s">
        <v>613</v>
      </c>
      <c r="E104" s="347" t="s">
        <v>741</v>
      </c>
      <c r="F104" s="348" t="s">
        <v>799</v>
      </c>
    </row>
    <row r="105" customFormat="false" ht="30" hidden="false" customHeight="true" outlineLevel="0" collapsed="false">
      <c r="B105" s="315" t="s">
        <v>800</v>
      </c>
      <c r="C105" s="346" t="s">
        <v>740</v>
      </c>
      <c r="D105" s="347" t="s">
        <v>613</v>
      </c>
      <c r="E105" s="347" t="s">
        <v>741</v>
      </c>
      <c r="F105" s="348" t="s">
        <v>801</v>
      </c>
    </row>
    <row r="106" customFormat="false" ht="30" hidden="false" customHeight="true" outlineLevel="0" collapsed="false">
      <c r="B106" s="315" t="s">
        <v>802</v>
      </c>
      <c r="C106" s="346" t="s">
        <v>740</v>
      </c>
      <c r="D106" s="347" t="s">
        <v>613</v>
      </c>
      <c r="E106" s="347" t="s">
        <v>741</v>
      </c>
      <c r="F106" s="348" t="s">
        <v>803</v>
      </c>
    </row>
    <row r="107" customFormat="false" ht="30" hidden="false" customHeight="true" outlineLevel="0" collapsed="false">
      <c r="B107" s="315" t="s">
        <v>804</v>
      </c>
      <c r="C107" s="346" t="s">
        <v>740</v>
      </c>
      <c r="D107" s="347" t="s">
        <v>613</v>
      </c>
      <c r="E107" s="347" t="s">
        <v>741</v>
      </c>
      <c r="F107" s="348" t="s">
        <v>805</v>
      </c>
    </row>
    <row r="108" customFormat="false" ht="30" hidden="false" customHeight="true" outlineLevel="0" collapsed="false">
      <c r="B108" s="315" t="s">
        <v>806</v>
      </c>
      <c r="C108" s="346" t="s">
        <v>740</v>
      </c>
      <c r="D108" s="347" t="s">
        <v>613</v>
      </c>
      <c r="E108" s="347" t="s">
        <v>741</v>
      </c>
      <c r="F108" s="348" t="s">
        <v>807</v>
      </c>
    </row>
    <row r="109" customFormat="false" ht="30" hidden="false" customHeight="true" outlineLevel="0" collapsed="false">
      <c r="B109" s="315" t="s">
        <v>808</v>
      </c>
      <c r="C109" s="346" t="s">
        <v>740</v>
      </c>
      <c r="D109" s="347" t="s">
        <v>613</v>
      </c>
      <c r="E109" s="347" t="s">
        <v>741</v>
      </c>
      <c r="F109" s="348" t="s">
        <v>809</v>
      </c>
    </row>
    <row r="110" customFormat="false" ht="30" hidden="false" customHeight="true" outlineLevel="0" collapsed="false">
      <c r="B110" s="315" t="s">
        <v>810</v>
      </c>
      <c r="C110" s="346" t="s">
        <v>740</v>
      </c>
      <c r="D110" s="347" t="s">
        <v>613</v>
      </c>
      <c r="E110" s="347" t="s">
        <v>741</v>
      </c>
      <c r="F110" s="348" t="s">
        <v>811</v>
      </c>
    </row>
    <row r="111" customFormat="false" ht="30" hidden="false" customHeight="true" outlineLevel="0" collapsed="false">
      <c r="B111" s="317" t="s">
        <v>812</v>
      </c>
      <c r="C111" s="349" t="s">
        <v>813</v>
      </c>
      <c r="D111" s="330" t="s">
        <v>755</v>
      </c>
      <c r="E111" s="330" t="s">
        <v>741</v>
      </c>
      <c r="F111" s="321" t="s">
        <v>814</v>
      </c>
    </row>
    <row r="112" customFormat="false" ht="33.75" hidden="false" customHeight="true" outlineLevel="0" collapsed="false">
      <c r="B112" s="350" t="s">
        <v>815</v>
      </c>
      <c r="C112" s="351" t="s">
        <v>816</v>
      </c>
      <c r="D112" s="352" t="s">
        <v>755</v>
      </c>
      <c r="E112" s="352" t="s">
        <v>817</v>
      </c>
      <c r="F112" s="353" t="s">
        <v>818</v>
      </c>
    </row>
    <row r="113" customFormat="false" ht="30" hidden="false" customHeight="true" outlineLevel="0" collapsed="false">
      <c r="B113" s="350" t="s">
        <v>819</v>
      </c>
      <c r="C113" s="351" t="s">
        <v>820</v>
      </c>
      <c r="D113" s="352" t="s">
        <v>755</v>
      </c>
      <c r="E113" s="352" t="s">
        <v>817</v>
      </c>
      <c r="F113" s="353" t="s">
        <v>821</v>
      </c>
    </row>
    <row r="114" customFormat="false" ht="30" hidden="false" customHeight="true" outlineLevel="0" collapsed="false">
      <c r="B114" s="350" t="s">
        <v>822</v>
      </c>
      <c r="C114" s="351" t="s">
        <v>823</v>
      </c>
      <c r="D114" s="352" t="s">
        <v>755</v>
      </c>
      <c r="E114" s="352" t="s">
        <v>817</v>
      </c>
      <c r="F114" s="353" t="s">
        <v>824</v>
      </c>
    </row>
    <row r="115" customFormat="false" ht="30" hidden="false" customHeight="true" outlineLevel="0" collapsed="false">
      <c r="B115" s="350" t="s">
        <v>825</v>
      </c>
      <c r="C115" s="351" t="s">
        <v>826</v>
      </c>
      <c r="D115" s="352" t="s">
        <v>755</v>
      </c>
      <c r="E115" s="352" t="s">
        <v>817</v>
      </c>
      <c r="F115" s="353" t="s">
        <v>827</v>
      </c>
    </row>
    <row r="116" customFormat="false" ht="30" hidden="false" customHeight="true" outlineLevel="0" collapsed="false">
      <c r="B116" s="350" t="s">
        <v>828</v>
      </c>
      <c r="C116" s="351" t="s">
        <v>829</v>
      </c>
      <c r="D116" s="352" t="s">
        <v>755</v>
      </c>
      <c r="E116" s="352" t="s">
        <v>817</v>
      </c>
      <c r="F116" s="353" t="s">
        <v>830</v>
      </c>
    </row>
    <row r="117" customFormat="false" ht="30" hidden="false" customHeight="true" outlineLevel="0" collapsed="false">
      <c r="B117" s="350" t="s">
        <v>831</v>
      </c>
      <c r="C117" s="351" t="s">
        <v>832</v>
      </c>
      <c r="D117" s="352" t="s">
        <v>755</v>
      </c>
      <c r="E117" s="352" t="s">
        <v>817</v>
      </c>
      <c r="F117" s="353" t="s">
        <v>833</v>
      </c>
    </row>
    <row r="118" customFormat="false" ht="30" hidden="false" customHeight="true" outlineLevel="0" collapsed="false">
      <c r="B118" s="350" t="s">
        <v>834</v>
      </c>
      <c r="C118" s="351" t="s">
        <v>835</v>
      </c>
      <c r="D118" s="352" t="s">
        <v>755</v>
      </c>
      <c r="E118" s="352" t="s">
        <v>817</v>
      </c>
      <c r="F118" s="353" t="s">
        <v>836</v>
      </c>
    </row>
    <row r="119" customFormat="false" ht="30" hidden="false" customHeight="true" outlineLevel="0" collapsed="false">
      <c r="B119" s="350" t="s">
        <v>837</v>
      </c>
      <c r="C119" s="351" t="s">
        <v>838</v>
      </c>
      <c r="D119" s="352" t="s">
        <v>755</v>
      </c>
      <c r="E119" s="352" t="s">
        <v>817</v>
      </c>
      <c r="F119" s="353" t="s">
        <v>839</v>
      </c>
    </row>
    <row r="120" customFormat="false" ht="30" hidden="false" customHeight="true" outlineLevel="0" collapsed="false">
      <c r="B120" s="350" t="s">
        <v>840</v>
      </c>
      <c r="C120" s="351" t="s">
        <v>841</v>
      </c>
      <c r="D120" s="352" t="s">
        <v>755</v>
      </c>
      <c r="E120" s="352" t="s">
        <v>817</v>
      </c>
      <c r="F120" s="353" t="s">
        <v>842</v>
      </c>
    </row>
    <row r="121" customFormat="false" ht="30" hidden="false" customHeight="true" outlineLevel="0" collapsed="false">
      <c r="B121" s="350" t="s">
        <v>843</v>
      </c>
      <c r="C121" s="351" t="s">
        <v>844</v>
      </c>
      <c r="D121" s="352" t="s">
        <v>755</v>
      </c>
      <c r="E121" s="352" t="s">
        <v>817</v>
      </c>
      <c r="F121" s="353" t="s">
        <v>845</v>
      </c>
    </row>
    <row r="122" customFormat="false" ht="30" hidden="false" customHeight="true" outlineLevel="0" collapsed="false">
      <c r="B122" s="350" t="s">
        <v>846</v>
      </c>
      <c r="C122" s="351" t="s">
        <v>847</v>
      </c>
      <c r="D122" s="352" t="s">
        <v>755</v>
      </c>
      <c r="E122" s="352" t="s">
        <v>817</v>
      </c>
      <c r="F122" s="353" t="s">
        <v>848</v>
      </c>
    </row>
    <row r="123" customFormat="false" ht="30" hidden="false" customHeight="true" outlineLevel="0" collapsed="false">
      <c r="B123" s="350" t="s">
        <v>849</v>
      </c>
      <c r="C123" s="351" t="s">
        <v>850</v>
      </c>
      <c r="D123" s="352" t="s">
        <v>755</v>
      </c>
      <c r="E123" s="352" t="s">
        <v>817</v>
      </c>
      <c r="F123" s="353" t="s">
        <v>851</v>
      </c>
    </row>
    <row r="124" customFormat="false" ht="30" hidden="false" customHeight="true" outlineLevel="0" collapsed="false">
      <c r="B124" s="350" t="s">
        <v>852</v>
      </c>
      <c r="C124" s="351" t="s">
        <v>853</v>
      </c>
      <c r="D124" s="352" t="s">
        <v>755</v>
      </c>
      <c r="E124" s="352" t="s">
        <v>817</v>
      </c>
      <c r="F124" s="353" t="s">
        <v>854</v>
      </c>
    </row>
    <row r="125" customFormat="false" ht="30" hidden="false" customHeight="true" outlineLevel="0" collapsed="false">
      <c r="B125" s="350" t="s">
        <v>855</v>
      </c>
      <c r="C125" s="351" t="s">
        <v>740</v>
      </c>
      <c r="D125" s="352" t="s">
        <v>613</v>
      </c>
      <c r="E125" s="352" t="s">
        <v>817</v>
      </c>
      <c r="F125" s="353" t="s">
        <v>856</v>
      </c>
    </row>
    <row r="126" customFormat="false" ht="30" hidden="false" customHeight="true" outlineLevel="0" collapsed="false">
      <c r="B126" s="350" t="s">
        <v>857</v>
      </c>
      <c r="C126" s="351" t="s">
        <v>858</v>
      </c>
      <c r="D126" s="352" t="s">
        <v>755</v>
      </c>
      <c r="E126" s="352" t="s">
        <v>817</v>
      </c>
      <c r="F126" s="353" t="s">
        <v>859</v>
      </c>
    </row>
    <row r="127" customFormat="false" ht="30" hidden="false" customHeight="true" outlineLevel="0" collapsed="false">
      <c r="B127" s="350" t="s">
        <v>860</v>
      </c>
      <c r="C127" s="351" t="s">
        <v>861</v>
      </c>
      <c r="D127" s="352" t="s">
        <v>755</v>
      </c>
      <c r="E127" s="352" t="s">
        <v>817</v>
      </c>
      <c r="F127" s="353" t="s">
        <v>862</v>
      </c>
    </row>
    <row r="128" customFormat="false" ht="30" hidden="false" customHeight="true" outlineLevel="0" collapsed="false">
      <c r="B128" s="350" t="s">
        <v>863</v>
      </c>
      <c r="C128" s="351" t="s">
        <v>864</v>
      </c>
      <c r="D128" s="352" t="s">
        <v>755</v>
      </c>
      <c r="E128" s="352" t="s">
        <v>817</v>
      </c>
      <c r="F128" s="353" t="s">
        <v>865</v>
      </c>
    </row>
    <row r="129" customFormat="false" ht="45" hidden="false" customHeight="true" outlineLevel="0" collapsed="false">
      <c r="B129" s="350" t="s">
        <v>866</v>
      </c>
      <c r="C129" s="351" t="s">
        <v>867</v>
      </c>
      <c r="D129" s="352" t="s">
        <v>755</v>
      </c>
      <c r="E129" s="352" t="s">
        <v>817</v>
      </c>
      <c r="F129" s="353" t="s">
        <v>868</v>
      </c>
    </row>
    <row r="130" customFormat="false" ht="45" hidden="false" customHeight="true" outlineLevel="0" collapsed="false">
      <c r="B130" s="350" t="s">
        <v>869</v>
      </c>
      <c r="C130" s="351" t="s">
        <v>870</v>
      </c>
      <c r="D130" s="352" t="s">
        <v>755</v>
      </c>
      <c r="E130" s="352" t="s">
        <v>817</v>
      </c>
      <c r="F130" s="353" t="s">
        <v>871</v>
      </c>
    </row>
    <row r="132" customFormat="false" ht="21.75" hidden="false" customHeight="true" outlineLevel="0" collapsed="false">
      <c r="A132" s="289" t="s">
        <v>872</v>
      </c>
      <c r="B132" s="289"/>
      <c r="C132" s="289"/>
      <c r="D132" s="289"/>
      <c r="E132" s="289"/>
      <c r="F132" s="289"/>
    </row>
    <row r="133" customFormat="false" ht="19.5" hidden="false" customHeight="true" outlineLevel="0" collapsed="false">
      <c r="B133" s="149" t="s">
        <v>873</v>
      </c>
      <c r="C133" s="149" t="s">
        <v>874</v>
      </c>
      <c r="D133" s="149"/>
      <c r="E133" s="149" t="s">
        <v>875</v>
      </c>
      <c r="F133" s="149"/>
    </row>
    <row r="134" customFormat="false" ht="48" hidden="false" customHeight="true" outlineLevel="0" collapsed="false">
      <c r="B134" s="290" t="s">
        <v>876</v>
      </c>
      <c r="C134" s="354" t="s">
        <v>877</v>
      </c>
      <c r="D134" s="354"/>
      <c r="E134" s="291" t="s">
        <v>878</v>
      </c>
      <c r="F134" s="291"/>
    </row>
    <row r="135" customFormat="false" ht="48" hidden="false" customHeight="true" outlineLevel="0" collapsed="false">
      <c r="B135" s="290" t="s">
        <v>879</v>
      </c>
      <c r="C135" s="354" t="s">
        <v>880</v>
      </c>
      <c r="D135" s="354"/>
      <c r="E135" s="291" t="s">
        <v>881</v>
      </c>
      <c r="F135" s="291"/>
    </row>
    <row r="136" customFormat="false" ht="48" hidden="false" customHeight="true" outlineLevel="0" collapsed="false">
      <c r="B136" s="290" t="s">
        <v>882</v>
      </c>
      <c r="C136" s="354" t="s">
        <v>883</v>
      </c>
      <c r="D136" s="354"/>
      <c r="E136" s="291" t="s">
        <v>884</v>
      </c>
      <c r="F136" s="291"/>
    </row>
    <row r="137" customFormat="false" ht="48" hidden="false" customHeight="true" outlineLevel="0" collapsed="false">
      <c r="B137" s="290" t="s">
        <v>885</v>
      </c>
      <c r="C137" s="354" t="s">
        <v>886</v>
      </c>
      <c r="D137" s="354"/>
      <c r="E137" s="291" t="s">
        <v>887</v>
      </c>
      <c r="F137" s="291"/>
    </row>
    <row r="138" customFormat="false" ht="48" hidden="false" customHeight="true" outlineLevel="0" collapsed="false">
      <c r="B138" s="290" t="s">
        <v>888</v>
      </c>
      <c r="C138" s="354" t="s">
        <v>889</v>
      </c>
      <c r="D138" s="354"/>
      <c r="E138" s="291" t="s">
        <v>890</v>
      </c>
      <c r="F138" s="291"/>
    </row>
    <row r="139" customFormat="false" ht="48" hidden="false" customHeight="true" outlineLevel="0" collapsed="false">
      <c r="B139" s="290" t="s">
        <v>891</v>
      </c>
      <c r="C139" s="354" t="s">
        <v>892</v>
      </c>
      <c r="D139" s="354"/>
      <c r="E139" s="291" t="s">
        <v>893</v>
      </c>
      <c r="F139" s="291"/>
    </row>
    <row r="140" customFormat="false" ht="48" hidden="false" customHeight="true" outlineLevel="0" collapsed="false">
      <c r="B140" s="290" t="s">
        <v>894</v>
      </c>
      <c r="C140" s="354" t="s">
        <v>895</v>
      </c>
      <c r="D140" s="354"/>
      <c r="E140" s="291" t="s">
        <v>896</v>
      </c>
      <c r="F140" s="291"/>
    </row>
    <row r="141" customFormat="false" ht="48" hidden="false" customHeight="true" outlineLevel="0" collapsed="false">
      <c r="B141" s="290" t="s">
        <v>897</v>
      </c>
      <c r="C141" s="354" t="s">
        <v>898</v>
      </c>
      <c r="D141" s="354"/>
      <c r="E141" s="291" t="s">
        <v>899</v>
      </c>
      <c r="F141" s="291"/>
    </row>
    <row r="142" customFormat="false" ht="48" hidden="false" customHeight="true" outlineLevel="0" collapsed="false">
      <c r="B142" s="290" t="s">
        <v>900</v>
      </c>
      <c r="C142" s="354" t="s">
        <v>901</v>
      </c>
      <c r="D142" s="354"/>
      <c r="E142" s="291" t="s">
        <v>902</v>
      </c>
      <c r="F142" s="291"/>
    </row>
    <row r="143" customFormat="false" ht="48" hidden="false" customHeight="true" outlineLevel="0" collapsed="false">
      <c r="B143" s="290" t="s">
        <v>903</v>
      </c>
      <c r="C143" s="354" t="s">
        <v>904</v>
      </c>
      <c r="D143" s="354"/>
      <c r="E143" s="291" t="s">
        <v>905</v>
      </c>
      <c r="F143" s="291"/>
    </row>
    <row r="144" customFormat="false" ht="48" hidden="false" customHeight="true" outlineLevel="0" collapsed="false">
      <c r="B144" s="290" t="s">
        <v>906</v>
      </c>
      <c r="C144" s="354" t="s">
        <v>907</v>
      </c>
      <c r="D144" s="354"/>
      <c r="E144" s="291" t="s">
        <v>908</v>
      </c>
      <c r="F144" s="291"/>
    </row>
    <row r="145" customFormat="false" ht="48" hidden="false" customHeight="true" outlineLevel="0" collapsed="false">
      <c r="B145" s="290" t="s">
        <v>909</v>
      </c>
      <c r="C145" s="354" t="s">
        <v>910</v>
      </c>
      <c r="D145" s="354"/>
      <c r="E145" s="291" t="s">
        <v>911</v>
      </c>
      <c r="F145" s="291"/>
    </row>
    <row r="146" customFormat="false" ht="48" hidden="false" customHeight="true" outlineLevel="0" collapsed="false">
      <c r="B146" s="290" t="s">
        <v>912</v>
      </c>
      <c r="C146" s="354" t="s">
        <v>913</v>
      </c>
      <c r="D146" s="354"/>
      <c r="E146" s="291" t="s">
        <v>914</v>
      </c>
      <c r="F146" s="291"/>
    </row>
    <row r="148" customFormat="false" ht="21.75" hidden="false" customHeight="true" outlineLevel="0" collapsed="false">
      <c r="A148" s="289" t="s">
        <v>915</v>
      </c>
      <c r="B148" s="289"/>
      <c r="C148" s="289"/>
      <c r="D148" s="289"/>
      <c r="E148" s="289"/>
      <c r="F148" s="289"/>
    </row>
    <row r="149" customFormat="false" ht="19.5" hidden="false" customHeight="true" outlineLevel="0" collapsed="false">
      <c r="B149" s="149" t="s">
        <v>916</v>
      </c>
      <c r="C149" s="149" t="s">
        <v>917</v>
      </c>
      <c r="D149" s="149"/>
      <c r="E149" s="149" t="s">
        <v>918</v>
      </c>
      <c r="F149" s="149"/>
    </row>
    <row r="150" customFormat="false" ht="33.75" hidden="false" customHeight="true" outlineLevel="0" collapsed="false">
      <c r="B150" s="290" t="s">
        <v>919</v>
      </c>
      <c r="C150" s="291" t="s">
        <v>920</v>
      </c>
      <c r="D150" s="291"/>
      <c r="E150" s="355" t="s">
        <v>921</v>
      </c>
      <c r="F150" s="355"/>
    </row>
    <row r="151" customFormat="false" ht="33.75" hidden="false" customHeight="true" outlineLevel="0" collapsed="false">
      <c r="B151" s="290" t="s">
        <v>922</v>
      </c>
      <c r="C151" s="291" t="s">
        <v>923</v>
      </c>
      <c r="D151" s="291"/>
      <c r="E151" s="355" t="s">
        <v>924</v>
      </c>
      <c r="F151" s="355"/>
    </row>
    <row r="152" customFormat="false" ht="33.75" hidden="false" customHeight="true" outlineLevel="0" collapsed="false">
      <c r="B152" s="290" t="s">
        <v>925</v>
      </c>
      <c r="C152" s="291" t="s">
        <v>926</v>
      </c>
      <c r="D152" s="291"/>
      <c r="E152" s="355" t="s">
        <v>927</v>
      </c>
      <c r="F152" s="355"/>
    </row>
    <row r="153" customFormat="false" ht="33.75" hidden="false" customHeight="true" outlineLevel="0" collapsed="false">
      <c r="B153" s="290" t="s">
        <v>928</v>
      </c>
      <c r="C153" s="291" t="s">
        <v>929</v>
      </c>
      <c r="D153" s="291"/>
      <c r="E153" s="355" t="s">
        <v>930</v>
      </c>
      <c r="F153" s="355"/>
    </row>
    <row r="154" customFormat="false" ht="33.75" hidden="false" customHeight="true" outlineLevel="0" collapsed="false">
      <c r="B154" s="290" t="s">
        <v>931</v>
      </c>
      <c r="C154" s="291" t="s">
        <v>932</v>
      </c>
      <c r="D154" s="291"/>
      <c r="E154" s="355" t="s">
        <v>933</v>
      </c>
      <c r="F154" s="355"/>
    </row>
    <row r="155" customFormat="false" ht="33.75" hidden="false" customHeight="true" outlineLevel="0" collapsed="false">
      <c r="B155" s="290" t="s">
        <v>934</v>
      </c>
      <c r="C155" s="291" t="s">
        <v>935</v>
      </c>
      <c r="D155" s="291"/>
      <c r="E155" s="355" t="s">
        <v>936</v>
      </c>
      <c r="F155" s="355"/>
    </row>
    <row r="156" customFormat="false" ht="33.75" hidden="false" customHeight="true" outlineLevel="0" collapsed="false">
      <c r="B156" s="290" t="s">
        <v>937</v>
      </c>
      <c r="C156" s="291" t="s">
        <v>938</v>
      </c>
      <c r="D156" s="291"/>
      <c r="E156" s="355" t="s">
        <v>939</v>
      </c>
      <c r="F156" s="355"/>
    </row>
    <row r="157" customFormat="false" ht="33.75" hidden="false" customHeight="true" outlineLevel="0" collapsed="false">
      <c r="B157" s="290" t="s">
        <v>940</v>
      </c>
      <c r="C157" s="291" t="s">
        <v>941</v>
      </c>
      <c r="D157" s="291"/>
      <c r="E157" s="355" t="s">
        <v>942</v>
      </c>
      <c r="F157" s="355"/>
    </row>
    <row r="158" customFormat="false" ht="33.75" hidden="false" customHeight="true" outlineLevel="0" collapsed="false">
      <c r="B158" s="290" t="s">
        <v>943</v>
      </c>
      <c r="C158" s="291" t="s">
        <v>944</v>
      </c>
      <c r="D158" s="291"/>
      <c r="E158" s="355" t="s">
        <v>945</v>
      </c>
      <c r="F158" s="355"/>
    </row>
    <row r="159" customFormat="false" ht="33.75" hidden="false" customHeight="true" outlineLevel="0" collapsed="false">
      <c r="B159" s="290" t="s">
        <v>946</v>
      </c>
      <c r="C159" s="291" t="s">
        <v>947</v>
      </c>
      <c r="D159" s="291"/>
      <c r="E159" s="355" t="s">
        <v>948</v>
      </c>
      <c r="F159" s="355"/>
    </row>
    <row r="160" customFormat="false" ht="33.75" hidden="false" customHeight="true" outlineLevel="0" collapsed="false">
      <c r="B160" s="290" t="s">
        <v>949</v>
      </c>
      <c r="C160" s="291" t="s">
        <v>950</v>
      </c>
      <c r="D160" s="291"/>
      <c r="E160" s="355" t="s">
        <v>951</v>
      </c>
      <c r="F160" s="355"/>
    </row>
    <row r="161" customFormat="false" ht="33.75" hidden="false" customHeight="true" outlineLevel="0" collapsed="false">
      <c r="B161" s="290" t="s">
        <v>952</v>
      </c>
      <c r="C161" s="291" t="s">
        <v>953</v>
      </c>
      <c r="D161" s="291"/>
      <c r="E161" s="355" t="s">
        <v>954</v>
      </c>
      <c r="F161" s="355"/>
    </row>
    <row r="162" customFormat="false" ht="33.75" hidden="false" customHeight="true" outlineLevel="0" collapsed="false">
      <c r="B162" s="290" t="s">
        <v>955</v>
      </c>
      <c r="C162" s="291" t="s">
        <v>956</v>
      </c>
      <c r="D162" s="291"/>
      <c r="E162" s="355" t="s">
        <v>957</v>
      </c>
      <c r="F162" s="355"/>
    </row>
    <row r="163" customFormat="false" ht="33.75" hidden="false" customHeight="true" outlineLevel="0" collapsed="false">
      <c r="B163" s="290" t="s">
        <v>958</v>
      </c>
      <c r="C163" s="291" t="s">
        <v>959</v>
      </c>
      <c r="D163" s="291"/>
      <c r="E163" s="355" t="s">
        <v>960</v>
      </c>
      <c r="F163" s="355"/>
    </row>
    <row r="164" customFormat="false" ht="33.75" hidden="false" customHeight="true" outlineLevel="0" collapsed="false">
      <c r="B164" s="300" t="s">
        <v>961</v>
      </c>
      <c r="C164" s="301" t="s">
        <v>962</v>
      </c>
      <c r="D164" s="301"/>
      <c r="E164" s="356" t="s">
        <v>963</v>
      </c>
      <c r="F164" s="356"/>
    </row>
  </sheetData>
  <mergeCells count="71">
    <mergeCell ref="A1:F1"/>
    <mergeCell ref="A2:F2"/>
    <mergeCell ref="A4:F4"/>
    <mergeCell ref="B13:F13"/>
    <mergeCell ref="A15:F15"/>
    <mergeCell ref="A36:F36"/>
    <mergeCell ref="A57:F57"/>
    <mergeCell ref="A62:F62"/>
    <mergeCell ref="A76:F76"/>
    <mergeCell ref="A132:F132"/>
    <mergeCell ref="C133:D133"/>
    <mergeCell ref="E133:F133"/>
    <mergeCell ref="C134:D134"/>
    <mergeCell ref="E134:F134"/>
    <mergeCell ref="C135:D135"/>
    <mergeCell ref="E135:F135"/>
    <mergeCell ref="C136:D136"/>
    <mergeCell ref="E136:F136"/>
    <mergeCell ref="C137:D137"/>
    <mergeCell ref="E137:F137"/>
    <mergeCell ref="C138:D138"/>
    <mergeCell ref="E138:F138"/>
    <mergeCell ref="C139:D139"/>
    <mergeCell ref="E139:F139"/>
    <mergeCell ref="C140:D140"/>
    <mergeCell ref="E140:F140"/>
    <mergeCell ref="C141:D141"/>
    <mergeCell ref="E141:F141"/>
    <mergeCell ref="C142:D142"/>
    <mergeCell ref="E142:F142"/>
    <mergeCell ref="C143:D143"/>
    <mergeCell ref="E143:F143"/>
    <mergeCell ref="C144:D144"/>
    <mergeCell ref="E144:F144"/>
    <mergeCell ref="C145:D145"/>
    <mergeCell ref="E145:F145"/>
    <mergeCell ref="C146:D146"/>
    <mergeCell ref="E146:F146"/>
    <mergeCell ref="A148:F148"/>
    <mergeCell ref="C149:D149"/>
    <mergeCell ref="E149:F149"/>
    <mergeCell ref="C150:D150"/>
    <mergeCell ref="E150:F150"/>
    <mergeCell ref="C151:D151"/>
    <mergeCell ref="E151:F151"/>
    <mergeCell ref="C152:D152"/>
    <mergeCell ref="E152:F152"/>
    <mergeCell ref="C153:D153"/>
    <mergeCell ref="E153:F153"/>
    <mergeCell ref="C154:D154"/>
    <mergeCell ref="E154:F154"/>
    <mergeCell ref="C155:D155"/>
    <mergeCell ref="E155:F155"/>
    <mergeCell ref="C156:D156"/>
    <mergeCell ref="E156:F156"/>
    <mergeCell ref="C157:D157"/>
    <mergeCell ref="E157:F157"/>
    <mergeCell ref="C158:D158"/>
    <mergeCell ref="E158:F158"/>
    <mergeCell ref="C159:D159"/>
    <mergeCell ref="E159:F159"/>
    <mergeCell ref="C160:D160"/>
    <mergeCell ref="E160:F160"/>
    <mergeCell ref="C161:D161"/>
    <mergeCell ref="E161:F161"/>
    <mergeCell ref="C162:D162"/>
    <mergeCell ref="E162:F162"/>
    <mergeCell ref="C163:D163"/>
    <mergeCell ref="E163:F163"/>
    <mergeCell ref="C164:D164"/>
    <mergeCell ref="E164:F164"/>
  </mergeCell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Herleitung und Formeln</oddHeader>
    <oddFooter>&amp;L&amp;8 Mobil in Time AG · An Aggreko Company&amp;C&amp;8 Stand: &amp;D&amp;R&amp;8 Seite &amp;P von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A017"/>
    <pageSetUpPr fitToPage="true"/>
  </sheetPr>
  <dimension ref="A1:J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1.52"/>
    <col collapsed="false" customWidth="true" hidden="false" outlineLevel="0" max="2" min="2" style="1" width="15"/>
    <col collapsed="false" customWidth="true" hidden="false" outlineLevel="0" max="4" min="3" style="1" width="16"/>
    <col collapsed="false" customWidth="true" hidden="false" outlineLevel="0" max="5" min="5" style="1" width="15"/>
    <col collapsed="false" customWidth="true" hidden="false" outlineLevel="0" max="7" min="6" style="1" width="16"/>
    <col collapsed="false" customWidth="true" hidden="false" outlineLevel="0" max="8" min="8" style="1" width="15"/>
    <col collapsed="false" customWidth="true" hidden="false" outlineLevel="0" max="9" min="9" style="1" width="3"/>
    <col collapsed="false" customWidth="true" hidden="true" outlineLevel="0" max="10" min="10" style="1" width="18"/>
  </cols>
  <sheetData>
    <row r="1" customFormat="false" ht="33.75" hidden="false" customHeight="true" outlineLevel="0" collapsed="false">
      <c r="A1" s="287" t="s">
        <v>964</v>
      </c>
      <c r="B1" s="287"/>
      <c r="C1" s="287"/>
      <c r="D1" s="287"/>
      <c r="E1" s="287"/>
      <c r="F1" s="287"/>
      <c r="G1" s="287"/>
      <c r="H1" s="287"/>
    </row>
    <row r="2" customFormat="false" ht="25.5" hidden="false" customHeight="true" outlineLevel="0" collapsed="false">
      <c r="A2" s="288" t="s">
        <v>965</v>
      </c>
      <c r="B2" s="288"/>
      <c r="C2" s="288"/>
      <c r="D2" s="288"/>
      <c r="E2" s="288"/>
      <c r="F2" s="288"/>
      <c r="G2" s="288"/>
      <c r="H2" s="288"/>
    </row>
    <row r="3" customFormat="false" ht="15" hidden="false" customHeight="true" outlineLevel="0" collapsed="false">
      <c r="A3" s="357" t="str">
        <f aca="true">"Stand: "&amp;TEXT(TODAY(),"DD.MM.YYYY")&amp;"   ·   Quelle: Vorgabe Aggreko (Reporting-Update «Probability to Win» / «Pipeline (Weighted)»)"</f>
        <v>Stand: 10.08.2026   ·   Quelle: Vorgabe Aggreko (Reporting-Update «Probability to Win» / «Pipeline (Weighted)»)</v>
      </c>
      <c r="B3" s="357"/>
      <c r="C3" s="357"/>
      <c r="D3" s="357"/>
      <c r="E3" s="357"/>
      <c r="F3" s="357"/>
      <c r="G3" s="357"/>
      <c r="H3" s="357"/>
    </row>
    <row r="4" customFormat="false" ht="21.75" hidden="false" customHeight="true" outlineLevel="0" collapsed="false">
      <c r="A4" s="289" t="s">
        <v>966</v>
      </c>
      <c r="B4" s="289"/>
      <c r="C4" s="289"/>
      <c r="D4" s="289"/>
      <c r="E4" s="289"/>
      <c r="F4" s="289"/>
      <c r="G4" s="289"/>
      <c r="H4" s="289"/>
    </row>
    <row r="5" customFormat="false" ht="30" hidden="false" customHeight="true" outlineLevel="0" collapsed="false">
      <c r="A5" s="149" t="s">
        <v>6</v>
      </c>
      <c r="B5" s="149" t="s">
        <v>967</v>
      </c>
      <c r="C5" s="149" t="s">
        <v>968</v>
      </c>
      <c r="D5" s="149"/>
      <c r="E5" s="149"/>
      <c r="F5" s="149" t="s">
        <v>969</v>
      </c>
      <c r="G5" s="149"/>
      <c r="H5" s="149"/>
    </row>
    <row r="6" customFormat="false" ht="18.75" hidden="false" customHeight="true" outlineLevel="0" collapsed="false">
      <c r="A6" s="358" t="n">
        <v>1</v>
      </c>
      <c r="B6" s="359" t="n">
        <v>0</v>
      </c>
      <c r="C6" s="291" t="s">
        <v>970</v>
      </c>
      <c r="D6" s="291"/>
      <c r="E6" s="291"/>
      <c r="F6" s="360" t="s">
        <v>971</v>
      </c>
      <c r="G6" s="360"/>
      <c r="H6" s="360"/>
    </row>
    <row r="7" customFormat="false" ht="84" hidden="false" customHeight="true" outlineLevel="0" collapsed="false">
      <c r="A7" s="358" t="n">
        <v>2</v>
      </c>
      <c r="B7" s="359" t="n">
        <v>0.1</v>
      </c>
      <c r="C7" s="291" t="s">
        <v>972</v>
      </c>
      <c r="D7" s="291"/>
      <c r="E7" s="291"/>
      <c r="F7" s="360" t="s">
        <v>973</v>
      </c>
      <c r="G7" s="360"/>
      <c r="H7" s="360"/>
    </row>
    <row r="8" customFormat="false" ht="30" hidden="false" customHeight="true" outlineLevel="0" collapsed="false">
      <c r="A8" s="358" t="n">
        <v>3</v>
      </c>
      <c r="B8" s="359" t="n">
        <v>0.3</v>
      </c>
      <c r="C8" s="291" t="s">
        <v>974</v>
      </c>
      <c r="D8" s="291"/>
      <c r="E8" s="291"/>
      <c r="F8" s="360" t="s">
        <v>975</v>
      </c>
      <c r="G8" s="360"/>
      <c r="H8" s="360"/>
    </row>
    <row r="9" customFormat="false" ht="55.5" hidden="false" customHeight="true" outlineLevel="0" collapsed="false">
      <c r="A9" s="358" t="n">
        <v>4</v>
      </c>
      <c r="B9" s="359" t="n">
        <v>0.6</v>
      </c>
      <c r="C9" s="291" t="s">
        <v>976</v>
      </c>
      <c r="D9" s="291"/>
      <c r="E9" s="291"/>
      <c r="F9" s="360" t="s">
        <v>977</v>
      </c>
      <c r="G9" s="360"/>
      <c r="H9" s="360"/>
    </row>
    <row r="10" customFormat="false" ht="55.5" hidden="false" customHeight="true" outlineLevel="0" collapsed="false">
      <c r="A10" s="358" t="n">
        <v>5</v>
      </c>
      <c r="B10" s="359" t="n">
        <v>0.9</v>
      </c>
      <c r="C10" s="291" t="s">
        <v>978</v>
      </c>
      <c r="D10" s="291"/>
      <c r="E10" s="291"/>
      <c r="F10" s="360" t="s">
        <v>979</v>
      </c>
      <c r="G10" s="360"/>
      <c r="H10" s="360"/>
    </row>
    <row r="11" customFormat="false" ht="72" hidden="false" customHeight="true" outlineLevel="0" collapsed="false">
      <c r="A11" s="358" t="n">
        <v>6</v>
      </c>
      <c r="B11" s="359" t="n">
        <v>1</v>
      </c>
      <c r="C11" s="291" t="s">
        <v>980</v>
      </c>
      <c r="D11" s="291"/>
      <c r="E11" s="291"/>
      <c r="F11" s="360" t="s">
        <v>981</v>
      </c>
      <c r="G11" s="360"/>
      <c r="H11" s="360"/>
    </row>
    <row r="12" customFormat="false" ht="24" hidden="false" customHeight="true" outlineLevel="0" collapsed="false">
      <c r="A12" s="323" t="s">
        <v>982</v>
      </c>
      <c r="B12" s="323"/>
      <c r="C12" s="323"/>
      <c r="D12" s="323"/>
      <c r="E12" s="323"/>
      <c r="F12" s="323"/>
      <c r="G12" s="323"/>
      <c r="H12" s="323"/>
    </row>
    <row r="14" customFormat="false" ht="21.75" hidden="false" customHeight="true" outlineLevel="0" collapsed="false">
      <c r="A14" s="289" t="s">
        <v>983</v>
      </c>
      <c r="B14" s="289"/>
      <c r="C14" s="289"/>
      <c r="D14" s="289"/>
      <c r="E14" s="289"/>
      <c r="F14" s="289"/>
      <c r="G14" s="289"/>
      <c r="H14" s="289"/>
    </row>
    <row r="15" customFormat="false" ht="15" hidden="false" customHeight="true" outlineLevel="0" collapsed="false">
      <c r="A15" s="186" t="s">
        <v>984</v>
      </c>
      <c r="B15" s="186"/>
      <c r="C15" s="186"/>
      <c r="D15" s="186"/>
      <c r="E15" s="186"/>
      <c r="F15" s="186"/>
      <c r="G15" s="186"/>
      <c r="H15" s="186"/>
    </row>
    <row r="16" customFormat="false" ht="31.5" hidden="false" customHeight="true" outlineLevel="0" collapsed="false">
      <c r="A16" s="149" t="s">
        <v>85</v>
      </c>
      <c r="B16" s="149" t="s">
        <v>985</v>
      </c>
      <c r="C16" s="149" t="s">
        <v>986</v>
      </c>
      <c r="D16" s="149" t="s">
        <v>987</v>
      </c>
      <c r="E16" s="149" t="s">
        <v>988</v>
      </c>
      <c r="F16" s="149" t="s">
        <v>28</v>
      </c>
      <c r="G16" s="149" t="s">
        <v>29</v>
      </c>
      <c r="H16" s="149" t="s">
        <v>989</v>
      </c>
      <c r="J16" s="148" t="s">
        <v>990</v>
      </c>
    </row>
    <row r="17" customFormat="false" ht="19.5" hidden="false" customHeight="true" outlineLevel="0" collapsed="false">
      <c r="A17" s="361" t="s">
        <v>991</v>
      </c>
      <c r="B17" s="362" t="n">
        <v>0</v>
      </c>
      <c r="C17" s="362" t="n">
        <v>0.4499999</v>
      </c>
      <c r="D17" s="363" t="n">
        <v>0</v>
      </c>
      <c r="E17" s="152" t="n">
        <f aca="false">SUMPRODUCT('MiT Strom Pipeline'!$AP$6:$AP$860,--('MiT Strom Pipeline'!$AJ$6:$AJ$860=$D17))</f>
        <v>30</v>
      </c>
      <c r="F17" s="153" t="n">
        <f aca="false">SUMPRODUCT('MiT Strom Pipeline'!$AP$6:$AP$860,--('MiT Strom Pipeline'!$AJ$6:$AJ$860=$D17),'MiT Strom Pipeline'!$AL$6:$AL$860)</f>
        <v>5092182.15</v>
      </c>
      <c r="G17" s="364" t="n">
        <f aca="false">F17*$D17</f>
        <v>0</v>
      </c>
      <c r="H17" s="229" t="n">
        <f aca="false">IFERROR(G17/$G$22,0)</f>
        <v>0</v>
      </c>
      <c r="J17" s="358" t="s">
        <v>244</v>
      </c>
    </row>
    <row r="18" customFormat="false" ht="19.5" hidden="false" customHeight="true" outlineLevel="0" collapsed="false">
      <c r="A18" s="365" t="s">
        <v>992</v>
      </c>
      <c r="B18" s="366" t="n">
        <v>0.45</v>
      </c>
      <c r="C18" s="366" t="n">
        <v>0.5999999</v>
      </c>
      <c r="D18" s="363" t="n">
        <v>0.3</v>
      </c>
      <c r="E18" s="158" t="n">
        <f aca="false">SUMPRODUCT('MiT Strom Pipeline'!$AP$6:$AP$860,--('MiT Strom Pipeline'!$AJ$6:$AJ$860=$D18))</f>
        <v>0</v>
      </c>
      <c r="F18" s="159" t="n">
        <f aca="false">SUMPRODUCT('MiT Strom Pipeline'!$AP$6:$AP$860,--('MiT Strom Pipeline'!$AJ$6:$AJ$860=$D18),'MiT Strom Pipeline'!$AL$6:$AL$860)</f>
        <v>0</v>
      </c>
      <c r="G18" s="367" t="n">
        <f aca="false">F18*$D18</f>
        <v>0</v>
      </c>
      <c r="H18" s="231" t="n">
        <f aca="false">IFERROR(G18/$G$22,0)</f>
        <v>0</v>
      </c>
      <c r="J18" s="358" t="s">
        <v>219</v>
      </c>
    </row>
    <row r="19" customFormat="false" ht="19.5" hidden="false" customHeight="true" outlineLevel="0" collapsed="false">
      <c r="A19" s="368" t="s">
        <v>993</v>
      </c>
      <c r="B19" s="369" t="n">
        <v>0.6</v>
      </c>
      <c r="C19" s="369" t="n">
        <v>0.8999999</v>
      </c>
      <c r="D19" s="363" t="n">
        <v>0.5</v>
      </c>
      <c r="E19" s="164" t="n">
        <f aca="false">SUMPRODUCT('MiT Strom Pipeline'!$AP$6:$AP$860,--('MiT Strom Pipeline'!$AJ$6:$AJ$860=$D19))</f>
        <v>2</v>
      </c>
      <c r="F19" s="165" t="n">
        <f aca="false">SUMPRODUCT('MiT Strom Pipeline'!$AP$6:$AP$860,--('MiT Strom Pipeline'!$AJ$6:$AJ$860=$D19),'MiT Strom Pipeline'!$AL$6:$AL$860)</f>
        <v>268500.23</v>
      </c>
      <c r="G19" s="370" t="n">
        <f aca="false">F19*$D19</f>
        <v>134250.115</v>
      </c>
      <c r="H19" s="233" t="n">
        <f aca="false">IFERROR(G19/$G$22,0)</f>
        <v>0.0824416636394636</v>
      </c>
      <c r="J19" s="358" t="s">
        <v>537</v>
      </c>
    </row>
    <row r="20" customFormat="false" ht="19.5" hidden="false" customHeight="true" outlineLevel="0" collapsed="false">
      <c r="A20" s="371" t="s">
        <v>994</v>
      </c>
      <c r="B20" s="372" t="n">
        <v>0.9</v>
      </c>
      <c r="C20" s="372" t="n">
        <v>0.9999999</v>
      </c>
      <c r="D20" s="363" t="n">
        <v>0.9</v>
      </c>
      <c r="E20" s="170" t="n">
        <f aca="false">SUMPRODUCT('MiT Strom Pipeline'!$AP$6:$AP$860,--('MiT Strom Pipeline'!$AJ$6:$AJ$860=$D20))</f>
        <v>2</v>
      </c>
      <c r="F20" s="171" t="n">
        <f aca="false">SUMPRODUCT('MiT Strom Pipeline'!$AP$6:$AP$860,--('MiT Strom Pipeline'!$AJ$6:$AJ$860=$D20),'MiT Strom Pipeline'!$AL$6:$AL$860)</f>
        <v>72913.72</v>
      </c>
      <c r="G20" s="373" t="n">
        <f aca="false">F20*$D20</f>
        <v>65622.348</v>
      </c>
      <c r="H20" s="235" t="n">
        <f aca="false">IFERROR(G20/$G$22,0)</f>
        <v>0.0402980328251326</v>
      </c>
      <c r="J20" s="358" t="s">
        <v>235</v>
      </c>
    </row>
    <row r="21" customFormat="false" ht="19.5" hidden="false" customHeight="true" outlineLevel="0" collapsed="false">
      <c r="A21" s="374" t="s">
        <v>995</v>
      </c>
      <c r="B21" s="375" t="n">
        <v>1</v>
      </c>
      <c r="C21" s="375" t="n">
        <v>1</v>
      </c>
      <c r="D21" s="363" t="n">
        <v>1</v>
      </c>
      <c r="E21" s="176" t="n">
        <f aca="false">SUMPRODUCT('MiT Strom Pipeline'!$AP$6:$AP$860,--('MiT Strom Pipeline'!$AJ$6:$AJ$860=$D21))</f>
        <v>12</v>
      </c>
      <c r="F21" s="177" t="n">
        <f aca="false">SUMPRODUCT('MiT Strom Pipeline'!$AP$6:$AP$860,--('MiT Strom Pipeline'!$AJ$6:$AJ$860=$D21),'MiT Strom Pipeline'!$AL$6:$AL$860)</f>
        <v>1428553.13</v>
      </c>
      <c r="G21" s="376" t="n">
        <f aca="false">F21*$D21</f>
        <v>1428553.13</v>
      </c>
      <c r="H21" s="237" t="n">
        <f aca="false">IFERROR(G21/$G$22,0)</f>
        <v>0.877260303535404</v>
      </c>
      <c r="J21" s="358" t="s">
        <v>540</v>
      </c>
    </row>
    <row r="22" customFormat="false" ht="24" hidden="false" customHeight="true" outlineLevel="0" collapsed="false">
      <c r="A22" s="377" t="s">
        <v>30</v>
      </c>
      <c r="B22" s="377"/>
      <c r="C22" s="377"/>
      <c r="D22" s="377"/>
      <c r="E22" s="182" t="n">
        <f aca="false">SUM(E17:E21)</f>
        <v>46</v>
      </c>
      <c r="F22" s="207" t="n">
        <f aca="false">SUM(F17:F21)</f>
        <v>6862149.23</v>
      </c>
      <c r="G22" s="207" t="n">
        <f aca="false">SUM(G17:G21)</f>
        <v>1628425.593</v>
      </c>
      <c r="H22" s="208" t="n">
        <f aca="false">IFERROR(G22/F22,0)</f>
        <v>0.237305476523424</v>
      </c>
      <c r="J22" s="358" t="s">
        <v>996</v>
      </c>
    </row>
    <row r="23" customFormat="false" ht="15" hidden="false" customHeight="true" outlineLevel="0" collapsed="false">
      <c r="A23" s="186" t="s">
        <v>997</v>
      </c>
      <c r="B23" s="186"/>
      <c r="C23" s="186"/>
      <c r="D23" s="186"/>
      <c r="E23" s="186"/>
      <c r="F23" s="186"/>
      <c r="G23" s="186"/>
      <c r="H23" s="186"/>
      <c r="J23" s="358" t="s">
        <v>998</v>
      </c>
    </row>
    <row r="24" customFormat="false" ht="15" hidden="false" customHeight="true" outlineLevel="0" collapsed="false">
      <c r="J24" s="358" t="s">
        <v>227</v>
      </c>
    </row>
    <row r="25" customFormat="false" ht="21.75" hidden="false" customHeight="true" outlineLevel="0" collapsed="false">
      <c r="A25" s="289" t="s">
        <v>999</v>
      </c>
      <c r="B25" s="289"/>
      <c r="C25" s="289"/>
      <c r="D25" s="289"/>
      <c r="E25" s="289"/>
      <c r="F25" s="289"/>
      <c r="G25" s="289"/>
      <c r="H25" s="289"/>
    </row>
    <row r="26" customFormat="false" ht="18" hidden="false" customHeight="true" outlineLevel="0" collapsed="false">
      <c r="A26" s="188" t="s">
        <v>1000</v>
      </c>
      <c r="B26" s="188"/>
      <c r="C26" s="188"/>
      <c r="D26" s="188"/>
      <c r="E26" s="378" t="n">
        <f aca="false">G22</f>
        <v>1628425.593</v>
      </c>
      <c r="F26" s="378"/>
      <c r="G26" s="378"/>
      <c r="H26" s="378"/>
    </row>
    <row r="27" customFormat="false" ht="18" hidden="false" customHeight="true" outlineLevel="0" collapsed="false">
      <c r="A27" s="188" t="s">
        <v>1001</v>
      </c>
      <c r="B27" s="188"/>
      <c r="C27" s="188"/>
      <c r="D27" s="188"/>
      <c r="E27" s="378" t="n">
        <f aca="false">SUMIFS('MiT Strom Pipeline'!$Q$6:$Q$860,'MiT Strom Pipeline'!$R$6:$R$860,"WON")+SUMIFS('MiT Strom Pipeline'!$Q$6:$Q$860,'MiT Strom Pipeline'!$R$6:$R$860,"offered")+SUMIFS('MiT Strom Pipeline'!$Q$6:$Q$860,'MiT Strom Pipeline'!$R$6:$R$860,"to be offered")+SUMIFS('MiT Strom Pipeline'!$Q$6:$Q$860,'MiT Strom Pipeline'!$R$6:$R$860,"on hold")+SUMIFS('MiT Strom Pipeline'!$Q$6:$Q$860,'MiT Strom Pipeline'!$R$6:$R$860,"follow-up")+SUMIFS('MiT Strom Pipeline'!$Q$6:$Q$860,'MiT Strom Pipeline'!$R$6:$R$860,"Evaluation")+SUMIFS('MiT Strom Pipeline'!$Q$6:$Q$860,'MiT Strom Pipeline'!$R$6:$R$860,"In evaluation")+SUMIFS('MiT Strom Pipeline'!$Q$6:$Q$860,'MiT Strom Pipeline'!$R$6:$R$860,"tbd")</f>
        <v>1628425.593</v>
      </c>
      <c r="F27" s="378"/>
      <c r="G27" s="378"/>
      <c r="H27" s="378"/>
    </row>
    <row r="28" customFormat="false" ht="18" hidden="false" customHeight="true" outlineLevel="0" collapsed="false">
      <c r="A28" s="188" t="s">
        <v>1002</v>
      </c>
      <c r="B28" s="188"/>
      <c r="C28" s="188"/>
      <c r="D28" s="188"/>
      <c r="E28" s="379" t="n">
        <f aca="false">ROUND(E26-E27,2)</f>
        <v>0</v>
      </c>
      <c r="F28" s="379"/>
      <c r="G28" s="379"/>
      <c r="H28" s="379"/>
    </row>
    <row r="29" customFormat="false" ht="18" hidden="false" customHeight="true" outlineLevel="0" collapsed="false">
      <c r="A29" s="188" t="s">
        <v>1003</v>
      </c>
      <c r="B29" s="188"/>
      <c r="C29" s="188"/>
      <c r="D29" s="188"/>
      <c r="E29" s="380" t="str">
        <f aca="false">IF(ABS(E28)&lt;0.01,"✔  Konsistent — alle Blätter rechnen mit demselben Modell","⚠  Abweichung — Bandtabelle und Spalte Q prüfen")</f>
        <v>✔  Konsistent — alle Blätter rechnen mit demselben Modell</v>
      </c>
      <c r="F29" s="380"/>
      <c r="G29" s="380"/>
      <c r="H29" s="380"/>
    </row>
    <row r="30" customFormat="false" ht="18" hidden="false" customHeight="true" outlineLevel="0" collapsed="false">
      <c r="A30" s="188" t="s">
        <v>1004</v>
      </c>
      <c r="B30" s="188"/>
      <c r="C30" s="188"/>
      <c r="D30" s="188"/>
      <c r="E30" s="381" t="n">
        <f aca="false">SUMPRODUCT('MiT Strom Pipeline'!$AP$6:$AP$860,--('MiT Strom Pipeline'!$AQ$6:$AQ$860=0))</f>
        <v>0</v>
      </c>
      <c r="F30" s="381"/>
      <c r="G30" s="381"/>
      <c r="H30" s="381"/>
    </row>
    <row r="31" customFormat="false" ht="18" hidden="false" customHeight="true" outlineLevel="0" collapsed="false">
      <c r="A31" s="188" t="s">
        <v>1005</v>
      </c>
      <c r="B31" s="188"/>
      <c r="C31" s="188"/>
      <c r="D31" s="188"/>
      <c r="E31" s="380" t="str">
        <f aca="false">IF(E30=0,"✔  Alle aktiven Deals sind auf der Skala 0/10/30/60/90/100 %","⚠  "&amp;E30&amp;" Deal(s) auf einen Skalenwert setzen — orange markiert in Spalte S der Pipeline")</f>
        <v>✔  Alle aktiven Deals sind auf der Skala 0/10/30/60/90/100 %</v>
      </c>
      <c r="F31" s="380"/>
      <c r="G31" s="380"/>
      <c r="H31" s="380"/>
    </row>
    <row r="32" customFormat="false" ht="18" hidden="false" customHeight="true" outlineLevel="0" collapsed="false">
      <c r="A32" s="188" t="s">
        <v>1006</v>
      </c>
      <c r="B32" s="188"/>
      <c r="C32" s="188"/>
      <c r="D32" s="188"/>
      <c r="E32" s="381" t="n">
        <f aca="false">SUMPRODUCT(--('MiT Strom Pipeline'!$B$91:$B$860&lt;&gt;""))</f>
        <v>0</v>
      </c>
      <c r="F32" s="381"/>
      <c r="G32" s="381"/>
      <c r="H32" s="381"/>
    </row>
    <row r="33" customFormat="false" ht="18" hidden="false" customHeight="true" outlineLevel="0" collapsed="false">
      <c r="A33" s="188" t="s">
        <v>1007</v>
      </c>
      <c r="B33" s="188"/>
      <c r="C33" s="188"/>
      <c r="D33" s="188"/>
      <c r="E33" s="380" t="str">
        <f aca="false">IF(E32=0,"✔  Alle Deals liegen im Druckbereich (Zeilen 6–90)","⚠  "&amp;E32&amp;" Deal(s) unterhalb Zeile 90 — Druckbereich der Pipeline erweitern")</f>
        <v>✔  Alle Deals liegen im Druckbereich (Zeilen 6–90)</v>
      </c>
      <c r="F33" s="380"/>
      <c r="G33" s="380"/>
      <c r="H33" s="380"/>
    </row>
    <row r="34" customFormat="false" ht="18" hidden="false" customHeight="true" outlineLevel="0" collapsed="false">
      <c r="A34" s="188" t="s">
        <v>1008</v>
      </c>
      <c r="B34" s="188"/>
      <c r="C34" s="188"/>
      <c r="D34" s="188"/>
      <c r="E34" s="381" t="n">
        <f aca="false">SUMPRODUCT(--('MiT Strom Pipeline'!$B$6:$B$860&lt;&gt;""),--('MiT Strom Pipeline'!$R$6:$R$860="WON"),--('MiT Strom Pipeline'!$S$6:$S$860&lt;&gt;1))</f>
        <v>0</v>
      </c>
      <c r="F34" s="381"/>
      <c r="G34" s="381"/>
      <c r="H34" s="381"/>
    </row>
    <row r="35" customFormat="false" ht="18" hidden="false" customHeight="true" outlineLevel="0" collapsed="false">
      <c r="A35" s="188" t="s">
        <v>1009</v>
      </c>
      <c r="B35" s="188"/>
      <c r="C35" s="188"/>
      <c r="D35" s="188"/>
      <c r="E35" s="381" t="n">
        <f aca="false">SUMPRODUCT(--('MiT Strom Pipeline'!$B$6:$B$860&lt;&gt;""),--('MiT Strom Pipeline'!$S$6:$S$860=1),--('MiT Strom Pipeline'!$R$6:$R$860&lt;&gt;"WON"))</f>
        <v>0</v>
      </c>
      <c r="F35" s="381"/>
      <c r="G35" s="381"/>
      <c r="H35" s="381"/>
    </row>
    <row r="36" customFormat="false" ht="25.5" hidden="false" customHeight="true" outlineLevel="0" collapsed="false">
      <c r="A36" s="188" t="s">
        <v>1010</v>
      </c>
      <c r="B36" s="188"/>
      <c r="C36" s="188"/>
      <c r="D36" s="188"/>
      <c r="E36" s="382" t="str">
        <f aca="false">IF(AND(E34=0,E35=0),"✔  Jeder gewonnene Auftrag steht auf 100 %, und 100 % steht nur bei gewonnenen Aufträgen","⚠  "&amp;E34&amp;" WON ohne 100 %  ·  "&amp;E35&amp;" mal 100 % ohne WON — Spalte S der Pipeline prüfen")</f>
        <v>✔  Jeder gewonnene Auftrag steht auf 100 %, und 100 % steht nur bei gewonnenen Aufträgen</v>
      </c>
      <c r="F36" s="382"/>
      <c r="G36" s="382"/>
      <c r="H36" s="382"/>
    </row>
    <row r="39" customFormat="false" ht="21.75" hidden="false" customHeight="true" outlineLevel="0" collapsed="false">
      <c r="A39" s="289" t="s">
        <v>1011</v>
      </c>
      <c r="B39" s="289"/>
      <c r="C39" s="289"/>
      <c r="D39" s="289"/>
      <c r="E39" s="289"/>
      <c r="F39" s="289"/>
      <c r="G39" s="289"/>
      <c r="H39" s="289"/>
    </row>
    <row r="40" customFormat="false" ht="31.5" hidden="false" customHeight="true" outlineLevel="0" collapsed="false">
      <c r="A40" s="305" t="s">
        <v>1012</v>
      </c>
      <c r="B40" s="291" t="s">
        <v>1013</v>
      </c>
      <c r="C40" s="291"/>
      <c r="D40" s="291"/>
      <c r="E40" s="291"/>
      <c r="F40" s="291"/>
      <c r="G40" s="291"/>
      <c r="H40" s="291"/>
    </row>
    <row r="41" customFormat="false" ht="31.5" hidden="false" customHeight="true" outlineLevel="0" collapsed="false">
      <c r="A41" s="305" t="s">
        <v>1014</v>
      </c>
      <c r="B41" s="291" t="s">
        <v>1015</v>
      </c>
      <c r="C41" s="291"/>
      <c r="D41" s="291"/>
      <c r="E41" s="291"/>
      <c r="F41" s="291"/>
      <c r="G41" s="291"/>
      <c r="H41" s="291"/>
    </row>
    <row r="42" customFormat="false" ht="31.5" hidden="false" customHeight="true" outlineLevel="0" collapsed="false">
      <c r="A42" s="305" t="s">
        <v>1016</v>
      </c>
      <c r="B42" s="291" t="s">
        <v>1017</v>
      </c>
      <c r="C42" s="291"/>
      <c r="D42" s="291"/>
      <c r="E42" s="291"/>
      <c r="F42" s="291"/>
      <c r="G42" s="291"/>
      <c r="H42" s="291"/>
    </row>
    <row r="43" customFormat="false" ht="31.5" hidden="false" customHeight="true" outlineLevel="0" collapsed="false">
      <c r="A43" s="305" t="s">
        <v>1018</v>
      </c>
      <c r="B43" s="291" t="s">
        <v>1019</v>
      </c>
      <c r="C43" s="291"/>
      <c r="D43" s="291"/>
      <c r="E43" s="291"/>
      <c r="F43" s="291"/>
      <c r="G43" s="291"/>
      <c r="H43" s="291"/>
    </row>
    <row r="44" customFormat="false" ht="31.5" hidden="false" customHeight="true" outlineLevel="0" collapsed="false">
      <c r="A44" s="305" t="s">
        <v>604</v>
      </c>
      <c r="B44" s="291" t="s">
        <v>1020</v>
      </c>
      <c r="C44" s="291"/>
      <c r="D44" s="291"/>
      <c r="E44" s="291"/>
      <c r="F44" s="291"/>
      <c r="G44" s="291"/>
      <c r="H44" s="291"/>
    </row>
    <row r="45" customFormat="false" ht="36" hidden="false" customHeight="true" outlineLevel="0" collapsed="false">
      <c r="A45" s="305" t="s">
        <v>1021</v>
      </c>
      <c r="B45" s="291" t="s">
        <v>1022</v>
      </c>
      <c r="C45" s="291"/>
      <c r="D45" s="291"/>
      <c r="E45" s="291"/>
      <c r="F45" s="291"/>
      <c r="G45" s="291"/>
      <c r="H45" s="291"/>
    </row>
    <row r="46" customFormat="false" ht="48" hidden="false" customHeight="true" outlineLevel="0" collapsed="false">
      <c r="A46" s="305" t="s">
        <v>1023</v>
      </c>
      <c r="B46" s="291" t="s">
        <v>1024</v>
      </c>
      <c r="C46" s="291"/>
      <c r="D46" s="291"/>
      <c r="E46" s="291"/>
      <c r="F46" s="291"/>
      <c r="G46" s="291"/>
      <c r="H46" s="291"/>
    </row>
    <row r="49" customFormat="false" ht="21.75" hidden="false" customHeight="true" outlineLevel="0" collapsed="false">
      <c r="A49" s="289" t="s">
        <v>1025</v>
      </c>
      <c r="B49" s="289"/>
      <c r="C49" s="289"/>
      <c r="D49" s="289"/>
      <c r="E49" s="289"/>
      <c r="F49" s="289"/>
      <c r="G49" s="289"/>
      <c r="H49" s="289"/>
    </row>
    <row r="50" customFormat="false" ht="30" hidden="false" customHeight="true" outlineLevel="0" collapsed="false">
      <c r="A50" s="383" t="s">
        <v>1026</v>
      </c>
      <c r="B50" s="383"/>
      <c r="C50" s="383"/>
      <c r="D50" s="383"/>
      <c r="E50" s="383"/>
      <c r="F50" s="383"/>
      <c r="G50" s="383"/>
      <c r="H50" s="383"/>
    </row>
    <row r="51" customFormat="false" ht="25.5" hidden="false" customHeight="true" outlineLevel="0" collapsed="false">
      <c r="A51" s="149" t="s">
        <v>1027</v>
      </c>
      <c r="B51" s="149" t="s">
        <v>1028</v>
      </c>
      <c r="C51" s="149" t="s">
        <v>1029</v>
      </c>
      <c r="D51" s="149" t="s">
        <v>1030</v>
      </c>
      <c r="E51" s="149" t="s">
        <v>502</v>
      </c>
      <c r="F51" s="149" t="s">
        <v>1031</v>
      </c>
      <c r="G51" s="149" t="s">
        <v>1032</v>
      </c>
      <c r="H51" s="149" t="s">
        <v>677</v>
      </c>
    </row>
    <row r="52" customFormat="false" ht="18" hidden="false" customHeight="true" outlineLevel="0" collapsed="false">
      <c r="A52" s="384" t="n">
        <v>0</v>
      </c>
      <c r="B52" s="384" t="n">
        <v>0</v>
      </c>
      <c r="C52" s="372" t="n">
        <v>0</v>
      </c>
      <c r="D52" s="372" t="n">
        <v>0</v>
      </c>
      <c r="E52" s="170" t="n">
        <f aca="false">SUMPRODUCT(--('MiT Strom Pipeline'!$B$6:$B$860&lt;&gt;""),--('MiT Strom Pipeline'!$AI$6:$AI$860&lt;&gt;""),--(ROUND('MiT Strom Pipeline'!$AI$6:$AI$860,6)=0),--('MiT Strom Pipeline'!$S$6:$S$860=0))</f>
        <v>21</v>
      </c>
      <c r="F52" s="171" t="n">
        <f aca="false">SUMPRODUCT(--('MiT Strom Pipeline'!$B$6:$B$860&lt;&gt;""),--('MiT Strom Pipeline'!$AI$6:$AI$860&lt;&gt;""),--(ROUND('MiT Strom Pipeline'!$AI$6:$AI$860,6)=0),--('MiT Strom Pipeline'!$S$6:$S$860=0),'MiT Strom Pipeline'!$AL$6:$AL$860)*0</f>
        <v>0</v>
      </c>
      <c r="G52" s="373" t="n">
        <f aca="false">SUMPRODUCT(--('MiT Strom Pipeline'!$B$6:$B$860&lt;&gt;""),--('MiT Strom Pipeline'!$AI$6:$AI$860&lt;&gt;""),--(ROUND('MiT Strom Pipeline'!$AI$6:$AI$860,6)=0),--('MiT Strom Pipeline'!$S$6:$S$860=0),'MiT Strom Pipeline'!$AL$6:$AL$860)*0</f>
        <v>0</v>
      </c>
      <c r="H52" s="385" t="s">
        <v>1033</v>
      </c>
    </row>
    <row r="53" customFormat="false" ht="18" hidden="false" customHeight="true" outlineLevel="0" collapsed="false">
      <c r="A53" s="384" t="n">
        <v>0.1</v>
      </c>
      <c r="B53" s="384" t="n">
        <v>0.1</v>
      </c>
      <c r="C53" s="372" t="n">
        <v>0</v>
      </c>
      <c r="D53" s="372" t="n">
        <v>0</v>
      </c>
      <c r="E53" s="170" t="n">
        <f aca="false">SUMPRODUCT(--('MiT Strom Pipeline'!$B$6:$B$860&lt;&gt;""),--('MiT Strom Pipeline'!$AI$6:$AI$860&lt;&gt;""),--(ROUND('MiT Strom Pipeline'!$AI$6:$AI$860,6)=0.1),--('MiT Strom Pipeline'!$S$6:$S$860=0.1))</f>
        <v>1</v>
      </c>
      <c r="F53" s="171" t="n">
        <f aca="false">SUMPRODUCT(--('MiT Strom Pipeline'!$B$6:$B$860&lt;&gt;""),--('MiT Strom Pipeline'!$AI$6:$AI$860&lt;&gt;""),--(ROUND('MiT Strom Pipeline'!$AI$6:$AI$860,6)=0.1),--('MiT Strom Pipeline'!$S$6:$S$860=0.1),'MiT Strom Pipeline'!$AL$6:$AL$860)*0</f>
        <v>0</v>
      </c>
      <c r="G53" s="373" t="n">
        <f aca="false">SUMPRODUCT(--('MiT Strom Pipeline'!$B$6:$B$860&lt;&gt;""),--('MiT Strom Pipeline'!$AI$6:$AI$860&lt;&gt;""),--(ROUND('MiT Strom Pipeline'!$AI$6:$AI$860,6)=0.1),--('MiT Strom Pipeline'!$S$6:$S$860=0.1),'MiT Strom Pipeline'!$AL$6:$AL$860)*0</f>
        <v>0</v>
      </c>
      <c r="H53" s="385" t="s">
        <v>1033</v>
      </c>
    </row>
    <row r="54" customFormat="false" ht="18" hidden="false" customHeight="true" outlineLevel="0" collapsed="false">
      <c r="A54" s="384" t="n">
        <v>0.2</v>
      </c>
      <c r="B54" s="384" t="n">
        <v>0.3</v>
      </c>
      <c r="C54" s="372" t="n">
        <v>0</v>
      </c>
      <c r="D54" s="372" t="n">
        <v>0</v>
      </c>
      <c r="E54" s="170" t="n">
        <f aca="false">SUMPRODUCT(--('MiT Strom Pipeline'!$B$6:$B$860&lt;&gt;""),--('MiT Strom Pipeline'!$AI$6:$AI$860&lt;&gt;""),--(ROUND('MiT Strom Pipeline'!$AI$6:$AI$860,6)=0.2),--('MiT Strom Pipeline'!$S$6:$S$860=0.3))</f>
        <v>6</v>
      </c>
      <c r="F54" s="171" t="n">
        <f aca="false">SUMPRODUCT(--('MiT Strom Pipeline'!$B$6:$B$860&lt;&gt;""),--('MiT Strom Pipeline'!$AI$6:$AI$860&lt;&gt;""),--(ROUND('MiT Strom Pipeline'!$AI$6:$AI$860,6)=0.2),--('MiT Strom Pipeline'!$S$6:$S$860=0.3),'MiT Strom Pipeline'!$AL$6:$AL$860)*0</f>
        <v>0</v>
      </c>
      <c r="G54" s="373" t="n">
        <f aca="false">SUMPRODUCT(--('MiT Strom Pipeline'!$B$6:$B$860&lt;&gt;""),--('MiT Strom Pipeline'!$AI$6:$AI$860&lt;&gt;""),--(ROUND('MiT Strom Pipeline'!$AI$6:$AI$860,6)=0.2),--('MiT Strom Pipeline'!$S$6:$S$860=0.3),'MiT Strom Pipeline'!$AL$6:$AL$860)*0</f>
        <v>0</v>
      </c>
      <c r="H54" s="385" t="s">
        <v>1033</v>
      </c>
    </row>
    <row r="55" customFormat="false" ht="18" hidden="false" customHeight="true" outlineLevel="0" collapsed="false">
      <c r="A55" s="386" t="n">
        <v>0.5</v>
      </c>
      <c r="B55" s="386" t="n">
        <v>0.3</v>
      </c>
      <c r="C55" s="387" t="n">
        <v>0.3</v>
      </c>
      <c r="D55" s="387" t="n">
        <v>0</v>
      </c>
      <c r="E55" s="388" t="n">
        <f aca="false">SUMPRODUCT(--('MiT Strom Pipeline'!$B$6:$B$860&lt;&gt;""),--('MiT Strom Pipeline'!$AI$6:$AI$860&lt;&gt;""),--(ROUND('MiT Strom Pipeline'!$AI$6:$AI$860,6)=0.5),--('MiT Strom Pipeline'!$S$6:$S$860=0.3))</f>
        <v>22</v>
      </c>
      <c r="F55" s="389" t="n">
        <f aca="false">SUMPRODUCT(--('MiT Strom Pipeline'!$B$6:$B$860&lt;&gt;""),--('MiT Strom Pipeline'!$AI$6:$AI$860&lt;&gt;""),--(ROUND('MiT Strom Pipeline'!$AI$6:$AI$860,6)=0.5),--('MiT Strom Pipeline'!$S$6:$S$860=0.3),'MiT Strom Pipeline'!$AL$6:$AL$860)*0.3</f>
        <v>717509.445</v>
      </c>
      <c r="G55" s="390" t="n">
        <f aca="false">SUMPRODUCT(--('MiT Strom Pipeline'!$B$6:$B$860&lt;&gt;""),--('MiT Strom Pipeline'!$AI$6:$AI$860&lt;&gt;""),--(ROUND('MiT Strom Pipeline'!$AI$6:$AI$860,6)=0.5),--('MiT Strom Pipeline'!$S$6:$S$860=0.3),'MiT Strom Pipeline'!$AL$6:$AL$860)*0</f>
        <v>0</v>
      </c>
      <c r="H55" s="391" t="s">
        <v>1034</v>
      </c>
    </row>
    <row r="56" customFormat="false" ht="18" hidden="false" customHeight="true" outlineLevel="0" collapsed="false">
      <c r="A56" s="384" t="n">
        <v>0.8</v>
      </c>
      <c r="B56" s="384" t="n">
        <v>0.6</v>
      </c>
      <c r="C56" s="372" t="n">
        <v>0.5</v>
      </c>
      <c r="D56" s="372" t="n">
        <v>0.5</v>
      </c>
      <c r="E56" s="170" t="n">
        <f aca="false">SUMPRODUCT(--('MiT Strom Pipeline'!$B$6:$B$860&lt;&gt;""),--('MiT Strom Pipeline'!$AI$6:$AI$860&lt;&gt;""),--(ROUND('MiT Strom Pipeline'!$AI$6:$AI$860,6)=0.8),--('MiT Strom Pipeline'!$S$6:$S$860=0.6))</f>
        <v>2</v>
      </c>
      <c r="F56" s="171" t="n">
        <f aca="false">SUMPRODUCT(--('MiT Strom Pipeline'!$B$6:$B$860&lt;&gt;""),--('MiT Strom Pipeline'!$AI$6:$AI$860&lt;&gt;""),--(ROUND('MiT Strom Pipeline'!$AI$6:$AI$860,6)=0.8),--('MiT Strom Pipeline'!$S$6:$S$860=0.6),'MiT Strom Pipeline'!$AL$6:$AL$860)*0.5</f>
        <v>134250.115</v>
      </c>
      <c r="G56" s="373" t="n">
        <f aca="false">SUMPRODUCT(--('MiT Strom Pipeline'!$B$6:$B$860&lt;&gt;""),--('MiT Strom Pipeline'!$AI$6:$AI$860&lt;&gt;""),--(ROUND('MiT Strom Pipeline'!$AI$6:$AI$860,6)=0.8),--('MiT Strom Pipeline'!$S$6:$S$860=0.6),'MiT Strom Pipeline'!$AL$6:$AL$860)*0.5</f>
        <v>134250.115</v>
      </c>
      <c r="H56" s="385" t="s">
        <v>1033</v>
      </c>
    </row>
    <row r="57" customFormat="false" ht="18" hidden="false" customHeight="true" outlineLevel="0" collapsed="false">
      <c r="A57" s="384" t="n">
        <v>0.9</v>
      </c>
      <c r="B57" s="384" t="n">
        <v>0.9</v>
      </c>
      <c r="C57" s="372" t="n">
        <v>0.9</v>
      </c>
      <c r="D57" s="372" t="n">
        <v>0.9</v>
      </c>
      <c r="E57" s="170" t="n">
        <f aca="false">SUMPRODUCT(--('MiT Strom Pipeline'!$B$6:$B$860&lt;&gt;""),--('MiT Strom Pipeline'!$AI$6:$AI$860&lt;&gt;""),--(ROUND('MiT Strom Pipeline'!$AI$6:$AI$860,6)=0.9),--('MiT Strom Pipeline'!$S$6:$S$860=0.9))</f>
        <v>2</v>
      </c>
      <c r="F57" s="171" t="n">
        <f aca="false">SUMPRODUCT(--('MiT Strom Pipeline'!$B$6:$B$860&lt;&gt;""),--('MiT Strom Pipeline'!$AI$6:$AI$860&lt;&gt;""),--(ROUND('MiT Strom Pipeline'!$AI$6:$AI$860,6)=0.9),--('MiT Strom Pipeline'!$S$6:$S$860=0.9),'MiT Strom Pipeline'!$AL$6:$AL$860)*0.9</f>
        <v>65622.348</v>
      </c>
      <c r="G57" s="373" t="n">
        <f aca="false">SUMPRODUCT(--('MiT Strom Pipeline'!$B$6:$B$860&lt;&gt;""),--('MiT Strom Pipeline'!$AI$6:$AI$860&lt;&gt;""),--(ROUND('MiT Strom Pipeline'!$AI$6:$AI$860,6)=0.9),--('MiT Strom Pipeline'!$S$6:$S$860=0.9),'MiT Strom Pipeline'!$AL$6:$AL$860)*0.9</f>
        <v>65622.348</v>
      </c>
      <c r="H57" s="385" t="s">
        <v>1033</v>
      </c>
    </row>
    <row r="58" customFormat="false" ht="18" hidden="false" customHeight="true" outlineLevel="0" collapsed="false">
      <c r="A58" s="384" t="n">
        <v>1</v>
      </c>
      <c r="B58" s="384" t="n">
        <v>1</v>
      </c>
      <c r="C58" s="372" t="n">
        <v>1</v>
      </c>
      <c r="D58" s="372" t="n">
        <v>1</v>
      </c>
      <c r="E58" s="170" t="n">
        <f aca="false">SUMPRODUCT(--('MiT Strom Pipeline'!$B$6:$B$860&lt;&gt;""),--('MiT Strom Pipeline'!$AI$6:$AI$860&lt;&gt;""),--(ROUND('MiT Strom Pipeline'!$AI$6:$AI$860,6)=1),--('MiT Strom Pipeline'!$S$6:$S$860=1))</f>
        <v>12</v>
      </c>
      <c r="F58" s="171" t="n">
        <f aca="false">SUMPRODUCT(--('MiT Strom Pipeline'!$B$6:$B$860&lt;&gt;""),--('MiT Strom Pipeline'!$AI$6:$AI$860&lt;&gt;""),--(ROUND('MiT Strom Pipeline'!$AI$6:$AI$860,6)=1),--('MiT Strom Pipeline'!$S$6:$S$860=1),'MiT Strom Pipeline'!$AL$6:$AL$860)*1</f>
        <v>1428553.13</v>
      </c>
      <c r="G58" s="373" t="n">
        <f aca="false">SUMPRODUCT(--('MiT Strom Pipeline'!$B$6:$B$860&lt;&gt;""),--('MiT Strom Pipeline'!$AI$6:$AI$860&lt;&gt;""),--(ROUND('MiT Strom Pipeline'!$AI$6:$AI$860,6)=1),--('MiT Strom Pipeline'!$S$6:$S$860=1),'MiT Strom Pipeline'!$AL$6:$AL$860)*1</f>
        <v>1428553.13</v>
      </c>
      <c r="H58" s="385" t="s">
        <v>1033</v>
      </c>
    </row>
    <row r="59" customFormat="false" ht="21.75" hidden="false" customHeight="true" outlineLevel="0" collapsed="false">
      <c r="A59" s="377" t="s">
        <v>1035</v>
      </c>
      <c r="B59" s="377"/>
      <c r="C59" s="377"/>
      <c r="D59" s="377"/>
      <c r="E59" s="392" t="n">
        <f aca="false">SUM(E52:E58)</f>
        <v>66</v>
      </c>
      <c r="F59" s="393" t="n">
        <f aca="false">SUM(F52:F58)</f>
        <v>2345935.038</v>
      </c>
      <c r="G59" s="393" t="n">
        <f aca="false">SUM(G52:G58)</f>
        <v>1628425.593</v>
      </c>
      <c r="H59" s="377" t="str">
        <f aca="false">TEXT(G59-F59,"+#,##0;-#,##0")</f>
        <v>-717,509</v>
      </c>
    </row>
    <row r="61" customFormat="false" ht="18" hidden="false" customHeight="true" outlineLevel="0" collapsed="false">
      <c r="A61" s="394" t="s">
        <v>1036</v>
      </c>
      <c r="B61" s="394"/>
      <c r="C61" s="394"/>
      <c r="D61" s="394"/>
      <c r="E61" s="381" t="n">
        <f aca="false">SUMPRODUCT('MiT Strom Pipeline'!$AP$6:$AP$860,--('MiT Strom Pipeline'!$AQ$6:$AQ$860=0))</f>
        <v>0</v>
      </c>
      <c r="F61" s="381"/>
      <c r="G61" s="381"/>
      <c r="H61" s="381"/>
    </row>
    <row r="62" customFormat="false" ht="18" hidden="false" customHeight="true" outlineLevel="0" collapsed="false">
      <c r="A62" s="394" t="s">
        <v>1037</v>
      </c>
      <c r="B62" s="394"/>
      <c r="C62" s="394"/>
      <c r="D62" s="394"/>
      <c r="E62" s="381" t="n">
        <f aca="false">SUMPRODUCT(--('MiT Strom Pipeline'!$B$6:$B$860&lt;&gt;""),--('MiT Strom Pipeline'!$AI$6:$AI$860&lt;&gt;""),--(ROUND('MiT Strom Pipeline'!$AI$6:$AI$860,6)=0.5))</f>
        <v>22</v>
      </c>
      <c r="F62" s="381"/>
      <c r="G62" s="381"/>
      <c r="H62" s="381"/>
    </row>
    <row r="63" customFormat="false" ht="18" hidden="false" customHeight="true" outlineLevel="0" collapsed="false">
      <c r="A63" s="394" t="s">
        <v>1038</v>
      </c>
      <c r="B63" s="394"/>
      <c r="C63" s="394"/>
      <c r="D63" s="394"/>
      <c r="E63" s="381" t="n">
        <f aca="false">SUMPRODUCT(--('MiT Strom Pipeline'!$B$6:$B$860&lt;&gt;""),--('MiT Strom Pipeline'!$AI$6:$AI$860&lt;&gt;""),--(ROUND('MiT Strom Pipeline'!$AI$6:$AI$860,6)=0.5),--('MiT Strom Pipeline'!$S$6:$S$860=0.3))</f>
        <v>22</v>
      </c>
      <c r="F63" s="381"/>
      <c r="G63" s="381"/>
      <c r="H63" s="381"/>
    </row>
    <row r="64" customFormat="false" ht="18" hidden="false" customHeight="true" outlineLevel="0" collapsed="false">
      <c r="A64" s="394" t="s">
        <v>1039</v>
      </c>
      <c r="B64" s="394"/>
      <c r="C64" s="394"/>
      <c r="D64" s="394"/>
      <c r="E64" s="381" t="n">
        <f aca="false">SUMPRODUCT(--('MiT Strom Pipeline'!$B$6:$B$860&lt;&gt;""),--('MiT Strom Pipeline'!$AI$6:$AI$860&lt;&gt;""),--(ROUND('MiT Strom Pipeline'!$AI$6:$AI$860,6)=0.5),--('MiT Strom Pipeline'!$S$6:$S$860=0.6))</f>
        <v>0</v>
      </c>
      <c r="F64" s="381"/>
      <c r="G64" s="381"/>
      <c r="H64" s="381"/>
    </row>
    <row r="65" customFormat="false" ht="18" hidden="false" customHeight="true" outlineLevel="0" collapsed="false">
      <c r="A65" s="394" t="s">
        <v>1040</v>
      </c>
      <c r="B65" s="394"/>
      <c r="C65" s="394"/>
      <c r="D65" s="394"/>
      <c r="E65" s="378" t="n">
        <f aca="false">SUMPRODUCT(--('MiT Strom Pipeline'!$B$6:$B$860&lt;&gt;""),--('MiT Strom Pipeline'!$AI$6:$AI$860&lt;&gt;""),--(ROUND('MiT Strom Pipeline'!$AI$6:$AI$860,6)=0.5),--('MiT Strom Pipeline'!$S$6:$S$860=0.3),'MiT Strom Pipeline'!$AL$6:$AL$860)</f>
        <v>2391698.15</v>
      </c>
      <c r="F65" s="378"/>
      <c r="G65" s="378"/>
      <c r="H65" s="378"/>
    </row>
    <row r="66" customFormat="false" ht="18" hidden="false" customHeight="true" outlineLevel="0" collapsed="false">
      <c r="A66" s="394" t="s">
        <v>1041</v>
      </c>
      <c r="B66" s="394"/>
      <c r="C66" s="394"/>
      <c r="D66" s="394"/>
      <c r="E66" s="378" t="n">
        <f aca="false">'⚖️ Wahrscheinlichkeit'!$G$22+SUMPRODUCT(--('MiT Strom Pipeline'!$B$6:$B$860&lt;&gt;""),--('MiT Strom Pipeline'!$AI$6:$AI$860&lt;&gt;""),--(ROUND('MiT Strom Pipeline'!$AI$6:$AI$860,6)=0.5),--('MiT Strom Pipeline'!$S$6:$S$860=0.3),'MiT Strom Pipeline'!$AL$6:$AL$860)*0.5</f>
        <v>2824274.668</v>
      </c>
      <c r="F66" s="378"/>
      <c r="G66" s="378"/>
      <c r="H66" s="378"/>
    </row>
    <row r="67" customFormat="false" ht="18" hidden="false" customHeight="true" outlineLevel="0" collapsed="false">
      <c r="A67" s="394" t="s">
        <v>1042</v>
      </c>
      <c r="B67" s="394"/>
      <c r="C67" s="394"/>
      <c r="D67" s="394"/>
      <c r="E67" s="381" t="n">
        <f aca="false">SUMPRODUCT(--('MiT Strom Pipeline'!$B$6:$B$860&lt;&gt;""),--('MiT Strom Pipeline'!$R$6:$R$860="WON"),--('MiT Strom Pipeline'!$S$6:$S$860=1))</f>
        <v>12</v>
      </c>
      <c r="F67" s="381"/>
      <c r="G67" s="381"/>
      <c r="H67" s="381"/>
    </row>
    <row r="68" customFormat="false" ht="18" hidden="false" customHeight="true" outlineLevel="0" collapsed="false">
      <c r="A68" s="394" t="s">
        <v>1043</v>
      </c>
      <c r="B68" s="394"/>
      <c r="C68" s="394"/>
      <c r="D68" s="394"/>
      <c r="E68" s="378" t="n">
        <f aca="false">SUMPRODUCT(--('MiT Strom Pipeline'!$B$6:$B$860&lt;&gt;""),--('MiT Strom Pipeline'!$R$6:$R$860="WON"),--('MiT Strom Pipeline'!$S$6:$S$860=1),'MiT Strom Pipeline'!$AL$6:$AL$860)</f>
        <v>1428553.13</v>
      </c>
      <c r="F68" s="378"/>
      <c r="G68" s="378"/>
      <c r="H68" s="378"/>
    </row>
    <row r="69" customFormat="false" ht="18" hidden="false" customHeight="true" outlineLevel="0" collapsed="false">
      <c r="A69" s="394" t="s">
        <v>1044</v>
      </c>
      <c r="B69" s="394"/>
      <c r="C69" s="394"/>
      <c r="D69" s="394"/>
      <c r="E69" s="378" t="n">
        <f aca="false">SUMPRODUCT(--('MiT Strom Pipeline'!$B$6:$B$860&lt;&gt;""),--('MiT Strom Pipeline'!$R$6:$R$860="WON"),--('MiT Strom Pipeline'!$S$6:$S$860=1),'MiT Strom Pipeline'!$AL$6:$AL$860)*0.1</f>
        <v>142855.313</v>
      </c>
      <c r="F69" s="378"/>
      <c r="G69" s="378"/>
      <c r="H69" s="378"/>
    </row>
    <row r="71" customFormat="false" ht="30" hidden="false" customHeight="true" outlineLevel="0" collapsed="false">
      <c r="A71" s="395" t="s">
        <v>1045</v>
      </c>
      <c r="B71" s="395"/>
      <c r="C71" s="395"/>
      <c r="D71" s="395"/>
      <c r="E71" s="395"/>
      <c r="F71" s="395"/>
      <c r="G71" s="395"/>
      <c r="H71" s="395"/>
    </row>
    <row r="72" customFormat="false" ht="18" hidden="false" customHeight="true" outlineLevel="0" collapsed="false">
      <c r="A72" s="149" t="s">
        <v>1046</v>
      </c>
      <c r="B72" s="149" t="s">
        <v>7</v>
      </c>
      <c r="C72" s="149"/>
      <c r="D72" s="149"/>
      <c r="E72" s="149" t="s">
        <v>14</v>
      </c>
      <c r="F72" s="149" t="s">
        <v>16</v>
      </c>
      <c r="G72" s="149" t="s">
        <v>1047</v>
      </c>
      <c r="H72" s="149" t="s">
        <v>1048</v>
      </c>
    </row>
    <row r="73" customFormat="false" ht="15.75" hidden="false" customHeight="true" outlineLevel="0" collapsed="false">
      <c r="A73" s="396" t="n">
        <v>6</v>
      </c>
      <c r="B73" s="188" t="str">
        <f aca="false">INDEX('MiT Strom Pipeline'!$B$6:$B$860,6-5)</f>
        <v>Wincasa Solothurn</v>
      </c>
      <c r="C73" s="188"/>
      <c r="D73" s="188"/>
      <c r="E73" s="326" t="str">
        <f aca="false">INDEX('MiT Strom Pipeline'!$R$6:$R$860,6-5)</f>
        <v>offered</v>
      </c>
      <c r="F73" s="397" t="n">
        <f aca="false">INDEX('MiT Strom Pipeline'!$I$6:$I$860,6-5)</f>
        <v>390000</v>
      </c>
      <c r="G73" s="398" t="n">
        <f aca="false">INDEX('MiT Strom Pipeline'!$S$6:$S$860,6-5)</f>
        <v>0.3</v>
      </c>
      <c r="H73" s="397" t="n">
        <f aca="false">INDEX('MiT Strom Pipeline'!$Q$6:$Q$860,6-5)</f>
        <v>0</v>
      </c>
    </row>
    <row r="74" customFormat="false" ht="15.75" hidden="false" customHeight="true" outlineLevel="0" collapsed="false">
      <c r="A74" s="396" t="n">
        <v>18</v>
      </c>
      <c r="B74" s="188" t="str">
        <f aca="false">INDEX('MiT Strom Pipeline'!$B$6:$B$860,18-5)</f>
        <v>Proxima Fusion AG</v>
      </c>
      <c r="C74" s="188"/>
      <c r="D74" s="188"/>
      <c r="E74" s="326" t="str">
        <f aca="false">INDEX('MiT Strom Pipeline'!$R$6:$R$860,18-5)</f>
        <v>offered</v>
      </c>
      <c r="F74" s="397" t="n">
        <f aca="false">INDEX('MiT Strom Pipeline'!$I$6:$I$860,18-5)</f>
        <v>365003</v>
      </c>
      <c r="G74" s="398" t="n">
        <f aca="false">INDEX('MiT Strom Pipeline'!$S$6:$S$860,18-5)</f>
        <v>0.3</v>
      </c>
      <c r="H74" s="397" t="n">
        <f aca="false">INDEX('MiT Strom Pipeline'!$Q$6:$Q$860,18-5)</f>
        <v>0</v>
      </c>
    </row>
    <row r="75" customFormat="false" ht="15.75" hidden="false" customHeight="true" outlineLevel="0" collapsed="false">
      <c r="A75" s="396" t="n">
        <v>21</v>
      </c>
      <c r="B75" s="188" t="str">
        <f aca="false">INDEX('MiT Strom Pipeline'!$B$6:$B$860,21-5)</f>
        <v>WEF</v>
      </c>
      <c r="C75" s="188"/>
      <c r="D75" s="188"/>
      <c r="E75" s="326" t="str">
        <f aca="false">INDEX('MiT Strom Pipeline'!$R$6:$R$860,21-5)</f>
        <v>offered</v>
      </c>
      <c r="F75" s="397" t="n">
        <f aca="false">INDEX('MiT Strom Pipeline'!$I$6:$I$860,21-5)</f>
        <v>77325.62</v>
      </c>
      <c r="G75" s="398" t="n">
        <f aca="false">INDEX('MiT Strom Pipeline'!$S$6:$S$860,21-5)</f>
        <v>0.3</v>
      </c>
      <c r="H75" s="397" t="n">
        <f aca="false">INDEX('MiT Strom Pipeline'!$Q$6:$Q$860,21-5)</f>
        <v>0</v>
      </c>
    </row>
    <row r="76" customFormat="false" ht="15.75" hidden="false" customHeight="true" outlineLevel="0" collapsed="false">
      <c r="A76" s="396" t="n">
        <v>28</v>
      </c>
      <c r="B76" s="188" t="str">
        <f aca="false">INDEX('MiT Strom Pipeline'!$B$6:$B$860,28-5)</f>
        <v>Sade CGTH (Schweiz)</v>
      </c>
      <c r="C76" s="188"/>
      <c r="D76" s="188"/>
      <c r="E76" s="326" t="str">
        <f aca="false">INDEX('MiT Strom Pipeline'!$R$6:$R$860,28-5)</f>
        <v>on hold</v>
      </c>
      <c r="F76" s="397" t="n">
        <f aca="false">INDEX('MiT Strom Pipeline'!$I$6:$I$860,28-5)</f>
        <v>38885</v>
      </c>
      <c r="G76" s="398" t="n">
        <f aca="false">INDEX('MiT Strom Pipeline'!$S$6:$S$860,28-5)</f>
        <v>0.3</v>
      </c>
      <c r="H76" s="397" t="n">
        <f aca="false">INDEX('MiT Strom Pipeline'!$Q$6:$Q$860,28-5)</f>
        <v>0</v>
      </c>
    </row>
    <row r="77" customFormat="false" ht="15.75" hidden="false" customHeight="true" outlineLevel="0" collapsed="false">
      <c r="A77" s="396" t="n">
        <v>40</v>
      </c>
      <c r="B77" s="188" t="str">
        <f aca="false">INDEX('MiT Strom Pipeline'!$B$6:$B$860,40-5)</f>
        <v>Creabeton</v>
      </c>
      <c r="C77" s="188"/>
      <c r="D77" s="188"/>
      <c r="E77" s="326" t="str">
        <f aca="false">INDEX('MiT Strom Pipeline'!$R$6:$R$860,40-5)</f>
        <v>offered</v>
      </c>
      <c r="F77" s="397" t="n">
        <f aca="false">INDEX('MiT Strom Pipeline'!$I$6:$I$860,40-5)</f>
        <v>3232.41</v>
      </c>
      <c r="G77" s="398" t="n">
        <f aca="false">INDEX('MiT Strom Pipeline'!$S$6:$S$860,40-5)</f>
        <v>0.3</v>
      </c>
      <c r="H77" s="397" t="n">
        <f aca="false">INDEX('MiT Strom Pipeline'!$Q$6:$Q$860,40-5)</f>
        <v>0</v>
      </c>
    </row>
    <row r="78" customFormat="false" ht="15.75" hidden="false" customHeight="true" outlineLevel="0" collapsed="false">
      <c r="A78" s="396" t="n">
        <v>42</v>
      </c>
      <c r="B78" s="188" t="str">
        <f aca="false">INDEX('MiT Strom Pipeline'!$B$6:$B$860,42-5)</f>
        <v>Linde Gas Schweiz AG</v>
      </c>
      <c r="C78" s="188"/>
      <c r="D78" s="188"/>
      <c r="E78" s="326" t="str">
        <f aca="false">INDEX('MiT Strom Pipeline'!$R$6:$R$860,42-5)</f>
        <v>offered</v>
      </c>
      <c r="F78" s="397" t="n">
        <f aca="false">INDEX('MiT Strom Pipeline'!$I$6:$I$860,42-5)</f>
        <v>3686.2</v>
      </c>
      <c r="G78" s="398" t="n">
        <f aca="false">INDEX('MiT Strom Pipeline'!$S$6:$S$860,42-5)</f>
        <v>0.3</v>
      </c>
      <c r="H78" s="397" t="n">
        <f aca="false">INDEX('MiT Strom Pipeline'!$Q$6:$Q$860,42-5)</f>
        <v>0</v>
      </c>
    </row>
    <row r="79" customFormat="false" ht="15.75" hidden="false" customHeight="true" outlineLevel="0" collapsed="false">
      <c r="A79" s="396" t="n">
        <v>43</v>
      </c>
      <c r="B79" s="188" t="str">
        <f aca="false">INDEX('MiT Strom Pipeline'!$B$6:$B$860,43-5)</f>
        <v>Baumeler Leitungsbau AG</v>
      </c>
      <c r="C79" s="188"/>
      <c r="D79" s="188"/>
      <c r="E79" s="326" t="str">
        <f aca="false">INDEX('MiT Strom Pipeline'!$R$6:$R$860,43-5)</f>
        <v>offered</v>
      </c>
      <c r="F79" s="397" t="n">
        <f aca="false">INDEX('MiT Strom Pipeline'!$I$6:$I$860,43-5)</f>
        <v>11559.36</v>
      </c>
      <c r="G79" s="398" t="n">
        <f aca="false">INDEX('MiT Strom Pipeline'!$S$6:$S$860,43-5)</f>
        <v>0.3</v>
      </c>
      <c r="H79" s="397" t="n">
        <f aca="false">INDEX('MiT Strom Pipeline'!$Q$6:$Q$860,43-5)</f>
        <v>0</v>
      </c>
    </row>
    <row r="80" customFormat="false" ht="15.75" hidden="false" customHeight="true" outlineLevel="0" collapsed="false">
      <c r="A80" s="396" t="n">
        <v>44</v>
      </c>
      <c r="B80" s="188" t="str">
        <f aca="false">INDEX('MiT Strom Pipeline'!$B$6:$B$860,44-5)</f>
        <v>Verein Street Parade Zürich</v>
      </c>
      <c r="C80" s="188"/>
      <c r="D80" s="188"/>
      <c r="E80" s="326" t="str">
        <f aca="false">INDEX('MiT Strom Pipeline'!$R$6:$R$860,44-5)</f>
        <v>offered</v>
      </c>
      <c r="F80" s="397" t="n">
        <f aca="false">INDEX('MiT Strom Pipeline'!$I$6:$I$860,44-5)</f>
        <v>3760.04</v>
      </c>
      <c r="G80" s="398" t="n">
        <f aca="false">INDEX('MiT Strom Pipeline'!$S$6:$S$860,44-5)</f>
        <v>0.3</v>
      </c>
      <c r="H80" s="397" t="n">
        <f aca="false">INDEX('MiT Strom Pipeline'!$Q$6:$Q$860,44-5)</f>
        <v>0</v>
      </c>
    </row>
    <row r="81" customFormat="false" ht="15.75" hidden="false" customHeight="true" outlineLevel="0" collapsed="false">
      <c r="A81" s="396" t="n">
        <v>46</v>
      </c>
      <c r="B81" s="188" t="str">
        <f aca="false">INDEX('MiT Strom Pipeline'!$B$6:$B$860,46-5)</f>
        <v>Badermetaux Sàrl (Schweiz)</v>
      </c>
      <c r="C81" s="188"/>
      <c r="D81" s="188"/>
      <c r="E81" s="326" t="str">
        <f aca="false">INDEX('MiT Strom Pipeline'!$R$6:$R$860,46-5)</f>
        <v>on hold</v>
      </c>
      <c r="F81" s="397" t="n">
        <f aca="false">INDEX('MiT Strom Pipeline'!$I$6:$I$860,46-5)</f>
        <v>500000</v>
      </c>
      <c r="G81" s="398" t="n">
        <f aca="false">INDEX('MiT Strom Pipeline'!$S$6:$S$860,46-5)</f>
        <v>0.3</v>
      </c>
      <c r="H81" s="397" t="n">
        <f aca="false">INDEX('MiT Strom Pipeline'!$Q$6:$Q$860,46-5)</f>
        <v>0</v>
      </c>
    </row>
    <row r="82" customFormat="false" ht="15.75" hidden="false" customHeight="true" outlineLevel="0" collapsed="false">
      <c r="A82" s="396" t="n">
        <v>52</v>
      </c>
      <c r="B82" s="188" t="str">
        <f aca="false">INDEX('MiT Strom Pipeline'!$B$6:$B$860,52-5)</f>
        <v>SMT</v>
      </c>
      <c r="C82" s="188"/>
      <c r="D82" s="188"/>
      <c r="E82" s="326" t="str">
        <f aca="false">INDEX('MiT Strom Pipeline'!$R$6:$R$860,52-5)</f>
        <v>on hold</v>
      </c>
      <c r="F82" s="397" t="n">
        <f aca="false">INDEX('MiT Strom Pipeline'!$I$6:$I$860,52-5)</f>
        <v>6772.8</v>
      </c>
      <c r="G82" s="398" t="n">
        <f aca="false">INDEX('MiT Strom Pipeline'!$S$6:$S$860,52-5)</f>
        <v>0.3</v>
      </c>
      <c r="H82" s="397" t="n">
        <f aca="false">INDEX('MiT Strom Pipeline'!$Q$6:$Q$860,52-5)</f>
        <v>0</v>
      </c>
    </row>
    <row r="83" customFormat="false" ht="15.75" hidden="false" customHeight="true" outlineLevel="0" collapsed="false">
      <c r="A83" s="396" t="n">
        <v>53</v>
      </c>
      <c r="B83" s="188" t="str">
        <f aca="false">INDEX('MiT Strom Pipeline'!$B$6:$B$860,53-5)</f>
        <v>Equans Switzerland Kloten</v>
      </c>
      <c r="C83" s="188"/>
      <c r="D83" s="188"/>
      <c r="E83" s="326" t="str">
        <f aca="false">INDEX('MiT Strom Pipeline'!$R$6:$R$860,53-5)</f>
        <v>offered</v>
      </c>
      <c r="F83" s="397" t="n">
        <f aca="false">INDEX('MiT Strom Pipeline'!$I$6:$I$860,53-5)</f>
        <v>224236.15</v>
      </c>
      <c r="G83" s="398" t="n">
        <f aca="false">INDEX('MiT Strom Pipeline'!$S$6:$S$860,53-5)</f>
        <v>0.3</v>
      </c>
      <c r="H83" s="397" t="n">
        <f aca="false">INDEX('MiT Strom Pipeline'!$Q$6:$Q$860,53-5)</f>
        <v>0</v>
      </c>
    </row>
    <row r="84" customFormat="false" ht="15.75" hidden="false" customHeight="true" outlineLevel="0" collapsed="false">
      <c r="A84" s="396" t="n">
        <v>54</v>
      </c>
      <c r="B84" s="188" t="str">
        <f aca="false">INDEX('MiT Strom Pipeline'!$B$6:$B$860,54-5)</f>
        <v>Equans Switzerland Kloten</v>
      </c>
      <c r="C84" s="188"/>
      <c r="D84" s="188"/>
      <c r="E84" s="326" t="str">
        <f aca="false">INDEX('MiT Strom Pipeline'!$R$6:$R$860,54-5)</f>
        <v>offered</v>
      </c>
      <c r="F84" s="397" t="n">
        <f aca="false">INDEX('MiT Strom Pipeline'!$I$6:$I$860,54-5)</f>
        <v>31077.89</v>
      </c>
      <c r="G84" s="398" t="n">
        <f aca="false">INDEX('MiT Strom Pipeline'!$S$6:$S$860,54-5)</f>
        <v>0.3</v>
      </c>
      <c r="H84" s="397" t="n">
        <f aca="false">INDEX('MiT Strom Pipeline'!$Q$6:$Q$860,54-5)</f>
        <v>0</v>
      </c>
    </row>
    <row r="85" customFormat="false" ht="15.75" hidden="false" customHeight="true" outlineLevel="0" collapsed="false">
      <c r="A85" s="396" t="n">
        <v>55</v>
      </c>
      <c r="B85" s="188" t="str">
        <f aca="false">INDEX('MiT Strom Pipeline'!$B$6:$B$860,55-5)</f>
        <v>ETAVIS Basel</v>
      </c>
      <c r="C85" s="188"/>
      <c r="D85" s="188"/>
      <c r="E85" s="326" t="str">
        <f aca="false">INDEX('MiT Strom Pipeline'!$R$6:$R$860,55-5)</f>
        <v>offered</v>
      </c>
      <c r="F85" s="397" t="n">
        <f aca="false">INDEX('MiT Strom Pipeline'!$I$6:$I$860,55-5)</f>
        <v>13866.21</v>
      </c>
      <c r="G85" s="398" t="n">
        <f aca="false">INDEX('MiT Strom Pipeline'!$S$6:$S$860,55-5)</f>
        <v>0.3</v>
      </c>
      <c r="H85" s="397" t="n">
        <f aca="false">INDEX('MiT Strom Pipeline'!$Q$6:$Q$860,55-5)</f>
        <v>0</v>
      </c>
    </row>
    <row r="86" customFormat="false" ht="15.75" hidden="false" customHeight="true" outlineLevel="0" collapsed="false">
      <c r="A86" s="396" t="n">
        <v>58</v>
      </c>
      <c r="B86" s="188" t="str">
        <f aca="false">INDEX('MiT Strom Pipeline'!$B$6:$B$860,58-5)</f>
        <v>Coutaz CVS SA</v>
      </c>
      <c r="C86" s="188"/>
      <c r="D86" s="188"/>
      <c r="E86" s="326" t="str">
        <f aca="false">INDEX('MiT Strom Pipeline'!$R$6:$R$860,58-5)</f>
        <v>offered</v>
      </c>
      <c r="F86" s="397" t="n">
        <f aca="false">INDEX('MiT Strom Pipeline'!$I$6:$I$860,58-5)</f>
        <v>190701.37</v>
      </c>
      <c r="G86" s="398" t="n">
        <f aca="false">INDEX('MiT Strom Pipeline'!$S$6:$S$860,58-5)</f>
        <v>0.3</v>
      </c>
      <c r="H86" s="397" t="n">
        <f aca="false">INDEX('MiT Strom Pipeline'!$Q$6:$Q$860,58-5)</f>
        <v>0</v>
      </c>
    </row>
    <row r="87" customFormat="false" ht="15.75" hidden="false" customHeight="true" outlineLevel="0" collapsed="false">
      <c r="A87" s="396" t="n">
        <v>59</v>
      </c>
      <c r="B87" s="188" t="str">
        <f aca="false">INDEX('MiT Strom Pipeline'!$B$6:$B$860,59-5)</f>
        <v>Romand Energei SA</v>
      </c>
      <c r="C87" s="188"/>
      <c r="D87" s="188"/>
      <c r="E87" s="326" t="str">
        <f aca="false">INDEX('MiT Strom Pipeline'!$R$6:$R$860,59-5)</f>
        <v>offered</v>
      </c>
      <c r="F87" s="397" t="n">
        <f aca="false">INDEX('MiT Strom Pipeline'!$I$6:$I$860,59-5)</f>
        <v>32467.62</v>
      </c>
      <c r="G87" s="398" t="n">
        <f aca="false">INDEX('MiT Strom Pipeline'!$S$6:$S$860,59-5)</f>
        <v>0.3</v>
      </c>
      <c r="H87" s="397" t="n">
        <f aca="false">INDEX('MiT Strom Pipeline'!$Q$6:$Q$860,59-5)</f>
        <v>0</v>
      </c>
    </row>
    <row r="88" customFormat="false" ht="15.75" hidden="false" customHeight="true" outlineLevel="0" collapsed="false">
      <c r="A88" s="396" t="n">
        <v>64</v>
      </c>
      <c r="B88" s="188" t="str">
        <f aca="false">INDEX('MiT Strom Pipeline'!$B$6:$B$860,64-5)</f>
        <v>Wyss Sound</v>
      </c>
      <c r="C88" s="188"/>
      <c r="D88" s="188"/>
      <c r="E88" s="326" t="str">
        <f aca="false">INDEX('MiT Strom Pipeline'!$R$6:$R$860,64-5)</f>
        <v>offered</v>
      </c>
      <c r="F88" s="397" t="n">
        <f aca="false">INDEX('MiT Strom Pipeline'!$I$6:$I$860,64-5)</f>
        <v>8381.21</v>
      </c>
      <c r="G88" s="398" t="n">
        <f aca="false">INDEX('MiT Strom Pipeline'!$S$6:$S$860,64-5)</f>
        <v>0.3</v>
      </c>
      <c r="H88" s="397" t="n">
        <f aca="false">INDEX('MiT Strom Pipeline'!$Q$6:$Q$860,64-5)</f>
        <v>0</v>
      </c>
    </row>
    <row r="89" customFormat="false" ht="15.75" hidden="false" customHeight="true" outlineLevel="0" collapsed="false">
      <c r="A89" s="396" t="n">
        <v>65</v>
      </c>
      <c r="B89" s="188" t="str">
        <f aca="false">INDEX('MiT Strom Pipeline'!$B$6:$B$860,65-5)</f>
        <v>Schmidiger + Rosasco AG</v>
      </c>
      <c r="C89" s="188"/>
      <c r="D89" s="188"/>
      <c r="E89" s="326" t="str">
        <f aca="false">INDEX('MiT Strom Pipeline'!$R$6:$R$860,65-5)</f>
        <v>offered</v>
      </c>
      <c r="F89" s="397" t="n">
        <f aca="false">INDEX('MiT Strom Pipeline'!$I$6:$I$860,65-5)</f>
        <v>6227.21</v>
      </c>
      <c r="G89" s="398" t="n">
        <f aca="false">INDEX('MiT Strom Pipeline'!$S$6:$S$860,65-5)</f>
        <v>0.3</v>
      </c>
      <c r="H89" s="397" t="n">
        <f aca="false">INDEX('MiT Strom Pipeline'!$Q$6:$Q$860,65-5)</f>
        <v>0</v>
      </c>
    </row>
    <row r="90" customFormat="false" ht="15.75" hidden="false" customHeight="true" outlineLevel="0" collapsed="false">
      <c r="A90" s="396" t="n">
        <v>66</v>
      </c>
      <c r="B90" s="188" t="str">
        <f aca="false">INDEX('MiT Strom Pipeline'!$B$6:$B$860,66-5)</f>
        <v>Winkler Livecom AG</v>
      </c>
      <c r="C90" s="188"/>
      <c r="D90" s="188"/>
      <c r="E90" s="326" t="str">
        <f aca="false">INDEX('MiT Strom Pipeline'!$R$6:$R$860,66-5)</f>
        <v>offered</v>
      </c>
      <c r="F90" s="397" t="n">
        <f aca="false">INDEX('MiT Strom Pipeline'!$I$6:$I$860,66-5)</f>
        <v>41209</v>
      </c>
      <c r="G90" s="398" t="n">
        <f aca="false">INDEX('MiT Strom Pipeline'!$S$6:$S$860,66-5)</f>
        <v>0.3</v>
      </c>
      <c r="H90" s="397" t="n">
        <f aca="false">INDEX('MiT Strom Pipeline'!$Q$6:$Q$860,66-5)</f>
        <v>0</v>
      </c>
    </row>
    <row r="91" customFormat="false" ht="15.75" hidden="false" customHeight="true" outlineLevel="0" collapsed="false">
      <c r="A91" s="396" t="n">
        <v>67</v>
      </c>
      <c r="B91" s="188" t="str">
        <f aca="false">INDEX('MiT Strom Pipeline'!$B$6:$B$860,67-5)</f>
        <v>Siemens</v>
      </c>
      <c r="C91" s="188"/>
      <c r="D91" s="188"/>
      <c r="E91" s="326" t="str">
        <f aca="false">INDEX('MiT Strom Pipeline'!$R$6:$R$860,67-5)</f>
        <v>offered</v>
      </c>
      <c r="F91" s="397" t="n">
        <f aca="false">INDEX('MiT Strom Pipeline'!$I$6:$I$860,67-5)</f>
        <v>40491.67</v>
      </c>
      <c r="G91" s="398" t="n">
        <f aca="false">INDEX('MiT Strom Pipeline'!$S$6:$S$860,67-5)</f>
        <v>0.3</v>
      </c>
      <c r="H91" s="397" t="n">
        <f aca="false">INDEX('MiT Strom Pipeline'!$Q$6:$Q$860,67-5)</f>
        <v>0</v>
      </c>
    </row>
    <row r="92" customFormat="false" ht="15.75" hidden="false" customHeight="true" outlineLevel="0" collapsed="false">
      <c r="A92" s="396" t="n">
        <v>68</v>
      </c>
      <c r="B92" s="188" t="str">
        <f aca="false">INDEX('MiT Strom Pipeline'!$B$6:$B$860,68-5)</f>
        <v>Kull Elektro AG</v>
      </c>
      <c r="C92" s="188"/>
      <c r="D92" s="188"/>
      <c r="E92" s="326" t="str">
        <f aca="false">INDEX('MiT Strom Pipeline'!$R$6:$R$860,68-5)</f>
        <v>offered</v>
      </c>
      <c r="F92" s="397" t="n">
        <f aca="false">INDEX('MiT Strom Pipeline'!$I$6:$I$860,68-5)</f>
        <v>113382.4</v>
      </c>
      <c r="G92" s="398" t="n">
        <f aca="false">INDEX('MiT Strom Pipeline'!$S$6:$S$860,68-5)</f>
        <v>0.3</v>
      </c>
      <c r="H92" s="397" t="n">
        <f aca="false">INDEX('MiT Strom Pipeline'!$Q$6:$Q$860,68-5)</f>
        <v>0</v>
      </c>
    </row>
    <row r="93" customFormat="false" ht="15.75" hidden="false" customHeight="true" outlineLevel="0" collapsed="false">
      <c r="A93" s="396" t="n">
        <v>69</v>
      </c>
      <c r="B93" s="188" t="str">
        <f aca="false">INDEX('MiT Strom Pipeline'!$B$6:$B$860,69-5)</f>
        <v>(Megger) Power Diagnostix Service GmbH</v>
      </c>
      <c r="C93" s="188"/>
      <c r="D93" s="188"/>
      <c r="E93" s="326" t="str">
        <f aca="false">INDEX('MiT Strom Pipeline'!$R$6:$R$860,69-5)</f>
        <v>offered</v>
      </c>
      <c r="F93" s="397" t="n">
        <f aca="false">INDEX('MiT Strom Pipeline'!$I$6:$I$860,69-5)</f>
        <v>2435.75</v>
      </c>
      <c r="G93" s="398" t="n">
        <f aca="false">INDEX('MiT Strom Pipeline'!$S$6:$S$860,69-5)</f>
        <v>0.3</v>
      </c>
      <c r="H93" s="397" t="n">
        <f aca="false">INDEX('MiT Strom Pipeline'!$Q$6:$Q$860,69-5)</f>
        <v>0</v>
      </c>
    </row>
    <row r="94" customFormat="false" ht="15.75" hidden="false" customHeight="true" outlineLevel="0" collapsed="false">
      <c r="A94" s="396" t="n">
        <v>70</v>
      </c>
      <c r="B94" s="188" t="str">
        <f aca="false">INDEX('MiT Strom Pipeline'!$B$6:$B$860,70-5)</f>
        <v>Promacom engineering GmbH</v>
      </c>
      <c r="C94" s="188"/>
      <c r="D94" s="188"/>
      <c r="E94" s="326" t="str">
        <f aca="false">INDEX('MiT Strom Pipeline'!$R$6:$R$860,70-5)</f>
        <v>offered</v>
      </c>
      <c r="F94" s="397" t="n">
        <f aca="false">INDEX('MiT Strom Pipeline'!$I$6:$I$860,70-5)</f>
        <v>286997.24</v>
      </c>
      <c r="G94" s="398" t="n">
        <f aca="false">INDEX('MiT Strom Pipeline'!$S$6:$S$860,70-5)</f>
        <v>0.3</v>
      </c>
      <c r="H94" s="397" t="n">
        <f aca="false">INDEX('MiT Strom Pipeline'!$Q$6:$Q$860,70-5)</f>
        <v>0</v>
      </c>
    </row>
    <row r="95" customFormat="false" ht="19.5" hidden="false" customHeight="true" outlineLevel="0" collapsed="false">
      <c r="A95" s="377" t="s">
        <v>1049</v>
      </c>
      <c r="B95" s="377"/>
      <c r="C95" s="377"/>
      <c r="D95" s="377"/>
      <c r="E95" s="377"/>
      <c r="F95" s="393" t="n">
        <f aca="false">SUM(F73:F94)</f>
        <v>2391698.15</v>
      </c>
      <c r="G95" s="181"/>
      <c r="H95" s="393" t="n">
        <f aca="false">SUM(H73:H94)</f>
        <v>0</v>
      </c>
    </row>
    <row r="97" customFormat="false" ht="21.75" hidden="false" customHeight="true" outlineLevel="0" collapsed="false">
      <c r="A97" s="289" t="s">
        <v>1050</v>
      </c>
      <c r="B97" s="289"/>
      <c r="C97" s="289"/>
      <c r="D97" s="289"/>
      <c r="E97" s="289"/>
      <c r="F97" s="289"/>
      <c r="G97" s="289"/>
      <c r="H97" s="289"/>
    </row>
    <row r="98" customFormat="false" ht="30" hidden="false" customHeight="true" outlineLevel="0" collapsed="false">
      <c r="A98" s="395" t="s">
        <v>1051</v>
      </c>
      <c r="B98" s="395"/>
      <c r="C98" s="395"/>
      <c r="D98" s="395"/>
      <c r="E98" s="395"/>
      <c r="F98" s="395"/>
      <c r="G98" s="395"/>
      <c r="H98" s="395"/>
    </row>
    <row r="99" customFormat="false" ht="18" hidden="false" customHeight="true" outlineLevel="0" collapsed="false">
      <c r="A99" s="149" t="s">
        <v>1046</v>
      </c>
      <c r="B99" s="149" t="s">
        <v>7</v>
      </c>
      <c r="C99" s="149"/>
      <c r="D99" s="149" t="s">
        <v>16</v>
      </c>
      <c r="E99" s="149" t="s">
        <v>1052</v>
      </c>
      <c r="F99" s="149" t="s">
        <v>9</v>
      </c>
      <c r="G99" s="149" t="s">
        <v>12</v>
      </c>
      <c r="H99" s="149" t="s">
        <v>29</v>
      </c>
    </row>
    <row r="100" customFormat="false" ht="15.75" hidden="false" customHeight="true" outlineLevel="0" collapsed="false">
      <c r="A100" s="396" t="n">
        <v>9</v>
      </c>
      <c r="B100" s="188" t="str">
        <f aca="false">INDEX('MiT Strom Pipeline'!$B$6:$B$860,9-5)</f>
        <v>Ice Hockey Championship</v>
      </c>
      <c r="C100" s="188"/>
      <c r="D100" s="397" t="n">
        <f aca="false">INDEX('MiT Strom Pipeline'!$I$6:$I$860,9-5)</f>
        <v>380000</v>
      </c>
      <c r="E100" s="384" t="n">
        <f aca="false">INDEX('MiT Strom Pipeline'!$S$6:$S$860,9-5)</f>
        <v>1</v>
      </c>
      <c r="F100" s="399" t="str">
        <f aca="false">IF(INDEX('MiT Strom Pipeline'!$O$6:$O$860,9-5)="","",INDEX('MiT Strom Pipeline'!$O$6:$O$860,9-5))</f>
        <v/>
      </c>
      <c r="G100" s="399" t="str">
        <f aca="false">IF(INDEX('MiT Strom Pipeline'!$P$6:$P$860,9-5)="","",INDEX('MiT Strom Pipeline'!$P$6:$P$860,9-5))</f>
        <v/>
      </c>
      <c r="H100" s="397" t="n">
        <f aca="false">INDEX('MiT Strom Pipeline'!$Q$6:$Q$860,9-5)</f>
        <v>380000</v>
      </c>
    </row>
    <row r="101" customFormat="false" ht="15.75" hidden="false" customHeight="true" outlineLevel="0" collapsed="false">
      <c r="A101" s="396" t="n">
        <v>10</v>
      </c>
      <c r="B101" s="188" t="str">
        <f aca="false">INDEX('MiT Strom Pipeline'!$B$6:$B$860,10-5)</f>
        <v>Oerlikon Metco Wohlen</v>
      </c>
      <c r="C101" s="188"/>
      <c r="D101" s="397" t="n">
        <f aca="false">INDEX('MiT Strom Pipeline'!$I$6:$I$860,10-5)</f>
        <v>13100</v>
      </c>
      <c r="E101" s="384" t="n">
        <f aca="false">INDEX('MiT Strom Pipeline'!$S$6:$S$860,10-5)</f>
        <v>1</v>
      </c>
      <c r="F101" s="399" t="str">
        <f aca="false">IF(INDEX('MiT Strom Pipeline'!$O$6:$O$860,10-5)="","",INDEX('MiT Strom Pipeline'!$O$6:$O$860,10-5))</f>
        <v/>
      </c>
      <c r="G101" s="399" t="str">
        <f aca="false">IF(INDEX('MiT Strom Pipeline'!$P$6:$P$860,10-5)="","",INDEX('MiT Strom Pipeline'!$P$6:$P$860,10-5))</f>
        <v/>
      </c>
      <c r="H101" s="397" t="n">
        <f aca="false">INDEX('MiT Strom Pipeline'!$Q$6:$Q$860,10-5)</f>
        <v>13100</v>
      </c>
    </row>
    <row r="102" customFormat="false" ht="15.75" hidden="false" customHeight="true" outlineLevel="0" collapsed="false">
      <c r="A102" s="396" t="n">
        <v>12</v>
      </c>
      <c r="B102" s="188" t="str">
        <f aca="false">INDEX('MiT Strom Pipeline'!$B$6:$B$860,12-5)</f>
        <v>Siemens</v>
      </c>
      <c r="C102" s="188"/>
      <c r="D102" s="397" t="n">
        <f aca="false">INDEX('MiT Strom Pipeline'!$I$6:$I$860,12-5)</f>
        <v>10000</v>
      </c>
      <c r="E102" s="384" t="n">
        <f aca="false">INDEX('MiT Strom Pipeline'!$S$6:$S$860,12-5)</f>
        <v>1</v>
      </c>
      <c r="F102" s="399" t="str">
        <f aca="false">IF(INDEX('MiT Strom Pipeline'!$O$6:$O$860,12-5)="","",INDEX('MiT Strom Pipeline'!$O$6:$O$860,12-5))</f>
        <v/>
      </c>
      <c r="G102" s="399" t="str">
        <f aca="false">IF(INDEX('MiT Strom Pipeline'!$P$6:$P$860,12-5)="","",INDEX('MiT Strom Pipeline'!$P$6:$P$860,12-5))</f>
        <v/>
      </c>
      <c r="H102" s="397" t="n">
        <f aca="false">INDEX('MiT Strom Pipeline'!$Q$6:$Q$860,12-5)</f>
        <v>10000</v>
      </c>
    </row>
    <row r="103" customFormat="false" ht="15.75" hidden="false" customHeight="true" outlineLevel="0" collapsed="false">
      <c r="A103" s="396" t="n">
        <v>13</v>
      </c>
      <c r="B103" s="188" t="str">
        <f aca="false">INDEX('MiT Strom Pipeline'!$B$6:$B$860,13-5)</f>
        <v>Stagelight – OpenAir Frauenfeld</v>
      </c>
      <c r="C103" s="188"/>
      <c r="D103" s="397" t="n">
        <f aca="false">INDEX('MiT Strom Pipeline'!$I$6:$I$860,13-5)</f>
        <v>150000</v>
      </c>
      <c r="E103" s="384" t="n">
        <f aca="false">INDEX('MiT Strom Pipeline'!$S$6:$S$860,13-5)</f>
        <v>1</v>
      </c>
      <c r="F103" s="399" t="str">
        <f aca="false">IF(INDEX('MiT Strom Pipeline'!$O$6:$O$860,13-5)="","",INDEX('MiT Strom Pipeline'!$O$6:$O$860,13-5))</f>
        <v/>
      </c>
      <c r="G103" s="399" t="str">
        <f aca="false">IF(INDEX('MiT Strom Pipeline'!$P$6:$P$860,13-5)="","",INDEX('MiT Strom Pipeline'!$P$6:$P$860,13-5))</f>
        <v/>
      </c>
      <c r="H103" s="397" t="n">
        <f aca="false">INDEX('MiT Strom Pipeline'!$Q$6:$Q$860,13-5)</f>
        <v>150000</v>
      </c>
    </row>
    <row r="104" customFormat="false" ht="15.75" hidden="false" customHeight="true" outlineLevel="0" collapsed="false">
      <c r="A104" s="396" t="n">
        <v>14</v>
      </c>
      <c r="B104" s="188" t="str">
        <f aca="false">INDEX('MiT Strom Pipeline'!$B$6:$B$860,14-5)</f>
        <v>Murg Flums Energie</v>
      </c>
      <c r="C104" s="188"/>
      <c r="D104" s="397" t="n">
        <f aca="false">INDEX('MiT Strom Pipeline'!$I$6:$I$860,14-5)</f>
        <v>96658.69</v>
      </c>
      <c r="E104" s="384" t="n">
        <f aca="false">INDEX('MiT Strom Pipeline'!$S$6:$S$860,14-5)</f>
        <v>1</v>
      </c>
      <c r="F104" s="399" t="str">
        <f aca="false">IF(INDEX('MiT Strom Pipeline'!$O$6:$O$860,14-5)="","",INDEX('MiT Strom Pipeline'!$O$6:$O$860,14-5))</f>
        <v/>
      </c>
      <c r="G104" s="399" t="str">
        <f aca="false">IF(INDEX('MiT Strom Pipeline'!$P$6:$P$860,14-5)="","",INDEX('MiT Strom Pipeline'!$P$6:$P$860,14-5))</f>
        <v/>
      </c>
      <c r="H104" s="397" t="n">
        <f aca="false">INDEX('MiT Strom Pipeline'!$Q$6:$Q$860,14-5)</f>
        <v>96658.69</v>
      </c>
    </row>
    <row r="105" customFormat="false" ht="15.75" hidden="false" customHeight="true" outlineLevel="0" collapsed="false">
      <c r="A105" s="396" t="n">
        <v>15</v>
      </c>
      <c r="B105" s="188" t="str">
        <f aca="false">INDEX('MiT Strom Pipeline'!$B$6:$B$860,15-5)</f>
        <v>X-Event</v>
      </c>
      <c r="C105" s="188"/>
      <c r="D105" s="397" t="str">
        <f aca="false">INDEX('MiT Strom Pipeline'!$I$6:$I$860,15-5)</f>
        <v>Sponsoring</v>
      </c>
      <c r="E105" s="384" t="n">
        <f aca="false">INDEX('MiT Strom Pipeline'!$S$6:$S$860,15-5)</f>
        <v>1</v>
      </c>
      <c r="F105" s="399" t="str">
        <f aca="false">IF(INDEX('MiT Strom Pipeline'!$O$6:$O$860,15-5)="","",INDEX('MiT Strom Pipeline'!$O$6:$O$860,15-5))</f>
        <v/>
      </c>
      <c r="G105" s="399" t="str">
        <f aca="false">IF(INDEX('MiT Strom Pipeline'!$P$6:$P$860,15-5)="","",INDEX('MiT Strom Pipeline'!$P$6:$P$860,15-5))</f>
        <v/>
      </c>
      <c r="H105" s="397" t="str">
        <f aca="false">INDEX('MiT Strom Pipeline'!$Q$6:$Q$860,15-5)</f>
        <v>tbd</v>
      </c>
    </row>
    <row r="106" customFormat="false" ht="15.75" hidden="false" customHeight="true" outlineLevel="0" collapsed="false">
      <c r="A106" s="396" t="n">
        <v>22</v>
      </c>
      <c r="B106" s="188" t="str">
        <f aca="false">INDEX('MiT Strom Pipeline'!$B$6:$B$860,22-5)</f>
        <v>Gampeln</v>
      </c>
      <c r="C106" s="188"/>
      <c r="D106" s="397" t="n">
        <f aca="false">INDEX('MiT Strom Pipeline'!$I$6:$I$860,22-5)</f>
        <v>80621.21</v>
      </c>
      <c r="E106" s="384" t="n">
        <f aca="false">INDEX('MiT Strom Pipeline'!$S$6:$S$860,22-5)</f>
        <v>1</v>
      </c>
      <c r="F106" s="399" t="str">
        <f aca="false">IF(INDEX('MiT Strom Pipeline'!$O$6:$O$860,22-5)="","",INDEX('MiT Strom Pipeline'!$O$6:$O$860,22-5))</f>
        <v/>
      </c>
      <c r="G106" s="399" t="str">
        <f aca="false">IF(INDEX('MiT Strom Pipeline'!$P$6:$P$860,22-5)="","",INDEX('MiT Strom Pipeline'!$P$6:$P$860,22-5))</f>
        <v/>
      </c>
      <c r="H106" s="397" t="n">
        <f aca="false">INDEX('MiT Strom Pipeline'!$Q$6:$Q$860,22-5)</f>
        <v>80621.21</v>
      </c>
    </row>
    <row r="107" customFormat="false" ht="15.75" hidden="false" customHeight="true" outlineLevel="0" collapsed="false">
      <c r="A107" s="396" t="n">
        <v>60</v>
      </c>
      <c r="B107" s="188" t="str">
        <f aca="false">INDEX('MiT Strom Pipeline'!$B$6:$B$860,60-5)</f>
        <v>EIDG AMT Agroscope</v>
      </c>
      <c r="C107" s="188"/>
      <c r="D107" s="397" t="n">
        <f aca="false">INDEX('MiT Strom Pipeline'!$I$6:$I$860,60-5)</f>
        <v>13533</v>
      </c>
      <c r="E107" s="384" t="n">
        <f aca="false">INDEX('MiT Strom Pipeline'!$S$6:$S$860,60-5)</f>
        <v>1</v>
      </c>
      <c r="F107" s="399" t="str">
        <f aca="false">IF(INDEX('MiT Strom Pipeline'!$O$6:$O$860,60-5)="","",INDEX('MiT Strom Pipeline'!$O$6:$O$860,60-5))</f>
        <v/>
      </c>
      <c r="G107" s="399" t="str">
        <f aca="false">IF(INDEX('MiT Strom Pipeline'!$P$6:$P$860,60-5)="","",INDEX('MiT Strom Pipeline'!$P$6:$P$860,60-5))</f>
        <v/>
      </c>
      <c r="H107" s="397" t="n">
        <f aca="false">INDEX('MiT Strom Pipeline'!$Q$6:$Q$860,60-5)</f>
        <v>13533</v>
      </c>
    </row>
    <row r="108" customFormat="false" ht="25.5" hidden="false" customHeight="true" outlineLevel="0" collapsed="false">
      <c r="A108" s="396" t="n">
        <v>61</v>
      </c>
      <c r="B108" s="394" t="str">
        <f aca="false">INDEX('MiT Strom Pipeline'!$B$6:$B$860,61-5)</f>
        <v>(Megger) Power Diagnostix Service GmbH</v>
      </c>
      <c r="C108" s="394"/>
      <c r="D108" s="397" t="n">
        <f aca="false">INDEX('MiT Strom Pipeline'!$I$6:$I$860,61-5)</f>
        <v>5488.9</v>
      </c>
      <c r="E108" s="384" t="n">
        <f aca="false">INDEX('MiT Strom Pipeline'!$S$6:$S$860,61-5)</f>
        <v>1</v>
      </c>
      <c r="F108" s="399" t="str">
        <f aca="false">IF(INDEX('MiT Strom Pipeline'!$O$6:$O$860,61-5)="","",INDEX('MiT Strom Pipeline'!$O$6:$O$860,61-5))</f>
        <v/>
      </c>
      <c r="G108" s="399" t="str">
        <f aca="false">IF(INDEX('MiT Strom Pipeline'!$P$6:$P$860,61-5)="","",INDEX('MiT Strom Pipeline'!$P$6:$P$860,61-5))</f>
        <v/>
      </c>
      <c r="H108" s="397" t="n">
        <f aca="false">INDEX('MiT Strom Pipeline'!$Q$6:$Q$860,61-5)</f>
        <v>5488.9</v>
      </c>
    </row>
    <row r="109" customFormat="false" ht="15.75" hidden="false" customHeight="true" outlineLevel="0" collapsed="false">
      <c r="A109" s="396" t="n">
        <v>62</v>
      </c>
      <c r="B109" s="188" t="str">
        <f aca="false">INDEX('MiT Strom Pipeline'!$B$6:$B$860,62-5)</f>
        <v>DPR Heat Loadbank</v>
      </c>
      <c r="C109" s="188"/>
      <c r="D109" s="397" t="n">
        <f aca="false">INDEX('MiT Strom Pipeline'!$I$6:$I$860,62-5)</f>
        <v>333790</v>
      </c>
      <c r="E109" s="384" t="n">
        <f aca="false">INDEX('MiT Strom Pipeline'!$S$6:$S$860,62-5)</f>
        <v>1</v>
      </c>
      <c r="F109" s="399" t="str">
        <f aca="false">IF(INDEX('MiT Strom Pipeline'!$O$6:$O$860,62-5)="","",INDEX('MiT Strom Pipeline'!$O$6:$O$860,62-5))</f>
        <v/>
      </c>
      <c r="G109" s="399" t="str">
        <f aca="false">IF(INDEX('MiT Strom Pipeline'!$P$6:$P$860,62-5)="","",INDEX('MiT Strom Pipeline'!$P$6:$P$860,62-5))</f>
        <v/>
      </c>
      <c r="H109" s="397" t="n">
        <f aca="false">INDEX('MiT Strom Pipeline'!$Q$6:$Q$860,62-5)</f>
        <v>333790</v>
      </c>
    </row>
    <row r="110" customFormat="false" ht="15.75" hidden="false" customHeight="true" outlineLevel="0" collapsed="false">
      <c r="A110" s="396" t="n">
        <v>63</v>
      </c>
      <c r="B110" s="188" t="str">
        <f aca="false">INDEX('MiT Strom Pipeline'!$B$6:$B$860,63-5)</f>
        <v>DPR Generator Loadbank Test</v>
      </c>
      <c r="C110" s="188"/>
      <c r="D110" s="397" t="n">
        <f aca="false">INDEX('MiT Strom Pipeline'!$I$6:$I$860,63-5)</f>
        <v>331889.15</v>
      </c>
      <c r="E110" s="384" t="n">
        <f aca="false">INDEX('MiT Strom Pipeline'!$S$6:$S$860,63-5)</f>
        <v>1</v>
      </c>
      <c r="F110" s="399" t="str">
        <f aca="false">IF(INDEX('MiT Strom Pipeline'!$O$6:$O$860,63-5)="","",INDEX('MiT Strom Pipeline'!$O$6:$O$860,63-5))</f>
        <v/>
      </c>
      <c r="G110" s="399" t="str">
        <f aca="false">IF(INDEX('MiT Strom Pipeline'!$P$6:$P$860,63-5)="","",INDEX('MiT Strom Pipeline'!$P$6:$P$860,63-5))</f>
        <v/>
      </c>
      <c r="H110" s="397" t="n">
        <f aca="false">INDEX('MiT Strom Pipeline'!$Q$6:$Q$860,63-5)</f>
        <v>331889.15</v>
      </c>
    </row>
    <row r="111" customFormat="false" ht="15.75" hidden="false" customHeight="true" outlineLevel="0" collapsed="false">
      <c r="A111" s="396" t="n">
        <v>71</v>
      </c>
      <c r="B111" s="188" t="str">
        <f aca="false">INDEX('MiT Strom Pipeline'!$B$6:$B$860,71-5)</f>
        <v>GETEC Park.Swiss AG</v>
      </c>
      <c r="C111" s="188"/>
      <c r="D111" s="397" t="n">
        <f aca="false">INDEX('MiT Strom Pipeline'!$I$6:$I$860,71-5)</f>
        <v>13472.18</v>
      </c>
      <c r="E111" s="384" t="n">
        <f aca="false">INDEX('MiT Strom Pipeline'!$S$6:$S$860,71-5)</f>
        <v>1</v>
      </c>
      <c r="F111" s="399" t="str">
        <f aca="false">IF(INDEX('MiT Strom Pipeline'!$O$6:$O$860,71-5)="","",INDEX('MiT Strom Pipeline'!$O$6:$O$860,71-5))</f>
        <v/>
      </c>
      <c r="G111" s="399" t="str">
        <f aca="false">IF(INDEX('MiT Strom Pipeline'!$P$6:$P$860,71-5)="","",INDEX('MiT Strom Pipeline'!$P$6:$P$860,71-5))</f>
        <v/>
      </c>
      <c r="H111" s="397" t="n">
        <f aca="false">INDEX('MiT Strom Pipeline'!$Q$6:$Q$860,71-5)</f>
        <v>13472.18</v>
      </c>
    </row>
    <row r="112" customFormat="false" ht="19.5" hidden="false" customHeight="true" outlineLevel="0" collapsed="false">
      <c r="A112" s="377" t="s">
        <v>1049</v>
      </c>
      <c r="B112" s="377"/>
      <c r="C112" s="377"/>
      <c r="D112" s="393" t="n">
        <f aca="false">SUM(D100:D111)</f>
        <v>1428553.13</v>
      </c>
      <c r="E112" s="181"/>
      <c r="F112" s="392" t="n">
        <f aca="false">SUMPRODUCT(--('MiT Strom Pipeline'!$B$6:$B$860&lt;&gt;""),--('MiT Strom Pipeline'!$R$6:$R$860="WON"),--('MiT Strom Pipeline'!$O$6:$O$860&lt;&gt;""))</f>
        <v>0</v>
      </c>
      <c r="G112" s="392" t="n">
        <f aca="false">SUMPRODUCT(--('MiT Strom Pipeline'!$B$6:$B$860&lt;&gt;""),--('MiT Strom Pipeline'!$R$6:$R$860="WON"),--('MiT Strom Pipeline'!$P$6:$P$860&lt;&gt;""))</f>
        <v>0</v>
      </c>
      <c r="H112" s="393" t="n">
        <f aca="false">SUM(H100:H111)</f>
        <v>1428553.13</v>
      </c>
    </row>
    <row r="113" customFormat="false" ht="15.75" hidden="false" customHeight="true" outlineLevel="0" collapsed="false">
      <c r="A113" s="186" t="s">
        <v>1053</v>
      </c>
      <c r="B113" s="186"/>
      <c r="C113" s="186"/>
      <c r="D113" s="186"/>
      <c r="E113" s="186"/>
      <c r="F113" s="186"/>
      <c r="G113" s="186"/>
      <c r="H113" s="186"/>
    </row>
    <row r="115" customFormat="false" ht="19.5" hidden="false" customHeight="true" outlineLevel="0" collapsed="false">
      <c r="A115" s="400" t="s">
        <v>1054</v>
      </c>
      <c r="B115" s="400"/>
      <c r="C115" s="400"/>
      <c r="D115" s="400"/>
      <c r="E115" s="400"/>
      <c r="F115" s="400"/>
      <c r="G115" s="400"/>
      <c r="H115" s="400"/>
    </row>
    <row r="116" customFormat="false" ht="45.75" hidden="false" customHeight="true" outlineLevel="0" collapsed="false">
      <c r="A116" s="345" t="s">
        <v>1055</v>
      </c>
      <c r="B116" s="291" t="s">
        <v>1056</v>
      </c>
      <c r="C116" s="291"/>
      <c r="D116" s="291"/>
      <c r="E116" s="291"/>
      <c r="F116" s="291"/>
      <c r="G116" s="291"/>
      <c r="H116" s="291"/>
    </row>
    <row r="117" customFormat="false" ht="45.75" hidden="false" customHeight="true" outlineLevel="0" collapsed="false">
      <c r="A117" s="345" t="s">
        <v>1057</v>
      </c>
      <c r="B117" s="291" t="s">
        <v>1058</v>
      </c>
      <c r="C117" s="291"/>
      <c r="D117" s="291"/>
      <c r="E117" s="291"/>
      <c r="F117" s="291"/>
      <c r="G117" s="291"/>
      <c r="H117" s="291"/>
    </row>
    <row r="118" customFormat="false" ht="45.75" hidden="false" customHeight="true" outlineLevel="0" collapsed="false">
      <c r="A118" s="345" t="s">
        <v>1059</v>
      </c>
      <c r="B118" s="291" t="s">
        <v>1060</v>
      </c>
      <c r="C118" s="291"/>
      <c r="D118" s="291"/>
      <c r="E118" s="291"/>
      <c r="F118" s="291"/>
      <c r="G118" s="291"/>
      <c r="H118" s="291"/>
    </row>
    <row r="119" customFormat="false" ht="45.75" hidden="false" customHeight="true" outlineLevel="0" collapsed="false">
      <c r="A119" s="345" t="s">
        <v>1061</v>
      </c>
      <c r="B119" s="291" t="s">
        <v>1062</v>
      </c>
      <c r="C119" s="291"/>
      <c r="D119" s="291"/>
      <c r="E119" s="291"/>
      <c r="F119" s="291"/>
      <c r="G119" s="291"/>
      <c r="H119" s="291"/>
    </row>
  </sheetData>
  <mergeCells count="122">
    <mergeCell ref="A1:H1"/>
    <mergeCell ref="A2:H2"/>
    <mergeCell ref="A3:H3"/>
    <mergeCell ref="A4:H4"/>
    <mergeCell ref="C5:E5"/>
    <mergeCell ref="F5:H5"/>
    <mergeCell ref="C6:E6"/>
    <mergeCell ref="F6:H6"/>
    <mergeCell ref="C7:E7"/>
    <mergeCell ref="F7:H7"/>
    <mergeCell ref="C8:E8"/>
    <mergeCell ref="F8:H8"/>
    <mergeCell ref="C9:E9"/>
    <mergeCell ref="F9:H9"/>
    <mergeCell ref="C10:E10"/>
    <mergeCell ref="F10:H10"/>
    <mergeCell ref="C11:E11"/>
    <mergeCell ref="F11:H11"/>
    <mergeCell ref="A12:H12"/>
    <mergeCell ref="A14:H14"/>
    <mergeCell ref="A15:H15"/>
    <mergeCell ref="A22:D22"/>
    <mergeCell ref="A23:H23"/>
    <mergeCell ref="A25:H25"/>
    <mergeCell ref="A26:D26"/>
    <mergeCell ref="E26:H26"/>
    <mergeCell ref="A27:D27"/>
    <mergeCell ref="E27:H27"/>
    <mergeCell ref="A28:D28"/>
    <mergeCell ref="E28:H28"/>
    <mergeCell ref="A29:D29"/>
    <mergeCell ref="E29:H29"/>
    <mergeCell ref="A30:D30"/>
    <mergeCell ref="E30:H30"/>
    <mergeCell ref="A31:D31"/>
    <mergeCell ref="E31:H31"/>
    <mergeCell ref="A32:D32"/>
    <mergeCell ref="E32:H32"/>
    <mergeCell ref="A33:D33"/>
    <mergeCell ref="E33:H33"/>
    <mergeCell ref="A34:D34"/>
    <mergeCell ref="E34:H34"/>
    <mergeCell ref="A35:D35"/>
    <mergeCell ref="E35:H35"/>
    <mergeCell ref="A36:D36"/>
    <mergeCell ref="E36:H36"/>
    <mergeCell ref="A39:H39"/>
    <mergeCell ref="B40:H40"/>
    <mergeCell ref="B41:H41"/>
    <mergeCell ref="B42:H42"/>
    <mergeCell ref="B43:H43"/>
    <mergeCell ref="B44:H44"/>
    <mergeCell ref="B45:H45"/>
    <mergeCell ref="B46:H46"/>
    <mergeCell ref="A49:H49"/>
    <mergeCell ref="A50:H50"/>
    <mergeCell ref="A59:D59"/>
    <mergeCell ref="A61:D61"/>
    <mergeCell ref="E61:H61"/>
    <mergeCell ref="A62:D62"/>
    <mergeCell ref="E62:H62"/>
    <mergeCell ref="A63:D63"/>
    <mergeCell ref="E63:H63"/>
    <mergeCell ref="A64:D64"/>
    <mergeCell ref="E64:H64"/>
    <mergeCell ref="A65:D65"/>
    <mergeCell ref="E65:H65"/>
    <mergeCell ref="A66:D66"/>
    <mergeCell ref="E66:H66"/>
    <mergeCell ref="A67:D67"/>
    <mergeCell ref="E67:H67"/>
    <mergeCell ref="A68:D68"/>
    <mergeCell ref="E68:H68"/>
    <mergeCell ref="A69:D69"/>
    <mergeCell ref="E69:H69"/>
    <mergeCell ref="A71:H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A95:E95"/>
    <mergeCell ref="A97:H97"/>
    <mergeCell ref="A98:H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A112:C112"/>
    <mergeCell ref="A113:H113"/>
    <mergeCell ref="A115:H115"/>
    <mergeCell ref="B116:H116"/>
    <mergeCell ref="B117:H117"/>
    <mergeCell ref="B118:H118"/>
    <mergeCell ref="B119:H119"/>
  </mergeCell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Bewertungsmodell Wahrscheinlichkeit</oddHeader>
    <oddFooter>&amp;L&amp;8 Mobil in Time AG · An Aggreko Company&amp;C&amp;8 Stand: &amp;D&amp;R&amp;8 Seite &amp;P von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sheetData>
    <row r="1" customFormat="false" ht="15" hidden="false" customHeight="true" outlineLevel="0" collapsed="false">
      <c r="A1" s="1" t="s">
        <v>1063</v>
      </c>
      <c r="B1" s="1" t="s">
        <v>14</v>
      </c>
      <c r="C1" s="1" t="s">
        <v>15</v>
      </c>
      <c r="D1" s="1" t="s">
        <v>11</v>
      </c>
      <c r="G1" s="1" t="s">
        <v>10</v>
      </c>
      <c r="H1" s="1" t="s">
        <v>11</v>
      </c>
      <c r="I1" s="1" t="s">
        <v>1064</v>
      </c>
      <c r="K1" s="1" t="s">
        <v>26</v>
      </c>
      <c r="L1" s="1" t="s">
        <v>27</v>
      </c>
      <c r="M1" s="1" t="s">
        <v>28</v>
      </c>
      <c r="N1" s="1" t="s">
        <v>29</v>
      </c>
      <c r="O1" s="1" t="s">
        <v>15</v>
      </c>
    </row>
    <row r="2" customFormat="false" ht="15" hidden="false" customHeight="true" outlineLevel="0" collapsed="false">
      <c r="A2" s="1" t="s">
        <v>244</v>
      </c>
      <c r="B2" s="1" t="s">
        <v>2</v>
      </c>
      <c r="C2" s="1" t="n">
        <f aca="false">COUNTIF('MiT Strom Pipeline'!R$6:R$860,A2)</f>
        <v>12</v>
      </c>
      <c r="D2" s="1" t="n">
        <f aca="false">SUMIFS('MiT Strom Pipeline'!I$6:I$860,'MiT Strom Pipeline'!R$6:R$860,A2)</f>
        <v>1428553.13</v>
      </c>
      <c r="G2" s="1" t="s">
        <v>242</v>
      </c>
      <c r="H2" s="1" t="n">
        <f aca="false">SUMIF('MiT Strom Pipeline'!$D$6:$D$860,G2,'MiT Strom Pipeline'!$I$6:$I$860)</f>
        <v>380000</v>
      </c>
      <c r="I2" s="1" t="n">
        <f aca="false">COUNTIF('MiT Strom Pipeline'!$D$6:$D$860,G2)</f>
        <v>1</v>
      </c>
      <c r="K2" s="1" t="str">
        <f aca="false">'⚖️ Wahrscheinlichkeit'!$A$17</f>
        <v>0 – 44 %</v>
      </c>
      <c r="L2" s="268" t="n">
        <f aca="false">'⚖️ Wahrscheinlichkeit'!$D$17</f>
        <v>0</v>
      </c>
      <c r="M2" s="270" t="n">
        <f aca="false">'⚖️ Wahrscheinlichkeit'!$F$17</f>
        <v>5092182.15</v>
      </c>
      <c r="N2" s="270" t="n">
        <f aca="false">'⚖️ Wahrscheinlichkeit'!$G$17</f>
        <v>0</v>
      </c>
      <c r="O2" s="401" t="n">
        <f aca="false">'⚖️ Wahrscheinlichkeit'!$E$17</f>
        <v>30</v>
      </c>
    </row>
    <row r="3" customFormat="false" ht="15" hidden="false" customHeight="true" outlineLevel="0" collapsed="false">
      <c r="A3" s="1" t="s">
        <v>219</v>
      </c>
      <c r="B3" s="1" t="s">
        <v>43</v>
      </c>
      <c r="C3" s="1" t="n">
        <f aca="false">COUNTIF('MiT Strom Pipeline'!R$6:R$860,A3)</f>
        <v>29</v>
      </c>
      <c r="D3" s="1" t="n">
        <f aca="false">SUMIFS('MiT Strom Pipeline'!I$6:I$860,'MiT Strom Pipeline'!R$6:R$860,A3)</f>
        <v>4887938.3</v>
      </c>
      <c r="G3" s="1" t="s">
        <v>250</v>
      </c>
      <c r="H3" s="1" t="n">
        <f aca="false">SUMIF('MiT Strom Pipeline'!$D$6:$D$860,G3,'MiT Strom Pipeline'!$I$6:$I$860)</f>
        <v>13100</v>
      </c>
      <c r="I3" s="1" t="n">
        <f aca="false">COUNTIF('MiT Strom Pipeline'!$D$6:$D$860,G3)</f>
        <v>1</v>
      </c>
      <c r="K3" s="1" t="str">
        <f aca="false">'⚖️ Wahrscheinlichkeit'!$A$18</f>
        <v>45 – 59 %</v>
      </c>
      <c r="L3" s="268" t="n">
        <f aca="false">'⚖️ Wahrscheinlichkeit'!$D$18</f>
        <v>0.3</v>
      </c>
      <c r="M3" s="270" t="n">
        <f aca="false">'⚖️ Wahrscheinlichkeit'!$F$18</f>
        <v>0</v>
      </c>
      <c r="N3" s="270" t="n">
        <f aca="false">'⚖️ Wahrscheinlichkeit'!$G$18</f>
        <v>0</v>
      </c>
      <c r="O3" s="401" t="n">
        <f aca="false">'⚖️ Wahrscheinlichkeit'!$E$18</f>
        <v>0</v>
      </c>
    </row>
    <row r="4" customFormat="false" ht="15" hidden="false" customHeight="true" outlineLevel="0" collapsed="false">
      <c r="A4" s="1" t="s">
        <v>537</v>
      </c>
      <c r="B4" s="1" t="s">
        <v>1065</v>
      </c>
      <c r="C4" s="1" t="n">
        <f aca="false">COUNTIF('MiT Strom Pipeline'!R$6:R$860,A4)</f>
        <v>0</v>
      </c>
      <c r="D4" s="1" t="n">
        <f aca="false">SUMIFS('MiT Strom Pipeline'!I$6:I$860,'MiT Strom Pipeline'!R$6:R$860,A4)</f>
        <v>0</v>
      </c>
      <c r="G4" s="1" t="s">
        <v>261</v>
      </c>
      <c r="H4" s="1" t="n">
        <f aca="false">SUMIF('MiT Strom Pipeline'!$D$6:$D$860,G4,'MiT Strom Pipeline'!$I$6:$I$860)</f>
        <v>10000</v>
      </c>
      <c r="I4" s="1" t="n">
        <f aca="false">COUNTIF('MiT Strom Pipeline'!$D$6:$D$860,G4)</f>
        <v>1</v>
      </c>
      <c r="K4" s="1" t="str">
        <f aca="false">'⚖️ Wahrscheinlichkeit'!$A$19</f>
        <v>60 – 89 %</v>
      </c>
      <c r="L4" s="268" t="n">
        <f aca="false">'⚖️ Wahrscheinlichkeit'!$D$19</f>
        <v>0.5</v>
      </c>
      <c r="M4" s="270" t="n">
        <f aca="false">'⚖️ Wahrscheinlichkeit'!$F$19</f>
        <v>268500.23</v>
      </c>
      <c r="N4" s="270" t="n">
        <f aca="false">'⚖️ Wahrscheinlichkeit'!$G$19</f>
        <v>134250.115</v>
      </c>
      <c r="O4" s="401" t="n">
        <f aca="false">'⚖️ Wahrscheinlichkeit'!$E$19</f>
        <v>2</v>
      </c>
    </row>
    <row r="5" customFormat="false" ht="15" hidden="false" customHeight="true" outlineLevel="0" collapsed="false">
      <c r="A5" s="1" t="s">
        <v>540</v>
      </c>
      <c r="B5" s="1" t="s">
        <v>19</v>
      </c>
      <c r="C5" s="1" t="n">
        <f aca="false">COUNTIF('MiT Strom Pipeline'!R$6:R$860,A5)</f>
        <v>0</v>
      </c>
      <c r="D5" s="1" t="n">
        <f aca="false">SUMIFS('MiT Strom Pipeline'!I$6:I$860,'MiT Strom Pipeline'!R$6:R$860,A5)</f>
        <v>0</v>
      </c>
      <c r="G5" s="1" t="s">
        <v>266</v>
      </c>
      <c r="H5" s="1" t="n">
        <f aca="false">SUMIF('MiT Strom Pipeline'!$D$6:$D$860,G5,'MiT Strom Pipeline'!$I$6:$I$860)</f>
        <v>150000</v>
      </c>
      <c r="I5" s="1" t="n">
        <f aca="false">COUNTIF('MiT Strom Pipeline'!$D$6:$D$860,G5)</f>
        <v>1</v>
      </c>
      <c r="K5" s="1" t="str">
        <f aca="false">'⚖️ Wahrscheinlichkeit'!$A$20</f>
        <v>90 – 99 %</v>
      </c>
      <c r="L5" s="268" t="n">
        <f aca="false">'⚖️ Wahrscheinlichkeit'!$D$20</f>
        <v>0.9</v>
      </c>
      <c r="M5" s="270" t="n">
        <f aca="false">'⚖️ Wahrscheinlichkeit'!$F$20</f>
        <v>72913.72</v>
      </c>
      <c r="N5" s="270" t="n">
        <f aca="false">'⚖️ Wahrscheinlichkeit'!$G$20</f>
        <v>65622.348</v>
      </c>
      <c r="O5" s="401" t="n">
        <f aca="false">'⚖️ Wahrscheinlichkeit'!$E$20</f>
        <v>2</v>
      </c>
    </row>
    <row r="6" customFormat="false" ht="15" hidden="false" customHeight="true" outlineLevel="0" collapsed="false">
      <c r="A6" s="1" t="s">
        <v>996</v>
      </c>
      <c r="B6" s="1" t="s">
        <v>1066</v>
      </c>
      <c r="C6" s="1" t="n">
        <f aca="false">COUNTIF('MiT Strom Pipeline'!R$6:R$860,A6)</f>
        <v>0</v>
      </c>
      <c r="D6" s="1" t="n">
        <f aca="false">SUMIFS('MiT Strom Pipeline'!I$6:I$860,'MiT Strom Pipeline'!R$6:R$860,A6)</f>
        <v>0</v>
      </c>
      <c r="G6" s="1" t="s">
        <v>217</v>
      </c>
      <c r="H6" s="1" t="n">
        <f aca="false">SUMIF('MiT Strom Pipeline'!$D$6:$D$860,G6,'MiT Strom Pipeline'!$I$6:$I$860)</f>
        <v>390000</v>
      </c>
      <c r="I6" s="1" t="n">
        <f aca="false">COUNTIF('MiT Strom Pipeline'!$D$6:$D$860,G6)</f>
        <v>1</v>
      </c>
      <c r="K6" s="1" t="str">
        <f aca="false">'⚖️ Wahrscheinlichkeit'!$A$21</f>
        <v>100 %  ·  WON</v>
      </c>
      <c r="L6" s="268" t="n">
        <f aca="false">'⚖️ Wahrscheinlichkeit'!$D$21</f>
        <v>1</v>
      </c>
      <c r="M6" s="270" t="n">
        <f aca="false">'⚖️ Wahrscheinlichkeit'!$F$21</f>
        <v>1428553.13</v>
      </c>
      <c r="N6" s="270" t="n">
        <f aca="false">'⚖️ Wahrscheinlichkeit'!$G$21</f>
        <v>1428553.13</v>
      </c>
      <c r="O6" s="401" t="n">
        <f aca="false">'⚖️ Wahrscheinlichkeit'!$E$21</f>
        <v>12</v>
      </c>
    </row>
    <row r="7" customFormat="false" ht="15" hidden="false" customHeight="true" outlineLevel="0" collapsed="false">
      <c r="A7" s="1" t="s">
        <v>998</v>
      </c>
      <c r="B7" s="1" t="s">
        <v>1067</v>
      </c>
      <c r="C7" s="1" t="n">
        <f aca="false">COUNTIF('MiT Strom Pipeline'!R$6:R$860,A7)</f>
        <v>0</v>
      </c>
      <c r="D7" s="1" t="n">
        <f aca="false">SUMIFS('MiT Strom Pipeline'!I$6:I$860,'MiT Strom Pipeline'!R$6:R$860,A7)</f>
        <v>0</v>
      </c>
      <c r="G7" s="1" t="s">
        <v>255</v>
      </c>
      <c r="H7" s="1" t="n">
        <f aca="false">SUMIF('MiT Strom Pipeline'!$D$6:$D$860,G7,'MiT Strom Pipeline'!$I$6:$I$860)</f>
        <v>137658.69</v>
      </c>
      <c r="I7" s="1" t="n">
        <f aca="false">COUNTIF('MiT Strom Pipeline'!$D$6:$D$860,G7)</f>
        <v>2</v>
      </c>
    </row>
    <row r="8" customFormat="false" ht="15" hidden="false" customHeight="true" outlineLevel="0" collapsed="false">
      <c r="A8" s="1" t="s">
        <v>235</v>
      </c>
      <c r="B8" s="1" t="s">
        <v>21</v>
      </c>
      <c r="C8" s="1" t="n">
        <f aca="false">COUNTIF('MiT Strom Pipeline'!R$6:R$860,A8)</f>
        <v>4</v>
      </c>
      <c r="D8" s="1" t="n">
        <f aca="false">SUMIFS('MiT Strom Pipeline'!I$6:I$860,'MiT Strom Pipeline'!R$6:R$860,A8)</f>
        <v>545657.8</v>
      </c>
      <c r="G8" s="1" t="s">
        <v>333</v>
      </c>
      <c r="H8" s="1" t="n">
        <f aca="false">SUMIF('MiT Strom Pipeline'!$D$6:$D$860,G8,'MiT Strom Pipeline'!$I$6:$I$860)</f>
        <v>57897.12</v>
      </c>
      <c r="I8" s="1" t="n">
        <f aca="false">COUNTIF('MiT Strom Pipeline'!$D$6:$D$860,G8)</f>
        <v>4</v>
      </c>
    </row>
    <row r="9" customFormat="false" ht="15" hidden="false" customHeight="true" outlineLevel="0" collapsed="false">
      <c r="A9" s="1" t="s">
        <v>227</v>
      </c>
      <c r="B9" s="1" t="s">
        <v>22</v>
      </c>
      <c r="C9" s="1" t="n">
        <f aca="false">COUNTIF('MiT Strom Pipeline'!R$6:R$860,A9)</f>
        <v>1</v>
      </c>
      <c r="D9" s="1" t="n">
        <f aca="false">SUMIFS('MiT Strom Pipeline'!I$6:I$860,'MiT Strom Pipeline'!R$6:R$860,A9)</f>
        <v>0</v>
      </c>
      <c r="G9" s="1" t="s">
        <v>402</v>
      </c>
      <c r="H9" s="1" t="n">
        <f aca="false">SUMIF('MiT Strom Pipeline'!$D$6:$D$860,G9,'MiT Strom Pipeline'!$I$6:$I$860)</f>
        <v>500000</v>
      </c>
      <c r="I9" s="1" t="n">
        <f aca="false">COUNTIF('MiT Strom Pipeline'!$D$6:$D$860,G9)</f>
        <v>1</v>
      </c>
    </row>
    <row r="10" customFormat="false" ht="15" hidden="false" customHeight="true" outlineLevel="0" collapsed="false">
      <c r="A10" s="1" t="s">
        <v>329</v>
      </c>
      <c r="B10" s="1" t="s">
        <v>23</v>
      </c>
      <c r="C10" s="1" t="n">
        <f aca="false">COUNTIF('MiT Strom Pipeline'!R$6:R$860,A10)</f>
        <v>7</v>
      </c>
      <c r="D10" s="1" t="n">
        <f aca="false">SUMIFS('MiT Strom Pipeline'!I$6:I$860,'MiT Strom Pipeline'!R$6:R$860,A10)</f>
        <v>78251.62</v>
      </c>
      <c r="G10" s="1" t="s">
        <v>293</v>
      </c>
      <c r="H10" s="1" t="n">
        <f aca="false">SUMIF('MiT Strom Pipeline'!$D$6:$D$860,G10,'MiT Strom Pipeline'!$I$6:$I$860)</f>
        <v>97679.21</v>
      </c>
      <c r="I10" s="1" t="n">
        <f aca="false">COUNTIF('MiT Strom Pipeline'!$D$6:$D$860,G10)</f>
        <v>8</v>
      </c>
    </row>
    <row r="11" customFormat="false" ht="15" hidden="false" customHeight="true" outlineLevel="0" collapsed="false">
      <c r="A11" s="1" t="s">
        <v>228</v>
      </c>
      <c r="B11" s="1" t="s">
        <v>24</v>
      </c>
      <c r="C11" s="1" t="n">
        <f aca="false">COUNTIF('MiT Strom Pipeline'!R$6:R$860,A11)</f>
        <v>13</v>
      </c>
      <c r="D11" s="1" t="n">
        <f aca="false">SUMIFS('MiT Strom Pipeline'!I$6:I$860,'MiT Strom Pipeline'!R$6:R$860,A11)</f>
        <v>96029.01</v>
      </c>
      <c r="G11" s="1" t="s">
        <v>225</v>
      </c>
      <c r="H11" s="1" t="n">
        <f aca="false">SUMIF('MiT Strom Pipeline'!$D$6:$D$860,G11,'MiT Strom Pipeline'!$I$6:$I$860)</f>
        <v>0</v>
      </c>
      <c r="I11" s="1" t="n">
        <f aca="false">COUNTIF('MiT Strom Pipeline'!$D$6:$D$860,G11)</f>
        <v>2</v>
      </c>
    </row>
    <row r="12" customFormat="false" ht="15" hidden="false" customHeight="true" outlineLevel="0" collapsed="false">
      <c r="G12" s="1" t="s">
        <v>289</v>
      </c>
      <c r="H12" s="1" t="n">
        <f aca="false">SUMIF('MiT Strom Pipeline'!$D$6:$D$860,G12,'MiT Strom Pipeline'!$I$6:$I$860)</f>
        <v>365003</v>
      </c>
      <c r="I12" s="1" t="n">
        <f aca="false">COUNTIF('MiT Strom Pipeline'!$D$6:$D$860,G12)</f>
        <v>1</v>
      </c>
    </row>
    <row r="13" customFormat="false" ht="15" hidden="false" customHeight="true" outlineLevel="0" collapsed="false">
      <c r="A13" s="1" t="s">
        <v>53</v>
      </c>
      <c r="B13" s="1" t="s">
        <v>11</v>
      </c>
      <c r="C13" s="1" t="s">
        <v>1064</v>
      </c>
      <c r="D13" s="1" t="s">
        <v>244</v>
      </c>
      <c r="E13" s="1" t="s">
        <v>1068</v>
      </c>
      <c r="G13" s="1" t="s">
        <v>359</v>
      </c>
      <c r="H13" s="1" t="n">
        <f aca="false">SUMIF('MiT Strom Pipeline'!$D$6:$D$860,G13,'MiT Strom Pipeline'!$I$6:$I$860)</f>
        <v>75769</v>
      </c>
      <c r="I13" s="1" t="n">
        <f aca="false">COUNTIF('MiT Strom Pipeline'!$D$6:$D$860,G13)</f>
        <v>3</v>
      </c>
    </row>
    <row r="14" customFormat="false" ht="15" hidden="false" customHeight="true" outlineLevel="0" collapsed="false">
      <c r="A14" s="1" t="s">
        <v>56</v>
      </c>
      <c r="B14" s="1" t="n">
        <f aca="false">SUMIF('MiT Strom Pipeline'!$C$6:$C$860,A14,'MiT Strom Pipeline'!$I$6:$I$860)</f>
        <v>444672.95</v>
      </c>
      <c r="C14" s="1" t="n">
        <f aca="false">COUNTIF('MiT Strom Pipeline'!$C$6:$C$860,A14)</f>
        <v>7</v>
      </c>
      <c r="D14" s="1" t="n">
        <f aca="false">COUNTIFS('MiT Strom Pipeline'!$C$6:$C$860,A14,'MiT Strom Pipeline'!$R$6:$R$860,"WON")</f>
        <v>1</v>
      </c>
      <c r="E14" s="1" t="n">
        <f aca="false">B14+(26-ROW())*0.0001</f>
        <v>444672.9512</v>
      </c>
      <c r="G14" s="1" t="s">
        <v>233</v>
      </c>
      <c r="H14" s="1" t="n">
        <f aca="false">SUMIF('MiT Strom Pipeline'!$D$6:$D$860,G14,'MiT Strom Pipeline'!$I$6:$I$860)</f>
        <v>0</v>
      </c>
      <c r="I14" s="1" t="n">
        <f aca="false">COUNTIF('MiT Strom Pipeline'!$D$6:$D$860,G14)</f>
        <v>1</v>
      </c>
    </row>
    <row r="15" customFormat="false" ht="15" hidden="false" customHeight="true" outlineLevel="0" collapsed="false">
      <c r="A15" s="1" t="s">
        <v>57</v>
      </c>
      <c r="B15" s="1" t="n">
        <f aca="false">SUMIF('MiT Strom Pipeline'!$C$6:$C$860,A15,'MiT Strom Pipeline'!$I$6:$I$860)</f>
        <v>0</v>
      </c>
      <c r="C15" s="1" t="n">
        <f aca="false">COUNTIF('MiT Strom Pipeline'!$C$6:$C$860,A15)</f>
        <v>0</v>
      </c>
      <c r="D15" s="1" t="n">
        <f aca="false">COUNTIFS('MiT Strom Pipeline'!$C$6:$C$860,A15,'MiT Strom Pipeline'!$R$6:$R$860,"WON")</f>
        <v>0</v>
      </c>
      <c r="E15" s="1" t="n">
        <f aca="false">B15+(26-ROW())*0.0001</f>
        <v>0.0011</v>
      </c>
      <c r="G15" s="1" t="s">
        <v>320</v>
      </c>
      <c r="H15" s="1" t="n">
        <f aca="false">SUMIF('MiT Strom Pipeline'!$D$6:$D$860,G15,'MiT Strom Pipeline'!$I$6:$I$860)</f>
        <v>0</v>
      </c>
      <c r="I15" s="1" t="n">
        <f aca="false">COUNTIF('MiT Strom Pipeline'!$D$6:$D$860,G15)</f>
        <v>1</v>
      </c>
    </row>
    <row r="16" customFormat="false" ht="15" hidden="false" customHeight="true" outlineLevel="0" collapsed="false">
      <c r="A16" s="1" t="s">
        <v>58</v>
      </c>
      <c r="B16" s="1" t="n">
        <f aca="false">SUMIF('MiT Strom Pipeline'!$C$6:$C$860,A16,'MiT Strom Pipeline'!$I$6:$I$860)</f>
        <v>0</v>
      </c>
      <c r="C16" s="1" t="n">
        <f aca="false">COUNTIF('MiT Strom Pipeline'!$C$6:$C$860,A16)</f>
        <v>0</v>
      </c>
      <c r="D16" s="1" t="n">
        <f aca="false">COUNTIFS('MiT Strom Pipeline'!$C$6:$C$860,A16,'MiT Strom Pipeline'!$R$6:$R$860,"WON")</f>
        <v>0</v>
      </c>
      <c r="E16" s="1" t="n">
        <f aca="false">B16+(26-ROW())*0.0001</f>
        <v>0.001</v>
      </c>
      <c r="G16" s="1" t="s">
        <v>227</v>
      </c>
      <c r="H16" s="1" t="n">
        <f aca="false">SUMIF('MiT Strom Pipeline'!$D$6:$D$860,G16,'MiT Strom Pipeline'!$I$6:$I$860)</f>
        <v>0</v>
      </c>
      <c r="I16" s="1" t="n">
        <f aca="false">COUNTIF('MiT Strom Pipeline'!$D$6:$D$860,G16)</f>
        <v>1</v>
      </c>
    </row>
    <row r="17" customFormat="false" ht="15" hidden="false" customHeight="true" outlineLevel="0" collapsed="false">
      <c r="A17" s="1" t="s">
        <v>59</v>
      </c>
      <c r="B17" s="1" t="n">
        <f aca="false">SUMIF('MiT Strom Pipeline'!$C$6:$C$860,A17,'MiT Strom Pipeline'!$I$6:$I$860)</f>
        <v>58012.12</v>
      </c>
      <c r="C17" s="1" t="n">
        <f aca="false">COUNTIF('MiT Strom Pipeline'!$C$6:$C$860,A17)</f>
        <v>5</v>
      </c>
      <c r="D17" s="1" t="n">
        <f aca="false">COUNTIFS('MiT Strom Pipeline'!$C$6:$C$860,A17,'MiT Strom Pipeline'!$R$6:$R$860,"WON")</f>
        <v>0</v>
      </c>
      <c r="E17" s="1" t="n">
        <f aca="false">B17+(26-ROW())*0.0001</f>
        <v>58012.1209</v>
      </c>
      <c r="G17" s="1" t="s">
        <v>323</v>
      </c>
      <c r="H17" s="1" t="n">
        <f aca="false">SUMIF('MiT Strom Pipeline'!$D$6:$D$860,G17,'MiT Strom Pipeline'!$I$6:$I$860)</f>
        <v>48950</v>
      </c>
      <c r="I17" s="1" t="n">
        <f aca="false">COUNTIF('MiT Strom Pipeline'!$D$6:$D$860,G17)</f>
        <v>1</v>
      </c>
    </row>
    <row r="18" customFormat="false" ht="15" hidden="false" customHeight="true" outlineLevel="0" collapsed="false">
      <c r="A18" s="1" t="s">
        <v>60</v>
      </c>
      <c r="B18" s="1" t="n">
        <f aca="false">SUMIF('MiT Strom Pipeline'!$C$6:$C$860,A18,'MiT Strom Pipeline'!$I$6:$I$860)</f>
        <v>13472.18</v>
      </c>
      <c r="C18" s="1" t="n">
        <f aca="false">COUNTIF('MiT Strom Pipeline'!$C$6:$C$860,A18)</f>
        <v>1</v>
      </c>
      <c r="D18" s="1" t="n">
        <f aca="false">COUNTIFS('MiT Strom Pipeline'!$C$6:$C$860,A18,'MiT Strom Pipeline'!$R$6:$R$860,"WON")</f>
        <v>1</v>
      </c>
      <c r="E18" s="1" t="n">
        <f aca="false">B18+(26-ROW())*0.0001</f>
        <v>13472.1808</v>
      </c>
      <c r="G18" s="1" t="s">
        <v>328</v>
      </c>
      <c r="H18" s="1" t="n">
        <f aca="false">SUMIF('MiT Strom Pipeline'!$D$6:$D$860,G18,'MiT Strom Pipeline'!$I$6:$I$860)</f>
        <v>39000</v>
      </c>
      <c r="I18" s="1" t="n">
        <f aca="false">COUNTIF('MiT Strom Pipeline'!$D$6:$D$860,G18)</f>
        <v>1</v>
      </c>
    </row>
    <row r="19" customFormat="false" ht="15" hidden="false" customHeight="true" outlineLevel="0" collapsed="false">
      <c r="A19" s="1" t="s">
        <v>61</v>
      </c>
      <c r="B19" s="1" t="n">
        <f aca="false">SUMIF('MiT Strom Pipeline'!$C$6:$C$860,A19,'MiT Strom Pipeline'!$I$6:$I$860)</f>
        <v>13866.21</v>
      </c>
      <c r="C19" s="1" t="n">
        <f aca="false">COUNTIF('MiT Strom Pipeline'!$C$6:$C$860,A19)</f>
        <v>1</v>
      </c>
      <c r="D19" s="1" t="n">
        <f aca="false">COUNTIFS('MiT Strom Pipeline'!$C$6:$C$860,A19,'MiT Strom Pipeline'!$R$6:$R$860,"WON")</f>
        <v>0</v>
      </c>
      <c r="E19" s="1" t="n">
        <f aca="false">B19+(26-ROW())*0.0001</f>
        <v>13866.2107</v>
      </c>
      <c r="G19" s="1" t="s">
        <v>340</v>
      </c>
      <c r="H19" s="1" t="n">
        <f aca="false">SUMIF('MiT Strom Pipeline'!$D$6:$D$860,G19,'MiT Strom Pipeline'!$I$6:$I$860)</f>
        <v>12572.63</v>
      </c>
      <c r="I19" s="1" t="n">
        <f aca="false">COUNTIF('MiT Strom Pipeline'!$D$6:$D$860,G19)</f>
        <v>1</v>
      </c>
    </row>
    <row r="20" customFormat="false" ht="15" hidden="false" customHeight="true" outlineLevel="0" collapsed="false">
      <c r="A20" s="1" t="s">
        <v>62</v>
      </c>
      <c r="B20" s="1" t="n">
        <f aca="false">SUMIF('MiT Strom Pipeline'!$C$6:$C$860,A20,'MiT Strom Pipeline'!$I$6:$I$860)</f>
        <v>0</v>
      </c>
      <c r="C20" s="1" t="n">
        <f aca="false">COUNTIF('MiT Strom Pipeline'!$C$6:$C$860,A20)</f>
        <v>0</v>
      </c>
      <c r="D20" s="1" t="n">
        <f aca="false">COUNTIFS('MiT Strom Pipeline'!$C$6:$C$860,A20,'MiT Strom Pipeline'!$R$6:$R$860,"WON")</f>
        <v>0</v>
      </c>
      <c r="E20" s="1" t="n">
        <f aca="false">B20+(26-ROW())*0.0001</f>
        <v>0.0006</v>
      </c>
      <c r="G20" s="1" t="s">
        <v>350</v>
      </c>
      <c r="H20" s="1" t="n">
        <f aca="false">SUMIF('MiT Strom Pipeline'!$D$6:$D$860,G20,'MiT Strom Pipeline'!$I$6:$I$860)</f>
        <v>0</v>
      </c>
      <c r="I20" s="1" t="n">
        <f aca="false">COUNTIF('MiT Strom Pipeline'!$D$6:$D$860,G20)</f>
        <v>1</v>
      </c>
    </row>
    <row r="21" customFormat="false" ht="15" hidden="false" customHeight="true" outlineLevel="0" collapsed="false">
      <c r="A21" s="1" t="s">
        <v>63</v>
      </c>
      <c r="B21" s="1" t="n">
        <f aca="false">SUMIF('MiT Strom Pipeline'!$C$6:$C$860,A21,'MiT Strom Pipeline'!$I$6:$I$860)</f>
        <v>38885</v>
      </c>
      <c r="C21" s="1" t="n">
        <f aca="false">COUNTIF('MiT Strom Pipeline'!$C$6:$C$860,A21)</f>
        <v>1</v>
      </c>
      <c r="D21" s="1" t="n">
        <f aca="false">COUNTIFS('MiT Strom Pipeline'!$C$6:$C$860,A21,'MiT Strom Pipeline'!$R$6:$R$860,"WON")</f>
        <v>0</v>
      </c>
      <c r="E21" s="1" t="n">
        <f aca="false">B21+(26-ROW())*0.0001</f>
        <v>38885.0005</v>
      </c>
      <c r="G21" s="1" t="s">
        <v>365</v>
      </c>
      <c r="H21" s="1" t="n">
        <f aca="false">SUMIF('MiT Strom Pipeline'!$D$6:$D$860,G21,'MiT Strom Pipeline'!$I$6:$I$860)</f>
        <v>0</v>
      </c>
      <c r="I21" s="1" t="n">
        <f aca="false">COUNTIF('MiT Strom Pipeline'!$D$6:$D$860,G21)</f>
        <v>1</v>
      </c>
    </row>
    <row r="22" customFormat="false" ht="15" hidden="false" customHeight="true" outlineLevel="0" collapsed="false">
      <c r="A22" s="1" t="s">
        <v>64</v>
      </c>
      <c r="B22" s="1" t="n">
        <f aca="false">SUMIF('MiT Strom Pipeline'!$C$6:$C$860,A22,'MiT Strom Pipeline'!$I$6:$I$860)</f>
        <v>0</v>
      </c>
      <c r="C22" s="1" t="n">
        <f aca="false">COUNTIF('MiT Strom Pipeline'!$C$6:$C$860,A22)</f>
        <v>0</v>
      </c>
      <c r="D22" s="1" t="n">
        <f aca="false">COUNTIFS('MiT Strom Pipeline'!$C$6:$C$860,A22,'MiT Strom Pipeline'!$R$6:$R$860,"WON")</f>
        <v>0</v>
      </c>
      <c r="E22" s="1" t="n">
        <f aca="false">B22+(26-ROW())*0.0001</f>
        <v>0.0004</v>
      </c>
      <c r="G22" s="1" t="s">
        <v>281</v>
      </c>
      <c r="H22" s="1" t="n">
        <f aca="false">SUMIF('MiT Strom Pipeline'!$D$6:$D$860,G22,'MiT Strom Pipeline'!$I$6:$I$860)</f>
        <v>3224511.48</v>
      </c>
      <c r="I22" s="1" t="n">
        <f aca="false">COUNTIF('MiT Strom Pipeline'!$D$6:$D$860,G22)</f>
        <v>15</v>
      </c>
    </row>
    <row r="23" customFormat="false" ht="15" hidden="false" customHeight="true" outlineLevel="0" collapsed="false">
      <c r="A23" s="1" t="s">
        <v>65</v>
      </c>
      <c r="B23" s="1" t="n">
        <f aca="false">SUMIF('MiT Strom Pipeline'!$C$6:$C$860,A23,'MiT Strom Pipeline'!$I$6:$I$860)</f>
        <v>77325.62</v>
      </c>
      <c r="C23" s="1" t="n">
        <f aca="false">COUNTIF('MiT Strom Pipeline'!$C$6:$C$860,A23)</f>
        <v>2</v>
      </c>
      <c r="D23" s="1" t="n">
        <f aca="false">COUNTIFS('MiT Strom Pipeline'!$C$6:$C$860,A23,'MiT Strom Pipeline'!$R$6:$R$860,"WON")</f>
        <v>0</v>
      </c>
      <c r="E23" s="1" t="n">
        <f aca="false">B23+(26-ROW())*0.0001</f>
        <v>77325.6203</v>
      </c>
      <c r="G23" s="1" t="s">
        <v>302</v>
      </c>
      <c r="H23" s="1" t="n">
        <f aca="false">SUMIF('MiT Strom Pipeline'!$D$6:$D$860,G23,'MiT Strom Pipeline'!$I$6:$I$860)</f>
        <v>211297.08</v>
      </c>
      <c r="I23" s="1" t="n">
        <f aca="false">COUNTIF('MiT Strom Pipeline'!$D$6:$D$860,G23)</f>
        <v>5</v>
      </c>
    </row>
    <row r="24" customFormat="false" ht="15" hidden="false" customHeight="true" outlineLevel="0" collapsed="false">
      <c r="A24" s="1" t="s">
        <v>66</v>
      </c>
      <c r="B24" s="1" t="n">
        <f aca="false">SUMIF('MiT Strom Pipeline'!$C$6:$C$860,A24,'MiT Strom Pipeline'!$I$6:$I$860)</f>
        <v>0</v>
      </c>
      <c r="C24" s="1" t="n">
        <f aca="false">COUNTIF('MiT Strom Pipeline'!$C$6:$C$860,A24)</f>
        <v>0</v>
      </c>
      <c r="D24" s="1" t="n">
        <f aca="false">COUNTIFS('MiT Strom Pipeline'!$C$6:$C$860,A24,'MiT Strom Pipeline'!$R$6:$R$860,"WON")</f>
        <v>0</v>
      </c>
      <c r="E24" s="1" t="n">
        <f aca="false">B24+(26-ROW())*0.0001</f>
        <v>0.0002</v>
      </c>
      <c r="G24" s="1" t="s">
        <v>424</v>
      </c>
      <c r="H24" s="1" t="n">
        <f aca="false">SUMIF('MiT Strom Pipeline'!$D$6:$D$860,G24,'MiT Strom Pipeline'!$I$6:$I$860)</f>
        <v>750.65</v>
      </c>
      <c r="I24" s="1" t="n">
        <f aca="false">COUNTIF('MiT Strom Pipeline'!$D$6:$D$860,G24)</f>
        <v>1</v>
      </c>
    </row>
    <row r="25" customFormat="false" ht="15" hidden="false" customHeight="true" outlineLevel="0" collapsed="false">
      <c r="A25" s="1" t="s">
        <v>67</v>
      </c>
      <c r="B25" s="1" t="n">
        <f aca="false">SUMIF('MiT Strom Pipeline'!$C$6:$C$860,A25,'MiT Strom Pipeline'!$I$6:$I$860)</f>
        <v>23626.77</v>
      </c>
      <c r="C25" s="1" t="n">
        <f aca="false">COUNTIF('MiT Strom Pipeline'!$C$6:$C$860,A25)</f>
        <v>3</v>
      </c>
      <c r="D25" s="1" t="n">
        <f aca="false">COUNTIFS('MiT Strom Pipeline'!$C$6:$C$860,A25,'MiT Strom Pipeline'!$R$6:$R$860,"WON")</f>
        <v>0</v>
      </c>
      <c r="E25" s="1" t="n">
        <f aca="false">B25+(26-ROW())*0.0001</f>
        <v>23626.7701</v>
      </c>
      <c r="G25" s="1" t="s">
        <v>428</v>
      </c>
      <c r="H25" s="1" t="n">
        <f aca="false">SUMIF('MiT Strom Pipeline'!$D$6:$D$860,G25,'MiT Strom Pipeline'!$I$6:$I$860)</f>
        <v>5328.36</v>
      </c>
      <c r="I25" s="1" t="n">
        <f aca="false">COUNTIF('MiT Strom Pipeline'!$D$6:$D$860,G25)</f>
        <v>1</v>
      </c>
    </row>
    <row r="26" customFormat="false" ht="15" hidden="false" customHeight="true" outlineLevel="0" collapsed="false">
      <c r="A26" s="1" t="s">
        <v>68</v>
      </c>
      <c r="B26" s="1" t="n">
        <f aca="false">SUMIF('MiT Strom Pipeline'!$C$6:$C$860,A26,'MiT Strom Pipeline'!$I$6:$I$860)</f>
        <v>0</v>
      </c>
      <c r="C26" s="1" t="n">
        <f aca="false">COUNTIF('MiT Strom Pipeline'!$C$6:$C$860,A26)</f>
        <v>0</v>
      </c>
      <c r="D26" s="1" t="n">
        <f aca="false">COUNTIFS('MiT Strom Pipeline'!$C$6:$C$860,A26,'MiT Strom Pipeline'!$R$6:$R$860,"WON")</f>
        <v>0</v>
      </c>
      <c r="E26" s="1" t="n">
        <f aca="false">B26+(26-ROW())*0.0001</f>
        <v>0</v>
      </c>
      <c r="G26" s="1" t="s">
        <v>432</v>
      </c>
      <c r="H26" s="1" t="n">
        <f aca="false">SUMIF('MiT Strom Pipeline'!$D$6:$D$860,G26,'MiT Strom Pipeline'!$I$6:$I$860)</f>
        <v>231093.64</v>
      </c>
      <c r="I26" s="1" t="n">
        <f aca="false">COUNTIF('MiT Strom Pipeline'!$D$6:$D$860,G26)</f>
        <v>4</v>
      </c>
    </row>
    <row r="27" customFormat="false" ht="15" hidden="false" customHeight="true" outlineLevel="0" collapsed="false">
      <c r="A27" s="1" t="s">
        <v>70</v>
      </c>
      <c r="B27" s="1" t="n">
        <f aca="false">SUMIF('MiT Strom Pipeline'!$C$6:$C$860,A27,'MiT Strom Pipeline'!$I$6:$I$860)</f>
        <v>0</v>
      </c>
      <c r="C27" s="1" t="n">
        <f aca="false">COUNTIF('MiT Strom Pipeline'!$C$6:$C$860,A27)</f>
        <v>0</v>
      </c>
      <c r="D27" s="1" t="n">
        <f aca="false">COUNTIFS('MiT Strom Pipeline'!$C$6:$C$860,A27,'MiT Strom Pipeline'!$R$6:$R$860,"WON")</f>
        <v>0</v>
      </c>
      <c r="E27" s="1" t="n">
        <f aca="false">B27+(26-ROW())*0.0001</f>
        <v>-0.0001</v>
      </c>
      <c r="G27" s="1" t="s">
        <v>437</v>
      </c>
      <c r="H27" s="1" t="n">
        <f aca="false">SUMIF('MiT Strom Pipeline'!$D$6:$D$860,G27,'MiT Strom Pipeline'!$I$6:$I$860)</f>
        <v>13533</v>
      </c>
      <c r="I27" s="1" t="n">
        <f aca="false">COUNTIF('MiT Strom Pipeline'!$D$6:$D$860,G27)</f>
        <v>1</v>
      </c>
    </row>
    <row r="28" customFormat="false" ht="15" hidden="false" customHeight="true" outlineLevel="0" collapsed="false">
      <c r="A28" s="1" t="s">
        <v>71</v>
      </c>
      <c r="B28" s="1" t="n">
        <f aca="false">SUMIF('MiT Strom Pipeline'!$C$6:$C$860,A28,'MiT Strom Pipeline'!$I$6:$I$860)</f>
        <v>0</v>
      </c>
      <c r="C28" s="1" t="n">
        <f aca="false">COUNTIF('MiT Strom Pipeline'!$C$6:$C$860,A28)</f>
        <v>0</v>
      </c>
      <c r="D28" s="1" t="n">
        <f aca="false">COUNTIFS('MiT Strom Pipeline'!$C$6:$C$860,A28,'MiT Strom Pipeline'!$R$6:$R$860,"WON")</f>
        <v>0</v>
      </c>
      <c r="E28" s="1" t="n">
        <f aca="false">B28+(26-ROW())*0.0001</f>
        <v>-0.0002</v>
      </c>
    </row>
    <row r="29" customFormat="false" ht="15" hidden="false" customHeight="true" outlineLevel="0" collapsed="false">
      <c r="A29" s="1" t="s">
        <v>72</v>
      </c>
      <c r="B29" s="1" t="n">
        <f aca="false">SUMIF('MiT Strom Pipeline'!$C$6:$C$860,A29,'MiT Strom Pipeline'!$I$6:$I$860)</f>
        <v>101192.62</v>
      </c>
      <c r="C29" s="1" t="n">
        <f aca="false">COUNTIF('MiT Strom Pipeline'!$C$6:$C$860,A29)</f>
        <v>3</v>
      </c>
      <c r="D29" s="1" t="n">
        <f aca="false">COUNTIFS('MiT Strom Pipeline'!$C$6:$C$860,A29,'MiT Strom Pipeline'!$R$6:$R$860,"WON")</f>
        <v>1</v>
      </c>
      <c r="E29" s="1" t="n">
        <f aca="false">B29+(26-ROW())*0.0001</f>
        <v>101192.6197</v>
      </c>
    </row>
    <row r="30" customFormat="false" ht="15" hidden="false" customHeight="true" outlineLevel="0" collapsed="false">
      <c r="A30" s="1" t="s">
        <v>73</v>
      </c>
      <c r="B30" s="1" t="n">
        <f aca="false">SUMIF('MiT Strom Pipeline'!$C$6:$C$860,A30,'MiT Strom Pipeline'!$I$6:$I$860)</f>
        <v>2637287.63</v>
      </c>
      <c r="C30" s="1" t="n">
        <f aca="false">COUNTIF('MiT Strom Pipeline'!$C$6:$C$860,A30)</f>
        <v>5</v>
      </c>
      <c r="D30" s="1" t="n">
        <f aca="false">COUNTIFS('MiT Strom Pipeline'!$C$6:$C$860,A30,'MiT Strom Pipeline'!$R$6:$R$860,"WON")</f>
        <v>1</v>
      </c>
      <c r="E30" s="1" t="n">
        <f aca="false">B30+(26-ROW())*0.0001</f>
        <v>2637287.6296</v>
      </c>
    </row>
    <row r="31" customFormat="false" ht="15" hidden="false" customHeight="true" outlineLevel="0" collapsed="false">
      <c r="A31" s="1" t="s">
        <v>74</v>
      </c>
      <c r="B31" s="1" t="n">
        <f aca="false">SUMIF('MiT Strom Pipeline'!$C$6:$C$860,A31,'MiT Strom Pipeline'!$I$6:$I$860)</f>
        <v>390750.65</v>
      </c>
      <c r="C31" s="1" t="n">
        <f aca="false">COUNTIF('MiT Strom Pipeline'!$C$6:$C$860,A31)</f>
        <v>2</v>
      </c>
      <c r="D31" s="1" t="n">
        <f aca="false">COUNTIFS('MiT Strom Pipeline'!$C$6:$C$860,A31,'MiT Strom Pipeline'!$R$6:$R$860,"WON")</f>
        <v>0</v>
      </c>
      <c r="E31" s="1" t="n">
        <f aca="false">B31+(26-ROW())*0.0001</f>
        <v>390750.6495</v>
      </c>
    </row>
    <row r="32" customFormat="false" ht="15" hidden="false" customHeight="true" outlineLevel="0" collapsed="false">
      <c r="A32" s="1" t="s">
        <v>75</v>
      </c>
      <c r="B32" s="1" t="n">
        <f aca="false">SUMIF('MiT Strom Pipeline'!$C$6:$C$860,A32,'MiT Strom Pipeline'!$I$6:$I$860)</f>
        <v>0</v>
      </c>
      <c r="C32" s="1" t="n">
        <f aca="false">COUNTIF('MiT Strom Pipeline'!$C$6:$C$860,A32)</f>
        <v>0</v>
      </c>
      <c r="D32" s="1" t="n">
        <f aca="false">COUNTIFS('MiT Strom Pipeline'!$C$6:$C$860,A32,'MiT Strom Pipeline'!$R$6:$R$860,"WON")</f>
        <v>0</v>
      </c>
      <c r="E32" s="1" t="n">
        <f aca="false">B32+(26-ROW())*0.0001</f>
        <v>-0.0006</v>
      </c>
    </row>
    <row r="33" customFormat="false" ht="15" hidden="false" customHeight="true" outlineLevel="0" collapsed="false">
      <c r="A33" s="1" t="s">
        <v>76</v>
      </c>
      <c r="B33" s="1" t="n">
        <f aca="false">SUMIF('MiT Strom Pipeline'!$C$6:$C$860,A33,'MiT Strom Pipeline'!$I$6:$I$860)</f>
        <v>160817.26</v>
      </c>
      <c r="C33" s="1" t="n">
        <f aca="false">COUNTIF('MiT Strom Pipeline'!$C$6:$C$860,A33)</f>
        <v>3</v>
      </c>
      <c r="D33" s="1" t="n">
        <f aca="false">COUNTIFS('MiT Strom Pipeline'!$C$6:$C$860,A33,'MiT Strom Pipeline'!$R$6:$R$860,"WON")</f>
        <v>2</v>
      </c>
      <c r="E33" s="1" t="n">
        <f aca="false">B33+(26-ROW())*0.0001</f>
        <v>160817.2593</v>
      </c>
    </row>
    <row r="34" customFormat="false" ht="15" hidden="false" customHeight="true" outlineLevel="0" collapsed="false">
      <c r="A34" s="1" t="s">
        <v>77</v>
      </c>
      <c r="B34" s="1" t="n">
        <f aca="false">SUMIF('MiT Strom Pipeline'!$C$6:$C$860,A34,'MiT Strom Pipeline'!$I$6:$I$860)</f>
        <v>0</v>
      </c>
      <c r="C34" s="1" t="n">
        <f aca="false">COUNTIF('MiT Strom Pipeline'!$C$6:$C$860,A34)</f>
        <v>0</v>
      </c>
      <c r="D34" s="1" t="n">
        <f aca="false">COUNTIFS('MiT Strom Pipeline'!$C$6:$C$860,A34,'MiT Strom Pipeline'!$R$6:$R$860,"WON")</f>
        <v>0</v>
      </c>
      <c r="E34" s="1" t="n">
        <f aca="false">B34+(26-ROW())*0.0001</f>
        <v>-0.0008</v>
      </c>
    </row>
    <row r="35" customFormat="false" ht="15" hidden="false" customHeight="true" outlineLevel="0" collapsed="false">
      <c r="A35" s="1" t="s">
        <v>78</v>
      </c>
      <c r="B35" s="1" t="n">
        <f aca="false">SUMIF('MiT Strom Pipeline'!$C$6:$C$860,A35,'MiT Strom Pipeline'!$I$6:$I$860)</f>
        <v>0</v>
      </c>
      <c r="C35" s="1" t="n">
        <f aca="false">COUNTIF('MiT Strom Pipeline'!$C$6:$C$860,A35)</f>
        <v>1</v>
      </c>
      <c r="D35" s="1" t="n">
        <f aca="false">COUNTIFS('MiT Strom Pipeline'!$C$6:$C$860,A35,'MiT Strom Pipeline'!$R$6:$R$860,"WON")</f>
        <v>0</v>
      </c>
      <c r="E35" s="1" t="n">
        <f aca="false">B35+(26-ROW())*0.0001</f>
        <v>-0.0009</v>
      </c>
    </row>
    <row r="36" customFormat="false" ht="15" hidden="false" customHeight="true" outlineLevel="0" collapsed="false">
      <c r="A36" s="1" t="s">
        <v>79</v>
      </c>
      <c r="B36" s="1" t="n">
        <f aca="false">SUMIF('MiT Strom Pipeline'!$C$6:$C$860,A36,'MiT Strom Pipeline'!$I$6:$I$860)</f>
        <v>0</v>
      </c>
      <c r="C36" s="1" t="n">
        <f aca="false">COUNTIF('MiT Strom Pipeline'!$C$6:$C$860,A36)</f>
        <v>2</v>
      </c>
      <c r="D36" s="1" t="n">
        <f aca="false">COUNTIFS('MiT Strom Pipeline'!$C$6:$C$860,A36,'MiT Strom Pipeline'!$R$6:$R$860,"WON")</f>
        <v>0</v>
      </c>
      <c r="E36" s="1" t="n">
        <f aca="false">B36+(26-ROW())*0.0001</f>
        <v>-0.001</v>
      </c>
    </row>
    <row r="37" customFormat="false" ht="15" hidden="false" customHeight="true" outlineLevel="0" collapsed="false">
      <c r="A37" s="1" t="s">
        <v>80</v>
      </c>
      <c r="B37" s="1" t="n">
        <f aca="false">SUMIF('MiT Strom Pipeline'!$C$6:$C$860,A37,'MiT Strom Pipeline'!$I$6:$I$860)</f>
        <v>303790.2</v>
      </c>
      <c r="C37" s="1" t="n">
        <f aca="false">COUNTIF('MiT Strom Pipeline'!$C$6:$C$860,A37)</f>
        <v>3</v>
      </c>
      <c r="D37" s="1" t="n">
        <f aca="false">COUNTIFS('MiT Strom Pipeline'!$C$6:$C$860,A37,'MiT Strom Pipeline'!$R$6:$R$860,"WON")</f>
        <v>1</v>
      </c>
      <c r="E37" s="1" t="n">
        <f aca="false">B37+(26-ROW())*0.0001</f>
        <v>303790.1989</v>
      </c>
    </row>
    <row r="38" customFormat="false" ht="15" hidden="false" customHeight="true" outlineLevel="0" collapsed="false">
      <c r="A38" s="1" t="s">
        <v>81</v>
      </c>
      <c r="B38" s="1" t="n">
        <f aca="false">SUMIF('MiT Strom Pipeline'!$C$6:$C$860,A38,'MiT Strom Pipeline'!$I$6:$I$860)</f>
        <v>40491.67</v>
      </c>
      <c r="C38" s="1" t="n">
        <f aca="false">COUNTIF('MiT Strom Pipeline'!$C$6:$C$860,A38)</f>
        <v>1</v>
      </c>
      <c r="D38" s="1" t="n">
        <f aca="false">COUNTIFS('MiT Strom Pipeline'!$C$6:$C$860,A38,'MiT Strom Pipeline'!$R$6:$R$860,"WON")</f>
        <v>0</v>
      </c>
      <c r="E38" s="1" t="n">
        <f aca="false">B38+(26-ROW())*0.0001</f>
        <v>40491.6688</v>
      </c>
    </row>
    <row r="39" customFormat="false" ht="15" hidden="false" customHeight="true" outlineLevel="0" collapsed="false">
      <c r="A39" s="1" t="s">
        <v>82</v>
      </c>
      <c r="B39" s="1" t="n">
        <f aca="false">SUMIF('MiT Strom Pipeline'!$C$6:$C$860,A39,'MiT Strom Pipeline'!$I$6:$I$860)</f>
        <v>2732238.98</v>
      </c>
      <c r="C39" s="1" t="n">
        <f aca="false">COUNTIF('MiT Strom Pipeline'!$C$6:$C$860,A39)</f>
        <v>25</v>
      </c>
      <c r="D39" s="1" t="n">
        <f aca="false">COUNTIFS('MiT Strom Pipeline'!$C$6:$C$860,A39,'MiT Strom Pipeline'!$R$6:$R$860,"WON")</f>
        <v>5</v>
      </c>
      <c r="E39" s="1" t="n">
        <f aca="false">B39+(26-ROW())*0.0001</f>
        <v>2732238.9787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2026-06-05T08:48:06Z</dcterms:created>
  <dc:creator>openpyxl</dc:creator>
  <dc:description/>
  <dc:language>en-US</dc:language>
  <cp:lastModifiedBy/>
  <dcterms:modified xsi:type="dcterms:W3CDTF">2026-08-10T14:38:44Z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